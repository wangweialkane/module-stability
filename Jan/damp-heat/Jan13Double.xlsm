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3"/>
  </bookViews>
  <sheets>
    <sheet name="NEW" sheetId="64" r:id="rId1"/>
    <sheet name="20230210T2100" sheetId="65" r:id="rId2"/>
    <sheet name="20230212T21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 s="1"/>
  <c r="BD110" i="66"/>
  <c r="BE110" i="66"/>
  <c r="BD111" i="66"/>
  <c r="BE111" i="66"/>
  <c r="BD112" i="66"/>
  <c r="BE112" i="66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 s="1"/>
  <c r="AV103" i="66"/>
  <c r="AW103" i="66"/>
  <c r="AV104" i="66"/>
  <c r="AW104" i="66"/>
  <c r="AV105" i="66"/>
  <c r="AW105" i="66"/>
  <c r="AV106" i="66"/>
  <c r="AW106" i="66" s="1"/>
  <c r="AV107" i="66"/>
  <c r="AW107" i="66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 s="1"/>
  <c r="AV218" i="66"/>
  <c r="AW218" i="66"/>
  <c r="AV219" i="66"/>
  <c r="AW219" i="66"/>
  <c r="AV220" i="66"/>
  <c r="AW220" i="66"/>
  <c r="AV221" i="66"/>
  <c r="AW221" i="66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L12" i="66"/>
  <c r="AM12" i="66"/>
  <c r="AL13" i="66"/>
  <c r="AM13" i="66"/>
  <c r="AL14" i="66"/>
  <c r="AM14" i="66"/>
  <c r="AL15" i="66"/>
  <c r="AM15" i="66"/>
  <c r="AL16" i="66"/>
  <c r="AM16" i="66"/>
  <c r="AL17" i="66"/>
  <c r="AM17" i="66"/>
  <c r="AL18" i="66"/>
  <c r="AM18" i="66"/>
  <c r="AL19" i="66"/>
  <c r="AM19" i="66"/>
  <c r="AL20" i="66"/>
  <c r="AM20" i="66"/>
  <c r="AL21" i="66"/>
  <c r="AM21" i="66"/>
  <c r="AL22" i="66"/>
  <c r="AM22" i="66"/>
  <c r="AL23" i="66"/>
  <c r="AM23" i="66"/>
  <c r="AL24" i="66"/>
  <c r="AM24" i="66"/>
  <c r="AL25" i="66"/>
  <c r="AM25" i="66"/>
  <c r="AL26" i="66"/>
  <c r="AM26" i="66"/>
  <c r="AL27" i="66"/>
  <c r="AM27" i="66"/>
  <c r="AL28" i="66"/>
  <c r="AM28" i="66"/>
  <c r="AL29" i="66"/>
  <c r="AM29" i="66"/>
  <c r="AL30" i="66"/>
  <c r="AM30" i="66"/>
  <c r="AL31" i="66"/>
  <c r="AM31" i="66"/>
  <c r="AL32" i="66"/>
  <c r="AM32" i="66"/>
  <c r="AL33" i="66"/>
  <c r="AM33" i="66"/>
  <c r="AL34" i="66"/>
  <c r="AM34" i="66"/>
  <c r="AL35" i="66"/>
  <c r="AM35" i="66"/>
  <c r="AL36" i="66"/>
  <c r="AM36" i="66"/>
  <c r="AL37" i="66"/>
  <c r="AM37" i="66"/>
  <c r="AL38" i="66"/>
  <c r="AM38" i="66"/>
  <c r="AL39" i="66"/>
  <c r="AM39" i="66"/>
  <c r="AL40" i="66"/>
  <c r="AM40" i="66"/>
  <c r="AL41" i="66"/>
  <c r="AM41" i="66"/>
  <c r="AL42" i="66"/>
  <c r="AM42" i="66"/>
  <c r="AL43" i="66"/>
  <c r="AM43" i="66"/>
  <c r="AL44" i="66"/>
  <c r="AM44" i="66"/>
  <c r="AL45" i="66"/>
  <c r="AM45" i="66"/>
  <c r="AL46" i="66"/>
  <c r="AM46" i="66"/>
  <c r="AL47" i="66"/>
  <c r="AM47" i="66"/>
  <c r="AL48" i="66"/>
  <c r="AM48" i="66"/>
  <c r="AL49" i="66"/>
  <c r="AM49" i="66"/>
  <c r="AL50" i="66"/>
  <c r="AM50" i="66"/>
  <c r="AL51" i="66"/>
  <c r="AM51" i="66"/>
  <c r="AL52" i="66"/>
  <c r="AM52" i="66"/>
  <c r="AL53" i="66"/>
  <c r="AM53" i="66"/>
  <c r="AL54" i="66"/>
  <c r="AM54" i="66"/>
  <c r="AL55" i="66"/>
  <c r="AM55" i="66"/>
  <c r="AL56" i="66"/>
  <c r="AM56" i="66"/>
  <c r="AL57" i="66"/>
  <c r="AM57" i="66"/>
  <c r="AL58" i="66"/>
  <c r="AM58" i="66"/>
  <c r="AL59" i="66"/>
  <c r="AM59" i="66"/>
  <c r="AL60" i="66"/>
  <c r="AM60" i="66"/>
  <c r="AL61" i="66"/>
  <c r="AM61" i="66"/>
  <c r="AL62" i="66"/>
  <c r="AM62" i="66"/>
  <c r="AL63" i="66"/>
  <c r="AM63" i="66"/>
  <c r="AL64" i="66"/>
  <c r="AM64" i="66"/>
  <c r="AL65" i="66"/>
  <c r="AM65" i="66"/>
  <c r="AL66" i="66"/>
  <c r="AM66" i="66"/>
  <c r="AL67" i="66"/>
  <c r="AM67" i="66"/>
  <c r="AL68" i="66"/>
  <c r="AM68" i="66"/>
  <c r="AL69" i="66"/>
  <c r="AM69" i="66"/>
  <c r="AL70" i="66"/>
  <c r="AM70" i="66"/>
  <c r="AL71" i="66"/>
  <c r="AM71" i="66"/>
  <c r="AL72" i="66"/>
  <c r="AM72" i="66"/>
  <c r="AL73" i="66"/>
  <c r="AM73" i="66"/>
  <c r="AL74" i="66"/>
  <c r="AM74" i="66"/>
  <c r="AL75" i="66"/>
  <c r="AM75" i="66"/>
  <c r="AL76" i="66"/>
  <c r="AM76" i="66"/>
  <c r="AL77" i="66"/>
  <c r="AM77" i="66"/>
  <c r="AL78" i="66"/>
  <c r="AM78" i="66"/>
  <c r="AL79" i="66"/>
  <c r="AM79" i="66"/>
  <c r="AL80" i="66"/>
  <c r="AM80" i="66"/>
  <c r="AL81" i="66"/>
  <c r="AM81" i="66"/>
  <c r="AL82" i="66"/>
  <c r="AM82" i="66"/>
  <c r="AL83" i="66"/>
  <c r="AM83" i="66"/>
  <c r="AL84" i="66"/>
  <c r="AM84" i="66"/>
  <c r="AL85" i="66"/>
  <c r="AM85" i="66"/>
  <c r="AL86" i="66"/>
  <c r="AM86" i="66"/>
  <c r="AL87" i="66"/>
  <c r="AM87" i="66"/>
  <c r="AL88" i="66"/>
  <c r="AM88" i="66"/>
  <c r="AL89" i="66"/>
  <c r="AM89" i="66"/>
  <c r="AL90" i="66"/>
  <c r="AM90" i="66"/>
  <c r="AL91" i="66"/>
  <c r="AM91" i="66"/>
  <c r="AL92" i="66"/>
  <c r="AM92" i="66"/>
  <c r="AL93" i="66"/>
  <c r="AM93" i="66"/>
  <c r="AL94" i="66"/>
  <c r="AM94" i="66"/>
  <c r="AL95" i="66"/>
  <c r="AM95" i="66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/>
  <c r="AL328" i="66"/>
  <c r="AM32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 s="1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U7" i="66" s="1"/>
  <c r="AL7" i="66"/>
  <c r="AK7" i="66"/>
  <c r="AD7" i="66"/>
  <c r="T7" i="66"/>
  <c r="S7" i="66"/>
  <c r="L7" i="66"/>
  <c r="K7" i="66" s="1"/>
  <c r="FG6" i="66"/>
  <c r="FF6" i="66" s="1"/>
  <c r="EY6" i="66"/>
  <c r="EY9" i="66" s="1"/>
  <c r="EX6" i="66"/>
  <c r="EP6" i="66"/>
  <c r="EH6" i="66"/>
  <c r="EH9" i="66" s="1"/>
  <c r="EG6" i="66"/>
  <c r="DX6" i="66"/>
  <c r="DW6" i="66" s="1"/>
  <c r="DP6" i="66"/>
  <c r="DP9" i="66" s="1"/>
  <c r="DO6" i="66"/>
  <c r="DF6" i="66"/>
  <c r="CX6" i="66"/>
  <c r="CX9" i="66" s="1"/>
  <c r="B21" i="66" s="1"/>
  <c r="CW6" i="66"/>
  <c r="CN6" i="66"/>
  <c r="CM6" i="66" s="1"/>
  <c r="CF6" i="66"/>
  <c r="CF9" i="66" s="1"/>
  <c r="B19" i="66" s="1"/>
  <c r="CE6" i="66"/>
  <c r="BV6" i="66"/>
  <c r="BN6" i="66"/>
  <c r="BN9" i="66" s="1"/>
  <c r="B17" i="66" s="1"/>
  <c r="BM6" i="66"/>
  <c r="BD6" i="66"/>
  <c r="AV6" i="66"/>
  <c r="AL6" i="66"/>
  <c r="AD6" i="66"/>
  <c r="AC6" i="66"/>
  <c r="T6" i="66"/>
  <c r="L6" i="66"/>
  <c r="K6" i="66" s="1"/>
  <c r="G2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E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I4" i="66"/>
  <c r="AK4" i="66" s="1"/>
  <c r="AA4" i="66"/>
  <c r="AC4" i="66" s="1"/>
  <c r="Q4" i="66"/>
  <c r="S4" i="66" s="1"/>
  <c r="I4" i="66"/>
  <c r="K4" i="66" s="1"/>
  <c r="FH3" i="66"/>
  <c r="FF3" i="66"/>
  <c r="FD3" i="66"/>
  <c r="EZ3" i="66"/>
  <c r="EV3" i="66"/>
  <c r="EX3" i="66" s="1"/>
  <c r="EQ3" i="66"/>
  <c r="EO3" i="66"/>
  <c r="EM3" i="66"/>
  <c r="EI3" i="66"/>
  <c r="EE3" i="66"/>
  <c r="DY3" i="66"/>
  <c r="DW3" i="66"/>
  <c r="DU3" i="66"/>
  <c r="DQ3" i="66"/>
  <c r="DM3" i="66"/>
  <c r="DG3" i="66"/>
  <c r="DE3" i="66"/>
  <c r="DC3" i="66"/>
  <c r="CY3" i="66"/>
  <c r="CU3" i="66"/>
  <c r="CW3" i="66" s="1"/>
  <c r="CO3" i="66"/>
  <c r="CM3" i="66"/>
  <c r="CK3" i="66"/>
  <c r="CK6" i="66" s="1"/>
  <c r="A20" i="66" s="1"/>
  <c r="CG3" i="66"/>
  <c r="CC3" i="66"/>
  <c r="BW3" i="66"/>
  <c r="BU3" i="66"/>
  <c r="BS3" i="66"/>
  <c r="BS6" i="66" s="1"/>
  <c r="A18" i="66" s="1"/>
  <c r="BO3" i="66"/>
  <c r="BK3" i="66"/>
  <c r="BM3" i="66" s="1"/>
  <c r="BA3" i="66"/>
  <c r="AS3" i="66"/>
  <c r="AI3" i="66"/>
  <c r="AK3" i="66" s="1"/>
  <c r="AA3" i="66"/>
  <c r="AC3" i="66" s="1"/>
  <c r="Q3" i="66"/>
  <c r="I3" i="66"/>
  <c r="A4" i="63" a="1"/>
  <c r="A4" i="63" l="1"/>
  <c r="BE9" i="66"/>
  <c r="BC3" i="66"/>
  <c r="AY4" i="66" s="1"/>
  <c r="AW9" i="66"/>
  <c r="AW3" i="66" s="1"/>
  <c r="AS4" i="66"/>
  <c r="AU4" i="66" s="1"/>
  <c r="AU6" i="66"/>
  <c r="AQ2" i="66" s="1"/>
  <c r="AM9" i="66"/>
  <c r="AG4" i="66"/>
  <c r="AI6" i="66"/>
  <c r="A14" i="66" s="1"/>
  <c r="AE3" i="66"/>
  <c r="AD9" i="66"/>
  <c r="B13" i="66" s="1"/>
  <c r="AC7" i="66"/>
  <c r="Y2" i="66" s="1"/>
  <c r="U9" i="66"/>
  <c r="S3" i="66"/>
  <c r="O4" i="66" s="1"/>
  <c r="M9" i="66"/>
  <c r="Y4" i="66"/>
  <c r="K3" i="66"/>
  <c r="I6" i="66" s="1"/>
  <c r="AU3" i="66"/>
  <c r="CE3" i="66"/>
  <c r="CC6" i="66" s="1"/>
  <c r="DC6" i="66"/>
  <c r="A22" i="66" s="1"/>
  <c r="DO3" i="66"/>
  <c r="DM6" i="66" s="1"/>
  <c r="DP4" i="66" s="1"/>
  <c r="DP2" i="66" s="1"/>
  <c r="DM9" i="66" s="1"/>
  <c r="E23" i="66" s="1"/>
  <c r="DU6" i="66"/>
  <c r="DX4" i="66" s="1"/>
  <c r="DX2" i="66" s="1"/>
  <c r="EG3" i="66"/>
  <c r="EE6" i="66" s="1"/>
  <c r="EH4" i="66" s="1"/>
  <c r="EH2" i="66" s="1"/>
  <c r="EE9" i="66" s="1"/>
  <c r="E25" i="66" s="1"/>
  <c r="EM6" i="66"/>
  <c r="FD6" i="66"/>
  <c r="FG4" i="66" s="1"/>
  <c r="FG2" i="66" s="1"/>
  <c r="AA6" i="66"/>
  <c r="A13" i="66" s="1"/>
  <c r="BK6" i="66"/>
  <c r="A17" i="66" s="1"/>
  <c r="CU6" i="66"/>
  <c r="A21" i="66" s="1"/>
  <c r="EV6" i="66"/>
  <c r="EY4" i="66" s="1"/>
  <c r="EY2" i="66" s="1"/>
  <c r="EV9" i="66" s="1"/>
  <c r="L9" i="66"/>
  <c r="B11" i="66" s="1"/>
  <c r="S6" i="66"/>
  <c r="O2" i="66" s="1"/>
  <c r="AK6" i="66"/>
  <c r="AG2" i="66" s="1"/>
  <c r="BC6" i="66"/>
  <c r="AY2" i="66" s="1"/>
  <c r="BV9" i="66"/>
  <c r="B18" i="66" s="1"/>
  <c r="BU6" i="66"/>
  <c r="CN9" i="66"/>
  <c r="B20" i="66" s="1"/>
  <c r="DX9" i="66"/>
  <c r="FG9" i="66"/>
  <c r="DE6" i="66"/>
  <c r="DF9" i="66" s="1"/>
  <c r="B22" i="66" s="1"/>
  <c r="EO6" i="66"/>
  <c r="EP9" i="66" s="1"/>
  <c r="BD12" i="65"/>
  <c r="BE12" i="65"/>
  <c r="BD13" i="65"/>
  <c r="BE13" i="65"/>
  <c r="BD14" i="65"/>
  <c r="BE14" i="65"/>
  <c r="BD15" i="65"/>
  <c r="BE15" i="65"/>
  <c r="BD16" i="65"/>
  <c r="BE16" i="65"/>
  <c r="BD17" i="65"/>
  <c r="BE17" i="65"/>
  <c r="BD18" i="65"/>
  <c r="BE18" i="65"/>
  <c r="BD19" i="65"/>
  <c r="BE19" i="65"/>
  <c r="BD20" i="65"/>
  <c r="BE20" i="65"/>
  <c r="BD21" i="65"/>
  <c r="BE21" i="65"/>
  <c r="BD22" i="65"/>
  <c r="BE22" i="65"/>
  <c r="BD23" i="65"/>
  <c r="BE23" i="65"/>
  <c r="BD24" i="65"/>
  <c r="BE24" i="65"/>
  <c r="BD25" i="65"/>
  <c r="BE25" i="65"/>
  <c r="BD26" i="65"/>
  <c r="BE26" i="65"/>
  <c r="BD27" i="65"/>
  <c r="BE27" i="65"/>
  <c r="BD28" i="65"/>
  <c r="BE28" i="65"/>
  <c r="BD29" i="65"/>
  <c r="BE29" i="65"/>
  <c r="BD30" i="65"/>
  <c r="BE30" i="65"/>
  <c r="BD31" i="65"/>
  <c r="BE31" i="65"/>
  <c r="BD32" i="65"/>
  <c r="BE32" i="65"/>
  <c r="BD33" i="65"/>
  <c r="BE33" i="65"/>
  <c r="BD34" i="65"/>
  <c r="BE34" i="65"/>
  <c r="BD35" i="65"/>
  <c r="BE35" i="65"/>
  <c r="BD36" i="65"/>
  <c r="BE36" i="65"/>
  <c r="BD37" i="65"/>
  <c r="BE37" i="65"/>
  <c r="BD38" i="65"/>
  <c r="BE38" i="65"/>
  <c r="BD39" i="65"/>
  <c r="BE39" i="65"/>
  <c r="BD40" i="65"/>
  <c r="BE40" i="65"/>
  <c r="BD41" i="65"/>
  <c r="BE41" i="65"/>
  <c r="BD42" i="65"/>
  <c r="BE42" i="65"/>
  <c r="BD43" i="65"/>
  <c r="BE43" i="65"/>
  <c r="BD44" i="65"/>
  <c r="BE44" i="65"/>
  <c r="BD45" i="65"/>
  <c r="BE45" i="65"/>
  <c r="BD46" i="65"/>
  <c r="BE46" i="65"/>
  <c r="BD47" i="65"/>
  <c r="BE47" i="65"/>
  <c r="BD48" i="65"/>
  <c r="BE48" i="65"/>
  <c r="BD49" i="65"/>
  <c r="BE49" i="65"/>
  <c r="BD50" i="65"/>
  <c r="BE50" i="65"/>
  <c r="BD51" i="65"/>
  <c r="BE51" i="65"/>
  <c r="BD52" i="65"/>
  <c r="BE52" i="65"/>
  <c r="BD53" i="65"/>
  <c r="BE53" i="65"/>
  <c r="BD54" i="65"/>
  <c r="BE54" i="65"/>
  <c r="BD55" i="65"/>
  <c r="BE55" i="65"/>
  <c r="BD56" i="65"/>
  <c r="BE56" i="65"/>
  <c r="BD57" i="65"/>
  <c r="BE57" i="65"/>
  <c r="BD58" i="65"/>
  <c r="BE58" i="65"/>
  <c r="BD59" i="65"/>
  <c r="BE59" i="65"/>
  <c r="BD60" i="65"/>
  <c r="BE60" i="65"/>
  <c r="BD61" i="65"/>
  <c r="BE61" i="65"/>
  <c r="BD62" i="65"/>
  <c r="BE62" i="65"/>
  <c r="BD63" i="65"/>
  <c r="BE63" i="65"/>
  <c r="BD64" i="65"/>
  <c r="BE64" i="65"/>
  <c r="BD65" i="65"/>
  <c r="BE65" i="65"/>
  <c r="BD66" i="65"/>
  <c r="BE66" i="65"/>
  <c r="BD67" i="65"/>
  <c r="BE67" i="65"/>
  <c r="BD68" i="65"/>
  <c r="BE68" i="65"/>
  <c r="BD69" i="65"/>
  <c r="BE69" i="65"/>
  <c r="BD70" i="65"/>
  <c r="BE70" i="65"/>
  <c r="BD71" i="65"/>
  <c r="BE71" i="65"/>
  <c r="BD72" i="65"/>
  <c r="BE72" i="65"/>
  <c r="BD73" i="65"/>
  <c r="BE73" i="65"/>
  <c r="BD74" i="65"/>
  <c r="BE74" i="65"/>
  <c r="BD75" i="65"/>
  <c r="BE75" i="65"/>
  <c r="BD76" i="65"/>
  <c r="BE76" i="65"/>
  <c r="BD77" i="65"/>
  <c r="BE77" i="65"/>
  <c r="BD78" i="65"/>
  <c r="BE78" i="65"/>
  <c r="BD79" i="65"/>
  <c r="BE79" i="65"/>
  <c r="BD80" i="65"/>
  <c r="BE80" i="65"/>
  <c r="BD81" i="65"/>
  <c r="BE81" i="65"/>
  <c r="BD82" i="65"/>
  <c r="BE82" i="65"/>
  <c r="BD83" i="65"/>
  <c r="BE83" i="65"/>
  <c r="BD84" i="65"/>
  <c r="BE84" i="65"/>
  <c r="BD85" i="65"/>
  <c r="BE85" i="65"/>
  <c r="BD86" i="65"/>
  <c r="BE86" i="65"/>
  <c r="BD87" i="65"/>
  <c r="BE87" i="65"/>
  <c r="BD88" i="65"/>
  <c r="BE88" i="65"/>
  <c r="BD89" i="65"/>
  <c r="BE89" i="65"/>
  <c r="BD90" i="65"/>
  <c r="BE90" i="65"/>
  <c r="BD91" i="65"/>
  <c r="BE91" i="65"/>
  <c r="BD92" i="65"/>
  <c r="BE92" i="65"/>
  <c r="BD93" i="65"/>
  <c r="BE93" i="65"/>
  <c r="BD94" i="65"/>
  <c r="BE94" i="65"/>
  <c r="BD95" i="65"/>
  <c r="BE95" i="65"/>
  <c r="BD96" i="65"/>
  <c r="BE96" i="65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/>
  <c r="BD138" i="65"/>
  <c r="BE138" i="65"/>
  <c r="BD139" i="65"/>
  <c r="BE139" i="65"/>
  <c r="BD140" i="65"/>
  <c r="BE140" i="65"/>
  <c r="BD141" i="65"/>
  <c r="BE141" i="65"/>
  <c r="BD142" i="65"/>
  <c r="BE142" i="65"/>
  <c r="BD143" i="65"/>
  <c r="BE143" i="65"/>
  <c r="BD144" i="65"/>
  <c r="BE144" i="65"/>
  <c r="BD145" i="65"/>
  <c r="BE145" i="65"/>
  <c r="BD146" i="65"/>
  <c r="BE146" i="65"/>
  <c r="BD147" i="65"/>
  <c r="BE147" i="65"/>
  <c r="BD148" i="65"/>
  <c r="BE148" i="65"/>
  <c r="BD149" i="65"/>
  <c r="BE149" i="65"/>
  <c r="BD150" i="65"/>
  <c r="BE150" i="65"/>
  <c r="BD151" i="65"/>
  <c r="BE151" i="65"/>
  <c r="BD152" i="65"/>
  <c r="BE152" i="65"/>
  <c r="BD153" i="65"/>
  <c r="BE153" i="65"/>
  <c r="BD154" i="65"/>
  <c r="BE154" i="65"/>
  <c r="BD155" i="65"/>
  <c r="BE155" i="65"/>
  <c r="BD156" i="65"/>
  <c r="BE156" i="65"/>
  <c r="BD157" i="65"/>
  <c r="BE157" i="65"/>
  <c r="BD158" i="65"/>
  <c r="BE158" i="65"/>
  <c r="BD159" i="65"/>
  <c r="BE159" i="65"/>
  <c r="BD160" i="65"/>
  <c r="BE160" i="65"/>
  <c r="BD161" i="65"/>
  <c r="BE161" i="65"/>
  <c r="BD162" i="65"/>
  <c r="BE162" i="65"/>
  <c r="BD163" i="65"/>
  <c r="BE163" i="65"/>
  <c r="BD164" i="65"/>
  <c r="BE164" i="65"/>
  <c r="BD165" i="65"/>
  <c r="BE165" i="65"/>
  <c r="BD166" i="65"/>
  <c r="BE166" i="65"/>
  <c r="BD167" i="65"/>
  <c r="BE167" i="65"/>
  <c r="BD168" i="65"/>
  <c r="BE168" i="65"/>
  <c r="BD169" i="65"/>
  <c r="BE169" i="65"/>
  <c r="BD170" i="65"/>
  <c r="BE170" i="65"/>
  <c r="BD171" i="65"/>
  <c r="BE171" i="65"/>
  <c r="BD172" i="65"/>
  <c r="BE172" i="65"/>
  <c r="BD173" i="65"/>
  <c r="BE173" i="65"/>
  <c r="BD174" i="65"/>
  <c r="BE174" i="65"/>
  <c r="BD175" i="65"/>
  <c r="BE175" i="65"/>
  <c r="BD176" i="65"/>
  <c r="BE176" i="65"/>
  <c r="BD177" i="65"/>
  <c r="BE177" i="65"/>
  <c r="BD178" i="65"/>
  <c r="BE178" i="65"/>
  <c r="BD179" i="65"/>
  <c r="BE179" i="65"/>
  <c r="BD180" i="65"/>
  <c r="BE180" i="65"/>
  <c r="BD181" i="65"/>
  <c r="BE181" i="65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/>
  <c r="AV184" i="65"/>
  <c r="AW184" i="65"/>
  <c r="AV185" i="65"/>
  <c r="AW185" i="65" s="1"/>
  <c r="AV186" i="65"/>
  <c r="AW186" i="65" s="1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/>
  <c r="AV355" i="65"/>
  <c r="AW355" i="65"/>
  <c r="AV356" i="65"/>
  <c r="AW356" i="65"/>
  <c r="AV357" i="65"/>
  <c r="AW357" i="65"/>
  <c r="AV358" i="65"/>
  <c r="AW35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 s="1"/>
  <c r="AL166" i="65"/>
  <c r="AM166" i="65"/>
  <c r="AL167" i="65"/>
  <c r="AM167" i="65"/>
  <c r="AL168" i="65"/>
  <c r="AM168" i="65"/>
  <c r="AL169" i="65"/>
  <c r="AM169" i="65"/>
  <c r="AL170" i="65"/>
  <c r="AM170" i="65"/>
  <c r="AL171" i="65"/>
  <c r="AM171" i="65"/>
  <c r="AL172" i="65"/>
  <c r="AM172" i="65"/>
  <c r="AL173" i="65"/>
  <c r="AM173" i="65"/>
  <c r="AL174" i="65"/>
  <c r="AM174" i="65"/>
  <c r="AL175" i="65"/>
  <c r="AM175" i="65"/>
  <c r="AL176" i="65"/>
  <c r="AM176" i="65" s="1"/>
  <c r="AL177" i="65"/>
  <c r="AM177" i="65"/>
  <c r="AL178" i="65"/>
  <c r="AM178" i="65"/>
  <c r="AL179" i="65"/>
  <c r="AM179" i="65"/>
  <c r="AL180" i="65"/>
  <c r="AM180" i="65"/>
  <c r="AL181" i="65"/>
  <c r="AM181" i="65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/>
  <c r="AL267" i="65"/>
  <c r="AM267" i="65"/>
  <c r="AL268" i="65"/>
  <c r="AM268" i="65"/>
  <c r="AL269" i="65"/>
  <c r="AM269" i="65"/>
  <c r="AL270" i="65"/>
  <c r="AM270" i="65"/>
  <c r="AL271" i="65"/>
  <c r="AM271" i="65"/>
  <c r="AL272" i="65"/>
  <c r="AM272" i="65"/>
  <c r="AL273" i="65"/>
  <c r="AM273" i="65"/>
  <c r="AL274" i="65"/>
  <c r="AM274" i="65"/>
  <c r="AL275" i="65"/>
  <c r="AM275" i="65"/>
  <c r="AL276" i="65"/>
  <c r="AM276" i="65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 s="1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/>
  <c r="AD268" i="65"/>
  <c r="AE268" i="65"/>
  <c r="AD269" i="65"/>
  <c r="AE269" i="65"/>
  <c r="AD270" i="65"/>
  <c r="AE270" i="65"/>
  <c r="AD271" i="65"/>
  <c r="AE271" i="65"/>
  <c r="AD272" i="65"/>
  <c r="AE272" i="65"/>
  <c r="AD273" i="65"/>
  <c r="AE273" i="65"/>
  <c r="AD274" i="65"/>
  <c r="AE274" i="65"/>
  <c r="AD275" i="65"/>
  <c r="AE275" i="65"/>
  <c r="AD276" i="65"/>
  <c r="AE276" i="65"/>
  <c r="AD277" i="65"/>
  <c r="AE277" i="65"/>
  <c r="AD278" i="65"/>
  <c r="AE278" i="65"/>
  <c r="AD279" i="65"/>
  <c r="AE279" i="65"/>
  <c r="AD280" i="65"/>
  <c r="AE280" i="65"/>
  <c r="AD281" i="65"/>
  <c r="AE281" i="65"/>
  <c r="AD282" i="65"/>
  <c r="AE282" i="65"/>
  <c r="AD283" i="65"/>
  <c r="AE283" i="65"/>
  <c r="AD284" i="65"/>
  <c r="AE284" i="65"/>
  <c r="AD285" i="65"/>
  <c r="AE285" i="65"/>
  <c r="AD286" i="65"/>
  <c r="AE286" i="65"/>
  <c r="AD287" i="65"/>
  <c r="AE287" i="65" s="1"/>
  <c r="AD288" i="65"/>
  <c r="AE288" i="65"/>
  <c r="AD289" i="65"/>
  <c r="AE289" i="65"/>
  <c r="AD290" i="65"/>
  <c r="AE290" i="65"/>
  <c r="AD291" i="65"/>
  <c r="AE291" i="65"/>
  <c r="AD292" i="65"/>
  <c r="AE292" i="65"/>
  <c r="AD293" i="65"/>
  <c r="AE293" i="65"/>
  <c r="AD294" i="65"/>
  <c r="AE294" i="65"/>
  <c r="AD295" i="65"/>
  <c r="AE295" i="65"/>
  <c r="AD296" i="65"/>
  <c r="AE296" i="65"/>
  <c r="AD297" i="65"/>
  <c r="AE297" i="65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/>
  <c r="T244" i="65"/>
  <c r="U244" i="65"/>
  <c r="T245" i="65"/>
  <c r="U245" i="65"/>
  <c r="T246" i="65"/>
  <c r="U246" i="65"/>
  <c r="T247" i="65"/>
  <c r="U247" i="65"/>
  <c r="T248" i="65"/>
  <c r="U248" i="65"/>
  <c r="T249" i="65"/>
  <c r="U249" i="65"/>
  <c r="T250" i="65"/>
  <c r="U250" i="65"/>
  <c r="T251" i="65"/>
  <c r="U251" i="65"/>
  <c r="T252" i="65"/>
  <c r="U252" i="65"/>
  <c r="T253" i="65"/>
  <c r="U253" i="65"/>
  <c r="T254" i="65"/>
  <c r="U254" i="65"/>
  <c r="T255" i="65"/>
  <c r="U255" i="65"/>
  <c r="T256" i="65"/>
  <c r="U256" i="65"/>
  <c r="T257" i="65"/>
  <c r="U257" i="65"/>
  <c r="T258" i="65"/>
  <c r="U258" i="65"/>
  <c r="T259" i="65"/>
  <c r="U259" i="65"/>
  <c r="T260" i="65"/>
  <c r="U260" i="65"/>
  <c r="T261" i="65"/>
  <c r="U261" i="65"/>
  <c r="T262" i="65"/>
  <c r="U262" i="65"/>
  <c r="T263" i="65"/>
  <c r="U263" i="65"/>
  <c r="T264" i="65"/>
  <c r="U264" i="65"/>
  <c r="T265" i="65"/>
  <c r="U265" i="65"/>
  <c r="T266" i="65"/>
  <c r="U266" i="65"/>
  <c r="T267" i="65"/>
  <c r="U267" i="65" s="1"/>
  <c r="T268" i="65"/>
  <c r="U268" i="65"/>
  <c r="T269" i="65"/>
  <c r="U269" i="65"/>
  <c r="T270" i="65"/>
  <c r="U270" i="65"/>
  <c r="T271" i="65"/>
  <c r="U271" i="65"/>
  <c r="T272" i="65"/>
  <c r="U272" i="65"/>
  <c r="T273" i="65"/>
  <c r="U273" i="65"/>
  <c r="T274" i="65"/>
  <c r="U274" i="65"/>
  <c r="T275" i="65"/>
  <c r="U275" i="65"/>
  <c r="T276" i="65"/>
  <c r="U276" i="65"/>
  <c r="T277" i="65"/>
  <c r="U277" i="65" s="1"/>
  <c r="T278" i="65"/>
  <c r="U278" i="65"/>
  <c r="T279" i="65"/>
  <c r="U279" i="65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/>
  <c r="L248" i="65"/>
  <c r="M248" i="65"/>
  <c r="L249" i="65"/>
  <c r="M249" i="65"/>
  <c r="L250" i="65"/>
  <c r="M250" i="65"/>
  <c r="L251" i="65"/>
  <c r="M251" i="65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BE7" i="66" l="1"/>
  <c r="BE5" i="66"/>
  <c r="BE3" i="66"/>
  <c r="BA6" i="66"/>
  <c r="A16" i="66" s="1"/>
  <c r="AS6" i="66"/>
  <c r="AW7" i="66"/>
  <c r="AW5" i="66"/>
  <c r="AV9" i="66"/>
  <c r="B15" i="66" s="1"/>
  <c r="AM7" i="66"/>
  <c r="AM5" i="66"/>
  <c r="AM3" i="66"/>
  <c r="AL9" i="66"/>
  <c r="B14" i="66" s="1"/>
  <c r="U7" i="66"/>
  <c r="U5" i="66"/>
  <c r="U3" i="66"/>
  <c r="Q6" i="66"/>
  <c r="A12" i="66" s="1"/>
  <c r="M7" i="66"/>
  <c r="M3" i="66"/>
  <c r="M5" i="66"/>
  <c r="A19" i="66"/>
  <c r="CF4" i="66"/>
  <c r="CF2" i="66" s="1"/>
  <c r="A11" i="66"/>
  <c r="L4" i="66"/>
  <c r="EP4" i="66"/>
  <c r="EP2" i="66" s="1"/>
  <c r="A15" i="66"/>
  <c r="AV4" i="66"/>
  <c r="BD9" i="66"/>
  <c r="T9" i="66"/>
  <c r="AQ4" i="66"/>
  <c r="G4" i="66"/>
  <c r="CX4" i="66"/>
  <c r="BN4" i="66"/>
  <c r="AD4" i="66"/>
  <c r="DF4" i="66"/>
  <c r="BV4" i="66"/>
  <c r="AL4" i="66"/>
  <c r="C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C20" i="66" l="1"/>
  <c r="CN2" i="66"/>
  <c r="D20" i="66" s="1"/>
  <c r="C18" i="66"/>
  <c r="BV2" i="66"/>
  <c r="D18" i="66" s="1"/>
  <c r="C13" i="66"/>
  <c r="AD2" i="66"/>
  <c r="C21" i="66"/>
  <c r="CX2" i="66"/>
  <c r="B16" i="66"/>
  <c r="BD4" i="66"/>
  <c r="C11" i="66"/>
  <c r="L2" i="66"/>
  <c r="D19" i="66"/>
  <c r="CC9" i="66"/>
  <c r="E19" i="66" s="1"/>
  <c r="C14" i="66"/>
  <c r="AL2" i="66"/>
  <c r="D14" i="66" s="1"/>
  <c r="C22" i="66"/>
  <c r="DF2" i="66"/>
  <c r="D22" i="66" s="1"/>
  <c r="C17" i="66"/>
  <c r="C19" i="66"/>
  <c r="BN2" i="66"/>
  <c r="B12" i="66"/>
  <c r="T4" i="66"/>
  <c r="C15" i="66"/>
  <c r="AV2" i="66"/>
  <c r="AS4" i="65"/>
  <c r="AU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 s="1"/>
  <c r="DE3" i="65"/>
  <c r="DA4" i="65" s="1"/>
  <c r="BM3" i="65"/>
  <c r="BI4" i="65" s="1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H4" i="63"/>
  <c r="L4" i="63"/>
  <c r="C4" i="63"/>
  <c r="I4" i="63"/>
  <c r="B4" i="63"/>
  <c r="D4" i="63"/>
  <c r="A3" i="63" a="1"/>
  <c r="D15" i="66" l="1"/>
  <c r="C12" i="66"/>
  <c r="T2" i="66"/>
  <c r="D12" i="66" s="1"/>
  <c r="D11" i="66"/>
  <c r="I9" i="66"/>
  <c r="E11" i="66" s="1"/>
  <c r="C16" i="66"/>
  <c r="BD2" i="66"/>
  <c r="D16" i="66" s="1"/>
  <c r="D21" i="66"/>
  <c r="CU9" i="66"/>
  <c r="E21" i="66" s="1"/>
  <c r="D13" i="66"/>
  <c r="AA9" i="66"/>
  <c r="E13" i="66" s="1"/>
  <c r="D17" i="66"/>
  <c r="BK9" i="66"/>
  <c r="E17" i="66" s="1"/>
  <c r="AI6" i="65"/>
  <c r="A14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BA6" i="65"/>
  <c r="A16" i="65" s="1"/>
  <c r="T4" i="65"/>
  <c r="CI4" i="65"/>
  <c r="O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A2" i="63" a="1"/>
  <c r="L9" i="64" l="1"/>
  <c r="B11" i="64" s="1"/>
  <c r="DM6" i="64"/>
  <c r="O4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AV4" i="64"/>
  <c r="AV2" i="64" s="1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BD4" i="64"/>
  <c r="BD2" i="64" s="1"/>
  <c r="D16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16" i="64"/>
  <c r="C22" i="64"/>
  <c r="AS9" i="64" l="1"/>
  <c r="E15" i="64" s="1"/>
  <c r="D15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2" i="63"/>
  <c r="J3" i="63"/>
  <c r="E2" i="63"/>
  <c r="B2" i="63"/>
  <c r="C2" i="63"/>
  <c r="G3" i="63"/>
  <c r="H3" i="63"/>
  <c r="G2" i="63"/>
  <c r="B3" i="63"/>
  <c r="L3" i="63"/>
  <c r="D2" i="63"/>
  <c r="L2" i="63"/>
  <c r="I3" i="63"/>
  <c r="H2" i="63"/>
  <c r="I2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<sst xmlns="http://schemas.openxmlformats.org/spreadsheetml/2006/main" count="1240" uniqueCount="46">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</sst>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T1" workbookViewId="0">
      <selection activeCell="BD11" sqref="BD11:BE35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26.794627860000002</v>
      </c>
      <c r="M2" s="8" t="s">
        <v>14</v>
      </c>
      <c r="N2" s="9"/>
      <c r="O2" s="2">
        <f>ABS(S7-S6)/ABS(T7-T6)*1000</f>
        <v>1581.9929032258674</v>
      </c>
      <c r="P2" s="2"/>
      <c r="Q2" s="6" t="s">
        <v>15</v>
      </c>
      <c r="R2" s="2"/>
      <c r="S2" s="7" t="s">
        <v>13</v>
      </c>
      <c r="T2" s="3">
        <f>T4*Q6*T9/100*100</f>
        <v>26.719384743999996</v>
      </c>
      <c r="U2" s="8" t="s">
        <v>14</v>
      </c>
      <c r="X2" s="9"/>
      <c r="Y2" s="2">
        <f>ABS(AC7-AC6)/ABS(AD7-AD6)*1000</f>
        <v>851.99180327819306</v>
      </c>
      <c r="Z2" s="2"/>
      <c r="AA2" s="6" t="s">
        <v>12</v>
      </c>
      <c r="AB2" s="2"/>
      <c r="AC2" s="7" t="s">
        <v>13</v>
      </c>
      <c r="AD2" s="3">
        <f>AD4*AA6*AD9/100*100</f>
        <v>27.041066744999998</v>
      </c>
      <c r="AE2" s="8" t="s">
        <v>14</v>
      </c>
      <c r="AF2" s="9"/>
      <c r="AG2" s="2">
        <f>ABS(AK7-AK6)/ABS(AL7-AL6)*1000</f>
        <v>1611.524516130941</v>
      </c>
      <c r="AH2" s="2"/>
      <c r="AI2" s="6" t="s">
        <v>15</v>
      </c>
      <c r="AJ2" s="2"/>
      <c r="AK2" s="7" t="s">
        <v>13</v>
      </c>
      <c r="AL2" s="3">
        <f>AL4*AI6*AL9/100*100</f>
        <v>26.809866664999994</v>
      </c>
      <c r="AM2" s="8" t="s">
        <v>14</v>
      </c>
      <c r="AP2" s="9"/>
      <c r="AQ2" s="2">
        <f>ABS(AU7-AU6)/ABS(AV7-AV6)*1000</f>
        <v>1702.8833333332689</v>
      </c>
      <c r="AR2" s="2"/>
      <c r="AS2" s="6" t="s">
        <v>12</v>
      </c>
      <c r="AT2" s="2"/>
      <c r="AU2" s="7" t="s">
        <v>13</v>
      </c>
      <c r="AV2" s="3">
        <f>AV4*AS6*AV9/100*100</f>
        <v>26.857853802000005</v>
      </c>
      <c r="AW2" s="8" t="s">
        <v>14</v>
      </c>
      <c r="AX2" s="9"/>
      <c r="AY2" s="2">
        <f>ABS(BC7-BC6)/ABS(BD7-BD6)*1000</f>
        <v>1511.1138709678</v>
      </c>
      <c r="AZ2" s="2"/>
      <c r="BA2" s="6" t="s">
        <v>15</v>
      </c>
      <c r="BB2" s="2"/>
      <c r="BC2" s="7" t="s">
        <v>13</v>
      </c>
      <c r="BD2" s="3">
        <f>BD4*BA6*BD9/100*100</f>
        <v>26.71782868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1.6293299999999999</v>
      </c>
      <c r="J3" s="2"/>
      <c r="K3" s="10">
        <f>INDEX(L11:L1056,MATCH(I3,K11:K1056,0))</f>
        <v>-1.87927</v>
      </c>
      <c r="L3" s="31" t="s">
        <v>16</v>
      </c>
      <c r="M3" s="11">
        <f>M9</f>
        <v>26.794627860000002</v>
      </c>
      <c r="N3" s="9"/>
      <c r="O3" s="2" t="s">
        <v>44</v>
      </c>
      <c r="P3" s="2"/>
      <c r="Q3" s="2">
        <f>INDEX(S11:S1056,MATCH(0,T11:T1056,-1))</f>
        <v>1.6162099999999999</v>
      </c>
      <c r="R3" s="2"/>
      <c r="S3" s="10">
        <f>INDEX(T11:T1056,MATCH(Q3,S11:S1056,0))</f>
        <v>4.9035600000000006</v>
      </c>
      <c r="T3" s="31" t="s">
        <v>16</v>
      </c>
      <c r="U3" s="11">
        <f>U9</f>
        <v>26.719384744000003</v>
      </c>
      <c r="X3" s="9"/>
      <c r="Y3" s="2" t="s">
        <v>44</v>
      </c>
      <c r="Z3" s="2"/>
      <c r="AA3" s="2">
        <f>INDEX(AC11:AC856,MATCH(0,AD11:AD856,1))</f>
        <v>1.63544</v>
      </c>
      <c r="AB3" s="2"/>
      <c r="AC3" s="10">
        <f>INDEX(AD11:AD1056,MATCH(AA3,AC11:AC1056,0))</f>
        <v>-4.2761199999999997</v>
      </c>
      <c r="AD3" s="31" t="s">
        <v>16</v>
      </c>
      <c r="AE3" s="11">
        <f>AE9</f>
        <v>27.041066744999995</v>
      </c>
      <c r="AF3" s="9"/>
      <c r="AG3" s="2" t="s">
        <v>44</v>
      </c>
      <c r="AH3" s="2"/>
      <c r="AI3" s="2">
        <f>INDEX(AK11:AK1056,MATCH(0,AL11:AL1056,-1))</f>
        <v>1.61652</v>
      </c>
      <c r="AJ3" s="2"/>
      <c r="AK3" s="10">
        <f>INDEX(AL11:AL1056,MATCH(AI3,AK11:AK1056,0))</f>
        <v>5.8197000000000001</v>
      </c>
      <c r="AL3" s="31" t="s">
        <v>16</v>
      </c>
      <c r="AM3" s="11">
        <f>AM9</f>
        <v>26.809866664999998</v>
      </c>
      <c r="AP3" s="9"/>
      <c r="AQ3" s="2" t="s">
        <v>44</v>
      </c>
      <c r="AR3" s="2"/>
      <c r="AS3" s="2">
        <f>INDEX(AU11:AU856,MATCH(0,AV11:AV856,1))</f>
        <v>1.6244499999999999</v>
      </c>
      <c r="AT3" s="2"/>
      <c r="AU3" s="10">
        <f>INDEX(AV11:AV1056,MATCH(AS3,AU11:AU1056,0))</f>
        <v>-4.1592399999999996</v>
      </c>
      <c r="AV3" s="31" t="s">
        <v>16</v>
      </c>
      <c r="AW3" s="11">
        <f>AW9</f>
        <v>26.857853802000001</v>
      </c>
      <c r="AX3" s="9"/>
      <c r="AY3" s="2" t="s">
        <v>44</v>
      </c>
      <c r="AZ3" s="2"/>
      <c r="BA3" s="2">
        <f>INDEX(BC11:BC1056,MATCH(0,BD11:BD1056,-1))</f>
        <v>1.6107199999999999</v>
      </c>
      <c r="BB3" s="2"/>
      <c r="BC3" s="10">
        <f>INDEX(BD11:BD1056,MATCH(BA3,BC11:BC1056,0))</f>
        <v>4.0087900000000003</v>
      </c>
      <c r="BD3" s="31" t="s">
        <v>16</v>
      </c>
      <c r="BE3" s="11">
        <f>BE9</f>
        <v>26.71782868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0.60507019062190748</v>
      </c>
      <c r="H4" s="2"/>
      <c r="I4" s="2">
        <f>INDEX(K11:K1000,1+MATCH(0,L11:L856,1))</f>
        <v>1.6244499999999999</v>
      </c>
      <c r="J4" s="2"/>
      <c r="K4" s="10">
        <f>INDEX(L11:L1056,MATCH(I4,K11:K1056,0))</f>
        <v>6.1859099999999998</v>
      </c>
      <c r="L4" s="30">
        <f>M3/(I6*L9)</f>
        <v>0.83891105996921189</v>
      </c>
      <c r="M4" s="8" t="s">
        <v>17</v>
      </c>
      <c r="N4" s="9"/>
      <c r="O4" s="2">
        <f>ABS(Q3-Q4)/ABS(S3-S4)*1000</f>
        <v>0.56863959302983624</v>
      </c>
      <c r="P4" s="2"/>
      <c r="Q4" s="2">
        <f>INDEX(S11:S856,1+MATCH(0,T11:T856,-1))</f>
        <v>1.6204799999999999</v>
      </c>
      <c r="R4" s="2"/>
      <c r="S4" s="10">
        <f>INDEX(T11:T856,MATCH(Q4,S11:S856,0))</f>
        <v>-2.6055900000000003</v>
      </c>
      <c r="T4" s="30">
        <f>U3/(Q6*T9)</f>
        <v>0.84050765433512731</v>
      </c>
      <c r="U4" s="8" t="s">
        <v>17</v>
      </c>
      <c r="X4" s="9"/>
      <c r="Y4" s="2">
        <f>ABS(AA3-AA4)/ABS(AC3-AC4)*1000</f>
        <v>0.6385808531440228</v>
      </c>
      <c r="Z4" s="2"/>
      <c r="AA4" s="2">
        <f>INDEX(AC11:AC1000,1+MATCH(0,AD11:AD856,1))</f>
        <v>1.62964</v>
      </c>
      <c r="AB4" s="2"/>
      <c r="AC4" s="10">
        <f>INDEX(AD11:AD1056,MATCH(AA4,AC11:AC1056,0))</f>
        <v>4.8065199999999999</v>
      </c>
      <c r="AD4" s="30">
        <f>AE3/(AA6*AD9)</f>
        <v>0.83682680893526062</v>
      </c>
      <c r="AE4" s="8" t="s">
        <v>17</v>
      </c>
      <c r="AF4" s="9"/>
      <c r="AG4" s="2">
        <f>ABS(AI3-AI4)/ABS(AK3-AK4)*1000</f>
        <v>0.60821272346832178</v>
      </c>
      <c r="AH4" s="2"/>
      <c r="AI4" s="2">
        <f>INDEX(AK11:AK856,1+MATCH(0,AL11:AL856,-1))</f>
        <v>1.62079</v>
      </c>
      <c r="AJ4" s="2"/>
      <c r="AK4" s="10">
        <f>INDEX(AL11:AL856,MATCH(AI4,AK11:AK856,0))</f>
        <v>-1.2008699999999999</v>
      </c>
      <c r="AL4" s="30">
        <f>AM3/(AI6*AL9)</f>
        <v>0.83694897074899632</v>
      </c>
      <c r="AM4" s="8" t="s">
        <v>17</v>
      </c>
      <c r="AP4" s="9"/>
      <c r="AQ4" s="2">
        <f>ABS(AS3-AS4)/ABS(AU3-AU4)*1000</f>
        <v>0.4728760721385179</v>
      </c>
      <c r="AR4" s="2"/>
      <c r="AS4" s="2">
        <f>INDEX(AU11:AU1000,1+MATCH(0,AV11:AV856,1))</f>
        <v>1.62018</v>
      </c>
      <c r="AT4" s="2"/>
      <c r="AU4" s="10">
        <f>INDEX(AV11:AV1056,MATCH(AS4,AU11:AU1056,0))</f>
        <v>4.8706100000000001</v>
      </c>
      <c r="AV4" s="30">
        <f>AW3/(AS6*AV9)</f>
        <v>0.83673916115296887</v>
      </c>
      <c r="AW4" s="8" t="s">
        <v>17</v>
      </c>
      <c r="AX4" s="9"/>
      <c r="AY4" s="2">
        <f>ABS(BA3-BA4)/ABS(BC3-BC4)*1000</f>
        <v>0.43689300520997426</v>
      </c>
      <c r="AZ4" s="2"/>
      <c r="BA4" s="2">
        <f>INDEX(BC11:BC856,1+MATCH(0,BD11:BD856,-1))</f>
        <v>1.6149899999999999</v>
      </c>
      <c r="BB4" s="2"/>
      <c r="BC4" s="10">
        <f>INDEX(BD11:BD856,MATCH(BA4,BC11:BC856,0))</f>
        <v>-5.7647699999999995</v>
      </c>
      <c r="BD4" s="30">
        <f>BE3/(BA6*BD9)</f>
        <v>0.83826158086141922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17.581200000000003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17.678800000000003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17.742899999999999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17.797899999999998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17.739899999999999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17.736799999999999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1.62819290974287</v>
      </c>
      <c r="J6" s="30"/>
      <c r="K6" s="13">
        <f>INDEX(K11:K1056,MATCH(L6,L11:L1056,0))</f>
        <v>3.1646700000000001E-3</v>
      </c>
      <c r="L6" s="10">
        <f>INDEX(L11:L1056,MATCH(0,K11:K1056,-1))</f>
        <v>19.616700000000002</v>
      </c>
      <c r="M6" s="8" t="s">
        <v>22</v>
      </c>
      <c r="N6" s="9"/>
      <c r="O6" s="2"/>
      <c r="P6" s="2"/>
      <c r="Q6" s="34">
        <f>(Q3-Q4)/(S3-S4)*(-S4)+Q4</f>
        <v>1.6189983583627974</v>
      </c>
      <c r="R6" s="34"/>
      <c r="S6" s="13">
        <f>INDEX(S11:S1056,MATCH(T6,T11:T1056,0))</f>
        <v>-4.3701199999999999E-3</v>
      </c>
      <c r="T6" s="10">
        <f>INDEX(T11:T1056,MATCH(0,S11:S1056,1))</f>
        <v>19.638099999999998</v>
      </c>
      <c r="U6" s="8" t="s">
        <v>22</v>
      </c>
      <c r="X6" s="9"/>
      <c r="Y6" s="2"/>
      <c r="Z6" s="2"/>
      <c r="AA6" s="30">
        <f>(AA3-AA4)/(AC3-AC4)*(-AC4)+AA4</f>
        <v>1.6327093516422537</v>
      </c>
      <c r="AB6" s="30"/>
      <c r="AC6" s="13">
        <f>INDEX(AC11:AC1056,MATCH(AD6,AD11:AD1056,0))</f>
        <v>3.3477799999999999E-3</v>
      </c>
      <c r="AD6" s="10">
        <f>INDEX(AD11:AD1056,MATCH(0,AC11:AC1056,-1))</f>
        <v>19.787599999999998</v>
      </c>
      <c r="AE6" s="8" t="s">
        <v>22</v>
      </c>
      <c r="AF6" s="9"/>
      <c r="AG6" s="2"/>
      <c r="AH6" s="2"/>
      <c r="AI6" s="34">
        <f>(AI3-AI4)/(AK3-AK4)*(-AK4)+AI4</f>
        <v>1.6200596155867686</v>
      </c>
      <c r="AJ6" s="34"/>
      <c r="AK6" s="13">
        <f>INDEX(AK11:AK1056,MATCH(AL6,AL11:AL1056,0))</f>
        <v>-4.4464099999999996E-3</v>
      </c>
      <c r="AL6" s="10">
        <f>INDEX(AL11:AL1056,MATCH(0,AK11:AK1056,1))</f>
        <v>19.775399999999998</v>
      </c>
      <c r="AM6" s="8" t="s">
        <v>22</v>
      </c>
      <c r="AP6" s="9"/>
      <c r="AQ6" s="2"/>
      <c r="AR6" s="2"/>
      <c r="AS6" s="30">
        <f>(AS3-AS4)/(AU3-AU4)*(-AU4)+AS4</f>
        <v>1.6224831949257186</v>
      </c>
      <c r="AT6" s="30"/>
      <c r="AU6" s="13">
        <f>INDEX(AU11:AU1056,MATCH(AV6,AV11:AV1056,0))</f>
        <v>3.2409700000000001E-3</v>
      </c>
      <c r="AV6" s="10">
        <f>INDEX(AV11:AV1056,MATCH(0,AU11:AU1056,-1))</f>
        <v>19.781500000000001</v>
      </c>
      <c r="AW6" s="8" t="s">
        <v>22</v>
      </c>
      <c r="AX6" s="9"/>
      <c r="AY6" s="2"/>
      <c r="AZ6" s="2"/>
      <c r="BA6" s="34">
        <f>(BA3-BA4)/(BC3-BC4)*(-BC4)+BA4</f>
        <v>1.6124714123103556</v>
      </c>
      <c r="BB6" s="34"/>
      <c r="BC6" s="13">
        <f>INDEX(BC11:BC1056,MATCH(BD6,BD11:BD1056,0))</f>
        <v>-4.2449999999999996E-3</v>
      </c>
      <c r="BD6" s="10">
        <f>INDEX(BD11:BD1056,MATCH(0,BC11:BC1056,1))</f>
        <v>19.769300000000001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-1.87378E-3</v>
      </c>
      <c r="L7" s="10">
        <f>INDEX(L11:L856,1+MATCH(0,K11:K856,-1))</f>
        <v>19.616700000000002</v>
      </c>
      <c r="M7" s="12">
        <f>INDEX(K11:K1056,MATCH(M9,M11:M1056,0))</f>
        <v>1.5231300000000001</v>
      </c>
      <c r="N7" s="9"/>
      <c r="O7" s="2"/>
      <c r="P7" s="2"/>
      <c r="Q7" s="2"/>
      <c r="R7" s="2"/>
      <c r="S7" s="13">
        <f>INDEX(S11:S1056,MATCH(T7,T11:T1056,0))</f>
        <v>5.3405800000000002E-4</v>
      </c>
      <c r="T7" s="10">
        <f>INDEX(T11:T1056,1+MATCH(0,S11:S1056,1))</f>
        <v>19.634999999999998</v>
      </c>
      <c r="U7" s="12">
        <f>INDEX(S11:S1056,MATCH(U9,U11:U1056,0))</f>
        <v>1.5100100000000001</v>
      </c>
      <c r="X7" s="9"/>
      <c r="Y7" s="2"/>
      <c r="Z7" s="2"/>
      <c r="AA7" s="2"/>
      <c r="AB7" s="2"/>
      <c r="AC7" s="13">
        <f>INDEX(AC11:AC856,MATCH(AD7,AD11:AD856,1))</f>
        <v>-1.8493699999999999E-3</v>
      </c>
      <c r="AD7" s="10">
        <f>INDEX(AD11:AD856,1+MATCH(0,AC11:AC856,-1))</f>
        <v>19.793700000000001</v>
      </c>
      <c r="AE7" s="12">
        <f>INDEX(AC11:AC1056,MATCH(AE9,AE11:AE1056,0))</f>
        <v>1.5231300000000001</v>
      </c>
      <c r="AF7" s="9"/>
      <c r="AG7" s="2"/>
      <c r="AH7" s="2"/>
      <c r="AI7" s="2"/>
      <c r="AJ7" s="2"/>
      <c r="AK7" s="13">
        <f>INDEX(AK11:AK1056,MATCH(AL7,AL11:AL1056,0))</f>
        <v>5.49316E-4</v>
      </c>
      <c r="AL7" s="10">
        <f>INDEX(AL11:AL1056,1+MATCH(0,AK11:AK1056,1))</f>
        <v>19.772300000000001</v>
      </c>
      <c r="AM7" s="12">
        <f>INDEX(AK11:AK1056,MATCH(AM9,AM11:AM1056,0))</f>
        <v>1.5057400000000001</v>
      </c>
      <c r="AP7" s="9"/>
      <c r="AQ7" s="2"/>
      <c r="AR7" s="2"/>
      <c r="AS7" s="2"/>
      <c r="AT7" s="2"/>
      <c r="AU7" s="13">
        <f>INDEX(AU11:AU856,MATCH(AV7,AV11:AV856,1))</f>
        <v>-1.86768E-3</v>
      </c>
      <c r="AV7" s="10">
        <f>INDEX(AV11:AV856,1+MATCH(0,AU11:AU856,-1))</f>
        <v>19.784500000000001</v>
      </c>
      <c r="AW7" s="12">
        <f>INDEX(AU11:AU1056,MATCH(AW9,AW11:AW1056,0))</f>
        <v>1.5130600000000001</v>
      </c>
      <c r="AX7" s="9"/>
      <c r="AY7" s="2"/>
      <c r="AZ7" s="2"/>
      <c r="BA7" s="2"/>
      <c r="BB7" s="2"/>
      <c r="BC7" s="13">
        <f>INDEX(BC11:BC1056,MATCH(BD7,BD11:BD1056,0))</f>
        <v>4.3945300000000002E-4</v>
      </c>
      <c r="BD7" s="10">
        <f>INDEX(BD11:BD1056,1+MATCH(0,BC11:BC1056,1))</f>
        <v>19.766200000000001</v>
      </c>
      <c r="BE7" s="12">
        <f>INDEX(BC11:BC1056,MATCH(BE9,BE11:BE1056,0))</f>
        <v>1.50543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0.28081418556415966</v>
      </c>
      <c r="J9" s="2"/>
      <c r="K9" s="2"/>
      <c r="L9" s="3">
        <f>(L6-L7)/(K6-K7)*(-K7)+L7</f>
        <v>19.616700000000002</v>
      </c>
      <c r="M9" s="16">
        <f>MAX(M11:M1056)</f>
        <v>26.794627860000002</v>
      </c>
      <c r="N9" s="9"/>
      <c r="O9" s="2"/>
      <c r="P9" s="2"/>
      <c r="Q9" s="2"/>
      <c r="R9" s="2"/>
      <c r="S9" s="2"/>
      <c r="T9" s="3">
        <f>(T6-T7)/(S6-S7)*(-S7)+T7</f>
        <v>19.635337585585187</v>
      </c>
      <c r="U9" s="16">
        <f>MAX(U11:U1056)</f>
        <v>26.719384744000003</v>
      </c>
      <c r="X9" s="9"/>
      <c r="Y9" s="2"/>
      <c r="Z9" s="2"/>
      <c r="AA9" s="15">
        <f>(MAX(AD2,AL2)-MIN(AD2,AL2))/MAX(AD2,AL2)%</f>
        <v>0.85499615152110842</v>
      </c>
      <c r="AB9" s="2"/>
      <c r="AC9" s="2"/>
      <c r="AD9" s="3">
        <f>(AD6-AD7)/(AC6-AC7)*(-AC7)+AD7</f>
        <v>19.791529357051459</v>
      </c>
      <c r="AE9" s="16">
        <f>MAX(AE11:AE1056)</f>
        <v>27.041066744999995</v>
      </c>
      <c r="AF9" s="9"/>
      <c r="AG9" s="2"/>
      <c r="AH9" s="2"/>
      <c r="AI9" s="2"/>
      <c r="AJ9" s="2"/>
      <c r="AK9" s="2"/>
      <c r="AL9" s="3">
        <f>(AL6-AL7)/(AK6-AK7)*(-AK7)+AL7</f>
        <v>19.772640867293362</v>
      </c>
      <c r="AM9" s="16">
        <f>MAX(AM11:AM1056)</f>
        <v>26.809866664999998</v>
      </c>
      <c r="AP9" s="9"/>
      <c r="AQ9" s="2"/>
      <c r="AR9" s="2"/>
      <c r="AS9" s="15">
        <f>(MAX(AV2,BD2)-MIN(AV2,BD2))/MAX(AV2,BD2)%</f>
        <v>0.52135633409984994</v>
      </c>
      <c r="AT9" s="2"/>
      <c r="AU9" s="2"/>
      <c r="AV9" s="3">
        <f>(AV6-AV7)/(AU6-AU7)*(-AU7)+AV7</f>
        <v>19.783403224922438</v>
      </c>
      <c r="AW9" s="16">
        <f>MAX(AW11:AW1056)</f>
        <v>26.857853802000001</v>
      </c>
      <c r="AX9" s="9"/>
      <c r="AY9" s="2"/>
      <c r="AZ9" s="2"/>
      <c r="BA9" s="2"/>
      <c r="BB9" s="2"/>
      <c r="BC9" s="2"/>
      <c r="BD9" s="3">
        <f>(BD6-BD7)/(BC6-BC7)*(-BC7)+BD7</f>
        <v>19.76649081395416</v>
      </c>
      <c r="BE9" s="16">
        <f>MAX(BE11:BE1056)</f>
        <v>26.71782868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1.62819290974287</v>
      </c>
      <c r="B11" s="19">
        <f>IFERROR(L9,0)</f>
        <v>19.616700000000002</v>
      </c>
      <c r="C11" s="20">
        <f>IFERROR(L4,0)</f>
        <v>0.83891105996921189</v>
      </c>
      <c r="D11" s="21">
        <f>IFERROR(L2,0)</f>
        <v>26.794627860000002</v>
      </c>
      <c r="E11" s="21">
        <f>IFERROR(I9,0)</f>
        <v>0.28081418556415966</v>
      </c>
      <c r="F11" s="9"/>
      <c r="G11" s="22">
        <v>1.6449</v>
      </c>
      <c r="H11" s="22">
        <v>34.143900000000002</v>
      </c>
      <c r="I11" s="22">
        <v>3.49152E-2</v>
      </c>
      <c r="J11" s="22">
        <v>1</v>
      </c>
      <c r="K11" s="22">
        <v>1.64429</v>
      </c>
      <c r="L11">
        <f>-I11/$F$2*1000</f>
        <v>-34.915199999999999</v>
      </c>
      <c r="M11">
        <f>L11*G11</f>
        <v>-57.432012479999997</v>
      </c>
      <c r="N11" s="9"/>
      <c r="O11" s="22">
        <v>-9.49097E-2</v>
      </c>
      <c r="P11" s="22">
        <v>68.197100000000006</v>
      </c>
      <c r="Q11" s="22">
        <v>-1.9711300000000001E-2</v>
      </c>
      <c r="R11" s="22">
        <v>1</v>
      </c>
      <c r="S11" s="22">
        <v>-9.4940200000000002E-2</v>
      </c>
      <c r="T11">
        <f>-Q11/$F$2*1000</f>
        <v>19.711300000000001</v>
      </c>
      <c r="U11">
        <f>T11*O11</f>
        <v>-1.8707935696100002</v>
      </c>
      <c r="V11" s="23"/>
      <c r="W11" s="24"/>
      <c r="X11" s="9"/>
      <c r="Y11" s="22">
        <v>1.6449</v>
      </c>
      <c r="Z11" s="22">
        <v>102.22</v>
      </c>
      <c r="AA11" s="22">
        <v>2.70081E-2</v>
      </c>
      <c r="AB11" s="22">
        <v>1</v>
      </c>
      <c r="AC11" s="22">
        <v>1.64429</v>
      </c>
      <c r="AD11">
        <f>-AA11/$F$2*1000</f>
        <v>-27.008099999999999</v>
      </c>
      <c r="AE11">
        <f>AD11*Y11</f>
        <v>-44.425623690000002</v>
      </c>
      <c r="AF11" s="9"/>
      <c r="AG11" s="22">
        <v>-9.49097E-2</v>
      </c>
      <c r="AH11" s="22">
        <v>136.226</v>
      </c>
      <c r="AI11" s="22">
        <v>-1.9860800000000001E-2</v>
      </c>
      <c r="AJ11" s="22">
        <v>1</v>
      </c>
      <c r="AK11" s="22">
        <v>-9.5489500000000005E-2</v>
      </c>
      <c r="AL11">
        <f>-AI11/$F$2*1000</f>
        <v>19.860800000000001</v>
      </c>
      <c r="AM11">
        <f>AL11*AG11</f>
        <v>-1.88498256976</v>
      </c>
      <c r="AP11" s="9"/>
      <c r="AQ11" s="22">
        <v>1.6449</v>
      </c>
      <c r="AR11" s="22">
        <v>170.285</v>
      </c>
      <c r="AS11" s="22">
        <v>5.0994900000000003E-2</v>
      </c>
      <c r="AT11" s="22">
        <v>1</v>
      </c>
      <c r="AU11" s="22">
        <v>1.64429</v>
      </c>
      <c r="AV11">
        <f>-AS11/$F$2*1000</f>
        <v>-50.994900000000001</v>
      </c>
      <c r="AW11">
        <f>AV11*AQ11</f>
        <v>-83.881511009999997</v>
      </c>
      <c r="AX11" s="9"/>
      <c r="AY11" s="22">
        <v>-9.49097E-2</v>
      </c>
      <c r="AZ11" s="22">
        <v>204.31100000000001</v>
      </c>
      <c r="BA11" s="22">
        <v>-1.9860800000000001E-2</v>
      </c>
      <c r="BB11" s="22">
        <v>1</v>
      </c>
      <c r="BC11" s="22">
        <v>-9.5397899999999994E-2</v>
      </c>
      <c r="BD11">
        <f>-BA11/$F$2*1000</f>
        <v>19.860800000000001</v>
      </c>
      <c r="BE11">
        <f>BD11*AY11</f>
        <v>-1.88498256976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1.6189983583627974</v>
      </c>
      <c r="B12" s="19">
        <f>IFERROR(T9,0)</f>
        <v>19.635337585585187</v>
      </c>
      <c r="C12" s="20">
        <f>IFERROR(T4,0)</f>
        <v>0.84050765433512731</v>
      </c>
      <c r="D12" s="21">
        <f>IFERROR(T2,0)</f>
        <v>26.719384743999996</v>
      </c>
      <c r="E12" s="21"/>
      <c r="F12" s="9"/>
      <c r="G12" s="22">
        <v>1.6398600000000001</v>
      </c>
      <c r="H12" s="22">
        <v>34.154000000000003</v>
      </c>
      <c r="I12" s="22">
        <v>2.31354E-2</v>
      </c>
      <c r="J12" s="22">
        <v>2</v>
      </c>
      <c r="K12" s="22">
        <v>1.6391</v>
      </c>
      <c r="L12">
        <f t="shared" ref="L12:L75" si="0">-I12/$F$2*1000</f>
        <v>-23.135400000000001</v>
      </c>
      <c r="M12">
        <f t="shared" ref="M12:M75" si="1">L12*G12</f>
        <v>-37.938817044000004</v>
      </c>
      <c r="N12" s="9"/>
      <c r="O12" s="22">
        <v>-8.9874300000000004E-2</v>
      </c>
      <c r="P12" s="22">
        <v>68.207099999999997</v>
      </c>
      <c r="Q12" s="22">
        <v>-1.9705199999999999E-2</v>
      </c>
      <c r="R12" s="22">
        <v>2</v>
      </c>
      <c r="S12" s="22">
        <v>-9.0362499999999998E-2</v>
      </c>
      <c r="T12">
        <f t="shared" ref="T12:T75" si="2">-Q12/$F$2*1000</f>
        <v>19.705199999999998</v>
      </c>
      <c r="U12">
        <f t="shared" ref="U12:U75" si="3">T12*O12</f>
        <v>-1.77099105636</v>
      </c>
      <c r="V12" s="23"/>
      <c r="W12" s="24"/>
      <c r="X12" s="9"/>
      <c r="Y12" s="22">
        <v>1.6398600000000001</v>
      </c>
      <c r="Z12" s="22">
        <v>102.23</v>
      </c>
      <c r="AA12" s="22">
        <v>1.5380899999999999E-2</v>
      </c>
      <c r="AB12" s="22">
        <v>2</v>
      </c>
      <c r="AC12" s="22">
        <v>1.6391</v>
      </c>
      <c r="AD12">
        <f t="shared" ref="AD12:AD75" si="4">-AA12/$F$2*1000</f>
        <v>-15.380899999999999</v>
      </c>
      <c r="AE12">
        <f t="shared" ref="AE12:AE75" si="5">AD12*Y12</f>
        <v>-25.222522674</v>
      </c>
      <c r="AF12" s="9"/>
      <c r="AG12" s="22">
        <v>-8.9874300000000004E-2</v>
      </c>
      <c r="AH12" s="22">
        <v>136.23599999999999</v>
      </c>
      <c r="AI12" s="22">
        <v>-1.9857799999999998E-2</v>
      </c>
      <c r="AJ12" s="22">
        <v>2</v>
      </c>
      <c r="AK12" s="22">
        <v>-9.0484599999999998E-2</v>
      </c>
      <c r="AL12">
        <f t="shared" ref="AL12:AL75" si="6">-AI12/$F$2*1000</f>
        <v>19.857799999999997</v>
      </c>
      <c r="AM12">
        <f t="shared" ref="AM12:AM75" si="7">AL12*AG12</f>
        <v>-1.78470587454</v>
      </c>
      <c r="AP12" s="9"/>
      <c r="AQ12" s="22">
        <v>1.6398600000000001</v>
      </c>
      <c r="AR12" s="22">
        <v>170.29499999999999</v>
      </c>
      <c r="AS12" s="22">
        <v>3.8784800000000001E-2</v>
      </c>
      <c r="AT12" s="22">
        <v>2</v>
      </c>
      <c r="AU12" s="22">
        <v>1.6391</v>
      </c>
      <c r="AV12">
        <f t="shared" ref="AV12:AV75" si="8">-AS12/$F$2*1000</f>
        <v>-38.784800000000004</v>
      </c>
      <c r="AW12">
        <f t="shared" ref="AW12:AW75" si="9">AV12*AQ12</f>
        <v>-63.601642128000009</v>
      </c>
      <c r="AX12" s="9"/>
      <c r="AY12" s="22">
        <v>-8.9874300000000004E-2</v>
      </c>
      <c r="AZ12" s="22">
        <v>204.321</v>
      </c>
      <c r="BA12" s="22">
        <v>-1.9854699999999999E-2</v>
      </c>
      <c r="BB12" s="22">
        <v>2</v>
      </c>
      <c r="BC12" s="22">
        <v>-9.0271000000000004E-2</v>
      </c>
      <c r="BD12">
        <f t="shared" ref="BD12:BD75" si="10">-BA12/$F$2*1000</f>
        <v>19.854700000000001</v>
      </c>
      <c r="BE12">
        <f t="shared" ref="BE12:BE75" si="11">BD12*AY12</f>
        <v>-1.7844272642100001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1.6327093516422537</v>
      </c>
      <c r="B13" s="19">
        <f>IFERROR(AD9,0)</f>
        <v>19.791529357051459</v>
      </c>
      <c r="C13" s="20">
        <f>IFERROR(AD4,0)</f>
        <v>0.83682680893526062</v>
      </c>
      <c r="D13" s="21">
        <f>IFERROR(AD2,0)</f>
        <v>27.041066744999998</v>
      </c>
      <c r="E13" s="21">
        <f>IFERROR(AA9,0)</f>
        <v>0.85499615152110842</v>
      </c>
      <c r="F13" s="9"/>
      <c r="G13" s="22">
        <v>1.63483</v>
      </c>
      <c r="H13" s="22">
        <v>34.164099999999998</v>
      </c>
      <c r="I13" s="22">
        <v>1.18134E-2</v>
      </c>
      <c r="J13" s="22">
        <v>3</v>
      </c>
      <c r="K13" s="22">
        <v>1.63452</v>
      </c>
      <c r="L13">
        <f t="shared" si="0"/>
        <v>-11.8134</v>
      </c>
      <c r="M13">
        <f t="shared" si="1"/>
        <v>-19.312900721999998</v>
      </c>
      <c r="N13" s="9"/>
      <c r="O13" s="22">
        <v>-8.4838899999999995E-2</v>
      </c>
      <c r="P13" s="22">
        <v>68.217200000000005</v>
      </c>
      <c r="Q13" s="22">
        <v>-1.9705199999999999E-2</v>
      </c>
      <c r="R13" s="22">
        <v>3</v>
      </c>
      <c r="S13" s="22">
        <v>-8.5510299999999997E-2</v>
      </c>
      <c r="T13">
        <f t="shared" si="2"/>
        <v>19.705199999999998</v>
      </c>
      <c r="U13">
        <f t="shared" si="3"/>
        <v>-1.6717674922799997</v>
      </c>
      <c r="V13" s="23"/>
      <c r="W13" s="24"/>
      <c r="X13" s="9"/>
      <c r="Y13" s="22">
        <v>1.63483</v>
      </c>
      <c r="Z13" s="22">
        <v>102.24</v>
      </c>
      <c r="AA13" s="22">
        <v>4.2761199999999996E-3</v>
      </c>
      <c r="AB13" s="22">
        <v>3</v>
      </c>
      <c r="AC13" s="22">
        <v>1.63544</v>
      </c>
      <c r="AD13">
        <f t="shared" si="4"/>
        <v>-4.2761199999999997</v>
      </c>
      <c r="AE13">
        <f t="shared" si="5"/>
        <v>-6.9907292595999992</v>
      </c>
      <c r="AF13" s="9"/>
      <c r="AG13" s="22">
        <v>-8.4838899999999995E-2</v>
      </c>
      <c r="AH13" s="22">
        <v>136.24600000000001</v>
      </c>
      <c r="AI13" s="22">
        <v>-1.9848600000000001E-2</v>
      </c>
      <c r="AJ13" s="22">
        <v>3</v>
      </c>
      <c r="AK13" s="22">
        <v>-8.5784899999999997E-2</v>
      </c>
      <c r="AL13">
        <f t="shared" si="6"/>
        <v>19.848600000000001</v>
      </c>
      <c r="AM13">
        <f t="shared" si="7"/>
        <v>-1.68393339054</v>
      </c>
      <c r="AP13" s="9"/>
      <c r="AQ13" s="22">
        <v>1.63483</v>
      </c>
      <c r="AR13" s="22">
        <v>170.30500000000001</v>
      </c>
      <c r="AS13" s="22">
        <v>2.6754799999999999E-2</v>
      </c>
      <c r="AT13" s="22">
        <v>3</v>
      </c>
      <c r="AU13" s="22">
        <v>1.63422</v>
      </c>
      <c r="AV13">
        <f t="shared" si="8"/>
        <v>-26.754799999999999</v>
      </c>
      <c r="AW13">
        <f t="shared" si="9"/>
        <v>-43.739549683999996</v>
      </c>
      <c r="AX13" s="9"/>
      <c r="AY13" s="22">
        <v>-8.4838899999999995E-2</v>
      </c>
      <c r="AZ13" s="22">
        <v>204.33099999999999</v>
      </c>
      <c r="BA13" s="22">
        <v>-1.9848600000000001E-2</v>
      </c>
      <c r="BB13" s="22">
        <v>3</v>
      </c>
      <c r="BC13" s="22">
        <v>-8.5388199999999997E-2</v>
      </c>
      <c r="BD13">
        <f t="shared" si="10"/>
        <v>19.848600000000001</v>
      </c>
      <c r="BE13">
        <f t="shared" si="11"/>
        <v>-1.68393339054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1.6200596155867686</v>
      </c>
      <c r="B14" s="19">
        <f>IFERROR(AL9,0)</f>
        <v>19.772640867293362</v>
      </c>
      <c r="C14" s="20">
        <f>IFERROR(AL4,0)</f>
        <v>0.83694897074899632</v>
      </c>
      <c r="D14" s="21">
        <f>IFERROR(AL2,0)</f>
        <v>26.809866664999994</v>
      </c>
      <c r="E14" s="21"/>
      <c r="F14" s="9"/>
      <c r="G14" s="22">
        <v>1.6297900000000001</v>
      </c>
      <c r="H14" s="22">
        <v>34.174100000000003</v>
      </c>
      <c r="I14" s="22">
        <v>1.8792699999999999E-3</v>
      </c>
      <c r="J14" s="22">
        <v>4</v>
      </c>
      <c r="K14" s="22">
        <v>1.6293299999999999</v>
      </c>
      <c r="L14">
        <f t="shared" si="0"/>
        <v>-1.87927</v>
      </c>
      <c r="M14">
        <f t="shared" si="1"/>
        <v>-3.0628154533000003</v>
      </c>
      <c r="N14" s="9"/>
      <c r="O14" s="22">
        <v>-7.9803499999999999E-2</v>
      </c>
      <c r="P14" s="22">
        <v>68.2273</v>
      </c>
      <c r="Q14" s="22">
        <v>-1.9699100000000001E-2</v>
      </c>
      <c r="R14" s="22">
        <v>4</v>
      </c>
      <c r="S14" s="22">
        <v>-8.0169699999999997E-2</v>
      </c>
      <c r="T14">
        <f t="shared" si="2"/>
        <v>19.699100000000001</v>
      </c>
      <c r="U14">
        <f t="shared" si="3"/>
        <v>-1.5720571268500001</v>
      </c>
      <c r="V14" s="23"/>
      <c r="W14" s="24"/>
      <c r="X14" s="9"/>
      <c r="Y14" s="22">
        <v>1.6297900000000001</v>
      </c>
      <c r="Z14" s="22">
        <v>102.25</v>
      </c>
      <c r="AA14" s="22">
        <v>-4.8065199999999999E-3</v>
      </c>
      <c r="AB14" s="22">
        <v>4</v>
      </c>
      <c r="AC14" s="22">
        <v>1.62964</v>
      </c>
      <c r="AD14">
        <f t="shared" si="4"/>
        <v>4.8065199999999999</v>
      </c>
      <c r="AE14">
        <f t="shared" si="5"/>
        <v>7.8336182308</v>
      </c>
      <c r="AF14" s="9"/>
      <c r="AG14" s="22">
        <v>-7.9803499999999999E-2</v>
      </c>
      <c r="AH14" s="22">
        <v>136.25700000000001</v>
      </c>
      <c r="AI14" s="22">
        <v>-1.9845600000000001E-2</v>
      </c>
      <c r="AJ14" s="22">
        <v>4</v>
      </c>
      <c r="AK14" s="22">
        <v>-8.0322299999999999E-2</v>
      </c>
      <c r="AL14">
        <f t="shared" si="6"/>
        <v>19.845600000000001</v>
      </c>
      <c r="AM14">
        <f t="shared" si="7"/>
        <v>-1.5837483396000001</v>
      </c>
      <c r="AP14" s="9"/>
      <c r="AQ14" s="22">
        <v>1.6297900000000001</v>
      </c>
      <c r="AR14" s="22">
        <v>170.315</v>
      </c>
      <c r="AS14" s="22">
        <v>1.4926099999999999E-2</v>
      </c>
      <c r="AT14" s="22">
        <v>4</v>
      </c>
      <c r="AU14" s="22">
        <v>1.62842</v>
      </c>
      <c r="AV14">
        <f t="shared" si="8"/>
        <v>-14.9261</v>
      </c>
      <c r="AW14">
        <f t="shared" si="9"/>
        <v>-24.326408519000001</v>
      </c>
      <c r="AX14" s="9"/>
      <c r="AY14" s="22">
        <v>-7.9803499999999999E-2</v>
      </c>
      <c r="AZ14" s="22">
        <v>204.34100000000001</v>
      </c>
      <c r="BA14" s="22">
        <v>-1.9842499999999999E-2</v>
      </c>
      <c r="BB14" s="22">
        <v>4</v>
      </c>
      <c r="BC14" s="22">
        <v>-8.0261200000000005E-2</v>
      </c>
      <c r="BD14">
        <f t="shared" si="10"/>
        <v>19.842499999999998</v>
      </c>
      <c r="BE14">
        <f t="shared" si="11"/>
        <v>-1.5835009487499998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1.6224831949257186</v>
      </c>
      <c r="B15" s="19">
        <f>IFERROR(AV9,0)</f>
        <v>19.783403224922438</v>
      </c>
      <c r="C15" s="20">
        <f>IFERROR(AV4,0)</f>
        <v>0.83673916115296887</v>
      </c>
      <c r="D15" s="21">
        <f>IFERROR(AV2,0)</f>
        <v>26.857853802000005</v>
      </c>
      <c r="E15" s="21">
        <f>IFERROR(AS9,0)</f>
        <v>0.52135633409984994</v>
      </c>
      <c r="F15" s="9"/>
      <c r="G15" s="22">
        <v>1.62476</v>
      </c>
      <c r="H15" s="22">
        <v>34.184199999999997</v>
      </c>
      <c r="I15" s="22">
        <v>-6.1859100000000002E-3</v>
      </c>
      <c r="J15" s="22">
        <v>5</v>
      </c>
      <c r="K15" s="22">
        <v>1.6244499999999999</v>
      </c>
      <c r="L15">
        <f t="shared" si="0"/>
        <v>6.1859099999999998</v>
      </c>
      <c r="M15">
        <f t="shared" si="1"/>
        <v>10.0506191316</v>
      </c>
      <c r="N15" s="9"/>
      <c r="O15" s="22">
        <v>-7.4768100000000004E-2</v>
      </c>
      <c r="P15" s="22">
        <v>68.237399999999994</v>
      </c>
      <c r="Q15" s="22">
        <v>-1.96899E-2</v>
      </c>
      <c r="R15" s="22">
        <v>5</v>
      </c>
      <c r="S15" s="22">
        <v>-7.4890100000000001E-2</v>
      </c>
      <c r="T15">
        <f t="shared" si="2"/>
        <v>19.689900000000002</v>
      </c>
      <c r="U15">
        <f t="shared" si="3"/>
        <v>-1.4721764121900003</v>
      </c>
      <c r="V15" s="23"/>
      <c r="W15" s="24"/>
      <c r="X15" s="9"/>
      <c r="Y15" s="22">
        <v>1.62476</v>
      </c>
      <c r="Z15" s="22">
        <v>102.26</v>
      </c>
      <c r="AA15" s="22">
        <v>-9.3322800000000001E-3</v>
      </c>
      <c r="AB15" s="22">
        <v>5</v>
      </c>
      <c r="AC15" s="22">
        <v>1.62323</v>
      </c>
      <c r="AD15">
        <f t="shared" si="4"/>
        <v>9.3322800000000008</v>
      </c>
      <c r="AE15">
        <f t="shared" si="5"/>
        <v>15.162715252800002</v>
      </c>
      <c r="AF15" s="9"/>
      <c r="AG15" s="22">
        <v>-7.4768100000000004E-2</v>
      </c>
      <c r="AH15" s="22">
        <v>136.267</v>
      </c>
      <c r="AI15" s="22">
        <v>-1.9839499999999999E-2</v>
      </c>
      <c r="AJ15" s="22">
        <v>5</v>
      </c>
      <c r="AK15" s="22">
        <v>-7.5286900000000004E-2</v>
      </c>
      <c r="AL15">
        <f t="shared" si="6"/>
        <v>19.839500000000001</v>
      </c>
      <c r="AM15">
        <f t="shared" si="7"/>
        <v>-1.4833617199500002</v>
      </c>
      <c r="AP15" s="9"/>
      <c r="AQ15" s="22">
        <v>1.62476</v>
      </c>
      <c r="AR15" s="22">
        <v>170.32499999999999</v>
      </c>
      <c r="AS15" s="22">
        <v>4.1592399999999998E-3</v>
      </c>
      <c r="AT15" s="22">
        <v>5</v>
      </c>
      <c r="AU15" s="22">
        <v>1.6244499999999999</v>
      </c>
      <c r="AV15">
        <f t="shared" si="8"/>
        <v>-4.1592399999999996</v>
      </c>
      <c r="AW15">
        <f t="shared" si="9"/>
        <v>-6.7577667823999992</v>
      </c>
      <c r="AX15" s="9"/>
      <c r="AY15" s="22">
        <v>-7.4768100000000004E-2</v>
      </c>
      <c r="AZ15" s="22">
        <v>204.351</v>
      </c>
      <c r="BA15" s="22">
        <v>-1.9833400000000001E-2</v>
      </c>
      <c r="BB15" s="22">
        <v>5</v>
      </c>
      <c r="BC15" s="22">
        <v>-7.5286900000000004E-2</v>
      </c>
      <c r="BD15">
        <f t="shared" si="10"/>
        <v>19.833400000000001</v>
      </c>
      <c r="BE15">
        <f t="shared" si="11"/>
        <v>-1.4829056345400002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1.6124714123103556</v>
      </c>
      <c r="B16" s="19">
        <f>IFERROR(BD9,0)</f>
        <v>19.76649081395416</v>
      </c>
      <c r="C16" s="20">
        <f>IFERROR(BD4,0)</f>
        <v>0.83826158086141922</v>
      </c>
      <c r="D16" s="21">
        <f>IFERROR(BD2,0)</f>
        <v>26.71782868</v>
      </c>
      <c r="E16" s="21"/>
      <c r="F16" s="9"/>
      <c r="G16" s="22">
        <v>1.61972</v>
      </c>
      <c r="H16" s="22">
        <v>34.194299999999998</v>
      </c>
      <c r="I16" s="22">
        <v>-9.8205600000000007E-3</v>
      </c>
      <c r="J16" s="22">
        <v>6</v>
      </c>
      <c r="K16" s="22">
        <v>1.6192599999999999</v>
      </c>
      <c r="L16">
        <f t="shared" si="0"/>
        <v>9.8205600000000004</v>
      </c>
      <c r="M16">
        <f t="shared" si="1"/>
        <v>15.906557443200001</v>
      </c>
      <c r="N16" s="9"/>
      <c r="O16" s="22">
        <v>-6.9732699999999995E-2</v>
      </c>
      <c r="P16" s="22">
        <v>68.247399999999999</v>
      </c>
      <c r="Q16" s="22">
        <v>-1.96869E-2</v>
      </c>
      <c r="R16" s="22">
        <v>6</v>
      </c>
      <c r="S16" s="22">
        <v>-7.0281999999999997E-2</v>
      </c>
      <c r="T16">
        <f t="shared" si="2"/>
        <v>19.686900000000001</v>
      </c>
      <c r="U16">
        <f t="shared" si="3"/>
        <v>-1.3728206916300001</v>
      </c>
      <c r="V16" s="23"/>
      <c r="W16" s="24"/>
      <c r="X16" s="9"/>
      <c r="Y16" s="22">
        <v>1.61972</v>
      </c>
      <c r="Z16" s="22">
        <v>102.271</v>
      </c>
      <c r="AA16" s="22">
        <v>-1.1306800000000001E-2</v>
      </c>
      <c r="AB16" s="22">
        <v>6</v>
      </c>
      <c r="AC16" s="22">
        <v>1.6186499999999999</v>
      </c>
      <c r="AD16">
        <f t="shared" si="4"/>
        <v>11.306800000000001</v>
      </c>
      <c r="AE16">
        <f t="shared" si="5"/>
        <v>18.313850096000003</v>
      </c>
      <c r="AF16" s="9"/>
      <c r="AG16" s="22">
        <v>-6.9732699999999995E-2</v>
      </c>
      <c r="AH16" s="22">
        <v>136.27699999999999</v>
      </c>
      <c r="AI16" s="22">
        <v>-1.9833400000000001E-2</v>
      </c>
      <c r="AJ16" s="22">
        <v>6</v>
      </c>
      <c r="AK16" s="22">
        <v>-7.0465100000000003E-2</v>
      </c>
      <c r="AL16">
        <f t="shared" si="6"/>
        <v>19.833400000000001</v>
      </c>
      <c r="AM16">
        <f t="shared" si="7"/>
        <v>-1.38303653218</v>
      </c>
      <c r="AP16" s="9"/>
      <c r="AQ16" s="22">
        <v>1.61972</v>
      </c>
      <c r="AR16" s="22">
        <v>170.33500000000001</v>
      </c>
      <c r="AS16" s="22">
        <v>-4.87061E-3</v>
      </c>
      <c r="AT16" s="22">
        <v>6</v>
      </c>
      <c r="AU16" s="22">
        <v>1.62018</v>
      </c>
      <c r="AV16">
        <f t="shared" si="8"/>
        <v>4.8706100000000001</v>
      </c>
      <c r="AW16">
        <f t="shared" si="9"/>
        <v>7.8890244292</v>
      </c>
      <c r="AX16" s="9"/>
      <c r="AY16" s="22">
        <v>-6.9732699999999995E-2</v>
      </c>
      <c r="AZ16" s="22">
        <v>204.36099999999999</v>
      </c>
      <c r="BA16" s="22">
        <v>-1.9830299999999999E-2</v>
      </c>
      <c r="BB16" s="22">
        <v>6</v>
      </c>
      <c r="BC16" s="22">
        <v>-7.0159899999999997E-2</v>
      </c>
      <c r="BD16">
        <f t="shared" si="10"/>
        <v>19.830299999999998</v>
      </c>
      <c r="BE16">
        <f t="shared" si="11"/>
        <v>-1.3828203608099998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1.61469</v>
      </c>
      <c r="H17" s="22">
        <v>34.2044</v>
      </c>
      <c r="I17" s="22">
        <v>-1.16028E-2</v>
      </c>
      <c r="J17" s="22">
        <v>7</v>
      </c>
      <c r="K17" s="22">
        <v>1.6140699999999999</v>
      </c>
      <c r="L17">
        <f t="shared" si="0"/>
        <v>11.6028</v>
      </c>
      <c r="M17">
        <f t="shared" si="1"/>
        <v>18.734925132000001</v>
      </c>
      <c r="N17" s="9"/>
      <c r="O17" s="22">
        <v>-6.4697299999999999E-2</v>
      </c>
      <c r="P17" s="22">
        <v>68.257499999999993</v>
      </c>
      <c r="Q17" s="22">
        <v>-1.9683800000000001E-2</v>
      </c>
      <c r="R17" s="22">
        <v>7</v>
      </c>
      <c r="S17" s="22">
        <v>-6.5338099999999996E-2</v>
      </c>
      <c r="T17">
        <f t="shared" si="2"/>
        <v>19.683800000000002</v>
      </c>
      <c r="U17">
        <f t="shared" si="3"/>
        <v>-1.2734887137400002</v>
      </c>
      <c r="V17" s="23"/>
      <c r="W17" s="24"/>
      <c r="X17" s="9"/>
      <c r="Y17" s="22">
        <v>1.61469</v>
      </c>
      <c r="Z17" s="22">
        <v>102.28100000000001</v>
      </c>
      <c r="AA17" s="22">
        <v>-1.2637300000000001E-2</v>
      </c>
      <c r="AB17" s="22">
        <v>7</v>
      </c>
      <c r="AC17" s="22">
        <v>1.6137699999999999</v>
      </c>
      <c r="AD17">
        <f t="shared" si="4"/>
        <v>12.6373</v>
      </c>
      <c r="AE17">
        <f t="shared" si="5"/>
        <v>20.405321937</v>
      </c>
      <c r="AF17" s="9"/>
      <c r="AG17" s="22">
        <v>-6.4697299999999999E-2</v>
      </c>
      <c r="AH17" s="22">
        <v>136.28700000000001</v>
      </c>
      <c r="AI17" s="22">
        <v>-1.9830299999999999E-2</v>
      </c>
      <c r="AJ17" s="22">
        <v>7</v>
      </c>
      <c r="AK17" s="22">
        <v>-6.5216099999999999E-2</v>
      </c>
      <c r="AL17">
        <f t="shared" si="6"/>
        <v>19.830299999999998</v>
      </c>
      <c r="AM17">
        <f t="shared" si="7"/>
        <v>-1.2829668681899997</v>
      </c>
      <c r="AP17" s="9"/>
      <c r="AQ17" s="22">
        <v>1.61469</v>
      </c>
      <c r="AR17" s="22">
        <v>170.345</v>
      </c>
      <c r="AS17" s="22">
        <v>-9.3780500000000006E-3</v>
      </c>
      <c r="AT17" s="22">
        <v>7</v>
      </c>
      <c r="AU17" s="22">
        <v>1.6131599999999999</v>
      </c>
      <c r="AV17">
        <f t="shared" si="8"/>
        <v>9.37805</v>
      </c>
      <c r="AW17">
        <f t="shared" si="9"/>
        <v>15.142643554499999</v>
      </c>
      <c r="AX17" s="9"/>
      <c r="AY17" s="22">
        <v>-6.4697299999999999E-2</v>
      </c>
      <c r="AZ17" s="22">
        <v>204.37200000000001</v>
      </c>
      <c r="BA17" s="22">
        <v>-1.98242E-2</v>
      </c>
      <c r="BB17" s="22">
        <v>7</v>
      </c>
      <c r="BC17" s="22">
        <v>-6.5185499999999993E-2</v>
      </c>
      <c r="BD17">
        <f t="shared" si="10"/>
        <v>19.824200000000001</v>
      </c>
      <c r="BE17">
        <f t="shared" si="11"/>
        <v>-1.28257221466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1.60965</v>
      </c>
      <c r="H18" s="22">
        <v>34.214399999999998</v>
      </c>
      <c r="I18" s="22">
        <v>-1.28296E-2</v>
      </c>
      <c r="J18" s="22">
        <v>8</v>
      </c>
      <c r="K18" s="22">
        <v>1.6085799999999999</v>
      </c>
      <c r="L18">
        <f t="shared" si="0"/>
        <v>12.829599999999999</v>
      </c>
      <c r="M18">
        <f t="shared" si="1"/>
        <v>20.651165639999999</v>
      </c>
      <c r="N18" s="9"/>
      <c r="O18" s="22">
        <v>-5.9661899999999997E-2</v>
      </c>
      <c r="P18" s="22">
        <v>68.267600000000002</v>
      </c>
      <c r="Q18" s="22">
        <v>-1.9677699999999999E-2</v>
      </c>
      <c r="R18" s="22">
        <v>8</v>
      </c>
      <c r="S18" s="22">
        <v>-6.0180699999999997E-2</v>
      </c>
      <c r="T18">
        <f t="shared" si="2"/>
        <v>19.677699999999998</v>
      </c>
      <c r="U18">
        <f t="shared" si="3"/>
        <v>-1.1740089696299998</v>
      </c>
      <c r="V18" s="23"/>
      <c r="W18" s="24"/>
      <c r="X18" s="9"/>
      <c r="Y18" s="22">
        <v>1.60965</v>
      </c>
      <c r="Z18" s="22">
        <v>102.291</v>
      </c>
      <c r="AA18" s="22">
        <v>-1.35925E-2</v>
      </c>
      <c r="AB18" s="22">
        <v>8</v>
      </c>
      <c r="AC18" s="22">
        <v>1.6088899999999999</v>
      </c>
      <c r="AD18">
        <f t="shared" si="4"/>
        <v>13.592500000000001</v>
      </c>
      <c r="AE18">
        <f t="shared" si="5"/>
        <v>21.879167625000001</v>
      </c>
      <c r="AF18" s="9"/>
      <c r="AG18" s="22">
        <v>-5.9661899999999997E-2</v>
      </c>
      <c r="AH18" s="22">
        <v>136.297</v>
      </c>
      <c r="AI18" s="22">
        <v>-1.9821200000000001E-2</v>
      </c>
      <c r="AJ18" s="22">
        <v>8</v>
      </c>
      <c r="AK18" s="22">
        <v>-6.0119600000000002E-2</v>
      </c>
      <c r="AL18">
        <f t="shared" si="6"/>
        <v>19.821200000000001</v>
      </c>
      <c r="AM18">
        <f t="shared" si="7"/>
        <v>-1.18257045228</v>
      </c>
      <c r="AP18" s="9"/>
      <c r="AQ18" s="22">
        <v>1.60965</v>
      </c>
      <c r="AR18" s="22">
        <v>170.35499999999999</v>
      </c>
      <c r="AS18" s="22">
        <v>-1.1367800000000001E-2</v>
      </c>
      <c r="AT18" s="22">
        <v>8</v>
      </c>
      <c r="AU18" s="22">
        <v>1.6085799999999999</v>
      </c>
      <c r="AV18">
        <f t="shared" si="8"/>
        <v>11.367800000000001</v>
      </c>
      <c r="AW18">
        <f t="shared" si="9"/>
        <v>18.298179270000002</v>
      </c>
      <c r="AX18" s="9"/>
      <c r="AY18" s="22">
        <v>-5.9661899999999997E-2</v>
      </c>
      <c r="AZ18" s="22">
        <v>204.38200000000001</v>
      </c>
      <c r="BA18" s="22">
        <v>-1.9818100000000002E-2</v>
      </c>
      <c r="BB18" s="22">
        <v>8</v>
      </c>
      <c r="BC18" s="22">
        <v>-6.0058599999999997E-2</v>
      </c>
      <c r="BD18">
        <f t="shared" si="10"/>
        <v>19.818100000000001</v>
      </c>
      <c r="BE18">
        <f t="shared" si="11"/>
        <v>-1.1823855003899999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1.6046100000000001</v>
      </c>
      <c r="H19" s="22">
        <v>34.224499999999999</v>
      </c>
      <c r="I19" s="22">
        <v>-1.3677999999999999E-2</v>
      </c>
      <c r="J19" s="22">
        <v>9</v>
      </c>
      <c r="K19" s="22">
        <v>1.6036999999999999</v>
      </c>
      <c r="L19">
        <f t="shared" si="0"/>
        <v>13.677999999999999</v>
      </c>
      <c r="M19">
        <f t="shared" si="1"/>
        <v>21.947855579999999</v>
      </c>
      <c r="N19" s="9"/>
      <c r="O19" s="22">
        <v>-5.4626500000000001E-2</v>
      </c>
      <c r="P19" s="22">
        <v>68.277600000000007</v>
      </c>
      <c r="Q19" s="22">
        <v>-1.9671600000000001E-2</v>
      </c>
      <c r="R19" s="22">
        <v>9</v>
      </c>
      <c r="S19" s="22">
        <v>-5.4962200000000003E-2</v>
      </c>
      <c r="T19">
        <f t="shared" si="2"/>
        <v>19.671600000000002</v>
      </c>
      <c r="U19">
        <f t="shared" si="3"/>
        <v>-1.0745906574000001</v>
      </c>
      <c r="V19" s="23"/>
      <c r="W19" s="24"/>
      <c r="X19" s="9"/>
      <c r="Y19" s="22">
        <v>1.6046100000000001</v>
      </c>
      <c r="Z19" s="22">
        <v>102.301</v>
      </c>
      <c r="AA19" s="22">
        <v>-1.4312699999999999E-2</v>
      </c>
      <c r="AB19" s="22">
        <v>9</v>
      </c>
      <c r="AC19" s="22">
        <v>1.6036999999999999</v>
      </c>
      <c r="AD19">
        <f t="shared" si="4"/>
        <v>14.3127</v>
      </c>
      <c r="AE19">
        <f t="shared" si="5"/>
        <v>22.966301547</v>
      </c>
      <c r="AF19" s="9"/>
      <c r="AG19" s="22">
        <v>-5.4626500000000001E-2</v>
      </c>
      <c r="AH19" s="22">
        <v>136.30699999999999</v>
      </c>
      <c r="AI19" s="22">
        <v>-1.9815099999999999E-2</v>
      </c>
      <c r="AJ19" s="22">
        <v>9</v>
      </c>
      <c r="AK19" s="22">
        <v>-5.52063E-2</v>
      </c>
      <c r="AL19">
        <f t="shared" si="6"/>
        <v>19.815099999999997</v>
      </c>
      <c r="AM19">
        <f t="shared" si="7"/>
        <v>-1.0824295601499998</v>
      </c>
      <c r="AP19" s="9"/>
      <c r="AQ19" s="22">
        <v>1.6046100000000001</v>
      </c>
      <c r="AR19" s="22">
        <v>170.36600000000001</v>
      </c>
      <c r="AS19" s="22">
        <v>-1.2674E-2</v>
      </c>
      <c r="AT19" s="22">
        <v>9</v>
      </c>
      <c r="AU19" s="22">
        <v>1.6040000000000001</v>
      </c>
      <c r="AV19">
        <f t="shared" si="8"/>
        <v>12.673999999999999</v>
      </c>
      <c r="AW19">
        <f t="shared" si="9"/>
        <v>20.33682714</v>
      </c>
      <c r="AX19" s="9"/>
      <c r="AY19" s="22">
        <v>-5.4626500000000001E-2</v>
      </c>
      <c r="AZ19" s="22">
        <v>204.392</v>
      </c>
      <c r="BA19" s="22">
        <v>-1.9809E-2</v>
      </c>
      <c r="BB19" s="22">
        <v>9</v>
      </c>
      <c r="BC19" s="22">
        <v>-5.5145300000000001E-2</v>
      </c>
      <c r="BD19">
        <f t="shared" si="10"/>
        <v>19.809000000000001</v>
      </c>
      <c r="BE19">
        <f t="shared" si="11"/>
        <v>-1.0820963385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1.59958</v>
      </c>
      <c r="H20" s="22">
        <v>34.2346</v>
      </c>
      <c r="I20" s="22">
        <v>-1.4389000000000001E-2</v>
      </c>
      <c r="J20" s="22">
        <v>10</v>
      </c>
      <c r="K20" s="22">
        <v>1.5985100000000001</v>
      </c>
      <c r="L20">
        <f t="shared" si="0"/>
        <v>14.389000000000001</v>
      </c>
      <c r="M20">
        <f t="shared" si="1"/>
        <v>23.016356620000003</v>
      </c>
      <c r="N20" s="9"/>
      <c r="O20" s="22">
        <v>-4.9591099999999999E-2</v>
      </c>
      <c r="P20" s="22">
        <v>68.287700000000001</v>
      </c>
      <c r="Q20" s="22">
        <v>-1.9668600000000001E-2</v>
      </c>
      <c r="R20" s="22">
        <v>10</v>
      </c>
      <c r="S20" s="22">
        <v>-5.02014E-2</v>
      </c>
      <c r="T20">
        <f t="shared" si="2"/>
        <v>19.668600000000001</v>
      </c>
      <c r="U20">
        <f t="shared" si="3"/>
        <v>-0.97538750946000008</v>
      </c>
      <c r="V20" s="23"/>
      <c r="W20" s="24"/>
      <c r="X20" s="9"/>
      <c r="Y20" s="22">
        <v>1.59958</v>
      </c>
      <c r="Z20" s="22">
        <v>102.31100000000001</v>
      </c>
      <c r="AA20" s="22">
        <v>-1.48956E-2</v>
      </c>
      <c r="AB20" s="22">
        <v>10</v>
      </c>
      <c r="AC20" s="22">
        <v>1.5985100000000001</v>
      </c>
      <c r="AD20">
        <f t="shared" si="4"/>
        <v>14.8956</v>
      </c>
      <c r="AE20">
        <f t="shared" si="5"/>
        <v>23.826703848000001</v>
      </c>
      <c r="AF20" s="9"/>
      <c r="AG20" s="22">
        <v>-4.9591099999999999E-2</v>
      </c>
      <c r="AH20" s="22">
        <v>136.31700000000001</v>
      </c>
      <c r="AI20" s="22">
        <v>-1.9809E-2</v>
      </c>
      <c r="AJ20" s="22">
        <v>10</v>
      </c>
      <c r="AK20" s="22">
        <v>-5.0048799999999997E-2</v>
      </c>
      <c r="AL20">
        <f t="shared" si="6"/>
        <v>19.809000000000001</v>
      </c>
      <c r="AM20">
        <f t="shared" si="7"/>
        <v>-0.9823500999</v>
      </c>
      <c r="AP20" s="9"/>
      <c r="AQ20" s="22">
        <v>1.59958</v>
      </c>
      <c r="AR20" s="22">
        <v>170.376</v>
      </c>
      <c r="AS20" s="22">
        <v>-1.36139E-2</v>
      </c>
      <c r="AT20" s="22">
        <v>10</v>
      </c>
      <c r="AU20" s="22">
        <v>1.5988199999999999</v>
      </c>
      <c r="AV20">
        <f t="shared" si="8"/>
        <v>13.613899999999999</v>
      </c>
      <c r="AW20">
        <f t="shared" si="9"/>
        <v>21.776522161999999</v>
      </c>
      <c r="AX20" s="9"/>
      <c r="AY20" s="22">
        <v>-4.9591099999999999E-2</v>
      </c>
      <c r="AZ20" s="22">
        <v>204.40199999999999</v>
      </c>
      <c r="BA20" s="22">
        <v>-1.9805900000000001E-2</v>
      </c>
      <c r="BB20" s="22">
        <v>10</v>
      </c>
      <c r="BC20" s="22">
        <v>-5.03235E-2</v>
      </c>
      <c r="BD20">
        <f t="shared" si="10"/>
        <v>19.805900000000001</v>
      </c>
      <c r="BE20">
        <f t="shared" si="11"/>
        <v>-0.98219636749000006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1.5945400000000001</v>
      </c>
      <c r="H21" s="22">
        <v>34.244599999999998</v>
      </c>
      <c r="I21" s="22">
        <v>-1.49109E-2</v>
      </c>
      <c r="J21" s="22">
        <v>11</v>
      </c>
      <c r="K21" s="22">
        <v>1.5936300000000001</v>
      </c>
      <c r="L21">
        <f t="shared" si="0"/>
        <v>14.9109</v>
      </c>
      <c r="M21">
        <f t="shared" si="1"/>
        <v>23.776026485999999</v>
      </c>
      <c r="N21" s="9"/>
      <c r="O21" s="22">
        <v>-4.4555699999999997E-2</v>
      </c>
      <c r="P21" s="22">
        <v>68.297799999999995</v>
      </c>
      <c r="Q21" s="22">
        <v>-1.9662499999999999E-2</v>
      </c>
      <c r="R21" s="22">
        <v>11</v>
      </c>
      <c r="S21" s="22">
        <v>-4.48029E-2</v>
      </c>
      <c r="T21">
        <f t="shared" si="2"/>
        <v>19.662499999999998</v>
      </c>
      <c r="U21">
        <f t="shared" si="3"/>
        <v>-0.87607645124999989</v>
      </c>
      <c r="V21" s="23"/>
      <c r="W21" s="24"/>
      <c r="X21" s="9"/>
      <c r="Y21" s="22">
        <v>1.5945400000000001</v>
      </c>
      <c r="Z21" s="22">
        <v>102.321</v>
      </c>
      <c r="AA21" s="22">
        <v>-1.53595E-2</v>
      </c>
      <c r="AB21" s="22">
        <v>11</v>
      </c>
      <c r="AC21" s="22">
        <v>1.5936300000000001</v>
      </c>
      <c r="AD21">
        <f t="shared" si="4"/>
        <v>15.359500000000001</v>
      </c>
      <c r="AE21">
        <f t="shared" si="5"/>
        <v>24.491337130000002</v>
      </c>
      <c r="AF21" s="9"/>
      <c r="AG21" s="22">
        <v>-4.4555699999999997E-2</v>
      </c>
      <c r="AH21" s="22">
        <v>136.327</v>
      </c>
      <c r="AI21" s="22">
        <v>-1.9805900000000001E-2</v>
      </c>
      <c r="AJ21" s="22">
        <v>11</v>
      </c>
      <c r="AK21" s="22">
        <v>-4.5056199999999998E-2</v>
      </c>
      <c r="AL21">
        <f t="shared" si="6"/>
        <v>19.805900000000001</v>
      </c>
      <c r="AM21">
        <f t="shared" si="7"/>
        <v>-0.88246573863</v>
      </c>
      <c r="AP21" s="9"/>
      <c r="AQ21" s="22">
        <v>1.5945400000000001</v>
      </c>
      <c r="AR21" s="22">
        <v>170.386</v>
      </c>
      <c r="AS21" s="22">
        <v>-1.43585E-2</v>
      </c>
      <c r="AT21" s="22">
        <v>11</v>
      </c>
      <c r="AU21" s="22">
        <v>1.5939300000000001</v>
      </c>
      <c r="AV21">
        <f t="shared" si="8"/>
        <v>14.358499999999999</v>
      </c>
      <c r="AW21">
        <f t="shared" si="9"/>
        <v>22.89520259</v>
      </c>
      <c r="AX21" s="9"/>
      <c r="AY21" s="22">
        <v>-4.4555699999999997E-2</v>
      </c>
      <c r="AZ21" s="22">
        <v>204.41200000000001</v>
      </c>
      <c r="BA21" s="22">
        <v>-1.9802899999999998E-2</v>
      </c>
      <c r="BB21" s="22">
        <v>11</v>
      </c>
      <c r="BC21" s="22">
        <v>-4.4839499999999997E-2</v>
      </c>
      <c r="BD21">
        <f t="shared" si="10"/>
        <v>19.802899999999998</v>
      </c>
      <c r="BE21">
        <f t="shared" si="11"/>
        <v>-0.88233207152999982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1.58951</v>
      </c>
      <c r="H22" s="22">
        <v>34.2547</v>
      </c>
      <c r="I22" s="22">
        <v>-1.53717E-2</v>
      </c>
      <c r="J22" s="22">
        <v>12</v>
      </c>
      <c r="K22" s="22">
        <v>1.5893600000000001</v>
      </c>
      <c r="L22">
        <f t="shared" si="0"/>
        <v>15.371700000000001</v>
      </c>
      <c r="M22">
        <f t="shared" si="1"/>
        <v>24.433470867</v>
      </c>
      <c r="N22" s="9"/>
      <c r="O22" s="22">
        <v>-3.9520300000000001E-2</v>
      </c>
      <c r="P22" s="22">
        <v>68.307900000000004</v>
      </c>
      <c r="Q22" s="22">
        <v>-1.96594E-2</v>
      </c>
      <c r="R22" s="22">
        <v>12</v>
      </c>
      <c r="S22" s="22">
        <v>-3.9798E-2</v>
      </c>
      <c r="T22">
        <f t="shared" si="2"/>
        <v>19.659400000000002</v>
      </c>
      <c r="U22">
        <f t="shared" si="3"/>
        <v>-0.77694538582000006</v>
      </c>
      <c r="V22" s="23"/>
      <c r="W22" s="24"/>
      <c r="X22" s="9"/>
      <c r="Y22" s="22">
        <v>1.58951</v>
      </c>
      <c r="Z22" s="22">
        <v>102.331</v>
      </c>
      <c r="AA22" s="22">
        <v>-1.5741000000000002E-2</v>
      </c>
      <c r="AB22" s="22">
        <v>12</v>
      </c>
      <c r="AC22" s="22">
        <v>1.5887500000000001</v>
      </c>
      <c r="AD22">
        <f t="shared" si="4"/>
        <v>15.741000000000001</v>
      </c>
      <c r="AE22">
        <f t="shared" si="5"/>
        <v>25.020476910000003</v>
      </c>
      <c r="AF22" s="9"/>
      <c r="AG22" s="22">
        <v>-3.9520300000000001E-2</v>
      </c>
      <c r="AH22" s="22">
        <v>136.33699999999999</v>
      </c>
      <c r="AI22" s="22">
        <v>-1.9802899999999998E-2</v>
      </c>
      <c r="AJ22" s="22">
        <v>12</v>
      </c>
      <c r="AK22" s="22">
        <v>-3.9642299999999998E-2</v>
      </c>
      <c r="AL22">
        <f t="shared" si="6"/>
        <v>19.802899999999998</v>
      </c>
      <c r="AM22">
        <f t="shared" si="7"/>
        <v>-0.78261654886999987</v>
      </c>
      <c r="AP22" s="9"/>
      <c r="AQ22" s="22">
        <v>1.58951</v>
      </c>
      <c r="AR22" s="22">
        <v>170.39599999999999</v>
      </c>
      <c r="AS22" s="22">
        <v>-1.4919999999999999E-2</v>
      </c>
      <c r="AT22" s="22">
        <v>12</v>
      </c>
      <c r="AU22" s="22">
        <v>1.5893600000000001</v>
      </c>
      <c r="AV22">
        <f t="shared" si="8"/>
        <v>14.92</v>
      </c>
      <c r="AW22">
        <f t="shared" si="9"/>
        <v>23.7154892</v>
      </c>
      <c r="AX22" s="9"/>
      <c r="AY22" s="22">
        <v>-3.9520300000000001E-2</v>
      </c>
      <c r="AZ22" s="22">
        <v>204.422</v>
      </c>
      <c r="BA22" s="22">
        <v>-1.9799799999999999E-2</v>
      </c>
      <c r="BB22" s="22">
        <v>12</v>
      </c>
      <c r="BC22" s="22">
        <v>-3.9810199999999997E-2</v>
      </c>
      <c r="BD22">
        <f t="shared" si="10"/>
        <v>19.799799999999998</v>
      </c>
      <c r="BE22">
        <f t="shared" si="11"/>
        <v>-0.78249403593999989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1.58447</v>
      </c>
      <c r="H23" s="22">
        <v>34.264800000000001</v>
      </c>
      <c r="I23" s="22">
        <v>-1.5725699999999999E-2</v>
      </c>
      <c r="J23" s="22">
        <v>13</v>
      </c>
      <c r="K23" s="22">
        <v>1.5835600000000001</v>
      </c>
      <c r="L23">
        <f t="shared" si="0"/>
        <v>15.725699999999998</v>
      </c>
      <c r="M23">
        <f t="shared" si="1"/>
        <v>24.916899878999999</v>
      </c>
      <c r="N23" s="9"/>
      <c r="O23" s="22">
        <v>-3.4484899999999999E-2</v>
      </c>
      <c r="P23" s="22">
        <v>68.317899999999995</v>
      </c>
      <c r="Q23" s="22">
        <v>-1.9662499999999999E-2</v>
      </c>
      <c r="R23" s="22">
        <v>13</v>
      </c>
      <c r="S23" s="22">
        <v>-3.4722900000000001E-2</v>
      </c>
      <c r="T23">
        <f t="shared" si="2"/>
        <v>19.662499999999998</v>
      </c>
      <c r="U23">
        <f t="shared" si="3"/>
        <v>-0.67805934624999986</v>
      </c>
      <c r="V23" s="23"/>
      <c r="W23" s="24"/>
      <c r="X23" s="9"/>
      <c r="Y23" s="22">
        <v>1.58447</v>
      </c>
      <c r="Z23" s="22">
        <v>102.34099999999999</v>
      </c>
      <c r="AA23" s="22">
        <v>-1.6064499999999999E-2</v>
      </c>
      <c r="AB23" s="22">
        <v>13</v>
      </c>
      <c r="AC23" s="22">
        <v>1.58386</v>
      </c>
      <c r="AD23">
        <f t="shared" si="4"/>
        <v>16.064499999999999</v>
      </c>
      <c r="AE23">
        <f t="shared" si="5"/>
        <v>25.453718315</v>
      </c>
      <c r="AF23" s="9"/>
      <c r="AG23" s="22">
        <v>-3.4484899999999999E-2</v>
      </c>
      <c r="AH23" s="22">
        <v>136.34700000000001</v>
      </c>
      <c r="AI23" s="22">
        <v>-1.9799799999999999E-2</v>
      </c>
      <c r="AJ23" s="22">
        <v>13</v>
      </c>
      <c r="AK23" s="22">
        <v>-3.4512300000000003E-2</v>
      </c>
      <c r="AL23">
        <f t="shared" si="6"/>
        <v>19.799799999999998</v>
      </c>
      <c r="AM23">
        <f t="shared" si="7"/>
        <v>-0.68279412301999987</v>
      </c>
      <c r="AP23" s="9"/>
      <c r="AQ23" s="22">
        <v>1.58447</v>
      </c>
      <c r="AR23" s="22">
        <v>170.40600000000001</v>
      </c>
      <c r="AS23" s="22">
        <v>-1.53778E-2</v>
      </c>
      <c r="AT23" s="22">
        <v>13</v>
      </c>
      <c r="AU23" s="22">
        <v>1.5835600000000001</v>
      </c>
      <c r="AV23">
        <f t="shared" si="8"/>
        <v>15.377800000000001</v>
      </c>
      <c r="AW23">
        <f t="shared" si="9"/>
        <v>24.365662766000003</v>
      </c>
      <c r="AX23" s="9"/>
      <c r="AY23" s="22">
        <v>-3.4484899999999999E-2</v>
      </c>
      <c r="AZ23" s="22">
        <v>204.43199999999999</v>
      </c>
      <c r="BA23" s="22">
        <v>-1.9799799999999999E-2</v>
      </c>
      <c r="BB23" s="22">
        <v>13</v>
      </c>
      <c r="BC23" s="22">
        <v>-3.4689299999999999E-2</v>
      </c>
      <c r="BD23">
        <f t="shared" si="10"/>
        <v>19.799799999999998</v>
      </c>
      <c r="BE23">
        <f t="shared" si="11"/>
        <v>-0.68279412301999987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1.57944</v>
      </c>
      <c r="H24" s="22">
        <v>34.274900000000002</v>
      </c>
      <c r="I24" s="22">
        <v>-1.60187E-2</v>
      </c>
      <c r="J24" s="22">
        <v>14</v>
      </c>
      <c r="K24" s="22">
        <v>1.5783700000000001</v>
      </c>
      <c r="L24">
        <f t="shared" si="0"/>
        <v>16.018699999999999</v>
      </c>
      <c r="M24">
        <f t="shared" si="1"/>
        <v>25.300575528</v>
      </c>
      <c r="N24" s="9"/>
      <c r="O24" s="22">
        <v>-2.94495E-2</v>
      </c>
      <c r="P24" s="22">
        <v>68.328000000000003</v>
      </c>
      <c r="Q24" s="22">
        <v>-1.9656400000000001E-2</v>
      </c>
      <c r="R24" s="22">
        <v>14</v>
      </c>
      <c r="S24" s="22">
        <v>-2.9895000000000001E-2</v>
      </c>
      <c r="T24">
        <f t="shared" si="2"/>
        <v>19.656400000000001</v>
      </c>
      <c r="U24">
        <f t="shared" si="3"/>
        <v>-0.57887115180000004</v>
      </c>
      <c r="V24" s="23"/>
      <c r="W24" s="24"/>
      <c r="X24" s="9"/>
      <c r="Y24" s="22">
        <v>1.57944</v>
      </c>
      <c r="Z24" s="22">
        <v>102.351</v>
      </c>
      <c r="AA24" s="22">
        <v>-1.6323899999999999E-2</v>
      </c>
      <c r="AB24" s="22">
        <v>14</v>
      </c>
      <c r="AC24" s="22">
        <v>1.5789800000000001</v>
      </c>
      <c r="AD24">
        <f t="shared" si="4"/>
        <v>16.323899999999998</v>
      </c>
      <c r="AE24">
        <f t="shared" si="5"/>
        <v>25.782620615999996</v>
      </c>
      <c r="AF24" s="9"/>
      <c r="AG24" s="22">
        <v>-2.94495E-2</v>
      </c>
      <c r="AH24" s="22">
        <v>136.357</v>
      </c>
      <c r="AI24" s="22">
        <v>-1.97968E-2</v>
      </c>
      <c r="AJ24" s="22">
        <v>14</v>
      </c>
      <c r="AK24" s="22">
        <v>-2.9693600000000001E-2</v>
      </c>
      <c r="AL24">
        <f t="shared" si="6"/>
        <v>19.796800000000001</v>
      </c>
      <c r="AM24">
        <f t="shared" si="7"/>
        <v>-0.58300586160000001</v>
      </c>
      <c r="AP24" s="9"/>
      <c r="AQ24" s="22">
        <v>1.57944</v>
      </c>
      <c r="AR24" s="22">
        <v>170.416</v>
      </c>
      <c r="AS24" s="22">
        <v>-1.5765399999999999E-2</v>
      </c>
      <c r="AT24" s="22">
        <v>14</v>
      </c>
      <c r="AU24" s="22">
        <v>1.57867</v>
      </c>
      <c r="AV24">
        <f t="shared" si="8"/>
        <v>15.7654</v>
      </c>
      <c r="AW24">
        <f t="shared" si="9"/>
        <v>24.900503376</v>
      </c>
      <c r="AX24" s="9"/>
      <c r="AY24" s="22">
        <v>-2.94495E-2</v>
      </c>
      <c r="AZ24" s="22">
        <v>204.44200000000001</v>
      </c>
      <c r="BA24" s="22">
        <v>-1.9793700000000001E-2</v>
      </c>
      <c r="BB24" s="22">
        <v>14</v>
      </c>
      <c r="BC24" s="22">
        <v>-2.9388399999999999E-2</v>
      </c>
      <c r="BD24">
        <f t="shared" si="10"/>
        <v>19.793700000000001</v>
      </c>
      <c r="BE24">
        <f t="shared" si="11"/>
        <v>-0.58291456815000009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1.5744</v>
      </c>
      <c r="H25" s="22">
        <v>34.2849</v>
      </c>
      <c r="I25" s="22">
        <v>-1.62811E-2</v>
      </c>
      <c r="J25" s="22">
        <v>15</v>
      </c>
      <c r="K25" s="22">
        <v>1.5734900000000001</v>
      </c>
      <c r="L25">
        <f t="shared" si="0"/>
        <v>16.281099999999999</v>
      </c>
      <c r="M25">
        <f t="shared" si="1"/>
        <v>25.632963839999999</v>
      </c>
      <c r="N25" s="9"/>
      <c r="O25" s="22">
        <v>-2.4414100000000001E-2</v>
      </c>
      <c r="P25" s="22">
        <v>68.338099999999997</v>
      </c>
      <c r="Q25" s="22">
        <v>-1.9650299999999999E-2</v>
      </c>
      <c r="R25" s="22">
        <v>15</v>
      </c>
      <c r="S25" s="22">
        <v>-2.4707E-2</v>
      </c>
      <c r="T25">
        <f t="shared" si="2"/>
        <v>19.650299999999998</v>
      </c>
      <c r="U25">
        <f t="shared" si="3"/>
        <v>-0.47974438922999996</v>
      </c>
      <c r="V25" s="23"/>
      <c r="W25" s="24"/>
      <c r="X25" s="9"/>
      <c r="Y25" s="22">
        <v>1.5744</v>
      </c>
      <c r="Z25" s="22">
        <v>102.361</v>
      </c>
      <c r="AA25" s="22">
        <v>-1.6558799999999999E-2</v>
      </c>
      <c r="AB25" s="22">
        <v>15</v>
      </c>
      <c r="AC25" s="22">
        <v>1.57379</v>
      </c>
      <c r="AD25">
        <f t="shared" si="4"/>
        <v>16.558799999999998</v>
      </c>
      <c r="AE25">
        <f t="shared" si="5"/>
        <v>26.070174719999997</v>
      </c>
      <c r="AF25" s="9"/>
      <c r="AG25" s="22">
        <v>-2.4414100000000001E-2</v>
      </c>
      <c r="AH25" s="22">
        <v>136.36699999999999</v>
      </c>
      <c r="AI25" s="22">
        <v>-1.9793700000000001E-2</v>
      </c>
      <c r="AJ25" s="22">
        <v>15</v>
      </c>
      <c r="AK25" s="22">
        <v>-2.453E-2</v>
      </c>
      <c r="AL25">
        <f t="shared" si="6"/>
        <v>19.793700000000001</v>
      </c>
      <c r="AM25">
        <f t="shared" si="7"/>
        <v>-0.48324537117000005</v>
      </c>
      <c r="AP25" s="9"/>
      <c r="AQ25" s="22">
        <v>1.5744</v>
      </c>
      <c r="AR25" s="22">
        <v>170.42599999999999</v>
      </c>
      <c r="AS25" s="22">
        <v>-1.60736E-2</v>
      </c>
      <c r="AT25" s="22">
        <v>15</v>
      </c>
      <c r="AU25" s="22">
        <v>1.5734900000000001</v>
      </c>
      <c r="AV25">
        <f t="shared" si="8"/>
        <v>16.073599999999999</v>
      </c>
      <c r="AW25">
        <f t="shared" si="9"/>
        <v>25.306275839999998</v>
      </c>
      <c r="AX25" s="9"/>
      <c r="AY25" s="22">
        <v>-2.4414100000000001E-2</v>
      </c>
      <c r="AZ25" s="22">
        <v>204.452</v>
      </c>
      <c r="BA25" s="22">
        <v>-1.9787599999999999E-2</v>
      </c>
      <c r="BB25" s="22">
        <v>15</v>
      </c>
      <c r="BC25" s="22">
        <v>-2.4642899999999999E-2</v>
      </c>
      <c r="BD25">
        <f t="shared" si="10"/>
        <v>19.787599999999998</v>
      </c>
      <c r="BE25">
        <f t="shared" si="11"/>
        <v>-0.48309644515999994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1.5693699999999999</v>
      </c>
      <c r="H26" s="22">
        <v>34.295000000000002</v>
      </c>
      <c r="I26" s="22">
        <v>-1.6500899999999999E-2</v>
      </c>
      <c r="J26" s="22">
        <v>16</v>
      </c>
      <c r="K26" s="22">
        <v>1.56799</v>
      </c>
      <c r="L26">
        <f t="shared" si="0"/>
        <v>16.500899999999998</v>
      </c>
      <c r="M26">
        <f t="shared" si="1"/>
        <v>25.896017432999997</v>
      </c>
      <c r="N26" s="9"/>
      <c r="O26" s="22">
        <v>-1.9378699999999999E-2</v>
      </c>
      <c r="P26" s="22">
        <v>68.348100000000002</v>
      </c>
      <c r="Q26" s="22">
        <v>-1.9650299999999999E-2</v>
      </c>
      <c r="R26" s="22">
        <v>16</v>
      </c>
      <c r="S26" s="22">
        <v>-1.9570899999999999E-2</v>
      </c>
      <c r="T26">
        <f t="shared" si="2"/>
        <v>19.650299999999998</v>
      </c>
      <c r="U26">
        <f t="shared" si="3"/>
        <v>-0.38079726860999991</v>
      </c>
      <c r="V26" s="23"/>
      <c r="W26" s="24"/>
      <c r="X26" s="9"/>
      <c r="Y26" s="22">
        <v>1.5693699999999999</v>
      </c>
      <c r="Z26" s="22">
        <v>102.371</v>
      </c>
      <c r="AA26" s="22">
        <v>-1.67542E-2</v>
      </c>
      <c r="AB26" s="22">
        <v>16</v>
      </c>
      <c r="AC26" s="22">
        <v>1.5686</v>
      </c>
      <c r="AD26">
        <f t="shared" si="4"/>
        <v>16.754200000000001</v>
      </c>
      <c r="AE26">
        <f t="shared" si="5"/>
        <v>26.293538854000001</v>
      </c>
      <c r="AF26" s="9"/>
      <c r="AG26" s="22">
        <v>-1.9378699999999999E-2</v>
      </c>
      <c r="AH26" s="22">
        <v>136.37700000000001</v>
      </c>
      <c r="AI26" s="22">
        <v>-1.9790599999999998E-2</v>
      </c>
      <c r="AJ26" s="22">
        <v>16</v>
      </c>
      <c r="AK26" s="22">
        <v>-1.9943200000000001E-2</v>
      </c>
      <c r="AL26">
        <f t="shared" si="6"/>
        <v>19.790599999999998</v>
      </c>
      <c r="AM26">
        <f t="shared" si="7"/>
        <v>-0.38351610021999993</v>
      </c>
      <c r="AP26" s="9"/>
      <c r="AQ26" s="22">
        <v>1.5693699999999999</v>
      </c>
      <c r="AR26" s="22">
        <v>170.43600000000001</v>
      </c>
      <c r="AS26" s="22">
        <v>-1.6336099999999999E-2</v>
      </c>
      <c r="AT26" s="22">
        <v>16</v>
      </c>
      <c r="AU26" s="22">
        <v>1.5683</v>
      </c>
      <c r="AV26">
        <f t="shared" si="8"/>
        <v>16.336099999999998</v>
      </c>
      <c r="AW26">
        <f t="shared" si="9"/>
        <v>25.637385256999995</v>
      </c>
      <c r="AX26" s="9"/>
      <c r="AY26" s="22">
        <v>-1.9378699999999999E-2</v>
      </c>
      <c r="AZ26" s="22">
        <v>204.46199999999999</v>
      </c>
      <c r="BA26" s="22">
        <v>-1.97845E-2</v>
      </c>
      <c r="BB26" s="22">
        <v>16</v>
      </c>
      <c r="BC26" s="22">
        <v>-1.9635E-2</v>
      </c>
      <c r="BD26">
        <f t="shared" si="10"/>
        <v>19.784500000000001</v>
      </c>
      <c r="BE26">
        <f t="shared" si="11"/>
        <v>-0.38339789014999998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1.56433</v>
      </c>
      <c r="H27" s="22">
        <v>34.305100000000003</v>
      </c>
      <c r="I27" s="22">
        <v>-1.6690099999999999E-2</v>
      </c>
      <c r="J27" s="22">
        <v>17</v>
      </c>
      <c r="K27" s="22">
        <v>1.56342</v>
      </c>
      <c r="L27">
        <f t="shared" si="0"/>
        <v>16.690100000000001</v>
      </c>
      <c r="M27">
        <f t="shared" si="1"/>
        <v>26.108824133000002</v>
      </c>
      <c r="N27" s="9"/>
      <c r="O27" s="22">
        <v>-1.43433E-2</v>
      </c>
      <c r="P27" s="22">
        <v>68.358199999999997</v>
      </c>
      <c r="Q27" s="22">
        <v>-1.96472E-2</v>
      </c>
      <c r="R27" s="22">
        <v>17</v>
      </c>
      <c r="S27" s="22">
        <v>-1.4599600000000001E-2</v>
      </c>
      <c r="T27">
        <f t="shared" si="2"/>
        <v>19.647200000000002</v>
      </c>
      <c r="U27">
        <f t="shared" si="3"/>
        <v>-0.28180568376000004</v>
      </c>
      <c r="X27" s="9"/>
      <c r="Y27" s="22">
        <v>1.56433</v>
      </c>
      <c r="Z27" s="22">
        <v>102.381</v>
      </c>
      <c r="AA27" s="22">
        <v>-1.69312E-2</v>
      </c>
      <c r="AB27" s="22">
        <v>17</v>
      </c>
      <c r="AC27" s="22">
        <v>1.56403</v>
      </c>
      <c r="AD27">
        <f t="shared" si="4"/>
        <v>16.9312</v>
      </c>
      <c r="AE27">
        <f t="shared" si="5"/>
        <v>26.485984095999999</v>
      </c>
      <c r="AF27" s="9"/>
      <c r="AG27" s="22">
        <v>-1.43433E-2</v>
      </c>
      <c r="AH27" s="22">
        <v>136.387</v>
      </c>
      <c r="AI27" s="22">
        <v>-1.97845E-2</v>
      </c>
      <c r="AJ27" s="22">
        <v>17</v>
      </c>
      <c r="AK27" s="22">
        <v>-1.4285300000000001E-2</v>
      </c>
      <c r="AL27">
        <f t="shared" si="6"/>
        <v>19.784500000000001</v>
      </c>
      <c r="AM27">
        <f t="shared" si="7"/>
        <v>-0.28377501885</v>
      </c>
      <c r="AP27" s="9"/>
      <c r="AQ27" s="22">
        <v>1.56433</v>
      </c>
      <c r="AR27" s="22">
        <v>170.446</v>
      </c>
      <c r="AS27" s="22">
        <v>-1.6561900000000001E-2</v>
      </c>
      <c r="AT27" s="22">
        <v>17</v>
      </c>
      <c r="AU27" s="22">
        <v>1.56342</v>
      </c>
      <c r="AV27">
        <f t="shared" si="8"/>
        <v>16.561900000000001</v>
      </c>
      <c r="AW27">
        <f t="shared" si="9"/>
        <v>25.908277027</v>
      </c>
      <c r="AX27" s="9"/>
      <c r="AY27" s="22">
        <v>-1.43433E-2</v>
      </c>
      <c r="AZ27" s="22">
        <v>204.47200000000001</v>
      </c>
      <c r="BA27" s="22">
        <v>-1.9778400000000002E-2</v>
      </c>
      <c r="BB27" s="22">
        <v>17</v>
      </c>
      <c r="BC27" s="22">
        <v>-1.45203E-2</v>
      </c>
      <c r="BD27">
        <f t="shared" si="10"/>
        <v>19.778400000000001</v>
      </c>
      <c r="BE27">
        <f t="shared" si="11"/>
        <v>-0.28368752472000003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1.5592999999999999</v>
      </c>
      <c r="H28" s="22">
        <v>34.315100000000001</v>
      </c>
      <c r="I28" s="22">
        <v>-1.6864000000000001E-2</v>
      </c>
      <c r="J28" s="22">
        <v>18</v>
      </c>
      <c r="K28" s="22">
        <v>1.55853</v>
      </c>
      <c r="L28">
        <f t="shared" si="0"/>
        <v>16.864000000000001</v>
      </c>
      <c r="M28">
        <f t="shared" si="1"/>
        <v>26.296035199999999</v>
      </c>
      <c r="N28" s="9"/>
      <c r="O28" s="22">
        <v>-9.3078599999999994E-3</v>
      </c>
      <c r="P28" s="22">
        <v>68.368300000000005</v>
      </c>
      <c r="Q28" s="22">
        <v>-1.9641100000000002E-2</v>
      </c>
      <c r="R28" s="22">
        <v>18</v>
      </c>
      <c r="S28" s="22">
        <v>-9.4329800000000005E-3</v>
      </c>
      <c r="T28">
        <f t="shared" si="2"/>
        <v>19.641100000000002</v>
      </c>
      <c r="U28">
        <f t="shared" si="3"/>
        <v>-0.182816609046</v>
      </c>
      <c r="X28" s="9"/>
      <c r="Y28" s="22">
        <v>1.5592999999999999</v>
      </c>
      <c r="Z28" s="22">
        <v>102.39100000000001</v>
      </c>
      <c r="AA28" s="22">
        <v>-1.7080700000000001E-2</v>
      </c>
      <c r="AB28" s="22">
        <v>18</v>
      </c>
      <c r="AC28" s="22">
        <v>1.55823</v>
      </c>
      <c r="AD28">
        <f t="shared" si="4"/>
        <v>17.0807</v>
      </c>
      <c r="AE28">
        <f t="shared" si="5"/>
        <v>26.633935509999997</v>
      </c>
      <c r="AF28" s="9"/>
      <c r="AG28" s="22">
        <v>-9.3078599999999994E-3</v>
      </c>
      <c r="AH28" s="22">
        <v>136.398</v>
      </c>
      <c r="AI28" s="22">
        <v>-1.9778400000000002E-2</v>
      </c>
      <c r="AJ28" s="22">
        <v>18</v>
      </c>
      <c r="AK28" s="22">
        <v>-9.5428500000000003E-3</v>
      </c>
      <c r="AL28">
        <f t="shared" si="6"/>
        <v>19.778400000000001</v>
      </c>
      <c r="AM28">
        <f t="shared" si="7"/>
        <v>-0.18409457822399999</v>
      </c>
      <c r="AP28" s="9"/>
      <c r="AQ28" s="22">
        <v>1.5592999999999999</v>
      </c>
      <c r="AR28" s="22">
        <v>170.45599999999999</v>
      </c>
      <c r="AS28" s="22">
        <v>-1.6751100000000001E-2</v>
      </c>
      <c r="AT28" s="22">
        <v>18</v>
      </c>
      <c r="AU28" s="22">
        <v>1.55792</v>
      </c>
      <c r="AV28">
        <f t="shared" si="8"/>
        <v>16.751100000000001</v>
      </c>
      <c r="AW28">
        <f t="shared" si="9"/>
        <v>26.119990229999999</v>
      </c>
      <c r="AX28" s="9"/>
      <c r="AY28" s="22">
        <v>-9.3078599999999994E-3</v>
      </c>
      <c r="AZ28" s="22">
        <v>204.482</v>
      </c>
      <c r="BA28" s="22">
        <v>-1.9775399999999999E-2</v>
      </c>
      <c r="BB28" s="22">
        <v>18</v>
      </c>
      <c r="BC28" s="22">
        <v>-9.7869900000000006E-3</v>
      </c>
      <c r="BD28">
        <f t="shared" si="10"/>
        <v>19.775399999999998</v>
      </c>
      <c r="BE28">
        <f t="shared" si="11"/>
        <v>-0.18406665464399996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1.55426</v>
      </c>
      <c r="H29" s="22">
        <v>34.325200000000002</v>
      </c>
      <c r="I29" s="22">
        <v>-1.7007399999999999E-2</v>
      </c>
      <c r="J29" s="22">
        <v>19</v>
      </c>
      <c r="K29" s="22">
        <v>1.55304</v>
      </c>
      <c r="L29">
        <f t="shared" si="0"/>
        <v>17.007400000000001</v>
      </c>
      <c r="M29">
        <f t="shared" si="1"/>
        <v>26.433921523999999</v>
      </c>
      <c r="N29" s="9"/>
      <c r="O29" s="22">
        <v>-4.2724599999999996E-3</v>
      </c>
      <c r="P29" s="22">
        <v>68.378399999999999</v>
      </c>
      <c r="Q29" s="22">
        <v>-1.9638099999999999E-2</v>
      </c>
      <c r="R29" s="22">
        <v>19</v>
      </c>
      <c r="S29" s="22">
        <v>-4.3701199999999999E-3</v>
      </c>
      <c r="T29">
        <f t="shared" si="2"/>
        <v>19.638099999999998</v>
      </c>
      <c r="U29">
        <f t="shared" si="3"/>
        <v>-8.390299672599999E-2</v>
      </c>
      <c r="X29" s="9"/>
      <c r="Y29" s="22">
        <v>1.55426</v>
      </c>
      <c r="Z29" s="22">
        <v>102.401</v>
      </c>
      <c r="AA29" s="22">
        <v>-1.7215000000000001E-2</v>
      </c>
      <c r="AB29" s="22">
        <v>19</v>
      </c>
      <c r="AC29" s="22">
        <v>1.5533399999999999</v>
      </c>
      <c r="AD29">
        <f t="shared" si="4"/>
        <v>17.215</v>
      </c>
      <c r="AE29">
        <f t="shared" si="5"/>
        <v>26.756585900000001</v>
      </c>
      <c r="AF29" s="9"/>
      <c r="AG29" s="22">
        <v>-4.2724599999999996E-3</v>
      </c>
      <c r="AH29" s="22">
        <v>136.40799999999999</v>
      </c>
      <c r="AI29" s="22">
        <v>-1.9775399999999999E-2</v>
      </c>
      <c r="AJ29" s="22">
        <v>19</v>
      </c>
      <c r="AK29" s="22">
        <v>-4.4464099999999996E-3</v>
      </c>
      <c r="AL29">
        <f t="shared" si="6"/>
        <v>19.775399999999998</v>
      </c>
      <c r="AM29">
        <f t="shared" si="7"/>
        <v>-8.4489605483999988E-2</v>
      </c>
      <c r="AP29" s="9"/>
      <c r="AQ29" s="22">
        <v>1.55426</v>
      </c>
      <c r="AR29" s="22">
        <v>170.46600000000001</v>
      </c>
      <c r="AS29" s="22">
        <v>-1.6924999999999999E-2</v>
      </c>
      <c r="AT29" s="22">
        <v>19</v>
      </c>
      <c r="AU29" s="22">
        <v>1.5533399999999999</v>
      </c>
      <c r="AV29">
        <f t="shared" si="8"/>
        <v>16.925000000000001</v>
      </c>
      <c r="AW29">
        <f t="shared" si="9"/>
        <v>26.305850500000002</v>
      </c>
      <c r="AX29" s="9"/>
      <c r="AY29" s="22">
        <v>-4.2724599999999996E-3</v>
      </c>
      <c r="AZ29" s="22">
        <v>204.49199999999999</v>
      </c>
      <c r="BA29" s="22">
        <v>-1.97693E-2</v>
      </c>
      <c r="BB29" s="22">
        <v>19</v>
      </c>
      <c r="BC29" s="22">
        <v>-4.2449999999999996E-3</v>
      </c>
      <c r="BD29">
        <f t="shared" si="10"/>
        <v>19.769300000000001</v>
      </c>
      <c r="BE29">
        <f t="shared" si="11"/>
        <v>-8.4463543478000003E-2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1.54922</v>
      </c>
      <c r="H30" s="22">
        <v>34.335299999999997</v>
      </c>
      <c r="I30" s="22">
        <v>-1.7132600000000001E-2</v>
      </c>
      <c r="J30" s="22">
        <v>20</v>
      </c>
      <c r="K30" s="22">
        <v>1.5484599999999999</v>
      </c>
      <c r="L30">
        <f t="shared" si="0"/>
        <v>17.1326</v>
      </c>
      <c r="M30">
        <f t="shared" si="1"/>
        <v>26.542166571999999</v>
      </c>
      <c r="N30" s="9"/>
      <c r="O30" s="22">
        <v>7.6293900000000002E-4</v>
      </c>
      <c r="P30" s="22">
        <v>68.388400000000004</v>
      </c>
      <c r="Q30" s="22">
        <v>-1.9635E-2</v>
      </c>
      <c r="R30" s="22">
        <v>20</v>
      </c>
      <c r="S30" s="22">
        <v>5.3405800000000002E-4</v>
      </c>
      <c r="T30">
        <f t="shared" si="2"/>
        <v>19.634999999999998</v>
      </c>
      <c r="U30">
        <f t="shared" si="3"/>
        <v>1.4980307264999999E-2</v>
      </c>
      <c r="X30" s="9"/>
      <c r="Y30" s="22">
        <v>1.54922</v>
      </c>
      <c r="Z30" s="22">
        <v>102.41200000000001</v>
      </c>
      <c r="AA30" s="22">
        <v>-1.73279E-2</v>
      </c>
      <c r="AB30" s="22">
        <v>20</v>
      </c>
      <c r="AC30" s="22">
        <v>1.5484599999999999</v>
      </c>
      <c r="AD30">
        <f t="shared" si="4"/>
        <v>17.3279</v>
      </c>
      <c r="AE30">
        <f t="shared" si="5"/>
        <v>26.844729237999999</v>
      </c>
      <c r="AF30" s="9"/>
      <c r="AG30" s="22">
        <v>7.6293900000000002E-4</v>
      </c>
      <c r="AH30" s="22">
        <v>136.41800000000001</v>
      </c>
      <c r="AI30" s="22">
        <v>-1.97723E-2</v>
      </c>
      <c r="AJ30" s="22">
        <v>20</v>
      </c>
      <c r="AK30" s="22">
        <v>5.49316E-4</v>
      </c>
      <c r="AL30">
        <f t="shared" si="6"/>
        <v>19.772300000000001</v>
      </c>
      <c r="AM30">
        <f t="shared" si="7"/>
        <v>1.5085058789700002E-2</v>
      </c>
      <c r="AP30" s="9"/>
      <c r="AQ30" s="22">
        <v>1.54922</v>
      </c>
      <c r="AR30" s="22">
        <v>170.476</v>
      </c>
      <c r="AS30" s="22">
        <v>-1.70715E-2</v>
      </c>
      <c r="AT30" s="22">
        <v>20</v>
      </c>
      <c r="AU30" s="22">
        <v>1.5484599999999999</v>
      </c>
      <c r="AV30">
        <f t="shared" si="8"/>
        <v>17.0715</v>
      </c>
      <c r="AW30">
        <f t="shared" si="9"/>
        <v>26.447509230000001</v>
      </c>
      <c r="AX30" s="9"/>
      <c r="AY30" s="22">
        <v>7.6293900000000002E-4</v>
      </c>
      <c r="AZ30" s="22">
        <v>204.50200000000001</v>
      </c>
      <c r="BA30" s="22">
        <v>-1.9766200000000001E-2</v>
      </c>
      <c r="BB30" s="22">
        <v>20</v>
      </c>
      <c r="BC30" s="22">
        <v>4.3945300000000002E-4</v>
      </c>
      <c r="BD30">
        <f t="shared" si="10"/>
        <v>19.766200000000001</v>
      </c>
      <c r="BE30">
        <f t="shared" si="11"/>
        <v>1.5080404861800002E-2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1.54419</v>
      </c>
      <c r="H31" s="22">
        <v>34.345300000000002</v>
      </c>
      <c r="I31" s="22">
        <v>-1.7251599999999999E-2</v>
      </c>
      <c r="J31" s="22">
        <v>21</v>
      </c>
      <c r="K31" s="22">
        <v>1.5438799999999999</v>
      </c>
      <c r="L31">
        <f t="shared" si="0"/>
        <v>17.2516</v>
      </c>
      <c r="M31">
        <f t="shared" si="1"/>
        <v>26.639748204</v>
      </c>
      <c r="N31" s="9"/>
      <c r="O31" s="22">
        <v>5.7983399999999999E-3</v>
      </c>
      <c r="P31" s="22">
        <v>68.398499999999999</v>
      </c>
      <c r="Q31" s="22">
        <v>-1.9628900000000001E-2</v>
      </c>
      <c r="R31" s="22">
        <v>21</v>
      </c>
      <c r="S31" s="22">
        <v>5.7983399999999999E-3</v>
      </c>
      <c r="T31">
        <f t="shared" si="2"/>
        <v>19.628900000000002</v>
      </c>
      <c r="U31">
        <f t="shared" si="3"/>
        <v>0.113815036026</v>
      </c>
      <c r="X31" s="9"/>
      <c r="Y31" s="22">
        <v>1.54419</v>
      </c>
      <c r="Z31" s="22">
        <v>102.422</v>
      </c>
      <c r="AA31" s="22">
        <v>-1.7428599999999999E-2</v>
      </c>
      <c r="AB31" s="22">
        <v>21</v>
      </c>
      <c r="AC31" s="22">
        <v>1.54358</v>
      </c>
      <c r="AD31">
        <f t="shared" si="4"/>
        <v>17.428599999999999</v>
      </c>
      <c r="AE31">
        <f t="shared" si="5"/>
        <v>26.913069833999998</v>
      </c>
      <c r="AF31" s="9"/>
      <c r="AG31" s="22">
        <v>5.7983399999999999E-3</v>
      </c>
      <c r="AH31" s="22">
        <v>136.428</v>
      </c>
      <c r="AI31" s="22">
        <v>-1.97693E-2</v>
      </c>
      <c r="AJ31" s="22">
        <v>21</v>
      </c>
      <c r="AK31" s="22">
        <v>5.7891799999999997E-3</v>
      </c>
      <c r="AL31">
        <f t="shared" si="6"/>
        <v>19.769300000000001</v>
      </c>
      <c r="AM31">
        <f t="shared" si="7"/>
        <v>0.11462912296200001</v>
      </c>
      <c r="AP31" s="9"/>
      <c r="AQ31" s="22">
        <v>1.54419</v>
      </c>
      <c r="AR31" s="22">
        <v>170.48599999999999</v>
      </c>
      <c r="AS31" s="22">
        <v>-1.7211899999999999E-2</v>
      </c>
      <c r="AT31" s="22">
        <v>21</v>
      </c>
      <c r="AU31" s="22">
        <v>1.54358</v>
      </c>
      <c r="AV31">
        <f t="shared" si="8"/>
        <v>17.2119</v>
      </c>
      <c r="AW31">
        <f t="shared" si="9"/>
        <v>26.578443861</v>
      </c>
      <c r="AX31" s="9"/>
      <c r="AY31" s="22">
        <v>5.7983399999999999E-3</v>
      </c>
      <c r="AZ31" s="22">
        <v>204.51300000000001</v>
      </c>
      <c r="BA31" s="22">
        <v>-1.9763200000000002E-2</v>
      </c>
      <c r="BB31" s="22">
        <v>21</v>
      </c>
      <c r="BC31" s="22">
        <v>5.5450400000000002E-3</v>
      </c>
      <c r="BD31">
        <f t="shared" si="10"/>
        <v>19.763200000000001</v>
      </c>
      <c r="BE31">
        <f t="shared" si="11"/>
        <v>0.114593753088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1.53915</v>
      </c>
      <c r="H32" s="22">
        <v>34.355400000000003</v>
      </c>
      <c r="I32" s="22">
        <v>-1.7349199999999999E-2</v>
      </c>
      <c r="J32" s="22">
        <v>22</v>
      </c>
      <c r="K32" s="22">
        <v>1.53809</v>
      </c>
      <c r="L32">
        <f t="shared" si="0"/>
        <v>17.3492</v>
      </c>
      <c r="M32">
        <f t="shared" si="1"/>
        <v>26.70302118</v>
      </c>
      <c r="N32" s="9"/>
      <c r="O32" s="22">
        <v>1.08337E-2</v>
      </c>
      <c r="P32" s="22">
        <v>68.408600000000007</v>
      </c>
      <c r="Q32" s="22">
        <v>-1.9622799999999999E-2</v>
      </c>
      <c r="R32" s="22">
        <v>22</v>
      </c>
      <c r="S32" s="22">
        <v>1.0809300000000001E-2</v>
      </c>
      <c r="T32">
        <f t="shared" si="2"/>
        <v>19.622799999999998</v>
      </c>
      <c r="U32">
        <f t="shared" si="3"/>
        <v>0.21258752835999997</v>
      </c>
      <c r="X32" s="9"/>
      <c r="Y32" s="22">
        <v>1.53915</v>
      </c>
      <c r="Z32" s="22">
        <v>102.432</v>
      </c>
      <c r="AA32" s="22">
        <v>-1.7523199999999999E-2</v>
      </c>
      <c r="AB32" s="22">
        <v>22</v>
      </c>
      <c r="AC32" s="22">
        <v>1.53809</v>
      </c>
      <c r="AD32">
        <f t="shared" si="4"/>
        <v>17.523199999999999</v>
      </c>
      <c r="AE32">
        <f t="shared" si="5"/>
        <v>26.970833280000001</v>
      </c>
      <c r="AF32" s="9"/>
      <c r="AG32" s="22">
        <v>1.08337E-2</v>
      </c>
      <c r="AH32" s="22">
        <v>136.43799999999999</v>
      </c>
      <c r="AI32" s="22">
        <v>-1.9763200000000002E-2</v>
      </c>
      <c r="AJ32" s="22">
        <v>22</v>
      </c>
      <c r="AK32" s="22">
        <v>1.07849E-2</v>
      </c>
      <c r="AL32">
        <f t="shared" si="6"/>
        <v>19.763200000000001</v>
      </c>
      <c r="AM32">
        <f t="shared" si="7"/>
        <v>0.21410857984000001</v>
      </c>
      <c r="AP32" s="9"/>
      <c r="AQ32" s="22">
        <v>1.53915</v>
      </c>
      <c r="AR32" s="22">
        <v>170.49600000000001</v>
      </c>
      <c r="AS32" s="22">
        <v>-1.73279E-2</v>
      </c>
      <c r="AT32" s="22">
        <v>22</v>
      </c>
      <c r="AU32" s="22">
        <v>1.5387</v>
      </c>
      <c r="AV32">
        <f t="shared" si="8"/>
        <v>17.3279</v>
      </c>
      <c r="AW32">
        <f t="shared" si="9"/>
        <v>26.670237284999999</v>
      </c>
      <c r="AX32" s="9"/>
      <c r="AY32" s="22">
        <v>1.08337E-2</v>
      </c>
      <c r="AZ32" s="22">
        <v>204.523</v>
      </c>
      <c r="BA32" s="22">
        <v>-1.97571E-2</v>
      </c>
      <c r="BB32" s="22">
        <v>22</v>
      </c>
      <c r="BC32" s="22">
        <v>1.1084E-2</v>
      </c>
      <c r="BD32">
        <f t="shared" si="10"/>
        <v>19.757100000000001</v>
      </c>
      <c r="BE32">
        <f t="shared" si="11"/>
        <v>0.21404249427000002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1.5341199999999999</v>
      </c>
      <c r="H33" s="22">
        <v>34.365499999999997</v>
      </c>
      <c r="I33" s="22">
        <v>-1.7434700000000001E-2</v>
      </c>
      <c r="J33" s="22">
        <v>23</v>
      </c>
      <c r="K33" s="22">
        <v>1.5338099999999999</v>
      </c>
      <c r="L33">
        <f t="shared" si="0"/>
        <v>17.434699999999999</v>
      </c>
      <c r="M33">
        <f t="shared" si="1"/>
        <v>26.746921963999998</v>
      </c>
      <c r="N33" s="9"/>
      <c r="O33" s="22">
        <v>1.5869100000000001E-2</v>
      </c>
      <c r="P33" s="22">
        <v>68.418599999999998</v>
      </c>
      <c r="Q33" s="22">
        <v>-1.96198E-2</v>
      </c>
      <c r="R33" s="22">
        <v>23</v>
      </c>
      <c r="S33" s="22">
        <v>1.56921E-2</v>
      </c>
      <c r="T33">
        <f t="shared" si="2"/>
        <v>19.619800000000001</v>
      </c>
      <c r="U33">
        <f t="shared" si="3"/>
        <v>0.31134856818000001</v>
      </c>
      <c r="X33" s="9"/>
      <c r="Y33" s="22">
        <v>1.5341199999999999</v>
      </c>
      <c r="Z33" s="22">
        <v>102.44199999999999</v>
      </c>
      <c r="AA33" s="22">
        <v>-1.7605599999999999E-2</v>
      </c>
      <c r="AB33" s="22">
        <v>23</v>
      </c>
      <c r="AC33" s="22">
        <v>1.5338099999999999</v>
      </c>
      <c r="AD33">
        <f t="shared" si="4"/>
        <v>17.605599999999999</v>
      </c>
      <c r="AE33">
        <f t="shared" si="5"/>
        <v>27.009103071999998</v>
      </c>
      <c r="AF33" s="9"/>
      <c r="AG33" s="22">
        <v>1.5869100000000001E-2</v>
      </c>
      <c r="AH33" s="22">
        <v>136.44800000000001</v>
      </c>
      <c r="AI33" s="22">
        <v>-1.97571E-2</v>
      </c>
      <c r="AJ33" s="22">
        <v>23</v>
      </c>
      <c r="AK33" s="22">
        <v>1.5655499999999999E-2</v>
      </c>
      <c r="AL33">
        <f t="shared" si="6"/>
        <v>19.757100000000001</v>
      </c>
      <c r="AM33">
        <f t="shared" si="7"/>
        <v>0.31352739561000004</v>
      </c>
      <c r="AP33" s="9"/>
      <c r="AQ33" s="22">
        <v>1.5341199999999999</v>
      </c>
      <c r="AR33" s="22">
        <v>170.50700000000001</v>
      </c>
      <c r="AS33" s="22">
        <v>-1.7434700000000001E-2</v>
      </c>
      <c r="AT33" s="22">
        <v>23</v>
      </c>
      <c r="AU33" s="22">
        <v>1.5341199999999999</v>
      </c>
      <c r="AV33">
        <f t="shared" si="8"/>
        <v>17.434699999999999</v>
      </c>
      <c r="AW33">
        <f t="shared" si="9"/>
        <v>26.746921963999998</v>
      </c>
      <c r="AX33" s="9"/>
      <c r="AY33" s="22">
        <v>1.5869100000000001E-2</v>
      </c>
      <c r="AZ33" s="22">
        <v>204.53299999999999</v>
      </c>
      <c r="BA33" s="22">
        <v>-1.9751000000000001E-2</v>
      </c>
      <c r="BB33" s="22">
        <v>23</v>
      </c>
      <c r="BC33" s="22">
        <v>1.5869100000000001E-2</v>
      </c>
      <c r="BD33">
        <f t="shared" si="10"/>
        <v>19.751000000000001</v>
      </c>
      <c r="BE33">
        <f t="shared" si="11"/>
        <v>0.31343059410000002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1.52908</v>
      </c>
      <c r="H34" s="22">
        <v>34.375599999999999</v>
      </c>
      <c r="I34" s="22">
        <v>-1.7510999999999999E-2</v>
      </c>
      <c r="J34" s="22">
        <v>24</v>
      </c>
      <c r="K34" s="22">
        <v>1.5286299999999999</v>
      </c>
      <c r="L34">
        <f t="shared" si="0"/>
        <v>17.510999999999999</v>
      </c>
      <c r="M34">
        <f t="shared" si="1"/>
        <v>26.77571988</v>
      </c>
      <c r="N34" s="9"/>
      <c r="O34" s="22">
        <v>2.0904499999999999E-2</v>
      </c>
      <c r="P34" s="22">
        <v>68.428700000000006</v>
      </c>
      <c r="Q34" s="22">
        <v>-1.9610599999999999E-2</v>
      </c>
      <c r="R34" s="22">
        <v>24</v>
      </c>
      <c r="S34" s="22">
        <v>2.0727499999999999E-2</v>
      </c>
      <c r="T34">
        <f t="shared" si="2"/>
        <v>19.610599999999998</v>
      </c>
      <c r="U34">
        <f t="shared" si="3"/>
        <v>0.40994978769999996</v>
      </c>
      <c r="X34" s="9"/>
      <c r="Y34" s="22">
        <v>1.52908</v>
      </c>
      <c r="Z34" s="22">
        <v>102.452</v>
      </c>
      <c r="AA34" s="22">
        <v>-1.76819E-2</v>
      </c>
      <c r="AB34" s="22">
        <v>24</v>
      </c>
      <c r="AC34" s="22">
        <v>1.5286299999999999</v>
      </c>
      <c r="AD34">
        <f t="shared" si="4"/>
        <v>17.681899999999999</v>
      </c>
      <c r="AE34">
        <f t="shared" si="5"/>
        <v>27.037039651999997</v>
      </c>
      <c r="AF34" s="9"/>
      <c r="AG34" s="22">
        <v>2.0904499999999999E-2</v>
      </c>
      <c r="AH34" s="22">
        <v>136.458</v>
      </c>
      <c r="AI34" s="22">
        <v>-1.9754000000000001E-2</v>
      </c>
      <c r="AJ34" s="22">
        <v>24</v>
      </c>
      <c r="AK34" s="22">
        <v>2.05597E-2</v>
      </c>
      <c r="AL34">
        <f t="shared" si="6"/>
        <v>19.754000000000001</v>
      </c>
      <c r="AM34">
        <f t="shared" si="7"/>
        <v>0.412947493</v>
      </c>
      <c r="AP34" s="9"/>
      <c r="AQ34" s="22">
        <v>1.52908</v>
      </c>
      <c r="AR34" s="22">
        <v>170.517</v>
      </c>
      <c r="AS34" s="22">
        <v>-1.7523199999999999E-2</v>
      </c>
      <c r="AT34" s="22">
        <v>24</v>
      </c>
      <c r="AU34" s="22">
        <v>1.5283199999999999</v>
      </c>
      <c r="AV34">
        <f t="shared" si="8"/>
        <v>17.523199999999999</v>
      </c>
      <c r="AW34">
        <f t="shared" si="9"/>
        <v>26.794374655999999</v>
      </c>
      <c r="AX34" s="9"/>
      <c r="AY34" s="22">
        <v>2.0904499999999999E-2</v>
      </c>
      <c r="AZ34" s="22">
        <v>204.54300000000001</v>
      </c>
      <c r="BA34" s="22">
        <v>-1.9747899999999999E-2</v>
      </c>
      <c r="BB34" s="22">
        <v>24</v>
      </c>
      <c r="BC34" s="22">
        <v>2.0651200000000001E-2</v>
      </c>
      <c r="BD34">
        <f t="shared" si="10"/>
        <v>19.747899999999998</v>
      </c>
      <c r="BE34">
        <f t="shared" si="11"/>
        <v>0.41281997554999994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1.5240499999999999</v>
      </c>
      <c r="H35" s="22">
        <v>34.385599999999997</v>
      </c>
      <c r="I35" s="22">
        <v>-1.7581200000000002E-2</v>
      </c>
      <c r="J35" s="22">
        <v>25</v>
      </c>
      <c r="K35" s="22">
        <v>1.5231300000000001</v>
      </c>
      <c r="L35">
        <f t="shared" si="0"/>
        <v>17.581200000000003</v>
      </c>
      <c r="M35">
        <f t="shared" si="1"/>
        <v>26.794627860000002</v>
      </c>
      <c r="N35" s="9"/>
      <c r="O35" s="22">
        <v>2.5939899999999998E-2</v>
      </c>
      <c r="P35" s="22">
        <v>68.438800000000001</v>
      </c>
      <c r="Q35" s="22">
        <v>-1.96075E-2</v>
      </c>
      <c r="R35" s="22">
        <v>25</v>
      </c>
      <c r="S35" s="22">
        <v>2.5824E-2</v>
      </c>
      <c r="T35">
        <f t="shared" si="2"/>
        <v>19.607500000000002</v>
      </c>
      <c r="U35">
        <f t="shared" si="3"/>
        <v>0.50861658924999997</v>
      </c>
      <c r="X35" s="9"/>
      <c r="Y35" s="22">
        <v>1.5240499999999999</v>
      </c>
      <c r="Z35" s="22">
        <v>102.462</v>
      </c>
      <c r="AA35" s="22">
        <v>-1.7742899999999999E-2</v>
      </c>
      <c r="AB35" s="22">
        <v>25</v>
      </c>
      <c r="AC35" s="22">
        <v>1.5231300000000001</v>
      </c>
      <c r="AD35">
        <f t="shared" si="4"/>
        <v>17.742899999999999</v>
      </c>
      <c r="AE35">
        <f t="shared" si="5"/>
        <v>27.041066744999995</v>
      </c>
      <c r="AF35" s="9"/>
      <c r="AG35" s="22">
        <v>2.5939899999999998E-2</v>
      </c>
      <c r="AH35" s="22">
        <v>136.46799999999999</v>
      </c>
      <c r="AI35" s="22">
        <v>-1.9751000000000001E-2</v>
      </c>
      <c r="AJ35" s="22">
        <v>25</v>
      </c>
      <c r="AK35" s="22">
        <v>2.5869799999999998E-2</v>
      </c>
      <c r="AL35">
        <f t="shared" si="6"/>
        <v>19.751000000000001</v>
      </c>
      <c r="AM35">
        <f t="shared" si="7"/>
        <v>0.51233896489999997</v>
      </c>
      <c r="AP35" s="9"/>
      <c r="AQ35" s="22">
        <v>1.5240499999999999</v>
      </c>
      <c r="AR35" s="22">
        <v>170.52699999999999</v>
      </c>
      <c r="AS35" s="22">
        <v>-1.76025E-2</v>
      </c>
      <c r="AT35" s="22">
        <v>25</v>
      </c>
      <c r="AU35" s="22">
        <v>1.5234399999999999</v>
      </c>
      <c r="AV35">
        <f t="shared" si="8"/>
        <v>17.602499999999999</v>
      </c>
      <c r="AW35">
        <f t="shared" si="9"/>
        <v>26.827090124999998</v>
      </c>
      <c r="AX35" s="9"/>
      <c r="AY35" s="22">
        <v>2.5939899999999998E-2</v>
      </c>
      <c r="AZ35" s="22">
        <v>204.553</v>
      </c>
      <c r="BA35" s="22">
        <v>-1.97418E-2</v>
      </c>
      <c r="BB35" s="22">
        <v>25</v>
      </c>
      <c r="BC35" s="22">
        <v>2.5824E-2</v>
      </c>
      <c r="BD35">
        <f t="shared" si="10"/>
        <v>19.741800000000001</v>
      </c>
      <c r="BE35">
        <f t="shared" si="11"/>
        <v>0.51210031781999998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1.51901</v>
      </c>
      <c r="H36" s="22">
        <v>34.395699999999998</v>
      </c>
      <c r="I36" s="22">
        <v>-1.7639200000000001E-2</v>
      </c>
      <c r="J36" s="22">
        <v>26</v>
      </c>
      <c r="K36" s="22">
        <v>1.5182500000000001</v>
      </c>
      <c r="L36">
        <f t="shared" si="0"/>
        <v>17.639200000000002</v>
      </c>
      <c r="M36">
        <f t="shared" si="1"/>
        <v>26.794121192000002</v>
      </c>
      <c r="N36" s="9"/>
      <c r="O36" s="22">
        <v>3.0975300000000001E-2</v>
      </c>
      <c r="P36" s="22">
        <v>68.448800000000006</v>
      </c>
      <c r="Q36" s="22">
        <v>-1.9601400000000001E-2</v>
      </c>
      <c r="R36" s="22">
        <v>26</v>
      </c>
      <c r="S36" s="22">
        <v>3.0828899999999999E-2</v>
      </c>
      <c r="T36">
        <f t="shared" si="2"/>
        <v>19.601400000000002</v>
      </c>
      <c r="U36">
        <f t="shared" si="3"/>
        <v>0.6071592454200001</v>
      </c>
      <c r="X36" s="9"/>
      <c r="Y36" s="22">
        <v>1.51901</v>
      </c>
      <c r="Z36" s="22">
        <v>102.47199999999999</v>
      </c>
      <c r="AA36" s="22">
        <v>-1.7797899999999998E-2</v>
      </c>
      <c r="AB36" s="22">
        <v>26</v>
      </c>
      <c r="AC36" s="22">
        <v>1.5185500000000001</v>
      </c>
      <c r="AD36">
        <f t="shared" si="4"/>
        <v>17.797899999999998</v>
      </c>
      <c r="AE36">
        <f t="shared" si="5"/>
        <v>27.035188078999997</v>
      </c>
      <c r="AF36" s="9"/>
      <c r="AG36" s="22">
        <v>3.0975300000000001E-2</v>
      </c>
      <c r="AH36" s="22">
        <v>136.47800000000001</v>
      </c>
      <c r="AI36" s="22">
        <v>-1.9747899999999999E-2</v>
      </c>
      <c r="AJ36" s="22">
        <v>26</v>
      </c>
      <c r="AK36" s="22">
        <v>3.0969199999999999E-2</v>
      </c>
      <c r="AL36">
        <f t="shared" si="6"/>
        <v>19.747899999999998</v>
      </c>
      <c r="AM36">
        <f t="shared" si="7"/>
        <v>0.61169712687</v>
      </c>
      <c r="AP36" s="9"/>
      <c r="AQ36" s="22">
        <v>1.51901</v>
      </c>
      <c r="AR36" s="22">
        <v>170.53700000000001</v>
      </c>
      <c r="AS36" s="22">
        <v>-1.7675799999999998E-2</v>
      </c>
      <c r="AT36" s="22">
        <v>26</v>
      </c>
      <c r="AU36" s="22">
        <v>1.5182500000000001</v>
      </c>
      <c r="AV36">
        <f t="shared" si="8"/>
        <v>17.675799999999999</v>
      </c>
      <c r="AW36">
        <f t="shared" si="9"/>
        <v>26.849716957999998</v>
      </c>
      <c r="AX36" s="9"/>
      <c r="AY36" s="22">
        <v>3.0975300000000001E-2</v>
      </c>
      <c r="AZ36" s="22">
        <v>204.56299999999999</v>
      </c>
      <c r="BA36" s="22">
        <v>-1.9738800000000001E-2</v>
      </c>
      <c r="BB36" s="22">
        <v>26</v>
      </c>
      <c r="BC36" s="22">
        <v>3.0822800000000001E-2</v>
      </c>
      <c r="BD36">
        <f t="shared" si="10"/>
        <v>19.738800000000001</v>
      </c>
      <c r="BE36">
        <f t="shared" si="11"/>
        <v>0.6114152516400001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1.5139800000000001</v>
      </c>
      <c r="H37" s="22">
        <v>34.405799999999999</v>
      </c>
      <c r="I37" s="22">
        <v>-1.76971E-2</v>
      </c>
      <c r="J37" s="22">
        <v>27</v>
      </c>
      <c r="K37" s="22">
        <v>1.5133700000000001</v>
      </c>
      <c r="L37">
        <f t="shared" si="0"/>
        <v>17.697099999999999</v>
      </c>
      <c r="M37">
        <f t="shared" si="1"/>
        <v>26.793055458000001</v>
      </c>
      <c r="N37" s="9"/>
      <c r="O37" s="22">
        <v>3.60107E-2</v>
      </c>
      <c r="P37" s="22">
        <v>68.4589</v>
      </c>
      <c r="Q37" s="22">
        <v>-1.9598399999999998E-2</v>
      </c>
      <c r="R37" s="22">
        <v>27</v>
      </c>
      <c r="S37" s="22">
        <v>3.5745199999999998E-2</v>
      </c>
      <c r="T37">
        <f t="shared" si="2"/>
        <v>19.598399999999998</v>
      </c>
      <c r="U37">
        <f t="shared" si="3"/>
        <v>0.7057521028799999</v>
      </c>
      <c r="X37" s="9"/>
      <c r="Y37" s="22">
        <v>1.5139800000000001</v>
      </c>
      <c r="Z37" s="22">
        <v>102.482</v>
      </c>
      <c r="AA37" s="22">
        <v>-1.78497E-2</v>
      </c>
      <c r="AB37" s="22">
        <v>27</v>
      </c>
      <c r="AC37" s="22">
        <v>1.5133700000000001</v>
      </c>
      <c r="AD37">
        <f t="shared" si="4"/>
        <v>17.849699999999999</v>
      </c>
      <c r="AE37">
        <f t="shared" si="5"/>
        <v>27.024088805999998</v>
      </c>
      <c r="AF37" s="9"/>
      <c r="AG37" s="22">
        <v>3.60107E-2</v>
      </c>
      <c r="AH37" s="22">
        <v>136.488</v>
      </c>
      <c r="AI37" s="22">
        <v>-1.9744899999999999E-2</v>
      </c>
      <c r="AJ37" s="22">
        <v>27</v>
      </c>
      <c r="AK37" s="22">
        <v>3.5711699999999999E-2</v>
      </c>
      <c r="AL37">
        <f t="shared" si="6"/>
        <v>19.744899999999998</v>
      </c>
      <c r="AM37">
        <f t="shared" si="7"/>
        <v>0.71102767042999993</v>
      </c>
      <c r="AP37" s="9"/>
      <c r="AQ37" s="22">
        <v>1.5139800000000001</v>
      </c>
      <c r="AR37" s="22">
        <v>170.547</v>
      </c>
      <c r="AS37" s="22">
        <v>-1.7739899999999999E-2</v>
      </c>
      <c r="AT37" s="22">
        <v>27</v>
      </c>
      <c r="AU37" s="22">
        <v>1.5130600000000001</v>
      </c>
      <c r="AV37">
        <f t="shared" si="8"/>
        <v>17.739899999999999</v>
      </c>
      <c r="AW37">
        <f t="shared" si="9"/>
        <v>26.857853802000001</v>
      </c>
      <c r="AX37" s="9"/>
      <c r="AY37" s="22">
        <v>3.60107E-2</v>
      </c>
      <c r="AZ37" s="22">
        <v>204.57300000000001</v>
      </c>
      <c r="BA37" s="22">
        <v>-1.9735699999999998E-2</v>
      </c>
      <c r="BB37" s="22">
        <v>27</v>
      </c>
      <c r="BC37" s="22">
        <v>3.5958900000000002E-2</v>
      </c>
      <c r="BD37">
        <f t="shared" si="10"/>
        <v>19.735699999999998</v>
      </c>
      <c r="BE37">
        <f t="shared" si="11"/>
        <v>0.71069637198999991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1.5089399999999999</v>
      </c>
      <c r="H38" s="22">
        <v>34.415799999999997</v>
      </c>
      <c r="I38" s="22">
        <v>-1.7749000000000001E-2</v>
      </c>
      <c r="J38" s="22">
        <v>28</v>
      </c>
      <c r="K38" s="22">
        <v>1.50848</v>
      </c>
      <c r="L38">
        <f t="shared" si="0"/>
        <v>17.749000000000002</v>
      </c>
      <c r="M38">
        <f t="shared" si="1"/>
        <v>26.782176060000001</v>
      </c>
      <c r="N38" s="9"/>
      <c r="O38" s="22">
        <v>4.1046100000000002E-2</v>
      </c>
      <c r="P38" s="22">
        <v>68.468999999999994</v>
      </c>
      <c r="Q38" s="22">
        <v>-1.95953E-2</v>
      </c>
      <c r="R38" s="22">
        <v>28</v>
      </c>
      <c r="S38" s="22">
        <v>4.1073600000000002E-2</v>
      </c>
      <c r="T38">
        <f t="shared" si="2"/>
        <v>19.595299999999998</v>
      </c>
      <c r="U38">
        <f t="shared" si="3"/>
        <v>0.80431064333000002</v>
      </c>
      <c r="X38" s="9"/>
      <c r="Y38" s="22">
        <v>1.5089399999999999</v>
      </c>
      <c r="Z38" s="22">
        <v>102.492</v>
      </c>
      <c r="AA38" s="22">
        <v>-1.7895500000000002E-2</v>
      </c>
      <c r="AB38" s="22">
        <v>28</v>
      </c>
      <c r="AC38" s="22">
        <v>1.5081800000000001</v>
      </c>
      <c r="AD38">
        <f t="shared" si="4"/>
        <v>17.895500000000002</v>
      </c>
      <c r="AE38">
        <f t="shared" si="5"/>
        <v>27.003235770000003</v>
      </c>
      <c r="AF38" s="9"/>
      <c r="AG38" s="22">
        <v>4.1046100000000002E-2</v>
      </c>
      <c r="AH38" s="22">
        <v>136.49799999999999</v>
      </c>
      <c r="AI38" s="22">
        <v>-1.9738800000000001E-2</v>
      </c>
      <c r="AJ38" s="22">
        <v>28</v>
      </c>
      <c r="AK38" s="22">
        <v>4.1049200000000001E-2</v>
      </c>
      <c r="AL38">
        <f t="shared" si="6"/>
        <v>19.738800000000001</v>
      </c>
      <c r="AM38">
        <f t="shared" si="7"/>
        <v>0.81020075868000008</v>
      </c>
      <c r="AP38" s="9"/>
      <c r="AQ38" s="22">
        <v>1.5089399999999999</v>
      </c>
      <c r="AR38" s="22">
        <v>170.55699999999999</v>
      </c>
      <c r="AS38" s="22">
        <v>-1.7797899999999998E-2</v>
      </c>
      <c r="AT38" s="22">
        <v>28</v>
      </c>
      <c r="AU38" s="22">
        <v>1.5081800000000001</v>
      </c>
      <c r="AV38">
        <f t="shared" si="8"/>
        <v>17.797899999999998</v>
      </c>
      <c r="AW38">
        <f t="shared" si="9"/>
        <v>26.855963225999997</v>
      </c>
      <c r="AX38" s="9"/>
      <c r="AY38" s="22">
        <v>4.1046100000000002E-2</v>
      </c>
      <c r="AZ38" s="22">
        <v>204.583</v>
      </c>
      <c r="BA38" s="22">
        <v>-1.97296E-2</v>
      </c>
      <c r="BB38" s="22">
        <v>28</v>
      </c>
      <c r="BC38" s="22">
        <v>4.104E-2</v>
      </c>
      <c r="BD38">
        <f t="shared" si="10"/>
        <v>19.729600000000001</v>
      </c>
      <c r="BE38">
        <f t="shared" si="11"/>
        <v>0.8098231345600001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1.5039100000000001</v>
      </c>
      <c r="H39" s="22">
        <v>34.425899999999999</v>
      </c>
      <c r="I39" s="22">
        <v>-1.7791700000000001E-2</v>
      </c>
      <c r="J39" s="22">
        <v>29</v>
      </c>
      <c r="K39" s="22">
        <v>1.50299</v>
      </c>
      <c r="L39">
        <f t="shared" si="0"/>
        <v>17.791700000000002</v>
      </c>
      <c r="M39">
        <f t="shared" si="1"/>
        <v>26.757115547000005</v>
      </c>
      <c r="N39" s="9"/>
      <c r="O39" s="22">
        <v>4.6081499999999997E-2</v>
      </c>
      <c r="P39" s="22">
        <v>68.479100000000003</v>
      </c>
      <c r="Q39" s="22">
        <v>-1.9589200000000001E-2</v>
      </c>
      <c r="R39" s="22">
        <v>29</v>
      </c>
      <c r="S39" s="22">
        <v>4.6020499999999999E-2</v>
      </c>
      <c r="T39">
        <f t="shared" si="2"/>
        <v>19.589200000000002</v>
      </c>
      <c r="U39">
        <f t="shared" si="3"/>
        <v>0.90269971980000008</v>
      </c>
      <c r="X39" s="9"/>
      <c r="Y39" s="22">
        <v>1.5039100000000001</v>
      </c>
      <c r="Z39" s="22">
        <v>102.502</v>
      </c>
      <c r="AA39" s="22">
        <v>-1.7938200000000001E-2</v>
      </c>
      <c r="AB39" s="22">
        <v>29</v>
      </c>
      <c r="AC39" s="22">
        <v>1.5036</v>
      </c>
      <c r="AD39">
        <f t="shared" si="4"/>
        <v>17.938200000000002</v>
      </c>
      <c r="AE39">
        <f t="shared" si="5"/>
        <v>26.977438362000004</v>
      </c>
      <c r="AF39" s="9"/>
      <c r="AG39" s="22">
        <v>4.6081499999999997E-2</v>
      </c>
      <c r="AH39" s="22">
        <v>136.50800000000001</v>
      </c>
      <c r="AI39" s="22">
        <v>-1.9732699999999999E-2</v>
      </c>
      <c r="AJ39" s="22">
        <v>29</v>
      </c>
      <c r="AK39" s="22">
        <v>4.6038799999999998E-2</v>
      </c>
      <c r="AL39">
        <f t="shared" si="6"/>
        <v>19.732699999999998</v>
      </c>
      <c r="AM39">
        <f t="shared" si="7"/>
        <v>0.90931241504999982</v>
      </c>
      <c r="AP39" s="9"/>
      <c r="AQ39" s="22">
        <v>1.5039100000000001</v>
      </c>
      <c r="AR39" s="22">
        <v>170.56700000000001</v>
      </c>
      <c r="AS39" s="22">
        <v>-1.7843600000000001E-2</v>
      </c>
      <c r="AT39" s="22">
        <v>29</v>
      </c>
      <c r="AU39" s="22">
        <v>1.50299</v>
      </c>
      <c r="AV39">
        <f t="shared" si="8"/>
        <v>17.843600000000002</v>
      </c>
      <c r="AW39">
        <f t="shared" si="9"/>
        <v>26.835168476000003</v>
      </c>
      <c r="AX39" s="9"/>
      <c r="AY39" s="22">
        <v>4.6081499999999997E-2</v>
      </c>
      <c r="AZ39" s="22">
        <v>204.59299999999999</v>
      </c>
      <c r="BA39" s="22">
        <v>-1.9723500000000001E-2</v>
      </c>
      <c r="BB39" s="22">
        <v>29</v>
      </c>
      <c r="BC39" s="22">
        <v>4.6057099999999997E-2</v>
      </c>
      <c r="BD39">
        <f t="shared" si="10"/>
        <v>19.723500000000001</v>
      </c>
      <c r="BE39">
        <f t="shared" si="11"/>
        <v>0.90888846525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1.4988699999999999</v>
      </c>
      <c r="H40" s="22">
        <v>34.436</v>
      </c>
      <c r="I40" s="22">
        <v>-1.78345E-2</v>
      </c>
      <c r="J40" s="22">
        <v>30</v>
      </c>
      <c r="K40" s="22">
        <v>1.4981100000000001</v>
      </c>
      <c r="L40">
        <f t="shared" si="0"/>
        <v>17.834499999999998</v>
      </c>
      <c r="M40">
        <f t="shared" si="1"/>
        <v>26.731597014999995</v>
      </c>
      <c r="N40" s="9"/>
      <c r="O40" s="22">
        <v>5.11169E-2</v>
      </c>
      <c r="P40" s="22">
        <v>68.489099999999993</v>
      </c>
      <c r="Q40" s="22">
        <v>-1.9583099999999999E-2</v>
      </c>
      <c r="R40" s="22">
        <v>30</v>
      </c>
      <c r="S40" s="22">
        <v>5.0881999999999997E-2</v>
      </c>
      <c r="T40">
        <f t="shared" si="2"/>
        <v>19.583099999999998</v>
      </c>
      <c r="U40">
        <f t="shared" si="3"/>
        <v>1.0010273643899998</v>
      </c>
      <c r="X40" s="9"/>
      <c r="Y40" s="22">
        <v>1.4988699999999999</v>
      </c>
      <c r="Z40" s="22">
        <v>102.512</v>
      </c>
      <c r="AA40" s="22">
        <v>-1.79718E-2</v>
      </c>
      <c r="AB40" s="22">
        <v>30</v>
      </c>
      <c r="AC40" s="22">
        <v>1.49841</v>
      </c>
      <c r="AD40">
        <f t="shared" si="4"/>
        <v>17.971799999999998</v>
      </c>
      <c r="AE40">
        <f t="shared" si="5"/>
        <v>26.937391865999995</v>
      </c>
      <c r="AF40" s="9"/>
      <c r="AG40" s="22">
        <v>5.11169E-2</v>
      </c>
      <c r="AH40" s="22">
        <v>136.518</v>
      </c>
      <c r="AI40" s="22">
        <v>-1.97266E-2</v>
      </c>
      <c r="AJ40" s="22">
        <v>30</v>
      </c>
      <c r="AK40" s="22">
        <v>5.1080300000000002E-2</v>
      </c>
      <c r="AL40">
        <f t="shared" si="6"/>
        <v>19.726600000000001</v>
      </c>
      <c r="AM40">
        <f t="shared" si="7"/>
        <v>1.00836263954</v>
      </c>
      <c r="AP40" s="9"/>
      <c r="AQ40" s="22">
        <v>1.4988699999999999</v>
      </c>
      <c r="AR40" s="22">
        <v>170.577</v>
      </c>
      <c r="AS40" s="22">
        <v>-1.78864E-2</v>
      </c>
      <c r="AT40" s="22">
        <v>30</v>
      </c>
      <c r="AU40" s="22">
        <v>1.4978</v>
      </c>
      <c r="AV40">
        <f t="shared" si="8"/>
        <v>17.886400000000002</v>
      </c>
      <c r="AW40">
        <f t="shared" si="9"/>
        <v>26.809388368</v>
      </c>
      <c r="AX40" s="9"/>
      <c r="AY40" s="22">
        <v>5.11169E-2</v>
      </c>
      <c r="AZ40" s="22">
        <v>204.60300000000001</v>
      </c>
      <c r="BA40" s="22">
        <v>-1.97174E-2</v>
      </c>
      <c r="BB40" s="22">
        <v>30</v>
      </c>
      <c r="BC40" s="22">
        <v>5.0988800000000001E-2</v>
      </c>
      <c r="BD40">
        <f t="shared" si="10"/>
        <v>19.717399999999998</v>
      </c>
      <c r="BE40">
        <f t="shared" si="11"/>
        <v>1.0078923640599999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1.4938400000000001</v>
      </c>
      <c r="H41" s="22">
        <v>34.446100000000001</v>
      </c>
      <c r="I41" s="22">
        <v>-1.7871100000000001E-2</v>
      </c>
      <c r="J41" s="22">
        <v>31</v>
      </c>
      <c r="K41" s="22">
        <v>1.49292</v>
      </c>
      <c r="L41">
        <f t="shared" si="0"/>
        <v>17.871100000000002</v>
      </c>
      <c r="M41">
        <f t="shared" si="1"/>
        <v>26.696564024000004</v>
      </c>
      <c r="N41" s="9"/>
      <c r="O41" s="22">
        <v>5.6152300000000002E-2</v>
      </c>
      <c r="P41" s="22">
        <v>68.499200000000002</v>
      </c>
      <c r="Q41" s="22">
        <v>-1.95801E-2</v>
      </c>
      <c r="R41" s="22">
        <v>31</v>
      </c>
      <c r="S41" s="22">
        <v>5.5572499999999997E-2</v>
      </c>
      <c r="T41">
        <f t="shared" si="2"/>
        <v>19.580099999999998</v>
      </c>
      <c r="U41">
        <f t="shared" si="3"/>
        <v>1.09946764923</v>
      </c>
      <c r="X41" s="9"/>
      <c r="Y41" s="22">
        <v>1.4938400000000001</v>
      </c>
      <c r="Z41" s="22">
        <v>102.52200000000001</v>
      </c>
      <c r="AA41" s="22">
        <v>-1.8002299999999999E-2</v>
      </c>
      <c r="AB41" s="22">
        <v>31</v>
      </c>
      <c r="AC41" s="22">
        <v>1.4932300000000001</v>
      </c>
      <c r="AD41">
        <f t="shared" si="4"/>
        <v>18.002299999999998</v>
      </c>
      <c r="AE41">
        <f t="shared" si="5"/>
        <v>26.892555831999999</v>
      </c>
      <c r="AF41" s="9"/>
      <c r="AG41" s="22">
        <v>5.6152300000000002E-2</v>
      </c>
      <c r="AH41" s="22">
        <v>136.52799999999999</v>
      </c>
      <c r="AI41" s="22">
        <v>-1.9723500000000001E-2</v>
      </c>
      <c r="AJ41" s="22">
        <v>31</v>
      </c>
      <c r="AK41" s="22">
        <v>5.57251E-2</v>
      </c>
      <c r="AL41">
        <f t="shared" si="6"/>
        <v>19.723500000000001</v>
      </c>
      <c r="AM41">
        <f t="shared" si="7"/>
        <v>1.1075198890500002</v>
      </c>
      <c r="AP41" s="9"/>
      <c r="AQ41" s="22">
        <v>1.4938400000000001</v>
      </c>
      <c r="AR41" s="22">
        <v>170.58699999999999</v>
      </c>
      <c r="AS41" s="22">
        <v>-1.7926000000000001E-2</v>
      </c>
      <c r="AT41" s="22">
        <v>31</v>
      </c>
      <c r="AU41" s="22">
        <v>1.4932300000000001</v>
      </c>
      <c r="AV41">
        <f t="shared" si="8"/>
        <v>17.926000000000002</v>
      </c>
      <c r="AW41">
        <f t="shared" si="9"/>
        <v>26.778575840000006</v>
      </c>
      <c r="AX41" s="9"/>
      <c r="AY41" s="22">
        <v>5.6152300000000002E-2</v>
      </c>
      <c r="AZ41" s="22">
        <v>204.613</v>
      </c>
      <c r="BA41" s="22">
        <v>-1.9711300000000001E-2</v>
      </c>
      <c r="BB41" s="22">
        <v>31</v>
      </c>
      <c r="BC41" s="22">
        <v>5.5511499999999998E-2</v>
      </c>
      <c r="BD41">
        <f t="shared" si="10"/>
        <v>19.711300000000001</v>
      </c>
      <c r="BE41">
        <f t="shared" si="11"/>
        <v>1.10683483099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1.4887999999999999</v>
      </c>
      <c r="H42" s="22">
        <v>34.456099999999999</v>
      </c>
      <c r="I42" s="22">
        <v>-1.7904699999999999E-2</v>
      </c>
      <c r="J42" s="22">
        <v>32</v>
      </c>
      <c r="K42" s="22">
        <v>1.48804</v>
      </c>
      <c r="L42">
        <f t="shared" si="0"/>
        <v>17.904699999999998</v>
      </c>
      <c r="M42">
        <f t="shared" si="1"/>
        <v>26.656517359999995</v>
      </c>
      <c r="N42" s="9"/>
      <c r="O42" s="22">
        <v>6.1187699999999998E-2</v>
      </c>
      <c r="P42" s="22">
        <v>68.509299999999996</v>
      </c>
      <c r="Q42" s="22">
        <v>-1.9577000000000001E-2</v>
      </c>
      <c r="R42" s="22">
        <v>32</v>
      </c>
      <c r="S42" s="22">
        <v>6.0577400000000003E-2</v>
      </c>
      <c r="T42">
        <f t="shared" si="2"/>
        <v>19.577000000000002</v>
      </c>
      <c r="U42">
        <f t="shared" si="3"/>
        <v>1.1978716029000001</v>
      </c>
      <c r="X42" s="9"/>
      <c r="Y42" s="22">
        <v>1.4887999999999999</v>
      </c>
      <c r="Z42" s="22">
        <v>102.532</v>
      </c>
      <c r="AA42" s="22">
        <v>-1.8029799999999999E-2</v>
      </c>
      <c r="AB42" s="22">
        <v>32</v>
      </c>
      <c r="AC42" s="22">
        <v>1.48834</v>
      </c>
      <c r="AD42">
        <f t="shared" si="4"/>
        <v>18.029799999999998</v>
      </c>
      <c r="AE42">
        <f t="shared" si="5"/>
        <v>26.842766239999996</v>
      </c>
      <c r="AF42" s="9"/>
      <c r="AG42" s="22">
        <v>6.1187699999999998E-2</v>
      </c>
      <c r="AH42" s="22">
        <v>136.53899999999999</v>
      </c>
      <c r="AI42" s="22">
        <v>-1.9720499999999998E-2</v>
      </c>
      <c r="AJ42" s="22">
        <v>32</v>
      </c>
      <c r="AK42" s="22">
        <v>6.0668899999999998E-2</v>
      </c>
      <c r="AL42">
        <f t="shared" si="6"/>
        <v>19.720499999999998</v>
      </c>
      <c r="AM42">
        <f t="shared" si="7"/>
        <v>1.2066520378499999</v>
      </c>
      <c r="AP42" s="9"/>
      <c r="AQ42" s="22">
        <v>1.4887999999999999</v>
      </c>
      <c r="AR42" s="22">
        <v>170.59700000000001</v>
      </c>
      <c r="AS42" s="22">
        <v>-1.7962599999999999E-2</v>
      </c>
      <c r="AT42" s="22">
        <v>32</v>
      </c>
      <c r="AU42" s="22">
        <v>1.48865</v>
      </c>
      <c r="AV42">
        <f t="shared" si="8"/>
        <v>17.962599999999998</v>
      </c>
      <c r="AW42">
        <f t="shared" si="9"/>
        <v>26.742718879999995</v>
      </c>
      <c r="AX42" s="9"/>
      <c r="AY42" s="22">
        <v>6.1187699999999998E-2</v>
      </c>
      <c r="AZ42" s="22">
        <v>204.62299999999999</v>
      </c>
      <c r="BA42" s="22">
        <v>-1.9705199999999999E-2</v>
      </c>
      <c r="BB42" s="22">
        <v>32</v>
      </c>
      <c r="BC42" s="22">
        <v>6.0577400000000003E-2</v>
      </c>
      <c r="BD42">
        <f t="shared" si="10"/>
        <v>19.705199999999998</v>
      </c>
      <c r="BE42">
        <f t="shared" si="11"/>
        <v>1.2057158660399998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1.48376</v>
      </c>
      <c r="H43" s="22">
        <v>34.466200000000001</v>
      </c>
      <c r="I43" s="22">
        <v>-1.7935199999999998E-2</v>
      </c>
      <c r="J43" s="22">
        <v>33</v>
      </c>
      <c r="K43" s="22">
        <v>1.48285</v>
      </c>
      <c r="L43">
        <f t="shared" si="0"/>
        <v>17.935199999999998</v>
      </c>
      <c r="M43">
        <f t="shared" si="1"/>
        <v>26.611532351999998</v>
      </c>
      <c r="N43" s="9"/>
      <c r="O43" s="22">
        <v>6.6223099999999993E-2</v>
      </c>
      <c r="P43" s="22">
        <v>68.519300000000001</v>
      </c>
      <c r="Q43" s="22">
        <v>-1.9574000000000001E-2</v>
      </c>
      <c r="R43" s="22">
        <v>33</v>
      </c>
      <c r="S43" s="22">
        <v>6.5704299999999993E-2</v>
      </c>
      <c r="T43">
        <f t="shared" si="2"/>
        <v>19.574000000000002</v>
      </c>
      <c r="U43">
        <f t="shared" si="3"/>
        <v>1.2962509594</v>
      </c>
      <c r="X43" s="9"/>
      <c r="Y43" s="22">
        <v>1.48376</v>
      </c>
      <c r="Z43" s="22">
        <v>102.542</v>
      </c>
      <c r="AA43" s="22">
        <v>-1.80511E-2</v>
      </c>
      <c r="AB43" s="22">
        <v>33</v>
      </c>
      <c r="AC43" s="22">
        <v>1.48315</v>
      </c>
      <c r="AD43">
        <f t="shared" si="4"/>
        <v>18.051100000000002</v>
      </c>
      <c r="AE43">
        <f t="shared" si="5"/>
        <v>26.783500136000001</v>
      </c>
      <c r="AF43" s="9"/>
      <c r="AG43" s="22">
        <v>6.6223099999999993E-2</v>
      </c>
      <c r="AH43" s="22">
        <v>136.54900000000001</v>
      </c>
      <c r="AI43" s="22">
        <v>-1.9711300000000001E-2</v>
      </c>
      <c r="AJ43" s="22">
        <v>33</v>
      </c>
      <c r="AK43" s="22">
        <v>6.5521200000000002E-2</v>
      </c>
      <c r="AL43">
        <f t="shared" si="6"/>
        <v>19.711300000000001</v>
      </c>
      <c r="AM43">
        <f t="shared" si="7"/>
        <v>1.3053433910299999</v>
      </c>
      <c r="AP43" s="9"/>
      <c r="AQ43" s="22">
        <v>1.48376</v>
      </c>
      <c r="AR43" s="22">
        <v>170.607</v>
      </c>
      <c r="AS43" s="22">
        <v>-1.7999299999999999E-2</v>
      </c>
      <c r="AT43" s="22">
        <v>33</v>
      </c>
      <c r="AU43" s="22">
        <v>1.48315</v>
      </c>
      <c r="AV43">
        <f t="shared" si="8"/>
        <v>17.999299999999998</v>
      </c>
      <c r="AW43">
        <f t="shared" si="9"/>
        <v>26.706641367999996</v>
      </c>
      <c r="AX43" s="9"/>
      <c r="AY43" s="22">
        <v>6.6223099999999993E-2</v>
      </c>
      <c r="AZ43" s="22">
        <v>204.63300000000001</v>
      </c>
      <c r="BA43" s="22">
        <v>-1.9699100000000001E-2</v>
      </c>
      <c r="BB43" s="22">
        <v>33</v>
      </c>
      <c r="BC43" s="22">
        <v>6.5795900000000004E-2</v>
      </c>
      <c r="BD43">
        <f t="shared" si="10"/>
        <v>19.699100000000001</v>
      </c>
      <c r="BE43">
        <f t="shared" si="11"/>
        <v>1.30453546921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1.4787300000000001</v>
      </c>
      <c r="H44" s="22">
        <v>34.476300000000002</v>
      </c>
      <c r="I44" s="22">
        <v>-1.7959599999999999E-2</v>
      </c>
      <c r="J44" s="22">
        <v>34</v>
      </c>
      <c r="K44" s="22">
        <v>1.47797</v>
      </c>
      <c r="L44">
        <f t="shared" si="0"/>
        <v>17.959599999999998</v>
      </c>
      <c r="M44">
        <f t="shared" si="1"/>
        <v>26.557399308000001</v>
      </c>
      <c r="N44" s="9"/>
      <c r="O44" s="22">
        <v>7.1258500000000002E-2</v>
      </c>
      <c r="P44" s="22">
        <v>68.529399999999995</v>
      </c>
      <c r="Q44" s="22">
        <v>-1.95648E-2</v>
      </c>
      <c r="R44" s="22">
        <v>34</v>
      </c>
      <c r="S44" s="22">
        <v>7.0922899999999997E-2</v>
      </c>
      <c r="T44">
        <f t="shared" si="2"/>
        <v>19.564800000000002</v>
      </c>
      <c r="U44">
        <f t="shared" si="3"/>
        <v>1.3941583008000002</v>
      </c>
      <c r="X44" s="9"/>
      <c r="Y44" s="22">
        <v>1.4787300000000001</v>
      </c>
      <c r="Z44" s="22">
        <v>102.553</v>
      </c>
      <c r="AA44" s="22">
        <v>-1.8075600000000001E-2</v>
      </c>
      <c r="AB44" s="22">
        <v>34</v>
      </c>
      <c r="AC44" s="22">
        <v>1.47797</v>
      </c>
      <c r="AD44">
        <f t="shared" si="4"/>
        <v>18.075600000000001</v>
      </c>
      <c r="AE44">
        <f t="shared" si="5"/>
        <v>26.728931988000003</v>
      </c>
      <c r="AF44" s="9"/>
      <c r="AG44" s="22">
        <v>7.1258500000000002E-2</v>
      </c>
      <c r="AH44" s="22">
        <v>136.559</v>
      </c>
      <c r="AI44" s="22">
        <v>-1.9705199999999999E-2</v>
      </c>
      <c r="AJ44" s="22">
        <v>34</v>
      </c>
      <c r="AK44" s="22">
        <v>7.0678699999999997E-2</v>
      </c>
      <c r="AL44">
        <f t="shared" si="6"/>
        <v>19.705199999999998</v>
      </c>
      <c r="AM44">
        <f t="shared" si="7"/>
        <v>1.4041629941999998</v>
      </c>
      <c r="AP44" s="9"/>
      <c r="AQ44" s="22">
        <v>1.4787300000000001</v>
      </c>
      <c r="AR44" s="22">
        <v>170.61699999999999</v>
      </c>
      <c r="AS44" s="22">
        <v>-1.80267E-2</v>
      </c>
      <c r="AT44" s="22">
        <v>34</v>
      </c>
      <c r="AU44" s="22">
        <v>1.47858</v>
      </c>
      <c r="AV44">
        <f t="shared" si="8"/>
        <v>18.026699999999998</v>
      </c>
      <c r="AW44">
        <f t="shared" si="9"/>
        <v>26.656622090999999</v>
      </c>
      <c r="AX44" s="9"/>
      <c r="AY44" s="22">
        <v>7.1258500000000002E-2</v>
      </c>
      <c r="AZ44" s="22">
        <v>204.643</v>
      </c>
      <c r="BA44" s="22">
        <v>-1.9696000000000002E-2</v>
      </c>
      <c r="BB44" s="22">
        <v>34</v>
      </c>
      <c r="BC44" s="22">
        <v>7.0343000000000003E-2</v>
      </c>
      <c r="BD44">
        <f t="shared" si="10"/>
        <v>19.696000000000002</v>
      </c>
      <c r="BE44">
        <f t="shared" si="11"/>
        <v>1.4035074160000001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1.4736899999999999</v>
      </c>
      <c r="H45" s="22">
        <v>34.4863</v>
      </c>
      <c r="I45" s="22">
        <v>-1.7981E-2</v>
      </c>
      <c r="J45" s="22">
        <v>35</v>
      </c>
      <c r="K45" s="22">
        <v>1.4730799999999999</v>
      </c>
      <c r="L45">
        <f t="shared" si="0"/>
        <v>17.981000000000002</v>
      </c>
      <c r="M45">
        <f t="shared" si="1"/>
        <v>26.498419890000001</v>
      </c>
      <c r="N45" s="9"/>
      <c r="O45" s="22">
        <v>7.6293899999999998E-2</v>
      </c>
      <c r="P45" s="22">
        <v>68.539500000000004</v>
      </c>
      <c r="Q45" s="22">
        <v>-1.95648E-2</v>
      </c>
      <c r="R45" s="22">
        <v>35</v>
      </c>
      <c r="S45" s="22">
        <v>7.5744599999999995E-2</v>
      </c>
      <c r="T45">
        <f t="shared" si="2"/>
        <v>19.564800000000002</v>
      </c>
      <c r="U45">
        <f t="shared" si="3"/>
        <v>1.4926748947200001</v>
      </c>
      <c r="X45" s="9"/>
      <c r="Y45" s="22">
        <v>1.4736899999999999</v>
      </c>
      <c r="Z45" s="22">
        <v>102.563</v>
      </c>
      <c r="AA45" s="22">
        <v>-1.8100000000000002E-2</v>
      </c>
      <c r="AB45" s="22">
        <v>35</v>
      </c>
      <c r="AC45" s="22">
        <v>1.47278</v>
      </c>
      <c r="AD45">
        <f t="shared" si="4"/>
        <v>18.100000000000001</v>
      </c>
      <c r="AE45">
        <f t="shared" si="5"/>
        <v>26.673789000000003</v>
      </c>
      <c r="AF45" s="9"/>
      <c r="AG45" s="22">
        <v>7.6293899999999998E-2</v>
      </c>
      <c r="AH45" s="22">
        <v>136.56899999999999</v>
      </c>
      <c r="AI45" s="22">
        <v>-1.9699100000000001E-2</v>
      </c>
      <c r="AJ45" s="22">
        <v>35</v>
      </c>
      <c r="AK45" s="22">
        <v>7.5866699999999995E-2</v>
      </c>
      <c r="AL45">
        <f t="shared" si="6"/>
        <v>19.699100000000001</v>
      </c>
      <c r="AM45">
        <f t="shared" si="7"/>
        <v>1.5029211654900001</v>
      </c>
      <c r="AP45" s="9"/>
      <c r="AQ45" s="22">
        <v>1.4736899999999999</v>
      </c>
      <c r="AR45" s="22">
        <v>170.62700000000001</v>
      </c>
      <c r="AS45" s="22">
        <v>-1.80511E-2</v>
      </c>
      <c r="AT45" s="22">
        <v>35</v>
      </c>
      <c r="AU45" s="22">
        <v>1.47339</v>
      </c>
      <c r="AV45">
        <f t="shared" si="8"/>
        <v>18.051100000000002</v>
      </c>
      <c r="AW45">
        <f t="shared" si="9"/>
        <v>26.601725559000002</v>
      </c>
      <c r="AX45" s="9"/>
      <c r="AY45" s="22">
        <v>7.6293899999999998E-2</v>
      </c>
      <c r="AZ45" s="22">
        <v>204.654</v>
      </c>
      <c r="BA45" s="22">
        <v>-1.9692999999999999E-2</v>
      </c>
      <c r="BB45" s="22">
        <v>35</v>
      </c>
      <c r="BC45" s="22">
        <v>7.5866699999999995E-2</v>
      </c>
      <c r="BD45">
        <f t="shared" si="10"/>
        <v>19.692999999999998</v>
      </c>
      <c r="BE45">
        <f t="shared" si="11"/>
        <v>1.5024557726999999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1.4686600000000001</v>
      </c>
      <c r="H46" s="22">
        <v>34.496400000000001</v>
      </c>
      <c r="I46" s="22">
        <v>-1.8002299999999999E-2</v>
      </c>
      <c r="J46" s="22">
        <v>36</v>
      </c>
      <c r="K46" s="22">
        <v>1.4679</v>
      </c>
      <c r="L46">
        <f t="shared" si="0"/>
        <v>18.002299999999998</v>
      </c>
      <c r="M46">
        <f t="shared" si="1"/>
        <v>26.439257917999999</v>
      </c>
      <c r="N46" s="9"/>
      <c r="O46" s="22">
        <v>8.1329299999999993E-2</v>
      </c>
      <c r="P46" s="22">
        <v>68.549599999999998</v>
      </c>
      <c r="Q46" s="22">
        <v>-1.9558699999999998E-2</v>
      </c>
      <c r="R46" s="22">
        <v>36</v>
      </c>
      <c r="S46" s="22">
        <v>8.1024200000000005E-2</v>
      </c>
      <c r="T46">
        <f t="shared" si="2"/>
        <v>19.558699999999998</v>
      </c>
      <c r="U46">
        <f t="shared" si="3"/>
        <v>1.5906953799099997</v>
      </c>
      <c r="X46" s="9"/>
      <c r="Y46" s="22">
        <v>1.4686600000000001</v>
      </c>
      <c r="Z46" s="22">
        <v>102.57299999999999</v>
      </c>
      <c r="AA46" s="22">
        <v>-1.81183E-2</v>
      </c>
      <c r="AB46" s="22">
        <v>36</v>
      </c>
      <c r="AC46" s="22">
        <v>1.4679</v>
      </c>
      <c r="AD46">
        <f t="shared" si="4"/>
        <v>18.118300000000001</v>
      </c>
      <c r="AE46">
        <f t="shared" si="5"/>
        <v>26.609622478000002</v>
      </c>
      <c r="AF46" s="9"/>
      <c r="AG46" s="22">
        <v>8.1329299999999993E-2</v>
      </c>
      <c r="AH46" s="22">
        <v>136.57900000000001</v>
      </c>
      <c r="AI46" s="22">
        <v>-1.9696000000000002E-2</v>
      </c>
      <c r="AJ46" s="22">
        <v>36</v>
      </c>
      <c r="AK46" s="22">
        <v>8.0902100000000005E-2</v>
      </c>
      <c r="AL46">
        <f t="shared" si="6"/>
        <v>19.696000000000002</v>
      </c>
      <c r="AM46">
        <f t="shared" si="7"/>
        <v>1.6018618927999999</v>
      </c>
      <c r="AP46" s="9"/>
      <c r="AQ46" s="22">
        <v>1.4686600000000001</v>
      </c>
      <c r="AR46" s="22">
        <v>170.637</v>
      </c>
      <c r="AS46" s="22">
        <v>-1.80786E-2</v>
      </c>
      <c r="AT46" s="22">
        <v>36</v>
      </c>
      <c r="AU46" s="22">
        <v>1.4679</v>
      </c>
      <c r="AV46">
        <f t="shared" si="8"/>
        <v>18.078600000000002</v>
      </c>
      <c r="AW46">
        <f t="shared" si="9"/>
        <v>26.551316676000003</v>
      </c>
      <c r="AX46" s="9"/>
      <c r="AY46" s="22">
        <v>8.1329299999999993E-2</v>
      </c>
      <c r="AZ46" s="22">
        <v>204.66399999999999</v>
      </c>
      <c r="BA46" s="22">
        <v>-1.96899E-2</v>
      </c>
      <c r="BB46" s="22">
        <v>36</v>
      </c>
      <c r="BC46" s="22">
        <v>8.0810499999999993E-2</v>
      </c>
      <c r="BD46">
        <f t="shared" si="10"/>
        <v>19.689900000000002</v>
      </c>
      <c r="BE46">
        <f t="shared" si="11"/>
        <v>1.60136578407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1.4636199999999999</v>
      </c>
      <c r="H47" s="22">
        <v>34.506500000000003</v>
      </c>
      <c r="I47" s="22">
        <v>-1.8020600000000001E-2</v>
      </c>
      <c r="J47" s="22">
        <v>37</v>
      </c>
      <c r="K47" s="22">
        <v>1.46271</v>
      </c>
      <c r="L47">
        <f t="shared" si="0"/>
        <v>18.020600000000002</v>
      </c>
      <c r="M47">
        <f t="shared" si="1"/>
        <v>26.375310572</v>
      </c>
      <c r="N47" s="9"/>
      <c r="O47" s="22">
        <v>8.6364700000000003E-2</v>
      </c>
      <c r="P47" s="22">
        <v>68.559600000000003</v>
      </c>
      <c r="Q47" s="22">
        <v>-1.9555699999999999E-2</v>
      </c>
      <c r="R47" s="22">
        <v>37</v>
      </c>
      <c r="S47" s="22">
        <v>8.5357699999999995E-2</v>
      </c>
      <c r="T47">
        <f t="shared" si="2"/>
        <v>19.555699999999998</v>
      </c>
      <c r="U47">
        <f t="shared" si="3"/>
        <v>1.6889221637899998</v>
      </c>
      <c r="X47" s="9"/>
      <c r="Y47" s="22">
        <v>1.4636199999999999</v>
      </c>
      <c r="Z47" s="22">
        <v>102.583</v>
      </c>
      <c r="AA47" s="22">
        <v>-1.81335E-2</v>
      </c>
      <c r="AB47" s="22">
        <v>37</v>
      </c>
      <c r="AC47" s="22">
        <v>1.4630099999999999</v>
      </c>
      <c r="AD47">
        <f t="shared" si="4"/>
        <v>18.133500000000002</v>
      </c>
      <c r="AE47">
        <f t="shared" si="5"/>
        <v>26.54055327</v>
      </c>
      <c r="AF47" s="9"/>
      <c r="AG47" s="22">
        <v>8.6364700000000003E-2</v>
      </c>
      <c r="AH47" s="22">
        <v>136.589</v>
      </c>
      <c r="AI47" s="22">
        <v>-1.9692999999999999E-2</v>
      </c>
      <c r="AJ47" s="22">
        <v>37</v>
      </c>
      <c r="AK47" s="22">
        <v>8.5906999999999997E-2</v>
      </c>
      <c r="AL47">
        <f t="shared" si="6"/>
        <v>19.692999999999998</v>
      </c>
      <c r="AM47">
        <f t="shared" si="7"/>
        <v>1.7007800370999999</v>
      </c>
      <c r="AP47" s="9"/>
      <c r="AQ47" s="22">
        <v>1.4636199999999999</v>
      </c>
      <c r="AR47" s="22">
        <v>170.648</v>
      </c>
      <c r="AS47" s="22">
        <v>-1.8096899999999999E-2</v>
      </c>
      <c r="AT47" s="22">
        <v>37</v>
      </c>
      <c r="AU47" s="22">
        <v>1.46271</v>
      </c>
      <c r="AV47">
        <f t="shared" si="8"/>
        <v>18.096899999999998</v>
      </c>
      <c r="AW47">
        <f t="shared" si="9"/>
        <v>26.486984777999997</v>
      </c>
      <c r="AX47" s="9"/>
      <c r="AY47" s="22">
        <v>8.6364700000000003E-2</v>
      </c>
      <c r="AZ47" s="22">
        <v>204.67400000000001</v>
      </c>
      <c r="BA47" s="22">
        <v>-1.96899E-2</v>
      </c>
      <c r="BB47" s="22">
        <v>37</v>
      </c>
      <c r="BC47" s="22">
        <v>8.5845900000000003E-2</v>
      </c>
      <c r="BD47">
        <f t="shared" si="10"/>
        <v>19.689900000000002</v>
      </c>
      <c r="BE47">
        <f t="shared" si="11"/>
        <v>1.7005123065300001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1.4585900000000001</v>
      </c>
      <c r="H48" s="22">
        <v>34.516599999999997</v>
      </c>
      <c r="I48" s="22">
        <v>-1.8035900000000001E-2</v>
      </c>
      <c r="J48" s="22">
        <v>38</v>
      </c>
      <c r="K48" s="22">
        <v>1.4575199999999999</v>
      </c>
      <c r="L48">
        <f t="shared" si="0"/>
        <v>18.035900000000002</v>
      </c>
      <c r="M48">
        <f t="shared" si="1"/>
        <v>26.306983381000002</v>
      </c>
      <c r="N48" s="9"/>
      <c r="O48" s="22">
        <v>9.1400099999999998E-2</v>
      </c>
      <c r="P48" s="22">
        <v>68.569699999999997</v>
      </c>
      <c r="Q48" s="22">
        <v>-1.95526E-2</v>
      </c>
      <c r="R48" s="22">
        <v>38</v>
      </c>
      <c r="S48" s="22">
        <v>9.1064500000000007E-2</v>
      </c>
      <c r="T48">
        <f t="shared" si="2"/>
        <v>19.552599999999998</v>
      </c>
      <c r="U48">
        <f t="shared" si="3"/>
        <v>1.7871095952599998</v>
      </c>
      <c r="X48" s="9"/>
      <c r="Y48" s="22">
        <v>1.4585900000000001</v>
      </c>
      <c r="Z48" s="22">
        <v>102.593</v>
      </c>
      <c r="AA48" s="22">
        <v>-1.81488E-2</v>
      </c>
      <c r="AB48" s="22">
        <v>38</v>
      </c>
      <c r="AC48" s="22">
        <v>1.4578199999999999</v>
      </c>
      <c r="AD48">
        <f t="shared" si="4"/>
        <v>18.148800000000001</v>
      </c>
      <c r="AE48">
        <f t="shared" si="5"/>
        <v>26.471658192000003</v>
      </c>
      <c r="AF48" s="9"/>
      <c r="AG48" s="22">
        <v>9.1400099999999998E-2</v>
      </c>
      <c r="AH48" s="22">
        <v>136.59899999999999</v>
      </c>
      <c r="AI48" s="22">
        <v>-1.96869E-2</v>
      </c>
      <c r="AJ48" s="22">
        <v>38</v>
      </c>
      <c r="AK48" s="22">
        <v>9.0667700000000004E-2</v>
      </c>
      <c r="AL48">
        <f t="shared" si="6"/>
        <v>19.686900000000001</v>
      </c>
      <c r="AM48">
        <f t="shared" si="7"/>
        <v>1.7993846286900002</v>
      </c>
      <c r="AP48" s="9"/>
      <c r="AQ48" s="22">
        <v>1.4585900000000001</v>
      </c>
      <c r="AR48" s="22">
        <v>170.65799999999999</v>
      </c>
      <c r="AS48" s="22">
        <v>-1.81183E-2</v>
      </c>
      <c r="AT48" s="22">
        <v>38</v>
      </c>
      <c r="AU48" s="22">
        <v>1.45844</v>
      </c>
      <c r="AV48">
        <f t="shared" si="8"/>
        <v>18.118300000000001</v>
      </c>
      <c r="AW48">
        <f t="shared" si="9"/>
        <v>26.427171197000003</v>
      </c>
      <c r="AX48" s="9"/>
      <c r="AY48" s="22">
        <v>9.1400099999999998E-2</v>
      </c>
      <c r="AZ48" s="22">
        <v>204.684</v>
      </c>
      <c r="BA48" s="22">
        <v>-1.9683800000000001E-2</v>
      </c>
      <c r="BB48" s="22">
        <v>38</v>
      </c>
      <c r="BC48" s="22">
        <v>9.0850799999999995E-2</v>
      </c>
      <c r="BD48">
        <f t="shared" si="10"/>
        <v>19.683800000000002</v>
      </c>
      <c r="BE48">
        <f t="shared" si="11"/>
        <v>1.7991012883800002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1.4535499999999999</v>
      </c>
      <c r="H49" s="22">
        <v>34.526600000000002</v>
      </c>
      <c r="I49" s="22">
        <v>-1.80511E-2</v>
      </c>
      <c r="J49" s="22">
        <v>39</v>
      </c>
      <c r="K49" s="22">
        <v>1.4523299999999999</v>
      </c>
      <c r="L49">
        <f t="shared" si="0"/>
        <v>18.051100000000002</v>
      </c>
      <c r="M49">
        <f t="shared" si="1"/>
        <v>26.238176405000001</v>
      </c>
      <c r="N49" s="9"/>
      <c r="O49" s="22">
        <v>9.6435499999999993E-2</v>
      </c>
      <c r="P49" s="22">
        <v>68.579800000000006</v>
      </c>
      <c r="Q49" s="22">
        <v>-1.95496E-2</v>
      </c>
      <c r="R49" s="22">
        <v>39</v>
      </c>
      <c r="S49" s="22">
        <v>9.5886200000000005E-2</v>
      </c>
      <c r="T49">
        <f t="shared" si="2"/>
        <v>19.549600000000002</v>
      </c>
      <c r="U49">
        <f t="shared" si="3"/>
        <v>1.8852754508</v>
      </c>
      <c r="X49" s="9"/>
      <c r="Y49" s="22">
        <v>1.4535499999999999</v>
      </c>
      <c r="Z49" s="22">
        <v>102.60299999999999</v>
      </c>
      <c r="AA49" s="22">
        <v>-1.8164099999999999E-2</v>
      </c>
      <c r="AB49" s="22">
        <v>39</v>
      </c>
      <c r="AC49" s="22">
        <v>1.4529399999999999</v>
      </c>
      <c r="AD49">
        <f t="shared" si="4"/>
        <v>18.164099999999998</v>
      </c>
      <c r="AE49">
        <f t="shared" si="5"/>
        <v>26.402427554999996</v>
      </c>
      <c r="AF49" s="9"/>
      <c r="AG49" s="22">
        <v>9.6435499999999993E-2</v>
      </c>
      <c r="AH49" s="22">
        <v>136.60900000000001</v>
      </c>
      <c r="AI49" s="22">
        <v>-1.9683800000000001E-2</v>
      </c>
      <c r="AJ49" s="22">
        <v>39</v>
      </c>
      <c r="AK49" s="22">
        <v>9.5764199999999994E-2</v>
      </c>
      <c r="AL49">
        <f t="shared" si="6"/>
        <v>19.683800000000002</v>
      </c>
      <c r="AM49">
        <f t="shared" si="7"/>
        <v>1.8982170949000001</v>
      </c>
      <c r="AP49" s="9"/>
      <c r="AQ49" s="22">
        <v>1.4535499999999999</v>
      </c>
      <c r="AR49" s="22">
        <v>170.66800000000001</v>
      </c>
      <c r="AS49" s="22">
        <v>-1.81335E-2</v>
      </c>
      <c r="AT49" s="22">
        <v>39</v>
      </c>
      <c r="AU49" s="22">
        <v>1.4523299999999999</v>
      </c>
      <c r="AV49">
        <f t="shared" si="8"/>
        <v>18.133500000000002</v>
      </c>
      <c r="AW49">
        <f t="shared" si="9"/>
        <v>26.357948924999999</v>
      </c>
      <c r="AX49" s="9"/>
      <c r="AY49" s="22">
        <v>9.6435499999999993E-2</v>
      </c>
      <c r="AZ49" s="22">
        <v>204.69399999999999</v>
      </c>
      <c r="BA49" s="22">
        <v>-1.9680799999999998E-2</v>
      </c>
      <c r="BB49" s="22">
        <v>39</v>
      </c>
      <c r="BC49" s="22">
        <v>9.5794699999999997E-2</v>
      </c>
      <c r="BD49">
        <f t="shared" si="10"/>
        <v>19.680799999999998</v>
      </c>
      <c r="BE49">
        <f t="shared" si="11"/>
        <v>1.8979277883999996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1.44852</v>
      </c>
      <c r="H50" s="22">
        <v>34.536700000000003</v>
      </c>
      <c r="I50" s="22">
        <v>-1.8060300000000001E-2</v>
      </c>
      <c r="J50" s="22">
        <v>40</v>
      </c>
      <c r="K50" s="22">
        <v>1.4480599999999999</v>
      </c>
      <c r="L50">
        <f t="shared" si="0"/>
        <v>18.060300000000002</v>
      </c>
      <c r="M50">
        <f t="shared" si="1"/>
        <v>26.160705756000002</v>
      </c>
      <c r="N50" s="9"/>
      <c r="O50" s="22">
        <v>0.10147100000000001</v>
      </c>
      <c r="P50" s="22">
        <v>68.589799999999997</v>
      </c>
      <c r="Q50" s="22">
        <v>-1.9543499999999998E-2</v>
      </c>
      <c r="R50" s="22">
        <v>40</v>
      </c>
      <c r="S50" s="22">
        <v>0.10086100000000001</v>
      </c>
      <c r="T50">
        <f t="shared" si="2"/>
        <v>19.543499999999998</v>
      </c>
      <c r="U50">
        <f t="shared" si="3"/>
        <v>1.9830984884999998</v>
      </c>
      <c r="X50" s="9"/>
      <c r="Y50" s="22">
        <v>1.44852</v>
      </c>
      <c r="Z50" s="22">
        <v>102.613</v>
      </c>
      <c r="AA50" s="22">
        <v>-1.81732E-2</v>
      </c>
      <c r="AB50" s="22">
        <v>40</v>
      </c>
      <c r="AC50" s="22">
        <v>1.4474499999999999</v>
      </c>
      <c r="AD50">
        <f t="shared" si="4"/>
        <v>18.173200000000001</v>
      </c>
      <c r="AE50">
        <f t="shared" si="5"/>
        <v>26.324243664000001</v>
      </c>
      <c r="AF50" s="9"/>
      <c r="AG50" s="22">
        <v>0.10147100000000001</v>
      </c>
      <c r="AH50" s="22">
        <v>136.619</v>
      </c>
      <c r="AI50" s="22">
        <v>-1.9677699999999999E-2</v>
      </c>
      <c r="AJ50" s="22">
        <v>40</v>
      </c>
      <c r="AK50" s="22">
        <v>0.101105</v>
      </c>
      <c r="AL50">
        <f t="shared" si="6"/>
        <v>19.677699999999998</v>
      </c>
      <c r="AM50">
        <f t="shared" si="7"/>
        <v>1.9967158966999998</v>
      </c>
      <c r="AP50" s="9"/>
      <c r="AQ50" s="22">
        <v>1.44852</v>
      </c>
      <c r="AR50" s="22">
        <v>170.678</v>
      </c>
      <c r="AS50" s="22">
        <v>-1.8151899999999999E-2</v>
      </c>
      <c r="AT50" s="22">
        <v>40</v>
      </c>
      <c r="AU50" s="22">
        <v>1.4477500000000001</v>
      </c>
      <c r="AV50">
        <f t="shared" si="8"/>
        <v>18.151899999999998</v>
      </c>
      <c r="AW50">
        <f t="shared" si="9"/>
        <v>26.293390187999996</v>
      </c>
      <c r="AX50" s="9"/>
      <c r="AY50" s="22">
        <v>0.10147100000000001</v>
      </c>
      <c r="AZ50" s="22">
        <v>204.70400000000001</v>
      </c>
      <c r="BA50" s="22">
        <v>-1.9671600000000001E-2</v>
      </c>
      <c r="BB50" s="22">
        <v>40</v>
      </c>
      <c r="BC50" s="22">
        <v>0.10058599999999999</v>
      </c>
      <c r="BD50">
        <f t="shared" si="10"/>
        <v>19.671600000000002</v>
      </c>
      <c r="BE50">
        <f t="shared" si="11"/>
        <v>1.9960969236000004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1.4434800000000001</v>
      </c>
      <c r="H51" s="22">
        <v>34.546799999999998</v>
      </c>
      <c r="I51" s="22">
        <v>-1.8072499999999998E-2</v>
      </c>
      <c r="J51" s="22">
        <v>41</v>
      </c>
      <c r="K51" s="22">
        <v>1.4428700000000001</v>
      </c>
      <c r="L51">
        <f t="shared" si="0"/>
        <v>18.072499999999998</v>
      </c>
      <c r="M51">
        <f t="shared" si="1"/>
        <v>26.087292299999998</v>
      </c>
      <c r="N51" s="9"/>
      <c r="O51" s="22">
        <v>0.106506</v>
      </c>
      <c r="P51" s="22">
        <v>68.599900000000005</v>
      </c>
      <c r="Q51" s="22">
        <v>-1.9540399999999999E-2</v>
      </c>
      <c r="R51" s="22">
        <v>41</v>
      </c>
      <c r="S51" s="22">
        <v>0.105743</v>
      </c>
      <c r="T51">
        <f t="shared" si="2"/>
        <v>19.540399999999998</v>
      </c>
      <c r="U51">
        <f t="shared" si="3"/>
        <v>2.0811698424</v>
      </c>
      <c r="X51" s="9"/>
      <c r="Y51" s="22">
        <v>1.4434800000000001</v>
      </c>
      <c r="Z51" s="22">
        <v>102.623</v>
      </c>
      <c r="AA51" s="22">
        <v>-1.8185400000000001E-2</v>
      </c>
      <c r="AB51" s="22">
        <v>41</v>
      </c>
      <c r="AC51" s="22">
        <v>1.4428700000000001</v>
      </c>
      <c r="AD51">
        <f t="shared" si="4"/>
        <v>18.185400000000001</v>
      </c>
      <c r="AE51">
        <f t="shared" si="5"/>
        <v>26.250261192000004</v>
      </c>
      <c r="AF51" s="9"/>
      <c r="AG51" s="22">
        <v>0.106506</v>
      </c>
      <c r="AH51" s="22">
        <v>136.62899999999999</v>
      </c>
      <c r="AI51" s="22">
        <v>-1.9671600000000001E-2</v>
      </c>
      <c r="AJ51" s="22">
        <v>41</v>
      </c>
      <c r="AK51" s="22">
        <v>0.105865</v>
      </c>
      <c r="AL51">
        <f t="shared" si="6"/>
        <v>19.671600000000002</v>
      </c>
      <c r="AM51">
        <f t="shared" si="7"/>
        <v>2.0951434296000002</v>
      </c>
      <c r="AP51" s="9"/>
      <c r="AQ51" s="22">
        <v>1.4434800000000001</v>
      </c>
      <c r="AR51" s="22">
        <v>170.68799999999999</v>
      </c>
      <c r="AS51" s="22">
        <v>-1.8164099999999999E-2</v>
      </c>
      <c r="AT51" s="22">
        <v>41</v>
      </c>
      <c r="AU51" s="22">
        <v>1.4431799999999999</v>
      </c>
      <c r="AV51">
        <f t="shared" si="8"/>
        <v>18.164099999999998</v>
      </c>
      <c r="AW51">
        <f t="shared" si="9"/>
        <v>26.219515068</v>
      </c>
      <c r="AX51" s="9"/>
      <c r="AY51" s="22">
        <v>0.106506</v>
      </c>
      <c r="AZ51" s="22">
        <v>204.714</v>
      </c>
      <c r="BA51" s="22">
        <v>-1.9668600000000001E-2</v>
      </c>
      <c r="BB51" s="22">
        <v>41</v>
      </c>
      <c r="BC51" s="22">
        <v>0.10607900000000001</v>
      </c>
      <c r="BD51">
        <f t="shared" si="10"/>
        <v>19.668600000000001</v>
      </c>
      <c r="BE51">
        <f t="shared" si="11"/>
        <v>2.0948239116000003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1.43845</v>
      </c>
      <c r="H52" s="22">
        <v>34.556800000000003</v>
      </c>
      <c r="I52" s="22">
        <v>-1.8087800000000001E-2</v>
      </c>
      <c r="J52" s="22">
        <v>42</v>
      </c>
      <c r="K52" s="22">
        <v>1.4373800000000001</v>
      </c>
      <c r="L52">
        <f t="shared" si="0"/>
        <v>18.087800000000001</v>
      </c>
      <c r="M52">
        <f t="shared" si="1"/>
        <v>26.018395910000002</v>
      </c>
      <c r="N52" s="9"/>
      <c r="O52" s="22">
        <v>0.111542</v>
      </c>
      <c r="P52" s="22">
        <v>68.61</v>
      </c>
      <c r="Q52" s="22">
        <v>-1.95374E-2</v>
      </c>
      <c r="R52" s="22">
        <v>42</v>
      </c>
      <c r="S52" s="22">
        <v>0.11099199999999999</v>
      </c>
      <c r="T52">
        <f t="shared" si="2"/>
        <v>19.537400000000002</v>
      </c>
      <c r="U52">
        <f t="shared" si="3"/>
        <v>2.1792406708000001</v>
      </c>
      <c r="X52" s="9"/>
      <c r="Y52" s="22">
        <v>1.43845</v>
      </c>
      <c r="Z52" s="22">
        <v>102.633</v>
      </c>
      <c r="AA52" s="22">
        <v>-1.8197600000000001E-2</v>
      </c>
      <c r="AB52" s="22">
        <v>42</v>
      </c>
      <c r="AC52" s="22">
        <v>1.4376800000000001</v>
      </c>
      <c r="AD52">
        <f t="shared" si="4"/>
        <v>18.197600000000001</v>
      </c>
      <c r="AE52">
        <f t="shared" si="5"/>
        <v>26.176337720000003</v>
      </c>
      <c r="AF52" s="9"/>
      <c r="AG52" s="22">
        <v>0.111542</v>
      </c>
      <c r="AH52" s="22">
        <v>136.63900000000001</v>
      </c>
      <c r="AI52" s="22">
        <v>-1.9668600000000001E-2</v>
      </c>
      <c r="AJ52" s="22">
        <v>42</v>
      </c>
      <c r="AK52" s="22">
        <v>0.11099199999999999</v>
      </c>
      <c r="AL52">
        <f t="shared" si="6"/>
        <v>19.668600000000001</v>
      </c>
      <c r="AM52">
        <f t="shared" si="7"/>
        <v>2.1938749812</v>
      </c>
      <c r="AP52" s="9"/>
      <c r="AQ52" s="22">
        <v>1.43845</v>
      </c>
      <c r="AR52" s="22">
        <v>170.69800000000001</v>
      </c>
      <c r="AS52" s="22">
        <v>-1.8179299999999999E-2</v>
      </c>
      <c r="AT52" s="22">
        <v>42</v>
      </c>
      <c r="AU52" s="22">
        <v>1.4376800000000001</v>
      </c>
      <c r="AV52">
        <f t="shared" si="8"/>
        <v>18.179299999999998</v>
      </c>
      <c r="AW52">
        <f t="shared" si="9"/>
        <v>26.150014084999999</v>
      </c>
      <c r="AX52" s="9"/>
      <c r="AY52" s="22">
        <v>0.111542</v>
      </c>
      <c r="AZ52" s="22">
        <v>204.72399999999999</v>
      </c>
      <c r="BA52" s="22">
        <v>-1.9662499999999999E-2</v>
      </c>
      <c r="BB52" s="22">
        <v>42</v>
      </c>
      <c r="BC52" s="22">
        <v>0.111053</v>
      </c>
      <c r="BD52">
        <f t="shared" si="10"/>
        <v>19.662499999999998</v>
      </c>
      <c r="BE52">
        <f t="shared" si="11"/>
        <v>2.1931945749999997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1.4334100000000001</v>
      </c>
      <c r="H53" s="22">
        <v>34.566899999999997</v>
      </c>
      <c r="I53" s="22">
        <v>-1.8096899999999999E-2</v>
      </c>
      <c r="J53" s="22">
        <v>43</v>
      </c>
      <c r="K53" s="22">
        <v>1.4325000000000001</v>
      </c>
      <c r="L53">
        <f t="shared" si="0"/>
        <v>18.096899999999998</v>
      </c>
      <c r="M53">
        <f t="shared" si="1"/>
        <v>25.940277428999998</v>
      </c>
      <c r="N53" s="9"/>
      <c r="O53" s="22">
        <v>0.116577</v>
      </c>
      <c r="P53" s="22">
        <v>68.620099999999994</v>
      </c>
      <c r="Q53" s="22">
        <v>-1.9534300000000001E-2</v>
      </c>
      <c r="R53" s="22">
        <v>43</v>
      </c>
      <c r="S53" s="22">
        <v>0.115967</v>
      </c>
      <c r="T53">
        <f t="shared" si="2"/>
        <v>19.534300000000002</v>
      </c>
      <c r="U53">
        <f t="shared" si="3"/>
        <v>2.2772500911000004</v>
      </c>
      <c r="X53" s="9"/>
      <c r="Y53" s="22">
        <v>1.4334100000000001</v>
      </c>
      <c r="Z53" s="22">
        <v>102.643</v>
      </c>
      <c r="AA53" s="22">
        <v>-1.8206799999999999E-2</v>
      </c>
      <c r="AB53" s="22">
        <v>43</v>
      </c>
      <c r="AC53" s="22">
        <v>1.4321900000000001</v>
      </c>
      <c r="AD53">
        <f t="shared" si="4"/>
        <v>18.206799999999998</v>
      </c>
      <c r="AE53">
        <f t="shared" si="5"/>
        <v>26.097809187999999</v>
      </c>
      <c r="AF53" s="9"/>
      <c r="AG53" s="22">
        <v>0.116577</v>
      </c>
      <c r="AH53" s="22">
        <v>136.649</v>
      </c>
      <c r="AI53" s="22">
        <v>-1.9665499999999999E-2</v>
      </c>
      <c r="AJ53" s="22">
        <v>43</v>
      </c>
      <c r="AK53" s="22">
        <v>0.116119</v>
      </c>
      <c r="AL53">
        <f t="shared" si="6"/>
        <v>19.665499999999998</v>
      </c>
      <c r="AM53">
        <f t="shared" si="7"/>
        <v>2.2925449935</v>
      </c>
      <c r="AP53" s="9"/>
      <c r="AQ53" s="22">
        <v>1.4334100000000001</v>
      </c>
      <c r="AR53" s="22">
        <v>170.708</v>
      </c>
      <c r="AS53" s="22">
        <v>-1.8191499999999999E-2</v>
      </c>
      <c r="AT53" s="22">
        <v>43</v>
      </c>
      <c r="AU53" s="22">
        <v>1.4328000000000001</v>
      </c>
      <c r="AV53">
        <f t="shared" si="8"/>
        <v>18.191499999999998</v>
      </c>
      <c r="AW53">
        <f t="shared" si="9"/>
        <v>26.075878014999997</v>
      </c>
      <c r="AX53" s="9"/>
      <c r="AY53" s="22">
        <v>0.116577</v>
      </c>
      <c r="AZ53" s="22">
        <v>204.73400000000001</v>
      </c>
      <c r="BA53" s="22">
        <v>-1.96594E-2</v>
      </c>
      <c r="BB53" s="22">
        <v>43</v>
      </c>
      <c r="BC53" s="22">
        <v>0.11605799999999999</v>
      </c>
      <c r="BD53">
        <f t="shared" si="10"/>
        <v>19.659400000000002</v>
      </c>
      <c r="BE53">
        <f t="shared" si="11"/>
        <v>2.2918338738000004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1.42838</v>
      </c>
      <c r="H54" s="22">
        <v>34.576999999999998</v>
      </c>
      <c r="I54" s="22">
        <v>-1.81061E-2</v>
      </c>
      <c r="J54" s="22">
        <v>44</v>
      </c>
      <c r="K54" s="22">
        <v>1.4279200000000001</v>
      </c>
      <c r="L54">
        <f t="shared" si="0"/>
        <v>18.106100000000001</v>
      </c>
      <c r="M54">
        <f t="shared" si="1"/>
        <v>25.862391118000001</v>
      </c>
      <c r="N54" s="9"/>
      <c r="O54" s="22">
        <v>0.121613</v>
      </c>
      <c r="P54" s="22">
        <v>68.630099999999999</v>
      </c>
      <c r="Q54" s="22">
        <v>-1.95251E-2</v>
      </c>
      <c r="R54" s="22">
        <v>44</v>
      </c>
      <c r="S54" s="22">
        <v>0.120972</v>
      </c>
      <c r="T54">
        <f t="shared" si="2"/>
        <v>19.525099999999998</v>
      </c>
      <c r="U54">
        <f t="shared" si="3"/>
        <v>2.3745059863</v>
      </c>
      <c r="X54" s="9"/>
      <c r="Y54" s="22">
        <v>1.42838</v>
      </c>
      <c r="Z54" s="22">
        <v>102.65300000000001</v>
      </c>
      <c r="AA54" s="22">
        <v>-1.8218999999999999E-2</v>
      </c>
      <c r="AB54" s="22">
        <v>44</v>
      </c>
      <c r="AC54" s="22">
        <v>1.42761</v>
      </c>
      <c r="AD54">
        <f t="shared" si="4"/>
        <v>18.218999999999998</v>
      </c>
      <c r="AE54">
        <f t="shared" si="5"/>
        <v>26.023655219999995</v>
      </c>
      <c r="AF54" s="9"/>
      <c r="AG54" s="22">
        <v>0.121613</v>
      </c>
      <c r="AH54" s="22">
        <v>136.65899999999999</v>
      </c>
      <c r="AI54" s="22">
        <v>-1.96594E-2</v>
      </c>
      <c r="AJ54" s="22">
        <v>44</v>
      </c>
      <c r="AK54" s="22">
        <v>0.121063</v>
      </c>
      <c r="AL54">
        <f t="shared" si="6"/>
        <v>19.659400000000002</v>
      </c>
      <c r="AM54">
        <f t="shared" si="7"/>
        <v>2.3908386122</v>
      </c>
      <c r="AP54" s="9"/>
      <c r="AQ54" s="22">
        <v>1.42838</v>
      </c>
      <c r="AR54" s="22">
        <v>170.71799999999999</v>
      </c>
      <c r="AS54" s="22">
        <v>-1.82037E-2</v>
      </c>
      <c r="AT54" s="22">
        <v>44</v>
      </c>
      <c r="AU54" s="22">
        <v>1.4273100000000001</v>
      </c>
      <c r="AV54">
        <f t="shared" si="8"/>
        <v>18.203700000000001</v>
      </c>
      <c r="AW54">
        <f t="shared" si="9"/>
        <v>26.001801006000001</v>
      </c>
      <c r="AX54" s="9"/>
      <c r="AY54" s="22">
        <v>0.121613</v>
      </c>
      <c r="AZ54" s="22">
        <v>204.744</v>
      </c>
      <c r="BA54" s="22">
        <v>-1.9653299999999999E-2</v>
      </c>
      <c r="BB54" s="22">
        <v>44</v>
      </c>
      <c r="BC54" s="22">
        <v>0.121002</v>
      </c>
      <c r="BD54">
        <f t="shared" si="10"/>
        <v>19.653299999999998</v>
      </c>
      <c r="BE54">
        <f t="shared" si="11"/>
        <v>2.3900967728999998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1.42334</v>
      </c>
      <c r="H55" s="22">
        <v>34.5871</v>
      </c>
      <c r="I55" s="22">
        <v>-1.8115200000000001E-2</v>
      </c>
      <c r="J55" s="22">
        <v>45</v>
      </c>
      <c r="K55" s="22">
        <v>1.4227300000000001</v>
      </c>
      <c r="L55">
        <f t="shared" si="0"/>
        <v>18.115200000000002</v>
      </c>
      <c r="M55">
        <f t="shared" si="1"/>
        <v>25.784088768000004</v>
      </c>
      <c r="N55" s="9"/>
      <c r="O55" s="22">
        <v>0.12664800000000001</v>
      </c>
      <c r="P55" s="22">
        <v>68.640199999999993</v>
      </c>
      <c r="Q55" s="22">
        <v>-1.9519000000000002E-2</v>
      </c>
      <c r="R55" s="22">
        <v>45</v>
      </c>
      <c r="S55" s="22">
        <v>0.12612899999999999</v>
      </c>
      <c r="T55">
        <f t="shared" si="2"/>
        <v>19.519000000000002</v>
      </c>
      <c r="U55">
        <f t="shared" si="3"/>
        <v>2.4720423120000006</v>
      </c>
      <c r="X55" s="9"/>
      <c r="Y55" s="22">
        <v>1.42334</v>
      </c>
      <c r="Z55" s="22">
        <v>102.663</v>
      </c>
      <c r="AA55" s="22">
        <v>-1.8231199999999999E-2</v>
      </c>
      <c r="AB55" s="22">
        <v>45</v>
      </c>
      <c r="AC55" s="22">
        <v>1.4221200000000001</v>
      </c>
      <c r="AD55">
        <f t="shared" si="4"/>
        <v>18.231200000000001</v>
      </c>
      <c r="AE55">
        <f t="shared" si="5"/>
        <v>25.949196208000004</v>
      </c>
      <c r="AF55" s="9"/>
      <c r="AG55" s="22">
        <v>0.12664800000000001</v>
      </c>
      <c r="AH55" s="22">
        <v>136.66900000000001</v>
      </c>
      <c r="AI55" s="22">
        <v>-1.9653299999999999E-2</v>
      </c>
      <c r="AJ55" s="22">
        <v>45</v>
      </c>
      <c r="AK55" s="22">
        <v>0.12609899999999999</v>
      </c>
      <c r="AL55">
        <f t="shared" si="6"/>
        <v>19.653299999999998</v>
      </c>
      <c r="AM55">
        <f t="shared" si="7"/>
        <v>2.4890511383999998</v>
      </c>
      <c r="AP55" s="9"/>
      <c r="AQ55" s="22">
        <v>1.42334</v>
      </c>
      <c r="AR55" s="22">
        <v>170.72800000000001</v>
      </c>
      <c r="AS55" s="22">
        <v>-1.82159E-2</v>
      </c>
      <c r="AT55" s="22">
        <v>45</v>
      </c>
      <c r="AU55" s="22">
        <v>1.42242</v>
      </c>
      <c r="AV55">
        <f t="shared" si="8"/>
        <v>18.215900000000001</v>
      </c>
      <c r="AW55">
        <f t="shared" si="9"/>
        <v>25.927419106000002</v>
      </c>
      <c r="AX55" s="9"/>
      <c r="AY55" s="22">
        <v>0.12664800000000001</v>
      </c>
      <c r="AZ55" s="22">
        <v>204.75399999999999</v>
      </c>
      <c r="BA55" s="22">
        <v>-1.96472E-2</v>
      </c>
      <c r="BB55" s="22">
        <v>45</v>
      </c>
      <c r="BC55" s="22">
        <v>0.12606800000000001</v>
      </c>
      <c r="BD55">
        <f t="shared" si="10"/>
        <v>19.647200000000002</v>
      </c>
      <c r="BE55">
        <f t="shared" si="11"/>
        <v>2.4882785856000003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1.4182999999999999</v>
      </c>
      <c r="H56" s="22">
        <v>34.597099999999998</v>
      </c>
      <c r="I56" s="22">
        <v>-1.81213E-2</v>
      </c>
      <c r="J56" s="22">
        <v>46</v>
      </c>
      <c r="K56" s="22">
        <v>1.41754</v>
      </c>
      <c r="L56">
        <f t="shared" si="0"/>
        <v>18.121300000000002</v>
      </c>
      <c r="M56">
        <f t="shared" si="1"/>
        <v>25.701439790000002</v>
      </c>
      <c r="N56" s="9"/>
      <c r="O56" s="22">
        <v>0.13168299999999999</v>
      </c>
      <c r="P56" s="22">
        <v>68.650300000000001</v>
      </c>
      <c r="Q56" s="22">
        <v>-1.9515999999999999E-2</v>
      </c>
      <c r="R56" s="22">
        <v>46</v>
      </c>
      <c r="S56" s="22">
        <v>0.13104199999999999</v>
      </c>
      <c r="T56">
        <f t="shared" si="2"/>
        <v>19.515999999999998</v>
      </c>
      <c r="U56">
        <f t="shared" si="3"/>
        <v>2.5699254279999995</v>
      </c>
      <c r="X56" s="9"/>
      <c r="Y56" s="22">
        <v>1.4182999999999999</v>
      </c>
      <c r="Z56" s="22">
        <v>102.673</v>
      </c>
      <c r="AA56" s="22">
        <v>-1.8237300000000001E-2</v>
      </c>
      <c r="AB56" s="22">
        <v>46</v>
      </c>
      <c r="AC56" s="22">
        <v>1.4172400000000001</v>
      </c>
      <c r="AD56">
        <f t="shared" si="4"/>
        <v>18.237300000000001</v>
      </c>
      <c r="AE56">
        <f t="shared" si="5"/>
        <v>25.865962589999999</v>
      </c>
      <c r="AF56" s="9"/>
      <c r="AG56" s="22">
        <v>0.13168299999999999</v>
      </c>
      <c r="AH56" s="22">
        <v>136.68</v>
      </c>
      <c r="AI56" s="22">
        <v>-1.96472E-2</v>
      </c>
      <c r="AJ56" s="22">
        <v>46</v>
      </c>
      <c r="AK56" s="22">
        <v>0.131073</v>
      </c>
      <c r="AL56">
        <f t="shared" si="6"/>
        <v>19.647200000000002</v>
      </c>
      <c r="AM56">
        <f t="shared" si="7"/>
        <v>2.5872022376000001</v>
      </c>
      <c r="AP56" s="9"/>
      <c r="AQ56" s="22">
        <v>1.4182999999999999</v>
      </c>
      <c r="AR56" s="22">
        <v>170.738</v>
      </c>
      <c r="AS56" s="22">
        <v>-1.8228100000000001E-2</v>
      </c>
      <c r="AT56" s="22">
        <v>46</v>
      </c>
      <c r="AU56" s="22">
        <v>1.41754</v>
      </c>
      <c r="AV56">
        <f t="shared" si="8"/>
        <v>18.228100000000001</v>
      </c>
      <c r="AW56">
        <f t="shared" si="9"/>
        <v>25.85291423</v>
      </c>
      <c r="AX56" s="9"/>
      <c r="AY56" s="22">
        <v>0.13168299999999999</v>
      </c>
      <c r="AZ56" s="22">
        <v>204.76400000000001</v>
      </c>
      <c r="BA56" s="22">
        <v>-1.9641100000000002E-2</v>
      </c>
      <c r="BB56" s="22">
        <v>46</v>
      </c>
      <c r="BC56" s="22">
        <v>0.13089000000000001</v>
      </c>
      <c r="BD56">
        <f t="shared" si="10"/>
        <v>19.641100000000002</v>
      </c>
      <c r="BE56">
        <f t="shared" si="11"/>
        <v>2.5863989713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1.41327</v>
      </c>
      <c r="H57" s="22">
        <v>34.607199999999999</v>
      </c>
      <c r="I57" s="22">
        <v>-1.8127399999999998E-2</v>
      </c>
      <c r="J57" s="22">
        <v>47</v>
      </c>
      <c r="K57" s="22">
        <v>1.41296</v>
      </c>
      <c r="L57">
        <f t="shared" si="0"/>
        <v>18.127399999999998</v>
      </c>
      <c r="M57">
        <f t="shared" si="1"/>
        <v>25.618910597999999</v>
      </c>
      <c r="N57" s="9"/>
      <c r="O57" s="22">
        <v>0.13671900000000001</v>
      </c>
      <c r="P57" s="22">
        <v>68.660300000000007</v>
      </c>
      <c r="Q57" s="22">
        <v>-1.95099E-2</v>
      </c>
      <c r="R57" s="22">
        <v>47</v>
      </c>
      <c r="S57" s="22">
        <v>0.135681</v>
      </c>
      <c r="T57">
        <f t="shared" si="2"/>
        <v>19.509900000000002</v>
      </c>
      <c r="U57">
        <f t="shared" si="3"/>
        <v>2.6673740181000003</v>
      </c>
      <c r="X57" s="9"/>
      <c r="Y57" s="22">
        <v>1.41327</v>
      </c>
      <c r="Z57" s="22">
        <v>102.68300000000001</v>
      </c>
      <c r="AA57" s="22">
        <v>-1.8246499999999999E-2</v>
      </c>
      <c r="AB57" s="22">
        <v>47</v>
      </c>
      <c r="AC57" s="22">
        <v>1.41205</v>
      </c>
      <c r="AD57">
        <f t="shared" si="4"/>
        <v>18.246499999999997</v>
      </c>
      <c r="AE57">
        <f t="shared" si="5"/>
        <v>25.787231054999996</v>
      </c>
      <c r="AF57" s="9"/>
      <c r="AG57" s="22">
        <v>0.13671900000000001</v>
      </c>
      <c r="AH57" s="22">
        <v>136.69</v>
      </c>
      <c r="AI57" s="22">
        <v>-1.9641100000000002E-2</v>
      </c>
      <c r="AJ57" s="22">
        <v>47</v>
      </c>
      <c r="AK57" s="22">
        <v>0.13613900000000001</v>
      </c>
      <c r="AL57">
        <f t="shared" si="6"/>
        <v>19.641100000000002</v>
      </c>
      <c r="AM57">
        <f t="shared" si="7"/>
        <v>2.6853115509000003</v>
      </c>
      <c r="AP57" s="9"/>
      <c r="AQ57" s="22">
        <v>1.41327</v>
      </c>
      <c r="AR57" s="22">
        <v>170.74799999999999</v>
      </c>
      <c r="AS57" s="22">
        <v>-1.82404E-2</v>
      </c>
      <c r="AT57" s="22">
        <v>47</v>
      </c>
      <c r="AU57" s="22">
        <v>1.41205</v>
      </c>
      <c r="AV57">
        <f t="shared" si="8"/>
        <v>18.240400000000001</v>
      </c>
      <c r="AW57">
        <f t="shared" si="9"/>
        <v>25.778610108000002</v>
      </c>
      <c r="AX57" s="9"/>
      <c r="AY57" s="22">
        <v>0.13671900000000001</v>
      </c>
      <c r="AZ57" s="22">
        <v>204.774</v>
      </c>
      <c r="BA57" s="22">
        <v>-1.9638099999999999E-2</v>
      </c>
      <c r="BB57" s="22">
        <v>47</v>
      </c>
      <c r="BC57" s="22">
        <v>0.13595599999999999</v>
      </c>
      <c r="BD57">
        <f t="shared" si="10"/>
        <v>19.638099999999998</v>
      </c>
      <c r="BE57">
        <f t="shared" si="11"/>
        <v>2.6849013938999997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1.4082300000000001</v>
      </c>
      <c r="H58" s="22">
        <v>34.6173</v>
      </c>
      <c r="I58" s="22">
        <v>-1.81335E-2</v>
      </c>
      <c r="J58" s="22">
        <v>48</v>
      </c>
      <c r="K58" s="22">
        <v>1.40717</v>
      </c>
      <c r="L58">
        <f t="shared" si="0"/>
        <v>18.133500000000002</v>
      </c>
      <c r="M58">
        <f t="shared" si="1"/>
        <v>25.536138705000003</v>
      </c>
      <c r="N58" s="9"/>
      <c r="O58" s="22">
        <v>0.14175399999999999</v>
      </c>
      <c r="P58" s="22">
        <v>68.670400000000001</v>
      </c>
      <c r="Q58" s="22">
        <v>-1.9503800000000002E-2</v>
      </c>
      <c r="R58" s="22">
        <v>48</v>
      </c>
      <c r="S58" s="22">
        <v>0.14132700000000001</v>
      </c>
      <c r="T58">
        <f t="shared" si="2"/>
        <v>19.503800000000002</v>
      </c>
      <c r="U58">
        <f t="shared" si="3"/>
        <v>2.7647416651999999</v>
      </c>
      <c r="X58" s="9"/>
      <c r="Y58" s="22">
        <v>1.4082300000000001</v>
      </c>
      <c r="Z58" s="22">
        <v>102.694</v>
      </c>
      <c r="AA58" s="22">
        <v>-1.8252600000000001E-2</v>
      </c>
      <c r="AB58" s="22">
        <v>48</v>
      </c>
      <c r="AC58" s="22">
        <v>1.40717</v>
      </c>
      <c r="AD58">
        <f t="shared" si="4"/>
        <v>18.252600000000001</v>
      </c>
      <c r="AE58">
        <f t="shared" si="5"/>
        <v>25.703858898000004</v>
      </c>
      <c r="AF58" s="9"/>
      <c r="AG58" s="22">
        <v>0.14175399999999999</v>
      </c>
      <c r="AH58" s="22">
        <v>136.69999999999999</v>
      </c>
      <c r="AI58" s="22">
        <v>-1.9638099999999999E-2</v>
      </c>
      <c r="AJ58" s="22">
        <v>48</v>
      </c>
      <c r="AK58" s="22">
        <v>0.141266</v>
      </c>
      <c r="AL58">
        <f t="shared" si="6"/>
        <v>19.638099999999998</v>
      </c>
      <c r="AM58">
        <f t="shared" si="7"/>
        <v>2.7837792273999997</v>
      </c>
      <c r="AP58" s="9"/>
      <c r="AQ58" s="22">
        <v>1.4082300000000001</v>
      </c>
      <c r="AR58" s="22">
        <v>170.75800000000001</v>
      </c>
      <c r="AS58" s="22">
        <v>-1.8249499999999998E-2</v>
      </c>
      <c r="AT58" s="22">
        <v>48</v>
      </c>
      <c r="AU58" s="22">
        <v>1.40717</v>
      </c>
      <c r="AV58">
        <f t="shared" si="8"/>
        <v>18.249499999999998</v>
      </c>
      <c r="AW58">
        <f t="shared" si="9"/>
        <v>25.699493384999997</v>
      </c>
      <c r="AX58" s="9"/>
      <c r="AY58" s="22">
        <v>0.14175399999999999</v>
      </c>
      <c r="AZ58" s="22">
        <v>204.78399999999999</v>
      </c>
      <c r="BA58" s="22">
        <v>-1.9632E-2</v>
      </c>
      <c r="BB58" s="22">
        <v>48</v>
      </c>
      <c r="BC58" s="22">
        <v>0.14111299999999999</v>
      </c>
      <c r="BD58">
        <f t="shared" si="10"/>
        <v>19.632000000000001</v>
      </c>
      <c r="BE58">
        <f t="shared" si="11"/>
        <v>2.7829145280000001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1.4032</v>
      </c>
      <c r="H59" s="22">
        <v>34.627299999999998</v>
      </c>
      <c r="I59" s="22">
        <v>-1.8142700000000001E-2</v>
      </c>
      <c r="J59" s="22">
        <v>49</v>
      </c>
      <c r="K59" s="22">
        <v>1.40289</v>
      </c>
      <c r="L59">
        <f t="shared" si="0"/>
        <v>18.142700000000001</v>
      </c>
      <c r="M59">
        <f t="shared" si="1"/>
        <v>25.457836640000004</v>
      </c>
      <c r="N59" s="9"/>
      <c r="O59" s="22">
        <v>0.14679</v>
      </c>
      <c r="P59" s="22">
        <v>68.680499999999995</v>
      </c>
      <c r="Q59" s="22">
        <v>-1.9500699999999999E-2</v>
      </c>
      <c r="R59" s="22">
        <v>49</v>
      </c>
      <c r="S59" s="22">
        <v>0.14630099999999999</v>
      </c>
      <c r="T59">
        <f t="shared" si="2"/>
        <v>19.500699999999998</v>
      </c>
      <c r="U59">
        <f t="shared" si="3"/>
        <v>2.862507753</v>
      </c>
      <c r="X59" s="9"/>
      <c r="Y59" s="22">
        <v>1.4032</v>
      </c>
      <c r="Z59" s="22">
        <v>102.70399999999999</v>
      </c>
      <c r="AA59" s="22">
        <v>-1.8261699999999999E-2</v>
      </c>
      <c r="AB59" s="22">
        <v>49</v>
      </c>
      <c r="AC59" s="22">
        <v>1.40228</v>
      </c>
      <c r="AD59">
        <f t="shared" si="4"/>
        <v>18.261699999999998</v>
      </c>
      <c r="AE59">
        <f t="shared" si="5"/>
        <v>25.624817439999998</v>
      </c>
      <c r="AF59" s="9"/>
      <c r="AG59" s="22">
        <v>0.14679</v>
      </c>
      <c r="AH59" s="22">
        <v>136.71</v>
      </c>
      <c r="AI59" s="22">
        <v>-1.9635E-2</v>
      </c>
      <c r="AJ59" s="22">
        <v>49</v>
      </c>
      <c r="AK59" s="22">
        <v>0.146454</v>
      </c>
      <c r="AL59">
        <f t="shared" si="6"/>
        <v>19.634999999999998</v>
      </c>
      <c r="AM59">
        <f t="shared" si="7"/>
        <v>2.88222165</v>
      </c>
      <c r="AP59" s="9"/>
      <c r="AQ59" s="22">
        <v>1.4032</v>
      </c>
      <c r="AR59" s="22">
        <v>170.768</v>
      </c>
      <c r="AS59" s="22">
        <v>-1.8258699999999999E-2</v>
      </c>
      <c r="AT59" s="22">
        <v>49</v>
      </c>
      <c r="AU59" s="22">
        <v>1.40228</v>
      </c>
      <c r="AV59">
        <f t="shared" si="8"/>
        <v>18.258699999999997</v>
      </c>
      <c r="AW59">
        <f t="shared" si="9"/>
        <v>25.620607839999998</v>
      </c>
      <c r="AX59" s="9"/>
      <c r="AY59" s="22">
        <v>0.14679</v>
      </c>
      <c r="AZ59" s="22">
        <v>204.79499999999999</v>
      </c>
      <c r="BA59" s="22">
        <v>-1.9625900000000002E-2</v>
      </c>
      <c r="BB59" s="22">
        <v>49</v>
      </c>
      <c r="BC59" s="22">
        <v>0.14621000000000001</v>
      </c>
      <c r="BD59">
        <f t="shared" si="10"/>
        <v>19.625900000000001</v>
      </c>
      <c r="BE59">
        <f t="shared" si="11"/>
        <v>2.8808858610000003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1.3981600000000001</v>
      </c>
      <c r="H60" s="22">
        <v>34.6374</v>
      </c>
      <c r="I60" s="22">
        <v>-1.81488E-2</v>
      </c>
      <c r="J60" s="22">
        <v>50</v>
      </c>
      <c r="K60" s="22">
        <v>1.3970899999999999</v>
      </c>
      <c r="L60">
        <f t="shared" si="0"/>
        <v>18.148800000000001</v>
      </c>
      <c r="M60">
        <f t="shared" si="1"/>
        <v>25.374926208000002</v>
      </c>
      <c r="N60" s="9"/>
      <c r="O60" s="22">
        <v>0.15182499999999999</v>
      </c>
      <c r="P60" s="22">
        <v>68.690600000000003</v>
      </c>
      <c r="Q60" s="22">
        <v>-1.9491600000000001E-2</v>
      </c>
      <c r="R60" s="22">
        <v>50</v>
      </c>
      <c r="S60" s="22">
        <v>0.15112300000000001</v>
      </c>
      <c r="T60">
        <f t="shared" si="2"/>
        <v>19.491600000000002</v>
      </c>
      <c r="U60">
        <f t="shared" si="3"/>
        <v>2.95931217</v>
      </c>
      <c r="X60" s="9"/>
      <c r="Y60" s="22">
        <v>1.3981600000000001</v>
      </c>
      <c r="Z60" s="22">
        <v>102.714</v>
      </c>
      <c r="AA60" s="22">
        <v>-1.82709E-2</v>
      </c>
      <c r="AB60" s="22">
        <v>50</v>
      </c>
      <c r="AC60" s="22">
        <v>1.39771</v>
      </c>
      <c r="AD60">
        <f t="shared" si="4"/>
        <v>18.270900000000001</v>
      </c>
      <c r="AE60">
        <f t="shared" si="5"/>
        <v>25.545641544000002</v>
      </c>
      <c r="AF60" s="9"/>
      <c r="AG60" s="22">
        <v>0.15182499999999999</v>
      </c>
      <c r="AH60" s="22">
        <v>136.72</v>
      </c>
      <c r="AI60" s="22">
        <v>-1.9632E-2</v>
      </c>
      <c r="AJ60" s="22">
        <v>50</v>
      </c>
      <c r="AK60" s="22">
        <v>0.151031</v>
      </c>
      <c r="AL60">
        <f t="shared" si="6"/>
        <v>19.632000000000001</v>
      </c>
      <c r="AM60">
        <f t="shared" si="7"/>
        <v>2.9806284000000001</v>
      </c>
      <c r="AP60" s="9"/>
      <c r="AQ60" s="22">
        <v>1.3981600000000001</v>
      </c>
      <c r="AR60" s="22">
        <v>170.77799999999999</v>
      </c>
      <c r="AS60" s="22">
        <v>-1.8267800000000001E-2</v>
      </c>
      <c r="AT60" s="22">
        <v>50</v>
      </c>
      <c r="AU60" s="22">
        <v>1.39771</v>
      </c>
      <c r="AV60">
        <f t="shared" si="8"/>
        <v>18.267800000000001</v>
      </c>
      <c r="AW60">
        <f t="shared" si="9"/>
        <v>25.541307248000003</v>
      </c>
      <c r="AX60" s="9"/>
      <c r="AY60" s="22">
        <v>0.15182499999999999</v>
      </c>
      <c r="AZ60" s="22">
        <v>204.80500000000001</v>
      </c>
      <c r="BA60" s="22">
        <v>-1.96198E-2</v>
      </c>
      <c r="BB60" s="22">
        <v>50</v>
      </c>
      <c r="BC60" s="22">
        <v>0.15124499999999999</v>
      </c>
      <c r="BD60">
        <f t="shared" si="10"/>
        <v>19.619800000000001</v>
      </c>
      <c r="BE60">
        <f t="shared" si="11"/>
        <v>2.9787761349999999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1.39313</v>
      </c>
      <c r="H61" s="22">
        <v>34.647500000000001</v>
      </c>
      <c r="I61" s="22">
        <v>-1.8158000000000001E-2</v>
      </c>
      <c r="J61" s="22">
        <v>51</v>
      </c>
      <c r="K61" s="22">
        <v>1.39191</v>
      </c>
      <c r="L61">
        <f t="shared" si="0"/>
        <v>18.158000000000001</v>
      </c>
      <c r="M61">
        <f t="shared" si="1"/>
        <v>25.296454540000003</v>
      </c>
      <c r="N61" s="9"/>
      <c r="O61" s="22">
        <v>0.15686</v>
      </c>
      <c r="P61" s="22">
        <v>68.700599999999994</v>
      </c>
      <c r="Q61" s="22">
        <v>-1.9488499999999999E-2</v>
      </c>
      <c r="R61" s="22">
        <v>51</v>
      </c>
      <c r="S61" s="22">
        <v>0.15600600000000001</v>
      </c>
      <c r="T61">
        <f t="shared" si="2"/>
        <v>19.488499999999998</v>
      </c>
      <c r="U61">
        <f t="shared" si="3"/>
        <v>3.0569661099999998</v>
      </c>
      <c r="X61" s="9"/>
      <c r="Y61" s="22">
        <v>1.39313</v>
      </c>
      <c r="Z61" s="22">
        <v>102.724</v>
      </c>
      <c r="AA61" s="22">
        <v>-1.8280000000000001E-2</v>
      </c>
      <c r="AB61" s="22">
        <v>51</v>
      </c>
      <c r="AC61" s="22">
        <v>1.39252</v>
      </c>
      <c r="AD61">
        <f t="shared" si="4"/>
        <v>18.28</v>
      </c>
      <c r="AE61">
        <f t="shared" si="5"/>
        <v>25.4664164</v>
      </c>
      <c r="AF61" s="9"/>
      <c r="AG61" s="22">
        <v>0.15686</v>
      </c>
      <c r="AH61" s="22">
        <v>136.72999999999999</v>
      </c>
      <c r="AI61" s="22">
        <v>-1.9625900000000002E-2</v>
      </c>
      <c r="AJ61" s="22">
        <v>51</v>
      </c>
      <c r="AK61" s="22">
        <v>0.15637200000000001</v>
      </c>
      <c r="AL61">
        <f t="shared" si="6"/>
        <v>19.625900000000001</v>
      </c>
      <c r="AM61">
        <f t="shared" si="7"/>
        <v>3.0785186740000001</v>
      </c>
      <c r="AP61" s="9"/>
      <c r="AQ61" s="22">
        <v>1.39313</v>
      </c>
      <c r="AR61" s="22">
        <v>170.78899999999999</v>
      </c>
      <c r="AS61" s="22">
        <v>-1.8273899999999999E-2</v>
      </c>
      <c r="AT61" s="22">
        <v>51</v>
      </c>
      <c r="AU61" s="22">
        <v>1.3922099999999999</v>
      </c>
      <c r="AV61">
        <f t="shared" si="8"/>
        <v>18.273899999999998</v>
      </c>
      <c r="AW61">
        <f t="shared" si="9"/>
        <v>25.457918306999996</v>
      </c>
      <c r="AX61" s="9"/>
      <c r="AY61" s="22">
        <v>0.15686</v>
      </c>
      <c r="AZ61" s="22">
        <v>204.815</v>
      </c>
      <c r="BA61" s="22">
        <v>-1.9613599999999998E-2</v>
      </c>
      <c r="BB61" s="22">
        <v>51</v>
      </c>
      <c r="BC61" s="22">
        <v>0.15612799999999999</v>
      </c>
      <c r="BD61">
        <f t="shared" si="10"/>
        <v>19.613599999999998</v>
      </c>
      <c r="BE61">
        <f t="shared" si="11"/>
        <v>3.0765892959999999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1.38809</v>
      </c>
      <c r="H62" s="22">
        <v>34.657499999999999</v>
      </c>
      <c r="I62" s="22">
        <v>-1.8164099999999999E-2</v>
      </c>
      <c r="J62" s="22">
        <v>52</v>
      </c>
      <c r="K62" s="22">
        <v>1.3870199999999999</v>
      </c>
      <c r="L62">
        <f t="shared" si="0"/>
        <v>18.164099999999998</v>
      </c>
      <c r="M62">
        <f t="shared" si="1"/>
        <v>25.213405568999999</v>
      </c>
      <c r="N62" s="9"/>
      <c r="O62" s="22">
        <v>0.16189600000000001</v>
      </c>
      <c r="P62" s="22">
        <v>68.710700000000003</v>
      </c>
      <c r="Q62" s="22">
        <v>-1.9485499999999999E-2</v>
      </c>
      <c r="R62" s="22">
        <v>52</v>
      </c>
      <c r="S62" s="22">
        <v>0.16137699999999999</v>
      </c>
      <c r="T62">
        <f t="shared" si="2"/>
        <v>19.485499999999998</v>
      </c>
      <c r="U62">
        <f t="shared" si="3"/>
        <v>3.1546245079999999</v>
      </c>
      <c r="X62" s="9"/>
      <c r="Y62" s="22">
        <v>1.38809</v>
      </c>
      <c r="Z62" s="22">
        <v>102.73399999999999</v>
      </c>
      <c r="AA62" s="22">
        <v>-1.82861E-2</v>
      </c>
      <c r="AB62" s="22">
        <v>52</v>
      </c>
      <c r="AC62" s="22">
        <v>1.3870199999999999</v>
      </c>
      <c r="AD62">
        <f t="shared" si="4"/>
        <v>18.286100000000001</v>
      </c>
      <c r="AE62">
        <f t="shared" si="5"/>
        <v>25.382752549000003</v>
      </c>
      <c r="AF62" s="9"/>
      <c r="AG62" s="22">
        <v>0.16189600000000001</v>
      </c>
      <c r="AH62" s="22">
        <v>136.74</v>
      </c>
      <c r="AI62" s="22">
        <v>-1.96198E-2</v>
      </c>
      <c r="AJ62" s="22">
        <v>52</v>
      </c>
      <c r="AK62" s="22">
        <v>0.16125500000000001</v>
      </c>
      <c r="AL62">
        <f t="shared" si="6"/>
        <v>19.619800000000001</v>
      </c>
      <c r="AM62">
        <f t="shared" si="7"/>
        <v>3.1763671408000005</v>
      </c>
      <c r="AP62" s="9"/>
      <c r="AQ62" s="22">
        <v>1.38809</v>
      </c>
      <c r="AR62" s="22">
        <v>170.79900000000001</v>
      </c>
      <c r="AS62" s="22">
        <v>-1.8280000000000001E-2</v>
      </c>
      <c r="AT62" s="22">
        <v>52</v>
      </c>
      <c r="AU62" s="22">
        <v>1.38733</v>
      </c>
      <c r="AV62">
        <f t="shared" si="8"/>
        <v>18.28</v>
      </c>
      <c r="AW62">
        <f t="shared" si="9"/>
        <v>25.374285200000003</v>
      </c>
      <c r="AX62" s="9"/>
      <c r="AY62" s="22">
        <v>0.16189600000000001</v>
      </c>
      <c r="AZ62" s="22">
        <v>204.82499999999999</v>
      </c>
      <c r="BA62" s="22">
        <v>-1.96075E-2</v>
      </c>
      <c r="BB62" s="22">
        <v>52</v>
      </c>
      <c r="BC62" s="22">
        <v>0.16107199999999999</v>
      </c>
      <c r="BD62">
        <f t="shared" si="10"/>
        <v>19.607500000000002</v>
      </c>
      <c r="BE62">
        <f t="shared" si="11"/>
        <v>3.1743758200000003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1.38306</v>
      </c>
      <c r="H63" s="22">
        <v>34.6676</v>
      </c>
      <c r="I63" s="22">
        <v>-1.81732E-2</v>
      </c>
      <c r="J63" s="22">
        <v>53</v>
      </c>
      <c r="K63" s="22">
        <v>1.38245</v>
      </c>
      <c r="L63">
        <f t="shared" si="0"/>
        <v>18.173200000000001</v>
      </c>
      <c r="M63">
        <f t="shared" si="1"/>
        <v>25.134625992</v>
      </c>
      <c r="N63" s="9"/>
      <c r="O63" s="22">
        <v>0.166931</v>
      </c>
      <c r="P63" s="22">
        <v>68.720799999999997</v>
      </c>
      <c r="Q63" s="22">
        <v>-1.94824E-2</v>
      </c>
      <c r="R63" s="22">
        <v>53</v>
      </c>
      <c r="S63" s="22">
        <v>0.166382</v>
      </c>
      <c r="T63">
        <f t="shared" si="2"/>
        <v>19.482400000000002</v>
      </c>
      <c r="U63">
        <f t="shared" si="3"/>
        <v>3.2522165144000001</v>
      </c>
      <c r="X63" s="9"/>
      <c r="Y63" s="22">
        <v>1.38306</v>
      </c>
      <c r="Z63" s="22">
        <v>102.744</v>
      </c>
      <c r="AA63" s="22">
        <v>-1.8292200000000002E-2</v>
      </c>
      <c r="AB63" s="22">
        <v>53</v>
      </c>
      <c r="AC63" s="22">
        <v>1.38184</v>
      </c>
      <c r="AD63">
        <f t="shared" si="4"/>
        <v>18.292200000000001</v>
      </c>
      <c r="AE63">
        <f t="shared" si="5"/>
        <v>25.299210132000002</v>
      </c>
      <c r="AF63" s="9"/>
      <c r="AG63" s="22">
        <v>0.166931</v>
      </c>
      <c r="AH63" s="22">
        <v>136.75</v>
      </c>
      <c r="AI63" s="22">
        <v>-1.9616700000000001E-2</v>
      </c>
      <c r="AJ63" s="22">
        <v>53</v>
      </c>
      <c r="AK63" s="22">
        <v>0.166321</v>
      </c>
      <c r="AL63">
        <f t="shared" si="6"/>
        <v>19.616700000000002</v>
      </c>
      <c r="AM63">
        <f t="shared" si="7"/>
        <v>3.2746353477000003</v>
      </c>
      <c r="AP63" s="9"/>
      <c r="AQ63" s="22">
        <v>1.38306</v>
      </c>
      <c r="AR63" s="22">
        <v>170.809</v>
      </c>
      <c r="AS63" s="22">
        <v>-1.82831E-2</v>
      </c>
      <c r="AT63" s="22">
        <v>53</v>
      </c>
      <c r="AU63" s="22">
        <v>1.38245</v>
      </c>
      <c r="AV63">
        <f t="shared" si="8"/>
        <v>18.283100000000001</v>
      </c>
      <c r="AW63">
        <f t="shared" si="9"/>
        <v>25.286624286000002</v>
      </c>
      <c r="AX63" s="9"/>
      <c r="AY63" s="22">
        <v>0.166931</v>
      </c>
      <c r="AZ63" s="22">
        <v>204.83500000000001</v>
      </c>
      <c r="BA63" s="22">
        <v>-1.96045E-2</v>
      </c>
      <c r="BB63" s="22">
        <v>53</v>
      </c>
      <c r="BC63" s="22">
        <v>0.166046</v>
      </c>
      <c r="BD63">
        <f t="shared" si="10"/>
        <v>19.604500000000002</v>
      </c>
      <c r="BE63">
        <f t="shared" si="11"/>
        <v>3.2725987895000004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1.37802</v>
      </c>
      <c r="H64" s="22">
        <v>34.677700000000002</v>
      </c>
      <c r="I64" s="22">
        <v>-1.8179299999999999E-2</v>
      </c>
      <c r="J64" s="22">
        <v>54</v>
      </c>
      <c r="K64" s="22">
        <v>1.3769499999999999</v>
      </c>
      <c r="L64">
        <f t="shared" si="0"/>
        <v>18.179299999999998</v>
      </c>
      <c r="M64">
        <f t="shared" si="1"/>
        <v>25.051438985999997</v>
      </c>
      <c r="N64" s="9"/>
      <c r="O64" s="22">
        <v>0.17196700000000001</v>
      </c>
      <c r="P64" s="22">
        <v>68.730800000000002</v>
      </c>
      <c r="Q64" s="22">
        <v>-1.9476299999999998E-2</v>
      </c>
      <c r="R64" s="22">
        <v>54</v>
      </c>
      <c r="S64" s="22">
        <v>0.171875</v>
      </c>
      <c r="T64">
        <f t="shared" si="2"/>
        <v>19.476299999999998</v>
      </c>
      <c r="U64">
        <f t="shared" si="3"/>
        <v>3.3492808821</v>
      </c>
      <c r="X64" s="9"/>
      <c r="Y64" s="22">
        <v>1.37802</v>
      </c>
      <c r="Z64" s="22">
        <v>102.754</v>
      </c>
      <c r="AA64" s="22">
        <v>-1.82953E-2</v>
      </c>
      <c r="AB64" s="22">
        <v>54</v>
      </c>
      <c r="AC64" s="22">
        <v>1.3766499999999999</v>
      </c>
      <c r="AD64">
        <f t="shared" si="4"/>
        <v>18.295300000000001</v>
      </c>
      <c r="AE64">
        <f t="shared" si="5"/>
        <v>25.211289306000001</v>
      </c>
      <c r="AF64" s="9"/>
      <c r="AG64" s="22">
        <v>0.17196700000000001</v>
      </c>
      <c r="AH64" s="22">
        <v>136.76</v>
      </c>
      <c r="AI64" s="22">
        <v>-1.9610599999999999E-2</v>
      </c>
      <c r="AJ64" s="22">
        <v>54</v>
      </c>
      <c r="AK64" s="22">
        <v>0.17108200000000001</v>
      </c>
      <c r="AL64">
        <f t="shared" si="6"/>
        <v>19.610599999999998</v>
      </c>
      <c r="AM64">
        <f t="shared" si="7"/>
        <v>3.3723760501999998</v>
      </c>
      <c r="AP64" s="9"/>
      <c r="AQ64" s="22">
        <v>1.37802</v>
      </c>
      <c r="AR64" s="22">
        <v>170.81899999999999</v>
      </c>
      <c r="AS64" s="22">
        <v>-1.8289199999999999E-2</v>
      </c>
      <c r="AT64" s="22">
        <v>54</v>
      </c>
      <c r="AU64" s="22">
        <v>1.3772599999999999</v>
      </c>
      <c r="AV64">
        <f t="shared" si="8"/>
        <v>18.289199999999997</v>
      </c>
      <c r="AW64">
        <f t="shared" si="9"/>
        <v>25.202883383999996</v>
      </c>
      <c r="AX64" s="9"/>
      <c r="AY64" s="22">
        <v>0.17196700000000001</v>
      </c>
      <c r="AZ64" s="22">
        <v>204.845</v>
      </c>
      <c r="BA64" s="22">
        <v>-1.9601400000000001E-2</v>
      </c>
      <c r="BB64" s="22">
        <v>54</v>
      </c>
      <c r="BC64" s="22">
        <v>0.17135600000000001</v>
      </c>
      <c r="BD64">
        <f t="shared" si="10"/>
        <v>19.601400000000002</v>
      </c>
      <c r="BE64">
        <f t="shared" si="11"/>
        <v>3.3707939538000007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1.3729899999999999</v>
      </c>
      <c r="H65" s="22">
        <v>34.687800000000003</v>
      </c>
      <c r="I65" s="22">
        <v>-1.8185400000000001E-2</v>
      </c>
      <c r="J65" s="22">
        <v>55</v>
      </c>
      <c r="K65" s="22">
        <v>1.3723799999999999</v>
      </c>
      <c r="L65">
        <f t="shared" si="0"/>
        <v>18.185400000000001</v>
      </c>
      <c r="M65">
        <f t="shared" si="1"/>
        <v>24.968372345999999</v>
      </c>
      <c r="N65" s="9"/>
      <c r="O65" s="22">
        <v>0.17700199999999999</v>
      </c>
      <c r="P65" s="22">
        <v>68.740899999999996</v>
      </c>
      <c r="Q65" s="22">
        <v>-1.9473299999999999E-2</v>
      </c>
      <c r="R65" s="22">
        <v>55</v>
      </c>
      <c r="S65" s="22">
        <v>0.17630000000000001</v>
      </c>
      <c r="T65">
        <f t="shared" si="2"/>
        <v>19.473299999999998</v>
      </c>
      <c r="U65">
        <f t="shared" si="3"/>
        <v>3.4468130465999995</v>
      </c>
      <c r="X65" s="9"/>
      <c r="Y65" s="22">
        <v>1.3729899999999999</v>
      </c>
      <c r="Z65" s="22">
        <v>102.764</v>
      </c>
      <c r="AA65" s="22">
        <v>-1.82983E-2</v>
      </c>
      <c r="AB65" s="22">
        <v>55</v>
      </c>
      <c r="AC65" s="22">
        <v>1.3720699999999999</v>
      </c>
      <c r="AD65">
        <f t="shared" si="4"/>
        <v>18.298300000000001</v>
      </c>
      <c r="AE65">
        <f t="shared" si="5"/>
        <v>25.123382917000001</v>
      </c>
      <c r="AF65" s="9"/>
      <c r="AG65" s="22">
        <v>0.17700199999999999</v>
      </c>
      <c r="AH65" s="22">
        <v>136.77000000000001</v>
      </c>
      <c r="AI65" s="22">
        <v>-1.96075E-2</v>
      </c>
      <c r="AJ65" s="22">
        <v>55</v>
      </c>
      <c r="AK65" s="22">
        <v>0.17627000000000001</v>
      </c>
      <c r="AL65">
        <f t="shared" si="6"/>
        <v>19.607500000000002</v>
      </c>
      <c r="AM65">
        <f t="shared" si="7"/>
        <v>3.4705667150000004</v>
      </c>
      <c r="AP65" s="9"/>
      <c r="AQ65" s="22">
        <v>1.3729899999999999</v>
      </c>
      <c r="AR65" s="22">
        <v>170.82900000000001</v>
      </c>
      <c r="AS65" s="22">
        <v>-1.82953E-2</v>
      </c>
      <c r="AT65" s="22">
        <v>55</v>
      </c>
      <c r="AU65" s="22">
        <v>1.3720699999999999</v>
      </c>
      <c r="AV65">
        <f t="shared" si="8"/>
        <v>18.295300000000001</v>
      </c>
      <c r="AW65">
        <f t="shared" si="9"/>
        <v>25.119263947</v>
      </c>
      <c r="AX65" s="9"/>
      <c r="AY65" s="22">
        <v>0.17700199999999999</v>
      </c>
      <c r="AZ65" s="22">
        <v>204.85499999999999</v>
      </c>
      <c r="BA65" s="22">
        <v>-1.9601400000000001E-2</v>
      </c>
      <c r="BB65" s="22">
        <v>55</v>
      </c>
      <c r="BC65" s="22">
        <v>0.176453</v>
      </c>
      <c r="BD65">
        <f t="shared" si="10"/>
        <v>19.601400000000002</v>
      </c>
      <c r="BE65">
        <f t="shared" si="11"/>
        <v>3.4694870028000002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1.36795</v>
      </c>
      <c r="H66" s="22">
        <v>34.697800000000001</v>
      </c>
      <c r="I66" s="22">
        <v>-1.8194599999999998E-2</v>
      </c>
      <c r="J66" s="22">
        <v>56</v>
      </c>
      <c r="K66" s="22">
        <v>1.3665799999999999</v>
      </c>
      <c r="L66">
        <f t="shared" si="0"/>
        <v>18.194599999999998</v>
      </c>
      <c r="M66">
        <f t="shared" si="1"/>
        <v>24.889303069999997</v>
      </c>
      <c r="N66" s="9"/>
      <c r="O66" s="22">
        <v>0.182037</v>
      </c>
      <c r="P66" s="22">
        <v>68.751000000000005</v>
      </c>
      <c r="Q66" s="22">
        <v>-1.94702E-2</v>
      </c>
      <c r="R66" s="22">
        <v>56</v>
      </c>
      <c r="S66" s="22">
        <v>0.18160999999999999</v>
      </c>
      <c r="T66">
        <f t="shared" si="2"/>
        <v>19.470199999999998</v>
      </c>
      <c r="U66">
        <f t="shared" si="3"/>
        <v>3.5442967973999999</v>
      </c>
      <c r="X66" s="9"/>
      <c r="Y66" s="22">
        <v>1.36795</v>
      </c>
      <c r="Z66" s="22">
        <v>102.774</v>
      </c>
      <c r="AA66" s="22">
        <v>-1.8307500000000001E-2</v>
      </c>
      <c r="AB66" s="22">
        <v>56</v>
      </c>
      <c r="AC66" s="22">
        <v>1.3674900000000001</v>
      </c>
      <c r="AD66">
        <f t="shared" si="4"/>
        <v>18.307500000000001</v>
      </c>
      <c r="AE66">
        <f t="shared" si="5"/>
        <v>25.043744625000002</v>
      </c>
      <c r="AF66" s="9"/>
      <c r="AG66" s="22">
        <v>0.182037</v>
      </c>
      <c r="AH66" s="22">
        <v>136.78</v>
      </c>
      <c r="AI66" s="22">
        <v>-1.9601400000000001E-2</v>
      </c>
      <c r="AJ66" s="22">
        <v>56</v>
      </c>
      <c r="AK66" s="22">
        <v>0.18148800000000001</v>
      </c>
      <c r="AL66">
        <f t="shared" si="6"/>
        <v>19.601400000000002</v>
      </c>
      <c r="AM66">
        <f t="shared" si="7"/>
        <v>3.5681800518000002</v>
      </c>
      <c r="AP66" s="9"/>
      <c r="AQ66" s="22">
        <v>1.36795</v>
      </c>
      <c r="AR66" s="22">
        <v>170.839</v>
      </c>
      <c r="AS66" s="22">
        <v>-1.8301399999999999E-2</v>
      </c>
      <c r="AT66" s="22">
        <v>56</v>
      </c>
      <c r="AU66" s="22">
        <v>1.3671899999999999</v>
      </c>
      <c r="AV66">
        <f t="shared" si="8"/>
        <v>18.301399999999997</v>
      </c>
      <c r="AW66">
        <f t="shared" si="9"/>
        <v>25.035400129999996</v>
      </c>
      <c r="AX66" s="9"/>
      <c r="AY66" s="22">
        <v>0.182037</v>
      </c>
      <c r="AZ66" s="22">
        <v>204.86500000000001</v>
      </c>
      <c r="BA66" s="22">
        <v>-1.95923E-2</v>
      </c>
      <c r="BB66" s="22">
        <v>56</v>
      </c>
      <c r="BC66" s="22">
        <v>0.18157999999999999</v>
      </c>
      <c r="BD66">
        <f t="shared" si="10"/>
        <v>19.592300000000002</v>
      </c>
      <c r="BE66">
        <f t="shared" si="11"/>
        <v>3.5665235151000005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1.3629199999999999</v>
      </c>
      <c r="H67" s="22">
        <v>34.707900000000002</v>
      </c>
      <c r="I67" s="22">
        <v>-1.8197600000000001E-2</v>
      </c>
      <c r="J67" s="22">
        <v>57</v>
      </c>
      <c r="K67" s="22">
        <v>1.3616900000000001</v>
      </c>
      <c r="L67">
        <f t="shared" si="0"/>
        <v>18.197600000000001</v>
      </c>
      <c r="M67">
        <f t="shared" si="1"/>
        <v>24.801872992</v>
      </c>
      <c r="N67" s="9"/>
      <c r="O67" s="22">
        <v>0.18707299999999999</v>
      </c>
      <c r="P67" s="22">
        <v>68.761099999999999</v>
      </c>
      <c r="Q67" s="22">
        <v>-1.9464100000000002E-2</v>
      </c>
      <c r="R67" s="22">
        <v>57</v>
      </c>
      <c r="S67" s="22">
        <v>0.186279</v>
      </c>
      <c r="T67">
        <f t="shared" si="2"/>
        <v>19.464100000000002</v>
      </c>
      <c r="U67">
        <f t="shared" si="3"/>
        <v>3.6412075793000001</v>
      </c>
      <c r="X67" s="9"/>
      <c r="Y67" s="22">
        <v>1.3629199999999999</v>
      </c>
      <c r="Z67" s="22">
        <v>102.78400000000001</v>
      </c>
      <c r="AA67" s="22">
        <v>-1.8313599999999999E-2</v>
      </c>
      <c r="AB67" s="22">
        <v>57</v>
      </c>
      <c r="AC67" s="22">
        <v>1.3623000000000001</v>
      </c>
      <c r="AD67">
        <f t="shared" si="4"/>
        <v>18.313600000000001</v>
      </c>
      <c r="AE67">
        <f t="shared" si="5"/>
        <v>24.959971711999998</v>
      </c>
      <c r="AF67" s="9"/>
      <c r="AG67" s="22">
        <v>0.18707299999999999</v>
      </c>
      <c r="AH67" s="22">
        <v>136.79</v>
      </c>
      <c r="AI67" s="22">
        <v>-1.95923E-2</v>
      </c>
      <c r="AJ67" s="22">
        <v>57</v>
      </c>
      <c r="AK67" s="22">
        <v>0.18646199999999999</v>
      </c>
      <c r="AL67">
        <f t="shared" si="6"/>
        <v>19.592300000000002</v>
      </c>
      <c r="AM67">
        <f t="shared" si="7"/>
        <v>3.6651903378999999</v>
      </c>
      <c r="AP67" s="9"/>
      <c r="AQ67" s="22">
        <v>1.3629199999999999</v>
      </c>
      <c r="AR67" s="22">
        <v>170.84899999999999</v>
      </c>
      <c r="AS67" s="22">
        <v>-1.8307500000000001E-2</v>
      </c>
      <c r="AT67" s="22">
        <v>57</v>
      </c>
      <c r="AU67" s="22">
        <v>1.3620000000000001</v>
      </c>
      <c r="AV67">
        <f t="shared" si="8"/>
        <v>18.307500000000001</v>
      </c>
      <c r="AW67">
        <f t="shared" si="9"/>
        <v>24.951657900000001</v>
      </c>
      <c r="AX67" s="9"/>
      <c r="AY67" s="22">
        <v>0.18707299999999999</v>
      </c>
      <c r="AZ67" s="22">
        <v>204.875</v>
      </c>
      <c r="BA67" s="22">
        <v>-1.9589200000000001E-2</v>
      </c>
      <c r="BB67" s="22">
        <v>57</v>
      </c>
      <c r="BC67" s="22">
        <v>0.18618799999999999</v>
      </c>
      <c r="BD67">
        <f t="shared" si="10"/>
        <v>19.589200000000002</v>
      </c>
      <c r="BE67">
        <f t="shared" si="11"/>
        <v>3.6646104116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1.35788</v>
      </c>
      <c r="H68" s="22">
        <v>34.718000000000004</v>
      </c>
      <c r="I68" s="22">
        <v>-1.82037E-2</v>
      </c>
      <c r="J68" s="22">
        <v>58</v>
      </c>
      <c r="K68" s="22">
        <v>1.3571200000000001</v>
      </c>
      <c r="L68">
        <f t="shared" si="0"/>
        <v>18.203700000000001</v>
      </c>
      <c r="M68">
        <f t="shared" si="1"/>
        <v>24.718440156</v>
      </c>
      <c r="N68" s="9"/>
      <c r="O68" s="22">
        <v>0.192108</v>
      </c>
      <c r="P68" s="22">
        <v>68.771100000000004</v>
      </c>
      <c r="Q68" s="22">
        <v>-1.9458E-2</v>
      </c>
      <c r="R68" s="22">
        <v>58</v>
      </c>
      <c r="S68" s="22">
        <v>0.191528</v>
      </c>
      <c r="T68">
        <f t="shared" si="2"/>
        <v>19.457999999999998</v>
      </c>
      <c r="U68">
        <f t="shared" si="3"/>
        <v>3.7380374639999996</v>
      </c>
      <c r="X68" s="9"/>
      <c r="Y68" s="22">
        <v>1.35788</v>
      </c>
      <c r="Z68" s="22">
        <v>102.794</v>
      </c>
      <c r="AA68" s="22">
        <v>-1.8319700000000001E-2</v>
      </c>
      <c r="AB68" s="22">
        <v>58</v>
      </c>
      <c r="AC68" s="22">
        <v>1.3568100000000001</v>
      </c>
      <c r="AD68">
        <f t="shared" si="4"/>
        <v>18.319700000000001</v>
      </c>
      <c r="AE68">
        <f t="shared" si="5"/>
        <v>24.875954236000002</v>
      </c>
      <c r="AF68" s="9"/>
      <c r="AG68" s="22">
        <v>0.192108</v>
      </c>
      <c r="AH68" s="22">
        <v>136.80000000000001</v>
      </c>
      <c r="AI68" s="22">
        <v>-1.9586200000000002E-2</v>
      </c>
      <c r="AJ68" s="22">
        <v>58</v>
      </c>
      <c r="AK68" s="22">
        <v>0.191162</v>
      </c>
      <c r="AL68">
        <f t="shared" si="6"/>
        <v>19.586200000000002</v>
      </c>
      <c r="AM68">
        <f t="shared" si="7"/>
        <v>3.7626657096000002</v>
      </c>
      <c r="AP68" s="9"/>
      <c r="AQ68" s="22">
        <v>1.35788</v>
      </c>
      <c r="AR68" s="22">
        <v>170.85900000000001</v>
      </c>
      <c r="AS68" s="22">
        <v>-1.8313599999999999E-2</v>
      </c>
      <c r="AT68" s="22">
        <v>58</v>
      </c>
      <c r="AU68" s="22">
        <v>1.3568100000000001</v>
      </c>
      <c r="AV68">
        <f t="shared" si="8"/>
        <v>18.313600000000001</v>
      </c>
      <c r="AW68">
        <f t="shared" si="9"/>
        <v>24.867671168000001</v>
      </c>
      <c r="AX68" s="9"/>
      <c r="AY68" s="22">
        <v>0.192108</v>
      </c>
      <c r="AZ68" s="22">
        <v>204.88499999999999</v>
      </c>
      <c r="BA68" s="22">
        <v>-1.9586200000000002E-2</v>
      </c>
      <c r="BB68" s="22">
        <v>58</v>
      </c>
      <c r="BC68" s="22">
        <v>0.19155900000000001</v>
      </c>
      <c r="BD68">
        <f t="shared" si="10"/>
        <v>19.586200000000002</v>
      </c>
      <c r="BE68">
        <f t="shared" si="11"/>
        <v>3.7626657096000002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1.35284</v>
      </c>
      <c r="H69" s="22">
        <v>34.728000000000002</v>
      </c>
      <c r="I69" s="22">
        <v>-1.8206799999999999E-2</v>
      </c>
      <c r="J69" s="22">
        <v>59</v>
      </c>
      <c r="K69" s="22">
        <v>1.3507100000000001</v>
      </c>
      <c r="L69">
        <f t="shared" si="0"/>
        <v>18.206799999999998</v>
      </c>
      <c r="M69">
        <f t="shared" si="1"/>
        <v>24.630887311999999</v>
      </c>
      <c r="N69" s="9"/>
      <c r="O69" s="22">
        <v>0.19714400000000001</v>
      </c>
      <c r="P69" s="22">
        <v>68.781199999999998</v>
      </c>
      <c r="Q69" s="22">
        <v>-1.9455E-2</v>
      </c>
      <c r="R69" s="22">
        <v>59</v>
      </c>
      <c r="S69" s="22">
        <v>0.19650300000000001</v>
      </c>
      <c r="T69">
        <f t="shared" si="2"/>
        <v>19.454999999999998</v>
      </c>
      <c r="U69">
        <f t="shared" si="3"/>
        <v>3.83543652</v>
      </c>
      <c r="X69" s="9"/>
      <c r="Y69" s="22">
        <v>1.35284</v>
      </c>
      <c r="Z69" s="22">
        <v>102.804</v>
      </c>
      <c r="AA69" s="22">
        <v>-1.8328899999999999E-2</v>
      </c>
      <c r="AB69" s="22">
        <v>59</v>
      </c>
      <c r="AC69" s="22">
        <v>1.3513200000000001</v>
      </c>
      <c r="AD69">
        <f t="shared" si="4"/>
        <v>18.328899999999997</v>
      </c>
      <c r="AE69">
        <f t="shared" si="5"/>
        <v>24.796069075999998</v>
      </c>
      <c r="AF69" s="9"/>
      <c r="AG69" s="22">
        <v>0.19714400000000001</v>
      </c>
      <c r="AH69" s="22">
        <v>136.81</v>
      </c>
      <c r="AI69" s="22">
        <v>-1.95801E-2</v>
      </c>
      <c r="AJ69" s="22">
        <v>59</v>
      </c>
      <c r="AK69" s="22">
        <v>0.19650300000000001</v>
      </c>
      <c r="AL69">
        <f t="shared" si="6"/>
        <v>19.580099999999998</v>
      </c>
      <c r="AM69">
        <f t="shared" si="7"/>
        <v>3.8600992343999998</v>
      </c>
      <c r="AP69" s="9"/>
      <c r="AQ69" s="22">
        <v>1.35284</v>
      </c>
      <c r="AR69" s="22">
        <v>170.869</v>
      </c>
      <c r="AS69" s="22">
        <v>-1.8319700000000001E-2</v>
      </c>
      <c r="AT69" s="22">
        <v>59</v>
      </c>
      <c r="AU69" s="22">
        <v>1.35223</v>
      </c>
      <c r="AV69">
        <f t="shared" si="8"/>
        <v>18.319700000000001</v>
      </c>
      <c r="AW69">
        <f t="shared" si="9"/>
        <v>24.783622948000001</v>
      </c>
      <c r="AX69" s="9"/>
      <c r="AY69" s="22">
        <v>0.19714400000000001</v>
      </c>
      <c r="AZ69" s="22">
        <v>204.89500000000001</v>
      </c>
      <c r="BA69" s="22">
        <v>-1.9577000000000001E-2</v>
      </c>
      <c r="BB69" s="22">
        <v>59</v>
      </c>
      <c r="BC69" s="22">
        <v>0.19650300000000001</v>
      </c>
      <c r="BD69">
        <f t="shared" si="10"/>
        <v>19.577000000000002</v>
      </c>
      <c r="BE69">
        <f t="shared" si="11"/>
        <v>3.8594880880000004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1.34781</v>
      </c>
      <c r="H70" s="22">
        <v>34.738100000000003</v>
      </c>
      <c r="I70" s="22">
        <v>-1.8212900000000001E-2</v>
      </c>
      <c r="J70" s="22">
        <v>60</v>
      </c>
      <c r="K70" s="22">
        <v>1.34674</v>
      </c>
      <c r="L70">
        <f t="shared" si="0"/>
        <v>18.212900000000001</v>
      </c>
      <c r="M70">
        <f t="shared" si="1"/>
        <v>24.547528749000001</v>
      </c>
      <c r="N70" s="9"/>
      <c r="O70" s="22">
        <v>0.202179</v>
      </c>
      <c r="P70" s="22">
        <v>68.791300000000007</v>
      </c>
      <c r="Q70" s="22">
        <v>-1.9451900000000001E-2</v>
      </c>
      <c r="R70" s="22">
        <v>60</v>
      </c>
      <c r="S70" s="22">
        <v>0.201599</v>
      </c>
      <c r="T70">
        <f t="shared" si="2"/>
        <v>19.451900000000002</v>
      </c>
      <c r="U70">
        <f t="shared" si="3"/>
        <v>3.9327656901000005</v>
      </c>
      <c r="X70" s="9"/>
      <c r="Y70" s="22">
        <v>1.34781</v>
      </c>
      <c r="Z70" s="22">
        <v>102.81399999999999</v>
      </c>
      <c r="AA70" s="22">
        <v>-1.8338E-2</v>
      </c>
      <c r="AB70" s="22">
        <v>60</v>
      </c>
      <c r="AC70" s="22">
        <v>1.3476600000000001</v>
      </c>
      <c r="AD70">
        <f t="shared" si="4"/>
        <v>18.338000000000001</v>
      </c>
      <c r="AE70">
        <f t="shared" si="5"/>
        <v>24.716139779999999</v>
      </c>
      <c r="AF70" s="9"/>
      <c r="AG70" s="22">
        <v>0.202179</v>
      </c>
      <c r="AH70" s="22">
        <v>136.821</v>
      </c>
      <c r="AI70" s="22">
        <v>-1.9574000000000001E-2</v>
      </c>
      <c r="AJ70" s="22">
        <v>60</v>
      </c>
      <c r="AK70" s="22">
        <v>0.201263</v>
      </c>
      <c r="AL70">
        <f t="shared" si="6"/>
        <v>19.574000000000002</v>
      </c>
      <c r="AM70">
        <f t="shared" si="7"/>
        <v>3.9574517460000003</v>
      </c>
      <c r="AP70" s="9"/>
      <c r="AQ70" s="22">
        <v>1.34781</v>
      </c>
      <c r="AR70" s="22">
        <v>170.87899999999999</v>
      </c>
      <c r="AS70" s="22">
        <v>-1.8328899999999999E-2</v>
      </c>
      <c r="AT70" s="22">
        <v>60</v>
      </c>
      <c r="AU70" s="22">
        <v>1.34674</v>
      </c>
      <c r="AV70">
        <f t="shared" si="8"/>
        <v>18.328899999999997</v>
      </c>
      <c r="AW70">
        <f t="shared" si="9"/>
        <v>24.703874708999997</v>
      </c>
      <c r="AX70" s="9"/>
      <c r="AY70" s="22">
        <v>0.202179</v>
      </c>
      <c r="AZ70" s="22">
        <v>204.905</v>
      </c>
      <c r="BA70" s="22">
        <v>-1.9574000000000001E-2</v>
      </c>
      <c r="BB70" s="22">
        <v>60</v>
      </c>
      <c r="BC70" s="22">
        <v>0.20144699999999999</v>
      </c>
      <c r="BD70">
        <f t="shared" si="10"/>
        <v>19.574000000000002</v>
      </c>
      <c r="BE70">
        <f t="shared" si="11"/>
        <v>3.9574517460000003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1.34277</v>
      </c>
      <c r="H71" s="22">
        <v>34.748199999999997</v>
      </c>
      <c r="I71" s="22">
        <v>-1.82159E-2</v>
      </c>
      <c r="J71" s="22">
        <v>61</v>
      </c>
      <c r="K71" s="22">
        <v>1.34155</v>
      </c>
      <c r="L71">
        <f t="shared" si="0"/>
        <v>18.215900000000001</v>
      </c>
      <c r="M71">
        <f t="shared" si="1"/>
        <v>24.459764043000003</v>
      </c>
      <c r="N71" s="9"/>
      <c r="O71" s="22">
        <v>0.20721400000000001</v>
      </c>
      <c r="P71" s="22">
        <v>68.801299999999998</v>
      </c>
      <c r="Q71" s="22">
        <v>-1.9448900000000002E-2</v>
      </c>
      <c r="R71" s="22">
        <v>61</v>
      </c>
      <c r="S71" s="22">
        <v>0.20629900000000001</v>
      </c>
      <c r="T71">
        <f t="shared" si="2"/>
        <v>19.448900000000002</v>
      </c>
      <c r="U71">
        <f t="shared" si="3"/>
        <v>4.0300843646000004</v>
      </c>
      <c r="X71" s="9"/>
      <c r="Y71" s="22">
        <v>1.34277</v>
      </c>
      <c r="Z71" s="22">
        <v>102.824</v>
      </c>
      <c r="AA71" s="22">
        <v>-1.8344099999999999E-2</v>
      </c>
      <c r="AB71" s="22">
        <v>61</v>
      </c>
      <c r="AC71" s="22">
        <v>1.34216</v>
      </c>
      <c r="AD71">
        <f t="shared" si="4"/>
        <v>18.344099999999997</v>
      </c>
      <c r="AE71">
        <f t="shared" si="5"/>
        <v>24.631907156999997</v>
      </c>
      <c r="AF71" s="9"/>
      <c r="AG71" s="22">
        <v>0.20721400000000001</v>
      </c>
      <c r="AH71" s="22">
        <v>136.83099999999999</v>
      </c>
      <c r="AI71" s="22">
        <v>-1.9570899999999999E-2</v>
      </c>
      <c r="AJ71" s="22">
        <v>61</v>
      </c>
      <c r="AK71" s="22">
        <v>0.20657300000000001</v>
      </c>
      <c r="AL71">
        <f t="shared" si="6"/>
        <v>19.570899999999998</v>
      </c>
      <c r="AM71">
        <f t="shared" si="7"/>
        <v>4.0553644726</v>
      </c>
      <c r="AP71" s="9"/>
      <c r="AQ71" s="22">
        <v>1.34277</v>
      </c>
      <c r="AR71" s="22">
        <v>170.88900000000001</v>
      </c>
      <c r="AS71" s="22">
        <v>-1.8328899999999999E-2</v>
      </c>
      <c r="AT71" s="22">
        <v>61</v>
      </c>
      <c r="AU71" s="22">
        <v>1.34155</v>
      </c>
      <c r="AV71">
        <f t="shared" si="8"/>
        <v>18.328899999999997</v>
      </c>
      <c r="AW71">
        <f t="shared" si="9"/>
        <v>24.611497052999997</v>
      </c>
      <c r="AX71" s="9"/>
      <c r="AY71" s="22">
        <v>0.20721400000000001</v>
      </c>
      <c r="AZ71" s="22">
        <v>204.91499999999999</v>
      </c>
      <c r="BA71" s="22">
        <v>-1.9567899999999999E-2</v>
      </c>
      <c r="BB71" s="22">
        <v>61</v>
      </c>
      <c r="BC71" s="22">
        <v>0.20666499999999999</v>
      </c>
      <c r="BD71">
        <f t="shared" si="10"/>
        <v>19.567899999999998</v>
      </c>
      <c r="BE71">
        <f t="shared" si="11"/>
        <v>4.0547428305999995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1.3377399999999999</v>
      </c>
      <c r="H72" s="22">
        <v>34.758299999999998</v>
      </c>
      <c r="I72" s="22">
        <v>-1.8221999999999999E-2</v>
      </c>
      <c r="J72" s="22">
        <v>62</v>
      </c>
      <c r="K72" s="22">
        <v>1.33636</v>
      </c>
      <c r="L72">
        <f t="shared" si="0"/>
        <v>18.221999999999998</v>
      </c>
      <c r="M72">
        <f t="shared" si="1"/>
        <v>24.376298279999997</v>
      </c>
      <c r="N72" s="9"/>
      <c r="O72" s="22">
        <v>0.21224999999999999</v>
      </c>
      <c r="P72" s="22">
        <v>68.811400000000006</v>
      </c>
      <c r="Q72" s="22">
        <v>-1.94427E-2</v>
      </c>
      <c r="R72" s="22">
        <v>62</v>
      </c>
      <c r="S72" s="22">
        <v>0.211426</v>
      </c>
      <c r="T72">
        <f t="shared" si="2"/>
        <v>19.442699999999999</v>
      </c>
      <c r="U72">
        <f t="shared" si="3"/>
        <v>4.1267130749999996</v>
      </c>
      <c r="X72" s="9"/>
      <c r="Y72" s="22">
        <v>1.3377399999999999</v>
      </c>
      <c r="Z72" s="22">
        <v>102.83499999999999</v>
      </c>
      <c r="AA72" s="22">
        <v>-1.8350200000000001E-2</v>
      </c>
      <c r="AB72" s="22">
        <v>62</v>
      </c>
      <c r="AC72" s="22">
        <v>1.33667</v>
      </c>
      <c r="AD72">
        <f t="shared" si="4"/>
        <v>18.350200000000001</v>
      </c>
      <c r="AE72">
        <f t="shared" si="5"/>
        <v>24.547796548000001</v>
      </c>
      <c r="AF72" s="9"/>
      <c r="AG72" s="22">
        <v>0.21224999999999999</v>
      </c>
      <c r="AH72" s="22">
        <v>136.84100000000001</v>
      </c>
      <c r="AI72" s="22">
        <v>-1.95648E-2</v>
      </c>
      <c r="AJ72" s="22">
        <v>62</v>
      </c>
      <c r="AK72" s="22">
        <v>0.21167</v>
      </c>
      <c r="AL72">
        <f t="shared" si="6"/>
        <v>19.564800000000002</v>
      </c>
      <c r="AM72">
        <f t="shared" si="7"/>
        <v>4.1526288000000005</v>
      </c>
      <c r="AP72" s="9"/>
      <c r="AQ72" s="22">
        <v>1.3377399999999999</v>
      </c>
      <c r="AR72" s="22">
        <v>170.899</v>
      </c>
      <c r="AS72" s="22">
        <v>-1.8335000000000001E-2</v>
      </c>
      <c r="AT72" s="22">
        <v>62</v>
      </c>
      <c r="AU72" s="22">
        <v>1.33667</v>
      </c>
      <c r="AV72">
        <f t="shared" si="8"/>
        <v>18.335000000000001</v>
      </c>
      <c r="AW72">
        <f t="shared" si="9"/>
        <v>24.5274629</v>
      </c>
      <c r="AX72" s="9"/>
      <c r="AY72" s="22">
        <v>0.21224999999999999</v>
      </c>
      <c r="AZ72" s="22">
        <v>204.92500000000001</v>
      </c>
      <c r="BA72" s="22">
        <v>-1.95648E-2</v>
      </c>
      <c r="BB72" s="22">
        <v>62</v>
      </c>
      <c r="BC72" s="22">
        <v>0.21157799999999999</v>
      </c>
      <c r="BD72">
        <f t="shared" si="10"/>
        <v>19.564800000000002</v>
      </c>
      <c r="BE72">
        <f t="shared" si="11"/>
        <v>4.1526288000000005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1.3327</v>
      </c>
      <c r="H73" s="22">
        <v>34.768300000000004</v>
      </c>
      <c r="I73" s="22">
        <v>-1.8228100000000001E-2</v>
      </c>
      <c r="J73" s="22">
        <v>63</v>
      </c>
      <c r="K73" s="22">
        <v>1.33209</v>
      </c>
      <c r="L73">
        <f t="shared" si="0"/>
        <v>18.228100000000001</v>
      </c>
      <c r="M73">
        <f t="shared" si="1"/>
        <v>24.292588870000003</v>
      </c>
      <c r="N73" s="9"/>
      <c r="O73" s="22">
        <v>0.21728500000000001</v>
      </c>
      <c r="P73" s="22">
        <v>68.8215</v>
      </c>
      <c r="Q73" s="22">
        <v>-1.9439700000000001E-2</v>
      </c>
      <c r="R73" s="22">
        <v>63</v>
      </c>
      <c r="S73" s="22">
        <v>0.21682699999999999</v>
      </c>
      <c r="T73">
        <f t="shared" si="2"/>
        <v>19.439700000000002</v>
      </c>
      <c r="U73">
        <f t="shared" si="3"/>
        <v>4.2239552145000001</v>
      </c>
      <c r="X73" s="9"/>
      <c r="Y73" s="22">
        <v>1.3327</v>
      </c>
      <c r="Z73" s="22">
        <v>102.845</v>
      </c>
      <c r="AA73" s="22">
        <v>-1.8356299999999999E-2</v>
      </c>
      <c r="AB73" s="22">
        <v>63</v>
      </c>
      <c r="AC73" s="22">
        <v>1.33209</v>
      </c>
      <c r="AD73">
        <f t="shared" si="4"/>
        <v>18.356299999999997</v>
      </c>
      <c r="AE73">
        <f t="shared" si="5"/>
        <v>24.463441009999997</v>
      </c>
      <c r="AF73" s="9"/>
      <c r="AG73" s="22">
        <v>0.21728500000000001</v>
      </c>
      <c r="AH73" s="22">
        <v>136.851</v>
      </c>
      <c r="AI73" s="22">
        <v>-1.9558699999999998E-2</v>
      </c>
      <c r="AJ73" s="22">
        <v>63</v>
      </c>
      <c r="AK73" s="22">
        <v>0.21670500000000001</v>
      </c>
      <c r="AL73">
        <f t="shared" si="6"/>
        <v>19.558699999999998</v>
      </c>
      <c r="AM73">
        <f t="shared" si="7"/>
        <v>4.2498121294999995</v>
      </c>
      <c r="AP73" s="9"/>
      <c r="AQ73" s="22">
        <v>1.3327</v>
      </c>
      <c r="AR73" s="22">
        <v>170.90899999999999</v>
      </c>
      <c r="AS73" s="22">
        <v>-1.8344099999999999E-2</v>
      </c>
      <c r="AT73" s="22">
        <v>63</v>
      </c>
      <c r="AU73" s="22">
        <v>1.33179</v>
      </c>
      <c r="AV73">
        <f t="shared" si="8"/>
        <v>18.344099999999997</v>
      </c>
      <c r="AW73">
        <f t="shared" si="9"/>
        <v>24.447182069999997</v>
      </c>
      <c r="AX73" s="9"/>
      <c r="AY73" s="22">
        <v>0.21728500000000001</v>
      </c>
      <c r="AZ73" s="22">
        <v>204.93600000000001</v>
      </c>
      <c r="BA73" s="22">
        <v>-1.9558699999999998E-2</v>
      </c>
      <c r="BB73" s="22">
        <v>63</v>
      </c>
      <c r="BC73" s="22">
        <v>0.216583</v>
      </c>
      <c r="BD73">
        <f t="shared" si="10"/>
        <v>19.558699999999998</v>
      </c>
      <c r="BE73">
        <f t="shared" si="11"/>
        <v>4.2498121294999995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1.3276699999999999</v>
      </c>
      <c r="H74" s="22">
        <v>34.778399999999998</v>
      </c>
      <c r="I74" s="22">
        <v>-1.8234299999999998E-2</v>
      </c>
      <c r="J74" s="22">
        <v>64</v>
      </c>
      <c r="K74" s="22">
        <v>1.32751</v>
      </c>
      <c r="L74">
        <f t="shared" si="0"/>
        <v>18.234299999999998</v>
      </c>
      <c r="M74">
        <f t="shared" si="1"/>
        <v>24.209133080999994</v>
      </c>
      <c r="N74" s="9"/>
      <c r="O74" s="22">
        <v>0.22232099999999999</v>
      </c>
      <c r="P74" s="22">
        <v>68.831500000000005</v>
      </c>
      <c r="Q74" s="22">
        <v>-1.9433599999999999E-2</v>
      </c>
      <c r="R74" s="22">
        <v>64</v>
      </c>
      <c r="S74" s="22">
        <v>0.22161900000000001</v>
      </c>
      <c r="T74">
        <f t="shared" si="2"/>
        <v>19.433599999999998</v>
      </c>
      <c r="U74">
        <f t="shared" si="3"/>
        <v>4.3204973855999995</v>
      </c>
      <c r="X74" s="9"/>
      <c r="Y74" s="22">
        <v>1.3276699999999999</v>
      </c>
      <c r="Z74" s="22">
        <v>102.855</v>
      </c>
      <c r="AA74" s="22">
        <v>-1.8362400000000001E-2</v>
      </c>
      <c r="AB74" s="22">
        <v>64</v>
      </c>
      <c r="AC74" s="22">
        <v>1.3269</v>
      </c>
      <c r="AD74">
        <f t="shared" si="4"/>
        <v>18.362400000000001</v>
      </c>
      <c r="AE74">
        <f t="shared" si="5"/>
        <v>24.379207607999998</v>
      </c>
      <c r="AF74" s="9"/>
      <c r="AG74" s="22">
        <v>0.22232099999999999</v>
      </c>
      <c r="AH74" s="22">
        <v>136.86099999999999</v>
      </c>
      <c r="AI74" s="22">
        <v>-1.95526E-2</v>
      </c>
      <c r="AJ74" s="22">
        <v>64</v>
      </c>
      <c r="AK74" s="22">
        <v>0.22161900000000001</v>
      </c>
      <c r="AL74">
        <f t="shared" si="6"/>
        <v>19.552599999999998</v>
      </c>
      <c r="AM74">
        <f t="shared" si="7"/>
        <v>4.3469535845999996</v>
      </c>
      <c r="AP74" s="9"/>
      <c r="AQ74" s="22">
        <v>1.3276699999999999</v>
      </c>
      <c r="AR74" s="22">
        <v>170.91900000000001</v>
      </c>
      <c r="AS74" s="22">
        <v>-1.8350200000000001E-2</v>
      </c>
      <c r="AT74" s="22">
        <v>64</v>
      </c>
      <c r="AU74" s="22">
        <v>1.32721</v>
      </c>
      <c r="AV74">
        <f t="shared" si="8"/>
        <v>18.350200000000001</v>
      </c>
      <c r="AW74">
        <f t="shared" si="9"/>
        <v>24.363010033999998</v>
      </c>
      <c r="AX74" s="9"/>
      <c r="AY74" s="22">
        <v>0.22232099999999999</v>
      </c>
      <c r="AZ74" s="22">
        <v>204.946</v>
      </c>
      <c r="BA74" s="22">
        <v>-1.9555699999999999E-2</v>
      </c>
      <c r="BB74" s="22">
        <v>64</v>
      </c>
      <c r="BC74" s="22">
        <v>0.221771</v>
      </c>
      <c r="BD74">
        <f t="shared" si="10"/>
        <v>19.555699999999998</v>
      </c>
      <c r="BE74">
        <f t="shared" si="11"/>
        <v>4.3476427796999992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1.32263</v>
      </c>
      <c r="H75" s="22">
        <v>34.788499999999999</v>
      </c>
      <c r="I75" s="22">
        <v>-1.8237300000000001E-2</v>
      </c>
      <c r="J75" s="22">
        <v>65</v>
      </c>
      <c r="K75" s="22">
        <v>1.32202</v>
      </c>
      <c r="L75">
        <f t="shared" si="0"/>
        <v>18.237300000000001</v>
      </c>
      <c r="M75">
        <f t="shared" si="1"/>
        <v>24.121200098999999</v>
      </c>
      <c r="N75" s="9"/>
      <c r="O75" s="22">
        <v>0.227356</v>
      </c>
      <c r="P75" s="22">
        <v>68.8416</v>
      </c>
      <c r="Q75" s="22">
        <v>-1.94275E-2</v>
      </c>
      <c r="R75" s="22">
        <v>65</v>
      </c>
      <c r="S75" s="22">
        <v>0.22680700000000001</v>
      </c>
      <c r="T75">
        <f t="shared" si="2"/>
        <v>19.427500000000002</v>
      </c>
      <c r="U75">
        <f t="shared" si="3"/>
        <v>4.4169586900000004</v>
      </c>
      <c r="X75" s="9"/>
      <c r="Y75" s="22">
        <v>1.32263</v>
      </c>
      <c r="Z75" s="22">
        <v>102.86499999999999</v>
      </c>
      <c r="AA75" s="22">
        <v>-1.8368499999999999E-2</v>
      </c>
      <c r="AB75" s="22">
        <v>65</v>
      </c>
      <c r="AC75" s="22">
        <v>1.32233</v>
      </c>
      <c r="AD75">
        <f t="shared" si="4"/>
        <v>18.368500000000001</v>
      </c>
      <c r="AE75">
        <f t="shared" si="5"/>
        <v>24.294729155000002</v>
      </c>
      <c r="AF75" s="9"/>
      <c r="AG75" s="22">
        <v>0.227356</v>
      </c>
      <c r="AH75" s="22">
        <v>136.87100000000001</v>
      </c>
      <c r="AI75" s="22">
        <v>-1.95496E-2</v>
      </c>
      <c r="AJ75" s="22">
        <v>65</v>
      </c>
      <c r="AK75" s="22">
        <v>0.22689799999999999</v>
      </c>
      <c r="AL75">
        <f t="shared" si="6"/>
        <v>19.549600000000002</v>
      </c>
      <c r="AM75">
        <f t="shared" si="7"/>
        <v>4.4447188576000007</v>
      </c>
      <c r="AP75" s="9"/>
      <c r="AQ75" s="22">
        <v>1.32263</v>
      </c>
      <c r="AR75" s="22">
        <v>170.93</v>
      </c>
      <c r="AS75" s="22">
        <v>-1.83655E-2</v>
      </c>
      <c r="AT75" s="22">
        <v>65</v>
      </c>
      <c r="AU75" s="22">
        <v>1.32233</v>
      </c>
      <c r="AV75">
        <f t="shared" si="8"/>
        <v>18.365500000000001</v>
      </c>
      <c r="AW75">
        <f t="shared" si="9"/>
        <v>24.290761265</v>
      </c>
      <c r="AX75" s="9"/>
      <c r="AY75" s="22">
        <v>0.227356</v>
      </c>
      <c r="AZ75" s="22">
        <v>204.95599999999999</v>
      </c>
      <c r="BA75" s="22">
        <v>-1.95496E-2</v>
      </c>
      <c r="BB75" s="22">
        <v>65</v>
      </c>
      <c r="BC75" s="22">
        <v>0.22686799999999999</v>
      </c>
      <c r="BD75">
        <f t="shared" si="10"/>
        <v>19.549600000000002</v>
      </c>
      <c r="BE75">
        <f t="shared" si="11"/>
        <v>4.4447188576000007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1.3176000000000001</v>
      </c>
      <c r="H76" s="22">
        <v>34.798499999999997</v>
      </c>
      <c r="I76" s="22">
        <v>-1.82404E-2</v>
      </c>
      <c r="J76" s="22">
        <v>66</v>
      </c>
      <c r="K76" s="22">
        <v>1.31714</v>
      </c>
      <c r="L76">
        <f t="shared" ref="L76:L139" si="12">-I76/$F$2*1000</f>
        <v>18.240400000000001</v>
      </c>
      <c r="M76">
        <f t="shared" ref="M76:M139" si="13">L76*G76</f>
        <v>24.033551040000003</v>
      </c>
      <c r="N76" s="9"/>
      <c r="O76" s="22">
        <v>0.23239099999999999</v>
      </c>
      <c r="P76" s="22">
        <v>68.851699999999994</v>
      </c>
      <c r="Q76" s="22">
        <v>-1.9424400000000001E-2</v>
      </c>
      <c r="R76" s="22">
        <v>66</v>
      </c>
      <c r="S76" s="22">
        <v>0.23181199999999999</v>
      </c>
      <c r="T76">
        <f t="shared" ref="T76:T139" si="14">-Q76/$F$2*1000</f>
        <v>19.424400000000002</v>
      </c>
      <c r="U76">
        <f t="shared" ref="U76:U139" si="15">T76*O76</f>
        <v>4.5140557403999999</v>
      </c>
      <c r="X76" s="9"/>
      <c r="Y76" s="22">
        <v>1.3176000000000001</v>
      </c>
      <c r="Z76" s="22">
        <v>102.875</v>
      </c>
      <c r="AA76" s="22">
        <v>-1.8371599999999998E-2</v>
      </c>
      <c r="AB76" s="22">
        <v>66</v>
      </c>
      <c r="AC76" s="22">
        <v>1.3168299999999999</v>
      </c>
      <c r="AD76">
        <f t="shared" ref="AD76:AD139" si="16">-AA76/$F$2*1000</f>
        <v>18.371599999999997</v>
      </c>
      <c r="AE76">
        <f t="shared" ref="AE76:AE139" si="17">AD76*Y76</f>
        <v>24.206420159999997</v>
      </c>
      <c r="AF76" s="9"/>
      <c r="AG76" s="22">
        <v>0.23239099999999999</v>
      </c>
      <c r="AH76" s="22">
        <v>136.881</v>
      </c>
      <c r="AI76" s="22">
        <v>-1.9543499999999998E-2</v>
      </c>
      <c r="AJ76" s="22">
        <v>66</v>
      </c>
      <c r="AK76" s="22">
        <v>0.23205600000000001</v>
      </c>
      <c r="AL76">
        <f t="shared" ref="AL76:AL139" si="18">-AI76/$F$2*1000</f>
        <v>19.543499999999998</v>
      </c>
      <c r="AM76">
        <f t="shared" ref="AM76:AM139" si="19">AL76*AG76</f>
        <v>4.5417335084999992</v>
      </c>
      <c r="AP76" s="9"/>
      <c r="AQ76" s="22">
        <v>1.3176000000000001</v>
      </c>
      <c r="AR76" s="22">
        <v>170.94</v>
      </c>
      <c r="AS76" s="22">
        <v>-1.8371599999999998E-2</v>
      </c>
      <c r="AT76" s="22">
        <v>66</v>
      </c>
      <c r="AU76" s="22">
        <v>1.3168299999999999</v>
      </c>
      <c r="AV76">
        <f t="shared" ref="AV76:AV139" si="20">-AS76/$F$2*1000</f>
        <v>18.371599999999997</v>
      </c>
      <c r="AW76">
        <f t="shared" ref="AW76:AW139" si="21">AV76*AQ76</f>
        <v>24.206420159999997</v>
      </c>
      <c r="AX76" s="9"/>
      <c r="AY76" s="22">
        <v>0.23239099999999999</v>
      </c>
      <c r="AZ76" s="22">
        <v>204.96600000000001</v>
      </c>
      <c r="BA76" s="22">
        <v>-1.9546500000000001E-2</v>
      </c>
      <c r="BB76" s="22">
        <v>66</v>
      </c>
      <c r="BC76" s="22">
        <v>0.231659</v>
      </c>
      <c r="BD76">
        <f t="shared" ref="BD76:BD139" si="22">-BA76/$F$2*1000</f>
        <v>19.546500000000002</v>
      </c>
      <c r="BE76">
        <f t="shared" ref="BE76:BE139" si="23">BD76*AY76</f>
        <v>4.5424306815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1.3125599999999999</v>
      </c>
      <c r="H77" s="22">
        <v>34.808599999999998</v>
      </c>
      <c r="I77" s="22">
        <v>-1.8246499999999999E-2</v>
      </c>
      <c r="J77" s="22">
        <v>67</v>
      </c>
      <c r="K77" s="22">
        <v>1.31165</v>
      </c>
      <c r="L77">
        <f t="shared" si="12"/>
        <v>18.246499999999997</v>
      </c>
      <c r="M77">
        <f t="shared" si="13"/>
        <v>23.949626039999995</v>
      </c>
      <c r="N77" s="9"/>
      <c r="O77" s="22">
        <v>0.237427</v>
      </c>
      <c r="P77" s="22">
        <v>68.861800000000002</v>
      </c>
      <c r="Q77" s="22">
        <v>-1.9418299999999999E-2</v>
      </c>
      <c r="R77" s="22">
        <v>67</v>
      </c>
      <c r="S77" s="22">
        <v>0.23660300000000001</v>
      </c>
      <c r="T77">
        <f t="shared" si="14"/>
        <v>19.418299999999999</v>
      </c>
      <c r="U77">
        <f t="shared" si="15"/>
        <v>4.6104287140999993</v>
      </c>
      <c r="X77" s="9"/>
      <c r="Y77" s="22">
        <v>1.3125599999999999</v>
      </c>
      <c r="Z77" s="22">
        <v>102.88500000000001</v>
      </c>
      <c r="AA77" s="22">
        <v>-1.83807E-2</v>
      </c>
      <c r="AB77" s="22">
        <v>67</v>
      </c>
      <c r="AC77" s="22">
        <v>1.3119499999999999</v>
      </c>
      <c r="AD77">
        <f t="shared" si="16"/>
        <v>18.380700000000001</v>
      </c>
      <c r="AE77">
        <f t="shared" si="17"/>
        <v>24.125771592</v>
      </c>
      <c r="AF77" s="9"/>
      <c r="AG77" s="22">
        <v>0.237427</v>
      </c>
      <c r="AH77" s="22">
        <v>136.89099999999999</v>
      </c>
      <c r="AI77" s="22">
        <v>-1.95374E-2</v>
      </c>
      <c r="AJ77" s="22">
        <v>67</v>
      </c>
      <c r="AK77" s="22">
        <v>0.23675499999999999</v>
      </c>
      <c r="AL77">
        <f t="shared" si="18"/>
        <v>19.537400000000002</v>
      </c>
      <c r="AM77">
        <f t="shared" si="19"/>
        <v>4.6387062698000001</v>
      </c>
      <c r="AP77" s="9"/>
      <c r="AQ77" s="22">
        <v>1.3125599999999999</v>
      </c>
      <c r="AR77" s="22">
        <v>170.95</v>
      </c>
      <c r="AS77" s="22">
        <v>-1.83807E-2</v>
      </c>
      <c r="AT77" s="22">
        <v>67</v>
      </c>
      <c r="AU77" s="22">
        <v>1.31165</v>
      </c>
      <c r="AV77">
        <f t="shared" si="20"/>
        <v>18.380700000000001</v>
      </c>
      <c r="AW77">
        <f t="shared" si="21"/>
        <v>24.125771592</v>
      </c>
      <c r="AX77" s="9"/>
      <c r="AY77" s="22">
        <v>0.237427</v>
      </c>
      <c r="AZ77" s="22">
        <v>204.976</v>
      </c>
      <c r="BA77" s="22">
        <v>-1.9543499999999998E-2</v>
      </c>
      <c r="BB77" s="22">
        <v>67</v>
      </c>
      <c r="BC77" s="22">
        <v>0.23660300000000001</v>
      </c>
      <c r="BD77">
        <f t="shared" si="22"/>
        <v>19.543499999999998</v>
      </c>
      <c r="BE77">
        <f t="shared" si="23"/>
        <v>4.6401545744999995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1.3075300000000001</v>
      </c>
      <c r="H78" s="22">
        <v>34.8187</v>
      </c>
      <c r="I78" s="22">
        <v>-1.8249499999999998E-2</v>
      </c>
      <c r="J78" s="22">
        <v>68</v>
      </c>
      <c r="K78" s="22">
        <v>1.30646</v>
      </c>
      <c r="L78">
        <f t="shared" si="12"/>
        <v>18.249499999999998</v>
      </c>
      <c r="M78">
        <f t="shared" si="13"/>
        <v>23.861768734999998</v>
      </c>
      <c r="N78" s="9"/>
      <c r="O78" s="22">
        <v>0.24246200000000001</v>
      </c>
      <c r="P78" s="22">
        <v>68.871799999999993</v>
      </c>
      <c r="Q78" s="22">
        <v>-1.94153E-2</v>
      </c>
      <c r="R78" s="22">
        <v>68</v>
      </c>
      <c r="S78" s="22">
        <v>0.24191299999999999</v>
      </c>
      <c r="T78">
        <f t="shared" si="14"/>
        <v>19.415299999999998</v>
      </c>
      <c r="U78">
        <f t="shared" si="15"/>
        <v>4.7074724685999998</v>
      </c>
      <c r="X78" s="9"/>
      <c r="Y78" s="22">
        <v>1.3075300000000001</v>
      </c>
      <c r="Z78" s="22">
        <v>102.895</v>
      </c>
      <c r="AA78" s="22">
        <v>-1.8386799999999998E-2</v>
      </c>
      <c r="AB78" s="22">
        <v>68</v>
      </c>
      <c r="AC78" s="22">
        <v>1.3067599999999999</v>
      </c>
      <c r="AD78">
        <f t="shared" si="16"/>
        <v>18.386799999999997</v>
      </c>
      <c r="AE78">
        <f t="shared" si="17"/>
        <v>24.041292603999999</v>
      </c>
      <c r="AF78" s="9"/>
      <c r="AG78" s="22">
        <v>0.24246200000000001</v>
      </c>
      <c r="AH78" s="22">
        <v>136.90100000000001</v>
      </c>
      <c r="AI78" s="22">
        <v>-1.95374E-2</v>
      </c>
      <c r="AJ78" s="22">
        <v>68</v>
      </c>
      <c r="AK78" s="22">
        <v>0.24182100000000001</v>
      </c>
      <c r="AL78">
        <f t="shared" si="18"/>
        <v>19.537400000000002</v>
      </c>
      <c r="AM78">
        <f t="shared" si="19"/>
        <v>4.7370770788000005</v>
      </c>
      <c r="AP78" s="9"/>
      <c r="AQ78" s="22">
        <v>1.3075300000000001</v>
      </c>
      <c r="AR78" s="22">
        <v>170.96</v>
      </c>
      <c r="AS78" s="22">
        <v>-1.8386799999999998E-2</v>
      </c>
      <c r="AT78" s="22">
        <v>68</v>
      </c>
      <c r="AU78" s="22">
        <v>1.3061499999999999</v>
      </c>
      <c r="AV78">
        <f t="shared" si="20"/>
        <v>18.386799999999997</v>
      </c>
      <c r="AW78">
        <f t="shared" si="21"/>
        <v>24.041292603999999</v>
      </c>
      <c r="AX78" s="9"/>
      <c r="AY78" s="22">
        <v>0.24246200000000001</v>
      </c>
      <c r="AZ78" s="22">
        <v>204.98599999999999</v>
      </c>
      <c r="BA78" s="22">
        <v>-1.95374E-2</v>
      </c>
      <c r="BB78" s="22">
        <v>68</v>
      </c>
      <c r="BC78" s="22">
        <v>0.24188200000000001</v>
      </c>
      <c r="BD78">
        <f t="shared" si="22"/>
        <v>19.537400000000002</v>
      </c>
      <c r="BE78">
        <f t="shared" si="23"/>
        <v>4.7370770788000005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1.3024899999999999</v>
      </c>
      <c r="H79" s="22">
        <v>34.828800000000001</v>
      </c>
      <c r="I79" s="22">
        <v>-1.8252600000000001E-2</v>
      </c>
      <c r="J79" s="22">
        <v>69</v>
      </c>
      <c r="K79" s="22">
        <v>1.3015699999999999</v>
      </c>
      <c r="L79">
        <f t="shared" si="12"/>
        <v>18.252600000000001</v>
      </c>
      <c r="M79">
        <f t="shared" si="13"/>
        <v>23.773828974000001</v>
      </c>
      <c r="N79" s="9"/>
      <c r="O79" s="22">
        <v>0.247498</v>
      </c>
      <c r="P79" s="22">
        <v>68.881900000000002</v>
      </c>
      <c r="Q79" s="22">
        <v>-1.9409200000000001E-2</v>
      </c>
      <c r="R79" s="22">
        <v>69</v>
      </c>
      <c r="S79" s="22">
        <v>0.246948</v>
      </c>
      <c r="T79">
        <f t="shared" si="14"/>
        <v>19.409200000000002</v>
      </c>
      <c r="U79">
        <f t="shared" si="15"/>
        <v>4.8037381816</v>
      </c>
      <c r="X79" s="9"/>
      <c r="Y79" s="22">
        <v>1.3024899999999999</v>
      </c>
      <c r="Z79" s="22">
        <v>102.905</v>
      </c>
      <c r="AA79" s="22">
        <v>-1.8389900000000001E-2</v>
      </c>
      <c r="AB79" s="22">
        <v>69</v>
      </c>
      <c r="AC79" s="22">
        <v>1.3018799999999999</v>
      </c>
      <c r="AD79">
        <f t="shared" si="16"/>
        <v>18.389900000000001</v>
      </c>
      <c r="AE79">
        <f t="shared" si="17"/>
        <v>23.952660851000001</v>
      </c>
      <c r="AF79" s="9"/>
      <c r="AG79" s="22">
        <v>0.247498</v>
      </c>
      <c r="AH79" s="22">
        <v>136.911</v>
      </c>
      <c r="AI79" s="22">
        <v>-1.9531300000000001E-2</v>
      </c>
      <c r="AJ79" s="22">
        <v>69</v>
      </c>
      <c r="AK79" s="22">
        <v>0.24679599999999999</v>
      </c>
      <c r="AL79">
        <f t="shared" si="18"/>
        <v>19.531300000000002</v>
      </c>
      <c r="AM79">
        <f t="shared" si="19"/>
        <v>4.8339576874000008</v>
      </c>
      <c r="AP79" s="9"/>
      <c r="AQ79" s="22">
        <v>1.3024899999999999</v>
      </c>
      <c r="AR79" s="22">
        <v>170.97</v>
      </c>
      <c r="AS79" s="22">
        <v>-1.8395999999999999E-2</v>
      </c>
      <c r="AT79" s="22">
        <v>69</v>
      </c>
      <c r="AU79" s="22">
        <v>1.3015699999999999</v>
      </c>
      <c r="AV79">
        <f t="shared" si="20"/>
        <v>18.396000000000001</v>
      </c>
      <c r="AW79">
        <f t="shared" si="21"/>
        <v>23.960606039999998</v>
      </c>
      <c r="AX79" s="9"/>
      <c r="AY79" s="22">
        <v>0.247498</v>
      </c>
      <c r="AZ79" s="22">
        <v>204.99600000000001</v>
      </c>
      <c r="BA79" s="22">
        <v>-1.9534300000000001E-2</v>
      </c>
      <c r="BB79" s="22">
        <v>69</v>
      </c>
      <c r="BC79" s="22">
        <v>0.24685699999999999</v>
      </c>
      <c r="BD79">
        <f t="shared" si="22"/>
        <v>19.534300000000002</v>
      </c>
      <c r="BE79">
        <f t="shared" si="23"/>
        <v>4.8347001814000006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1.29745</v>
      </c>
      <c r="H80" s="22">
        <v>34.838799999999999</v>
      </c>
      <c r="I80" s="22">
        <v>-1.8258699999999999E-2</v>
      </c>
      <c r="J80" s="22">
        <v>70</v>
      </c>
      <c r="K80" s="22">
        <v>1.2972999999999999</v>
      </c>
      <c r="L80">
        <f t="shared" si="12"/>
        <v>18.258699999999997</v>
      </c>
      <c r="M80">
        <f t="shared" si="13"/>
        <v>23.689750314999998</v>
      </c>
      <c r="N80" s="9"/>
      <c r="O80" s="22">
        <v>0.25253300000000001</v>
      </c>
      <c r="P80" s="22">
        <v>68.891999999999996</v>
      </c>
      <c r="Q80" s="22">
        <v>-1.94031E-2</v>
      </c>
      <c r="R80" s="22">
        <v>70</v>
      </c>
      <c r="S80" s="22">
        <v>0.25170900000000002</v>
      </c>
      <c r="T80">
        <f t="shared" si="14"/>
        <v>19.403099999999998</v>
      </c>
      <c r="U80">
        <f t="shared" si="15"/>
        <v>4.8999230523000001</v>
      </c>
      <c r="X80" s="9"/>
      <c r="Y80" s="22">
        <v>1.29745</v>
      </c>
      <c r="Z80" s="22">
        <v>102.91500000000001</v>
      </c>
      <c r="AA80" s="22">
        <v>-1.8395999999999999E-2</v>
      </c>
      <c r="AB80" s="22">
        <v>70</v>
      </c>
      <c r="AC80" s="22">
        <v>1.2972999999999999</v>
      </c>
      <c r="AD80">
        <f t="shared" si="16"/>
        <v>18.396000000000001</v>
      </c>
      <c r="AE80">
        <f t="shared" si="17"/>
        <v>23.867890200000001</v>
      </c>
      <c r="AF80" s="9"/>
      <c r="AG80" s="22">
        <v>0.25253300000000001</v>
      </c>
      <c r="AH80" s="22">
        <v>136.92099999999999</v>
      </c>
      <c r="AI80" s="22">
        <v>-1.95251E-2</v>
      </c>
      <c r="AJ80" s="22">
        <v>70</v>
      </c>
      <c r="AK80" s="22">
        <v>0.25195299999999998</v>
      </c>
      <c r="AL80">
        <f t="shared" si="18"/>
        <v>19.525099999999998</v>
      </c>
      <c r="AM80">
        <f t="shared" si="19"/>
        <v>4.9307320783000002</v>
      </c>
      <c r="AP80" s="9"/>
      <c r="AQ80" s="22">
        <v>1.29745</v>
      </c>
      <c r="AR80" s="22">
        <v>170.98</v>
      </c>
      <c r="AS80" s="22">
        <v>-1.8402100000000001E-2</v>
      </c>
      <c r="AT80" s="22">
        <v>70</v>
      </c>
      <c r="AU80" s="22">
        <v>1.2966899999999999</v>
      </c>
      <c r="AV80">
        <f t="shared" si="20"/>
        <v>18.402100000000001</v>
      </c>
      <c r="AW80">
        <f t="shared" si="21"/>
        <v>23.875804645000002</v>
      </c>
      <c r="AX80" s="9"/>
      <c r="AY80" s="22">
        <v>0.25253300000000001</v>
      </c>
      <c r="AZ80" s="22">
        <v>205.006</v>
      </c>
      <c r="BA80" s="22">
        <v>-1.9531300000000001E-2</v>
      </c>
      <c r="BB80" s="22">
        <v>70</v>
      </c>
      <c r="BC80" s="22">
        <v>0.25174000000000002</v>
      </c>
      <c r="BD80">
        <f t="shared" si="22"/>
        <v>19.531300000000002</v>
      </c>
      <c r="BE80">
        <f t="shared" si="23"/>
        <v>4.932297782900001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1.2924199999999999</v>
      </c>
      <c r="H81" s="22">
        <v>34.8489</v>
      </c>
      <c r="I81" s="22">
        <v>-1.8264800000000001E-2</v>
      </c>
      <c r="J81" s="22">
        <v>71</v>
      </c>
      <c r="K81" s="22">
        <v>1.2915000000000001</v>
      </c>
      <c r="L81">
        <f t="shared" si="12"/>
        <v>18.264800000000001</v>
      </c>
      <c r="M81">
        <f t="shared" si="13"/>
        <v>23.605792816000001</v>
      </c>
      <c r="N81" s="9"/>
      <c r="O81" s="22">
        <v>0.25756800000000002</v>
      </c>
      <c r="P81" s="22">
        <v>68.902000000000001</v>
      </c>
      <c r="Q81" s="22">
        <v>-1.9400000000000001E-2</v>
      </c>
      <c r="R81" s="22">
        <v>71</v>
      </c>
      <c r="S81" s="22">
        <v>0.25707999999999998</v>
      </c>
      <c r="T81">
        <f t="shared" si="14"/>
        <v>19.400000000000002</v>
      </c>
      <c r="U81">
        <f t="shared" si="15"/>
        <v>4.9968192000000009</v>
      </c>
      <c r="X81" s="9"/>
      <c r="Y81" s="22">
        <v>1.2924199999999999</v>
      </c>
      <c r="Z81" s="22">
        <v>102.925</v>
      </c>
      <c r="AA81" s="22">
        <v>-1.8398999999999999E-2</v>
      </c>
      <c r="AB81" s="22">
        <v>71</v>
      </c>
      <c r="AC81" s="22">
        <v>1.2911999999999999</v>
      </c>
      <c r="AD81">
        <f t="shared" si="16"/>
        <v>18.398999999999997</v>
      </c>
      <c r="AE81">
        <f t="shared" si="17"/>
        <v>23.779235579999995</v>
      </c>
      <c r="AF81" s="9"/>
      <c r="AG81" s="22">
        <v>0.25756800000000002</v>
      </c>
      <c r="AH81" s="22">
        <v>136.93100000000001</v>
      </c>
      <c r="AI81" s="22">
        <v>-1.9522100000000001E-2</v>
      </c>
      <c r="AJ81" s="22">
        <v>71</v>
      </c>
      <c r="AK81" s="22">
        <v>0.25695800000000002</v>
      </c>
      <c r="AL81">
        <f t="shared" si="18"/>
        <v>19.522100000000002</v>
      </c>
      <c r="AM81">
        <f t="shared" si="19"/>
        <v>5.0282682528000011</v>
      </c>
      <c r="AP81" s="9"/>
      <c r="AQ81" s="22">
        <v>1.2924199999999999</v>
      </c>
      <c r="AR81" s="22">
        <v>170.99</v>
      </c>
      <c r="AS81" s="22">
        <v>-1.84052E-2</v>
      </c>
      <c r="AT81" s="22">
        <v>71</v>
      </c>
      <c r="AU81" s="22">
        <v>1.2921100000000001</v>
      </c>
      <c r="AV81">
        <f t="shared" si="20"/>
        <v>18.405200000000001</v>
      </c>
      <c r="AW81">
        <f t="shared" si="21"/>
        <v>23.787248584</v>
      </c>
      <c r="AX81" s="9"/>
      <c r="AY81" s="22">
        <v>0.25756800000000002</v>
      </c>
      <c r="AZ81" s="22">
        <v>205.01599999999999</v>
      </c>
      <c r="BA81" s="22">
        <v>-1.9522100000000001E-2</v>
      </c>
      <c r="BB81" s="22">
        <v>71</v>
      </c>
      <c r="BC81" s="22">
        <v>0.25692700000000002</v>
      </c>
      <c r="BD81">
        <f t="shared" si="22"/>
        <v>19.522100000000002</v>
      </c>
      <c r="BE81">
        <f t="shared" si="23"/>
        <v>5.0282682528000011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1.28738</v>
      </c>
      <c r="H82" s="22">
        <v>34.859000000000002</v>
      </c>
      <c r="I82" s="22">
        <v>-1.8273899999999999E-2</v>
      </c>
      <c r="J82" s="22">
        <v>72</v>
      </c>
      <c r="K82" s="22">
        <v>1.2863199999999999</v>
      </c>
      <c r="L82">
        <f t="shared" si="12"/>
        <v>18.273899999999998</v>
      </c>
      <c r="M82">
        <f t="shared" si="13"/>
        <v>23.525453381999995</v>
      </c>
      <c r="N82" s="9"/>
      <c r="O82" s="22">
        <v>0.262604</v>
      </c>
      <c r="P82" s="22">
        <v>68.912099999999995</v>
      </c>
      <c r="Q82" s="22">
        <v>-1.9393899999999999E-2</v>
      </c>
      <c r="R82" s="22">
        <v>72</v>
      </c>
      <c r="S82" s="22">
        <v>0.261963</v>
      </c>
      <c r="T82">
        <f t="shared" si="14"/>
        <v>19.393899999999999</v>
      </c>
      <c r="U82">
        <f t="shared" si="15"/>
        <v>5.0929157155999993</v>
      </c>
      <c r="X82" s="9"/>
      <c r="Y82" s="22">
        <v>1.28738</v>
      </c>
      <c r="Z82" s="22">
        <v>102.935</v>
      </c>
      <c r="AA82" s="22">
        <v>-1.84052E-2</v>
      </c>
      <c r="AB82" s="22">
        <v>72</v>
      </c>
      <c r="AC82" s="22">
        <v>1.2866200000000001</v>
      </c>
      <c r="AD82">
        <f t="shared" si="16"/>
        <v>18.405200000000001</v>
      </c>
      <c r="AE82">
        <f t="shared" si="17"/>
        <v>23.694486376</v>
      </c>
      <c r="AF82" s="9"/>
      <c r="AG82" s="22">
        <v>0.262604</v>
      </c>
      <c r="AH82" s="22">
        <v>136.941</v>
      </c>
      <c r="AI82" s="22">
        <v>-1.9519000000000002E-2</v>
      </c>
      <c r="AJ82" s="22">
        <v>72</v>
      </c>
      <c r="AK82" s="22">
        <v>0.26211499999999999</v>
      </c>
      <c r="AL82">
        <f t="shared" si="18"/>
        <v>19.519000000000002</v>
      </c>
      <c r="AM82">
        <f t="shared" si="19"/>
        <v>5.1257674760000009</v>
      </c>
      <c r="AP82" s="9"/>
      <c r="AQ82" s="22">
        <v>1.28738</v>
      </c>
      <c r="AR82" s="22">
        <v>171</v>
      </c>
      <c r="AS82" s="22">
        <v>-1.8414300000000002E-2</v>
      </c>
      <c r="AT82" s="22">
        <v>72</v>
      </c>
      <c r="AU82" s="22">
        <v>1.2869299999999999</v>
      </c>
      <c r="AV82">
        <f t="shared" si="20"/>
        <v>18.414300000000001</v>
      </c>
      <c r="AW82">
        <f t="shared" si="21"/>
        <v>23.706201534000002</v>
      </c>
      <c r="AX82" s="9"/>
      <c r="AY82" s="22">
        <v>0.262604</v>
      </c>
      <c r="AZ82" s="22">
        <v>205.02600000000001</v>
      </c>
      <c r="BA82" s="22">
        <v>-1.9515999999999999E-2</v>
      </c>
      <c r="BB82" s="22">
        <v>72</v>
      </c>
      <c r="BC82" s="22">
        <v>0.26187100000000002</v>
      </c>
      <c r="BD82">
        <f t="shared" si="22"/>
        <v>19.515999999999998</v>
      </c>
      <c r="BE82">
        <f t="shared" si="23"/>
        <v>5.1249796639999996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1.2823500000000001</v>
      </c>
      <c r="H83" s="22">
        <v>34.869</v>
      </c>
      <c r="I83" s="22">
        <v>-1.8280000000000001E-2</v>
      </c>
      <c r="J83" s="22">
        <v>73</v>
      </c>
      <c r="K83" s="22">
        <v>1.2814300000000001</v>
      </c>
      <c r="L83">
        <f t="shared" si="12"/>
        <v>18.28</v>
      </c>
      <c r="M83">
        <f t="shared" si="13"/>
        <v>23.441358000000005</v>
      </c>
      <c r="N83" s="9"/>
      <c r="O83" s="22">
        <v>0.26763900000000002</v>
      </c>
      <c r="P83" s="22">
        <v>68.922200000000004</v>
      </c>
      <c r="Q83" s="22">
        <v>-1.9390899999999999E-2</v>
      </c>
      <c r="R83" s="22">
        <v>73</v>
      </c>
      <c r="S83" s="22">
        <v>0.26702900000000002</v>
      </c>
      <c r="T83">
        <f t="shared" si="14"/>
        <v>19.390899999999998</v>
      </c>
      <c r="U83">
        <f t="shared" si="15"/>
        <v>5.1897610850999998</v>
      </c>
      <c r="X83" s="9"/>
      <c r="Y83" s="22">
        <v>1.2823500000000001</v>
      </c>
      <c r="Z83" s="22">
        <v>102.94499999999999</v>
      </c>
      <c r="AA83" s="22">
        <v>-1.84082E-2</v>
      </c>
      <c r="AB83" s="22">
        <v>73</v>
      </c>
      <c r="AC83" s="22">
        <v>1.2814300000000001</v>
      </c>
      <c r="AD83">
        <f t="shared" si="16"/>
        <v>18.408200000000001</v>
      </c>
      <c r="AE83">
        <f t="shared" si="17"/>
        <v>23.605755270000003</v>
      </c>
      <c r="AF83" s="9"/>
      <c r="AG83" s="22">
        <v>0.26763900000000002</v>
      </c>
      <c r="AH83" s="22">
        <v>136.95099999999999</v>
      </c>
      <c r="AI83" s="22">
        <v>-1.9515999999999999E-2</v>
      </c>
      <c r="AJ83" s="22">
        <v>73</v>
      </c>
      <c r="AK83" s="22">
        <v>0.26733400000000002</v>
      </c>
      <c r="AL83">
        <f t="shared" si="18"/>
        <v>19.515999999999998</v>
      </c>
      <c r="AM83">
        <f t="shared" si="19"/>
        <v>5.2232427239999994</v>
      </c>
      <c r="AP83" s="9"/>
      <c r="AQ83" s="22">
        <v>1.2823500000000001</v>
      </c>
      <c r="AR83" s="22">
        <v>171.01</v>
      </c>
      <c r="AS83" s="22">
        <v>-1.84174E-2</v>
      </c>
      <c r="AT83" s="22">
        <v>73</v>
      </c>
      <c r="AU83" s="22">
        <v>1.2808200000000001</v>
      </c>
      <c r="AV83">
        <f t="shared" si="20"/>
        <v>18.417400000000001</v>
      </c>
      <c r="AW83">
        <f t="shared" si="21"/>
        <v>23.617552890000002</v>
      </c>
      <c r="AX83" s="9"/>
      <c r="AY83" s="22">
        <v>0.26763900000000002</v>
      </c>
      <c r="AZ83" s="22">
        <v>205.036</v>
      </c>
      <c r="BA83" s="22">
        <v>-1.95099E-2</v>
      </c>
      <c r="BB83" s="22">
        <v>73</v>
      </c>
      <c r="BC83" s="22">
        <v>0.26702900000000002</v>
      </c>
      <c r="BD83">
        <f t="shared" si="22"/>
        <v>19.509900000000002</v>
      </c>
      <c r="BE83">
        <f t="shared" si="23"/>
        <v>5.2216101261000007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1.2773099999999999</v>
      </c>
      <c r="H84" s="22">
        <v>34.879100000000001</v>
      </c>
      <c r="I84" s="22">
        <v>-1.82861E-2</v>
      </c>
      <c r="J84" s="22">
        <v>74</v>
      </c>
      <c r="K84" s="22">
        <v>1.2771600000000001</v>
      </c>
      <c r="L84">
        <f t="shared" si="12"/>
        <v>18.286100000000001</v>
      </c>
      <c r="M84">
        <f t="shared" si="13"/>
        <v>23.357018391</v>
      </c>
      <c r="N84" s="9"/>
      <c r="O84" s="22">
        <v>0.272675</v>
      </c>
      <c r="P84" s="22">
        <v>68.932299999999998</v>
      </c>
      <c r="Q84" s="22">
        <v>-1.93878E-2</v>
      </c>
      <c r="R84" s="22">
        <v>74</v>
      </c>
      <c r="S84" s="22">
        <v>0.27206399999999997</v>
      </c>
      <c r="T84">
        <f t="shared" si="14"/>
        <v>19.387799999999999</v>
      </c>
      <c r="U84">
        <f t="shared" si="15"/>
        <v>5.2865683649999999</v>
      </c>
      <c r="X84" s="9"/>
      <c r="Y84" s="22">
        <v>1.2773099999999999</v>
      </c>
      <c r="Z84" s="22">
        <v>102.955</v>
      </c>
      <c r="AA84" s="22">
        <v>-1.84174E-2</v>
      </c>
      <c r="AB84" s="22">
        <v>74</v>
      </c>
      <c r="AC84" s="22">
        <v>1.2768600000000001</v>
      </c>
      <c r="AD84">
        <f t="shared" si="16"/>
        <v>18.417400000000001</v>
      </c>
      <c r="AE84">
        <f t="shared" si="17"/>
        <v>23.524729193999999</v>
      </c>
      <c r="AF84" s="9"/>
      <c r="AG84" s="22">
        <v>0.272675</v>
      </c>
      <c r="AH84" s="22">
        <v>136.96199999999999</v>
      </c>
      <c r="AI84" s="22">
        <v>-1.95099E-2</v>
      </c>
      <c r="AJ84" s="22">
        <v>74</v>
      </c>
      <c r="AK84" s="22">
        <v>0.271393</v>
      </c>
      <c r="AL84">
        <f t="shared" si="18"/>
        <v>19.509900000000002</v>
      </c>
      <c r="AM84">
        <f t="shared" si="19"/>
        <v>5.3198619825000009</v>
      </c>
      <c r="AP84" s="9"/>
      <c r="AQ84" s="22">
        <v>1.2773099999999999</v>
      </c>
      <c r="AR84" s="22">
        <v>171.02</v>
      </c>
      <c r="AS84" s="22">
        <v>-1.8426499999999998E-2</v>
      </c>
      <c r="AT84" s="22">
        <v>74</v>
      </c>
      <c r="AU84" s="22">
        <v>1.2768600000000001</v>
      </c>
      <c r="AV84">
        <f t="shared" si="20"/>
        <v>18.426499999999997</v>
      </c>
      <c r="AW84">
        <f t="shared" si="21"/>
        <v>23.536352714999996</v>
      </c>
      <c r="AX84" s="9"/>
      <c r="AY84" s="22">
        <v>0.272675</v>
      </c>
      <c r="AZ84" s="22">
        <v>205.04599999999999</v>
      </c>
      <c r="BA84" s="22">
        <v>-1.9503800000000002E-2</v>
      </c>
      <c r="BB84" s="22">
        <v>74</v>
      </c>
      <c r="BC84" s="22">
        <v>0.272034</v>
      </c>
      <c r="BD84">
        <f t="shared" si="22"/>
        <v>19.503800000000002</v>
      </c>
      <c r="BE84">
        <f t="shared" si="23"/>
        <v>5.3181986650000006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1.2722800000000001</v>
      </c>
      <c r="H85" s="22">
        <v>34.889200000000002</v>
      </c>
      <c r="I85" s="22">
        <v>-1.82953E-2</v>
      </c>
      <c r="J85" s="22">
        <v>75</v>
      </c>
      <c r="K85" s="22">
        <v>1.27136</v>
      </c>
      <c r="L85">
        <f t="shared" si="12"/>
        <v>18.295300000000001</v>
      </c>
      <c r="M85">
        <f t="shared" si="13"/>
        <v>23.276744284000003</v>
      </c>
      <c r="N85" s="9"/>
      <c r="O85" s="22">
        <v>0.27771000000000001</v>
      </c>
      <c r="P85" s="22">
        <v>68.942300000000003</v>
      </c>
      <c r="Q85" s="22">
        <v>-1.9381700000000002E-2</v>
      </c>
      <c r="R85" s="22">
        <v>75</v>
      </c>
      <c r="S85" s="22">
        <v>0.27703899999999998</v>
      </c>
      <c r="T85">
        <f t="shared" si="14"/>
        <v>19.381700000000002</v>
      </c>
      <c r="U85">
        <f t="shared" si="15"/>
        <v>5.3824919070000012</v>
      </c>
      <c r="X85" s="9"/>
      <c r="Y85" s="22">
        <v>1.2722800000000001</v>
      </c>
      <c r="Z85" s="22">
        <v>102.965</v>
      </c>
      <c r="AA85" s="22">
        <v>-1.8426499999999998E-2</v>
      </c>
      <c r="AB85" s="22">
        <v>75</v>
      </c>
      <c r="AC85" s="22">
        <v>1.27136</v>
      </c>
      <c r="AD85">
        <f t="shared" si="16"/>
        <v>18.426499999999997</v>
      </c>
      <c r="AE85">
        <f t="shared" si="17"/>
        <v>23.443667419999997</v>
      </c>
      <c r="AF85" s="9"/>
      <c r="AG85" s="22">
        <v>0.27771000000000001</v>
      </c>
      <c r="AH85" s="22">
        <v>136.97200000000001</v>
      </c>
      <c r="AI85" s="22">
        <v>-1.9506800000000001E-2</v>
      </c>
      <c r="AJ85" s="22">
        <v>75</v>
      </c>
      <c r="AK85" s="22">
        <v>0.276978</v>
      </c>
      <c r="AL85">
        <f t="shared" si="18"/>
        <v>19.506800000000002</v>
      </c>
      <c r="AM85">
        <f t="shared" si="19"/>
        <v>5.4172334280000012</v>
      </c>
      <c r="AP85" s="9"/>
      <c r="AQ85" s="22">
        <v>1.2722800000000001</v>
      </c>
      <c r="AR85" s="22">
        <v>171.03</v>
      </c>
      <c r="AS85" s="22">
        <v>-1.84326E-2</v>
      </c>
      <c r="AT85" s="22">
        <v>75</v>
      </c>
      <c r="AU85" s="22">
        <v>1.2710600000000001</v>
      </c>
      <c r="AV85">
        <f t="shared" si="20"/>
        <v>18.432600000000001</v>
      </c>
      <c r="AW85">
        <f t="shared" si="21"/>
        <v>23.451428328000002</v>
      </c>
      <c r="AX85" s="9"/>
      <c r="AY85" s="22">
        <v>0.27771000000000001</v>
      </c>
      <c r="AZ85" s="22">
        <v>205.05600000000001</v>
      </c>
      <c r="BA85" s="22">
        <v>-1.94977E-2</v>
      </c>
      <c r="BB85" s="22">
        <v>75</v>
      </c>
      <c r="BC85" s="22">
        <v>0.27719100000000002</v>
      </c>
      <c r="BD85">
        <f t="shared" si="22"/>
        <v>19.497699999999998</v>
      </c>
      <c r="BE85">
        <f t="shared" si="23"/>
        <v>5.4147062669999997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1.2672399999999999</v>
      </c>
      <c r="H86" s="22">
        <v>34.899299999999997</v>
      </c>
      <c r="I86" s="22">
        <v>-1.82983E-2</v>
      </c>
      <c r="J86" s="22">
        <v>76</v>
      </c>
      <c r="K86" s="22">
        <v>1.26617</v>
      </c>
      <c r="L86">
        <f t="shared" si="12"/>
        <v>18.298300000000001</v>
      </c>
      <c r="M86">
        <f t="shared" si="13"/>
        <v>23.188337692000001</v>
      </c>
      <c r="N86" s="9"/>
      <c r="O86" s="22">
        <v>0.28274500000000002</v>
      </c>
      <c r="P86" s="22">
        <v>68.952399999999997</v>
      </c>
      <c r="Q86" s="22">
        <v>-1.93756E-2</v>
      </c>
      <c r="R86" s="22">
        <v>76</v>
      </c>
      <c r="S86" s="22">
        <v>0.28204299999999999</v>
      </c>
      <c r="T86">
        <f t="shared" si="14"/>
        <v>19.375599999999999</v>
      </c>
      <c r="U86">
        <f t="shared" si="15"/>
        <v>5.4783540220000004</v>
      </c>
      <c r="X86" s="9"/>
      <c r="Y86" s="22">
        <v>1.2672399999999999</v>
      </c>
      <c r="Z86" s="22">
        <v>102.976</v>
      </c>
      <c r="AA86" s="22">
        <v>-1.84326E-2</v>
      </c>
      <c r="AB86" s="22">
        <v>76</v>
      </c>
      <c r="AC86" s="22">
        <v>1.26617</v>
      </c>
      <c r="AD86">
        <f t="shared" si="16"/>
        <v>18.432600000000001</v>
      </c>
      <c r="AE86">
        <f t="shared" si="17"/>
        <v>23.358528023999998</v>
      </c>
      <c r="AF86" s="9"/>
      <c r="AG86" s="22">
        <v>0.28274500000000002</v>
      </c>
      <c r="AH86" s="22">
        <v>136.982</v>
      </c>
      <c r="AI86" s="22">
        <v>-1.9500699999999999E-2</v>
      </c>
      <c r="AJ86" s="22">
        <v>76</v>
      </c>
      <c r="AK86" s="22">
        <v>0.28201300000000001</v>
      </c>
      <c r="AL86">
        <f t="shared" si="18"/>
        <v>19.500699999999998</v>
      </c>
      <c r="AM86">
        <f t="shared" si="19"/>
        <v>5.5137254215000002</v>
      </c>
      <c r="AP86" s="9"/>
      <c r="AQ86" s="22">
        <v>1.2672399999999999</v>
      </c>
      <c r="AR86" s="22">
        <v>171.04</v>
      </c>
      <c r="AS86" s="22">
        <v>-1.8438699999999999E-2</v>
      </c>
      <c r="AT86" s="22">
        <v>76</v>
      </c>
      <c r="AU86" s="22">
        <v>1.26678</v>
      </c>
      <c r="AV86">
        <f t="shared" si="20"/>
        <v>18.438699999999997</v>
      </c>
      <c r="AW86">
        <f t="shared" si="21"/>
        <v>23.366258187999996</v>
      </c>
      <c r="AX86" s="9"/>
      <c r="AY86" s="22">
        <v>0.28274500000000002</v>
      </c>
      <c r="AZ86" s="22">
        <v>205.066</v>
      </c>
      <c r="BA86" s="22">
        <v>-1.9491600000000001E-2</v>
      </c>
      <c r="BB86" s="22">
        <v>76</v>
      </c>
      <c r="BC86" s="22">
        <v>0.28222700000000001</v>
      </c>
      <c r="BD86">
        <f t="shared" si="22"/>
        <v>19.491600000000002</v>
      </c>
      <c r="BE86">
        <f t="shared" si="23"/>
        <v>5.5111524420000011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1.2622100000000001</v>
      </c>
      <c r="H87" s="22">
        <v>34.909300000000002</v>
      </c>
      <c r="I87" s="22">
        <v>-1.8304399999999998E-2</v>
      </c>
      <c r="J87" s="22">
        <v>77</v>
      </c>
      <c r="K87" s="22">
        <v>1.2619</v>
      </c>
      <c r="L87">
        <f t="shared" si="12"/>
        <v>18.304399999999998</v>
      </c>
      <c r="M87">
        <f t="shared" si="13"/>
        <v>23.103996723999998</v>
      </c>
      <c r="N87" s="9"/>
      <c r="O87" s="22">
        <v>0.28778100000000001</v>
      </c>
      <c r="P87" s="22">
        <v>68.962500000000006</v>
      </c>
      <c r="Q87" s="22">
        <v>-1.9369500000000001E-2</v>
      </c>
      <c r="R87" s="22">
        <v>77</v>
      </c>
      <c r="S87" s="22">
        <v>0.28716999999999998</v>
      </c>
      <c r="T87">
        <f t="shared" si="14"/>
        <v>19.369500000000002</v>
      </c>
      <c r="U87">
        <f t="shared" si="15"/>
        <v>5.5741740795000005</v>
      </c>
      <c r="X87" s="9"/>
      <c r="Y87" s="22">
        <v>1.2622100000000001</v>
      </c>
      <c r="Z87" s="22">
        <v>102.986</v>
      </c>
      <c r="AA87" s="22">
        <v>-1.8435699999999999E-2</v>
      </c>
      <c r="AB87" s="22">
        <v>77</v>
      </c>
      <c r="AC87" s="22">
        <v>1.26129</v>
      </c>
      <c r="AD87">
        <f t="shared" si="16"/>
        <v>18.435700000000001</v>
      </c>
      <c r="AE87">
        <f t="shared" si="17"/>
        <v>23.269724897000003</v>
      </c>
      <c r="AF87" s="9"/>
      <c r="AG87" s="22">
        <v>0.28778100000000001</v>
      </c>
      <c r="AH87" s="22">
        <v>136.99199999999999</v>
      </c>
      <c r="AI87" s="22">
        <v>-1.94977E-2</v>
      </c>
      <c r="AJ87" s="22">
        <v>77</v>
      </c>
      <c r="AK87" s="22">
        <v>0.28741499999999998</v>
      </c>
      <c r="AL87">
        <f t="shared" si="18"/>
        <v>19.497699999999998</v>
      </c>
      <c r="AM87">
        <f t="shared" si="19"/>
        <v>5.6110676036999996</v>
      </c>
      <c r="AP87" s="9"/>
      <c r="AQ87" s="22">
        <v>1.2622100000000001</v>
      </c>
      <c r="AR87" s="22">
        <v>171.05</v>
      </c>
      <c r="AS87" s="22">
        <v>-1.8444800000000001E-2</v>
      </c>
      <c r="AT87" s="22">
        <v>77</v>
      </c>
      <c r="AU87" s="22">
        <v>1.26129</v>
      </c>
      <c r="AV87">
        <f t="shared" si="20"/>
        <v>18.444800000000001</v>
      </c>
      <c r="AW87">
        <f t="shared" si="21"/>
        <v>23.281211008000003</v>
      </c>
      <c r="AX87" s="9"/>
      <c r="AY87" s="22">
        <v>0.28778100000000001</v>
      </c>
      <c r="AZ87" s="22">
        <v>205.077</v>
      </c>
      <c r="BA87" s="22">
        <v>-1.9488499999999999E-2</v>
      </c>
      <c r="BB87" s="22">
        <v>77</v>
      </c>
      <c r="BC87" s="22">
        <v>0.28716999999999998</v>
      </c>
      <c r="BD87">
        <f t="shared" si="22"/>
        <v>19.488499999999998</v>
      </c>
      <c r="BE87">
        <f t="shared" si="23"/>
        <v>5.6084200184999995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1.2571699999999999</v>
      </c>
      <c r="H88" s="22">
        <v>34.919400000000003</v>
      </c>
      <c r="I88" s="22">
        <v>-1.83105E-2</v>
      </c>
      <c r="J88" s="22">
        <v>78</v>
      </c>
      <c r="K88" s="22">
        <v>1.25641</v>
      </c>
      <c r="L88">
        <f t="shared" si="12"/>
        <v>18.310500000000001</v>
      </c>
      <c r="M88">
        <f t="shared" si="13"/>
        <v>23.019411285</v>
      </c>
      <c r="N88" s="9"/>
      <c r="O88" s="22">
        <v>0.29281600000000002</v>
      </c>
      <c r="P88" s="22">
        <v>68.972499999999997</v>
      </c>
      <c r="Q88" s="22">
        <v>-1.9366499999999998E-2</v>
      </c>
      <c r="R88" s="22">
        <v>78</v>
      </c>
      <c r="S88" s="22">
        <v>0.29211399999999998</v>
      </c>
      <c r="T88">
        <f t="shared" si="14"/>
        <v>19.366499999999998</v>
      </c>
      <c r="U88">
        <f t="shared" si="15"/>
        <v>5.6708210640000001</v>
      </c>
      <c r="X88" s="9"/>
      <c r="Y88" s="22">
        <v>1.2571699999999999</v>
      </c>
      <c r="Z88" s="22">
        <v>102.996</v>
      </c>
      <c r="AA88" s="22">
        <v>-1.8438699999999999E-2</v>
      </c>
      <c r="AB88" s="22">
        <v>78</v>
      </c>
      <c r="AC88" s="22">
        <v>1.25671</v>
      </c>
      <c r="AD88">
        <f t="shared" si="16"/>
        <v>18.438699999999997</v>
      </c>
      <c r="AE88">
        <f t="shared" si="17"/>
        <v>23.180580478999996</v>
      </c>
      <c r="AF88" s="9"/>
      <c r="AG88" s="22">
        <v>0.29281600000000002</v>
      </c>
      <c r="AH88" s="22">
        <v>137.00200000000001</v>
      </c>
      <c r="AI88" s="22">
        <v>-1.9488499999999999E-2</v>
      </c>
      <c r="AJ88" s="22">
        <v>78</v>
      </c>
      <c r="AK88" s="22">
        <v>0.29202299999999998</v>
      </c>
      <c r="AL88">
        <f t="shared" si="18"/>
        <v>19.488499999999998</v>
      </c>
      <c r="AM88">
        <f t="shared" si="19"/>
        <v>5.7065446159999995</v>
      </c>
      <c r="AP88" s="9"/>
      <c r="AQ88" s="22">
        <v>1.2571699999999999</v>
      </c>
      <c r="AR88" s="22">
        <v>171.06</v>
      </c>
      <c r="AS88" s="22">
        <v>-1.84479E-2</v>
      </c>
      <c r="AT88" s="22">
        <v>78</v>
      </c>
      <c r="AU88" s="22">
        <v>1.2561</v>
      </c>
      <c r="AV88">
        <f t="shared" si="20"/>
        <v>18.447900000000001</v>
      </c>
      <c r="AW88">
        <f t="shared" si="21"/>
        <v>23.192146442999999</v>
      </c>
      <c r="AX88" s="9"/>
      <c r="AY88" s="22">
        <v>0.29281600000000002</v>
      </c>
      <c r="AZ88" s="22">
        <v>205.08699999999999</v>
      </c>
      <c r="BA88" s="22">
        <v>-1.9485499999999999E-2</v>
      </c>
      <c r="BB88" s="22">
        <v>78</v>
      </c>
      <c r="BC88" s="22">
        <v>0.29147299999999998</v>
      </c>
      <c r="BD88">
        <f t="shared" si="22"/>
        <v>19.485499999999998</v>
      </c>
      <c r="BE88">
        <f t="shared" si="23"/>
        <v>5.7056661679999996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1.25214</v>
      </c>
      <c r="H89" s="22">
        <v>34.929499999999997</v>
      </c>
      <c r="I89" s="22">
        <v>-1.8316700000000002E-2</v>
      </c>
      <c r="J89" s="22">
        <v>79</v>
      </c>
      <c r="K89" s="22">
        <v>1.25153</v>
      </c>
      <c r="L89">
        <f t="shared" si="12"/>
        <v>18.316700000000001</v>
      </c>
      <c r="M89">
        <f t="shared" si="13"/>
        <v>22.935072738000002</v>
      </c>
      <c r="N89" s="9"/>
      <c r="O89" s="22">
        <v>0.29785200000000001</v>
      </c>
      <c r="P89" s="22">
        <v>68.982600000000005</v>
      </c>
      <c r="Q89" s="22">
        <v>-1.9363399999999999E-2</v>
      </c>
      <c r="R89" s="22">
        <v>79</v>
      </c>
      <c r="S89" s="22">
        <v>0.29733300000000001</v>
      </c>
      <c r="T89">
        <f t="shared" si="14"/>
        <v>19.363399999999999</v>
      </c>
      <c r="U89">
        <f t="shared" si="15"/>
        <v>5.7674274167999995</v>
      </c>
      <c r="X89" s="9"/>
      <c r="Y89" s="22">
        <v>1.25214</v>
      </c>
      <c r="Z89" s="22">
        <v>103.006</v>
      </c>
      <c r="AA89" s="22">
        <v>-1.84479E-2</v>
      </c>
      <c r="AB89" s="22">
        <v>79</v>
      </c>
      <c r="AC89" s="22">
        <v>1.25183</v>
      </c>
      <c r="AD89">
        <f t="shared" si="16"/>
        <v>18.447900000000001</v>
      </c>
      <c r="AE89">
        <f t="shared" si="17"/>
        <v>23.099353506</v>
      </c>
      <c r="AF89" s="9"/>
      <c r="AG89" s="22">
        <v>0.29785200000000001</v>
      </c>
      <c r="AH89" s="22">
        <v>137.012</v>
      </c>
      <c r="AI89" s="22">
        <v>-1.9479400000000001E-2</v>
      </c>
      <c r="AJ89" s="22">
        <v>79</v>
      </c>
      <c r="AK89" s="22">
        <v>0.297211</v>
      </c>
      <c r="AL89">
        <f t="shared" si="18"/>
        <v>19.479400000000002</v>
      </c>
      <c r="AM89">
        <f t="shared" si="19"/>
        <v>5.8019782488000002</v>
      </c>
      <c r="AP89" s="9"/>
      <c r="AQ89" s="22">
        <v>1.25214</v>
      </c>
      <c r="AR89" s="22">
        <v>171.07</v>
      </c>
      <c r="AS89" s="22">
        <v>-1.8457000000000001E-2</v>
      </c>
      <c r="AT89" s="22">
        <v>79</v>
      </c>
      <c r="AU89" s="22">
        <v>1.25183</v>
      </c>
      <c r="AV89">
        <f t="shared" si="20"/>
        <v>18.457000000000001</v>
      </c>
      <c r="AW89">
        <f t="shared" si="21"/>
        <v>23.110747980000003</v>
      </c>
      <c r="AX89" s="9"/>
      <c r="AY89" s="22">
        <v>0.29785200000000001</v>
      </c>
      <c r="AZ89" s="22">
        <v>205.09700000000001</v>
      </c>
      <c r="BA89" s="22">
        <v>-1.94824E-2</v>
      </c>
      <c r="BB89" s="22">
        <v>79</v>
      </c>
      <c r="BC89" s="22">
        <v>0.29730200000000001</v>
      </c>
      <c r="BD89">
        <f t="shared" si="22"/>
        <v>19.482400000000002</v>
      </c>
      <c r="BE89">
        <f t="shared" si="23"/>
        <v>5.8028718048000005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1.2471000000000001</v>
      </c>
      <c r="H90" s="22">
        <v>34.939500000000002</v>
      </c>
      <c r="I90" s="22">
        <v>-1.83228E-2</v>
      </c>
      <c r="J90" s="22">
        <v>80</v>
      </c>
      <c r="K90" s="22">
        <v>1.24634</v>
      </c>
      <c r="L90">
        <f t="shared" si="12"/>
        <v>18.322800000000001</v>
      </c>
      <c r="M90">
        <f t="shared" si="13"/>
        <v>22.850363880000003</v>
      </c>
      <c r="N90" s="9"/>
      <c r="O90" s="22">
        <v>0.30288700000000002</v>
      </c>
      <c r="P90" s="22">
        <v>68.992699999999999</v>
      </c>
      <c r="Q90" s="22">
        <v>-1.9354199999999998E-2</v>
      </c>
      <c r="R90" s="22">
        <v>80</v>
      </c>
      <c r="S90" s="22">
        <v>0.30203200000000002</v>
      </c>
      <c r="T90">
        <f t="shared" si="14"/>
        <v>19.354199999999999</v>
      </c>
      <c r="U90">
        <f t="shared" si="15"/>
        <v>5.8621355754</v>
      </c>
      <c r="X90" s="9"/>
      <c r="Y90" s="22">
        <v>1.2471000000000001</v>
      </c>
      <c r="Z90" s="22">
        <v>103.01600000000001</v>
      </c>
      <c r="AA90" s="22">
        <v>-1.8450899999999999E-2</v>
      </c>
      <c r="AB90" s="22">
        <v>80</v>
      </c>
      <c r="AC90" s="22">
        <v>1.24664</v>
      </c>
      <c r="AD90">
        <f t="shared" si="16"/>
        <v>18.450900000000001</v>
      </c>
      <c r="AE90">
        <f t="shared" si="17"/>
        <v>23.010117390000001</v>
      </c>
      <c r="AF90" s="9"/>
      <c r="AG90" s="22">
        <v>0.30288700000000002</v>
      </c>
      <c r="AH90" s="22">
        <v>137.02199999999999</v>
      </c>
      <c r="AI90" s="22">
        <v>-1.94702E-2</v>
      </c>
      <c r="AJ90" s="22">
        <v>80</v>
      </c>
      <c r="AK90" s="22">
        <v>0.30197099999999999</v>
      </c>
      <c r="AL90">
        <f t="shared" si="18"/>
        <v>19.470199999999998</v>
      </c>
      <c r="AM90">
        <f t="shared" si="19"/>
        <v>5.8972704674000003</v>
      </c>
      <c r="AP90" s="9"/>
      <c r="AQ90" s="22">
        <v>1.2471000000000001</v>
      </c>
      <c r="AR90" s="22">
        <v>171.08099999999999</v>
      </c>
      <c r="AS90" s="22">
        <v>-1.84601E-2</v>
      </c>
      <c r="AT90" s="22">
        <v>80</v>
      </c>
      <c r="AU90" s="22">
        <v>1.24634</v>
      </c>
      <c r="AV90">
        <f t="shared" si="20"/>
        <v>18.460100000000001</v>
      </c>
      <c r="AW90">
        <f t="shared" si="21"/>
        <v>23.021590710000002</v>
      </c>
      <c r="AX90" s="9"/>
      <c r="AY90" s="22">
        <v>0.30288700000000002</v>
      </c>
      <c r="AZ90" s="22">
        <v>205.107</v>
      </c>
      <c r="BA90" s="22">
        <v>-1.9476299999999998E-2</v>
      </c>
      <c r="BB90" s="22">
        <v>80</v>
      </c>
      <c r="BC90" s="22">
        <v>0.30224600000000001</v>
      </c>
      <c r="BD90">
        <f t="shared" si="22"/>
        <v>19.476299999999998</v>
      </c>
      <c r="BE90">
        <f t="shared" si="23"/>
        <v>5.8991180780999999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1.24207</v>
      </c>
      <c r="H91" s="22">
        <v>34.949599999999997</v>
      </c>
      <c r="I91" s="22">
        <v>-1.8331900000000002E-2</v>
      </c>
      <c r="J91" s="22">
        <v>81</v>
      </c>
      <c r="K91" s="22">
        <v>1.24115</v>
      </c>
      <c r="L91">
        <f t="shared" si="12"/>
        <v>18.331900000000001</v>
      </c>
      <c r="M91">
        <f t="shared" si="13"/>
        <v>22.769503033000003</v>
      </c>
      <c r="N91" s="9"/>
      <c r="O91" s="22">
        <v>0.30792199999999997</v>
      </c>
      <c r="P91" s="22">
        <v>69.002799999999993</v>
      </c>
      <c r="Q91" s="22">
        <v>-1.93481E-2</v>
      </c>
      <c r="R91" s="22">
        <v>81</v>
      </c>
      <c r="S91" s="22">
        <v>0.30728100000000003</v>
      </c>
      <c r="T91">
        <f t="shared" si="14"/>
        <v>19.348099999999999</v>
      </c>
      <c r="U91">
        <f t="shared" si="15"/>
        <v>5.9577056481999993</v>
      </c>
      <c r="X91" s="9"/>
      <c r="Y91" s="22">
        <v>1.24207</v>
      </c>
      <c r="Z91" s="22">
        <v>103.026</v>
      </c>
      <c r="AA91" s="22">
        <v>-1.84601E-2</v>
      </c>
      <c r="AB91" s="22">
        <v>81</v>
      </c>
      <c r="AC91" s="22">
        <v>1.24115</v>
      </c>
      <c r="AD91">
        <f t="shared" si="16"/>
        <v>18.460100000000001</v>
      </c>
      <c r="AE91">
        <f t="shared" si="17"/>
        <v>22.928736407000002</v>
      </c>
      <c r="AF91" s="9"/>
      <c r="AG91" s="22">
        <v>0.30792199999999997</v>
      </c>
      <c r="AH91" s="22">
        <v>137.03200000000001</v>
      </c>
      <c r="AI91" s="22">
        <v>-1.94672E-2</v>
      </c>
      <c r="AJ91" s="22">
        <v>81</v>
      </c>
      <c r="AK91" s="22">
        <v>0.30728100000000003</v>
      </c>
      <c r="AL91">
        <f t="shared" si="18"/>
        <v>19.467200000000002</v>
      </c>
      <c r="AM91">
        <f t="shared" si="19"/>
        <v>5.9943791584000001</v>
      </c>
      <c r="AP91" s="9"/>
      <c r="AQ91" s="22">
        <v>1.24207</v>
      </c>
      <c r="AR91" s="22">
        <v>171.09100000000001</v>
      </c>
      <c r="AS91" s="22">
        <v>-1.84601E-2</v>
      </c>
      <c r="AT91" s="22">
        <v>81</v>
      </c>
      <c r="AU91" s="22">
        <v>1.24176</v>
      </c>
      <c r="AV91">
        <f t="shared" si="20"/>
        <v>18.460100000000001</v>
      </c>
      <c r="AW91">
        <f t="shared" si="21"/>
        <v>22.928736407000002</v>
      </c>
      <c r="AX91" s="9"/>
      <c r="AY91" s="22">
        <v>0.30792199999999997</v>
      </c>
      <c r="AZ91" s="22">
        <v>205.11699999999999</v>
      </c>
      <c r="BA91" s="22">
        <v>-1.94702E-2</v>
      </c>
      <c r="BB91" s="22">
        <v>81</v>
      </c>
      <c r="BC91" s="22">
        <v>0.307251</v>
      </c>
      <c r="BD91">
        <f t="shared" si="22"/>
        <v>19.470199999999998</v>
      </c>
      <c r="BE91">
        <f t="shared" si="23"/>
        <v>5.9953029243999989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1.2370300000000001</v>
      </c>
      <c r="H92" s="22">
        <v>34.959699999999998</v>
      </c>
      <c r="I92" s="22">
        <v>-1.8338E-2</v>
      </c>
      <c r="J92" s="22">
        <v>82</v>
      </c>
      <c r="K92" s="22">
        <v>1.23627</v>
      </c>
      <c r="L92">
        <f t="shared" si="12"/>
        <v>18.338000000000001</v>
      </c>
      <c r="M92">
        <f t="shared" si="13"/>
        <v>22.684656140000001</v>
      </c>
      <c r="N92" s="9"/>
      <c r="O92" s="22">
        <v>0.31295800000000001</v>
      </c>
      <c r="P92" s="22">
        <v>69.012799999999999</v>
      </c>
      <c r="Q92" s="22">
        <v>-1.9342000000000002E-2</v>
      </c>
      <c r="R92" s="22">
        <v>82</v>
      </c>
      <c r="S92" s="22">
        <v>0.31234699999999999</v>
      </c>
      <c r="T92">
        <f t="shared" si="14"/>
        <v>19.342000000000002</v>
      </c>
      <c r="U92">
        <f t="shared" si="15"/>
        <v>6.0532336360000008</v>
      </c>
      <c r="X92" s="9"/>
      <c r="Y92" s="22">
        <v>1.2370300000000001</v>
      </c>
      <c r="Z92" s="22">
        <v>103.036</v>
      </c>
      <c r="AA92" s="22">
        <v>-1.8469200000000002E-2</v>
      </c>
      <c r="AB92" s="22">
        <v>82</v>
      </c>
      <c r="AC92" s="22">
        <v>1.23627</v>
      </c>
      <c r="AD92">
        <f t="shared" si="16"/>
        <v>18.469200000000001</v>
      </c>
      <c r="AE92">
        <f t="shared" si="17"/>
        <v>22.846954476000001</v>
      </c>
      <c r="AF92" s="9"/>
      <c r="AG92" s="22">
        <v>0.31295800000000001</v>
      </c>
      <c r="AH92" s="22">
        <v>137.042</v>
      </c>
      <c r="AI92" s="22">
        <v>-1.9464100000000002E-2</v>
      </c>
      <c r="AJ92" s="22">
        <v>82</v>
      </c>
      <c r="AK92" s="22">
        <v>0.31228600000000001</v>
      </c>
      <c r="AL92">
        <f t="shared" si="18"/>
        <v>19.464100000000002</v>
      </c>
      <c r="AM92">
        <f t="shared" si="19"/>
        <v>6.0914458078000004</v>
      </c>
      <c r="AP92" s="9"/>
      <c r="AQ92" s="22">
        <v>1.2370300000000001</v>
      </c>
      <c r="AR92" s="22">
        <v>171.101</v>
      </c>
      <c r="AS92" s="22">
        <v>-1.84631E-2</v>
      </c>
      <c r="AT92" s="22">
        <v>82</v>
      </c>
      <c r="AU92" s="22">
        <v>1.23627</v>
      </c>
      <c r="AV92">
        <f t="shared" si="20"/>
        <v>18.463100000000001</v>
      </c>
      <c r="AW92">
        <f t="shared" si="21"/>
        <v>22.839408593000002</v>
      </c>
      <c r="AX92" s="9"/>
      <c r="AY92" s="22">
        <v>0.31295800000000001</v>
      </c>
      <c r="AZ92" s="22">
        <v>205.12700000000001</v>
      </c>
      <c r="BA92" s="22">
        <v>-1.9464100000000002E-2</v>
      </c>
      <c r="BB92" s="22">
        <v>82</v>
      </c>
      <c r="BC92" s="22">
        <v>0.31225599999999998</v>
      </c>
      <c r="BD92">
        <f t="shared" si="22"/>
        <v>19.464100000000002</v>
      </c>
      <c r="BE92">
        <f t="shared" si="23"/>
        <v>6.0914458078000004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1.2319899999999999</v>
      </c>
      <c r="H93" s="22">
        <v>34.969799999999999</v>
      </c>
      <c r="I93" s="22">
        <v>-1.8338E-2</v>
      </c>
      <c r="J93" s="22">
        <v>83</v>
      </c>
      <c r="K93" s="22">
        <v>1.23047</v>
      </c>
      <c r="L93">
        <f t="shared" si="12"/>
        <v>18.338000000000001</v>
      </c>
      <c r="M93">
        <f t="shared" si="13"/>
        <v>22.592232620000001</v>
      </c>
      <c r="N93" s="9"/>
      <c r="O93" s="22">
        <v>0.31799300000000003</v>
      </c>
      <c r="P93" s="22">
        <v>69.022900000000007</v>
      </c>
      <c r="Q93" s="22">
        <v>-1.9338999999999999E-2</v>
      </c>
      <c r="R93" s="22">
        <v>83</v>
      </c>
      <c r="S93" s="22">
        <v>0.31716899999999998</v>
      </c>
      <c r="T93">
        <f t="shared" si="14"/>
        <v>19.338999999999999</v>
      </c>
      <c r="U93">
        <f t="shared" si="15"/>
        <v>6.1496666270000002</v>
      </c>
      <c r="X93" s="9"/>
      <c r="Y93" s="22">
        <v>1.2319899999999999</v>
      </c>
      <c r="Z93" s="22">
        <v>103.04600000000001</v>
      </c>
      <c r="AA93" s="22">
        <v>-1.84753E-2</v>
      </c>
      <c r="AB93" s="22">
        <v>83</v>
      </c>
      <c r="AC93" s="22">
        <v>1.2313799999999999</v>
      </c>
      <c r="AD93">
        <f t="shared" si="16"/>
        <v>18.475300000000001</v>
      </c>
      <c r="AE93">
        <f t="shared" si="17"/>
        <v>22.761384846999999</v>
      </c>
      <c r="AF93" s="9"/>
      <c r="AG93" s="22">
        <v>0.31799300000000003</v>
      </c>
      <c r="AH93" s="22">
        <v>137.05199999999999</v>
      </c>
      <c r="AI93" s="22">
        <v>-1.9458E-2</v>
      </c>
      <c r="AJ93" s="22">
        <v>83</v>
      </c>
      <c r="AK93" s="22">
        <v>0.31735200000000002</v>
      </c>
      <c r="AL93">
        <f t="shared" si="18"/>
        <v>19.457999999999998</v>
      </c>
      <c r="AM93">
        <f t="shared" si="19"/>
        <v>6.1875077940000001</v>
      </c>
      <c r="AP93" s="9"/>
      <c r="AQ93" s="22">
        <v>1.2319899999999999</v>
      </c>
      <c r="AR93" s="22">
        <v>171.11099999999999</v>
      </c>
      <c r="AS93" s="22">
        <v>-1.8469200000000002E-2</v>
      </c>
      <c r="AT93" s="22">
        <v>83</v>
      </c>
      <c r="AU93" s="22">
        <v>1.2313799999999999</v>
      </c>
      <c r="AV93">
        <f t="shared" si="20"/>
        <v>18.469200000000001</v>
      </c>
      <c r="AW93">
        <f t="shared" si="21"/>
        <v>22.753869708</v>
      </c>
      <c r="AX93" s="9"/>
      <c r="AY93" s="22">
        <v>0.31799300000000003</v>
      </c>
      <c r="AZ93" s="22">
        <v>205.137</v>
      </c>
      <c r="BA93" s="22">
        <v>-1.9458E-2</v>
      </c>
      <c r="BB93" s="22">
        <v>83</v>
      </c>
      <c r="BC93" s="22">
        <v>0.31723000000000001</v>
      </c>
      <c r="BD93">
        <f t="shared" si="22"/>
        <v>19.457999999999998</v>
      </c>
      <c r="BE93">
        <f t="shared" si="23"/>
        <v>6.1875077940000001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1.2269600000000001</v>
      </c>
      <c r="H94" s="22">
        <v>34.979799999999997</v>
      </c>
      <c r="I94" s="22">
        <v>-1.8341099999999999E-2</v>
      </c>
      <c r="J94" s="22">
        <v>84</v>
      </c>
      <c r="K94" s="22">
        <v>1.22559</v>
      </c>
      <c r="L94">
        <f t="shared" si="12"/>
        <v>18.341099999999997</v>
      </c>
      <c r="M94">
        <f t="shared" si="13"/>
        <v>22.503796055999999</v>
      </c>
      <c r="N94" s="9"/>
      <c r="O94" s="22">
        <v>0.32302900000000001</v>
      </c>
      <c r="P94" s="22">
        <v>69.033000000000001</v>
      </c>
      <c r="Q94" s="22">
        <v>-1.93329E-2</v>
      </c>
      <c r="R94" s="22">
        <v>84</v>
      </c>
      <c r="S94" s="22">
        <v>0.32165500000000002</v>
      </c>
      <c r="T94">
        <f t="shared" si="14"/>
        <v>19.332899999999999</v>
      </c>
      <c r="U94">
        <f t="shared" si="15"/>
        <v>6.2450873540999998</v>
      </c>
      <c r="X94" s="9"/>
      <c r="Y94" s="22">
        <v>1.2269600000000001</v>
      </c>
      <c r="Z94" s="22">
        <v>103.056</v>
      </c>
      <c r="AA94" s="22">
        <v>-1.8478399999999999E-2</v>
      </c>
      <c r="AB94" s="22">
        <v>84</v>
      </c>
      <c r="AC94" s="22">
        <v>1.2262</v>
      </c>
      <c r="AD94">
        <f t="shared" si="16"/>
        <v>18.478400000000001</v>
      </c>
      <c r="AE94">
        <f t="shared" si="17"/>
        <v>22.672257664</v>
      </c>
      <c r="AF94" s="9"/>
      <c r="AG94" s="22">
        <v>0.32302900000000001</v>
      </c>
      <c r="AH94" s="22">
        <v>137.06200000000001</v>
      </c>
      <c r="AI94" s="22">
        <v>-1.9451900000000001E-2</v>
      </c>
      <c r="AJ94" s="22">
        <v>84</v>
      </c>
      <c r="AK94" s="22">
        <v>0.32232699999999997</v>
      </c>
      <c r="AL94">
        <f t="shared" si="18"/>
        <v>19.451900000000002</v>
      </c>
      <c r="AM94">
        <f t="shared" si="19"/>
        <v>6.2835278051000012</v>
      </c>
      <c r="AP94" s="9"/>
      <c r="AQ94" s="22">
        <v>1.2269600000000001</v>
      </c>
      <c r="AR94" s="22">
        <v>171.12100000000001</v>
      </c>
      <c r="AS94" s="22">
        <v>-1.84753E-2</v>
      </c>
      <c r="AT94" s="22">
        <v>84</v>
      </c>
      <c r="AU94" s="22">
        <v>1.2258899999999999</v>
      </c>
      <c r="AV94">
        <f t="shared" si="20"/>
        <v>18.475300000000001</v>
      </c>
      <c r="AW94">
        <f t="shared" si="21"/>
        <v>22.668454088000001</v>
      </c>
      <c r="AX94" s="9"/>
      <c r="AY94" s="22">
        <v>0.32302900000000001</v>
      </c>
      <c r="AZ94" s="22">
        <v>205.14699999999999</v>
      </c>
      <c r="BA94" s="22">
        <v>-1.9455E-2</v>
      </c>
      <c r="BB94" s="22">
        <v>84</v>
      </c>
      <c r="BC94" s="22">
        <v>0.32217400000000002</v>
      </c>
      <c r="BD94">
        <f t="shared" si="22"/>
        <v>19.454999999999998</v>
      </c>
      <c r="BE94">
        <f t="shared" si="23"/>
        <v>6.2845291949999993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1.2219199999999999</v>
      </c>
      <c r="H95" s="22">
        <v>34.989899999999999</v>
      </c>
      <c r="I95" s="22">
        <v>-1.8347200000000001E-2</v>
      </c>
      <c r="J95" s="22">
        <v>85</v>
      </c>
      <c r="K95" s="22">
        <v>1.2216199999999999</v>
      </c>
      <c r="L95">
        <f t="shared" si="12"/>
        <v>18.347200000000001</v>
      </c>
      <c r="M95">
        <f t="shared" si="13"/>
        <v>22.418810623999999</v>
      </c>
      <c r="N95" s="9"/>
      <c r="O95" s="22">
        <v>0.32806400000000002</v>
      </c>
      <c r="P95" s="22">
        <v>69.043000000000006</v>
      </c>
      <c r="Q95" s="22">
        <v>-1.9329800000000001E-2</v>
      </c>
      <c r="R95" s="22">
        <v>85</v>
      </c>
      <c r="S95" s="22">
        <v>0.32699600000000001</v>
      </c>
      <c r="T95">
        <f t="shared" si="14"/>
        <v>19.329800000000002</v>
      </c>
      <c r="U95">
        <f t="shared" si="15"/>
        <v>6.341411507200001</v>
      </c>
      <c r="X95" s="9"/>
      <c r="Y95" s="22">
        <v>1.2219199999999999</v>
      </c>
      <c r="Z95" s="22">
        <v>103.066</v>
      </c>
      <c r="AA95" s="22">
        <v>-1.8481399999999999E-2</v>
      </c>
      <c r="AB95" s="22">
        <v>85</v>
      </c>
      <c r="AC95" s="22">
        <v>1.2206999999999999</v>
      </c>
      <c r="AD95">
        <f t="shared" si="16"/>
        <v>18.481399999999997</v>
      </c>
      <c r="AE95">
        <f t="shared" si="17"/>
        <v>22.582792287999993</v>
      </c>
      <c r="AF95" s="9"/>
      <c r="AG95" s="22">
        <v>0.32806400000000002</v>
      </c>
      <c r="AH95" s="22">
        <v>137.072</v>
      </c>
      <c r="AI95" s="22">
        <v>-1.9448900000000002E-2</v>
      </c>
      <c r="AJ95" s="22">
        <v>85</v>
      </c>
      <c r="AK95" s="22">
        <v>0.32742300000000002</v>
      </c>
      <c r="AL95">
        <f t="shared" si="18"/>
        <v>19.448900000000002</v>
      </c>
      <c r="AM95">
        <f t="shared" si="19"/>
        <v>6.3804839296000013</v>
      </c>
      <c r="AP95" s="9"/>
      <c r="AQ95" s="22">
        <v>1.2219199999999999</v>
      </c>
      <c r="AR95" s="22">
        <v>171.131</v>
      </c>
      <c r="AS95" s="22">
        <v>-1.8478399999999999E-2</v>
      </c>
      <c r="AT95" s="22">
        <v>85</v>
      </c>
      <c r="AU95" s="22">
        <v>1.2210099999999999</v>
      </c>
      <c r="AV95">
        <f t="shared" si="20"/>
        <v>18.478400000000001</v>
      </c>
      <c r="AW95">
        <f t="shared" si="21"/>
        <v>22.579126528</v>
      </c>
      <c r="AX95" s="9"/>
      <c r="AY95" s="22">
        <v>0.32806400000000002</v>
      </c>
      <c r="AZ95" s="22">
        <v>205.15700000000001</v>
      </c>
      <c r="BA95" s="22">
        <v>-1.9448900000000002E-2</v>
      </c>
      <c r="BB95" s="22">
        <v>85</v>
      </c>
      <c r="BC95" s="22">
        <v>0.32739299999999999</v>
      </c>
      <c r="BD95">
        <f t="shared" si="22"/>
        <v>19.448900000000002</v>
      </c>
      <c r="BE95">
        <f t="shared" si="23"/>
        <v>6.3804839296000013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1.21689</v>
      </c>
      <c r="H96" s="22">
        <v>35</v>
      </c>
      <c r="I96" s="22">
        <v>-1.8356299999999999E-2</v>
      </c>
      <c r="J96" s="22">
        <v>86</v>
      </c>
      <c r="K96" s="22">
        <v>1.2161299999999999</v>
      </c>
      <c r="L96">
        <f t="shared" si="12"/>
        <v>18.356299999999997</v>
      </c>
      <c r="M96">
        <f t="shared" si="13"/>
        <v>22.337597906999996</v>
      </c>
      <c r="N96" s="9"/>
      <c r="O96" s="22">
        <v>0.33309899999999998</v>
      </c>
      <c r="P96" s="22">
        <v>69.053100000000001</v>
      </c>
      <c r="Q96" s="22">
        <v>-1.9323699999999999E-2</v>
      </c>
      <c r="R96" s="22">
        <v>86</v>
      </c>
      <c r="S96" s="22">
        <v>0.33279399999999998</v>
      </c>
      <c r="T96">
        <f t="shared" si="14"/>
        <v>19.323699999999999</v>
      </c>
      <c r="U96">
        <f t="shared" si="15"/>
        <v>6.4367051462999996</v>
      </c>
      <c r="X96" s="9"/>
      <c r="Y96" s="22">
        <v>1.21689</v>
      </c>
      <c r="Z96" s="22">
        <v>103.07599999999999</v>
      </c>
      <c r="AA96" s="22">
        <v>-1.84875E-2</v>
      </c>
      <c r="AB96" s="22">
        <v>86</v>
      </c>
      <c r="AC96" s="22">
        <v>1.2161299999999999</v>
      </c>
      <c r="AD96">
        <f t="shared" si="16"/>
        <v>18.487500000000001</v>
      </c>
      <c r="AE96">
        <f t="shared" si="17"/>
        <v>22.497253875000002</v>
      </c>
      <c r="AF96" s="9"/>
      <c r="AG96" s="22">
        <v>0.33309899999999998</v>
      </c>
      <c r="AH96" s="22">
        <v>137.08199999999999</v>
      </c>
      <c r="AI96" s="22">
        <v>-1.9448900000000002E-2</v>
      </c>
      <c r="AJ96" s="22">
        <v>86</v>
      </c>
      <c r="AK96" s="22">
        <v>0.33261099999999999</v>
      </c>
      <c r="AL96">
        <f t="shared" si="18"/>
        <v>19.448900000000002</v>
      </c>
      <c r="AM96">
        <f t="shared" si="19"/>
        <v>6.4784091411000002</v>
      </c>
      <c r="AP96" s="9"/>
      <c r="AQ96" s="22">
        <v>1.21689</v>
      </c>
      <c r="AR96" s="22">
        <v>171.14099999999999</v>
      </c>
      <c r="AS96" s="22">
        <v>-1.8484500000000001E-2</v>
      </c>
      <c r="AT96" s="22">
        <v>86</v>
      </c>
      <c r="AU96" s="22">
        <v>1.2164299999999999</v>
      </c>
      <c r="AV96">
        <f t="shared" si="20"/>
        <v>18.484500000000001</v>
      </c>
      <c r="AW96">
        <f t="shared" si="21"/>
        <v>22.493603205000003</v>
      </c>
      <c r="AX96" s="9"/>
      <c r="AY96" s="22">
        <v>0.33309899999999998</v>
      </c>
      <c r="AZ96" s="22">
        <v>205.167</v>
      </c>
      <c r="BA96" s="22">
        <v>-1.9445799999999999E-2</v>
      </c>
      <c r="BB96" s="22">
        <v>86</v>
      </c>
      <c r="BC96" s="22">
        <v>0.33261099999999999</v>
      </c>
      <c r="BD96">
        <f t="shared" si="22"/>
        <v>19.445799999999998</v>
      </c>
      <c r="BE96">
        <f t="shared" si="23"/>
        <v>6.4773765341999994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1.2118500000000001</v>
      </c>
      <c r="H97" s="22">
        <v>35.01</v>
      </c>
      <c r="I97" s="22">
        <v>-1.83655E-2</v>
      </c>
      <c r="J97" s="22">
        <v>87</v>
      </c>
      <c r="K97" s="22">
        <v>1.2115499999999999</v>
      </c>
      <c r="L97">
        <f t="shared" si="12"/>
        <v>18.365500000000001</v>
      </c>
      <c r="M97">
        <f t="shared" si="13"/>
        <v>22.256231175000003</v>
      </c>
      <c r="N97" s="9"/>
      <c r="O97" s="22">
        <v>0.33813500000000002</v>
      </c>
      <c r="P97" s="22">
        <v>69.063199999999995</v>
      </c>
      <c r="Q97" s="22">
        <v>-1.93207E-2</v>
      </c>
      <c r="R97" s="22">
        <v>87</v>
      </c>
      <c r="S97" s="22">
        <v>0.33752399999999999</v>
      </c>
      <c r="T97">
        <f t="shared" si="14"/>
        <v>19.320699999999999</v>
      </c>
      <c r="U97">
        <f t="shared" si="15"/>
        <v>6.5330048945000003</v>
      </c>
      <c r="X97" s="9"/>
      <c r="Y97" s="22">
        <v>1.2118500000000001</v>
      </c>
      <c r="Z97" s="22">
        <v>103.086</v>
      </c>
      <c r="AA97" s="22">
        <v>-1.8493699999999998E-2</v>
      </c>
      <c r="AB97" s="22">
        <v>87</v>
      </c>
      <c r="AC97" s="22">
        <v>1.2109399999999999</v>
      </c>
      <c r="AD97">
        <f t="shared" si="16"/>
        <v>18.493699999999997</v>
      </c>
      <c r="AE97">
        <f t="shared" si="17"/>
        <v>22.411590344999997</v>
      </c>
      <c r="AF97" s="9"/>
      <c r="AG97" s="22">
        <v>0.33813500000000002</v>
      </c>
      <c r="AH97" s="22">
        <v>137.09200000000001</v>
      </c>
      <c r="AI97" s="22">
        <v>-1.9445799999999999E-2</v>
      </c>
      <c r="AJ97" s="22">
        <v>87</v>
      </c>
      <c r="AK97" s="22">
        <v>0.33740199999999998</v>
      </c>
      <c r="AL97">
        <f t="shared" si="18"/>
        <v>19.445799999999998</v>
      </c>
      <c r="AM97">
        <f t="shared" si="19"/>
        <v>6.5753055829999996</v>
      </c>
      <c r="AP97" s="9"/>
      <c r="AQ97" s="22">
        <v>1.2118500000000001</v>
      </c>
      <c r="AR97" s="22">
        <v>171.15100000000001</v>
      </c>
      <c r="AS97" s="22">
        <v>-1.8490599999999999E-2</v>
      </c>
      <c r="AT97" s="22">
        <v>87</v>
      </c>
      <c r="AU97" s="22">
        <v>1.2115499999999999</v>
      </c>
      <c r="AV97">
        <f t="shared" si="20"/>
        <v>18.490600000000001</v>
      </c>
      <c r="AW97">
        <f t="shared" si="21"/>
        <v>22.407833610000001</v>
      </c>
      <c r="AX97" s="9"/>
      <c r="AY97" s="22">
        <v>0.33813500000000002</v>
      </c>
      <c r="AZ97" s="22">
        <v>205.17699999999999</v>
      </c>
      <c r="BA97" s="22">
        <v>-1.94427E-2</v>
      </c>
      <c r="BB97" s="22">
        <v>87</v>
      </c>
      <c r="BC97" s="22">
        <v>0.33731100000000003</v>
      </c>
      <c r="BD97">
        <f t="shared" si="22"/>
        <v>19.442699999999999</v>
      </c>
      <c r="BE97">
        <f t="shared" si="23"/>
        <v>6.5742573645000002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1.20682</v>
      </c>
      <c r="H98" s="22">
        <v>35.020099999999999</v>
      </c>
      <c r="I98" s="22">
        <v>-1.8371599999999998E-2</v>
      </c>
      <c r="J98" s="22">
        <v>88</v>
      </c>
      <c r="K98" s="22">
        <v>1.2060500000000001</v>
      </c>
      <c r="L98">
        <f t="shared" si="12"/>
        <v>18.371599999999997</v>
      </c>
      <c r="M98">
        <f t="shared" si="13"/>
        <v>22.171214311999996</v>
      </c>
      <c r="N98" s="9"/>
      <c r="O98" s="22">
        <v>0.34316999999999998</v>
      </c>
      <c r="P98" s="22">
        <v>69.073300000000003</v>
      </c>
      <c r="Q98" s="22">
        <v>-1.9314600000000001E-2</v>
      </c>
      <c r="R98" s="22">
        <v>88</v>
      </c>
      <c r="S98" s="22">
        <v>0.342499</v>
      </c>
      <c r="T98">
        <f t="shared" si="14"/>
        <v>19.314600000000002</v>
      </c>
      <c r="U98">
        <f t="shared" si="15"/>
        <v>6.6281912820000004</v>
      </c>
      <c r="X98" s="9"/>
      <c r="Y98" s="22">
        <v>1.20682</v>
      </c>
      <c r="Z98" s="22">
        <v>103.096</v>
      </c>
      <c r="AA98" s="22">
        <v>-1.84998E-2</v>
      </c>
      <c r="AB98" s="22">
        <v>88</v>
      </c>
      <c r="AC98" s="22">
        <v>1.2057500000000001</v>
      </c>
      <c r="AD98">
        <f t="shared" si="16"/>
        <v>18.4998</v>
      </c>
      <c r="AE98">
        <f t="shared" si="17"/>
        <v>22.325928636</v>
      </c>
      <c r="AF98" s="9"/>
      <c r="AG98" s="22">
        <v>0.34316999999999998</v>
      </c>
      <c r="AH98" s="22">
        <v>137.10300000000001</v>
      </c>
      <c r="AI98" s="22">
        <v>-1.9439700000000001E-2</v>
      </c>
      <c r="AJ98" s="22">
        <v>88</v>
      </c>
      <c r="AK98" s="22">
        <v>0.34265099999999998</v>
      </c>
      <c r="AL98">
        <f t="shared" si="18"/>
        <v>19.439700000000002</v>
      </c>
      <c r="AM98">
        <f t="shared" si="19"/>
        <v>6.6711218490000004</v>
      </c>
      <c r="AP98" s="9"/>
      <c r="AQ98" s="22">
        <v>1.20682</v>
      </c>
      <c r="AR98" s="22">
        <v>171.161</v>
      </c>
      <c r="AS98" s="22">
        <v>-1.8496700000000001E-2</v>
      </c>
      <c r="AT98" s="22">
        <v>88</v>
      </c>
      <c r="AU98" s="22">
        <v>1.2063600000000001</v>
      </c>
      <c r="AV98">
        <f t="shared" si="20"/>
        <v>18.496700000000001</v>
      </c>
      <c r="AW98">
        <f t="shared" si="21"/>
        <v>22.322187494000001</v>
      </c>
      <c r="AX98" s="9"/>
      <c r="AY98" s="22">
        <v>0.34316999999999998</v>
      </c>
      <c r="AZ98" s="22">
        <v>205.18700000000001</v>
      </c>
      <c r="BA98" s="22">
        <v>-1.9439700000000001E-2</v>
      </c>
      <c r="BB98" s="22">
        <v>88</v>
      </c>
      <c r="BC98" s="22">
        <v>0.34246799999999999</v>
      </c>
      <c r="BD98">
        <f t="shared" si="22"/>
        <v>19.439700000000002</v>
      </c>
      <c r="BE98">
        <f t="shared" si="23"/>
        <v>6.6711218490000004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1.2017800000000001</v>
      </c>
      <c r="H99" s="22">
        <v>35.030200000000001</v>
      </c>
      <c r="I99" s="22">
        <v>-1.83777E-2</v>
      </c>
      <c r="J99" s="22">
        <v>89</v>
      </c>
      <c r="K99" s="22">
        <v>1.2017800000000001</v>
      </c>
      <c r="L99">
        <f t="shared" si="12"/>
        <v>18.377700000000001</v>
      </c>
      <c r="M99">
        <f t="shared" si="13"/>
        <v>22.085952306000003</v>
      </c>
      <c r="N99" s="9"/>
      <c r="O99" s="22">
        <v>0.34820600000000002</v>
      </c>
      <c r="P99" s="22">
        <v>69.083299999999994</v>
      </c>
      <c r="Q99" s="22">
        <v>-1.9314600000000001E-2</v>
      </c>
      <c r="R99" s="22">
        <v>89</v>
      </c>
      <c r="S99" s="22">
        <v>0.34735100000000002</v>
      </c>
      <c r="T99">
        <f t="shared" si="14"/>
        <v>19.314600000000002</v>
      </c>
      <c r="U99">
        <f t="shared" si="15"/>
        <v>6.7254596076000013</v>
      </c>
      <c r="X99" s="9"/>
      <c r="Y99" s="22">
        <v>1.2017800000000001</v>
      </c>
      <c r="Z99" s="22">
        <v>103.10599999999999</v>
      </c>
      <c r="AA99" s="22">
        <v>-1.8505899999999999E-2</v>
      </c>
      <c r="AB99" s="22">
        <v>89</v>
      </c>
      <c r="AC99" s="22">
        <v>1.2008700000000001</v>
      </c>
      <c r="AD99">
        <f t="shared" si="16"/>
        <v>18.5059</v>
      </c>
      <c r="AE99">
        <f t="shared" si="17"/>
        <v>22.240020502</v>
      </c>
      <c r="AF99" s="9"/>
      <c r="AG99" s="22">
        <v>0.34820600000000002</v>
      </c>
      <c r="AH99" s="22">
        <v>137.113</v>
      </c>
      <c r="AI99" s="22">
        <v>-1.9433599999999999E-2</v>
      </c>
      <c r="AJ99" s="22">
        <v>89</v>
      </c>
      <c r="AK99" s="22">
        <v>0.347443</v>
      </c>
      <c r="AL99">
        <f t="shared" si="18"/>
        <v>19.433599999999998</v>
      </c>
      <c r="AM99">
        <f t="shared" si="19"/>
        <v>6.7668961215999994</v>
      </c>
      <c r="AP99" s="9"/>
      <c r="AQ99" s="22">
        <v>1.2017800000000001</v>
      </c>
      <c r="AR99" s="22">
        <v>171.17099999999999</v>
      </c>
      <c r="AS99" s="22">
        <v>-1.85028E-2</v>
      </c>
      <c r="AT99" s="22">
        <v>89</v>
      </c>
      <c r="AU99" s="22">
        <v>1.2005600000000001</v>
      </c>
      <c r="AV99">
        <f t="shared" si="20"/>
        <v>18.502800000000001</v>
      </c>
      <c r="AW99">
        <f t="shared" si="21"/>
        <v>22.236294984000001</v>
      </c>
      <c r="AX99" s="9"/>
      <c r="AY99" s="22">
        <v>0.34820600000000002</v>
      </c>
      <c r="AZ99" s="22">
        <v>205.197</v>
      </c>
      <c r="BA99" s="22">
        <v>-1.9436599999999998E-2</v>
      </c>
      <c r="BB99" s="22">
        <v>89</v>
      </c>
      <c r="BC99" s="22">
        <v>0.34762599999999999</v>
      </c>
      <c r="BD99">
        <f t="shared" si="22"/>
        <v>19.436599999999999</v>
      </c>
      <c r="BE99">
        <f t="shared" si="23"/>
        <v>6.7679407396000002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1.19675</v>
      </c>
      <c r="H100" s="22">
        <v>35.040199999999999</v>
      </c>
      <c r="I100" s="22">
        <v>-1.8383799999999999E-2</v>
      </c>
      <c r="J100" s="22">
        <v>90</v>
      </c>
      <c r="K100" s="22">
        <v>1.1950700000000001</v>
      </c>
      <c r="L100">
        <f t="shared" si="12"/>
        <v>18.383799999999997</v>
      </c>
      <c r="M100">
        <f t="shared" si="13"/>
        <v>22.000812649999997</v>
      </c>
      <c r="N100" s="9"/>
      <c r="O100" s="22">
        <v>0.35324100000000003</v>
      </c>
      <c r="P100" s="22">
        <v>69.093400000000003</v>
      </c>
      <c r="Q100" s="22">
        <v>-1.9311499999999999E-2</v>
      </c>
      <c r="R100" s="22">
        <v>90</v>
      </c>
      <c r="S100" s="22">
        <v>0.35290500000000002</v>
      </c>
      <c r="T100">
        <f t="shared" si="14"/>
        <v>19.311499999999999</v>
      </c>
      <c r="U100">
        <f t="shared" si="15"/>
        <v>6.8216135715000004</v>
      </c>
      <c r="X100" s="9"/>
      <c r="Y100" s="22">
        <v>1.19675</v>
      </c>
      <c r="Z100" s="22">
        <v>103.117</v>
      </c>
      <c r="AA100" s="22">
        <v>-1.8512000000000001E-2</v>
      </c>
      <c r="AB100" s="22">
        <v>90</v>
      </c>
      <c r="AC100" s="22">
        <v>1.19598</v>
      </c>
      <c r="AD100">
        <f t="shared" si="16"/>
        <v>18.512</v>
      </c>
      <c r="AE100">
        <f t="shared" si="17"/>
        <v>22.154236000000001</v>
      </c>
      <c r="AF100" s="9"/>
      <c r="AG100" s="22">
        <v>0.35324100000000003</v>
      </c>
      <c r="AH100" s="22">
        <v>137.12299999999999</v>
      </c>
      <c r="AI100" s="22">
        <v>-1.9433599999999999E-2</v>
      </c>
      <c r="AJ100" s="22">
        <v>90</v>
      </c>
      <c r="AK100" s="22">
        <v>0.352661</v>
      </c>
      <c r="AL100">
        <f t="shared" si="18"/>
        <v>19.433599999999998</v>
      </c>
      <c r="AM100">
        <f t="shared" si="19"/>
        <v>6.8647442975999997</v>
      </c>
      <c r="AP100" s="9"/>
      <c r="AQ100" s="22">
        <v>1.19675</v>
      </c>
      <c r="AR100" s="22">
        <v>171.18100000000001</v>
      </c>
      <c r="AS100" s="22">
        <v>-1.8508899999999998E-2</v>
      </c>
      <c r="AT100" s="22">
        <v>90</v>
      </c>
      <c r="AU100" s="22">
        <v>1.1956800000000001</v>
      </c>
      <c r="AV100">
        <f t="shared" si="20"/>
        <v>18.508899999999997</v>
      </c>
      <c r="AW100">
        <f t="shared" si="21"/>
        <v>22.150526074999995</v>
      </c>
      <c r="AX100" s="9"/>
      <c r="AY100" s="22">
        <v>0.35324100000000003</v>
      </c>
      <c r="AZ100" s="22">
        <v>205.20699999999999</v>
      </c>
      <c r="BA100" s="22">
        <v>-1.94305E-2</v>
      </c>
      <c r="BB100" s="22">
        <v>90</v>
      </c>
      <c r="BC100" s="22">
        <v>0.35253899999999999</v>
      </c>
      <c r="BD100">
        <f t="shared" si="22"/>
        <v>19.430499999999999</v>
      </c>
      <c r="BE100">
        <f t="shared" si="23"/>
        <v>6.8636492505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1.19171</v>
      </c>
      <c r="H101" s="22">
        <v>35.0503</v>
      </c>
      <c r="I101" s="22">
        <v>-1.8386799999999998E-2</v>
      </c>
      <c r="J101" s="22">
        <v>91</v>
      </c>
      <c r="K101" s="22">
        <v>1.1908000000000001</v>
      </c>
      <c r="L101">
        <f t="shared" si="12"/>
        <v>18.386799999999997</v>
      </c>
      <c r="M101">
        <f t="shared" si="13"/>
        <v>21.911733427999998</v>
      </c>
      <c r="N101" s="9"/>
      <c r="O101" s="22">
        <v>0.35827599999999998</v>
      </c>
      <c r="P101" s="22">
        <v>69.103499999999997</v>
      </c>
      <c r="Q101" s="22">
        <v>-1.9308499999999999E-2</v>
      </c>
      <c r="R101" s="22">
        <v>91</v>
      </c>
      <c r="S101" s="22">
        <v>0.357574</v>
      </c>
      <c r="T101">
        <f t="shared" si="14"/>
        <v>19.308499999999999</v>
      </c>
      <c r="U101">
        <f t="shared" si="15"/>
        <v>6.917772145999999</v>
      </c>
      <c r="X101" s="9"/>
      <c r="Y101" s="22">
        <v>1.19171</v>
      </c>
      <c r="Z101" s="22">
        <v>103.127</v>
      </c>
      <c r="AA101" s="22">
        <v>-1.8521099999999999E-2</v>
      </c>
      <c r="AB101" s="22">
        <v>91</v>
      </c>
      <c r="AC101" s="22">
        <v>1.1908000000000001</v>
      </c>
      <c r="AD101">
        <f t="shared" si="16"/>
        <v>18.521099999999997</v>
      </c>
      <c r="AE101">
        <f t="shared" si="17"/>
        <v>22.071780080999996</v>
      </c>
      <c r="AF101" s="9"/>
      <c r="AG101" s="22">
        <v>0.35827599999999998</v>
      </c>
      <c r="AH101" s="22">
        <v>137.13300000000001</v>
      </c>
      <c r="AI101" s="22">
        <v>-1.94275E-2</v>
      </c>
      <c r="AJ101" s="22">
        <v>91</v>
      </c>
      <c r="AK101" s="22">
        <v>0.357483</v>
      </c>
      <c r="AL101">
        <f t="shared" si="18"/>
        <v>19.427500000000002</v>
      </c>
      <c r="AM101">
        <f t="shared" si="19"/>
        <v>6.9604069900000001</v>
      </c>
      <c r="AP101" s="9"/>
      <c r="AQ101" s="22">
        <v>1.19171</v>
      </c>
      <c r="AR101" s="22">
        <v>171.191</v>
      </c>
      <c r="AS101" s="22">
        <v>-1.8512000000000001E-2</v>
      </c>
      <c r="AT101" s="22">
        <v>91</v>
      </c>
      <c r="AU101" s="22">
        <v>1.19049</v>
      </c>
      <c r="AV101">
        <f t="shared" si="20"/>
        <v>18.512</v>
      </c>
      <c r="AW101">
        <f t="shared" si="21"/>
        <v>22.060935520000001</v>
      </c>
      <c r="AX101" s="9"/>
      <c r="AY101" s="22">
        <v>0.35827599999999998</v>
      </c>
      <c r="AZ101" s="22">
        <v>205.21799999999999</v>
      </c>
      <c r="BA101" s="22">
        <v>-1.9421399999999998E-2</v>
      </c>
      <c r="BB101" s="22">
        <v>91</v>
      </c>
      <c r="BC101" s="22">
        <v>0.35769699999999999</v>
      </c>
      <c r="BD101">
        <f t="shared" si="22"/>
        <v>19.421399999999998</v>
      </c>
      <c r="BE101">
        <f t="shared" si="23"/>
        <v>6.9582215063999993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1.18668</v>
      </c>
      <c r="H102" s="22">
        <v>35.060400000000001</v>
      </c>
      <c r="I102" s="22">
        <v>-1.83929E-2</v>
      </c>
      <c r="J102" s="22">
        <v>92</v>
      </c>
      <c r="K102" s="22">
        <v>1.1853</v>
      </c>
      <c r="L102">
        <f t="shared" si="12"/>
        <v>18.392900000000001</v>
      </c>
      <c r="M102">
        <f t="shared" si="13"/>
        <v>21.826486572</v>
      </c>
      <c r="N102" s="9"/>
      <c r="O102" s="22">
        <v>0.36331200000000002</v>
      </c>
      <c r="P102" s="22">
        <v>69.113500000000002</v>
      </c>
      <c r="Q102" s="22">
        <v>-1.9302400000000001E-2</v>
      </c>
      <c r="R102" s="22">
        <v>92</v>
      </c>
      <c r="S102" s="22">
        <v>0.362701</v>
      </c>
      <c r="T102">
        <f t="shared" si="14"/>
        <v>19.302400000000002</v>
      </c>
      <c r="U102">
        <f t="shared" si="15"/>
        <v>7.0127935488000013</v>
      </c>
      <c r="X102" s="9"/>
      <c r="Y102" s="22">
        <v>1.18668</v>
      </c>
      <c r="Z102" s="22">
        <v>103.137</v>
      </c>
      <c r="AA102" s="22">
        <v>-1.8527200000000001E-2</v>
      </c>
      <c r="AB102" s="22">
        <v>92</v>
      </c>
      <c r="AC102" s="22">
        <v>1.18652</v>
      </c>
      <c r="AD102">
        <f t="shared" si="16"/>
        <v>18.527200000000001</v>
      </c>
      <c r="AE102">
        <f t="shared" si="17"/>
        <v>21.985857696</v>
      </c>
      <c r="AF102" s="9"/>
      <c r="AG102" s="22">
        <v>0.36331200000000002</v>
      </c>
      <c r="AH102" s="22">
        <v>137.143</v>
      </c>
      <c r="AI102" s="22">
        <v>-1.9421399999999998E-2</v>
      </c>
      <c r="AJ102" s="22">
        <v>92</v>
      </c>
      <c r="AK102" s="22">
        <v>0.36267100000000002</v>
      </c>
      <c r="AL102">
        <f t="shared" si="18"/>
        <v>19.421399999999998</v>
      </c>
      <c r="AM102">
        <f t="shared" si="19"/>
        <v>7.0560276768000003</v>
      </c>
      <c r="AP102" s="9"/>
      <c r="AQ102" s="22">
        <v>1.18668</v>
      </c>
      <c r="AR102" s="22">
        <v>171.20099999999999</v>
      </c>
      <c r="AS102" s="22">
        <v>-1.8518099999999999E-2</v>
      </c>
      <c r="AT102" s="22">
        <v>92</v>
      </c>
      <c r="AU102" s="22">
        <v>1.18591</v>
      </c>
      <c r="AV102">
        <f t="shared" si="20"/>
        <v>18.5181</v>
      </c>
      <c r="AW102">
        <f t="shared" si="21"/>
        <v>21.975058908000001</v>
      </c>
      <c r="AX102" s="9"/>
      <c r="AY102" s="22">
        <v>0.36331200000000002</v>
      </c>
      <c r="AZ102" s="22">
        <v>205.22800000000001</v>
      </c>
      <c r="BA102" s="22">
        <v>-1.94153E-2</v>
      </c>
      <c r="BB102" s="22">
        <v>92</v>
      </c>
      <c r="BC102" s="22">
        <v>0.36251800000000001</v>
      </c>
      <c r="BD102">
        <f t="shared" si="22"/>
        <v>19.415299999999998</v>
      </c>
      <c r="BE102">
        <f t="shared" si="23"/>
        <v>7.0538114735999997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1.18164</v>
      </c>
      <c r="H103" s="22">
        <v>35.070500000000003</v>
      </c>
      <c r="I103" s="22">
        <v>-1.8395999999999999E-2</v>
      </c>
      <c r="J103" s="22">
        <v>93</v>
      </c>
      <c r="K103" s="22">
        <v>1.18042</v>
      </c>
      <c r="L103">
        <f t="shared" si="12"/>
        <v>18.396000000000001</v>
      </c>
      <c r="M103">
        <f t="shared" si="13"/>
        <v>21.737449440000002</v>
      </c>
      <c r="N103" s="9"/>
      <c r="O103" s="22">
        <v>0.36834699999999998</v>
      </c>
      <c r="P103" s="22">
        <v>69.123599999999996</v>
      </c>
      <c r="Q103" s="22">
        <v>-1.9296299999999999E-2</v>
      </c>
      <c r="R103" s="22">
        <v>93</v>
      </c>
      <c r="S103" s="22">
        <v>0.36731000000000003</v>
      </c>
      <c r="T103">
        <f t="shared" si="14"/>
        <v>19.296299999999999</v>
      </c>
      <c r="U103">
        <f t="shared" si="15"/>
        <v>7.107734216099999</v>
      </c>
      <c r="X103" s="9"/>
      <c r="Y103" s="22">
        <v>1.18164</v>
      </c>
      <c r="Z103" s="22">
        <v>103.14700000000001</v>
      </c>
      <c r="AA103" s="22">
        <v>-1.8533299999999999E-2</v>
      </c>
      <c r="AB103" s="22">
        <v>93</v>
      </c>
      <c r="AC103" s="22">
        <v>1.18042</v>
      </c>
      <c r="AD103">
        <f t="shared" si="16"/>
        <v>18.533300000000001</v>
      </c>
      <c r="AE103">
        <f t="shared" si="17"/>
        <v>21.899688612000002</v>
      </c>
      <c r="AF103" s="9"/>
      <c r="AG103" s="22">
        <v>0.36834699999999998</v>
      </c>
      <c r="AH103" s="22">
        <v>137.15299999999999</v>
      </c>
      <c r="AI103" s="22">
        <v>-1.9412200000000001E-2</v>
      </c>
      <c r="AJ103" s="22">
        <v>93</v>
      </c>
      <c r="AK103" s="22">
        <v>0.36770599999999998</v>
      </c>
      <c r="AL103">
        <f t="shared" si="18"/>
        <v>19.412200000000002</v>
      </c>
      <c r="AM103">
        <f t="shared" si="19"/>
        <v>7.1504256334000003</v>
      </c>
      <c r="AP103" s="9"/>
      <c r="AQ103" s="22">
        <v>1.18164</v>
      </c>
      <c r="AR103" s="22">
        <v>171.21100000000001</v>
      </c>
      <c r="AS103" s="22">
        <v>-1.8521099999999999E-2</v>
      </c>
      <c r="AT103" s="22">
        <v>93</v>
      </c>
      <c r="AU103" s="22">
        <v>1.18042</v>
      </c>
      <c r="AV103">
        <f t="shared" si="20"/>
        <v>18.521099999999997</v>
      </c>
      <c r="AW103">
        <f t="shared" si="21"/>
        <v>21.885272603999997</v>
      </c>
      <c r="AX103" s="9"/>
      <c r="AY103" s="22">
        <v>0.36834699999999998</v>
      </c>
      <c r="AZ103" s="22">
        <v>205.238</v>
      </c>
      <c r="BA103" s="22">
        <v>-1.9412200000000001E-2</v>
      </c>
      <c r="BB103" s="22">
        <v>93</v>
      </c>
      <c r="BC103" s="22">
        <v>0.367645</v>
      </c>
      <c r="BD103">
        <f t="shared" si="22"/>
        <v>19.412200000000002</v>
      </c>
      <c r="BE103">
        <f t="shared" si="23"/>
        <v>7.1504256334000003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1.1766099999999999</v>
      </c>
      <c r="H104" s="22">
        <v>35.080500000000001</v>
      </c>
      <c r="I104" s="22">
        <v>-1.8395999999999999E-2</v>
      </c>
      <c r="J104" s="22">
        <v>94</v>
      </c>
      <c r="K104" s="22">
        <v>1.17584</v>
      </c>
      <c r="L104">
        <f t="shared" si="12"/>
        <v>18.396000000000001</v>
      </c>
      <c r="M104">
        <f t="shared" si="13"/>
        <v>21.64491756</v>
      </c>
      <c r="N104" s="9"/>
      <c r="O104" s="22">
        <v>0.37338300000000002</v>
      </c>
      <c r="P104" s="22">
        <v>69.133700000000005</v>
      </c>
      <c r="Q104" s="22">
        <v>-1.9287100000000001E-2</v>
      </c>
      <c r="R104" s="22">
        <v>94</v>
      </c>
      <c r="S104" s="22">
        <v>0.37262000000000001</v>
      </c>
      <c r="T104">
        <f t="shared" si="14"/>
        <v>19.287100000000002</v>
      </c>
      <c r="U104">
        <f t="shared" si="15"/>
        <v>7.2014752593000013</v>
      </c>
      <c r="X104" s="9"/>
      <c r="Y104" s="22">
        <v>1.1766099999999999</v>
      </c>
      <c r="Z104" s="22">
        <v>103.157</v>
      </c>
      <c r="AA104" s="22">
        <v>-1.8536400000000001E-2</v>
      </c>
      <c r="AB104" s="22">
        <v>94</v>
      </c>
      <c r="AC104" s="22">
        <v>1.17584</v>
      </c>
      <c r="AD104">
        <f t="shared" si="16"/>
        <v>18.5364</v>
      </c>
      <c r="AE104">
        <f t="shared" si="17"/>
        <v>21.810113603999998</v>
      </c>
      <c r="AF104" s="9"/>
      <c r="AG104" s="22">
        <v>0.37338300000000002</v>
      </c>
      <c r="AH104" s="22">
        <v>137.16300000000001</v>
      </c>
      <c r="AI104" s="22">
        <v>-1.9406099999999999E-2</v>
      </c>
      <c r="AJ104" s="22">
        <v>94</v>
      </c>
      <c r="AK104" s="22">
        <v>0.37292500000000001</v>
      </c>
      <c r="AL104">
        <f t="shared" si="18"/>
        <v>19.406099999999999</v>
      </c>
      <c r="AM104">
        <f t="shared" si="19"/>
        <v>7.2459078362999998</v>
      </c>
      <c r="AP104" s="9"/>
      <c r="AQ104" s="22">
        <v>1.1766099999999999</v>
      </c>
      <c r="AR104" s="22">
        <v>171.22200000000001</v>
      </c>
      <c r="AS104" s="22">
        <v>-1.8524200000000001E-2</v>
      </c>
      <c r="AT104" s="22">
        <v>94</v>
      </c>
      <c r="AU104" s="22">
        <v>1.17645</v>
      </c>
      <c r="AV104">
        <f t="shared" si="20"/>
        <v>18.5242</v>
      </c>
      <c r="AW104">
        <f t="shared" si="21"/>
        <v>21.795758962000001</v>
      </c>
      <c r="AX104" s="9"/>
      <c r="AY104" s="22">
        <v>0.37338300000000002</v>
      </c>
      <c r="AZ104" s="22">
        <v>205.24799999999999</v>
      </c>
      <c r="BA104" s="22">
        <v>-1.9406099999999999E-2</v>
      </c>
      <c r="BB104" s="22">
        <v>94</v>
      </c>
      <c r="BC104" s="22">
        <v>0.37262000000000001</v>
      </c>
      <c r="BD104">
        <f t="shared" si="22"/>
        <v>19.406099999999999</v>
      </c>
      <c r="BE104">
        <f t="shared" si="23"/>
        <v>7.2459078362999998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1.17157</v>
      </c>
      <c r="H105" s="22">
        <v>35.090600000000002</v>
      </c>
      <c r="I105" s="22">
        <v>-1.8398999999999999E-2</v>
      </c>
      <c r="J105" s="22">
        <v>95</v>
      </c>
      <c r="K105" s="22">
        <v>1.17096</v>
      </c>
      <c r="L105">
        <f t="shared" si="12"/>
        <v>18.398999999999997</v>
      </c>
      <c r="M105">
        <f t="shared" si="13"/>
        <v>21.555716429999997</v>
      </c>
      <c r="N105" s="9"/>
      <c r="O105" s="22">
        <v>0.37841799999999998</v>
      </c>
      <c r="P105" s="22">
        <v>69.143699999999995</v>
      </c>
      <c r="Q105" s="22">
        <v>-1.9284099999999998E-2</v>
      </c>
      <c r="R105" s="22">
        <v>95</v>
      </c>
      <c r="S105" s="22">
        <v>0.37786900000000001</v>
      </c>
      <c r="T105">
        <f t="shared" si="14"/>
        <v>19.284099999999999</v>
      </c>
      <c r="U105">
        <f t="shared" si="15"/>
        <v>7.2974505537999992</v>
      </c>
      <c r="X105" s="9"/>
      <c r="Y105" s="22">
        <v>1.17157</v>
      </c>
      <c r="Z105" s="22">
        <v>103.167</v>
      </c>
      <c r="AA105" s="22">
        <v>-1.8539400000000001E-2</v>
      </c>
      <c r="AB105" s="22">
        <v>95</v>
      </c>
      <c r="AC105" s="22">
        <v>1.17096</v>
      </c>
      <c r="AD105">
        <f t="shared" si="16"/>
        <v>18.539400000000001</v>
      </c>
      <c r="AE105">
        <f t="shared" si="17"/>
        <v>21.720204857999999</v>
      </c>
      <c r="AF105" s="9"/>
      <c r="AG105" s="22">
        <v>0.37841799999999998</v>
      </c>
      <c r="AH105" s="22">
        <v>137.173</v>
      </c>
      <c r="AI105" s="22">
        <v>-1.9400000000000001E-2</v>
      </c>
      <c r="AJ105" s="22">
        <v>95</v>
      </c>
      <c r="AK105" s="22">
        <v>0.377716</v>
      </c>
      <c r="AL105">
        <f t="shared" si="18"/>
        <v>19.400000000000002</v>
      </c>
      <c r="AM105">
        <f t="shared" si="19"/>
        <v>7.3413092000000004</v>
      </c>
      <c r="AP105" s="9"/>
      <c r="AQ105" s="22">
        <v>1.17157</v>
      </c>
      <c r="AR105" s="22">
        <v>171.232</v>
      </c>
      <c r="AS105" s="22">
        <v>-1.8533299999999999E-2</v>
      </c>
      <c r="AT105" s="22">
        <v>95</v>
      </c>
      <c r="AU105" s="22">
        <v>1.17096</v>
      </c>
      <c r="AV105">
        <f t="shared" si="20"/>
        <v>18.533300000000001</v>
      </c>
      <c r="AW105">
        <f t="shared" si="21"/>
        <v>21.713058281000002</v>
      </c>
      <c r="AX105" s="9"/>
      <c r="AY105" s="22">
        <v>0.37841799999999998</v>
      </c>
      <c r="AZ105" s="22">
        <v>205.25800000000001</v>
      </c>
      <c r="BA105" s="22">
        <v>-1.9400000000000001E-2</v>
      </c>
      <c r="BB105" s="22">
        <v>95</v>
      </c>
      <c r="BC105" s="22">
        <v>0.37756299999999998</v>
      </c>
      <c r="BD105">
        <f t="shared" si="22"/>
        <v>19.400000000000002</v>
      </c>
      <c r="BE105">
        <f t="shared" si="23"/>
        <v>7.3413092000000004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1.1665300000000001</v>
      </c>
      <c r="H106" s="22">
        <v>35.100700000000003</v>
      </c>
      <c r="I106" s="22">
        <v>-1.84052E-2</v>
      </c>
      <c r="J106" s="22">
        <v>96</v>
      </c>
      <c r="K106" s="22">
        <v>1.16608</v>
      </c>
      <c r="L106">
        <f t="shared" si="12"/>
        <v>18.405200000000001</v>
      </c>
      <c r="M106">
        <f t="shared" si="13"/>
        <v>21.470217956000003</v>
      </c>
      <c r="N106" s="9"/>
      <c r="O106" s="22">
        <v>0.38345299999999999</v>
      </c>
      <c r="P106" s="22">
        <v>69.153800000000004</v>
      </c>
      <c r="Q106" s="22">
        <v>-1.9278E-2</v>
      </c>
      <c r="R106" s="22">
        <v>96</v>
      </c>
      <c r="S106" s="22">
        <v>0.38275100000000001</v>
      </c>
      <c r="T106">
        <f t="shared" si="14"/>
        <v>19.277999999999999</v>
      </c>
      <c r="U106">
        <f t="shared" si="15"/>
        <v>7.392206933999999</v>
      </c>
      <c r="X106" s="9"/>
      <c r="Y106" s="22">
        <v>1.1665300000000001</v>
      </c>
      <c r="Z106" s="22">
        <v>103.17700000000001</v>
      </c>
      <c r="AA106" s="22">
        <v>-1.85425E-2</v>
      </c>
      <c r="AB106" s="22">
        <v>96</v>
      </c>
      <c r="AC106" s="22">
        <v>1.16516</v>
      </c>
      <c r="AD106">
        <f t="shared" si="16"/>
        <v>18.5425</v>
      </c>
      <c r="AE106">
        <f t="shared" si="17"/>
        <v>21.630382525000002</v>
      </c>
      <c r="AF106" s="9"/>
      <c r="AG106" s="22">
        <v>0.38345299999999999</v>
      </c>
      <c r="AH106" s="22">
        <v>137.18299999999999</v>
      </c>
      <c r="AI106" s="22">
        <v>-1.9397000000000001E-2</v>
      </c>
      <c r="AJ106" s="22">
        <v>96</v>
      </c>
      <c r="AK106" s="22">
        <v>0.38278200000000001</v>
      </c>
      <c r="AL106">
        <f t="shared" si="18"/>
        <v>19.397000000000002</v>
      </c>
      <c r="AM106">
        <f t="shared" si="19"/>
        <v>7.4378378410000003</v>
      </c>
      <c r="AP106" s="9"/>
      <c r="AQ106" s="22">
        <v>1.1665300000000001</v>
      </c>
      <c r="AR106" s="22">
        <v>171.24199999999999</v>
      </c>
      <c r="AS106" s="22">
        <v>-1.8539400000000001E-2</v>
      </c>
      <c r="AT106" s="22">
        <v>96</v>
      </c>
      <c r="AU106" s="22">
        <v>1.16577</v>
      </c>
      <c r="AV106">
        <f t="shared" si="20"/>
        <v>18.539400000000001</v>
      </c>
      <c r="AW106">
        <f t="shared" si="21"/>
        <v>21.626766282000002</v>
      </c>
      <c r="AX106" s="9"/>
      <c r="AY106" s="22">
        <v>0.38345299999999999</v>
      </c>
      <c r="AZ106" s="22">
        <v>205.268</v>
      </c>
      <c r="BA106" s="22">
        <v>-1.9393899999999999E-2</v>
      </c>
      <c r="BB106" s="22">
        <v>96</v>
      </c>
      <c r="BC106" s="22">
        <v>0.38290400000000002</v>
      </c>
      <c r="BD106">
        <f t="shared" si="22"/>
        <v>19.393899999999999</v>
      </c>
      <c r="BE106">
        <f t="shared" si="23"/>
        <v>7.4366491366999989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1.1615</v>
      </c>
      <c r="H107" s="22">
        <v>35.110700000000001</v>
      </c>
      <c r="I107" s="22">
        <v>-1.8414300000000002E-2</v>
      </c>
      <c r="J107" s="22">
        <v>97</v>
      </c>
      <c r="K107" s="22">
        <v>1.16089</v>
      </c>
      <c r="L107">
        <f t="shared" si="12"/>
        <v>18.414300000000001</v>
      </c>
      <c r="M107">
        <f t="shared" si="13"/>
        <v>21.388209450000002</v>
      </c>
      <c r="N107" s="9"/>
      <c r="O107" s="22">
        <v>0.38848899999999997</v>
      </c>
      <c r="P107" s="22">
        <v>69.163899999999998</v>
      </c>
      <c r="Q107" s="22">
        <v>-1.9271900000000002E-2</v>
      </c>
      <c r="R107" s="22">
        <v>97</v>
      </c>
      <c r="S107" s="22">
        <v>0.387878</v>
      </c>
      <c r="T107">
        <f t="shared" si="14"/>
        <v>19.271900000000002</v>
      </c>
      <c r="U107">
        <f t="shared" si="15"/>
        <v>7.4869211591000004</v>
      </c>
      <c r="X107" s="9"/>
      <c r="Y107" s="22">
        <v>1.1615</v>
      </c>
      <c r="Z107" s="22">
        <v>103.187</v>
      </c>
      <c r="AA107" s="22">
        <v>-1.8548599999999998E-2</v>
      </c>
      <c r="AB107" s="22">
        <v>97</v>
      </c>
      <c r="AC107" s="22">
        <v>1.16028</v>
      </c>
      <c r="AD107">
        <f t="shared" si="16"/>
        <v>18.548599999999997</v>
      </c>
      <c r="AE107">
        <f t="shared" si="17"/>
        <v>21.544198899999994</v>
      </c>
      <c r="AF107" s="9"/>
      <c r="AG107" s="22">
        <v>0.38848899999999997</v>
      </c>
      <c r="AH107" s="22">
        <v>137.19300000000001</v>
      </c>
      <c r="AI107" s="22">
        <v>-1.9390899999999999E-2</v>
      </c>
      <c r="AJ107" s="22">
        <v>97</v>
      </c>
      <c r="AK107" s="22">
        <v>0.387909</v>
      </c>
      <c r="AL107">
        <f t="shared" si="18"/>
        <v>19.390899999999998</v>
      </c>
      <c r="AM107">
        <f t="shared" si="19"/>
        <v>7.5331513500999989</v>
      </c>
      <c r="AP107" s="9"/>
      <c r="AQ107" s="22">
        <v>1.1615</v>
      </c>
      <c r="AR107" s="22">
        <v>171.25200000000001</v>
      </c>
      <c r="AS107" s="22">
        <v>-1.8548599999999998E-2</v>
      </c>
      <c r="AT107" s="22">
        <v>97</v>
      </c>
      <c r="AU107" s="22">
        <v>1.1605799999999999</v>
      </c>
      <c r="AV107">
        <f t="shared" si="20"/>
        <v>18.548599999999997</v>
      </c>
      <c r="AW107">
        <f t="shared" si="21"/>
        <v>21.544198899999994</v>
      </c>
      <c r="AX107" s="9"/>
      <c r="AY107" s="22">
        <v>0.38848899999999997</v>
      </c>
      <c r="AZ107" s="22">
        <v>205.27799999999999</v>
      </c>
      <c r="BA107" s="22">
        <v>-1.93878E-2</v>
      </c>
      <c r="BB107" s="22">
        <v>97</v>
      </c>
      <c r="BC107" s="22">
        <v>0.38766499999999998</v>
      </c>
      <c r="BD107">
        <f t="shared" si="22"/>
        <v>19.387799999999999</v>
      </c>
      <c r="BE107">
        <f t="shared" si="23"/>
        <v>7.531947034199999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1.15646</v>
      </c>
      <c r="H108" s="22">
        <v>35.120800000000003</v>
      </c>
      <c r="I108" s="22">
        <v>-1.84204E-2</v>
      </c>
      <c r="J108" s="22">
        <v>98</v>
      </c>
      <c r="K108" s="22">
        <v>1.15448</v>
      </c>
      <c r="L108">
        <f t="shared" si="12"/>
        <v>18.420400000000001</v>
      </c>
      <c r="M108">
        <f t="shared" si="13"/>
        <v>21.302455784000003</v>
      </c>
      <c r="N108" s="9"/>
      <c r="O108" s="22">
        <v>0.39352399999999998</v>
      </c>
      <c r="P108" s="22">
        <v>69.174000000000007</v>
      </c>
      <c r="Q108" s="22">
        <v>-1.92657E-2</v>
      </c>
      <c r="R108" s="22">
        <v>98</v>
      </c>
      <c r="S108" s="22">
        <v>0.393127</v>
      </c>
      <c r="T108">
        <f t="shared" si="14"/>
        <v>19.265699999999999</v>
      </c>
      <c r="U108">
        <f t="shared" si="15"/>
        <v>7.5815153267999991</v>
      </c>
      <c r="X108" s="9"/>
      <c r="Y108" s="22">
        <v>1.15646</v>
      </c>
      <c r="Z108" s="22">
        <v>103.197</v>
      </c>
      <c r="AA108" s="22">
        <v>-1.85547E-2</v>
      </c>
      <c r="AB108" s="22">
        <v>98</v>
      </c>
      <c r="AC108" s="22">
        <v>1.15509</v>
      </c>
      <c r="AD108">
        <f t="shared" si="16"/>
        <v>18.5547</v>
      </c>
      <c r="AE108">
        <f t="shared" si="17"/>
        <v>21.457768362000003</v>
      </c>
      <c r="AF108" s="9"/>
      <c r="AG108" s="22">
        <v>0.39352399999999998</v>
      </c>
      <c r="AH108" s="22">
        <v>137.203</v>
      </c>
      <c r="AI108" s="22">
        <v>-1.93878E-2</v>
      </c>
      <c r="AJ108" s="22">
        <v>98</v>
      </c>
      <c r="AK108" s="22">
        <v>0.39291399999999999</v>
      </c>
      <c r="AL108">
        <f t="shared" si="18"/>
        <v>19.387799999999999</v>
      </c>
      <c r="AM108">
        <f t="shared" si="19"/>
        <v>7.629564607199999</v>
      </c>
      <c r="AP108" s="9"/>
      <c r="AQ108" s="22">
        <v>1.15646</v>
      </c>
      <c r="AR108" s="22">
        <v>171.262</v>
      </c>
      <c r="AS108" s="22">
        <v>-1.8560799999999999E-2</v>
      </c>
      <c r="AT108" s="22">
        <v>98</v>
      </c>
      <c r="AU108" s="22">
        <v>1.15509</v>
      </c>
      <c r="AV108">
        <f t="shared" si="20"/>
        <v>18.5608</v>
      </c>
      <c r="AW108">
        <f t="shared" si="21"/>
        <v>21.464822768000001</v>
      </c>
      <c r="AX108" s="9"/>
      <c r="AY108" s="22">
        <v>0.39352399999999998</v>
      </c>
      <c r="AZ108" s="22">
        <v>205.28800000000001</v>
      </c>
      <c r="BA108" s="22">
        <v>-1.9384800000000001E-2</v>
      </c>
      <c r="BB108" s="22">
        <v>98</v>
      </c>
      <c r="BC108" s="22">
        <v>0.392822</v>
      </c>
      <c r="BD108">
        <f t="shared" si="22"/>
        <v>19.384800000000002</v>
      </c>
      <c r="BE108">
        <f t="shared" si="23"/>
        <v>7.6283840352000007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1.15143</v>
      </c>
      <c r="H109" s="22">
        <v>35.130899999999997</v>
      </c>
      <c r="I109" s="22">
        <v>-1.8429600000000001E-2</v>
      </c>
      <c r="J109" s="22">
        <v>99</v>
      </c>
      <c r="K109" s="22">
        <v>1.15082</v>
      </c>
      <c r="L109">
        <f t="shared" si="12"/>
        <v>18.429600000000001</v>
      </c>
      <c r="M109">
        <f t="shared" si="13"/>
        <v>21.220394328000001</v>
      </c>
      <c r="N109" s="9"/>
      <c r="O109" s="22">
        <v>0.39856000000000003</v>
      </c>
      <c r="P109" s="22">
        <v>69.183999999999997</v>
      </c>
      <c r="Q109" s="22">
        <v>-1.9259600000000002E-2</v>
      </c>
      <c r="R109" s="22">
        <v>99</v>
      </c>
      <c r="S109" s="22">
        <v>0.397949</v>
      </c>
      <c r="T109">
        <f t="shared" si="14"/>
        <v>19.259600000000002</v>
      </c>
      <c r="U109">
        <f t="shared" si="15"/>
        <v>7.6761061760000011</v>
      </c>
      <c r="X109" s="9"/>
      <c r="Y109" s="22">
        <v>1.15143</v>
      </c>
      <c r="Z109" s="22">
        <v>103.20699999999999</v>
      </c>
      <c r="AA109" s="22">
        <v>-1.8560799999999999E-2</v>
      </c>
      <c r="AB109" s="22">
        <v>99</v>
      </c>
      <c r="AC109" s="22">
        <v>1.1505099999999999</v>
      </c>
      <c r="AD109">
        <f t="shared" si="16"/>
        <v>18.5608</v>
      </c>
      <c r="AE109">
        <f t="shared" si="17"/>
        <v>21.371461944</v>
      </c>
      <c r="AF109" s="9"/>
      <c r="AG109" s="22">
        <v>0.39856000000000003</v>
      </c>
      <c r="AH109" s="22">
        <v>137.21299999999999</v>
      </c>
      <c r="AI109" s="22">
        <v>-1.9381700000000002E-2</v>
      </c>
      <c r="AJ109" s="22">
        <v>99</v>
      </c>
      <c r="AK109" s="22">
        <v>0.39782699999999999</v>
      </c>
      <c r="AL109">
        <f t="shared" si="18"/>
        <v>19.381700000000002</v>
      </c>
      <c r="AM109">
        <f t="shared" si="19"/>
        <v>7.7247703520000011</v>
      </c>
      <c r="AP109" s="9"/>
      <c r="AQ109" s="22">
        <v>1.15143</v>
      </c>
      <c r="AR109" s="22">
        <v>171.27199999999999</v>
      </c>
      <c r="AS109" s="22">
        <v>-1.85699E-2</v>
      </c>
      <c r="AT109" s="22">
        <v>99</v>
      </c>
      <c r="AU109" s="22">
        <v>1.15082</v>
      </c>
      <c r="AV109">
        <f t="shared" si="20"/>
        <v>18.569900000000001</v>
      </c>
      <c r="AW109">
        <f t="shared" si="21"/>
        <v>21.381939957</v>
      </c>
      <c r="AX109" s="9"/>
      <c r="AY109" s="22">
        <v>0.39856000000000003</v>
      </c>
      <c r="AZ109" s="22">
        <v>205.298</v>
      </c>
      <c r="BA109" s="22">
        <v>-1.9378699999999999E-2</v>
      </c>
      <c r="BB109" s="22">
        <v>99</v>
      </c>
      <c r="BC109" s="22">
        <v>0.39813199999999999</v>
      </c>
      <c r="BD109">
        <f t="shared" si="22"/>
        <v>19.378699999999998</v>
      </c>
      <c r="BE109">
        <f t="shared" si="23"/>
        <v>7.7235746719999998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1.14639</v>
      </c>
      <c r="H110" s="22">
        <v>35.140999999999998</v>
      </c>
      <c r="I110" s="22">
        <v>-1.84326E-2</v>
      </c>
      <c r="J110" s="22">
        <v>100</v>
      </c>
      <c r="K110" s="22">
        <v>1.1456299999999999</v>
      </c>
      <c r="L110">
        <f t="shared" si="12"/>
        <v>18.432600000000001</v>
      </c>
      <c r="M110">
        <f t="shared" si="13"/>
        <v>21.130948314000001</v>
      </c>
      <c r="N110" s="9"/>
      <c r="O110" s="22">
        <v>0.40359499999999998</v>
      </c>
      <c r="P110" s="22">
        <v>69.194100000000006</v>
      </c>
      <c r="Q110" s="22">
        <v>-1.92535E-2</v>
      </c>
      <c r="R110" s="22">
        <v>100</v>
      </c>
      <c r="S110" s="22">
        <v>0.40304600000000002</v>
      </c>
      <c r="T110">
        <f t="shared" si="14"/>
        <v>19.253499999999999</v>
      </c>
      <c r="U110">
        <f t="shared" si="15"/>
        <v>7.7706163324999995</v>
      </c>
      <c r="X110" s="9"/>
      <c r="Y110" s="22">
        <v>1.14639</v>
      </c>
      <c r="Z110" s="22">
        <v>103.217</v>
      </c>
      <c r="AA110" s="22">
        <v>-1.8566900000000001E-2</v>
      </c>
      <c r="AB110" s="22">
        <v>100</v>
      </c>
      <c r="AC110" s="22">
        <v>1.1450199999999999</v>
      </c>
      <c r="AD110">
        <f t="shared" si="16"/>
        <v>18.5669</v>
      </c>
      <c r="AE110">
        <f t="shared" si="17"/>
        <v>21.284908490999999</v>
      </c>
      <c r="AF110" s="9"/>
      <c r="AG110" s="22">
        <v>0.40359499999999998</v>
      </c>
      <c r="AH110" s="22">
        <v>137.22300000000001</v>
      </c>
      <c r="AI110" s="22">
        <v>-1.9378699999999999E-2</v>
      </c>
      <c r="AJ110" s="22">
        <v>100</v>
      </c>
      <c r="AK110" s="22">
        <v>0.40295399999999998</v>
      </c>
      <c r="AL110">
        <f t="shared" si="18"/>
        <v>19.378699999999998</v>
      </c>
      <c r="AM110">
        <f t="shared" si="19"/>
        <v>7.8211464264999995</v>
      </c>
      <c r="AP110" s="9"/>
      <c r="AQ110" s="22">
        <v>1.14639</v>
      </c>
      <c r="AR110" s="22">
        <v>171.28200000000001</v>
      </c>
      <c r="AS110" s="22">
        <v>-1.8575999999999999E-2</v>
      </c>
      <c r="AT110" s="22">
        <v>100</v>
      </c>
      <c r="AU110" s="22">
        <v>1.1453199999999999</v>
      </c>
      <c r="AV110">
        <f t="shared" si="20"/>
        <v>18.576000000000001</v>
      </c>
      <c r="AW110">
        <f t="shared" si="21"/>
        <v>21.295340640000003</v>
      </c>
      <c r="AX110" s="9"/>
      <c r="AY110" s="22">
        <v>0.40359499999999998</v>
      </c>
      <c r="AZ110" s="22">
        <v>205.30799999999999</v>
      </c>
      <c r="BA110" s="22">
        <v>-1.93726E-2</v>
      </c>
      <c r="BB110" s="22">
        <v>100</v>
      </c>
      <c r="BC110" s="22">
        <v>0.40298499999999998</v>
      </c>
      <c r="BD110">
        <f t="shared" si="22"/>
        <v>19.372599999999998</v>
      </c>
      <c r="BE110">
        <f t="shared" si="23"/>
        <v>7.8186844969999987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1.1413599999999999</v>
      </c>
      <c r="H111" s="22">
        <v>35.151000000000003</v>
      </c>
      <c r="I111" s="22">
        <v>-1.8435699999999999E-2</v>
      </c>
      <c r="J111" s="22">
        <v>101</v>
      </c>
      <c r="K111" s="22">
        <v>1.1401399999999999</v>
      </c>
      <c r="L111">
        <f t="shared" si="12"/>
        <v>18.435700000000001</v>
      </c>
      <c r="M111">
        <f t="shared" si="13"/>
        <v>21.041770551999999</v>
      </c>
      <c r="N111" s="9"/>
      <c r="O111" s="22">
        <v>0.40862999999999999</v>
      </c>
      <c r="P111" s="22">
        <v>69.2042</v>
      </c>
      <c r="Q111" s="22">
        <v>-1.9247400000000001E-2</v>
      </c>
      <c r="R111" s="22">
        <v>101</v>
      </c>
      <c r="S111" s="22">
        <v>0.40777600000000003</v>
      </c>
      <c r="T111">
        <f t="shared" si="14"/>
        <v>19.247400000000003</v>
      </c>
      <c r="U111">
        <f t="shared" si="15"/>
        <v>7.8650650620000011</v>
      </c>
      <c r="X111" s="9"/>
      <c r="Y111" s="22">
        <v>1.1413599999999999</v>
      </c>
      <c r="Z111" s="22">
        <v>103.227</v>
      </c>
      <c r="AA111" s="22">
        <v>-1.8575999999999999E-2</v>
      </c>
      <c r="AB111" s="22">
        <v>101</v>
      </c>
      <c r="AC111" s="22">
        <v>1.1401399999999999</v>
      </c>
      <c r="AD111">
        <f t="shared" si="16"/>
        <v>18.576000000000001</v>
      </c>
      <c r="AE111">
        <f t="shared" si="17"/>
        <v>21.201903359999999</v>
      </c>
      <c r="AF111" s="9"/>
      <c r="AG111" s="22">
        <v>0.40862999999999999</v>
      </c>
      <c r="AH111" s="22">
        <v>137.233</v>
      </c>
      <c r="AI111" s="22">
        <v>-1.93756E-2</v>
      </c>
      <c r="AJ111" s="22">
        <v>101</v>
      </c>
      <c r="AK111" s="22">
        <v>0.40792800000000001</v>
      </c>
      <c r="AL111">
        <f t="shared" si="18"/>
        <v>19.375599999999999</v>
      </c>
      <c r="AM111">
        <f t="shared" si="19"/>
        <v>7.9174514279999997</v>
      </c>
      <c r="AP111" s="9"/>
      <c r="AQ111" s="22">
        <v>1.1413599999999999</v>
      </c>
      <c r="AR111" s="22">
        <v>171.292</v>
      </c>
      <c r="AS111" s="22">
        <v>-1.85852E-2</v>
      </c>
      <c r="AT111" s="22">
        <v>101</v>
      </c>
      <c r="AU111" s="22">
        <v>1.1398299999999999</v>
      </c>
      <c r="AV111">
        <f t="shared" si="20"/>
        <v>18.5852</v>
      </c>
      <c r="AW111">
        <f t="shared" si="21"/>
        <v>21.212403871999999</v>
      </c>
      <c r="AX111" s="9"/>
      <c r="AY111" s="22">
        <v>0.40862999999999999</v>
      </c>
      <c r="AZ111" s="22">
        <v>205.31800000000001</v>
      </c>
      <c r="BA111" s="22">
        <v>-1.9366499999999998E-2</v>
      </c>
      <c r="BB111" s="22">
        <v>101</v>
      </c>
      <c r="BC111" s="22">
        <v>0.40795900000000002</v>
      </c>
      <c r="BD111">
        <f t="shared" si="22"/>
        <v>19.366499999999998</v>
      </c>
      <c r="BE111">
        <f t="shared" si="23"/>
        <v>7.913732894999999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1.13632</v>
      </c>
      <c r="H112" s="22">
        <v>35.161099999999998</v>
      </c>
      <c r="I112" s="22">
        <v>-1.8441800000000001E-2</v>
      </c>
      <c r="J112" s="22">
        <v>102</v>
      </c>
      <c r="K112" s="22">
        <v>1.1355599999999999</v>
      </c>
      <c r="L112">
        <f t="shared" si="12"/>
        <v>18.441800000000001</v>
      </c>
      <c r="M112">
        <f t="shared" si="13"/>
        <v>20.955786176</v>
      </c>
      <c r="N112" s="9"/>
      <c r="O112" s="22">
        <v>0.41366599999999998</v>
      </c>
      <c r="P112" s="22">
        <v>69.214200000000005</v>
      </c>
      <c r="Q112" s="22">
        <v>-1.9244399999999998E-2</v>
      </c>
      <c r="R112" s="22">
        <v>102</v>
      </c>
      <c r="S112" s="22">
        <v>0.41317700000000002</v>
      </c>
      <c r="T112">
        <f t="shared" si="14"/>
        <v>19.244399999999999</v>
      </c>
      <c r="U112">
        <f t="shared" si="15"/>
        <v>7.960753970399999</v>
      </c>
      <c r="X112" s="9"/>
      <c r="Y112" s="22">
        <v>1.13632</v>
      </c>
      <c r="Z112" s="22">
        <v>103.23699999999999</v>
      </c>
      <c r="AA112" s="22">
        <v>-1.85822E-2</v>
      </c>
      <c r="AB112" s="22">
        <v>102</v>
      </c>
      <c r="AC112" s="22">
        <v>1.1349499999999999</v>
      </c>
      <c r="AD112">
        <f t="shared" si="16"/>
        <v>18.5822</v>
      </c>
      <c r="AE112">
        <f t="shared" si="17"/>
        <v>21.115325504000001</v>
      </c>
      <c r="AF112" s="9"/>
      <c r="AG112" s="22">
        <v>0.41366599999999998</v>
      </c>
      <c r="AH112" s="22">
        <v>137.244</v>
      </c>
      <c r="AI112" s="22">
        <v>-1.9369500000000001E-2</v>
      </c>
      <c r="AJ112" s="22">
        <v>102</v>
      </c>
      <c r="AK112" s="22">
        <v>0.41311599999999998</v>
      </c>
      <c r="AL112">
        <f t="shared" si="18"/>
        <v>19.369500000000002</v>
      </c>
      <c r="AM112">
        <f t="shared" si="19"/>
        <v>8.0125035870000012</v>
      </c>
      <c r="AP112" s="9"/>
      <c r="AQ112" s="22">
        <v>1.13632</v>
      </c>
      <c r="AR112" s="22">
        <v>171.30199999999999</v>
      </c>
      <c r="AS112" s="22">
        <v>-1.8588299999999999E-2</v>
      </c>
      <c r="AT112" s="22">
        <v>102</v>
      </c>
      <c r="AU112" s="22">
        <v>1.1349499999999999</v>
      </c>
      <c r="AV112">
        <f t="shared" si="20"/>
        <v>18.5883</v>
      </c>
      <c r="AW112">
        <f t="shared" si="21"/>
        <v>21.122257055999999</v>
      </c>
      <c r="AX112" s="9"/>
      <c r="AY112" s="22">
        <v>0.41366599999999998</v>
      </c>
      <c r="AZ112" s="22">
        <v>205.328</v>
      </c>
      <c r="BA112" s="22">
        <v>-1.93604E-2</v>
      </c>
      <c r="BB112" s="22">
        <v>102</v>
      </c>
      <c r="BC112" s="22">
        <v>0.41305500000000001</v>
      </c>
      <c r="BD112">
        <f t="shared" si="22"/>
        <v>19.360399999999998</v>
      </c>
      <c r="BE112">
        <f t="shared" si="23"/>
        <v>8.0087392263999995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1.1312899999999999</v>
      </c>
      <c r="H113" s="22">
        <v>35.171199999999999</v>
      </c>
      <c r="I113" s="22">
        <v>-1.8444800000000001E-2</v>
      </c>
      <c r="J113" s="22">
        <v>103</v>
      </c>
      <c r="K113" s="22">
        <v>1.1306799999999999</v>
      </c>
      <c r="L113">
        <f t="shared" si="12"/>
        <v>18.444800000000001</v>
      </c>
      <c r="M113">
        <f t="shared" si="13"/>
        <v>20.866417792</v>
      </c>
      <c r="N113" s="9"/>
      <c r="O113" s="22">
        <v>0.41870099999999999</v>
      </c>
      <c r="P113" s="22">
        <v>69.224299999999999</v>
      </c>
      <c r="Q113" s="22">
        <v>-1.9241299999999999E-2</v>
      </c>
      <c r="R113" s="22">
        <v>103</v>
      </c>
      <c r="S113" s="22">
        <v>0.41784700000000002</v>
      </c>
      <c r="T113">
        <f t="shared" si="14"/>
        <v>19.241299999999999</v>
      </c>
      <c r="U113">
        <f t="shared" si="15"/>
        <v>8.0563515512999988</v>
      </c>
      <c r="X113" s="9"/>
      <c r="Y113" s="22">
        <v>1.1312899999999999</v>
      </c>
      <c r="Z113" s="22">
        <v>103.247</v>
      </c>
      <c r="AA113" s="22">
        <v>-1.85852E-2</v>
      </c>
      <c r="AB113" s="22">
        <v>103</v>
      </c>
      <c r="AC113" s="22">
        <v>1.1300699999999999</v>
      </c>
      <c r="AD113">
        <f t="shared" si="16"/>
        <v>18.5852</v>
      </c>
      <c r="AE113">
        <f t="shared" si="17"/>
        <v>21.025250908</v>
      </c>
      <c r="AF113" s="9"/>
      <c r="AG113" s="22">
        <v>0.41870099999999999</v>
      </c>
      <c r="AH113" s="22">
        <v>137.25399999999999</v>
      </c>
      <c r="AI113" s="22">
        <v>-1.9366499999999998E-2</v>
      </c>
      <c r="AJ113" s="22">
        <v>103</v>
      </c>
      <c r="AK113" s="22">
        <v>0.41805999999999999</v>
      </c>
      <c r="AL113">
        <f t="shared" si="18"/>
        <v>19.366499999999998</v>
      </c>
      <c r="AM113">
        <f t="shared" si="19"/>
        <v>8.1087729164999995</v>
      </c>
      <c r="AP113" s="9"/>
      <c r="AQ113" s="22">
        <v>1.1312899999999999</v>
      </c>
      <c r="AR113" s="22">
        <v>171.31200000000001</v>
      </c>
      <c r="AS113" s="22">
        <v>-1.85974E-2</v>
      </c>
      <c r="AT113" s="22">
        <v>103</v>
      </c>
      <c r="AU113" s="22">
        <v>1.1303700000000001</v>
      </c>
      <c r="AV113">
        <f t="shared" si="20"/>
        <v>18.5974</v>
      </c>
      <c r="AW113">
        <f t="shared" si="21"/>
        <v>21.039052645999998</v>
      </c>
      <c r="AX113" s="9"/>
      <c r="AY113" s="22">
        <v>0.41870099999999999</v>
      </c>
      <c r="AZ113" s="22">
        <v>205.33799999999999</v>
      </c>
      <c r="BA113" s="22">
        <v>-1.9357300000000001E-2</v>
      </c>
      <c r="BB113" s="22">
        <v>103</v>
      </c>
      <c r="BC113" s="22">
        <v>0.417877</v>
      </c>
      <c r="BD113">
        <f t="shared" si="22"/>
        <v>19.357300000000002</v>
      </c>
      <c r="BE113">
        <f t="shared" si="23"/>
        <v>8.1049208673000006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1.12625</v>
      </c>
      <c r="H114" s="22">
        <v>35.181199999999997</v>
      </c>
      <c r="I114" s="22">
        <v>-1.8450899999999999E-2</v>
      </c>
      <c r="J114" s="22">
        <v>104</v>
      </c>
      <c r="K114" s="22">
        <v>1.1254900000000001</v>
      </c>
      <c r="L114">
        <f t="shared" si="12"/>
        <v>18.450900000000001</v>
      </c>
      <c r="M114">
        <f t="shared" si="13"/>
        <v>20.780326125000002</v>
      </c>
      <c r="N114" s="9"/>
      <c r="O114" s="22">
        <v>0.42373699999999997</v>
      </c>
      <c r="P114" s="22">
        <v>69.234399999999994</v>
      </c>
      <c r="Q114" s="22">
        <v>-1.9235200000000001E-2</v>
      </c>
      <c r="R114" s="22">
        <v>104</v>
      </c>
      <c r="S114" s="22">
        <v>0.42297400000000002</v>
      </c>
      <c r="T114">
        <f t="shared" si="14"/>
        <v>19.235200000000003</v>
      </c>
      <c r="U114">
        <f t="shared" si="15"/>
        <v>8.1506659423999999</v>
      </c>
      <c r="X114" s="9"/>
      <c r="Y114" s="22">
        <v>1.12625</v>
      </c>
      <c r="Z114" s="22">
        <v>103.258</v>
      </c>
      <c r="AA114" s="22">
        <v>-1.8591300000000002E-2</v>
      </c>
      <c r="AB114" s="22">
        <v>104</v>
      </c>
      <c r="AC114" s="22">
        <v>1.1254900000000001</v>
      </c>
      <c r="AD114">
        <f t="shared" si="16"/>
        <v>18.5913</v>
      </c>
      <c r="AE114">
        <f t="shared" si="17"/>
        <v>20.938451624999999</v>
      </c>
      <c r="AF114" s="9"/>
      <c r="AG114" s="22">
        <v>0.42373699999999997</v>
      </c>
      <c r="AH114" s="22">
        <v>137.26400000000001</v>
      </c>
      <c r="AI114" s="22">
        <v>-1.93604E-2</v>
      </c>
      <c r="AJ114" s="22">
        <v>104</v>
      </c>
      <c r="AK114" s="22">
        <v>0.42272900000000002</v>
      </c>
      <c r="AL114">
        <f t="shared" si="18"/>
        <v>19.360399999999998</v>
      </c>
      <c r="AM114">
        <f t="shared" si="19"/>
        <v>8.2037178147999992</v>
      </c>
      <c r="AP114" s="9"/>
      <c r="AQ114" s="22">
        <v>1.12625</v>
      </c>
      <c r="AR114" s="22">
        <v>171.322</v>
      </c>
      <c r="AS114" s="22">
        <v>-1.8603499999999999E-2</v>
      </c>
      <c r="AT114" s="22">
        <v>104</v>
      </c>
      <c r="AU114" s="22">
        <v>1.1257900000000001</v>
      </c>
      <c r="AV114">
        <f t="shared" si="20"/>
        <v>18.603499999999997</v>
      </c>
      <c r="AW114">
        <f t="shared" si="21"/>
        <v>20.952191874999997</v>
      </c>
      <c r="AX114" s="9"/>
      <c r="AY114" s="22">
        <v>0.42373699999999997</v>
      </c>
      <c r="AZ114" s="22">
        <v>205.34800000000001</v>
      </c>
      <c r="BA114" s="22">
        <v>-1.9351199999999999E-2</v>
      </c>
      <c r="BB114" s="22">
        <v>104</v>
      </c>
      <c r="BC114" s="22">
        <v>0.42276000000000002</v>
      </c>
      <c r="BD114">
        <f t="shared" si="22"/>
        <v>19.351199999999999</v>
      </c>
      <c r="BE114">
        <f t="shared" si="23"/>
        <v>8.1998194343999984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1.1212200000000001</v>
      </c>
      <c r="H115" s="22">
        <v>35.191299999999998</v>
      </c>
      <c r="I115" s="22">
        <v>-1.84601E-2</v>
      </c>
      <c r="J115" s="22">
        <v>105</v>
      </c>
      <c r="K115" s="22">
        <v>1.1203000000000001</v>
      </c>
      <c r="L115">
        <f t="shared" si="12"/>
        <v>18.460100000000001</v>
      </c>
      <c r="M115">
        <f t="shared" si="13"/>
        <v>20.697833322000001</v>
      </c>
      <c r="N115" s="9"/>
      <c r="O115" s="22">
        <v>0.42877199999999999</v>
      </c>
      <c r="P115" s="22">
        <v>69.244500000000002</v>
      </c>
      <c r="Q115" s="22">
        <v>-1.9229099999999999E-2</v>
      </c>
      <c r="R115" s="22">
        <v>105</v>
      </c>
      <c r="S115" s="22">
        <v>0.42822300000000002</v>
      </c>
      <c r="T115">
        <f t="shared" si="14"/>
        <v>19.229099999999999</v>
      </c>
      <c r="U115">
        <f t="shared" si="15"/>
        <v>8.2448996652000002</v>
      </c>
      <c r="X115" s="9"/>
      <c r="Y115" s="22">
        <v>1.1212200000000001</v>
      </c>
      <c r="Z115" s="22">
        <v>103.268</v>
      </c>
      <c r="AA115" s="22">
        <v>-1.85974E-2</v>
      </c>
      <c r="AB115" s="22">
        <v>105</v>
      </c>
      <c r="AC115" s="22">
        <v>1.1200000000000001</v>
      </c>
      <c r="AD115">
        <f t="shared" si="16"/>
        <v>18.5974</v>
      </c>
      <c r="AE115">
        <f t="shared" si="17"/>
        <v>20.851776828000002</v>
      </c>
      <c r="AF115" s="9"/>
      <c r="AG115" s="22">
        <v>0.42877199999999999</v>
      </c>
      <c r="AH115" s="22">
        <v>137.274</v>
      </c>
      <c r="AI115" s="22">
        <v>-1.9354199999999998E-2</v>
      </c>
      <c r="AJ115" s="22">
        <v>105</v>
      </c>
      <c r="AK115" s="22">
        <v>0.42810100000000001</v>
      </c>
      <c r="AL115">
        <f t="shared" si="18"/>
        <v>19.354199999999999</v>
      </c>
      <c r="AM115">
        <f t="shared" si="19"/>
        <v>8.2985390423999998</v>
      </c>
      <c r="AP115" s="9"/>
      <c r="AQ115" s="22">
        <v>1.1212200000000001</v>
      </c>
      <c r="AR115" s="22">
        <v>171.33199999999999</v>
      </c>
      <c r="AS115" s="22">
        <v>-1.8606600000000001E-2</v>
      </c>
      <c r="AT115" s="22">
        <v>105</v>
      </c>
      <c r="AU115" s="22">
        <v>1.1206100000000001</v>
      </c>
      <c r="AV115">
        <f t="shared" si="20"/>
        <v>18.6066</v>
      </c>
      <c r="AW115">
        <f t="shared" si="21"/>
        <v>20.862092052000001</v>
      </c>
      <c r="AX115" s="9"/>
      <c r="AY115" s="22">
        <v>0.42877199999999999</v>
      </c>
      <c r="AZ115" s="22">
        <v>205.358</v>
      </c>
      <c r="BA115" s="22">
        <v>-1.93481E-2</v>
      </c>
      <c r="BB115" s="22">
        <v>105</v>
      </c>
      <c r="BC115" s="22">
        <v>0.42807000000000001</v>
      </c>
      <c r="BD115">
        <f t="shared" si="22"/>
        <v>19.348099999999999</v>
      </c>
      <c r="BE115">
        <f t="shared" si="23"/>
        <v>8.2959235331999999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1.1161799999999999</v>
      </c>
      <c r="H116" s="22">
        <v>35.2014</v>
      </c>
      <c r="I116" s="22">
        <v>-1.84631E-2</v>
      </c>
      <c r="J116" s="22">
        <v>106</v>
      </c>
      <c r="K116" s="22">
        <v>1.1160300000000001</v>
      </c>
      <c r="L116">
        <f t="shared" si="12"/>
        <v>18.463100000000001</v>
      </c>
      <c r="M116">
        <f t="shared" si="13"/>
        <v>20.608142957999998</v>
      </c>
      <c r="N116" s="9"/>
      <c r="O116" s="22">
        <v>0.433807</v>
      </c>
      <c r="P116" s="22">
        <v>69.254499999999993</v>
      </c>
      <c r="Q116" s="22">
        <v>-1.9226099999999999E-2</v>
      </c>
      <c r="R116" s="22">
        <v>106</v>
      </c>
      <c r="S116" s="22">
        <v>0.43331900000000001</v>
      </c>
      <c r="T116">
        <f t="shared" si="14"/>
        <v>19.226099999999999</v>
      </c>
      <c r="U116">
        <f t="shared" si="15"/>
        <v>8.3404167627000003</v>
      </c>
      <c r="X116" s="9"/>
      <c r="Y116" s="22">
        <v>1.1161799999999999</v>
      </c>
      <c r="Z116" s="22">
        <v>103.27800000000001</v>
      </c>
      <c r="AA116" s="22">
        <v>-1.85974E-2</v>
      </c>
      <c r="AB116" s="22">
        <v>106</v>
      </c>
      <c r="AC116" s="22">
        <v>1.11511</v>
      </c>
      <c r="AD116">
        <f t="shared" si="16"/>
        <v>18.5974</v>
      </c>
      <c r="AE116">
        <f t="shared" si="17"/>
        <v>20.758045931999998</v>
      </c>
      <c r="AF116" s="9"/>
      <c r="AG116" s="22">
        <v>0.433807</v>
      </c>
      <c r="AH116" s="22">
        <v>137.28399999999999</v>
      </c>
      <c r="AI116" s="22">
        <v>-1.93481E-2</v>
      </c>
      <c r="AJ116" s="22">
        <v>106</v>
      </c>
      <c r="AK116" s="22">
        <v>0.43304399999999998</v>
      </c>
      <c r="AL116">
        <f t="shared" si="18"/>
        <v>19.348099999999999</v>
      </c>
      <c r="AM116">
        <f t="shared" si="19"/>
        <v>8.3933412166999997</v>
      </c>
      <c r="AP116" s="9"/>
      <c r="AQ116" s="22">
        <v>1.1161799999999999</v>
      </c>
      <c r="AR116" s="22">
        <v>171.34200000000001</v>
      </c>
      <c r="AS116" s="22">
        <v>-1.86096E-2</v>
      </c>
      <c r="AT116" s="22">
        <v>106</v>
      </c>
      <c r="AU116" s="22">
        <v>1.1154200000000001</v>
      </c>
      <c r="AV116">
        <f t="shared" si="20"/>
        <v>18.6096</v>
      </c>
      <c r="AW116">
        <f t="shared" si="21"/>
        <v>20.771663327999999</v>
      </c>
      <c r="AX116" s="9"/>
      <c r="AY116" s="22">
        <v>0.433807</v>
      </c>
      <c r="AZ116" s="22">
        <v>205.369</v>
      </c>
      <c r="BA116" s="22">
        <v>-1.9342000000000002E-2</v>
      </c>
      <c r="BB116" s="22">
        <v>106</v>
      </c>
      <c r="BC116" s="22">
        <v>0.43347200000000002</v>
      </c>
      <c r="BD116">
        <f t="shared" si="22"/>
        <v>19.342000000000002</v>
      </c>
      <c r="BE116">
        <f t="shared" si="23"/>
        <v>8.3906949940000004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1.1111500000000001</v>
      </c>
      <c r="H117" s="22">
        <v>35.211500000000001</v>
      </c>
      <c r="I117" s="22">
        <v>-1.8466199999999999E-2</v>
      </c>
      <c r="J117" s="22">
        <v>107</v>
      </c>
      <c r="K117" s="22">
        <v>1.11053</v>
      </c>
      <c r="L117">
        <f t="shared" si="12"/>
        <v>18.466199999999997</v>
      </c>
      <c r="M117">
        <f t="shared" si="13"/>
        <v>20.51871813</v>
      </c>
      <c r="N117" s="9"/>
      <c r="O117" s="22">
        <v>0.43884299999999998</v>
      </c>
      <c r="P117" s="22">
        <v>69.264600000000002</v>
      </c>
      <c r="Q117" s="22">
        <v>-1.9226099999999999E-2</v>
      </c>
      <c r="R117" s="22">
        <v>107</v>
      </c>
      <c r="S117" s="22">
        <v>0.43804900000000002</v>
      </c>
      <c r="T117">
        <f t="shared" si="14"/>
        <v>19.226099999999999</v>
      </c>
      <c r="U117">
        <f t="shared" si="15"/>
        <v>8.4372394022999995</v>
      </c>
      <c r="X117" s="9"/>
      <c r="Y117" s="22">
        <v>1.1111500000000001</v>
      </c>
      <c r="Z117" s="22">
        <v>103.288</v>
      </c>
      <c r="AA117" s="22">
        <v>-1.8603499999999999E-2</v>
      </c>
      <c r="AB117" s="22">
        <v>107</v>
      </c>
      <c r="AC117" s="22">
        <v>1.11053</v>
      </c>
      <c r="AD117">
        <f t="shared" si="16"/>
        <v>18.603499999999997</v>
      </c>
      <c r="AE117">
        <f t="shared" si="17"/>
        <v>20.671279024999997</v>
      </c>
      <c r="AF117" s="9"/>
      <c r="AG117" s="22">
        <v>0.43884299999999998</v>
      </c>
      <c r="AH117" s="22">
        <v>137.29400000000001</v>
      </c>
      <c r="AI117" s="22">
        <v>-1.9342000000000002E-2</v>
      </c>
      <c r="AJ117" s="22">
        <v>107</v>
      </c>
      <c r="AK117" s="22">
        <v>0.43795800000000001</v>
      </c>
      <c r="AL117">
        <f t="shared" si="18"/>
        <v>19.342000000000002</v>
      </c>
      <c r="AM117">
        <f t="shared" si="19"/>
        <v>8.4881013060000008</v>
      </c>
      <c r="AP117" s="9"/>
      <c r="AQ117" s="22">
        <v>1.1111500000000001</v>
      </c>
      <c r="AR117" s="22">
        <v>171.352</v>
      </c>
      <c r="AS117" s="22">
        <v>-1.8615699999999999E-2</v>
      </c>
      <c r="AT117" s="22">
        <v>107</v>
      </c>
      <c r="AU117" s="22">
        <v>1.11084</v>
      </c>
      <c r="AV117">
        <f t="shared" si="20"/>
        <v>18.6157</v>
      </c>
      <c r="AW117">
        <f t="shared" si="21"/>
        <v>20.684835055000001</v>
      </c>
      <c r="AX117" s="9"/>
      <c r="AY117" s="22">
        <v>0.43884299999999998</v>
      </c>
      <c r="AZ117" s="22">
        <v>205.37899999999999</v>
      </c>
      <c r="BA117" s="22">
        <v>-1.9338999999999999E-2</v>
      </c>
      <c r="BB117" s="22">
        <v>107</v>
      </c>
      <c r="BC117" s="22">
        <v>0.43832399999999999</v>
      </c>
      <c r="BD117">
        <f t="shared" si="22"/>
        <v>19.338999999999999</v>
      </c>
      <c r="BE117">
        <f t="shared" si="23"/>
        <v>8.4867847769999987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1.1061099999999999</v>
      </c>
      <c r="H118" s="22">
        <v>35.221499999999999</v>
      </c>
      <c r="I118" s="22">
        <v>-1.8472300000000001E-2</v>
      </c>
      <c r="J118" s="22">
        <v>108</v>
      </c>
      <c r="K118" s="22">
        <v>1.1047400000000001</v>
      </c>
      <c r="L118">
        <f t="shared" si="12"/>
        <v>18.472300000000001</v>
      </c>
      <c r="M118">
        <f t="shared" si="13"/>
        <v>20.432395752999998</v>
      </c>
      <c r="N118" s="9"/>
      <c r="O118" s="22">
        <v>0.44387799999999999</v>
      </c>
      <c r="P118" s="22">
        <v>69.274699999999996</v>
      </c>
      <c r="Q118" s="22">
        <v>-1.9223000000000001E-2</v>
      </c>
      <c r="R118" s="22">
        <v>108</v>
      </c>
      <c r="S118" s="22">
        <v>0.443054</v>
      </c>
      <c r="T118">
        <f t="shared" si="14"/>
        <v>19.222999999999999</v>
      </c>
      <c r="U118">
        <f t="shared" si="15"/>
        <v>8.5326667939999989</v>
      </c>
      <c r="X118" s="9"/>
      <c r="Y118" s="22">
        <v>1.1061099999999999</v>
      </c>
      <c r="Z118" s="22">
        <v>103.298</v>
      </c>
      <c r="AA118" s="22">
        <v>-1.86096E-2</v>
      </c>
      <c r="AB118" s="22">
        <v>108</v>
      </c>
      <c r="AC118" s="22">
        <v>1.1053500000000001</v>
      </c>
      <c r="AD118">
        <f t="shared" si="16"/>
        <v>18.6096</v>
      </c>
      <c r="AE118">
        <f t="shared" si="17"/>
        <v>20.584264655999998</v>
      </c>
      <c r="AF118" s="9"/>
      <c r="AG118" s="22">
        <v>0.44387799999999999</v>
      </c>
      <c r="AH118" s="22">
        <v>137.304</v>
      </c>
      <c r="AI118" s="22">
        <v>-1.93359E-2</v>
      </c>
      <c r="AJ118" s="22">
        <v>108</v>
      </c>
      <c r="AK118" s="22">
        <v>0.44287100000000001</v>
      </c>
      <c r="AL118">
        <f t="shared" si="18"/>
        <v>19.335899999999999</v>
      </c>
      <c r="AM118">
        <f t="shared" si="19"/>
        <v>8.5827806201999994</v>
      </c>
      <c r="AP118" s="9"/>
      <c r="AQ118" s="22">
        <v>1.1061099999999999</v>
      </c>
      <c r="AR118" s="22">
        <v>171.363</v>
      </c>
      <c r="AS118" s="22">
        <v>-1.8621800000000001E-2</v>
      </c>
      <c r="AT118" s="22">
        <v>108</v>
      </c>
      <c r="AU118" s="22">
        <v>1.1053500000000001</v>
      </c>
      <c r="AV118">
        <f t="shared" si="20"/>
        <v>18.6218</v>
      </c>
      <c r="AW118">
        <f t="shared" si="21"/>
        <v>20.597759197999999</v>
      </c>
      <c r="AX118" s="9"/>
      <c r="AY118" s="22">
        <v>0.44387799999999999</v>
      </c>
      <c r="AZ118" s="22">
        <v>205.38900000000001</v>
      </c>
      <c r="BA118" s="22">
        <v>-1.93329E-2</v>
      </c>
      <c r="BB118" s="22">
        <v>108</v>
      </c>
      <c r="BC118" s="22">
        <v>0.44351200000000002</v>
      </c>
      <c r="BD118">
        <f t="shared" si="22"/>
        <v>19.332899999999999</v>
      </c>
      <c r="BE118">
        <f t="shared" si="23"/>
        <v>8.5814489861999999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1.10107</v>
      </c>
      <c r="H119" s="22">
        <v>35.2316</v>
      </c>
      <c r="I119" s="22">
        <v>-1.84753E-2</v>
      </c>
      <c r="J119" s="22">
        <v>109</v>
      </c>
      <c r="K119" s="22">
        <v>1.09985</v>
      </c>
      <c r="L119">
        <f t="shared" si="12"/>
        <v>18.475300000000001</v>
      </c>
      <c r="M119">
        <f t="shared" si="13"/>
        <v>20.342598571</v>
      </c>
      <c r="N119" s="9"/>
      <c r="O119" s="22">
        <v>0.44891399999999998</v>
      </c>
      <c r="P119" s="22">
        <v>69.284700000000001</v>
      </c>
      <c r="Q119" s="22">
        <v>-1.9216899999999999E-2</v>
      </c>
      <c r="R119" s="22">
        <v>109</v>
      </c>
      <c r="S119" s="22">
        <v>0.44827299999999998</v>
      </c>
      <c r="T119">
        <f t="shared" si="14"/>
        <v>19.216899999999999</v>
      </c>
      <c r="U119">
        <f t="shared" si="15"/>
        <v>8.6267354465999997</v>
      </c>
      <c r="X119" s="9"/>
      <c r="Y119" s="22">
        <v>1.10107</v>
      </c>
      <c r="Z119" s="22">
        <v>103.30800000000001</v>
      </c>
      <c r="AA119" s="22">
        <v>-1.8615699999999999E-2</v>
      </c>
      <c r="AB119" s="22">
        <v>109</v>
      </c>
      <c r="AC119" s="22">
        <v>1.10016</v>
      </c>
      <c r="AD119">
        <f t="shared" si="16"/>
        <v>18.6157</v>
      </c>
      <c r="AE119">
        <f t="shared" si="17"/>
        <v>20.497188799</v>
      </c>
      <c r="AF119" s="9"/>
      <c r="AG119" s="22">
        <v>0.44891399999999998</v>
      </c>
      <c r="AH119" s="22">
        <v>137.31399999999999</v>
      </c>
      <c r="AI119" s="22">
        <v>-1.93359E-2</v>
      </c>
      <c r="AJ119" s="22">
        <v>109</v>
      </c>
      <c r="AK119" s="22">
        <v>0.44839499999999999</v>
      </c>
      <c r="AL119">
        <f t="shared" si="18"/>
        <v>19.335899999999999</v>
      </c>
      <c r="AM119">
        <f t="shared" si="19"/>
        <v>8.6801562125999983</v>
      </c>
      <c r="AP119" s="9"/>
      <c r="AQ119" s="22">
        <v>1.10107</v>
      </c>
      <c r="AR119" s="22">
        <v>171.37299999999999</v>
      </c>
      <c r="AS119" s="22">
        <v>-1.86249E-2</v>
      </c>
      <c r="AT119" s="22">
        <v>109</v>
      </c>
      <c r="AU119" s="22">
        <v>1.09955</v>
      </c>
      <c r="AV119">
        <f t="shared" si="20"/>
        <v>18.6249</v>
      </c>
      <c r="AW119">
        <f t="shared" si="21"/>
        <v>20.507318643000001</v>
      </c>
      <c r="AX119" s="9"/>
      <c r="AY119" s="22">
        <v>0.44891399999999998</v>
      </c>
      <c r="AZ119" s="22">
        <v>205.399</v>
      </c>
      <c r="BA119" s="22">
        <v>-1.9326800000000002E-2</v>
      </c>
      <c r="BB119" s="22">
        <v>109</v>
      </c>
      <c r="BC119" s="22">
        <v>0.448181</v>
      </c>
      <c r="BD119">
        <f t="shared" si="22"/>
        <v>19.326800000000002</v>
      </c>
      <c r="BE119">
        <f t="shared" si="23"/>
        <v>8.6760710952000011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1.0960399999999999</v>
      </c>
      <c r="H120" s="22">
        <v>35.241700000000002</v>
      </c>
      <c r="I120" s="22">
        <v>-1.8481399999999999E-2</v>
      </c>
      <c r="J120" s="22">
        <v>110</v>
      </c>
      <c r="K120" s="22">
        <v>1.09497</v>
      </c>
      <c r="L120">
        <f t="shared" si="12"/>
        <v>18.481399999999997</v>
      </c>
      <c r="M120">
        <f t="shared" si="13"/>
        <v>20.256353655999995</v>
      </c>
      <c r="N120" s="9"/>
      <c r="O120" s="22">
        <v>0.45394899999999999</v>
      </c>
      <c r="P120" s="22">
        <v>69.294799999999995</v>
      </c>
      <c r="Q120" s="22">
        <v>-1.9213899999999999E-2</v>
      </c>
      <c r="R120" s="22">
        <v>110</v>
      </c>
      <c r="S120" s="22">
        <v>0.45321699999999998</v>
      </c>
      <c r="T120">
        <f t="shared" si="14"/>
        <v>19.213899999999999</v>
      </c>
      <c r="U120">
        <f t="shared" si="15"/>
        <v>8.7221306910999985</v>
      </c>
      <c r="X120" s="9"/>
      <c r="Y120" s="22">
        <v>1.0960399999999999</v>
      </c>
      <c r="Z120" s="22">
        <v>103.318</v>
      </c>
      <c r="AA120" s="22">
        <v>-1.8621800000000001E-2</v>
      </c>
      <c r="AB120" s="22">
        <v>110</v>
      </c>
      <c r="AC120" s="22">
        <v>1.09528</v>
      </c>
      <c r="AD120">
        <f t="shared" si="16"/>
        <v>18.6218</v>
      </c>
      <c r="AE120">
        <f t="shared" si="17"/>
        <v>20.410237671999997</v>
      </c>
      <c r="AF120" s="9"/>
      <c r="AG120" s="22">
        <v>0.45394899999999999</v>
      </c>
      <c r="AH120" s="22">
        <v>137.32400000000001</v>
      </c>
      <c r="AI120" s="22">
        <v>-1.9329800000000001E-2</v>
      </c>
      <c r="AJ120" s="22">
        <v>110</v>
      </c>
      <c r="AK120" s="22">
        <v>0.45336900000000002</v>
      </c>
      <c r="AL120">
        <f t="shared" si="18"/>
        <v>19.329800000000002</v>
      </c>
      <c r="AM120">
        <f t="shared" si="19"/>
        <v>8.7747433802000003</v>
      </c>
      <c r="AP120" s="9"/>
      <c r="AQ120" s="22">
        <v>1.0960399999999999</v>
      </c>
      <c r="AR120" s="22">
        <v>171.38300000000001</v>
      </c>
      <c r="AS120" s="22">
        <v>-1.8631000000000002E-2</v>
      </c>
      <c r="AT120" s="22">
        <v>110</v>
      </c>
      <c r="AU120" s="22">
        <v>1.09528</v>
      </c>
      <c r="AV120">
        <f t="shared" si="20"/>
        <v>18.631</v>
      </c>
      <c r="AW120">
        <f t="shared" si="21"/>
        <v>20.42032124</v>
      </c>
      <c r="AX120" s="9"/>
      <c r="AY120" s="22">
        <v>0.45394899999999999</v>
      </c>
      <c r="AZ120" s="22">
        <v>205.40899999999999</v>
      </c>
      <c r="BA120" s="22">
        <v>-1.9323699999999999E-2</v>
      </c>
      <c r="BB120" s="22">
        <v>110</v>
      </c>
      <c r="BC120" s="22">
        <v>0.45333899999999999</v>
      </c>
      <c r="BD120">
        <f t="shared" si="22"/>
        <v>19.323699999999999</v>
      </c>
      <c r="BE120">
        <f t="shared" si="23"/>
        <v>8.7719742912999994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1.091</v>
      </c>
      <c r="H121" s="22">
        <v>35.2517</v>
      </c>
      <c r="I121" s="22">
        <v>-1.8490599999999999E-2</v>
      </c>
      <c r="J121" s="22">
        <v>111</v>
      </c>
      <c r="K121" s="22">
        <v>1.09009</v>
      </c>
      <c r="L121">
        <f t="shared" si="12"/>
        <v>18.490600000000001</v>
      </c>
      <c r="M121">
        <f t="shared" si="13"/>
        <v>20.1732446</v>
      </c>
      <c r="N121" s="9"/>
      <c r="O121" s="22">
        <v>0.458984</v>
      </c>
      <c r="P121" s="22">
        <v>69.304900000000004</v>
      </c>
      <c r="Q121" s="22">
        <v>-1.9207800000000001E-2</v>
      </c>
      <c r="R121" s="22">
        <v>111</v>
      </c>
      <c r="S121" s="22">
        <v>0.45840500000000001</v>
      </c>
      <c r="T121">
        <f t="shared" si="14"/>
        <v>19.207799999999999</v>
      </c>
      <c r="U121">
        <f t="shared" si="15"/>
        <v>8.8160728751999997</v>
      </c>
      <c r="X121" s="9"/>
      <c r="Y121" s="22">
        <v>1.091</v>
      </c>
      <c r="Z121" s="22">
        <v>103.328</v>
      </c>
      <c r="AA121" s="22">
        <v>-1.86249E-2</v>
      </c>
      <c r="AB121" s="22">
        <v>111</v>
      </c>
      <c r="AC121" s="22">
        <v>1.08978</v>
      </c>
      <c r="AD121">
        <f t="shared" si="16"/>
        <v>18.6249</v>
      </c>
      <c r="AE121">
        <f t="shared" si="17"/>
        <v>20.3197659</v>
      </c>
      <c r="AF121" s="9"/>
      <c r="AG121" s="22">
        <v>0.458984</v>
      </c>
      <c r="AH121" s="22">
        <v>137.334</v>
      </c>
      <c r="AI121" s="22">
        <v>-1.93207E-2</v>
      </c>
      <c r="AJ121" s="22">
        <v>111</v>
      </c>
      <c r="AK121" s="22">
        <v>0.45828200000000002</v>
      </c>
      <c r="AL121">
        <f t="shared" si="18"/>
        <v>19.320699999999999</v>
      </c>
      <c r="AM121">
        <f t="shared" si="19"/>
        <v>8.8678921687999992</v>
      </c>
      <c r="AP121" s="9"/>
      <c r="AQ121" s="22">
        <v>1.091</v>
      </c>
      <c r="AR121" s="22">
        <v>171.393</v>
      </c>
      <c r="AS121" s="22">
        <v>-1.86371E-2</v>
      </c>
      <c r="AT121" s="22">
        <v>111</v>
      </c>
      <c r="AU121" s="22">
        <v>1.08978</v>
      </c>
      <c r="AV121">
        <f t="shared" si="20"/>
        <v>18.6371</v>
      </c>
      <c r="AW121">
        <f t="shared" si="21"/>
        <v>20.3330761</v>
      </c>
      <c r="AX121" s="9"/>
      <c r="AY121" s="22">
        <v>0.458984</v>
      </c>
      <c r="AZ121" s="22">
        <v>205.41900000000001</v>
      </c>
      <c r="BA121" s="22">
        <v>-1.9317600000000001E-2</v>
      </c>
      <c r="BB121" s="22">
        <v>111</v>
      </c>
      <c r="BC121" s="22">
        <v>0.458374</v>
      </c>
      <c r="BD121">
        <f t="shared" si="22"/>
        <v>19.317600000000002</v>
      </c>
      <c r="BE121">
        <f t="shared" si="23"/>
        <v>8.8664693184000019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1.0859700000000001</v>
      </c>
      <c r="H122" s="22">
        <v>35.261800000000001</v>
      </c>
      <c r="I122" s="22">
        <v>-1.84998E-2</v>
      </c>
      <c r="J122" s="22">
        <v>112</v>
      </c>
      <c r="K122" s="22">
        <v>1.0849</v>
      </c>
      <c r="L122">
        <f t="shared" si="12"/>
        <v>18.4998</v>
      </c>
      <c r="M122">
        <f t="shared" si="13"/>
        <v>20.090227806000001</v>
      </c>
      <c r="N122" s="9"/>
      <c r="O122" s="22">
        <v>0.46401999999999999</v>
      </c>
      <c r="P122" s="22">
        <v>69.314999999999998</v>
      </c>
      <c r="Q122" s="22">
        <v>-1.9201699999999999E-2</v>
      </c>
      <c r="R122" s="22">
        <v>112</v>
      </c>
      <c r="S122" s="22">
        <v>0.46325699999999997</v>
      </c>
      <c r="T122">
        <f t="shared" si="14"/>
        <v>19.201699999999999</v>
      </c>
      <c r="U122">
        <f t="shared" si="15"/>
        <v>8.9099728339999995</v>
      </c>
      <c r="X122" s="9"/>
      <c r="Y122" s="22">
        <v>1.0859700000000001</v>
      </c>
      <c r="Z122" s="22">
        <v>103.33799999999999</v>
      </c>
      <c r="AA122" s="22">
        <v>-1.8631000000000002E-2</v>
      </c>
      <c r="AB122" s="22">
        <v>112</v>
      </c>
      <c r="AC122" s="22">
        <v>1.08521</v>
      </c>
      <c r="AD122">
        <f t="shared" si="16"/>
        <v>18.631</v>
      </c>
      <c r="AE122">
        <f t="shared" si="17"/>
        <v>20.232707070000004</v>
      </c>
      <c r="AF122" s="9"/>
      <c r="AG122" s="22">
        <v>0.46401999999999999</v>
      </c>
      <c r="AH122" s="22">
        <v>137.34399999999999</v>
      </c>
      <c r="AI122" s="22">
        <v>-1.9317600000000001E-2</v>
      </c>
      <c r="AJ122" s="22">
        <v>112</v>
      </c>
      <c r="AK122" s="22">
        <v>0.46340900000000002</v>
      </c>
      <c r="AL122">
        <f t="shared" si="18"/>
        <v>19.317600000000002</v>
      </c>
      <c r="AM122">
        <f t="shared" si="19"/>
        <v>8.9637527520000013</v>
      </c>
      <c r="AP122" s="9"/>
      <c r="AQ122" s="22">
        <v>1.0859700000000001</v>
      </c>
      <c r="AR122" s="22">
        <v>171.40299999999999</v>
      </c>
      <c r="AS122" s="22">
        <v>-1.86401E-2</v>
      </c>
      <c r="AT122" s="22">
        <v>112</v>
      </c>
      <c r="AU122" s="22">
        <v>1.0849</v>
      </c>
      <c r="AV122">
        <f t="shared" si="20"/>
        <v>18.6401</v>
      </c>
      <c r="AW122">
        <f t="shared" si="21"/>
        <v>20.242589397000003</v>
      </c>
      <c r="AX122" s="9"/>
      <c r="AY122" s="22">
        <v>0.46401999999999999</v>
      </c>
      <c r="AZ122" s="22">
        <v>205.429</v>
      </c>
      <c r="BA122" s="22">
        <v>-1.9311499999999999E-2</v>
      </c>
      <c r="BB122" s="22">
        <v>112</v>
      </c>
      <c r="BC122" s="22">
        <v>0.463501</v>
      </c>
      <c r="BD122">
        <f t="shared" si="22"/>
        <v>19.311499999999999</v>
      </c>
      <c r="BE122">
        <f t="shared" si="23"/>
        <v>8.9609222299999995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1.0809299999999999</v>
      </c>
      <c r="H123" s="22">
        <v>35.271900000000002</v>
      </c>
      <c r="I123" s="22">
        <v>-1.8505899999999999E-2</v>
      </c>
      <c r="J123" s="22">
        <v>113</v>
      </c>
      <c r="K123" s="22">
        <v>1.0803199999999999</v>
      </c>
      <c r="L123">
        <f t="shared" si="12"/>
        <v>18.5059</v>
      </c>
      <c r="M123">
        <f t="shared" si="13"/>
        <v>20.003582486999999</v>
      </c>
      <c r="N123" s="9"/>
      <c r="O123" s="22">
        <v>0.469055</v>
      </c>
      <c r="P123" s="22">
        <v>69.325000000000003</v>
      </c>
      <c r="Q123" s="22">
        <v>-1.91956E-2</v>
      </c>
      <c r="R123" s="22">
        <v>113</v>
      </c>
      <c r="S123" s="22">
        <v>0.46832299999999999</v>
      </c>
      <c r="T123">
        <f t="shared" si="14"/>
        <v>19.195599999999999</v>
      </c>
      <c r="U123">
        <f t="shared" si="15"/>
        <v>9.0037921579999995</v>
      </c>
      <c r="X123" s="9"/>
      <c r="Y123" s="22">
        <v>1.0809299999999999</v>
      </c>
      <c r="Z123" s="22">
        <v>103.348</v>
      </c>
      <c r="AA123" s="22">
        <v>-1.86401E-2</v>
      </c>
      <c r="AB123" s="22">
        <v>113</v>
      </c>
      <c r="AC123" s="22">
        <v>1.0797099999999999</v>
      </c>
      <c r="AD123">
        <f t="shared" si="16"/>
        <v>18.6401</v>
      </c>
      <c r="AE123">
        <f t="shared" si="17"/>
        <v>20.148643292999999</v>
      </c>
      <c r="AF123" s="9"/>
      <c r="AG123" s="22">
        <v>0.469055</v>
      </c>
      <c r="AH123" s="22">
        <v>137.35400000000001</v>
      </c>
      <c r="AI123" s="22">
        <v>-1.9317600000000001E-2</v>
      </c>
      <c r="AJ123" s="22">
        <v>113</v>
      </c>
      <c r="AK123" s="22">
        <v>0.46829199999999999</v>
      </c>
      <c r="AL123">
        <f t="shared" si="18"/>
        <v>19.317600000000002</v>
      </c>
      <c r="AM123">
        <f t="shared" si="19"/>
        <v>9.0610168680000012</v>
      </c>
      <c r="AP123" s="9"/>
      <c r="AQ123" s="22">
        <v>1.0809299999999999</v>
      </c>
      <c r="AR123" s="22">
        <v>171.41300000000001</v>
      </c>
      <c r="AS123" s="22">
        <v>-1.8646200000000002E-2</v>
      </c>
      <c r="AT123" s="22">
        <v>113</v>
      </c>
      <c r="AU123" s="22">
        <v>1.08063</v>
      </c>
      <c r="AV123">
        <f t="shared" si="20"/>
        <v>18.6462</v>
      </c>
      <c r="AW123">
        <f t="shared" si="21"/>
        <v>20.155236966</v>
      </c>
      <c r="AX123" s="9"/>
      <c r="AY123" s="22">
        <v>0.469055</v>
      </c>
      <c r="AZ123" s="22">
        <v>205.43899999999999</v>
      </c>
      <c r="BA123" s="22">
        <v>-1.93054E-2</v>
      </c>
      <c r="BB123" s="22">
        <v>113</v>
      </c>
      <c r="BC123" s="22">
        <v>0.46850599999999998</v>
      </c>
      <c r="BD123">
        <f t="shared" si="22"/>
        <v>19.305399999999999</v>
      </c>
      <c r="BE123">
        <f t="shared" si="23"/>
        <v>9.0552943969999991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1.0759000000000001</v>
      </c>
      <c r="H124" s="22">
        <v>35.281999999999996</v>
      </c>
      <c r="I124" s="22">
        <v>-1.8512000000000001E-2</v>
      </c>
      <c r="J124" s="22">
        <v>114</v>
      </c>
      <c r="K124" s="22">
        <v>1.0751299999999999</v>
      </c>
      <c r="L124">
        <f t="shared" si="12"/>
        <v>18.512</v>
      </c>
      <c r="M124">
        <f t="shared" si="13"/>
        <v>19.917060800000002</v>
      </c>
      <c r="N124" s="9"/>
      <c r="O124" s="22">
        <v>0.47409099999999998</v>
      </c>
      <c r="P124" s="22">
        <v>69.335099999999997</v>
      </c>
      <c r="Q124" s="22">
        <v>-1.9189500000000002E-2</v>
      </c>
      <c r="R124" s="22">
        <v>114</v>
      </c>
      <c r="S124" s="22">
        <v>0.47341899999999998</v>
      </c>
      <c r="T124">
        <f t="shared" si="14"/>
        <v>19.189500000000002</v>
      </c>
      <c r="U124">
        <f t="shared" si="15"/>
        <v>9.0975692445000007</v>
      </c>
      <c r="X124" s="9"/>
      <c r="Y124" s="22">
        <v>1.0759000000000001</v>
      </c>
      <c r="Z124" s="22">
        <v>103.358</v>
      </c>
      <c r="AA124" s="22">
        <v>-1.8646200000000002E-2</v>
      </c>
      <c r="AB124" s="22">
        <v>114</v>
      </c>
      <c r="AC124" s="22">
        <v>1.07483</v>
      </c>
      <c r="AD124">
        <f t="shared" si="16"/>
        <v>18.6462</v>
      </c>
      <c r="AE124">
        <f t="shared" si="17"/>
        <v>20.061446580000002</v>
      </c>
      <c r="AF124" s="9"/>
      <c r="AG124" s="22">
        <v>0.47409099999999998</v>
      </c>
      <c r="AH124" s="22">
        <v>137.364</v>
      </c>
      <c r="AI124" s="22">
        <v>-1.9308499999999999E-2</v>
      </c>
      <c r="AJ124" s="22">
        <v>114</v>
      </c>
      <c r="AK124" s="22">
        <v>0.47326699999999999</v>
      </c>
      <c r="AL124">
        <f t="shared" si="18"/>
        <v>19.308499999999999</v>
      </c>
      <c r="AM124">
        <f t="shared" si="19"/>
        <v>9.1539860734999987</v>
      </c>
      <c r="AP124" s="9"/>
      <c r="AQ124" s="22">
        <v>1.0759000000000001</v>
      </c>
      <c r="AR124" s="22">
        <v>171.423</v>
      </c>
      <c r="AS124" s="22">
        <v>-1.86523E-2</v>
      </c>
      <c r="AT124" s="22">
        <v>114</v>
      </c>
      <c r="AU124" s="22">
        <v>1.07483</v>
      </c>
      <c r="AV124">
        <f t="shared" si="20"/>
        <v>18.6523</v>
      </c>
      <c r="AW124">
        <f t="shared" si="21"/>
        <v>20.068009570000001</v>
      </c>
      <c r="AX124" s="9"/>
      <c r="AY124" s="22">
        <v>0.47409099999999998</v>
      </c>
      <c r="AZ124" s="22">
        <v>205.44900000000001</v>
      </c>
      <c r="BA124" s="22">
        <v>-1.9299299999999998E-2</v>
      </c>
      <c r="BB124" s="22">
        <v>114</v>
      </c>
      <c r="BC124" s="22">
        <v>0.47323599999999999</v>
      </c>
      <c r="BD124">
        <f t="shared" si="22"/>
        <v>19.299299999999999</v>
      </c>
      <c r="BE124">
        <f t="shared" si="23"/>
        <v>9.1496244362999999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1.0708599999999999</v>
      </c>
      <c r="H125" s="22">
        <v>35.292000000000002</v>
      </c>
      <c r="I125" s="22">
        <v>-1.8515E-2</v>
      </c>
      <c r="J125" s="22">
        <v>115</v>
      </c>
      <c r="K125" s="22">
        <v>1.0702499999999999</v>
      </c>
      <c r="L125">
        <f t="shared" si="12"/>
        <v>18.515000000000001</v>
      </c>
      <c r="M125">
        <f t="shared" si="13"/>
        <v>19.826972899999998</v>
      </c>
      <c r="N125" s="9"/>
      <c r="O125" s="22">
        <v>0.479126</v>
      </c>
      <c r="P125" s="22">
        <v>69.345200000000006</v>
      </c>
      <c r="Q125" s="22">
        <v>-1.91833E-2</v>
      </c>
      <c r="R125" s="22">
        <v>115</v>
      </c>
      <c r="S125" s="22">
        <v>0.47839399999999999</v>
      </c>
      <c r="T125">
        <f t="shared" si="14"/>
        <v>19.183299999999999</v>
      </c>
      <c r="U125">
        <f t="shared" si="15"/>
        <v>9.1912177958000001</v>
      </c>
      <c r="X125" s="9"/>
      <c r="Y125" s="22">
        <v>1.0708599999999999</v>
      </c>
      <c r="Z125" s="22">
        <v>103.36799999999999</v>
      </c>
      <c r="AA125" s="22">
        <v>-1.8658399999999999E-2</v>
      </c>
      <c r="AB125" s="22">
        <v>115</v>
      </c>
      <c r="AC125" s="22">
        <v>1.0702499999999999</v>
      </c>
      <c r="AD125">
        <f t="shared" si="16"/>
        <v>18.6584</v>
      </c>
      <c r="AE125">
        <f t="shared" si="17"/>
        <v>19.980534223999999</v>
      </c>
      <c r="AF125" s="9"/>
      <c r="AG125" s="22">
        <v>0.479126</v>
      </c>
      <c r="AH125" s="22">
        <v>137.374</v>
      </c>
      <c r="AI125" s="22">
        <v>-1.9302400000000001E-2</v>
      </c>
      <c r="AJ125" s="22">
        <v>115</v>
      </c>
      <c r="AK125" s="22">
        <v>0.47839399999999999</v>
      </c>
      <c r="AL125">
        <f t="shared" si="18"/>
        <v>19.302400000000002</v>
      </c>
      <c r="AM125">
        <f t="shared" si="19"/>
        <v>9.2482817024000017</v>
      </c>
      <c r="AP125" s="9"/>
      <c r="AQ125" s="22">
        <v>1.0708599999999999</v>
      </c>
      <c r="AR125" s="22">
        <v>171.43299999999999</v>
      </c>
      <c r="AS125" s="22">
        <v>-1.8661500000000001E-2</v>
      </c>
      <c r="AT125" s="22">
        <v>115</v>
      </c>
      <c r="AU125" s="22">
        <v>1.06995</v>
      </c>
      <c r="AV125">
        <f t="shared" si="20"/>
        <v>18.6615</v>
      </c>
      <c r="AW125">
        <f t="shared" si="21"/>
        <v>19.983853889999999</v>
      </c>
      <c r="AX125" s="9"/>
      <c r="AY125" s="22">
        <v>0.479126</v>
      </c>
      <c r="AZ125" s="22">
        <v>205.459</v>
      </c>
      <c r="BA125" s="22">
        <v>-1.9296299999999999E-2</v>
      </c>
      <c r="BB125" s="22">
        <v>115</v>
      </c>
      <c r="BC125" s="22">
        <v>0.47839399999999999</v>
      </c>
      <c r="BD125">
        <f t="shared" si="22"/>
        <v>19.296299999999999</v>
      </c>
      <c r="BE125">
        <f t="shared" si="23"/>
        <v>9.2453590337999998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1.0658300000000001</v>
      </c>
      <c r="H126" s="22">
        <v>35.302100000000003</v>
      </c>
      <c r="I126" s="22">
        <v>-1.8518099999999999E-2</v>
      </c>
      <c r="J126" s="22">
        <v>116</v>
      </c>
      <c r="K126" s="22">
        <v>1.0653699999999999</v>
      </c>
      <c r="L126">
        <f t="shared" si="12"/>
        <v>18.5181</v>
      </c>
      <c r="M126">
        <f t="shared" si="13"/>
        <v>19.737146523</v>
      </c>
      <c r="N126" s="9"/>
      <c r="O126" s="22">
        <v>0.48416100000000001</v>
      </c>
      <c r="P126" s="22">
        <v>69.355199999999996</v>
      </c>
      <c r="Q126" s="22">
        <v>-1.9177199999999998E-2</v>
      </c>
      <c r="R126" s="22">
        <v>116</v>
      </c>
      <c r="S126" s="22">
        <v>0.48336800000000002</v>
      </c>
      <c r="T126">
        <f t="shared" si="14"/>
        <v>19.177199999999999</v>
      </c>
      <c r="U126">
        <f t="shared" si="15"/>
        <v>9.2848523291999996</v>
      </c>
      <c r="X126" s="9"/>
      <c r="Y126" s="22">
        <v>1.0658300000000001</v>
      </c>
      <c r="Z126" s="22">
        <v>103.378</v>
      </c>
      <c r="AA126" s="22">
        <v>-1.86646E-2</v>
      </c>
      <c r="AB126" s="22">
        <v>116</v>
      </c>
      <c r="AC126" s="22">
        <v>1.0647599999999999</v>
      </c>
      <c r="AD126">
        <f t="shared" si="16"/>
        <v>18.6646</v>
      </c>
      <c r="AE126">
        <f t="shared" si="17"/>
        <v>19.893290618000002</v>
      </c>
      <c r="AF126" s="9"/>
      <c r="AG126" s="22">
        <v>0.48416100000000001</v>
      </c>
      <c r="AH126" s="22">
        <v>137.38499999999999</v>
      </c>
      <c r="AI126" s="22">
        <v>-1.9296299999999999E-2</v>
      </c>
      <c r="AJ126" s="22">
        <v>116</v>
      </c>
      <c r="AK126" s="22">
        <v>0.48364299999999999</v>
      </c>
      <c r="AL126">
        <f t="shared" si="18"/>
        <v>19.296299999999999</v>
      </c>
      <c r="AM126">
        <f t="shared" si="19"/>
        <v>9.342515904299999</v>
      </c>
      <c r="AP126" s="9"/>
      <c r="AQ126" s="22">
        <v>1.0658300000000001</v>
      </c>
      <c r="AR126" s="22">
        <v>171.44300000000001</v>
      </c>
      <c r="AS126" s="22">
        <v>-1.8670699999999998E-2</v>
      </c>
      <c r="AT126" s="22">
        <v>116</v>
      </c>
      <c r="AU126" s="22">
        <v>1.0650599999999999</v>
      </c>
      <c r="AV126">
        <f t="shared" si="20"/>
        <v>18.6707</v>
      </c>
      <c r="AW126">
        <f t="shared" si="21"/>
        <v>19.899792181000002</v>
      </c>
      <c r="AX126" s="9"/>
      <c r="AY126" s="22">
        <v>0.48416100000000001</v>
      </c>
      <c r="AZ126" s="22">
        <v>205.46899999999999</v>
      </c>
      <c r="BA126" s="22">
        <v>-1.92932E-2</v>
      </c>
      <c r="BB126" s="22">
        <v>116</v>
      </c>
      <c r="BC126" s="22">
        <v>0.48391699999999999</v>
      </c>
      <c r="BD126">
        <f t="shared" si="22"/>
        <v>19.293199999999999</v>
      </c>
      <c r="BE126">
        <f t="shared" si="23"/>
        <v>9.3410150051999992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1.0607899999999999</v>
      </c>
      <c r="H127" s="22">
        <v>35.312199999999997</v>
      </c>
      <c r="I127" s="22">
        <v>-1.8524200000000001E-2</v>
      </c>
      <c r="J127" s="22">
        <v>117</v>
      </c>
      <c r="K127" s="22">
        <v>1.0598799999999999</v>
      </c>
      <c r="L127">
        <f t="shared" si="12"/>
        <v>18.5242</v>
      </c>
      <c r="M127">
        <f t="shared" si="13"/>
        <v>19.650286118</v>
      </c>
      <c r="N127" s="9"/>
      <c r="O127" s="22">
        <v>0.48919699999999999</v>
      </c>
      <c r="P127" s="22">
        <v>69.365300000000005</v>
      </c>
      <c r="Q127" s="22">
        <v>-1.9177199999999998E-2</v>
      </c>
      <c r="R127" s="22">
        <v>117</v>
      </c>
      <c r="S127" s="22">
        <v>0.48852499999999999</v>
      </c>
      <c r="T127">
        <f t="shared" si="14"/>
        <v>19.177199999999999</v>
      </c>
      <c r="U127">
        <f t="shared" si="15"/>
        <v>9.3814287083999996</v>
      </c>
      <c r="X127" s="9"/>
      <c r="Y127" s="22">
        <v>1.0607899999999999</v>
      </c>
      <c r="Z127" s="22">
        <v>103.38800000000001</v>
      </c>
      <c r="AA127" s="22">
        <v>-1.8667599999999999E-2</v>
      </c>
      <c r="AB127" s="22">
        <v>117</v>
      </c>
      <c r="AC127" s="22">
        <v>1.0604899999999999</v>
      </c>
      <c r="AD127">
        <f t="shared" si="16"/>
        <v>18.6676</v>
      </c>
      <c r="AE127">
        <f t="shared" si="17"/>
        <v>19.802403404</v>
      </c>
      <c r="AF127" s="9"/>
      <c r="AG127" s="22">
        <v>0.48919699999999999</v>
      </c>
      <c r="AH127" s="22">
        <v>137.39500000000001</v>
      </c>
      <c r="AI127" s="22">
        <v>-1.92902E-2</v>
      </c>
      <c r="AJ127" s="22">
        <v>117</v>
      </c>
      <c r="AK127" s="22">
        <v>0.48886099999999999</v>
      </c>
      <c r="AL127">
        <f t="shared" si="18"/>
        <v>19.290199999999999</v>
      </c>
      <c r="AM127">
        <f t="shared" si="19"/>
        <v>9.4367079693999987</v>
      </c>
      <c r="AP127" s="9"/>
      <c r="AQ127" s="22">
        <v>1.0607899999999999</v>
      </c>
      <c r="AR127" s="22">
        <v>171.453</v>
      </c>
      <c r="AS127" s="22">
        <v>-1.86768E-2</v>
      </c>
      <c r="AT127" s="22">
        <v>117</v>
      </c>
      <c r="AU127" s="22">
        <v>1.0592699999999999</v>
      </c>
      <c r="AV127">
        <f t="shared" si="20"/>
        <v>18.6768</v>
      </c>
      <c r="AW127">
        <f t="shared" si="21"/>
        <v>19.812162671999999</v>
      </c>
      <c r="AX127" s="9"/>
      <c r="AY127" s="22">
        <v>0.48919699999999999</v>
      </c>
      <c r="AZ127" s="22">
        <v>205.47900000000001</v>
      </c>
      <c r="BA127" s="22">
        <v>-1.9287100000000001E-2</v>
      </c>
      <c r="BB127" s="22">
        <v>117</v>
      </c>
      <c r="BC127" s="22">
        <v>0.48846400000000001</v>
      </c>
      <c r="BD127">
        <f t="shared" si="22"/>
        <v>19.287100000000002</v>
      </c>
      <c r="BE127">
        <f t="shared" si="23"/>
        <v>9.4351914587000003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1.05576</v>
      </c>
      <c r="H128" s="22">
        <v>35.322200000000002</v>
      </c>
      <c r="I128" s="22">
        <v>-1.85303E-2</v>
      </c>
      <c r="J128" s="22">
        <v>118</v>
      </c>
      <c r="K128" s="22">
        <v>1.0543800000000001</v>
      </c>
      <c r="L128">
        <f t="shared" si="12"/>
        <v>18.5303</v>
      </c>
      <c r="M128">
        <f t="shared" si="13"/>
        <v>19.563549527999999</v>
      </c>
      <c r="N128" s="9"/>
      <c r="O128" s="22">
        <v>0.494232</v>
      </c>
      <c r="P128" s="22">
        <v>69.375399999999999</v>
      </c>
      <c r="Q128" s="22">
        <v>-1.91711E-2</v>
      </c>
      <c r="R128" s="22">
        <v>118</v>
      </c>
      <c r="S128" s="22">
        <v>0.49346899999999999</v>
      </c>
      <c r="T128">
        <f t="shared" si="14"/>
        <v>19.171099999999999</v>
      </c>
      <c r="U128">
        <f t="shared" si="15"/>
        <v>9.474971095199999</v>
      </c>
      <c r="X128" s="9"/>
      <c r="Y128" s="22">
        <v>1.05576</v>
      </c>
      <c r="Z128" s="22">
        <v>103.399</v>
      </c>
      <c r="AA128" s="22">
        <v>-1.8667599999999999E-2</v>
      </c>
      <c r="AB128" s="22">
        <v>118</v>
      </c>
      <c r="AC128" s="22">
        <v>1.0549900000000001</v>
      </c>
      <c r="AD128">
        <f t="shared" si="16"/>
        <v>18.6676</v>
      </c>
      <c r="AE128">
        <f t="shared" si="17"/>
        <v>19.708505376000002</v>
      </c>
      <c r="AF128" s="9"/>
      <c r="AG128" s="22">
        <v>0.494232</v>
      </c>
      <c r="AH128" s="22">
        <v>137.405</v>
      </c>
      <c r="AI128" s="22">
        <v>-1.9284099999999998E-2</v>
      </c>
      <c r="AJ128" s="22">
        <v>118</v>
      </c>
      <c r="AK128" s="22">
        <v>0.49343900000000002</v>
      </c>
      <c r="AL128">
        <f t="shared" si="18"/>
        <v>19.284099999999999</v>
      </c>
      <c r="AM128">
        <f t="shared" si="19"/>
        <v>9.5308193112000001</v>
      </c>
      <c r="AP128" s="9"/>
      <c r="AQ128" s="22">
        <v>1.05576</v>
      </c>
      <c r="AR128" s="22">
        <v>171.46299999999999</v>
      </c>
      <c r="AS128" s="22">
        <v>-1.8682899999999999E-2</v>
      </c>
      <c r="AT128" s="22">
        <v>118</v>
      </c>
      <c r="AU128" s="22">
        <v>1.0549900000000001</v>
      </c>
      <c r="AV128">
        <f t="shared" si="20"/>
        <v>18.6829</v>
      </c>
      <c r="AW128">
        <f t="shared" si="21"/>
        <v>19.724658504000001</v>
      </c>
      <c r="AX128" s="9"/>
      <c r="AY128" s="22">
        <v>0.494232</v>
      </c>
      <c r="AZ128" s="22">
        <v>205.489</v>
      </c>
      <c r="BA128" s="22">
        <v>-1.9284099999999998E-2</v>
      </c>
      <c r="BB128" s="22">
        <v>118</v>
      </c>
      <c r="BC128" s="22">
        <v>0.49362200000000001</v>
      </c>
      <c r="BD128">
        <f t="shared" si="22"/>
        <v>19.284099999999999</v>
      </c>
      <c r="BE128">
        <f t="shared" si="23"/>
        <v>9.5308193112000001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1.0507200000000001</v>
      </c>
      <c r="H129" s="22">
        <v>35.332299999999996</v>
      </c>
      <c r="I129" s="22">
        <v>-1.8536400000000001E-2</v>
      </c>
      <c r="J129" s="22">
        <v>119</v>
      </c>
      <c r="K129" s="22">
        <v>1.0501100000000001</v>
      </c>
      <c r="L129">
        <f t="shared" si="12"/>
        <v>18.5364</v>
      </c>
      <c r="M129">
        <f t="shared" si="13"/>
        <v>19.476566208000001</v>
      </c>
      <c r="N129" s="9"/>
      <c r="O129" s="22">
        <v>0.49926799999999999</v>
      </c>
      <c r="P129" s="22">
        <v>69.385499999999993</v>
      </c>
      <c r="Q129" s="22">
        <v>-1.9165000000000001E-2</v>
      </c>
      <c r="R129" s="22">
        <v>119</v>
      </c>
      <c r="S129" s="22">
        <v>0.49853500000000001</v>
      </c>
      <c r="T129">
        <f t="shared" si="14"/>
        <v>19.165000000000003</v>
      </c>
      <c r="U129">
        <f t="shared" si="15"/>
        <v>9.5684712200000011</v>
      </c>
      <c r="X129" s="9"/>
      <c r="Y129" s="22">
        <v>1.0507200000000001</v>
      </c>
      <c r="Z129" s="22">
        <v>103.40900000000001</v>
      </c>
      <c r="AA129" s="22">
        <v>-1.86768E-2</v>
      </c>
      <c r="AB129" s="22">
        <v>119</v>
      </c>
      <c r="AC129" s="22">
        <v>1.0495000000000001</v>
      </c>
      <c r="AD129">
        <f t="shared" si="16"/>
        <v>18.6768</v>
      </c>
      <c r="AE129">
        <f t="shared" si="17"/>
        <v>19.624087296000003</v>
      </c>
      <c r="AF129" s="9"/>
      <c r="AG129" s="22">
        <v>0.49926799999999999</v>
      </c>
      <c r="AH129" s="22">
        <v>137.41499999999999</v>
      </c>
      <c r="AI129" s="22">
        <v>-1.9281E-2</v>
      </c>
      <c r="AJ129" s="22">
        <v>119</v>
      </c>
      <c r="AK129" s="22">
        <v>0.49856600000000001</v>
      </c>
      <c r="AL129">
        <f t="shared" si="18"/>
        <v>19.280999999999999</v>
      </c>
      <c r="AM129">
        <f t="shared" si="19"/>
        <v>9.6263863079999989</v>
      </c>
      <c r="AP129" s="9"/>
      <c r="AQ129" s="22">
        <v>1.0507200000000001</v>
      </c>
      <c r="AR129" s="22">
        <v>171.47300000000001</v>
      </c>
      <c r="AS129" s="22">
        <v>-1.8682899999999999E-2</v>
      </c>
      <c r="AT129" s="22">
        <v>119</v>
      </c>
      <c r="AU129" s="22">
        <v>1.0501100000000001</v>
      </c>
      <c r="AV129">
        <f t="shared" si="20"/>
        <v>18.6829</v>
      </c>
      <c r="AW129">
        <f t="shared" si="21"/>
        <v>19.630496688000001</v>
      </c>
      <c r="AX129" s="9"/>
      <c r="AY129" s="22">
        <v>0.49926799999999999</v>
      </c>
      <c r="AZ129" s="22">
        <v>205.499</v>
      </c>
      <c r="BA129" s="22">
        <v>-1.9278E-2</v>
      </c>
      <c r="BB129" s="22">
        <v>119</v>
      </c>
      <c r="BC129" s="22">
        <v>0.49862699999999999</v>
      </c>
      <c r="BD129">
        <f t="shared" si="22"/>
        <v>19.277999999999999</v>
      </c>
      <c r="BE129">
        <f t="shared" si="23"/>
        <v>9.6248885039999994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1.0456799999999999</v>
      </c>
      <c r="H130" s="22">
        <v>35.342399999999998</v>
      </c>
      <c r="I130" s="22">
        <v>-1.8545499999999999E-2</v>
      </c>
      <c r="J130" s="22">
        <v>120</v>
      </c>
      <c r="K130" s="22">
        <v>1.0446200000000001</v>
      </c>
      <c r="L130">
        <f t="shared" si="12"/>
        <v>18.545500000000001</v>
      </c>
      <c r="M130">
        <f t="shared" si="13"/>
        <v>19.392658439999998</v>
      </c>
      <c r="N130" s="9"/>
      <c r="O130" s="22">
        <v>0.50430299999999995</v>
      </c>
      <c r="P130" s="22">
        <v>69.395499999999998</v>
      </c>
      <c r="Q130" s="22">
        <v>-1.91589E-2</v>
      </c>
      <c r="R130" s="22">
        <v>120</v>
      </c>
      <c r="S130" s="22">
        <v>0.50375400000000004</v>
      </c>
      <c r="T130">
        <f t="shared" si="14"/>
        <v>19.158899999999999</v>
      </c>
      <c r="U130">
        <f t="shared" si="15"/>
        <v>9.6618907466999993</v>
      </c>
      <c r="X130" s="9"/>
      <c r="Y130" s="22">
        <v>1.0456799999999999</v>
      </c>
      <c r="Z130" s="22">
        <v>103.419</v>
      </c>
      <c r="AA130" s="22">
        <v>-1.8682899999999999E-2</v>
      </c>
      <c r="AB130" s="22">
        <v>120</v>
      </c>
      <c r="AC130" s="22">
        <v>1.0449200000000001</v>
      </c>
      <c r="AD130">
        <f t="shared" si="16"/>
        <v>18.6829</v>
      </c>
      <c r="AE130">
        <f t="shared" si="17"/>
        <v>19.536334871999998</v>
      </c>
      <c r="AF130" s="9"/>
      <c r="AG130" s="22">
        <v>0.50430299999999995</v>
      </c>
      <c r="AH130" s="22">
        <v>137.42500000000001</v>
      </c>
      <c r="AI130" s="22">
        <v>-1.9278E-2</v>
      </c>
      <c r="AJ130" s="22">
        <v>120</v>
      </c>
      <c r="AK130" s="22">
        <v>0.50351000000000001</v>
      </c>
      <c r="AL130">
        <f t="shared" si="18"/>
        <v>19.277999999999999</v>
      </c>
      <c r="AM130">
        <f t="shared" si="19"/>
        <v>9.721953233999999</v>
      </c>
      <c r="AP130" s="9"/>
      <c r="AQ130" s="22">
        <v>1.0456799999999999</v>
      </c>
      <c r="AR130" s="22">
        <v>171.483</v>
      </c>
      <c r="AS130" s="22">
        <v>-1.8685899999999998E-2</v>
      </c>
      <c r="AT130" s="22">
        <v>120</v>
      </c>
      <c r="AU130" s="22">
        <v>1.0449200000000001</v>
      </c>
      <c r="AV130">
        <f t="shared" si="20"/>
        <v>18.685899999999997</v>
      </c>
      <c r="AW130">
        <f t="shared" si="21"/>
        <v>19.539471911999996</v>
      </c>
      <c r="AX130" s="9"/>
      <c r="AY130" s="22">
        <v>0.50430299999999995</v>
      </c>
      <c r="AZ130" s="22">
        <v>205.51</v>
      </c>
      <c r="BA130" s="22">
        <v>-1.9274900000000001E-2</v>
      </c>
      <c r="BB130" s="22">
        <v>120</v>
      </c>
      <c r="BC130" s="22">
        <v>0.50292999999999999</v>
      </c>
      <c r="BD130">
        <f t="shared" si="22"/>
        <v>19.274900000000002</v>
      </c>
      <c r="BE130">
        <f t="shared" si="23"/>
        <v>9.7203898947000003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1.0406500000000001</v>
      </c>
      <c r="H131" s="22">
        <v>35.352400000000003</v>
      </c>
      <c r="I131" s="22">
        <v>-1.8548599999999998E-2</v>
      </c>
      <c r="J131" s="22">
        <v>121</v>
      </c>
      <c r="K131" s="22">
        <v>1.0394300000000001</v>
      </c>
      <c r="L131">
        <f t="shared" si="12"/>
        <v>18.548599999999997</v>
      </c>
      <c r="M131">
        <f t="shared" si="13"/>
        <v>19.302600589999997</v>
      </c>
      <c r="N131" s="9"/>
      <c r="O131" s="22">
        <v>0.50933799999999996</v>
      </c>
      <c r="P131" s="22">
        <v>69.405600000000007</v>
      </c>
      <c r="Q131" s="22">
        <v>-1.9152800000000001E-2</v>
      </c>
      <c r="R131" s="22">
        <v>121</v>
      </c>
      <c r="S131" s="22">
        <v>0.50885000000000002</v>
      </c>
      <c r="T131">
        <f t="shared" si="14"/>
        <v>19.152800000000003</v>
      </c>
      <c r="U131">
        <f t="shared" si="15"/>
        <v>9.7552488464000007</v>
      </c>
      <c r="X131" s="9"/>
      <c r="Y131" s="22">
        <v>1.0406500000000001</v>
      </c>
      <c r="Z131" s="22">
        <v>103.429</v>
      </c>
      <c r="AA131" s="22">
        <v>-1.8692E-2</v>
      </c>
      <c r="AB131" s="22">
        <v>121</v>
      </c>
      <c r="AC131" s="22">
        <v>1.0394300000000001</v>
      </c>
      <c r="AD131">
        <f t="shared" si="16"/>
        <v>18.692</v>
      </c>
      <c r="AE131">
        <f t="shared" si="17"/>
        <v>19.451829800000002</v>
      </c>
      <c r="AF131" s="9"/>
      <c r="AG131" s="22">
        <v>0.50933799999999996</v>
      </c>
      <c r="AH131" s="22">
        <v>137.435</v>
      </c>
      <c r="AI131" s="22">
        <v>-1.9271900000000002E-2</v>
      </c>
      <c r="AJ131" s="22">
        <v>121</v>
      </c>
      <c r="AK131" s="22">
        <v>0.50866699999999998</v>
      </c>
      <c r="AL131">
        <f t="shared" si="18"/>
        <v>19.271900000000002</v>
      </c>
      <c r="AM131">
        <f t="shared" si="19"/>
        <v>9.8159110022</v>
      </c>
      <c r="AP131" s="9"/>
      <c r="AQ131" s="22">
        <v>1.0406500000000001</v>
      </c>
      <c r="AR131" s="22">
        <v>171.49299999999999</v>
      </c>
      <c r="AS131" s="22">
        <v>-1.8685899999999998E-2</v>
      </c>
      <c r="AT131" s="22">
        <v>121</v>
      </c>
      <c r="AU131" s="22">
        <v>1.03973</v>
      </c>
      <c r="AV131">
        <f t="shared" si="20"/>
        <v>18.685899999999997</v>
      </c>
      <c r="AW131">
        <f t="shared" si="21"/>
        <v>19.445481834999999</v>
      </c>
      <c r="AX131" s="9"/>
      <c r="AY131" s="22">
        <v>0.50933799999999996</v>
      </c>
      <c r="AZ131" s="22">
        <v>205.52</v>
      </c>
      <c r="BA131" s="22">
        <v>-1.9268799999999999E-2</v>
      </c>
      <c r="BB131" s="22">
        <v>121</v>
      </c>
      <c r="BC131" s="22">
        <v>0.50866699999999998</v>
      </c>
      <c r="BD131">
        <f t="shared" si="22"/>
        <v>19.268799999999999</v>
      </c>
      <c r="BE131">
        <f t="shared" si="23"/>
        <v>9.8143320543999994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1.0356099999999999</v>
      </c>
      <c r="H132" s="22">
        <v>35.362499999999997</v>
      </c>
      <c r="I132" s="22">
        <v>-1.85547E-2</v>
      </c>
      <c r="J132" s="22">
        <v>122</v>
      </c>
      <c r="K132" s="22">
        <v>1.03424</v>
      </c>
      <c r="L132">
        <f t="shared" si="12"/>
        <v>18.5547</v>
      </c>
      <c r="M132">
        <f t="shared" si="13"/>
        <v>19.215432867000001</v>
      </c>
      <c r="N132" s="9"/>
      <c r="O132" s="22">
        <v>0.514374</v>
      </c>
      <c r="P132" s="22">
        <v>69.415700000000001</v>
      </c>
      <c r="Q132" s="22">
        <v>-1.9146699999999999E-2</v>
      </c>
      <c r="R132" s="22">
        <v>122</v>
      </c>
      <c r="S132" s="22">
        <v>0.513733</v>
      </c>
      <c r="T132">
        <f t="shared" si="14"/>
        <v>19.146699999999999</v>
      </c>
      <c r="U132">
        <f t="shared" si="15"/>
        <v>9.8485646657999997</v>
      </c>
      <c r="X132" s="9"/>
      <c r="Y132" s="22">
        <v>1.0356099999999999</v>
      </c>
      <c r="Z132" s="22">
        <v>103.43899999999999</v>
      </c>
      <c r="AA132" s="22">
        <v>-1.8698099999999999E-2</v>
      </c>
      <c r="AB132" s="22">
        <v>122</v>
      </c>
      <c r="AC132" s="22">
        <v>1.0345500000000001</v>
      </c>
      <c r="AD132">
        <f t="shared" si="16"/>
        <v>18.6981</v>
      </c>
      <c r="AE132">
        <f t="shared" si="17"/>
        <v>19.363939340999998</v>
      </c>
      <c r="AF132" s="9"/>
      <c r="AG132" s="22">
        <v>0.514374</v>
      </c>
      <c r="AH132" s="22">
        <v>137.44499999999999</v>
      </c>
      <c r="AI132" s="22">
        <v>-1.9268799999999999E-2</v>
      </c>
      <c r="AJ132" s="22">
        <v>122</v>
      </c>
      <c r="AK132" s="22">
        <v>0.51382399999999995</v>
      </c>
      <c r="AL132">
        <f t="shared" si="18"/>
        <v>19.268799999999999</v>
      </c>
      <c r="AM132">
        <f t="shared" si="19"/>
        <v>9.9113697311999989</v>
      </c>
      <c r="AP132" s="9"/>
      <c r="AQ132" s="22">
        <v>1.0356099999999999</v>
      </c>
      <c r="AR132" s="22">
        <v>171.50399999999999</v>
      </c>
      <c r="AS132" s="22">
        <v>-1.8695099999999999E-2</v>
      </c>
      <c r="AT132" s="22">
        <v>122</v>
      </c>
      <c r="AU132" s="22">
        <v>1.03424</v>
      </c>
      <c r="AV132">
        <f t="shared" si="20"/>
        <v>18.6951</v>
      </c>
      <c r="AW132">
        <f t="shared" si="21"/>
        <v>19.360832510999998</v>
      </c>
      <c r="AX132" s="9"/>
      <c r="AY132" s="22">
        <v>0.514374</v>
      </c>
      <c r="AZ132" s="22">
        <v>205.53</v>
      </c>
      <c r="BA132" s="22">
        <v>-1.9262700000000001E-2</v>
      </c>
      <c r="BB132" s="22">
        <v>122</v>
      </c>
      <c r="BC132" s="22">
        <v>0.51364100000000001</v>
      </c>
      <c r="BD132">
        <f t="shared" si="22"/>
        <v>19.262700000000002</v>
      </c>
      <c r="BE132">
        <f t="shared" si="23"/>
        <v>9.9082320498000005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1.0305800000000001</v>
      </c>
      <c r="H133" s="22">
        <v>35.372599999999998</v>
      </c>
      <c r="I133" s="22">
        <v>-1.85577E-2</v>
      </c>
      <c r="J133" s="22">
        <v>123</v>
      </c>
      <c r="K133" s="22">
        <v>1.02905</v>
      </c>
      <c r="L133">
        <f t="shared" si="12"/>
        <v>18.557700000000001</v>
      </c>
      <c r="M133">
        <f t="shared" si="13"/>
        <v>19.125194466</v>
      </c>
      <c r="N133" s="9"/>
      <c r="O133" s="22">
        <v>0.51940900000000001</v>
      </c>
      <c r="P133" s="22">
        <v>69.425700000000006</v>
      </c>
      <c r="Q133" s="22">
        <v>-1.9140600000000001E-2</v>
      </c>
      <c r="R133" s="22">
        <v>123</v>
      </c>
      <c r="S133" s="22">
        <v>0.51864600000000005</v>
      </c>
      <c r="T133">
        <f t="shared" si="14"/>
        <v>19.140599999999999</v>
      </c>
      <c r="U133">
        <f t="shared" si="15"/>
        <v>9.9417999053999999</v>
      </c>
      <c r="X133" s="9"/>
      <c r="Y133" s="22">
        <v>1.0305800000000001</v>
      </c>
      <c r="Z133" s="22">
        <v>103.449</v>
      </c>
      <c r="AA133" s="22">
        <v>-1.8701200000000001E-2</v>
      </c>
      <c r="AB133" s="22">
        <v>123</v>
      </c>
      <c r="AC133" s="22">
        <v>1.0293600000000001</v>
      </c>
      <c r="AD133">
        <f t="shared" si="16"/>
        <v>18.7012</v>
      </c>
      <c r="AE133">
        <f t="shared" si="17"/>
        <v>19.273082695999999</v>
      </c>
      <c r="AF133" s="9"/>
      <c r="AG133" s="22">
        <v>0.51940900000000001</v>
      </c>
      <c r="AH133" s="22">
        <v>137.45500000000001</v>
      </c>
      <c r="AI133" s="22">
        <v>-1.92657E-2</v>
      </c>
      <c r="AJ133" s="22">
        <v>123</v>
      </c>
      <c r="AK133" s="22">
        <v>0.51876800000000001</v>
      </c>
      <c r="AL133">
        <f t="shared" si="18"/>
        <v>19.265699999999999</v>
      </c>
      <c r="AM133">
        <f t="shared" si="19"/>
        <v>10.0067779713</v>
      </c>
      <c r="AP133" s="9"/>
      <c r="AQ133" s="22">
        <v>1.0305800000000001</v>
      </c>
      <c r="AR133" s="22">
        <v>171.51400000000001</v>
      </c>
      <c r="AS133" s="22">
        <v>-1.8698099999999999E-2</v>
      </c>
      <c r="AT133" s="22">
        <v>123</v>
      </c>
      <c r="AU133" s="22">
        <v>1.0293600000000001</v>
      </c>
      <c r="AV133">
        <f t="shared" si="20"/>
        <v>18.6981</v>
      </c>
      <c r="AW133">
        <f t="shared" si="21"/>
        <v>19.269887898</v>
      </c>
      <c r="AX133" s="9"/>
      <c r="AY133" s="22">
        <v>0.51940900000000001</v>
      </c>
      <c r="AZ133" s="22">
        <v>205.54</v>
      </c>
      <c r="BA133" s="22">
        <v>-1.9256599999999999E-2</v>
      </c>
      <c r="BB133" s="22">
        <v>123</v>
      </c>
      <c r="BC133" s="22">
        <v>0.51864600000000005</v>
      </c>
      <c r="BD133">
        <f t="shared" si="22"/>
        <v>19.256599999999999</v>
      </c>
      <c r="BE133">
        <f t="shared" si="23"/>
        <v>10.0020513494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1.0255399999999999</v>
      </c>
      <c r="H134" s="22">
        <v>35.3827</v>
      </c>
      <c r="I134" s="22">
        <v>-1.8563799999999998E-2</v>
      </c>
      <c r="J134" s="22">
        <v>124</v>
      </c>
      <c r="K134" s="22">
        <v>1.02478</v>
      </c>
      <c r="L134">
        <f t="shared" si="12"/>
        <v>18.563799999999997</v>
      </c>
      <c r="M134">
        <f t="shared" si="13"/>
        <v>19.037919451999993</v>
      </c>
      <c r="N134" s="9"/>
      <c r="O134" s="22">
        <v>0.52444500000000005</v>
      </c>
      <c r="P134" s="22">
        <v>69.4358</v>
      </c>
      <c r="Q134" s="22">
        <v>-1.9137600000000001E-2</v>
      </c>
      <c r="R134" s="22">
        <v>124</v>
      </c>
      <c r="S134" s="22">
        <v>0.52359</v>
      </c>
      <c r="T134">
        <f t="shared" si="14"/>
        <v>19.137600000000003</v>
      </c>
      <c r="U134">
        <f t="shared" si="15"/>
        <v>10.036618632000001</v>
      </c>
      <c r="X134" s="9"/>
      <c r="Y134" s="22">
        <v>1.0255399999999999</v>
      </c>
      <c r="Z134" s="22">
        <v>103.459</v>
      </c>
      <c r="AA134" s="22">
        <v>-1.87073E-2</v>
      </c>
      <c r="AB134" s="22">
        <v>124</v>
      </c>
      <c r="AC134" s="22">
        <v>1.0244800000000001</v>
      </c>
      <c r="AD134">
        <f t="shared" si="16"/>
        <v>18.7073</v>
      </c>
      <c r="AE134">
        <f t="shared" si="17"/>
        <v>19.185084441999997</v>
      </c>
      <c r="AF134" s="9"/>
      <c r="AG134" s="22">
        <v>0.52444500000000005</v>
      </c>
      <c r="AH134" s="22">
        <v>137.465</v>
      </c>
      <c r="AI134" s="22">
        <v>-1.9262700000000001E-2</v>
      </c>
      <c r="AJ134" s="22">
        <v>124</v>
      </c>
      <c r="AK134" s="22">
        <v>0.52368199999999998</v>
      </c>
      <c r="AL134">
        <f t="shared" si="18"/>
        <v>19.262700000000002</v>
      </c>
      <c r="AM134">
        <f t="shared" si="19"/>
        <v>10.102226701500003</v>
      </c>
      <c r="AP134" s="9"/>
      <c r="AQ134" s="22">
        <v>1.0255399999999999</v>
      </c>
      <c r="AR134" s="22">
        <v>171.524</v>
      </c>
      <c r="AS134" s="22">
        <v>-1.87073E-2</v>
      </c>
      <c r="AT134" s="22">
        <v>124</v>
      </c>
      <c r="AU134" s="22">
        <v>1.0250900000000001</v>
      </c>
      <c r="AV134">
        <f t="shared" si="20"/>
        <v>18.7073</v>
      </c>
      <c r="AW134">
        <f t="shared" si="21"/>
        <v>19.185084441999997</v>
      </c>
      <c r="AX134" s="9"/>
      <c r="AY134" s="22">
        <v>0.52444500000000005</v>
      </c>
      <c r="AZ134" s="22">
        <v>205.55</v>
      </c>
      <c r="BA134" s="22">
        <v>-1.9247400000000001E-2</v>
      </c>
      <c r="BB134" s="22">
        <v>124</v>
      </c>
      <c r="BC134" s="22">
        <v>0.52371199999999996</v>
      </c>
      <c r="BD134">
        <f t="shared" si="22"/>
        <v>19.247400000000003</v>
      </c>
      <c r="BE134">
        <f t="shared" si="23"/>
        <v>10.094202693000002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1.02051</v>
      </c>
      <c r="H135" s="22">
        <v>35.392699999999998</v>
      </c>
      <c r="I135" s="22">
        <v>-1.8566900000000001E-2</v>
      </c>
      <c r="J135" s="22">
        <v>125</v>
      </c>
      <c r="K135" s="22">
        <v>1.01959</v>
      </c>
      <c r="L135">
        <f t="shared" si="12"/>
        <v>18.5669</v>
      </c>
      <c r="M135">
        <f t="shared" si="13"/>
        <v>18.947707119</v>
      </c>
      <c r="N135" s="9"/>
      <c r="O135" s="22">
        <v>0.52947999999999995</v>
      </c>
      <c r="P135" s="22">
        <v>69.445899999999995</v>
      </c>
      <c r="Q135" s="22">
        <v>-1.9131499999999999E-2</v>
      </c>
      <c r="R135" s="22">
        <v>125</v>
      </c>
      <c r="S135" s="22">
        <v>0.52877799999999997</v>
      </c>
      <c r="T135">
        <f t="shared" si="14"/>
        <v>19.131499999999999</v>
      </c>
      <c r="U135">
        <f t="shared" si="15"/>
        <v>10.129746619999999</v>
      </c>
      <c r="X135" s="9"/>
      <c r="Y135" s="22">
        <v>1.02051</v>
      </c>
      <c r="Z135" s="22">
        <v>103.46899999999999</v>
      </c>
      <c r="AA135" s="22">
        <v>-1.8713400000000002E-2</v>
      </c>
      <c r="AB135" s="22">
        <v>125</v>
      </c>
      <c r="AC135" s="22">
        <v>1.01868</v>
      </c>
      <c r="AD135">
        <f t="shared" si="16"/>
        <v>18.7134</v>
      </c>
      <c r="AE135">
        <f t="shared" si="17"/>
        <v>19.097211833999999</v>
      </c>
      <c r="AF135" s="9"/>
      <c r="AG135" s="22">
        <v>0.52947999999999995</v>
      </c>
      <c r="AH135" s="22">
        <v>137.47499999999999</v>
      </c>
      <c r="AI135" s="22">
        <v>-1.9256599999999999E-2</v>
      </c>
      <c r="AJ135" s="22">
        <v>125</v>
      </c>
      <c r="AK135" s="22">
        <v>0.52871699999999999</v>
      </c>
      <c r="AL135">
        <f t="shared" si="18"/>
        <v>19.256599999999999</v>
      </c>
      <c r="AM135">
        <f t="shared" si="19"/>
        <v>10.195984567999998</v>
      </c>
      <c r="AP135" s="9"/>
      <c r="AQ135" s="22">
        <v>1.02051</v>
      </c>
      <c r="AR135" s="22">
        <v>171.53399999999999</v>
      </c>
      <c r="AS135" s="22">
        <v>-1.8710299999999999E-2</v>
      </c>
      <c r="AT135" s="22">
        <v>125</v>
      </c>
      <c r="AU135" s="22">
        <v>1.01959</v>
      </c>
      <c r="AV135">
        <f t="shared" si="20"/>
        <v>18.7103</v>
      </c>
      <c r="AW135">
        <f t="shared" si="21"/>
        <v>19.094048253</v>
      </c>
      <c r="AX135" s="9"/>
      <c r="AY135" s="22">
        <v>0.52947999999999995</v>
      </c>
      <c r="AZ135" s="22">
        <v>205.56</v>
      </c>
      <c r="BA135" s="22">
        <v>-1.9241299999999999E-2</v>
      </c>
      <c r="BB135" s="22">
        <v>125</v>
      </c>
      <c r="BC135" s="22">
        <v>0.52871699999999999</v>
      </c>
      <c r="BD135">
        <f t="shared" si="22"/>
        <v>19.241299999999999</v>
      </c>
      <c r="BE135">
        <f t="shared" si="23"/>
        <v>10.187883523999998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1.0154700000000001</v>
      </c>
      <c r="H136" s="22">
        <v>35.402799999999999</v>
      </c>
      <c r="I136" s="22">
        <v>-1.8572999999999999E-2</v>
      </c>
      <c r="J136" s="22">
        <v>126</v>
      </c>
      <c r="K136" s="22">
        <v>1.0144</v>
      </c>
      <c r="L136">
        <f t="shared" si="12"/>
        <v>18.573</v>
      </c>
      <c r="M136">
        <f t="shared" si="13"/>
        <v>18.860324310000003</v>
      </c>
      <c r="N136" s="9"/>
      <c r="O136" s="22">
        <v>0.53451499999999996</v>
      </c>
      <c r="P136" s="22">
        <v>69.4559</v>
      </c>
      <c r="Q136" s="22">
        <v>-1.9125400000000001E-2</v>
      </c>
      <c r="R136" s="22">
        <v>126</v>
      </c>
      <c r="S136" s="22">
        <v>0.53381299999999998</v>
      </c>
      <c r="T136">
        <f t="shared" si="14"/>
        <v>19.125399999999999</v>
      </c>
      <c r="U136">
        <f t="shared" si="15"/>
        <v>10.222813180999999</v>
      </c>
      <c r="X136" s="9"/>
      <c r="Y136" s="22">
        <v>1.0154700000000001</v>
      </c>
      <c r="Z136" s="22">
        <v>103.479</v>
      </c>
      <c r="AA136" s="22">
        <v>-1.87195E-2</v>
      </c>
      <c r="AB136" s="22">
        <v>126</v>
      </c>
      <c r="AC136" s="22">
        <v>1.0144</v>
      </c>
      <c r="AD136">
        <f t="shared" si="16"/>
        <v>18.7195</v>
      </c>
      <c r="AE136">
        <f t="shared" si="17"/>
        <v>19.009090665000002</v>
      </c>
      <c r="AF136" s="9"/>
      <c r="AG136" s="22">
        <v>0.53451499999999996</v>
      </c>
      <c r="AH136" s="22">
        <v>137.48500000000001</v>
      </c>
      <c r="AI136" s="22">
        <v>-1.92505E-2</v>
      </c>
      <c r="AJ136" s="22">
        <v>126</v>
      </c>
      <c r="AK136" s="22">
        <v>0.533752</v>
      </c>
      <c r="AL136">
        <f t="shared" si="18"/>
        <v>19.250499999999999</v>
      </c>
      <c r="AM136">
        <f t="shared" si="19"/>
        <v>10.289681007499999</v>
      </c>
      <c r="AP136" s="9"/>
      <c r="AQ136" s="22">
        <v>1.0154700000000001</v>
      </c>
      <c r="AR136" s="22">
        <v>171.54400000000001</v>
      </c>
      <c r="AS136" s="22">
        <v>-1.8716400000000001E-2</v>
      </c>
      <c r="AT136" s="22">
        <v>126</v>
      </c>
      <c r="AU136" s="22">
        <v>1.01501</v>
      </c>
      <c r="AV136">
        <f t="shared" si="20"/>
        <v>18.7164</v>
      </c>
      <c r="AW136">
        <f t="shared" si="21"/>
        <v>19.005942708000003</v>
      </c>
      <c r="AX136" s="9"/>
      <c r="AY136" s="22">
        <v>0.53451499999999996</v>
      </c>
      <c r="AZ136" s="22">
        <v>205.57</v>
      </c>
      <c r="BA136" s="22">
        <v>-1.9235200000000001E-2</v>
      </c>
      <c r="BB136" s="22">
        <v>126</v>
      </c>
      <c r="BC136" s="22">
        <v>0.53384399999999999</v>
      </c>
      <c r="BD136">
        <f t="shared" si="22"/>
        <v>19.235200000000003</v>
      </c>
      <c r="BE136">
        <f t="shared" si="23"/>
        <v>10.281502928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1.01044</v>
      </c>
      <c r="H137" s="22">
        <v>35.4129</v>
      </c>
      <c r="I137" s="22">
        <v>-1.8579100000000001E-2</v>
      </c>
      <c r="J137" s="22">
        <v>127</v>
      </c>
      <c r="K137" s="22">
        <v>1.00922</v>
      </c>
      <c r="L137">
        <f t="shared" si="12"/>
        <v>18.5791</v>
      </c>
      <c r="M137">
        <f t="shared" si="13"/>
        <v>18.773065804000002</v>
      </c>
      <c r="N137" s="9"/>
      <c r="O137" s="22">
        <v>0.539551</v>
      </c>
      <c r="P137" s="22">
        <v>69.465999999999994</v>
      </c>
      <c r="Q137" s="22">
        <v>-1.9122299999999998E-2</v>
      </c>
      <c r="R137" s="22">
        <v>127</v>
      </c>
      <c r="S137" s="22">
        <v>0.53881800000000002</v>
      </c>
      <c r="T137">
        <f t="shared" si="14"/>
        <v>19.122299999999999</v>
      </c>
      <c r="U137">
        <f t="shared" si="15"/>
        <v>10.3174560873</v>
      </c>
      <c r="X137" s="9"/>
      <c r="Y137" s="22">
        <v>1.01044</v>
      </c>
      <c r="Z137" s="22">
        <v>103.489</v>
      </c>
      <c r="AA137" s="22">
        <v>-1.8725599999999998E-2</v>
      </c>
      <c r="AB137" s="22">
        <v>127</v>
      </c>
      <c r="AC137" s="22">
        <v>1.00983</v>
      </c>
      <c r="AD137">
        <f t="shared" si="16"/>
        <v>18.7256</v>
      </c>
      <c r="AE137">
        <f t="shared" si="17"/>
        <v>18.921095264000002</v>
      </c>
      <c r="AF137" s="9"/>
      <c r="AG137" s="22">
        <v>0.539551</v>
      </c>
      <c r="AH137" s="22">
        <v>137.495</v>
      </c>
      <c r="AI137" s="22">
        <v>-1.9244399999999998E-2</v>
      </c>
      <c r="AJ137" s="22">
        <v>127</v>
      </c>
      <c r="AK137" s="22">
        <v>0.53872699999999996</v>
      </c>
      <c r="AL137">
        <f t="shared" si="18"/>
        <v>19.244399999999999</v>
      </c>
      <c r="AM137">
        <f t="shared" si="19"/>
        <v>10.383335264399999</v>
      </c>
      <c r="AP137" s="9"/>
      <c r="AQ137" s="22">
        <v>1.01044</v>
      </c>
      <c r="AR137" s="22">
        <v>171.554</v>
      </c>
      <c r="AS137" s="22">
        <v>-1.87225E-2</v>
      </c>
      <c r="AT137" s="22">
        <v>127</v>
      </c>
      <c r="AU137" s="22">
        <v>1.00983</v>
      </c>
      <c r="AV137">
        <f t="shared" si="20"/>
        <v>18.7225</v>
      </c>
      <c r="AW137">
        <f t="shared" si="21"/>
        <v>18.917962899999999</v>
      </c>
      <c r="AX137" s="9"/>
      <c r="AY137" s="22">
        <v>0.539551</v>
      </c>
      <c r="AZ137" s="22">
        <v>205.58</v>
      </c>
      <c r="BA137" s="22">
        <v>-1.9229099999999999E-2</v>
      </c>
      <c r="BB137" s="22">
        <v>127</v>
      </c>
      <c r="BC137" s="22">
        <v>0.53884900000000002</v>
      </c>
      <c r="BD137">
        <f t="shared" si="22"/>
        <v>19.229099999999999</v>
      </c>
      <c r="BE137">
        <f t="shared" si="23"/>
        <v>10.375080134099999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1.0054000000000001</v>
      </c>
      <c r="H138" s="22">
        <v>35.422899999999998</v>
      </c>
      <c r="I138" s="22">
        <v>-1.85852E-2</v>
      </c>
      <c r="J138" s="22">
        <v>128</v>
      </c>
      <c r="K138" s="22">
        <v>1.00464</v>
      </c>
      <c r="L138">
        <f t="shared" si="12"/>
        <v>18.5852</v>
      </c>
      <c r="M138">
        <f t="shared" si="13"/>
        <v>18.685560080000002</v>
      </c>
      <c r="N138" s="9"/>
      <c r="O138" s="22">
        <v>0.54458600000000001</v>
      </c>
      <c r="P138" s="22">
        <v>69.476100000000002</v>
      </c>
      <c r="Q138" s="22">
        <v>-1.9119299999999999E-2</v>
      </c>
      <c r="R138" s="22">
        <v>128</v>
      </c>
      <c r="S138" s="22">
        <v>0.54367100000000002</v>
      </c>
      <c r="T138">
        <f t="shared" si="14"/>
        <v>19.119299999999999</v>
      </c>
      <c r="U138">
        <f t="shared" si="15"/>
        <v>10.4121031098</v>
      </c>
      <c r="X138" s="9"/>
      <c r="Y138" s="22">
        <v>1.0054000000000001</v>
      </c>
      <c r="Z138" s="22">
        <v>103.499</v>
      </c>
      <c r="AA138" s="22">
        <v>-1.87317E-2</v>
      </c>
      <c r="AB138" s="22">
        <v>128</v>
      </c>
      <c r="AC138" s="22">
        <v>1.00464</v>
      </c>
      <c r="AD138">
        <f t="shared" si="16"/>
        <v>18.7317</v>
      </c>
      <c r="AE138">
        <f t="shared" si="17"/>
        <v>18.832851180000002</v>
      </c>
      <c r="AF138" s="9"/>
      <c r="AG138" s="22">
        <v>0.54458600000000001</v>
      </c>
      <c r="AH138" s="22">
        <v>137.505</v>
      </c>
      <c r="AI138" s="22">
        <v>-1.92383E-2</v>
      </c>
      <c r="AJ138" s="22">
        <v>128</v>
      </c>
      <c r="AK138" s="22">
        <v>0.54403699999999999</v>
      </c>
      <c r="AL138">
        <f t="shared" si="18"/>
        <v>19.238299999999999</v>
      </c>
      <c r="AM138">
        <f t="shared" si="19"/>
        <v>10.4769088438</v>
      </c>
      <c r="AP138" s="9"/>
      <c r="AQ138" s="22">
        <v>1.0054000000000001</v>
      </c>
      <c r="AR138" s="22">
        <v>171.56399999999999</v>
      </c>
      <c r="AS138" s="22">
        <v>-1.8725599999999998E-2</v>
      </c>
      <c r="AT138" s="22">
        <v>128</v>
      </c>
      <c r="AU138" s="22">
        <v>1.0043299999999999</v>
      </c>
      <c r="AV138">
        <f t="shared" si="20"/>
        <v>18.7256</v>
      </c>
      <c r="AW138">
        <f t="shared" si="21"/>
        <v>18.826718240000002</v>
      </c>
      <c r="AX138" s="9"/>
      <c r="AY138" s="22">
        <v>0.54458600000000001</v>
      </c>
      <c r="AZ138" s="22">
        <v>205.59</v>
      </c>
      <c r="BA138" s="22">
        <v>-1.9226099999999999E-2</v>
      </c>
      <c r="BB138" s="22">
        <v>128</v>
      </c>
      <c r="BC138" s="22">
        <v>0.54382299999999995</v>
      </c>
      <c r="BD138">
        <f t="shared" si="22"/>
        <v>19.226099999999999</v>
      </c>
      <c r="BE138">
        <f t="shared" si="23"/>
        <v>10.4702648946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1.00037</v>
      </c>
      <c r="H139" s="22">
        <v>35.433</v>
      </c>
      <c r="I139" s="22">
        <v>-1.8591300000000002E-2</v>
      </c>
      <c r="J139" s="22">
        <v>129</v>
      </c>
      <c r="K139" s="22">
        <v>0.99883999999999995</v>
      </c>
      <c r="L139">
        <f t="shared" si="12"/>
        <v>18.5913</v>
      </c>
      <c r="M139">
        <f t="shared" si="13"/>
        <v>18.598178781000001</v>
      </c>
      <c r="N139" s="9"/>
      <c r="O139" s="22">
        <v>0.54962200000000005</v>
      </c>
      <c r="P139" s="22">
        <v>69.486199999999997</v>
      </c>
      <c r="Q139" s="22">
        <v>-1.91162E-2</v>
      </c>
      <c r="R139" s="22">
        <v>129</v>
      </c>
      <c r="S139" s="22">
        <v>0.54901100000000003</v>
      </c>
      <c r="T139">
        <f t="shared" si="14"/>
        <v>19.116199999999999</v>
      </c>
      <c r="U139">
        <f t="shared" si="15"/>
        <v>10.506684076400001</v>
      </c>
      <c r="X139" s="9"/>
      <c r="Y139" s="22">
        <v>1.00037</v>
      </c>
      <c r="Z139" s="22">
        <v>103.509</v>
      </c>
      <c r="AA139" s="22">
        <v>-1.8737799999999999E-2</v>
      </c>
      <c r="AB139" s="22">
        <v>129</v>
      </c>
      <c r="AC139" s="22">
        <v>0.99914599999999998</v>
      </c>
      <c r="AD139">
        <f t="shared" si="16"/>
        <v>18.7378</v>
      </c>
      <c r="AE139">
        <f t="shared" si="17"/>
        <v>18.744732985999999</v>
      </c>
      <c r="AF139" s="9"/>
      <c r="AG139" s="22">
        <v>0.54962200000000005</v>
      </c>
      <c r="AH139" s="22">
        <v>137.51499999999999</v>
      </c>
      <c r="AI139" s="22">
        <v>-1.9229099999999999E-2</v>
      </c>
      <c r="AJ139" s="22">
        <v>129</v>
      </c>
      <c r="AK139" s="22">
        <v>0.54898100000000005</v>
      </c>
      <c r="AL139">
        <f t="shared" si="18"/>
        <v>19.229099999999999</v>
      </c>
      <c r="AM139">
        <f t="shared" si="19"/>
        <v>10.568736400200001</v>
      </c>
      <c r="AP139" s="9"/>
      <c r="AQ139" s="22">
        <v>1.00037</v>
      </c>
      <c r="AR139" s="22">
        <v>171.57400000000001</v>
      </c>
      <c r="AS139" s="22">
        <v>-1.87317E-2</v>
      </c>
      <c r="AT139" s="22">
        <v>129</v>
      </c>
      <c r="AU139" s="22">
        <v>0.99945099999999998</v>
      </c>
      <c r="AV139">
        <f t="shared" si="20"/>
        <v>18.7317</v>
      </c>
      <c r="AW139">
        <f t="shared" si="21"/>
        <v>18.738630729</v>
      </c>
      <c r="AX139" s="9"/>
      <c r="AY139" s="22">
        <v>0.54962200000000005</v>
      </c>
      <c r="AZ139" s="22">
        <v>205.6</v>
      </c>
      <c r="BA139" s="22">
        <v>-1.9220000000000001E-2</v>
      </c>
      <c r="BB139" s="22">
        <v>129</v>
      </c>
      <c r="BC139" s="22">
        <v>0.54891999999999996</v>
      </c>
      <c r="BD139">
        <f t="shared" si="22"/>
        <v>19.220000000000002</v>
      </c>
      <c r="BE139">
        <f t="shared" si="23"/>
        <v>10.563734840000002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0.99533099999999997</v>
      </c>
      <c r="H140" s="22">
        <v>35.443100000000001</v>
      </c>
      <c r="I140" s="22">
        <v>-1.85974E-2</v>
      </c>
      <c r="J140" s="22">
        <v>130</v>
      </c>
      <c r="K140" s="22">
        <v>0.99456800000000001</v>
      </c>
      <c r="L140">
        <f t="shared" ref="L140:L203" si="24">-I140/$F$2*1000</f>
        <v>18.5974</v>
      </c>
      <c r="M140">
        <f t="shared" ref="M140:M203" si="25">L140*G140</f>
        <v>18.5105687394</v>
      </c>
      <c r="N140" s="9"/>
      <c r="O140" s="22">
        <v>0.55465699999999996</v>
      </c>
      <c r="P140" s="22">
        <v>69.496200000000002</v>
      </c>
      <c r="Q140" s="22">
        <v>-1.9107099999999998E-2</v>
      </c>
      <c r="R140" s="22">
        <v>130</v>
      </c>
      <c r="S140" s="22">
        <v>0.55386400000000002</v>
      </c>
      <c r="T140">
        <f t="shared" ref="T140:T203" si="26">-Q140/$F$2*1000</f>
        <v>19.107099999999999</v>
      </c>
      <c r="U140">
        <f t="shared" ref="U140:U203" si="27">T140*O140</f>
        <v>10.597886764699998</v>
      </c>
      <c r="X140" s="9"/>
      <c r="Y140" s="22">
        <v>0.99533099999999997</v>
      </c>
      <c r="Z140" s="22">
        <v>103.51900000000001</v>
      </c>
      <c r="AA140" s="22">
        <v>-1.8743900000000001E-2</v>
      </c>
      <c r="AB140" s="22">
        <v>130</v>
      </c>
      <c r="AC140" s="22">
        <v>0.99426300000000001</v>
      </c>
      <c r="AD140">
        <f t="shared" ref="AD140:AD203" si="28">-AA140/$F$2*1000</f>
        <v>18.7439</v>
      </c>
      <c r="AE140">
        <f t="shared" ref="AE140:AE203" si="29">AD140*Y140</f>
        <v>18.656384730900001</v>
      </c>
      <c r="AF140" s="9"/>
      <c r="AG140" s="22">
        <v>0.55465699999999996</v>
      </c>
      <c r="AH140" s="22">
        <v>137.52600000000001</v>
      </c>
      <c r="AI140" s="22">
        <v>-1.9223000000000001E-2</v>
      </c>
      <c r="AJ140" s="22">
        <v>130</v>
      </c>
      <c r="AK140" s="22">
        <v>0.55404699999999996</v>
      </c>
      <c r="AL140">
        <f t="shared" ref="AL140:AL203" si="30">-AI140/$F$2*1000</f>
        <v>19.222999999999999</v>
      </c>
      <c r="AM140">
        <f t="shared" ref="AM140:AM203" si="31">AL140*AG140</f>
        <v>10.662171510999999</v>
      </c>
      <c r="AP140" s="9"/>
      <c r="AQ140" s="22">
        <v>0.99533099999999997</v>
      </c>
      <c r="AR140" s="22">
        <v>171.584</v>
      </c>
      <c r="AS140" s="22">
        <v>-1.8737799999999999E-2</v>
      </c>
      <c r="AT140" s="22">
        <v>130</v>
      </c>
      <c r="AU140" s="22">
        <v>0.99456800000000001</v>
      </c>
      <c r="AV140">
        <f t="shared" ref="AV140:AV203" si="32">-AS140/$F$2*1000</f>
        <v>18.7378</v>
      </c>
      <c r="AW140">
        <f t="shared" ref="AW140:AW203" si="33">AV140*AQ140</f>
        <v>18.6503132118</v>
      </c>
      <c r="AX140" s="9"/>
      <c r="AY140" s="22">
        <v>0.55465699999999996</v>
      </c>
      <c r="AZ140" s="22">
        <v>205.61</v>
      </c>
      <c r="BA140" s="22">
        <v>-1.9213899999999999E-2</v>
      </c>
      <c r="BB140" s="22">
        <v>130</v>
      </c>
      <c r="BC140" s="22">
        <v>0.55380200000000002</v>
      </c>
      <c r="BD140">
        <f t="shared" ref="BD140:BD203" si="34">-BA140/$F$2*1000</f>
        <v>19.213899999999999</v>
      </c>
      <c r="BE140">
        <f t="shared" ref="BE140:BE203" si="35">BD140*AY140</f>
        <v>10.657124132299998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0.99029500000000004</v>
      </c>
      <c r="H141" s="22">
        <v>35.453200000000002</v>
      </c>
      <c r="I141" s="22">
        <v>-1.8603499999999999E-2</v>
      </c>
      <c r="J141" s="22">
        <v>131</v>
      </c>
      <c r="K141" s="22">
        <v>0.98938000000000004</v>
      </c>
      <c r="L141">
        <f t="shared" si="24"/>
        <v>18.603499999999997</v>
      </c>
      <c r="M141">
        <f t="shared" si="25"/>
        <v>18.422953032499997</v>
      </c>
      <c r="N141" s="9"/>
      <c r="O141" s="22">
        <v>0.55969199999999997</v>
      </c>
      <c r="P141" s="22">
        <v>69.506299999999996</v>
      </c>
      <c r="Q141" s="22">
        <v>-1.9103999999999999E-2</v>
      </c>
      <c r="R141" s="22">
        <v>131</v>
      </c>
      <c r="S141" s="22">
        <v>0.55902099999999999</v>
      </c>
      <c r="T141">
        <f t="shared" si="26"/>
        <v>19.103999999999999</v>
      </c>
      <c r="U141">
        <f t="shared" si="27"/>
        <v>10.692355967999999</v>
      </c>
      <c r="X141" s="9"/>
      <c r="Y141" s="22">
        <v>0.99029500000000004</v>
      </c>
      <c r="Z141" s="22">
        <v>103.529</v>
      </c>
      <c r="AA141" s="22">
        <v>-1.87469E-2</v>
      </c>
      <c r="AB141" s="22">
        <v>131</v>
      </c>
      <c r="AC141" s="22">
        <v>0.98938000000000004</v>
      </c>
      <c r="AD141">
        <f t="shared" si="28"/>
        <v>18.7469</v>
      </c>
      <c r="AE141">
        <f t="shared" si="29"/>
        <v>18.564961335500001</v>
      </c>
      <c r="AF141" s="9"/>
      <c r="AG141" s="22">
        <v>0.55969199999999997</v>
      </c>
      <c r="AH141" s="22">
        <v>137.536</v>
      </c>
      <c r="AI141" s="22">
        <v>-1.9220000000000001E-2</v>
      </c>
      <c r="AJ141" s="22">
        <v>131</v>
      </c>
      <c r="AK141" s="22">
        <v>0.55886800000000003</v>
      </c>
      <c r="AL141">
        <f t="shared" si="30"/>
        <v>19.220000000000002</v>
      </c>
      <c r="AM141">
        <f t="shared" si="31"/>
        <v>10.75728024</v>
      </c>
      <c r="AP141" s="9"/>
      <c r="AQ141" s="22">
        <v>0.99029500000000004</v>
      </c>
      <c r="AR141" s="22">
        <v>171.59399999999999</v>
      </c>
      <c r="AS141" s="22">
        <v>-1.8737799999999999E-2</v>
      </c>
      <c r="AT141" s="22">
        <v>131</v>
      </c>
      <c r="AU141" s="22">
        <v>0.98938000000000004</v>
      </c>
      <c r="AV141">
        <f t="shared" si="32"/>
        <v>18.7378</v>
      </c>
      <c r="AW141">
        <f t="shared" si="33"/>
        <v>18.555949651000002</v>
      </c>
      <c r="AX141" s="9"/>
      <c r="AY141" s="22">
        <v>0.55969199999999997</v>
      </c>
      <c r="AZ141" s="22">
        <v>205.62</v>
      </c>
      <c r="BA141" s="22">
        <v>-1.9207800000000001E-2</v>
      </c>
      <c r="BB141" s="22">
        <v>131</v>
      </c>
      <c r="BC141" s="22">
        <v>0.55908199999999997</v>
      </c>
      <c r="BD141">
        <f t="shared" si="34"/>
        <v>19.207799999999999</v>
      </c>
      <c r="BE141">
        <f t="shared" si="35"/>
        <v>10.750451997599999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0.98526000000000002</v>
      </c>
      <c r="H142" s="22">
        <v>35.463200000000001</v>
      </c>
      <c r="I142" s="22">
        <v>-1.8606600000000001E-2</v>
      </c>
      <c r="J142" s="22">
        <v>132</v>
      </c>
      <c r="K142" s="22">
        <v>0.98480199999999996</v>
      </c>
      <c r="L142">
        <f t="shared" si="24"/>
        <v>18.6066</v>
      </c>
      <c r="M142">
        <f t="shared" si="25"/>
        <v>18.332338716000002</v>
      </c>
      <c r="N142" s="9"/>
      <c r="O142" s="22">
        <v>0.56472800000000001</v>
      </c>
      <c r="P142" s="22">
        <v>69.516400000000004</v>
      </c>
      <c r="Q142" s="22">
        <v>-1.9094799999999999E-2</v>
      </c>
      <c r="R142" s="22">
        <v>132</v>
      </c>
      <c r="S142" s="22">
        <v>0.56414799999999998</v>
      </c>
      <c r="T142">
        <f t="shared" si="26"/>
        <v>19.094799999999999</v>
      </c>
      <c r="U142">
        <f t="shared" si="27"/>
        <v>10.783368214399999</v>
      </c>
      <c r="X142" s="9"/>
      <c r="Y142" s="22">
        <v>0.98526000000000002</v>
      </c>
      <c r="Z142" s="22">
        <v>103.54</v>
      </c>
      <c r="AA142" s="22">
        <v>-1.8749999999999999E-2</v>
      </c>
      <c r="AB142" s="22">
        <v>132</v>
      </c>
      <c r="AC142" s="22">
        <v>0.98388699999999996</v>
      </c>
      <c r="AD142">
        <f t="shared" si="28"/>
        <v>18.75</v>
      </c>
      <c r="AE142">
        <f t="shared" si="29"/>
        <v>18.473625000000002</v>
      </c>
      <c r="AF142" s="9"/>
      <c r="AG142" s="22">
        <v>0.56472800000000001</v>
      </c>
      <c r="AH142" s="22">
        <v>137.54599999999999</v>
      </c>
      <c r="AI142" s="22">
        <v>-1.9213899999999999E-2</v>
      </c>
      <c r="AJ142" s="22">
        <v>132</v>
      </c>
      <c r="AK142" s="22">
        <v>0.56414799999999998</v>
      </c>
      <c r="AL142">
        <f t="shared" si="30"/>
        <v>19.213899999999999</v>
      </c>
      <c r="AM142">
        <f t="shared" si="31"/>
        <v>10.850627319199999</v>
      </c>
      <c r="AP142" s="9"/>
      <c r="AQ142" s="22">
        <v>0.98526000000000002</v>
      </c>
      <c r="AR142" s="22">
        <v>171.60400000000001</v>
      </c>
      <c r="AS142" s="22">
        <v>-1.8743900000000001E-2</v>
      </c>
      <c r="AT142" s="22">
        <v>132</v>
      </c>
      <c r="AU142" s="22">
        <v>0.98419199999999996</v>
      </c>
      <c r="AV142">
        <f t="shared" si="32"/>
        <v>18.7439</v>
      </c>
      <c r="AW142">
        <f t="shared" si="33"/>
        <v>18.467614914000002</v>
      </c>
      <c r="AX142" s="9"/>
      <c r="AY142" s="22">
        <v>0.56472800000000001</v>
      </c>
      <c r="AZ142" s="22">
        <v>205.63</v>
      </c>
      <c r="BA142" s="22">
        <v>-1.9204700000000002E-2</v>
      </c>
      <c r="BB142" s="22">
        <v>132</v>
      </c>
      <c r="BC142" s="22">
        <v>0.56372100000000003</v>
      </c>
      <c r="BD142">
        <f t="shared" si="34"/>
        <v>19.204700000000003</v>
      </c>
      <c r="BE142">
        <f t="shared" si="35"/>
        <v>10.845431821600002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0.98022500000000001</v>
      </c>
      <c r="H143" s="22">
        <v>35.473300000000002</v>
      </c>
      <c r="I143" s="22">
        <v>-1.8612699999999999E-2</v>
      </c>
      <c r="J143" s="22">
        <v>133</v>
      </c>
      <c r="K143" s="22">
        <v>0.97961399999999998</v>
      </c>
      <c r="L143">
        <f t="shared" si="24"/>
        <v>18.6127</v>
      </c>
      <c r="M143">
        <f t="shared" si="25"/>
        <v>18.244633857500002</v>
      </c>
      <c r="N143" s="9"/>
      <c r="O143" s="22">
        <v>0.56976300000000002</v>
      </c>
      <c r="P143" s="22">
        <v>69.526399999999995</v>
      </c>
      <c r="Q143" s="22">
        <v>-1.9091799999999999E-2</v>
      </c>
      <c r="R143" s="22">
        <v>133</v>
      </c>
      <c r="S143" s="22">
        <v>0.568909</v>
      </c>
      <c r="T143">
        <f t="shared" si="26"/>
        <v>19.091799999999999</v>
      </c>
      <c r="U143">
        <f t="shared" si="27"/>
        <v>10.8778012434</v>
      </c>
      <c r="X143" s="9"/>
      <c r="Y143" s="22">
        <v>0.98022500000000001</v>
      </c>
      <c r="Z143" s="22">
        <v>103.55</v>
      </c>
      <c r="AA143" s="22">
        <v>-1.8753100000000002E-2</v>
      </c>
      <c r="AB143" s="22">
        <v>133</v>
      </c>
      <c r="AC143" s="22">
        <v>0.97930899999999999</v>
      </c>
      <c r="AD143">
        <f t="shared" si="28"/>
        <v>18.753100000000003</v>
      </c>
      <c r="AE143">
        <f t="shared" si="29"/>
        <v>18.382257447500002</v>
      </c>
      <c r="AF143" s="9"/>
      <c r="AG143" s="22">
        <v>0.56976300000000002</v>
      </c>
      <c r="AH143" s="22">
        <v>137.55600000000001</v>
      </c>
      <c r="AI143" s="22">
        <v>-1.9207800000000001E-2</v>
      </c>
      <c r="AJ143" s="22">
        <v>133</v>
      </c>
      <c r="AK143" s="22">
        <v>0.56918299999999999</v>
      </c>
      <c r="AL143">
        <f t="shared" si="30"/>
        <v>19.207799999999999</v>
      </c>
      <c r="AM143">
        <f t="shared" si="31"/>
        <v>10.943893751399999</v>
      </c>
      <c r="AP143" s="9"/>
      <c r="AQ143" s="22">
        <v>0.98022500000000001</v>
      </c>
      <c r="AR143" s="22">
        <v>171.614</v>
      </c>
      <c r="AS143" s="22">
        <v>-1.8753100000000002E-2</v>
      </c>
      <c r="AT143" s="22">
        <v>133</v>
      </c>
      <c r="AU143" s="22">
        <v>0.97961399999999998</v>
      </c>
      <c r="AV143">
        <f t="shared" si="32"/>
        <v>18.753100000000003</v>
      </c>
      <c r="AW143">
        <f t="shared" si="33"/>
        <v>18.382257447500002</v>
      </c>
      <c r="AX143" s="9"/>
      <c r="AY143" s="22">
        <v>0.56976300000000002</v>
      </c>
      <c r="AZ143" s="22">
        <v>205.64</v>
      </c>
      <c r="BA143" s="22">
        <v>-1.9192500000000001E-2</v>
      </c>
      <c r="BB143" s="22">
        <v>133</v>
      </c>
      <c r="BC143" s="22">
        <v>0.56869499999999995</v>
      </c>
      <c r="BD143">
        <f t="shared" si="34"/>
        <v>19.192500000000003</v>
      </c>
      <c r="BE143">
        <f t="shared" si="35"/>
        <v>10.935176377500001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0.97518899999999997</v>
      </c>
      <c r="H144" s="22">
        <v>35.483400000000003</v>
      </c>
      <c r="I144" s="22">
        <v>-1.8618800000000001E-2</v>
      </c>
      <c r="J144" s="22">
        <v>134</v>
      </c>
      <c r="K144" s="22">
        <v>0.97412100000000001</v>
      </c>
      <c r="L144">
        <f t="shared" si="24"/>
        <v>18.6188</v>
      </c>
      <c r="M144">
        <f t="shared" si="25"/>
        <v>18.156848953200001</v>
      </c>
      <c r="N144" s="9"/>
      <c r="O144" s="22">
        <v>0.57479899999999995</v>
      </c>
      <c r="P144" s="22">
        <v>69.536500000000004</v>
      </c>
      <c r="Q144" s="22">
        <v>-1.9082600000000002E-2</v>
      </c>
      <c r="R144" s="22">
        <v>134</v>
      </c>
      <c r="S144" s="22">
        <v>0.57391400000000004</v>
      </c>
      <c r="T144">
        <f t="shared" si="26"/>
        <v>19.082600000000003</v>
      </c>
      <c r="U144">
        <f t="shared" si="27"/>
        <v>10.968659397400002</v>
      </c>
      <c r="X144" s="9"/>
      <c r="Y144" s="22">
        <v>0.97518899999999997</v>
      </c>
      <c r="Z144" s="22">
        <v>103.56</v>
      </c>
      <c r="AA144" s="22">
        <v>-1.87622E-2</v>
      </c>
      <c r="AB144" s="22">
        <v>134</v>
      </c>
      <c r="AC144" s="22">
        <v>0.97412100000000001</v>
      </c>
      <c r="AD144">
        <f t="shared" si="28"/>
        <v>18.7622</v>
      </c>
      <c r="AE144">
        <f t="shared" si="29"/>
        <v>18.2966910558</v>
      </c>
      <c r="AF144" s="9"/>
      <c r="AG144" s="22">
        <v>0.57479899999999995</v>
      </c>
      <c r="AH144" s="22">
        <v>137.566</v>
      </c>
      <c r="AI144" s="22">
        <v>-1.9204700000000002E-2</v>
      </c>
      <c r="AJ144" s="22">
        <v>134</v>
      </c>
      <c r="AK144" s="22">
        <v>0.57391400000000004</v>
      </c>
      <c r="AL144">
        <f t="shared" si="30"/>
        <v>19.204700000000003</v>
      </c>
      <c r="AM144">
        <f t="shared" si="31"/>
        <v>11.0388423553</v>
      </c>
      <c r="AP144" s="9"/>
      <c r="AQ144" s="22">
        <v>0.97518899999999997</v>
      </c>
      <c r="AR144" s="22">
        <v>171.624</v>
      </c>
      <c r="AS144" s="22">
        <v>-1.8756100000000001E-2</v>
      </c>
      <c r="AT144" s="22">
        <v>134</v>
      </c>
      <c r="AU144" s="22">
        <v>0.97412100000000001</v>
      </c>
      <c r="AV144">
        <f t="shared" si="32"/>
        <v>18.7561</v>
      </c>
      <c r="AW144">
        <f t="shared" si="33"/>
        <v>18.290742402900001</v>
      </c>
      <c r="AX144" s="9"/>
      <c r="AY144" s="22">
        <v>0.57479899999999995</v>
      </c>
      <c r="AZ144" s="22">
        <v>205.65100000000001</v>
      </c>
      <c r="BA144" s="22">
        <v>-1.9186399999999999E-2</v>
      </c>
      <c r="BB144" s="22">
        <v>134</v>
      </c>
      <c r="BC144" s="22">
        <v>0.57406599999999997</v>
      </c>
      <c r="BD144">
        <f t="shared" si="34"/>
        <v>19.186399999999999</v>
      </c>
      <c r="BE144">
        <f t="shared" si="35"/>
        <v>11.028323533599998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0.97015399999999996</v>
      </c>
      <c r="H145" s="22">
        <v>35.493400000000001</v>
      </c>
      <c r="I145" s="22">
        <v>-1.8621800000000001E-2</v>
      </c>
      <c r="J145" s="22">
        <v>135</v>
      </c>
      <c r="K145" s="22">
        <v>0.96954300000000004</v>
      </c>
      <c r="L145">
        <f t="shared" si="24"/>
        <v>18.6218</v>
      </c>
      <c r="M145">
        <f t="shared" si="25"/>
        <v>18.0660137572</v>
      </c>
      <c r="N145" s="9"/>
      <c r="O145" s="22">
        <v>0.57983399999999996</v>
      </c>
      <c r="P145" s="22">
        <v>69.546599999999998</v>
      </c>
      <c r="Q145" s="22">
        <v>-1.90765E-2</v>
      </c>
      <c r="R145" s="22">
        <v>135</v>
      </c>
      <c r="S145" s="22">
        <v>0.57910200000000001</v>
      </c>
      <c r="T145">
        <f t="shared" si="26"/>
        <v>19.076499999999999</v>
      </c>
      <c r="U145">
        <f t="shared" si="27"/>
        <v>11.061203300999999</v>
      </c>
      <c r="X145" s="9"/>
      <c r="Y145" s="22">
        <v>0.97015399999999996</v>
      </c>
      <c r="Z145" s="22">
        <v>103.57</v>
      </c>
      <c r="AA145" s="22">
        <v>-1.8768300000000002E-2</v>
      </c>
      <c r="AB145" s="22">
        <v>135</v>
      </c>
      <c r="AC145" s="22">
        <v>0.96893300000000004</v>
      </c>
      <c r="AD145">
        <f t="shared" si="28"/>
        <v>18.7683</v>
      </c>
      <c r="AE145">
        <f t="shared" si="29"/>
        <v>18.208141318199999</v>
      </c>
      <c r="AF145" s="9"/>
      <c r="AG145" s="22">
        <v>0.57983399999999996</v>
      </c>
      <c r="AH145" s="22">
        <v>137.57599999999999</v>
      </c>
      <c r="AI145" s="22">
        <v>-1.91986E-2</v>
      </c>
      <c r="AJ145" s="22">
        <v>135</v>
      </c>
      <c r="AK145" s="22">
        <v>0.57916299999999998</v>
      </c>
      <c r="AL145">
        <f t="shared" si="30"/>
        <v>19.198599999999999</v>
      </c>
      <c r="AM145">
        <f t="shared" si="31"/>
        <v>11.132001032399998</v>
      </c>
      <c r="AP145" s="9"/>
      <c r="AQ145" s="22">
        <v>0.97015399999999996</v>
      </c>
      <c r="AR145" s="22">
        <v>171.63399999999999</v>
      </c>
      <c r="AS145" s="22">
        <v>-1.87592E-2</v>
      </c>
      <c r="AT145" s="22">
        <v>135</v>
      </c>
      <c r="AU145" s="22">
        <v>0.96893300000000004</v>
      </c>
      <c r="AV145">
        <f t="shared" si="32"/>
        <v>18.7592</v>
      </c>
      <c r="AW145">
        <f t="shared" si="33"/>
        <v>18.1993129168</v>
      </c>
      <c r="AX145" s="9"/>
      <c r="AY145" s="22">
        <v>0.57983399999999996</v>
      </c>
      <c r="AZ145" s="22">
        <v>205.661</v>
      </c>
      <c r="BA145" s="22">
        <v>-1.9180300000000001E-2</v>
      </c>
      <c r="BB145" s="22">
        <v>135</v>
      </c>
      <c r="BC145" s="22">
        <v>0.57901000000000002</v>
      </c>
      <c r="BD145">
        <f t="shared" si="34"/>
        <v>19.180300000000003</v>
      </c>
      <c r="BE145">
        <f t="shared" si="35"/>
        <v>11.1213900702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0.96511800000000003</v>
      </c>
      <c r="H146" s="22">
        <v>35.503500000000003</v>
      </c>
      <c r="I146" s="22">
        <v>-1.8627899999999999E-2</v>
      </c>
      <c r="J146" s="22">
        <v>136</v>
      </c>
      <c r="K146" s="22">
        <v>0.96404999999999996</v>
      </c>
      <c r="L146">
        <f t="shared" si="24"/>
        <v>18.6279</v>
      </c>
      <c r="M146">
        <f t="shared" si="25"/>
        <v>17.978121592200001</v>
      </c>
      <c r="N146" s="9"/>
      <c r="O146" s="22">
        <v>0.58486899999999997</v>
      </c>
      <c r="P146" s="22">
        <v>69.556700000000006</v>
      </c>
      <c r="Q146" s="22">
        <v>-1.90735E-2</v>
      </c>
      <c r="R146" s="22">
        <v>136</v>
      </c>
      <c r="S146" s="22">
        <v>0.58413700000000002</v>
      </c>
      <c r="T146">
        <f t="shared" si="26"/>
        <v>19.073499999999999</v>
      </c>
      <c r="U146">
        <f t="shared" si="27"/>
        <v>11.155498871499999</v>
      </c>
      <c r="X146" s="9"/>
      <c r="Y146" s="22">
        <v>0.96511800000000003</v>
      </c>
      <c r="Z146" s="22">
        <v>103.58</v>
      </c>
      <c r="AA146" s="22">
        <v>-1.87744E-2</v>
      </c>
      <c r="AB146" s="22">
        <v>136</v>
      </c>
      <c r="AC146" s="22">
        <v>0.96404999999999996</v>
      </c>
      <c r="AD146">
        <f t="shared" si="28"/>
        <v>18.7744</v>
      </c>
      <c r="AE146">
        <f t="shared" si="29"/>
        <v>18.119511379200002</v>
      </c>
      <c r="AF146" s="9"/>
      <c r="AG146" s="22">
        <v>0.58486899999999997</v>
      </c>
      <c r="AH146" s="22">
        <v>137.58600000000001</v>
      </c>
      <c r="AI146" s="22">
        <v>-1.91956E-2</v>
      </c>
      <c r="AJ146" s="22">
        <v>136</v>
      </c>
      <c r="AK146" s="22">
        <v>0.584198</v>
      </c>
      <c r="AL146">
        <f t="shared" si="30"/>
        <v>19.195599999999999</v>
      </c>
      <c r="AM146">
        <f t="shared" si="31"/>
        <v>11.226911376399999</v>
      </c>
      <c r="AP146" s="9"/>
      <c r="AQ146" s="22">
        <v>0.96511800000000003</v>
      </c>
      <c r="AR146" s="22">
        <v>171.64500000000001</v>
      </c>
      <c r="AS146" s="22">
        <v>-1.8765299999999999E-2</v>
      </c>
      <c r="AT146" s="22">
        <v>136</v>
      </c>
      <c r="AU146" s="22">
        <v>0.96404999999999996</v>
      </c>
      <c r="AV146">
        <f t="shared" si="32"/>
        <v>18.7653</v>
      </c>
      <c r="AW146">
        <f t="shared" si="33"/>
        <v>18.110728805400001</v>
      </c>
      <c r="AX146" s="9"/>
      <c r="AY146" s="22">
        <v>0.58486899999999997</v>
      </c>
      <c r="AZ146" s="22">
        <v>205.67099999999999</v>
      </c>
      <c r="BA146" s="22">
        <v>-1.9180300000000001E-2</v>
      </c>
      <c r="BB146" s="22">
        <v>136</v>
      </c>
      <c r="BC146" s="22">
        <v>0.584229</v>
      </c>
      <c r="BD146">
        <f t="shared" si="34"/>
        <v>19.180300000000003</v>
      </c>
      <c r="BE146">
        <f t="shared" si="35"/>
        <v>11.217962880700002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0.96008300000000002</v>
      </c>
      <c r="H147" s="22">
        <v>35.513599999999997</v>
      </c>
      <c r="I147" s="22">
        <v>-1.8631000000000002E-2</v>
      </c>
      <c r="J147" s="22">
        <v>137</v>
      </c>
      <c r="K147" s="22">
        <v>0.95855699999999999</v>
      </c>
      <c r="L147">
        <f t="shared" si="24"/>
        <v>18.631</v>
      </c>
      <c r="M147">
        <f t="shared" si="25"/>
        <v>17.887306373000001</v>
      </c>
      <c r="N147" s="9"/>
      <c r="O147" s="22">
        <v>0.58990500000000001</v>
      </c>
      <c r="P147" s="22">
        <v>69.566699999999997</v>
      </c>
      <c r="Q147" s="22">
        <v>-1.9070400000000001E-2</v>
      </c>
      <c r="R147" s="22">
        <v>137</v>
      </c>
      <c r="S147" s="22">
        <v>0.58895900000000001</v>
      </c>
      <c r="T147">
        <f t="shared" si="26"/>
        <v>19.070400000000003</v>
      </c>
      <c r="U147">
        <f t="shared" si="27"/>
        <v>11.249724312000001</v>
      </c>
      <c r="X147" s="9"/>
      <c r="Y147" s="22">
        <v>0.96008300000000002</v>
      </c>
      <c r="Z147" s="22">
        <v>103.59</v>
      </c>
      <c r="AA147" s="22">
        <v>-1.8780499999999999E-2</v>
      </c>
      <c r="AB147" s="22">
        <v>137</v>
      </c>
      <c r="AC147" s="22">
        <v>0.95886199999999999</v>
      </c>
      <c r="AD147">
        <f t="shared" si="28"/>
        <v>18.7805</v>
      </c>
      <c r="AE147">
        <f t="shared" si="29"/>
        <v>18.030838781500002</v>
      </c>
      <c r="AF147" s="9"/>
      <c r="AG147" s="22">
        <v>0.58990500000000001</v>
      </c>
      <c r="AH147" s="22">
        <v>137.596</v>
      </c>
      <c r="AI147" s="22">
        <v>-1.9189500000000002E-2</v>
      </c>
      <c r="AJ147" s="22">
        <v>137</v>
      </c>
      <c r="AK147" s="22">
        <v>0.58914200000000005</v>
      </c>
      <c r="AL147">
        <f t="shared" si="30"/>
        <v>19.189500000000002</v>
      </c>
      <c r="AM147">
        <f t="shared" si="31"/>
        <v>11.319981997500001</v>
      </c>
      <c r="AP147" s="9"/>
      <c r="AQ147" s="22">
        <v>0.96008300000000002</v>
      </c>
      <c r="AR147" s="22">
        <v>171.655</v>
      </c>
      <c r="AS147" s="22">
        <v>-1.87744E-2</v>
      </c>
      <c r="AT147" s="22">
        <v>137</v>
      </c>
      <c r="AU147" s="22">
        <v>0.95916699999999999</v>
      </c>
      <c r="AV147">
        <f t="shared" si="32"/>
        <v>18.7744</v>
      </c>
      <c r="AW147">
        <f t="shared" si="33"/>
        <v>18.024982275199999</v>
      </c>
      <c r="AX147" s="9"/>
      <c r="AY147" s="22">
        <v>0.58990500000000001</v>
      </c>
      <c r="AZ147" s="22">
        <v>205.68100000000001</v>
      </c>
      <c r="BA147" s="22">
        <v>-1.91711E-2</v>
      </c>
      <c r="BB147" s="22">
        <v>137</v>
      </c>
      <c r="BC147" s="22">
        <v>0.58926400000000001</v>
      </c>
      <c r="BD147">
        <f t="shared" si="34"/>
        <v>19.171099999999999</v>
      </c>
      <c r="BE147">
        <f t="shared" si="35"/>
        <v>11.3091277455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0.95504800000000001</v>
      </c>
      <c r="H148" s="22">
        <v>35.523699999999998</v>
      </c>
      <c r="I148" s="22">
        <v>-1.86371E-2</v>
      </c>
      <c r="J148" s="22">
        <v>138</v>
      </c>
      <c r="K148" s="22">
        <v>0.95397900000000002</v>
      </c>
      <c r="L148">
        <f t="shared" si="24"/>
        <v>18.6371</v>
      </c>
      <c r="M148">
        <f t="shared" si="25"/>
        <v>17.799325080799999</v>
      </c>
      <c r="N148" s="9"/>
      <c r="O148" s="22">
        <v>0.59494000000000002</v>
      </c>
      <c r="P148" s="22">
        <v>69.576800000000006</v>
      </c>
      <c r="Q148" s="22">
        <v>-1.9067400000000002E-2</v>
      </c>
      <c r="R148" s="22">
        <v>138</v>
      </c>
      <c r="S148" s="22">
        <v>0.59420799999999996</v>
      </c>
      <c r="T148">
        <f t="shared" si="26"/>
        <v>19.067400000000003</v>
      </c>
      <c r="U148">
        <f t="shared" si="27"/>
        <v>11.343958956000002</v>
      </c>
      <c r="X148" s="9"/>
      <c r="Y148" s="22">
        <v>0.95504800000000001</v>
      </c>
      <c r="Z148" s="22">
        <v>103.6</v>
      </c>
      <c r="AA148" s="22">
        <v>-1.8780499999999999E-2</v>
      </c>
      <c r="AB148" s="22">
        <v>138</v>
      </c>
      <c r="AC148" s="22">
        <v>0.95397900000000002</v>
      </c>
      <c r="AD148">
        <f t="shared" si="28"/>
        <v>18.7805</v>
      </c>
      <c r="AE148">
        <f t="shared" si="29"/>
        <v>17.936278964</v>
      </c>
      <c r="AF148" s="9"/>
      <c r="AG148" s="22">
        <v>0.59494000000000002</v>
      </c>
      <c r="AH148" s="22">
        <v>137.60599999999999</v>
      </c>
      <c r="AI148" s="22">
        <v>-1.9186399999999999E-2</v>
      </c>
      <c r="AJ148" s="22">
        <v>138</v>
      </c>
      <c r="AK148" s="22">
        <v>0.59423800000000004</v>
      </c>
      <c r="AL148">
        <f t="shared" si="30"/>
        <v>19.186399999999999</v>
      </c>
      <c r="AM148">
        <f t="shared" si="31"/>
        <v>11.414756816000001</v>
      </c>
      <c r="AP148" s="9"/>
      <c r="AQ148" s="22">
        <v>0.95504800000000001</v>
      </c>
      <c r="AR148" s="22">
        <v>171.66499999999999</v>
      </c>
      <c r="AS148" s="22">
        <v>-1.8780499999999999E-2</v>
      </c>
      <c r="AT148" s="22">
        <v>138</v>
      </c>
      <c r="AU148" s="22">
        <v>0.95367400000000002</v>
      </c>
      <c r="AV148">
        <f t="shared" si="32"/>
        <v>18.7805</v>
      </c>
      <c r="AW148">
        <f t="shared" si="33"/>
        <v>17.936278964</v>
      </c>
      <c r="AX148" s="9"/>
      <c r="AY148" s="22">
        <v>0.59494000000000002</v>
      </c>
      <c r="AZ148" s="22">
        <v>205.691</v>
      </c>
      <c r="BA148" s="22">
        <v>-1.91711E-2</v>
      </c>
      <c r="BB148" s="22">
        <v>138</v>
      </c>
      <c r="BC148" s="22">
        <v>0.59429900000000002</v>
      </c>
      <c r="BD148">
        <f t="shared" si="34"/>
        <v>19.171099999999999</v>
      </c>
      <c r="BE148">
        <f t="shared" si="35"/>
        <v>11.405654234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0.95001199999999997</v>
      </c>
      <c r="H149" s="22">
        <v>35.533700000000003</v>
      </c>
      <c r="I149" s="22">
        <v>-1.8643199999999999E-2</v>
      </c>
      <c r="J149" s="22">
        <v>139</v>
      </c>
      <c r="K149" s="22">
        <v>0.94909699999999997</v>
      </c>
      <c r="L149">
        <f t="shared" si="24"/>
        <v>18.6432</v>
      </c>
      <c r="M149">
        <f t="shared" si="25"/>
        <v>17.711263718399998</v>
      </c>
      <c r="N149" s="9"/>
      <c r="O149" s="22">
        <v>0.59997599999999995</v>
      </c>
      <c r="P149" s="22">
        <v>69.5869</v>
      </c>
      <c r="Q149" s="22">
        <v>-1.90613E-2</v>
      </c>
      <c r="R149" s="22">
        <v>139</v>
      </c>
      <c r="S149" s="22">
        <v>0.59939600000000004</v>
      </c>
      <c r="T149">
        <f t="shared" si="26"/>
        <v>19.061299999999999</v>
      </c>
      <c r="U149">
        <f t="shared" si="27"/>
        <v>11.436322528799998</v>
      </c>
      <c r="X149" s="9"/>
      <c r="Y149" s="22">
        <v>0.95001199999999997</v>
      </c>
      <c r="Z149" s="22">
        <v>103.61</v>
      </c>
      <c r="AA149" s="22">
        <v>-1.8789699999999999E-2</v>
      </c>
      <c r="AB149" s="22">
        <v>139</v>
      </c>
      <c r="AC149" s="22">
        <v>0.94940199999999997</v>
      </c>
      <c r="AD149">
        <f t="shared" si="28"/>
        <v>18.7897</v>
      </c>
      <c r="AE149">
        <f t="shared" si="29"/>
        <v>17.850440476399999</v>
      </c>
      <c r="AF149" s="9"/>
      <c r="AG149" s="22">
        <v>0.59997599999999995</v>
      </c>
      <c r="AH149" s="22">
        <v>137.61600000000001</v>
      </c>
      <c r="AI149" s="22">
        <v>-1.9180300000000001E-2</v>
      </c>
      <c r="AJ149" s="22">
        <v>139</v>
      </c>
      <c r="AK149" s="22">
        <v>0.59924299999999997</v>
      </c>
      <c r="AL149">
        <f t="shared" si="30"/>
        <v>19.180300000000003</v>
      </c>
      <c r="AM149">
        <f t="shared" si="31"/>
        <v>11.5077196728</v>
      </c>
      <c r="AP149" s="9"/>
      <c r="AQ149" s="22">
        <v>0.95001199999999997</v>
      </c>
      <c r="AR149" s="22">
        <v>171.67500000000001</v>
      </c>
      <c r="AS149" s="22">
        <v>-1.8786600000000001E-2</v>
      </c>
      <c r="AT149" s="22">
        <v>139</v>
      </c>
      <c r="AU149" s="22">
        <v>0.94909699999999997</v>
      </c>
      <c r="AV149">
        <f t="shared" si="32"/>
        <v>18.7866</v>
      </c>
      <c r="AW149">
        <f t="shared" si="33"/>
        <v>17.847495439199999</v>
      </c>
      <c r="AX149" s="9"/>
      <c r="AY149" s="22">
        <v>0.59997599999999995</v>
      </c>
      <c r="AZ149" s="22">
        <v>205.70099999999999</v>
      </c>
      <c r="BA149" s="22">
        <v>-1.9161999999999998E-2</v>
      </c>
      <c r="BB149" s="22">
        <v>139</v>
      </c>
      <c r="BC149" s="22">
        <v>0.599213</v>
      </c>
      <c r="BD149">
        <f t="shared" si="34"/>
        <v>19.161999999999999</v>
      </c>
      <c r="BE149">
        <f t="shared" si="35"/>
        <v>11.496740111999998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0.94497699999999996</v>
      </c>
      <c r="H150" s="22">
        <v>35.543799999999997</v>
      </c>
      <c r="I150" s="22">
        <v>-1.8649300000000001E-2</v>
      </c>
      <c r="J150" s="22">
        <v>140</v>
      </c>
      <c r="K150" s="22">
        <v>0.94329799999999997</v>
      </c>
      <c r="L150">
        <f t="shared" si="24"/>
        <v>18.6493</v>
      </c>
      <c r="M150">
        <f t="shared" si="25"/>
        <v>17.6231595661</v>
      </c>
      <c r="N150" s="9"/>
      <c r="O150" s="22">
        <v>0.60501099999999997</v>
      </c>
      <c r="P150" s="22">
        <v>69.596900000000005</v>
      </c>
      <c r="Q150" s="22">
        <v>-1.9058200000000001E-2</v>
      </c>
      <c r="R150" s="22">
        <v>140</v>
      </c>
      <c r="S150" s="22">
        <v>0.60440099999999997</v>
      </c>
      <c r="T150">
        <f t="shared" si="26"/>
        <v>19.058199999999999</v>
      </c>
      <c r="U150">
        <f t="shared" si="27"/>
        <v>11.530420640199999</v>
      </c>
      <c r="X150" s="9"/>
      <c r="Y150" s="22">
        <v>0.94497699999999996</v>
      </c>
      <c r="Z150" s="22">
        <v>103.62</v>
      </c>
      <c r="AA150" s="22">
        <v>-1.8795800000000001E-2</v>
      </c>
      <c r="AB150" s="22">
        <v>140</v>
      </c>
      <c r="AC150" s="22">
        <v>0.943909</v>
      </c>
      <c r="AD150">
        <f t="shared" si="28"/>
        <v>18.7958</v>
      </c>
      <c r="AE150">
        <f t="shared" si="29"/>
        <v>17.7615986966</v>
      </c>
      <c r="AF150" s="9"/>
      <c r="AG150" s="22">
        <v>0.60501099999999997</v>
      </c>
      <c r="AH150" s="22">
        <v>137.626</v>
      </c>
      <c r="AI150" s="22">
        <v>-1.91711E-2</v>
      </c>
      <c r="AJ150" s="22">
        <v>140</v>
      </c>
      <c r="AK150" s="22">
        <v>0.60409500000000005</v>
      </c>
      <c r="AL150">
        <f t="shared" si="30"/>
        <v>19.171099999999999</v>
      </c>
      <c r="AM150">
        <f t="shared" si="31"/>
        <v>11.598726382099999</v>
      </c>
      <c r="AP150" s="9"/>
      <c r="AQ150" s="22">
        <v>0.94497699999999996</v>
      </c>
      <c r="AR150" s="22">
        <v>171.685</v>
      </c>
      <c r="AS150" s="22">
        <v>-1.8792699999999999E-2</v>
      </c>
      <c r="AT150" s="22">
        <v>140</v>
      </c>
      <c r="AU150" s="22">
        <v>0.944519</v>
      </c>
      <c r="AV150">
        <f t="shared" si="32"/>
        <v>18.7927</v>
      </c>
      <c r="AW150">
        <f t="shared" si="33"/>
        <v>17.7586692679</v>
      </c>
      <c r="AX150" s="9"/>
      <c r="AY150" s="22">
        <v>0.60501099999999997</v>
      </c>
      <c r="AZ150" s="22">
        <v>205.71100000000001</v>
      </c>
      <c r="BA150" s="22">
        <v>-1.91559E-2</v>
      </c>
      <c r="BB150" s="22">
        <v>140</v>
      </c>
      <c r="BC150" s="22">
        <v>0.60430899999999999</v>
      </c>
      <c r="BD150">
        <f t="shared" si="34"/>
        <v>19.155899999999999</v>
      </c>
      <c r="BE150">
        <f t="shared" si="35"/>
        <v>11.589530214899998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0.93994100000000003</v>
      </c>
      <c r="H151" s="22">
        <v>35.553899999999999</v>
      </c>
      <c r="I151" s="22">
        <v>-1.8661500000000001E-2</v>
      </c>
      <c r="J151" s="22">
        <v>141</v>
      </c>
      <c r="K151" s="22">
        <v>0.93933100000000003</v>
      </c>
      <c r="L151">
        <f t="shared" si="24"/>
        <v>18.6615</v>
      </c>
      <c r="M151">
        <f t="shared" si="25"/>
        <v>17.540708971499999</v>
      </c>
      <c r="N151" s="9"/>
      <c r="O151" s="22">
        <v>0.61004599999999998</v>
      </c>
      <c r="P151" s="22">
        <v>69.606999999999999</v>
      </c>
      <c r="Q151" s="22">
        <v>-1.9052099999999999E-2</v>
      </c>
      <c r="R151" s="22">
        <v>141</v>
      </c>
      <c r="S151" s="22">
        <v>0.60931400000000002</v>
      </c>
      <c r="T151">
        <f t="shared" si="26"/>
        <v>19.052099999999999</v>
      </c>
      <c r="U151">
        <f t="shared" si="27"/>
        <v>11.622657396599999</v>
      </c>
      <c r="X151" s="9"/>
      <c r="Y151" s="22">
        <v>0.93994100000000003</v>
      </c>
      <c r="Z151" s="22">
        <v>103.63</v>
      </c>
      <c r="AA151" s="22">
        <v>-1.8804899999999999E-2</v>
      </c>
      <c r="AB151" s="22">
        <v>141</v>
      </c>
      <c r="AC151" s="22">
        <v>0.93933100000000003</v>
      </c>
      <c r="AD151">
        <f t="shared" si="28"/>
        <v>18.8049</v>
      </c>
      <c r="AE151">
        <f t="shared" si="29"/>
        <v>17.6754965109</v>
      </c>
      <c r="AF151" s="9"/>
      <c r="AG151" s="22">
        <v>0.61004599999999998</v>
      </c>
      <c r="AH151" s="22">
        <v>137.636</v>
      </c>
      <c r="AI151" s="22">
        <v>-1.9165000000000001E-2</v>
      </c>
      <c r="AJ151" s="22">
        <v>141</v>
      </c>
      <c r="AK151" s="22">
        <v>0.60931400000000002</v>
      </c>
      <c r="AL151">
        <f t="shared" si="30"/>
        <v>19.165000000000003</v>
      </c>
      <c r="AM151">
        <f t="shared" si="31"/>
        <v>11.691531590000002</v>
      </c>
      <c r="AP151" s="9"/>
      <c r="AQ151" s="22">
        <v>0.93994100000000003</v>
      </c>
      <c r="AR151" s="22">
        <v>171.69499999999999</v>
      </c>
      <c r="AS151" s="22">
        <v>-1.8798800000000001E-2</v>
      </c>
      <c r="AT151" s="22">
        <v>141</v>
      </c>
      <c r="AU151" s="22">
        <v>0.93872100000000003</v>
      </c>
      <c r="AV151">
        <f t="shared" si="32"/>
        <v>18.7988</v>
      </c>
      <c r="AW151">
        <f t="shared" si="33"/>
        <v>17.6697628708</v>
      </c>
      <c r="AX151" s="9"/>
      <c r="AY151" s="22">
        <v>0.61004599999999998</v>
      </c>
      <c r="AZ151" s="22">
        <v>205.721</v>
      </c>
      <c r="BA151" s="22">
        <v>-1.9149800000000002E-2</v>
      </c>
      <c r="BB151" s="22">
        <v>141</v>
      </c>
      <c r="BC151" s="22">
        <v>0.60925300000000004</v>
      </c>
      <c r="BD151">
        <f t="shared" si="34"/>
        <v>19.149800000000003</v>
      </c>
      <c r="BE151">
        <f t="shared" si="35"/>
        <v>11.682258890800002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0.93490600000000001</v>
      </c>
      <c r="H152" s="22">
        <v>35.563899999999997</v>
      </c>
      <c r="I152" s="22">
        <v>-1.86646E-2</v>
      </c>
      <c r="J152" s="22">
        <v>142</v>
      </c>
      <c r="K152" s="22">
        <v>0.93383799999999995</v>
      </c>
      <c r="L152">
        <f t="shared" si="24"/>
        <v>18.6646</v>
      </c>
      <c r="M152">
        <f t="shared" si="25"/>
        <v>17.449646527599999</v>
      </c>
      <c r="N152" s="9"/>
      <c r="O152" s="22">
        <v>0.61508200000000002</v>
      </c>
      <c r="P152" s="22">
        <v>69.617099999999994</v>
      </c>
      <c r="Q152" s="22">
        <v>-1.9046E-2</v>
      </c>
      <c r="R152" s="22">
        <v>142</v>
      </c>
      <c r="S152" s="22">
        <v>0.61428799999999995</v>
      </c>
      <c r="T152">
        <f t="shared" si="26"/>
        <v>19.045999999999999</v>
      </c>
      <c r="U152">
        <f t="shared" si="27"/>
        <v>11.714851771999999</v>
      </c>
      <c r="X152" s="9"/>
      <c r="Y152" s="22">
        <v>0.93490600000000001</v>
      </c>
      <c r="Z152" s="22">
        <v>103.64</v>
      </c>
      <c r="AA152" s="22">
        <v>-1.8811000000000001E-2</v>
      </c>
      <c r="AB152" s="22">
        <v>142</v>
      </c>
      <c r="AC152" s="22">
        <v>0.93414299999999995</v>
      </c>
      <c r="AD152">
        <f t="shared" si="28"/>
        <v>18.811</v>
      </c>
      <c r="AE152">
        <f t="shared" si="29"/>
        <v>17.586516765999999</v>
      </c>
      <c r="AF152" s="9"/>
      <c r="AG152" s="22">
        <v>0.61508200000000002</v>
      </c>
      <c r="AH152" s="22">
        <v>137.64599999999999</v>
      </c>
      <c r="AI152" s="22">
        <v>-1.91559E-2</v>
      </c>
      <c r="AJ152" s="22">
        <v>142</v>
      </c>
      <c r="AK152" s="22">
        <v>0.61422699999999997</v>
      </c>
      <c r="AL152">
        <f t="shared" si="30"/>
        <v>19.155899999999999</v>
      </c>
      <c r="AM152">
        <f t="shared" si="31"/>
        <v>11.7824492838</v>
      </c>
      <c r="AP152" s="9"/>
      <c r="AQ152" s="22">
        <v>0.93490600000000001</v>
      </c>
      <c r="AR152" s="22">
        <v>171.70500000000001</v>
      </c>
      <c r="AS152" s="22">
        <v>-1.88019E-2</v>
      </c>
      <c r="AT152" s="22">
        <v>142</v>
      </c>
      <c r="AU152" s="22">
        <v>0.93383799999999995</v>
      </c>
      <c r="AV152">
        <f t="shared" si="32"/>
        <v>18.8019</v>
      </c>
      <c r="AW152">
        <f t="shared" si="33"/>
        <v>17.578009121400001</v>
      </c>
      <c r="AX152" s="9"/>
      <c r="AY152" s="22">
        <v>0.61508200000000002</v>
      </c>
      <c r="AZ152" s="22">
        <v>205.73099999999999</v>
      </c>
      <c r="BA152" s="22">
        <v>-1.9146699999999999E-2</v>
      </c>
      <c r="BB152" s="22">
        <v>142</v>
      </c>
      <c r="BC152" s="22">
        <v>0.61441000000000001</v>
      </c>
      <c r="BD152">
        <f t="shared" si="34"/>
        <v>19.146699999999999</v>
      </c>
      <c r="BE152">
        <f t="shared" si="35"/>
        <v>11.776790529399999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0.929871</v>
      </c>
      <c r="H153" s="22">
        <v>35.573999999999998</v>
      </c>
      <c r="I153" s="22">
        <v>-1.8670699999999998E-2</v>
      </c>
      <c r="J153" s="22">
        <v>143</v>
      </c>
      <c r="K153" s="22">
        <v>0.92895499999999998</v>
      </c>
      <c r="L153">
        <f t="shared" si="24"/>
        <v>18.6707</v>
      </c>
      <c r="M153">
        <f t="shared" si="25"/>
        <v>17.361342479699999</v>
      </c>
      <c r="N153" s="9"/>
      <c r="O153" s="22">
        <v>0.62011700000000003</v>
      </c>
      <c r="P153" s="22">
        <v>69.627200000000002</v>
      </c>
      <c r="Q153" s="22">
        <v>-1.9036899999999999E-2</v>
      </c>
      <c r="R153" s="22">
        <v>143</v>
      </c>
      <c r="S153" s="22">
        <v>0.61932399999999999</v>
      </c>
      <c r="T153">
        <f t="shared" si="26"/>
        <v>19.036899999999999</v>
      </c>
      <c r="U153">
        <f t="shared" si="27"/>
        <v>11.805105317300001</v>
      </c>
      <c r="X153" s="9"/>
      <c r="Y153" s="22">
        <v>0.929871</v>
      </c>
      <c r="Z153" s="22">
        <v>103.65</v>
      </c>
      <c r="AA153" s="22">
        <v>-1.88171E-2</v>
      </c>
      <c r="AB153" s="22">
        <v>143</v>
      </c>
      <c r="AC153" s="22">
        <v>0.92895499999999998</v>
      </c>
      <c r="AD153">
        <f t="shared" si="28"/>
        <v>18.8171</v>
      </c>
      <c r="AE153">
        <f t="shared" si="29"/>
        <v>17.497475594099999</v>
      </c>
      <c r="AF153" s="9"/>
      <c r="AG153" s="22">
        <v>0.62011700000000003</v>
      </c>
      <c r="AH153" s="22">
        <v>137.65600000000001</v>
      </c>
      <c r="AI153" s="22">
        <v>-1.9149800000000002E-2</v>
      </c>
      <c r="AJ153" s="22">
        <v>143</v>
      </c>
      <c r="AK153" s="22">
        <v>0.61938499999999996</v>
      </c>
      <c r="AL153">
        <f t="shared" si="30"/>
        <v>19.149800000000003</v>
      </c>
      <c r="AM153">
        <f t="shared" si="31"/>
        <v>11.875116526600003</v>
      </c>
      <c r="AP153" s="9"/>
      <c r="AQ153" s="22">
        <v>0.929871</v>
      </c>
      <c r="AR153" s="22">
        <v>171.715</v>
      </c>
      <c r="AS153" s="22">
        <v>-1.8807999999999998E-2</v>
      </c>
      <c r="AT153" s="22">
        <v>143</v>
      </c>
      <c r="AU153" s="22">
        <v>0.92834499999999998</v>
      </c>
      <c r="AV153">
        <f t="shared" si="32"/>
        <v>18.808</v>
      </c>
      <c r="AW153">
        <f t="shared" si="33"/>
        <v>17.489013768</v>
      </c>
      <c r="AX153" s="9"/>
      <c r="AY153" s="22">
        <v>0.62011700000000003</v>
      </c>
      <c r="AZ153" s="22">
        <v>205.74100000000001</v>
      </c>
      <c r="BA153" s="22">
        <v>-1.9140600000000001E-2</v>
      </c>
      <c r="BB153" s="22">
        <v>143</v>
      </c>
      <c r="BC153" s="22">
        <v>0.61968999999999996</v>
      </c>
      <c r="BD153">
        <f t="shared" si="34"/>
        <v>19.140599999999999</v>
      </c>
      <c r="BE153">
        <f t="shared" si="35"/>
        <v>11.869411450199999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0.92483499999999996</v>
      </c>
      <c r="H154" s="22">
        <v>35.584099999999999</v>
      </c>
      <c r="I154" s="22">
        <v>-1.86768E-2</v>
      </c>
      <c r="J154" s="22">
        <v>144</v>
      </c>
      <c r="K154" s="22">
        <v>0.924072</v>
      </c>
      <c r="L154">
        <f t="shared" si="24"/>
        <v>18.6768</v>
      </c>
      <c r="M154">
        <f t="shared" si="25"/>
        <v>17.272958327999998</v>
      </c>
      <c r="N154" s="9"/>
      <c r="O154" s="22">
        <v>0.62515299999999996</v>
      </c>
      <c r="P154" s="22">
        <v>69.637200000000007</v>
      </c>
      <c r="Q154" s="22">
        <v>-1.9027700000000002E-2</v>
      </c>
      <c r="R154" s="22">
        <v>144</v>
      </c>
      <c r="S154" s="22">
        <v>0.62451199999999996</v>
      </c>
      <c r="T154">
        <f t="shared" si="26"/>
        <v>19.027700000000003</v>
      </c>
      <c r="U154">
        <f t="shared" si="27"/>
        <v>11.8952237381</v>
      </c>
      <c r="X154" s="9"/>
      <c r="Y154" s="22">
        <v>0.92483499999999996</v>
      </c>
      <c r="Z154" s="22">
        <v>103.66</v>
      </c>
      <c r="AA154" s="22">
        <v>-1.8820199999999999E-2</v>
      </c>
      <c r="AB154" s="22">
        <v>144</v>
      </c>
      <c r="AC154" s="22">
        <v>0.924072</v>
      </c>
      <c r="AD154">
        <f t="shared" si="28"/>
        <v>18.8202</v>
      </c>
      <c r="AE154">
        <f t="shared" si="29"/>
        <v>17.405579666999998</v>
      </c>
      <c r="AF154" s="9"/>
      <c r="AG154" s="22">
        <v>0.62515299999999996</v>
      </c>
      <c r="AH154" s="22">
        <v>137.667</v>
      </c>
      <c r="AI154" s="22">
        <v>-1.9146699999999999E-2</v>
      </c>
      <c r="AJ154" s="22">
        <v>144</v>
      </c>
      <c r="AK154" s="22">
        <v>0.62454200000000004</v>
      </c>
      <c r="AL154">
        <f t="shared" si="30"/>
        <v>19.146699999999999</v>
      </c>
      <c r="AM154">
        <f t="shared" si="31"/>
        <v>11.969616945099999</v>
      </c>
      <c r="AP154" s="9"/>
      <c r="AQ154" s="22">
        <v>0.92483499999999996</v>
      </c>
      <c r="AR154" s="22">
        <v>171.72499999999999</v>
      </c>
      <c r="AS154" s="22">
        <v>-1.88171E-2</v>
      </c>
      <c r="AT154" s="22">
        <v>144</v>
      </c>
      <c r="AU154" s="22">
        <v>0.923767</v>
      </c>
      <c r="AV154">
        <f t="shared" si="32"/>
        <v>18.8171</v>
      </c>
      <c r="AW154">
        <f t="shared" si="33"/>
        <v>17.402712678499999</v>
      </c>
      <c r="AX154" s="9"/>
      <c r="AY154" s="22">
        <v>0.62515299999999996</v>
      </c>
      <c r="AZ154" s="22">
        <v>205.751</v>
      </c>
      <c r="BA154" s="22">
        <v>-1.9140600000000001E-2</v>
      </c>
      <c r="BB154" s="22">
        <v>144</v>
      </c>
      <c r="BC154" s="22">
        <v>0.62451199999999996</v>
      </c>
      <c r="BD154">
        <f t="shared" si="34"/>
        <v>19.140599999999999</v>
      </c>
      <c r="BE154">
        <f t="shared" si="35"/>
        <v>11.965803511799999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0.91979999999999995</v>
      </c>
      <c r="H155" s="22">
        <v>35.594200000000001</v>
      </c>
      <c r="I155" s="22">
        <v>-1.8682899999999999E-2</v>
      </c>
      <c r="J155" s="22">
        <v>145</v>
      </c>
      <c r="K155" s="22">
        <v>0.91888400000000003</v>
      </c>
      <c r="L155">
        <f t="shared" si="24"/>
        <v>18.6829</v>
      </c>
      <c r="M155">
        <f t="shared" si="25"/>
        <v>17.184531419999999</v>
      </c>
      <c r="N155" s="9"/>
      <c r="O155" s="22">
        <v>0.63018799999999997</v>
      </c>
      <c r="P155" s="22">
        <v>69.647300000000001</v>
      </c>
      <c r="Q155" s="22">
        <v>-1.90216E-2</v>
      </c>
      <c r="R155" s="22">
        <v>145</v>
      </c>
      <c r="S155" s="22">
        <v>0.62945600000000002</v>
      </c>
      <c r="T155">
        <f t="shared" si="26"/>
        <v>19.021599999999999</v>
      </c>
      <c r="U155">
        <f t="shared" si="27"/>
        <v>11.987184060799999</v>
      </c>
      <c r="X155" s="9"/>
      <c r="Y155" s="22">
        <v>0.91979999999999995</v>
      </c>
      <c r="Z155" s="22">
        <v>103.67</v>
      </c>
      <c r="AA155" s="22">
        <v>-1.8823199999999998E-2</v>
      </c>
      <c r="AB155" s="22">
        <v>145</v>
      </c>
      <c r="AC155" s="22">
        <v>0.91918900000000003</v>
      </c>
      <c r="AD155">
        <f t="shared" si="28"/>
        <v>18.8232</v>
      </c>
      <c r="AE155">
        <f t="shared" si="29"/>
        <v>17.313579359999999</v>
      </c>
      <c r="AF155" s="9"/>
      <c r="AG155" s="22">
        <v>0.63018799999999997</v>
      </c>
      <c r="AH155" s="22">
        <v>137.67699999999999</v>
      </c>
      <c r="AI155" s="22">
        <v>-1.9140600000000001E-2</v>
      </c>
      <c r="AJ155" s="22">
        <v>145</v>
      </c>
      <c r="AK155" s="22">
        <v>0.62966900000000003</v>
      </c>
      <c r="AL155">
        <f t="shared" si="30"/>
        <v>19.140599999999999</v>
      </c>
      <c r="AM155">
        <f t="shared" si="31"/>
        <v>12.062176432799999</v>
      </c>
      <c r="AP155" s="9"/>
      <c r="AQ155" s="22">
        <v>0.91979999999999995</v>
      </c>
      <c r="AR155" s="22">
        <v>171.73500000000001</v>
      </c>
      <c r="AS155" s="22">
        <v>-1.8823199999999998E-2</v>
      </c>
      <c r="AT155" s="22">
        <v>145</v>
      </c>
      <c r="AU155" s="22">
        <v>0.91888400000000003</v>
      </c>
      <c r="AV155">
        <f t="shared" si="32"/>
        <v>18.8232</v>
      </c>
      <c r="AW155">
        <f t="shared" si="33"/>
        <v>17.313579359999999</v>
      </c>
      <c r="AX155" s="9"/>
      <c r="AY155" s="22">
        <v>0.63018799999999997</v>
      </c>
      <c r="AZ155" s="22">
        <v>205.761</v>
      </c>
      <c r="BA155" s="22">
        <v>-1.9134499999999999E-2</v>
      </c>
      <c r="BB155" s="22">
        <v>145</v>
      </c>
      <c r="BC155" s="22">
        <v>0.62948599999999999</v>
      </c>
      <c r="BD155">
        <f t="shared" si="34"/>
        <v>19.134499999999999</v>
      </c>
      <c r="BE155">
        <f t="shared" si="35"/>
        <v>12.058332285999999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0.91476400000000002</v>
      </c>
      <c r="H156" s="22">
        <v>35.604199999999999</v>
      </c>
      <c r="I156" s="22">
        <v>-1.8685899999999998E-2</v>
      </c>
      <c r="J156" s="22">
        <v>146</v>
      </c>
      <c r="K156" s="22">
        <v>0.91400099999999995</v>
      </c>
      <c r="L156">
        <f t="shared" si="24"/>
        <v>18.685899999999997</v>
      </c>
      <c r="M156">
        <f t="shared" si="25"/>
        <v>17.093188627599996</v>
      </c>
      <c r="N156" s="9"/>
      <c r="O156" s="22">
        <v>0.63522299999999998</v>
      </c>
      <c r="P156" s="22">
        <v>69.657399999999996</v>
      </c>
      <c r="Q156" s="22">
        <v>-1.90186E-2</v>
      </c>
      <c r="R156" s="22">
        <v>146</v>
      </c>
      <c r="S156" s="22">
        <v>0.63449100000000003</v>
      </c>
      <c r="T156">
        <f t="shared" si="26"/>
        <v>19.018599999999999</v>
      </c>
      <c r="U156">
        <f t="shared" si="27"/>
        <v>12.081052147799999</v>
      </c>
      <c r="X156" s="9"/>
      <c r="Y156" s="22">
        <v>0.91476400000000002</v>
      </c>
      <c r="Z156" s="22">
        <v>103.68</v>
      </c>
      <c r="AA156" s="22">
        <v>-1.88293E-2</v>
      </c>
      <c r="AB156" s="22">
        <v>146</v>
      </c>
      <c r="AC156" s="22">
        <v>0.91430699999999998</v>
      </c>
      <c r="AD156">
        <f t="shared" si="28"/>
        <v>18.8293</v>
      </c>
      <c r="AE156">
        <f t="shared" si="29"/>
        <v>17.2243657852</v>
      </c>
      <c r="AF156" s="9"/>
      <c r="AG156" s="22">
        <v>0.63522299999999998</v>
      </c>
      <c r="AH156" s="22">
        <v>137.68700000000001</v>
      </c>
      <c r="AI156" s="22">
        <v>-1.9137600000000001E-2</v>
      </c>
      <c r="AJ156" s="22">
        <v>146</v>
      </c>
      <c r="AK156" s="22">
        <v>0.63446000000000002</v>
      </c>
      <c r="AL156">
        <f t="shared" si="30"/>
        <v>19.137600000000003</v>
      </c>
      <c r="AM156">
        <f t="shared" si="31"/>
        <v>12.156643684800001</v>
      </c>
      <c r="AP156" s="9"/>
      <c r="AQ156" s="22">
        <v>0.91476400000000002</v>
      </c>
      <c r="AR156" s="22">
        <v>171.745</v>
      </c>
      <c r="AS156" s="22">
        <v>-1.8832399999999999E-2</v>
      </c>
      <c r="AT156" s="22">
        <v>146</v>
      </c>
      <c r="AU156" s="22">
        <v>0.91308599999999995</v>
      </c>
      <c r="AV156">
        <f t="shared" si="32"/>
        <v>18.8324</v>
      </c>
      <c r="AW156">
        <f t="shared" si="33"/>
        <v>17.2272015536</v>
      </c>
      <c r="AX156" s="9"/>
      <c r="AY156" s="22">
        <v>0.63522299999999998</v>
      </c>
      <c r="AZ156" s="22">
        <v>205.77099999999999</v>
      </c>
      <c r="BA156" s="22">
        <v>-1.91284E-2</v>
      </c>
      <c r="BB156" s="22">
        <v>146</v>
      </c>
      <c r="BC156" s="22">
        <v>0.63467399999999996</v>
      </c>
      <c r="BD156">
        <f t="shared" si="34"/>
        <v>19.128399999999999</v>
      </c>
      <c r="BE156">
        <f t="shared" si="35"/>
        <v>12.150799633199998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0.90972900000000001</v>
      </c>
      <c r="H157" s="22">
        <v>35.6143</v>
      </c>
      <c r="I157" s="22">
        <v>-1.8692E-2</v>
      </c>
      <c r="J157" s="22">
        <v>147</v>
      </c>
      <c r="K157" s="22">
        <v>0.90789799999999998</v>
      </c>
      <c r="L157">
        <f t="shared" si="24"/>
        <v>18.692</v>
      </c>
      <c r="M157">
        <f t="shared" si="25"/>
        <v>17.004654468000002</v>
      </c>
      <c r="N157" s="9"/>
      <c r="O157" s="22">
        <v>0.64025900000000002</v>
      </c>
      <c r="P157" s="22">
        <v>69.667400000000001</v>
      </c>
      <c r="Q157" s="22">
        <v>-1.9009399999999999E-2</v>
      </c>
      <c r="R157" s="22">
        <v>147</v>
      </c>
      <c r="S157" s="22">
        <v>0.63943499999999998</v>
      </c>
      <c r="T157">
        <f t="shared" si="26"/>
        <v>19.009399999999999</v>
      </c>
      <c r="U157">
        <f t="shared" si="27"/>
        <v>12.170939434599999</v>
      </c>
      <c r="X157" s="9"/>
      <c r="Y157" s="22">
        <v>0.90972900000000001</v>
      </c>
      <c r="Z157" s="22">
        <v>103.691</v>
      </c>
      <c r="AA157" s="22">
        <v>-1.8838500000000001E-2</v>
      </c>
      <c r="AB157" s="22">
        <v>147</v>
      </c>
      <c r="AC157" s="22">
        <v>0.90972900000000001</v>
      </c>
      <c r="AD157">
        <f t="shared" si="28"/>
        <v>18.8385</v>
      </c>
      <c r="AE157">
        <f t="shared" si="29"/>
        <v>17.137929766500001</v>
      </c>
      <c r="AF157" s="9"/>
      <c r="AG157" s="22">
        <v>0.64025900000000002</v>
      </c>
      <c r="AH157" s="22">
        <v>137.697</v>
      </c>
      <c r="AI157" s="22">
        <v>-1.91284E-2</v>
      </c>
      <c r="AJ157" s="22">
        <v>147</v>
      </c>
      <c r="AK157" s="22">
        <v>0.63964799999999999</v>
      </c>
      <c r="AL157">
        <f t="shared" si="30"/>
        <v>19.128399999999999</v>
      </c>
      <c r="AM157">
        <f t="shared" si="31"/>
        <v>12.2471302556</v>
      </c>
      <c r="AP157" s="9"/>
      <c r="AQ157" s="22">
        <v>0.90972900000000001</v>
      </c>
      <c r="AR157" s="22">
        <v>171.755</v>
      </c>
      <c r="AS157" s="22">
        <v>-1.8838500000000001E-2</v>
      </c>
      <c r="AT157" s="22">
        <v>147</v>
      </c>
      <c r="AU157" s="22">
        <v>0.90911900000000001</v>
      </c>
      <c r="AV157">
        <f t="shared" si="32"/>
        <v>18.8385</v>
      </c>
      <c r="AW157">
        <f t="shared" si="33"/>
        <v>17.137929766500001</v>
      </c>
      <c r="AX157" s="9"/>
      <c r="AY157" s="22">
        <v>0.64025900000000002</v>
      </c>
      <c r="AZ157" s="22">
        <v>205.78100000000001</v>
      </c>
      <c r="BA157" s="22">
        <v>-1.9122299999999998E-2</v>
      </c>
      <c r="BB157" s="22">
        <v>147</v>
      </c>
      <c r="BC157" s="22">
        <v>0.63958700000000002</v>
      </c>
      <c r="BD157">
        <f t="shared" si="34"/>
        <v>19.122299999999999</v>
      </c>
      <c r="BE157">
        <f t="shared" si="35"/>
        <v>12.243224675700001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0.904694</v>
      </c>
      <c r="H158" s="22">
        <v>35.624400000000001</v>
      </c>
      <c r="I158" s="22">
        <v>-1.8695099999999999E-2</v>
      </c>
      <c r="J158" s="22">
        <v>148</v>
      </c>
      <c r="K158" s="22">
        <v>0.90362500000000001</v>
      </c>
      <c r="L158">
        <f t="shared" si="24"/>
        <v>18.6951</v>
      </c>
      <c r="M158">
        <f t="shared" si="25"/>
        <v>16.913344799400001</v>
      </c>
      <c r="N158" s="9"/>
      <c r="O158" s="22">
        <v>0.64529400000000003</v>
      </c>
      <c r="P158" s="22">
        <v>69.677499999999995</v>
      </c>
      <c r="Q158" s="22">
        <v>-1.9003300000000001E-2</v>
      </c>
      <c r="R158" s="22">
        <v>148</v>
      </c>
      <c r="S158" s="22">
        <v>0.64468400000000003</v>
      </c>
      <c r="T158">
        <f t="shared" si="26"/>
        <v>19.003299999999999</v>
      </c>
      <c r="U158">
        <f t="shared" si="27"/>
        <v>12.2627154702</v>
      </c>
      <c r="X158" s="9"/>
      <c r="Y158" s="22">
        <v>0.904694</v>
      </c>
      <c r="Z158" s="22">
        <v>103.70099999999999</v>
      </c>
      <c r="AA158" s="22">
        <v>-1.88446E-2</v>
      </c>
      <c r="AB158" s="22">
        <v>148</v>
      </c>
      <c r="AC158" s="22">
        <v>0.90393100000000004</v>
      </c>
      <c r="AD158">
        <f t="shared" si="28"/>
        <v>18.8446</v>
      </c>
      <c r="AE158">
        <f t="shared" si="29"/>
        <v>17.048596552399999</v>
      </c>
      <c r="AF158" s="9"/>
      <c r="AG158" s="22">
        <v>0.64529400000000003</v>
      </c>
      <c r="AH158" s="22">
        <v>137.70699999999999</v>
      </c>
      <c r="AI158" s="22">
        <v>-1.9119299999999999E-2</v>
      </c>
      <c r="AJ158" s="22">
        <v>148</v>
      </c>
      <c r="AK158" s="22">
        <v>0.64450099999999999</v>
      </c>
      <c r="AL158">
        <f t="shared" si="30"/>
        <v>19.119299999999999</v>
      </c>
      <c r="AM158">
        <f t="shared" si="31"/>
        <v>12.3375695742</v>
      </c>
      <c r="AP158" s="9"/>
      <c r="AQ158" s="22">
        <v>0.904694</v>
      </c>
      <c r="AR158" s="22">
        <v>171.76499999999999</v>
      </c>
      <c r="AS158" s="22">
        <v>-1.88416E-2</v>
      </c>
      <c r="AT158" s="22">
        <v>148</v>
      </c>
      <c r="AU158" s="22">
        <v>0.90362500000000001</v>
      </c>
      <c r="AV158">
        <f t="shared" si="32"/>
        <v>18.8416</v>
      </c>
      <c r="AW158">
        <f t="shared" si="33"/>
        <v>17.045882470399999</v>
      </c>
      <c r="AX158" s="9"/>
      <c r="AY158" s="22">
        <v>0.64529400000000003</v>
      </c>
      <c r="AZ158" s="22">
        <v>205.792</v>
      </c>
      <c r="BA158" s="22">
        <v>-1.91162E-2</v>
      </c>
      <c r="BB158" s="22">
        <v>148</v>
      </c>
      <c r="BC158" s="22">
        <v>0.64486699999999997</v>
      </c>
      <c r="BD158">
        <f t="shared" si="34"/>
        <v>19.116199999999999</v>
      </c>
      <c r="BE158">
        <f t="shared" si="35"/>
        <v>12.335569162800001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0.89965799999999996</v>
      </c>
      <c r="H159" s="22">
        <v>35.634399999999999</v>
      </c>
      <c r="I159" s="22">
        <v>-1.8698099999999999E-2</v>
      </c>
      <c r="J159" s="22">
        <v>149</v>
      </c>
      <c r="K159" s="22">
        <v>0.89843799999999996</v>
      </c>
      <c r="L159">
        <f t="shared" si="24"/>
        <v>18.6981</v>
      </c>
      <c r="M159">
        <f t="shared" si="25"/>
        <v>16.821895249800001</v>
      </c>
      <c r="N159" s="9"/>
      <c r="O159" s="22">
        <v>0.65032999999999996</v>
      </c>
      <c r="P159" s="22">
        <v>69.687600000000003</v>
      </c>
      <c r="Q159" s="22">
        <v>-1.9000199999999998E-2</v>
      </c>
      <c r="R159" s="22">
        <v>149</v>
      </c>
      <c r="S159" s="22">
        <v>0.64932299999999998</v>
      </c>
      <c r="T159">
        <f t="shared" si="26"/>
        <v>19.0002</v>
      </c>
      <c r="U159">
        <f t="shared" si="27"/>
        <v>12.356400065999999</v>
      </c>
      <c r="X159" s="9"/>
      <c r="Y159" s="22">
        <v>0.89965799999999996</v>
      </c>
      <c r="Z159" s="22">
        <v>103.711</v>
      </c>
      <c r="AA159" s="22">
        <v>-1.8850700000000001E-2</v>
      </c>
      <c r="AB159" s="22">
        <v>149</v>
      </c>
      <c r="AC159" s="22">
        <v>0.89904799999999996</v>
      </c>
      <c r="AD159">
        <f t="shared" si="28"/>
        <v>18.8507</v>
      </c>
      <c r="AE159">
        <f t="shared" si="29"/>
        <v>16.959183060599997</v>
      </c>
      <c r="AF159" s="9"/>
      <c r="AG159" s="22">
        <v>0.65032999999999996</v>
      </c>
      <c r="AH159" s="22">
        <v>137.71700000000001</v>
      </c>
      <c r="AI159" s="22">
        <v>-1.91162E-2</v>
      </c>
      <c r="AJ159" s="22">
        <v>149</v>
      </c>
      <c r="AK159" s="22">
        <v>0.64971900000000005</v>
      </c>
      <c r="AL159">
        <f t="shared" si="30"/>
        <v>19.116199999999999</v>
      </c>
      <c r="AM159">
        <f t="shared" si="31"/>
        <v>12.431838345999999</v>
      </c>
      <c r="AP159" s="9"/>
      <c r="AQ159" s="22">
        <v>0.89965799999999996</v>
      </c>
      <c r="AR159" s="22">
        <v>171.77500000000001</v>
      </c>
      <c r="AS159" s="22">
        <v>-1.8847699999999998E-2</v>
      </c>
      <c r="AT159" s="22">
        <v>149</v>
      </c>
      <c r="AU159" s="22">
        <v>0.89813200000000004</v>
      </c>
      <c r="AV159">
        <f t="shared" si="32"/>
        <v>18.8477</v>
      </c>
      <c r="AW159">
        <f t="shared" si="33"/>
        <v>16.9564840866</v>
      </c>
      <c r="AX159" s="9"/>
      <c r="AY159" s="22">
        <v>0.65032999999999996</v>
      </c>
      <c r="AZ159" s="22">
        <v>205.80199999999999</v>
      </c>
      <c r="BA159" s="22">
        <v>-1.9107099999999998E-2</v>
      </c>
      <c r="BB159" s="22">
        <v>149</v>
      </c>
      <c r="BC159" s="22">
        <v>0.64956700000000001</v>
      </c>
      <c r="BD159">
        <f t="shared" si="34"/>
        <v>19.107099999999999</v>
      </c>
      <c r="BE159">
        <f t="shared" si="35"/>
        <v>12.425920343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0.89462299999999995</v>
      </c>
      <c r="H160" s="22">
        <v>35.644500000000001</v>
      </c>
      <c r="I160" s="22">
        <v>-1.8704200000000001E-2</v>
      </c>
      <c r="J160" s="22">
        <v>150</v>
      </c>
      <c r="K160" s="22">
        <v>0.89355499999999999</v>
      </c>
      <c r="L160">
        <f t="shared" si="24"/>
        <v>18.7042</v>
      </c>
      <c r="M160">
        <f t="shared" si="25"/>
        <v>16.7332075166</v>
      </c>
      <c r="N160" s="9"/>
      <c r="O160" s="22">
        <v>0.65536499999999998</v>
      </c>
      <c r="P160" s="22">
        <v>69.697699999999998</v>
      </c>
      <c r="Q160" s="22">
        <v>-1.8997199999999999E-2</v>
      </c>
      <c r="R160" s="22">
        <v>150</v>
      </c>
      <c r="S160" s="22">
        <v>0.65472399999999997</v>
      </c>
      <c r="T160">
        <f t="shared" si="26"/>
        <v>18.997199999999999</v>
      </c>
      <c r="U160">
        <f t="shared" si="27"/>
        <v>12.450099977999999</v>
      </c>
      <c r="X160" s="9"/>
      <c r="Y160" s="22">
        <v>0.89462299999999995</v>
      </c>
      <c r="Z160" s="22">
        <v>103.721</v>
      </c>
      <c r="AA160" s="22">
        <v>-1.88568E-2</v>
      </c>
      <c r="AB160" s="22">
        <v>150</v>
      </c>
      <c r="AC160" s="22">
        <v>0.89385999999999999</v>
      </c>
      <c r="AD160">
        <f t="shared" si="28"/>
        <v>18.8568</v>
      </c>
      <c r="AE160">
        <f t="shared" si="29"/>
        <v>16.8697269864</v>
      </c>
      <c r="AF160" s="9"/>
      <c r="AG160" s="22">
        <v>0.65536499999999998</v>
      </c>
      <c r="AH160" s="22">
        <v>137.727</v>
      </c>
      <c r="AI160" s="22">
        <v>-1.9107099999999998E-2</v>
      </c>
      <c r="AJ160" s="22">
        <v>150</v>
      </c>
      <c r="AK160" s="22">
        <v>0.654694</v>
      </c>
      <c r="AL160">
        <f t="shared" si="30"/>
        <v>19.107099999999999</v>
      </c>
      <c r="AM160">
        <f t="shared" si="31"/>
        <v>12.522124591499999</v>
      </c>
      <c r="AP160" s="9"/>
      <c r="AQ160" s="22">
        <v>0.89462299999999995</v>
      </c>
      <c r="AR160" s="22">
        <v>171.786</v>
      </c>
      <c r="AS160" s="22">
        <v>-1.8850700000000001E-2</v>
      </c>
      <c r="AT160" s="22">
        <v>150</v>
      </c>
      <c r="AU160" s="22">
        <v>0.89324999999999999</v>
      </c>
      <c r="AV160">
        <f t="shared" si="32"/>
        <v>18.8507</v>
      </c>
      <c r="AW160">
        <f t="shared" si="33"/>
        <v>16.864269786099999</v>
      </c>
      <c r="AX160" s="9"/>
      <c r="AY160" s="22">
        <v>0.65536499999999998</v>
      </c>
      <c r="AZ160" s="22">
        <v>205.81200000000001</v>
      </c>
      <c r="BA160" s="22">
        <v>-1.9101E-2</v>
      </c>
      <c r="BB160" s="22">
        <v>150</v>
      </c>
      <c r="BC160" s="22">
        <v>0.654694</v>
      </c>
      <c r="BD160">
        <f t="shared" si="34"/>
        <v>19.100999999999999</v>
      </c>
      <c r="BE160">
        <f t="shared" si="35"/>
        <v>12.518126864999999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0.88958700000000002</v>
      </c>
      <c r="H161" s="22">
        <v>35.654600000000002</v>
      </c>
      <c r="I161" s="22">
        <v>-1.87073E-2</v>
      </c>
      <c r="J161" s="22">
        <v>151</v>
      </c>
      <c r="K161" s="22">
        <v>0.88897700000000002</v>
      </c>
      <c r="L161">
        <f t="shared" si="24"/>
        <v>18.7073</v>
      </c>
      <c r="M161">
        <f t="shared" si="25"/>
        <v>16.641770885100001</v>
      </c>
      <c r="N161" s="9"/>
      <c r="O161" s="22">
        <v>0.66039999999999999</v>
      </c>
      <c r="P161" s="22">
        <v>69.707700000000003</v>
      </c>
      <c r="Q161" s="22">
        <v>-1.89911E-2</v>
      </c>
      <c r="R161" s="22">
        <v>151</v>
      </c>
      <c r="S161" s="22">
        <v>0.65966800000000003</v>
      </c>
      <c r="T161">
        <f t="shared" si="26"/>
        <v>18.991099999999999</v>
      </c>
      <c r="U161">
        <f t="shared" si="27"/>
        <v>12.541722439999999</v>
      </c>
      <c r="X161" s="9"/>
      <c r="Y161" s="22">
        <v>0.88958700000000002</v>
      </c>
      <c r="Z161" s="22">
        <v>103.73099999999999</v>
      </c>
      <c r="AA161" s="22">
        <v>-1.8859899999999999E-2</v>
      </c>
      <c r="AB161" s="22">
        <v>151</v>
      </c>
      <c r="AC161" s="22">
        <v>0.88897700000000002</v>
      </c>
      <c r="AD161">
        <f t="shared" si="28"/>
        <v>18.8599</v>
      </c>
      <c r="AE161">
        <f t="shared" si="29"/>
        <v>16.777521861299999</v>
      </c>
      <c r="AF161" s="9"/>
      <c r="AG161" s="22">
        <v>0.66039999999999999</v>
      </c>
      <c r="AH161" s="22">
        <v>137.73699999999999</v>
      </c>
      <c r="AI161" s="22">
        <v>-1.9103999999999999E-2</v>
      </c>
      <c r="AJ161" s="22">
        <v>151</v>
      </c>
      <c r="AK161" s="22">
        <v>0.65957600000000005</v>
      </c>
      <c r="AL161">
        <f t="shared" si="30"/>
        <v>19.103999999999999</v>
      </c>
      <c r="AM161">
        <f t="shared" si="31"/>
        <v>12.616281599999999</v>
      </c>
      <c r="AP161" s="9"/>
      <c r="AQ161" s="22">
        <v>0.88958700000000002</v>
      </c>
      <c r="AR161" s="22">
        <v>171.79599999999999</v>
      </c>
      <c r="AS161" s="22">
        <v>-1.8859899999999999E-2</v>
      </c>
      <c r="AT161" s="22">
        <v>151</v>
      </c>
      <c r="AU161" s="22">
        <v>0.88897700000000002</v>
      </c>
      <c r="AV161">
        <f t="shared" si="32"/>
        <v>18.8599</v>
      </c>
      <c r="AW161">
        <f t="shared" si="33"/>
        <v>16.777521861299999</v>
      </c>
      <c r="AX161" s="9"/>
      <c r="AY161" s="22">
        <v>0.66039999999999999</v>
      </c>
      <c r="AZ161" s="22">
        <v>205.822</v>
      </c>
      <c r="BA161" s="22">
        <v>-1.9094799999999999E-2</v>
      </c>
      <c r="BB161" s="22">
        <v>151</v>
      </c>
      <c r="BC161" s="22">
        <v>0.65960700000000005</v>
      </c>
      <c r="BD161">
        <f t="shared" si="34"/>
        <v>19.094799999999999</v>
      </c>
      <c r="BE161">
        <f t="shared" si="35"/>
        <v>12.610205919999999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0.884552</v>
      </c>
      <c r="H162" s="22">
        <v>35.6646</v>
      </c>
      <c r="I162" s="22">
        <v>-1.8716400000000001E-2</v>
      </c>
      <c r="J162" s="22">
        <v>152</v>
      </c>
      <c r="K162" s="22">
        <v>0.88378900000000005</v>
      </c>
      <c r="L162">
        <f t="shared" si="24"/>
        <v>18.7164</v>
      </c>
      <c r="M162">
        <f t="shared" si="25"/>
        <v>16.555629052800001</v>
      </c>
      <c r="N162" s="9"/>
      <c r="O162" s="22">
        <v>0.66543600000000003</v>
      </c>
      <c r="P162" s="22">
        <v>69.717799999999997</v>
      </c>
      <c r="Q162" s="22">
        <v>-1.8984999999999998E-2</v>
      </c>
      <c r="R162" s="22">
        <v>152</v>
      </c>
      <c r="S162" s="22">
        <v>0.664825</v>
      </c>
      <c r="T162">
        <f t="shared" si="26"/>
        <v>18.984999999999999</v>
      </c>
      <c r="U162">
        <f t="shared" si="27"/>
        <v>12.633302459999999</v>
      </c>
      <c r="X162" s="9"/>
      <c r="Y162" s="22">
        <v>0.884552</v>
      </c>
      <c r="Z162" s="22">
        <v>103.741</v>
      </c>
      <c r="AA162" s="22">
        <v>-1.8866000000000001E-2</v>
      </c>
      <c r="AB162" s="22">
        <v>152</v>
      </c>
      <c r="AC162" s="22">
        <v>0.88317900000000005</v>
      </c>
      <c r="AD162">
        <f t="shared" si="28"/>
        <v>18.866</v>
      </c>
      <c r="AE162">
        <f t="shared" si="29"/>
        <v>16.687958032000001</v>
      </c>
      <c r="AF162" s="9"/>
      <c r="AG162" s="22">
        <v>0.66543600000000003</v>
      </c>
      <c r="AH162" s="22">
        <v>137.74700000000001</v>
      </c>
      <c r="AI162" s="22">
        <v>-1.9097900000000001E-2</v>
      </c>
      <c r="AJ162" s="22">
        <v>152</v>
      </c>
      <c r="AK162" s="22">
        <v>0.66473400000000005</v>
      </c>
      <c r="AL162">
        <f t="shared" si="30"/>
        <v>19.097900000000003</v>
      </c>
      <c r="AM162">
        <f t="shared" si="31"/>
        <v>12.708430184400003</v>
      </c>
      <c r="AP162" s="9"/>
      <c r="AQ162" s="22">
        <v>0.884552</v>
      </c>
      <c r="AR162" s="22">
        <v>171.80600000000001</v>
      </c>
      <c r="AS162" s="22">
        <v>-1.8866000000000001E-2</v>
      </c>
      <c r="AT162" s="22">
        <v>152</v>
      </c>
      <c r="AU162" s="22">
        <v>0.88378900000000005</v>
      </c>
      <c r="AV162">
        <f t="shared" si="32"/>
        <v>18.866</v>
      </c>
      <c r="AW162">
        <f t="shared" si="33"/>
        <v>16.687958032000001</v>
      </c>
      <c r="AX162" s="9"/>
      <c r="AY162" s="22">
        <v>0.66543600000000003</v>
      </c>
      <c r="AZ162" s="22">
        <v>205.83199999999999</v>
      </c>
      <c r="BA162" s="22">
        <v>-1.90887E-2</v>
      </c>
      <c r="BB162" s="22">
        <v>152</v>
      </c>
      <c r="BC162" s="22">
        <v>0.66476400000000002</v>
      </c>
      <c r="BD162">
        <f t="shared" si="34"/>
        <v>19.088699999999999</v>
      </c>
      <c r="BE162">
        <f t="shared" si="35"/>
        <v>12.7023081732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0.87951699999999999</v>
      </c>
      <c r="H163" s="22">
        <v>35.674700000000001</v>
      </c>
      <c r="I163" s="22">
        <v>-1.87225E-2</v>
      </c>
      <c r="J163" s="22">
        <v>153</v>
      </c>
      <c r="K163" s="22">
        <v>0.87921099999999996</v>
      </c>
      <c r="L163">
        <f t="shared" si="24"/>
        <v>18.7225</v>
      </c>
      <c r="M163">
        <f t="shared" si="25"/>
        <v>16.466757032499999</v>
      </c>
      <c r="N163" s="9"/>
      <c r="O163" s="22">
        <v>0.67047100000000004</v>
      </c>
      <c r="P163" s="22">
        <v>69.727900000000005</v>
      </c>
      <c r="Q163" s="22">
        <v>-1.8981899999999999E-2</v>
      </c>
      <c r="R163" s="22">
        <v>153</v>
      </c>
      <c r="S163" s="22">
        <v>0.66970799999999997</v>
      </c>
      <c r="T163">
        <f t="shared" si="26"/>
        <v>18.9819</v>
      </c>
      <c r="U163">
        <f t="shared" si="27"/>
        <v>12.7268134749</v>
      </c>
      <c r="X163" s="9"/>
      <c r="Y163" s="22">
        <v>0.87951699999999999</v>
      </c>
      <c r="Z163" s="22">
        <v>103.751</v>
      </c>
      <c r="AA163" s="22">
        <v>-1.8872099999999999E-2</v>
      </c>
      <c r="AB163" s="22">
        <v>153</v>
      </c>
      <c r="AC163" s="22">
        <v>0.87829599999999997</v>
      </c>
      <c r="AD163">
        <f t="shared" si="28"/>
        <v>18.8721</v>
      </c>
      <c r="AE163">
        <f t="shared" si="29"/>
        <v>16.598332775700001</v>
      </c>
      <c r="AF163" s="9"/>
      <c r="AG163" s="22">
        <v>0.67047100000000004</v>
      </c>
      <c r="AH163" s="22">
        <v>137.75700000000001</v>
      </c>
      <c r="AI163" s="22">
        <v>-1.90887E-2</v>
      </c>
      <c r="AJ163" s="22">
        <v>153</v>
      </c>
      <c r="AK163" s="22">
        <v>0.66973899999999997</v>
      </c>
      <c r="AL163">
        <f t="shared" si="30"/>
        <v>19.088699999999999</v>
      </c>
      <c r="AM163">
        <f t="shared" si="31"/>
        <v>12.798419777699999</v>
      </c>
      <c r="AP163" s="9"/>
      <c r="AQ163" s="22">
        <v>0.87951699999999999</v>
      </c>
      <c r="AR163" s="22">
        <v>171.816</v>
      </c>
      <c r="AS163" s="22">
        <v>-1.8872099999999999E-2</v>
      </c>
      <c r="AT163" s="22">
        <v>153</v>
      </c>
      <c r="AU163" s="22">
        <v>0.87890599999999997</v>
      </c>
      <c r="AV163">
        <f t="shared" si="32"/>
        <v>18.8721</v>
      </c>
      <c r="AW163">
        <f t="shared" si="33"/>
        <v>16.598332775700001</v>
      </c>
      <c r="AX163" s="9"/>
      <c r="AY163" s="22">
        <v>0.67047100000000004</v>
      </c>
      <c r="AZ163" s="22">
        <v>205.84200000000001</v>
      </c>
      <c r="BA163" s="22">
        <v>-1.9085700000000001E-2</v>
      </c>
      <c r="BB163" s="22">
        <v>153</v>
      </c>
      <c r="BC163" s="22">
        <v>0.66986100000000004</v>
      </c>
      <c r="BD163">
        <f t="shared" si="34"/>
        <v>19.085699999999999</v>
      </c>
      <c r="BE163">
        <f t="shared" si="35"/>
        <v>12.7964083647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0.87448099999999995</v>
      </c>
      <c r="H164" s="22">
        <v>35.684800000000003</v>
      </c>
      <c r="I164" s="22">
        <v>-1.8728600000000001E-2</v>
      </c>
      <c r="J164" s="22">
        <v>154</v>
      </c>
      <c r="K164" s="22">
        <v>0.87341299999999999</v>
      </c>
      <c r="L164">
        <f t="shared" si="24"/>
        <v>18.7286</v>
      </c>
      <c r="M164">
        <f t="shared" si="25"/>
        <v>16.377804856600001</v>
      </c>
      <c r="N164" s="9"/>
      <c r="O164" s="22">
        <v>0.67550699999999997</v>
      </c>
      <c r="P164" s="22">
        <v>69.737899999999996</v>
      </c>
      <c r="Q164" s="22">
        <v>-1.8975800000000001E-2</v>
      </c>
      <c r="R164" s="22">
        <v>154</v>
      </c>
      <c r="S164" s="22">
        <v>0.67477399999999998</v>
      </c>
      <c r="T164">
        <f t="shared" si="26"/>
        <v>18.9758</v>
      </c>
      <c r="U164">
        <f t="shared" si="27"/>
        <v>12.8182857306</v>
      </c>
      <c r="X164" s="9"/>
      <c r="Y164" s="22">
        <v>0.87448099999999995</v>
      </c>
      <c r="Z164" s="22">
        <v>103.761</v>
      </c>
      <c r="AA164" s="22">
        <v>-1.8881200000000001E-2</v>
      </c>
      <c r="AB164" s="22">
        <v>154</v>
      </c>
      <c r="AC164" s="22">
        <v>0.87402299999999999</v>
      </c>
      <c r="AD164">
        <f t="shared" si="28"/>
        <v>18.8812</v>
      </c>
      <c r="AE164">
        <f t="shared" si="29"/>
        <v>16.511250657199998</v>
      </c>
      <c r="AF164" s="9"/>
      <c r="AG164" s="22">
        <v>0.67550699999999997</v>
      </c>
      <c r="AH164" s="22">
        <v>137.767</v>
      </c>
      <c r="AI164" s="22">
        <v>-1.9079599999999999E-2</v>
      </c>
      <c r="AJ164" s="22">
        <v>154</v>
      </c>
      <c r="AK164" s="22">
        <v>0.67459100000000005</v>
      </c>
      <c r="AL164">
        <f t="shared" si="30"/>
        <v>19.079599999999999</v>
      </c>
      <c r="AM164">
        <f t="shared" si="31"/>
        <v>12.8884033572</v>
      </c>
      <c r="AP164" s="9"/>
      <c r="AQ164" s="22">
        <v>0.87448099999999995</v>
      </c>
      <c r="AR164" s="22">
        <v>171.82599999999999</v>
      </c>
      <c r="AS164" s="22">
        <v>-1.8878200000000001E-2</v>
      </c>
      <c r="AT164" s="22">
        <v>154</v>
      </c>
      <c r="AU164" s="22">
        <v>0.873108</v>
      </c>
      <c r="AV164">
        <f t="shared" si="32"/>
        <v>18.8782</v>
      </c>
      <c r="AW164">
        <f t="shared" si="33"/>
        <v>16.508627214200001</v>
      </c>
      <c r="AX164" s="9"/>
      <c r="AY164" s="22">
        <v>0.67550699999999997</v>
      </c>
      <c r="AZ164" s="22">
        <v>205.852</v>
      </c>
      <c r="BA164" s="22">
        <v>-1.9079599999999999E-2</v>
      </c>
      <c r="BB164" s="22">
        <v>154</v>
      </c>
      <c r="BC164" s="22">
        <v>0.67483499999999996</v>
      </c>
      <c r="BD164">
        <f t="shared" si="34"/>
        <v>19.079599999999999</v>
      </c>
      <c r="BE164">
        <f t="shared" si="35"/>
        <v>12.8884033572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0.86944600000000005</v>
      </c>
      <c r="H165" s="22">
        <v>35.694899999999997</v>
      </c>
      <c r="I165" s="22">
        <v>-1.87317E-2</v>
      </c>
      <c r="J165" s="22">
        <v>155</v>
      </c>
      <c r="K165" s="22">
        <v>0.86792000000000002</v>
      </c>
      <c r="L165">
        <f t="shared" si="24"/>
        <v>18.7317</v>
      </c>
      <c r="M165">
        <f t="shared" si="25"/>
        <v>16.286201638200001</v>
      </c>
      <c r="N165" s="9"/>
      <c r="O165" s="22">
        <v>0.68054199999999998</v>
      </c>
      <c r="P165" s="22">
        <v>69.748000000000005</v>
      </c>
      <c r="Q165" s="22">
        <v>-1.8972800000000001E-2</v>
      </c>
      <c r="R165" s="22">
        <v>155</v>
      </c>
      <c r="S165" s="22">
        <v>0.67981000000000003</v>
      </c>
      <c r="T165">
        <f t="shared" si="26"/>
        <v>18.972800000000003</v>
      </c>
      <c r="U165">
        <f t="shared" si="27"/>
        <v>12.911787257600002</v>
      </c>
      <c r="X165" s="9"/>
      <c r="Y165" s="22">
        <v>0.86944600000000005</v>
      </c>
      <c r="Z165" s="22">
        <v>103.771</v>
      </c>
      <c r="AA165" s="22">
        <v>-1.88843E-2</v>
      </c>
      <c r="AB165" s="22">
        <v>155</v>
      </c>
      <c r="AC165" s="22">
        <v>0.86822500000000002</v>
      </c>
      <c r="AD165">
        <f t="shared" si="28"/>
        <v>18.8843</v>
      </c>
      <c r="AE165">
        <f t="shared" si="29"/>
        <v>16.418879097800001</v>
      </c>
      <c r="AF165" s="9"/>
      <c r="AG165" s="22">
        <v>0.68054199999999998</v>
      </c>
      <c r="AH165" s="22">
        <v>137.77699999999999</v>
      </c>
      <c r="AI165" s="22">
        <v>-1.9079599999999999E-2</v>
      </c>
      <c r="AJ165" s="22">
        <v>155</v>
      </c>
      <c r="AK165" s="22">
        <v>0.67981000000000003</v>
      </c>
      <c r="AL165">
        <f t="shared" si="30"/>
        <v>19.079599999999999</v>
      </c>
      <c r="AM165">
        <f t="shared" si="31"/>
        <v>12.984469143199998</v>
      </c>
      <c r="AP165" s="9"/>
      <c r="AQ165" s="22">
        <v>0.86944600000000005</v>
      </c>
      <c r="AR165" s="22">
        <v>171.83600000000001</v>
      </c>
      <c r="AS165" s="22">
        <v>-1.8881200000000001E-2</v>
      </c>
      <c r="AT165" s="22">
        <v>155</v>
      </c>
      <c r="AU165" s="22">
        <v>0.86792000000000002</v>
      </c>
      <c r="AV165">
        <f t="shared" si="32"/>
        <v>18.8812</v>
      </c>
      <c r="AW165">
        <f t="shared" si="33"/>
        <v>16.4161838152</v>
      </c>
      <c r="AX165" s="9"/>
      <c r="AY165" s="22">
        <v>0.68054199999999998</v>
      </c>
      <c r="AZ165" s="22">
        <v>205.86199999999999</v>
      </c>
      <c r="BA165" s="22">
        <v>-1.90735E-2</v>
      </c>
      <c r="BB165" s="22">
        <v>155</v>
      </c>
      <c r="BC165" s="22">
        <v>0.67968799999999996</v>
      </c>
      <c r="BD165">
        <f t="shared" si="34"/>
        <v>19.073499999999999</v>
      </c>
      <c r="BE165">
        <f t="shared" si="35"/>
        <v>12.980317836999999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0.86441000000000001</v>
      </c>
      <c r="H166" s="22">
        <v>35.704900000000002</v>
      </c>
      <c r="I166" s="22">
        <v>-1.8737799999999999E-2</v>
      </c>
      <c r="J166" s="22">
        <v>156</v>
      </c>
      <c r="K166" s="22">
        <v>0.86425799999999997</v>
      </c>
      <c r="L166">
        <f t="shared" si="24"/>
        <v>18.7378</v>
      </c>
      <c r="M166">
        <f t="shared" si="25"/>
        <v>16.197141697999999</v>
      </c>
      <c r="N166" s="9"/>
      <c r="O166" s="22">
        <v>0.68557699999999999</v>
      </c>
      <c r="P166" s="22">
        <v>69.758099999999999</v>
      </c>
      <c r="Q166" s="22">
        <v>-1.89667E-2</v>
      </c>
      <c r="R166" s="22">
        <v>156</v>
      </c>
      <c r="S166" s="22">
        <v>0.68481400000000003</v>
      </c>
      <c r="T166">
        <f t="shared" si="26"/>
        <v>18.966699999999999</v>
      </c>
      <c r="U166">
        <f t="shared" si="27"/>
        <v>13.003133285899999</v>
      </c>
      <c r="X166" s="9"/>
      <c r="Y166" s="22">
        <v>0.86441000000000001</v>
      </c>
      <c r="Z166" s="22">
        <v>103.78100000000001</v>
      </c>
      <c r="AA166" s="22">
        <v>-1.88843E-2</v>
      </c>
      <c r="AB166" s="22">
        <v>156</v>
      </c>
      <c r="AC166" s="22">
        <v>0.86334200000000005</v>
      </c>
      <c r="AD166">
        <f t="shared" si="28"/>
        <v>18.8843</v>
      </c>
      <c r="AE166">
        <f t="shared" si="29"/>
        <v>16.323777762999999</v>
      </c>
      <c r="AF166" s="9"/>
      <c r="AG166" s="22">
        <v>0.68557699999999999</v>
      </c>
      <c r="AH166" s="22">
        <v>137.78700000000001</v>
      </c>
      <c r="AI166" s="22">
        <v>-1.90765E-2</v>
      </c>
      <c r="AJ166" s="22">
        <v>156</v>
      </c>
      <c r="AK166" s="22">
        <v>0.68478399999999995</v>
      </c>
      <c r="AL166">
        <f t="shared" si="30"/>
        <v>19.076499999999999</v>
      </c>
      <c r="AM166">
        <f t="shared" si="31"/>
        <v>13.078409640499999</v>
      </c>
      <c r="AP166" s="9"/>
      <c r="AQ166" s="22">
        <v>0.86441000000000001</v>
      </c>
      <c r="AR166" s="22">
        <v>171.846</v>
      </c>
      <c r="AS166" s="22">
        <v>-1.8887299999999999E-2</v>
      </c>
      <c r="AT166" s="22">
        <v>156</v>
      </c>
      <c r="AU166" s="22">
        <v>0.86364700000000005</v>
      </c>
      <c r="AV166">
        <f t="shared" si="32"/>
        <v>18.8873</v>
      </c>
      <c r="AW166">
        <f t="shared" si="33"/>
        <v>16.326370993000001</v>
      </c>
      <c r="AX166" s="9"/>
      <c r="AY166" s="22">
        <v>0.68557699999999999</v>
      </c>
      <c r="AZ166" s="22">
        <v>205.87200000000001</v>
      </c>
      <c r="BA166" s="22">
        <v>-1.9070400000000001E-2</v>
      </c>
      <c r="BB166" s="22">
        <v>156</v>
      </c>
      <c r="BC166" s="22">
        <v>0.68490600000000001</v>
      </c>
      <c r="BD166">
        <f t="shared" si="34"/>
        <v>19.070400000000003</v>
      </c>
      <c r="BE166">
        <f t="shared" si="35"/>
        <v>13.074227620800002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0.859375</v>
      </c>
      <c r="H167" s="22">
        <v>35.715000000000003</v>
      </c>
      <c r="I167" s="22">
        <v>-1.8743900000000001E-2</v>
      </c>
      <c r="J167" s="22">
        <v>157</v>
      </c>
      <c r="K167" s="22">
        <v>0.85907</v>
      </c>
      <c r="L167">
        <f t="shared" si="24"/>
        <v>18.7439</v>
      </c>
      <c r="M167">
        <f t="shared" si="25"/>
        <v>16.108039062500001</v>
      </c>
      <c r="N167" s="9"/>
      <c r="O167" s="22">
        <v>0.69061300000000003</v>
      </c>
      <c r="P167" s="22">
        <v>69.768199999999993</v>
      </c>
      <c r="Q167" s="22">
        <v>-1.8963600000000001E-2</v>
      </c>
      <c r="R167" s="22">
        <v>157</v>
      </c>
      <c r="S167" s="22">
        <v>0.68991100000000005</v>
      </c>
      <c r="T167">
        <f t="shared" si="26"/>
        <v>18.9636</v>
      </c>
      <c r="U167">
        <f t="shared" si="27"/>
        <v>13.0965086868</v>
      </c>
      <c r="X167" s="9"/>
      <c r="Y167" s="22">
        <v>0.859375</v>
      </c>
      <c r="Z167" s="22">
        <v>103.791</v>
      </c>
      <c r="AA167" s="22">
        <v>-1.8890400000000002E-2</v>
      </c>
      <c r="AB167" s="22">
        <v>157</v>
      </c>
      <c r="AC167" s="22">
        <v>0.85784899999999997</v>
      </c>
      <c r="AD167">
        <f t="shared" si="28"/>
        <v>18.890400000000003</v>
      </c>
      <c r="AE167">
        <f t="shared" si="29"/>
        <v>16.233937500000003</v>
      </c>
      <c r="AF167" s="9"/>
      <c r="AG167" s="22">
        <v>0.69061300000000003</v>
      </c>
      <c r="AH167" s="22">
        <v>137.797</v>
      </c>
      <c r="AI167" s="22">
        <v>-1.9070400000000001E-2</v>
      </c>
      <c r="AJ167" s="22">
        <v>157</v>
      </c>
      <c r="AK167" s="22">
        <v>0.68981899999999996</v>
      </c>
      <c r="AL167">
        <f t="shared" si="30"/>
        <v>19.070400000000003</v>
      </c>
      <c r="AM167">
        <f t="shared" si="31"/>
        <v>13.170266155200002</v>
      </c>
      <c r="AP167" s="9"/>
      <c r="AQ167" s="22">
        <v>0.859375</v>
      </c>
      <c r="AR167" s="22">
        <v>171.85599999999999</v>
      </c>
      <c r="AS167" s="22">
        <v>-1.88965E-2</v>
      </c>
      <c r="AT167" s="22">
        <v>157</v>
      </c>
      <c r="AU167" s="22">
        <v>0.85845899999999997</v>
      </c>
      <c r="AV167">
        <f t="shared" si="32"/>
        <v>18.8965</v>
      </c>
      <c r="AW167">
        <f t="shared" si="33"/>
        <v>16.239179687499998</v>
      </c>
      <c r="AX167" s="9"/>
      <c r="AY167" s="22">
        <v>0.69061300000000003</v>
      </c>
      <c r="AZ167" s="22">
        <v>205.88200000000001</v>
      </c>
      <c r="BA167" s="22">
        <v>-1.9064299999999999E-2</v>
      </c>
      <c r="BB167" s="22">
        <v>157</v>
      </c>
      <c r="BC167" s="22">
        <v>0.68988000000000005</v>
      </c>
      <c r="BD167">
        <f t="shared" si="34"/>
        <v>19.064299999999999</v>
      </c>
      <c r="BE167">
        <f t="shared" si="35"/>
        <v>13.1660534159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0.85433999999999999</v>
      </c>
      <c r="H168" s="22">
        <v>35.725099999999998</v>
      </c>
      <c r="I168" s="22">
        <v>-1.87469E-2</v>
      </c>
      <c r="J168" s="22">
        <v>158</v>
      </c>
      <c r="K168" s="22">
        <v>0.85357700000000003</v>
      </c>
      <c r="L168">
        <f t="shared" si="24"/>
        <v>18.7469</v>
      </c>
      <c r="M168">
        <f t="shared" si="25"/>
        <v>16.016226545999999</v>
      </c>
      <c r="N168" s="9"/>
      <c r="O168" s="22">
        <v>0.69564800000000004</v>
      </c>
      <c r="P168" s="22">
        <v>69.778199999999998</v>
      </c>
      <c r="Q168" s="22">
        <v>-1.8957499999999999E-2</v>
      </c>
      <c r="R168" s="22">
        <v>158</v>
      </c>
      <c r="S168" s="22">
        <v>0.69528199999999996</v>
      </c>
      <c r="T168">
        <f t="shared" si="26"/>
        <v>18.9575</v>
      </c>
      <c r="U168">
        <f t="shared" si="27"/>
        <v>13.18774696</v>
      </c>
      <c r="X168" s="9"/>
      <c r="Y168" s="22">
        <v>0.85433999999999999</v>
      </c>
      <c r="Z168" s="22">
        <v>103.801</v>
      </c>
      <c r="AA168" s="22">
        <v>-1.88965E-2</v>
      </c>
      <c r="AB168" s="22">
        <v>158</v>
      </c>
      <c r="AC168" s="22">
        <v>0.852966</v>
      </c>
      <c r="AD168">
        <f t="shared" si="28"/>
        <v>18.8965</v>
      </c>
      <c r="AE168">
        <f t="shared" si="29"/>
        <v>16.144035809999998</v>
      </c>
      <c r="AF168" s="9"/>
      <c r="AG168" s="22">
        <v>0.69564800000000004</v>
      </c>
      <c r="AH168" s="22">
        <v>137.80799999999999</v>
      </c>
      <c r="AI168" s="22">
        <v>-1.9067400000000002E-2</v>
      </c>
      <c r="AJ168" s="22">
        <v>158</v>
      </c>
      <c r="AK168" s="22">
        <v>0.69500700000000004</v>
      </c>
      <c r="AL168">
        <f t="shared" si="30"/>
        <v>19.067400000000003</v>
      </c>
      <c r="AM168">
        <f t="shared" si="31"/>
        <v>13.264198675200003</v>
      </c>
      <c r="AP168" s="9"/>
      <c r="AQ168" s="22">
        <v>0.85433999999999999</v>
      </c>
      <c r="AR168" s="22">
        <v>171.86600000000001</v>
      </c>
      <c r="AS168" s="22">
        <v>-1.8902599999999999E-2</v>
      </c>
      <c r="AT168" s="22">
        <v>158</v>
      </c>
      <c r="AU168" s="22">
        <v>0.85388200000000003</v>
      </c>
      <c r="AV168">
        <f t="shared" si="32"/>
        <v>18.9026</v>
      </c>
      <c r="AW168">
        <f t="shared" si="33"/>
        <v>16.149247284000001</v>
      </c>
      <c r="AX168" s="9"/>
      <c r="AY168" s="22">
        <v>0.69564800000000004</v>
      </c>
      <c r="AZ168" s="22">
        <v>205.892</v>
      </c>
      <c r="BA168" s="22">
        <v>-1.9058200000000001E-2</v>
      </c>
      <c r="BB168" s="22">
        <v>158</v>
      </c>
      <c r="BC168" s="22">
        <v>0.69503800000000004</v>
      </c>
      <c r="BD168">
        <f t="shared" si="34"/>
        <v>19.058199999999999</v>
      </c>
      <c r="BE168">
        <f t="shared" si="35"/>
        <v>13.2577987136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0.84930399999999995</v>
      </c>
      <c r="H169" s="22">
        <v>35.735100000000003</v>
      </c>
      <c r="I169" s="22">
        <v>-1.8756100000000001E-2</v>
      </c>
      <c r="J169" s="22">
        <v>159</v>
      </c>
      <c r="K169" s="22">
        <v>0.84869399999999995</v>
      </c>
      <c r="L169">
        <f t="shared" si="24"/>
        <v>18.7561</v>
      </c>
      <c r="M169">
        <f t="shared" si="25"/>
        <v>15.9296307544</v>
      </c>
      <c r="N169" s="9"/>
      <c r="O169" s="22">
        <v>0.70068399999999997</v>
      </c>
      <c r="P169" s="22">
        <v>69.788300000000007</v>
      </c>
      <c r="Q169" s="22">
        <v>-1.8948400000000001E-2</v>
      </c>
      <c r="R169" s="22">
        <v>159</v>
      </c>
      <c r="S169" s="22">
        <v>0.69973799999999997</v>
      </c>
      <c r="T169">
        <f t="shared" si="26"/>
        <v>18.948399999999999</v>
      </c>
      <c r="U169">
        <f t="shared" si="27"/>
        <v>13.2768407056</v>
      </c>
      <c r="X169" s="9"/>
      <c r="Y169" s="22">
        <v>0.84930399999999995</v>
      </c>
      <c r="Z169" s="22">
        <v>103.81100000000001</v>
      </c>
      <c r="AA169" s="22">
        <v>-1.8902599999999999E-2</v>
      </c>
      <c r="AB169" s="22">
        <v>159</v>
      </c>
      <c r="AC169" s="22">
        <v>0.84899899999999995</v>
      </c>
      <c r="AD169">
        <f t="shared" si="28"/>
        <v>18.9026</v>
      </c>
      <c r="AE169">
        <f t="shared" si="29"/>
        <v>16.054053790399998</v>
      </c>
      <c r="AF169" s="9"/>
      <c r="AG169" s="22">
        <v>0.70068399999999997</v>
      </c>
      <c r="AH169" s="22">
        <v>137.81800000000001</v>
      </c>
      <c r="AI169" s="22">
        <v>-1.9058200000000001E-2</v>
      </c>
      <c r="AJ169" s="22">
        <v>159</v>
      </c>
      <c r="AK169" s="22">
        <v>0.70001199999999997</v>
      </c>
      <c r="AL169">
        <f t="shared" si="30"/>
        <v>19.058199999999999</v>
      </c>
      <c r="AM169">
        <f t="shared" si="31"/>
        <v>13.353775808799998</v>
      </c>
      <c r="AP169" s="9"/>
      <c r="AQ169" s="22">
        <v>0.84930399999999995</v>
      </c>
      <c r="AR169" s="22">
        <v>171.876</v>
      </c>
      <c r="AS169" s="22">
        <v>-1.8908700000000001E-2</v>
      </c>
      <c r="AT169" s="22">
        <v>159</v>
      </c>
      <c r="AU169" s="22">
        <v>0.84899899999999995</v>
      </c>
      <c r="AV169">
        <f t="shared" si="32"/>
        <v>18.9087</v>
      </c>
      <c r="AW169">
        <f t="shared" si="33"/>
        <v>16.059234544799999</v>
      </c>
      <c r="AX169" s="9"/>
      <c r="AY169" s="22">
        <v>0.70068399999999997</v>
      </c>
      <c r="AZ169" s="22">
        <v>205.90199999999999</v>
      </c>
      <c r="BA169" s="22">
        <v>-1.9055200000000001E-2</v>
      </c>
      <c r="BB169" s="22">
        <v>159</v>
      </c>
      <c r="BC169" s="22">
        <v>0.70007299999999995</v>
      </c>
      <c r="BD169">
        <f t="shared" si="34"/>
        <v>19.055200000000003</v>
      </c>
      <c r="BE169">
        <f t="shared" si="35"/>
        <v>13.351673756800002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0.84426900000000005</v>
      </c>
      <c r="H170" s="22">
        <v>35.745199999999997</v>
      </c>
      <c r="I170" s="22">
        <v>-1.8765299999999999E-2</v>
      </c>
      <c r="J170" s="22">
        <v>160</v>
      </c>
      <c r="K170" s="22">
        <v>0.84350599999999998</v>
      </c>
      <c r="L170">
        <f t="shared" si="24"/>
        <v>18.7653</v>
      </c>
      <c r="M170">
        <f t="shared" si="25"/>
        <v>15.842961065700001</v>
      </c>
      <c r="N170" s="9"/>
      <c r="O170" s="22">
        <v>0.70571899999999999</v>
      </c>
      <c r="P170" s="22">
        <v>69.798400000000001</v>
      </c>
      <c r="Q170" s="22">
        <v>-1.8945300000000002E-2</v>
      </c>
      <c r="R170" s="22">
        <v>160</v>
      </c>
      <c r="S170" s="22">
        <v>0.705017</v>
      </c>
      <c r="T170">
        <f t="shared" si="26"/>
        <v>18.945300000000003</v>
      </c>
      <c r="U170">
        <f t="shared" si="27"/>
        <v>13.370058170700002</v>
      </c>
      <c r="X170" s="9"/>
      <c r="Y170" s="22">
        <v>0.84426900000000005</v>
      </c>
      <c r="Z170" s="22">
        <v>103.821</v>
      </c>
      <c r="AA170" s="22">
        <v>-1.8908700000000001E-2</v>
      </c>
      <c r="AB170" s="22">
        <v>160</v>
      </c>
      <c r="AC170" s="22">
        <v>0.84381099999999998</v>
      </c>
      <c r="AD170">
        <f t="shared" si="28"/>
        <v>18.9087</v>
      </c>
      <c r="AE170">
        <f t="shared" si="29"/>
        <v>15.9640292403</v>
      </c>
      <c r="AF170" s="9"/>
      <c r="AG170" s="22">
        <v>0.70571899999999999</v>
      </c>
      <c r="AH170" s="22">
        <v>137.828</v>
      </c>
      <c r="AI170" s="22">
        <v>-1.9055200000000001E-2</v>
      </c>
      <c r="AJ170" s="22">
        <v>160</v>
      </c>
      <c r="AK170" s="22">
        <v>0.70513899999999996</v>
      </c>
      <c r="AL170">
        <f t="shared" si="30"/>
        <v>19.055200000000003</v>
      </c>
      <c r="AM170">
        <f t="shared" si="31"/>
        <v>13.447616688800002</v>
      </c>
      <c r="AP170" s="9"/>
      <c r="AQ170" s="22">
        <v>0.84426900000000005</v>
      </c>
      <c r="AR170" s="22">
        <v>171.886</v>
      </c>
      <c r="AS170" s="22">
        <v>-1.89117E-2</v>
      </c>
      <c r="AT170" s="22">
        <v>160</v>
      </c>
      <c r="AU170" s="22">
        <v>0.84350599999999998</v>
      </c>
      <c r="AV170">
        <f t="shared" si="32"/>
        <v>18.9117</v>
      </c>
      <c r="AW170">
        <f t="shared" si="33"/>
        <v>15.9665620473</v>
      </c>
      <c r="AX170" s="9"/>
      <c r="AY170" s="22">
        <v>0.70571899999999999</v>
      </c>
      <c r="AZ170" s="22">
        <v>205.91200000000001</v>
      </c>
      <c r="BA170" s="22">
        <v>-1.9046E-2</v>
      </c>
      <c r="BB170" s="22">
        <v>160</v>
      </c>
      <c r="BC170" s="22">
        <v>0.70483399999999996</v>
      </c>
      <c r="BD170">
        <f t="shared" si="34"/>
        <v>19.045999999999999</v>
      </c>
      <c r="BE170">
        <f t="shared" si="35"/>
        <v>13.441124073999999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0.83923300000000001</v>
      </c>
      <c r="H171" s="22">
        <v>35.755299999999998</v>
      </c>
      <c r="I171" s="22">
        <v>-1.8771400000000001E-2</v>
      </c>
      <c r="J171" s="22">
        <v>161</v>
      </c>
      <c r="K171" s="22">
        <v>0.83801300000000001</v>
      </c>
      <c r="L171">
        <f t="shared" si="24"/>
        <v>18.7714</v>
      </c>
      <c r="M171">
        <f t="shared" si="25"/>
        <v>15.7535783362</v>
      </c>
      <c r="N171" s="9"/>
      <c r="O171" s="22">
        <v>0.710754</v>
      </c>
      <c r="P171" s="22">
        <v>69.808400000000006</v>
      </c>
      <c r="Q171" s="22">
        <v>-1.89392E-2</v>
      </c>
      <c r="R171" s="22">
        <v>161</v>
      </c>
      <c r="S171" s="22">
        <v>0.70956399999999997</v>
      </c>
      <c r="T171">
        <f t="shared" si="26"/>
        <v>18.9392</v>
      </c>
      <c r="U171">
        <f t="shared" si="27"/>
        <v>13.461112156800001</v>
      </c>
      <c r="X171" s="9"/>
      <c r="Y171" s="22">
        <v>0.83923300000000001</v>
      </c>
      <c r="Z171" s="22">
        <v>103.83199999999999</v>
      </c>
      <c r="AA171" s="22">
        <v>-1.8917799999999999E-2</v>
      </c>
      <c r="AB171" s="22">
        <v>161</v>
      </c>
      <c r="AC171" s="22">
        <v>0.83831800000000001</v>
      </c>
      <c r="AD171">
        <f t="shared" si="28"/>
        <v>18.9178</v>
      </c>
      <c r="AE171">
        <f t="shared" si="29"/>
        <v>15.876442047399999</v>
      </c>
      <c r="AF171" s="9"/>
      <c r="AG171" s="22">
        <v>0.710754</v>
      </c>
      <c r="AH171" s="22">
        <v>137.83799999999999</v>
      </c>
      <c r="AI171" s="22">
        <v>-1.9055200000000001E-2</v>
      </c>
      <c r="AJ171" s="22">
        <v>161</v>
      </c>
      <c r="AK171" s="22">
        <v>0.71002200000000004</v>
      </c>
      <c r="AL171">
        <f t="shared" si="30"/>
        <v>19.055200000000003</v>
      </c>
      <c r="AM171">
        <f t="shared" si="31"/>
        <v>13.543559620800002</v>
      </c>
      <c r="AP171" s="9"/>
      <c r="AQ171" s="22">
        <v>0.83923300000000001</v>
      </c>
      <c r="AR171" s="22">
        <v>171.89599999999999</v>
      </c>
      <c r="AS171" s="22">
        <v>-1.8917799999999999E-2</v>
      </c>
      <c r="AT171" s="22">
        <v>161</v>
      </c>
      <c r="AU171" s="22">
        <v>0.83892800000000001</v>
      </c>
      <c r="AV171">
        <f t="shared" si="32"/>
        <v>18.9178</v>
      </c>
      <c r="AW171">
        <f t="shared" si="33"/>
        <v>15.876442047399999</v>
      </c>
      <c r="AX171" s="9"/>
      <c r="AY171" s="22">
        <v>0.710754</v>
      </c>
      <c r="AZ171" s="22">
        <v>205.922</v>
      </c>
      <c r="BA171" s="22">
        <v>-1.9043000000000001E-2</v>
      </c>
      <c r="BB171" s="22">
        <v>161</v>
      </c>
      <c r="BC171" s="22">
        <v>0.70996099999999995</v>
      </c>
      <c r="BD171">
        <f t="shared" si="34"/>
        <v>19.042999999999999</v>
      </c>
      <c r="BE171">
        <f t="shared" si="35"/>
        <v>13.534888422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0.834198</v>
      </c>
      <c r="H172" s="22">
        <v>35.7654</v>
      </c>
      <c r="I172" s="22">
        <v>-1.8780499999999999E-2</v>
      </c>
      <c r="J172" s="22">
        <v>162</v>
      </c>
      <c r="K172" s="22">
        <v>0.83343500000000004</v>
      </c>
      <c r="L172">
        <f t="shared" si="24"/>
        <v>18.7805</v>
      </c>
      <c r="M172">
        <f t="shared" si="25"/>
        <v>15.666655539000001</v>
      </c>
      <c r="N172" s="9"/>
      <c r="O172" s="22">
        <v>0.71579000000000004</v>
      </c>
      <c r="P172" s="22">
        <v>69.8185</v>
      </c>
      <c r="Q172" s="22">
        <v>-1.89362E-2</v>
      </c>
      <c r="R172" s="22">
        <v>162</v>
      </c>
      <c r="S172" s="22">
        <v>0.71536299999999997</v>
      </c>
      <c r="T172">
        <f t="shared" si="26"/>
        <v>18.936199999999999</v>
      </c>
      <c r="U172">
        <f t="shared" si="27"/>
        <v>13.554342598</v>
      </c>
      <c r="X172" s="9"/>
      <c r="Y172" s="22">
        <v>0.834198</v>
      </c>
      <c r="Z172" s="22">
        <v>103.842</v>
      </c>
      <c r="AA172" s="22">
        <v>-1.8920900000000001E-2</v>
      </c>
      <c r="AB172" s="22">
        <v>162</v>
      </c>
      <c r="AC172" s="22">
        <v>0.83343500000000004</v>
      </c>
      <c r="AD172">
        <f t="shared" si="28"/>
        <v>18.9209</v>
      </c>
      <c r="AE172">
        <f t="shared" si="29"/>
        <v>15.783776938199999</v>
      </c>
      <c r="AF172" s="9"/>
      <c r="AG172" s="22">
        <v>0.71579000000000004</v>
      </c>
      <c r="AH172" s="22">
        <v>137.84800000000001</v>
      </c>
      <c r="AI172" s="22">
        <v>-1.9046E-2</v>
      </c>
      <c r="AJ172" s="22">
        <v>162</v>
      </c>
      <c r="AK172" s="22">
        <v>0.71493499999999999</v>
      </c>
      <c r="AL172">
        <f t="shared" si="30"/>
        <v>19.045999999999999</v>
      </c>
      <c r="AM172">
        <f t="shared" si="31"/>
        <v>13.632936340000001</v>
      </c>
      <c r="AP172" s="9"/>
      <c r="AQ172" s="22">
        <v>0.834198</v>
      </c>
      <c r="AR172" s="22">
        <v>171.90600000000001</v>
      </c>
      <c r="AS172" s="22">
        <v>-1.8924E-2</v>
      </c>
      <c r="AT172" s="22">
        <v>162</v>
      </c>
      <c r="AU172" s="22">
        <v>0.83282500000000004</v>
      </c>
      <c r="AV172">
        <f t="shared" si="32"/>
        <v>18.923999999999999</v>
      </c>
      <c r="AW172">
        <f t="shared" si="33"/>
        <v>15.786362951999999</v>
      </c>
      <c r="AX172" s="9"/>
      <c r="AY172" s="22">
        <v>0.71579000000000004</v>
      </c>
      <c r="AZ172" s="22">
        <v>205.93299999999999</v>
      </c>
      <c r="BA172" s="22">
        <v>-1.90338E-2</v>
      </c>
      <c r="BB172" s="22">
        <v>162</v>
      </c>
      <c r="BC172" s="22">
        <v>0.71523999999999999</v>
      </c>
      <c r="BD172">
        <f t="shared" si="34"/>
        <v>19.033799999999999</v>
      </c>
      <c r="BE172">
        <f t="shared" si="35"/>
        <v>13.624203702000001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0.82916299999999998</v>
      </c>
      <c r="H173" s="22">
        <v>35.775399999999998</v>
      </c>
      <c r="I173" s="22">
        <v>-1.8783600000000001E-2</v>
      </c>
      <c r="J173" s="22">
        <v>163</v>
      </c>
      <c r="K173" s="22">
        <v>0.82824699999999996</v>
      </c>
      <c r="L173">
        <f t="shared" si="24"/>
        <v>18.7836</v>
      </c>
      <c r="M173">
        <f t="shared" si="25"/>
        <v>15.5746661268</v>
      </c>
      <c r="N173" s="9"/>
      <c r="O173" s="22">
        <v>0.72082500000000005</v>
      </c>
      <c r="P173" s="22">
        <v>69.828599999999994</v>
      </c>
      <c r="Q173" s="22">
        <v>-1.8930099999999998E-2</v>
      </c>
      <c r="R173" s="22">
        <v>163</v>
      </c>
      <c r="S173" s="22">
        <v>0.720001</v>
      </c>
      <c r="T173">
        <f t="shared" si="26"/>
        <v>18.930099999999999</v>
      </c>
      <c r="U173">
        <f t="shared" si="27"/>
        <v>13.645289332500001</v>
      </c>
      <c r="X173" s="9"/>
      <c r="Y173" s="22">
        <v>0.82916299999999998</v>
      </c>
      <c r="Z173" s="22">
        <v>103.852</v>
      </c>
      <c r="AA173" s="22">
        <v>-1.8926999999999999E-2</v>
      </c>
      <c r="AB173" s="22">
        <v>163</v>
      </c>
      <c r="AC173" s="22">
        <v>0.82794199999999996</v>
      </c>
      <c r="AD173">
        <f t="shared" si="28"/>
        <v>18.927</v>
      </c>
      <c r="AE173">
        <f t="shared" si="29"/>
        <v>15.693568100999999</v>
      </c>
      <c r="AF173" s="9"/>
      <c r="AG173" s="22">
        <v>0.72082500000000005</v>
      </c>
      <c r="AH173" s="22">
        <v>137.858</v>
      </c>
      <c r="AI173" s="22">
        <v>-1.9043000000000001E-2</v>
      </c>
      <c r="AJ173" s="22">
        <v>163</v>
      </c>
      <c r="AK173" s="22">
        <v>0.71984899999999996</v>
      </c>
      <c r="AL173">
        <f t="shared" si="30"/>
        <v>19.042999999999999</v>
      </c>
      <c r="AM173">
        <f t="shared" si="31"/>
        <v>13.726670475000001</v>
      </c>
      <c r="AP173" s="9"/>
      <c r="AQ173" s="22">
        <v>0.82916299999999998</v>
      </c>
      <c r="AR173" s="22">
        <v>171.916</v>
      </c>
      <c r="AS173" s="22">
        <v>-1.8930099999999998E-2</v>
      </c>
      <c r="AT173" s="22">
        <v>163</v>
      </c>
      <c r="AU173" s="22">
        <v>0.82824699999999996</v>
      </c>
      <c r="AV173">
        <f t="shared" si="32"/>
        <v>18.930099999999999</v>
      </c>
      <c r="AW173">
        <f t="shared" si="33"/>
        <v>15.696138506299999</v>
      </c>
      <c r="AX173" s="9"/>
      <c r="AY173" s="22">
        <v>0.72082500000000005</v>
      </c>
      <c r="AZ173" s="22">
        <v>205.94300000000001</v>
      </c>
      <c r="BA173" s="22">
        <v>-1.9027700000000002E-2</v>
      </c>
      <c r="BB173" s="22">
        <v>163</v>
      </c>
      <c r="BC173" s="22">
        <v>0.72009299999999998</v>
      </c>
      <c r="BD173">
        <f t="shared" si="34"/>
        <v>19.027700000000003</v>
      </c>
      <c r="BE173">
        <f t="shared" si="35"/>
        <v>13.715641852500003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0.82412700000000005</v>
      </c>
      <c r="H174" s="22">
        <v>35.785499999999999</v>
      </c>
      <c r="I174" s="22">
        <v>-1.8786600000000001E-2</v>
      </c>
      <c r="J174" s="22">
        <v>164</v>
      </c>
      <c r="K174" s="22">
        <v>0.82397500000000001</v>
      </c>
      <c r="L174">
        <f t="shared" si="24"/>
        <v>18.7866</v>
      </c>
      <c r="M174">
        <f t="shared" si="25"/>
        <v>15.482544298200001</v>
      </c>
      <c r="N174" s="9"/>
      <c r="O174" s="22">
        <v>0.72586099999999998</v>
      </c>
      <c r="P174" s="22">
        <v>69.8386</v>
      </c>
      <c r="Q174" s="22">
        <v>-1.8920900000000001E-2</v>
      </c>
      <c r="R174" s="22">
        <v>164</v>
      </c>
      <c r="S174" s="22">
        <v>0.72524999999999995</v>
      </c>
      <c r="T174">
        <f t="shared" si="26"/>
        <v>18.9209</v>
      </c>
      <c r="U174">
        <f t="shared" si="27"/>
        <v>13.733943394899999</v>
      </c>
      <c r="X174" s="9"/>
      <c r="Y174" s="22">
        <v>0.82412700000000005</v>
      </c>
      <c r="Z174" s="22">
        <v>103.86199999999999</v>
      </c>
      <c r="AA174" s="22">
        <v>-1.8930099999999998E-2</v>
      </c>
      <c r="AB174" s="22">
        <v>164</v>
      </c>
      <c r="AC174" s="22">
        <v>0.82336399999999998</v>
      </c>
      <c r="AD174">
        <f t="shared" si="28"/>
        <v>18.930099999999999</v>
      </c>
      <c r="AE174">
        <f t="shared" si="29"/>
        <v>15.600806522700001</v>
      </c>
      <c r="AF174" s="9"/>
      <c r="AG174" s="22">
        <v>0.72586099999999998</v>
      </c>
      <c r="AH174" s="22">
        <v>137.86799999999999</v>
      </c>
      <c r="AI174" s="22">
        <v>-1.90338E-2</v>
      </c>
      <c r="AJ174" s="22">
        <v>164</v>
      </c>
      <c r="AK174" s="22">
        <v>0.72494499999999995</v>
      </c>
      <c r="AL174">
        <f t="shared" si="30"/>
        <v>19.033799999999999</v>
      </c>
      <c r="AM174">
        <f t="shared" si="31"/>
        <v>13.815893101799999</v>
      </c>
      <c r="AP174" s="9"/>
      <c r="AQ174" s="22">
        <v>0.82412700000000005</v>
      </c>
      <c r="AR174" s="22">
        <v>171.92699999999999</v>
      </c>
      <c r="AS174" s="22">
        <v>-1.89362E-2</v>
      </c>
      <c r="AT174" s="22">
        <v>164</v>
      </c>
      <c r="AU174" s="22">
        <v>0.82336399999999998</v>
      </c>
      <c r="AV174">
        <f t="shared" si="32"/>
        <v>18.936199999999999</v>
      </c>
      <c r="AW174">
        <f t="shared" si="33"/>
        <v>15.605833697400001</v>
      </c>
      <c r="AX174" s="9"/>
      <c r="AY174" s="22">
        <v>0.72586099999999998</v>
      </c>
      <c r="AZ174" s="22">
        <v>205.953</v>
      </c>
      <c r="BA174" s="22">
        <v>-1.90216E-2</v>
      </c>
      <c r="BB174" s="22">
        <v>164</v>
      </c>
      <c r="BC174" s="22">
        <v>0.72500600000000004</v>
      </c>
      <c r="BD174">
        <f t="shared" si="34"/>
        <v>19.021599999999999</v>
      </c>
      <c r="BE174">
        <f t="shared" si="35"/>
        <v>13.807037597599999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0.81909200000000004</v>
      </c>
      <c r="H175" s="22">
        <v>35.7956</v>
      </c>
      <c r="I175" s="22">
        <v>-1.8789699999999999E-2</v>
      </c>
      <c r="J175" s="22">
        <v>165</v>
      </c>
      <c r="K175" s="22">
        <v>0.81787100000000001</v>
      </c>
      <c r="L175">
        <f t="shared" si="24"/>
        <v>18.7897</v>
      </c>
      <c r="M175">
        <f t="shared" si="25"/>
        <v>15.390492952400001</v>
      </c>
      <c r="N175" s="9"/>
      <c r="O175" s="22">
        <v>0.73089599999999999</v>
      </c>
      <c r="P175" s="22">
        <v>69.848699999999994</v>
      </c>
      <c r="Q175" s="22">
        <v>-1.8914799999999999E-2</v>
      </c>
      <c r="R175" s="22">
        <v>165</v>
      </c>
      <c r="S175" s="22">
        <v>0.73007200000000005</v>
      </c>
      <c r="T175">
        <f t="shared" si="26"/>
        <v>18.9148</v>
      </c>
      <c r="U175">
        <f t="shared" si="27"/>
        <v>13.824751660799999</v>
      </c>
      <c r="X175" s="9"/>
      <c r="Y175" s="22">
        <v>0.81909200000000004</v>
      </c>
      <c r="Z175" s="22">
        <v>103.872</v>
      </c>
      <c r="AA175" s="22">
        <v>-1.89362E-2</v>
      </c>
      <c r="AB175" s="22">
        <v>165</v>
      </c>
      <c r="AC175" s="22">
        <v>0.81817600000000001</v>
      </c>
      <c r="AD175">
        <f t="shared" si="28"/>
        <v>18.936199999999999</v>
      </c>
      <c r="AE175">
        <f t="shared" si="29"/>
        <v>15.5104899304</v>
      </c>
      <c r="AF175" s="9"/>
      <c r="AG175" s="22">
        <v>0.73089599999999999</v>
      </c>
      <c r="AH175" s="22">
        <v>137.87799999999999</v>
      </c>
      <c r="AI175" s="22">
        <v>-1.9027700000000002E-2</v>
      </c>
      <c r="AJ175" s="22">
        <v>165</v>
      </c>
      <c r="AK175" s="22">
        <v>0.73022500000000001</v>
      </c>
      <c r="AL175">
        <f t="shared" si="30"/>
        <v>19.027700000000003</v>
      </c>
      <c r="AM175">
        <f t="shared" si="31"/>
        <v>13.907269819200001</v>
      </c>
      <c r="AP175" s="9"/>
      <c r="AQ175" s="22">
        <v>0.81909200000000004</v>
      </c>
      <c r="AR175" s="22">
        <v>171.93700000000001</v>
      </c>
      <c r="AS175" s="22">
        <v>-1.8942299999999999E-2</v>
      </c>
      <c r="AT175" s="22">
        <v>165</v>
      </c>
      <c r="AU175" s="22">
        <v>0.81848100000000001</v>
      </c>
      <c r="AV175">
        <f t="shared" si="32"/>
        <v>18.942299999999999</v>
      </c>
      <c r="AW175">
        <f t="shared" si="33"/>
        <v>15.5154863916</v>
      </c>
      <c r="AX175" s="9"/>
      <c r="AY175" s="22">
        <v>0.73089599999999999</v>
      </c>
      <c r="AZ175" s="22">
        <v>205.96299999999999</v>
      </c>
      <c r="BA175" s="22">
        <v>-1.9015500000000001E-2</v>
      </c>
      <c r="BB175" s="22">
        <v>165</v>
      </c>
      <c r="BC175" s="22">
        <v>0.73016400000000004</v>
      </c>
      <c r="BD175">
        <f t="shared" si="34"/>
        <v>19.015499999999999</v>
      </c>
      <c r="BE175">
        <f t="shared" si="35"/>
        <v>13.898352888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0.814056</v>
      </c>
      <c r="H176" s="22">
        <v>35.805599999999998</v>
      </c>
      <c r="I176" s="22">
        <v>-1.8792699999999999E-2</v>
      </c>
      <c r="J176" s="22">
        <v>166</v>
      </c>
      <c r="K176" s="22">
        <v>0.81298800000000004</v>
      </c>
      <c r="L176">
        <f t="shared" si="24"/>
        <v>18.7927</v>
      </c>
      <c r="M176">
        <f t="shared" si="25"/>
        <v>15.298310191200001</v>
      </c>
      <c r="N176" s="9"/>
      <c r="O176" s="22">
        <v>0.735931</v>
      </c>
      <c r="P176" s="22">
        <v>69.858800000000002</v>
      </c>
      <c r="Q176" s="22">
        <v>-1.89117E-2</v>
      </c>
      <c r="R176" s="22">
        <v>166</v>
      </c>
      <c r="S176" s="22">
        <v>0.73516800000000004</v>
      </c>
      <c r="T176">
        <f t="shared" si="26"/>
        <v>18.9117</v>
      </c>
      <c r="U176">
        <f t="shared" si="27"/>
        <v>13.9177062927</v>
      </c>
      <c r="X176" s="9"/>
      <c r="Y176" s="22">
        <v>0.814056</v>
      </c>
      <c r="Z176" s="22">
        <v>103.88200000000001</v>
      </c>
      <c r="AA176" s="22">
        <v>-1.8942299999999999E-2</v>
      </c>
      <c r="AB176" s="22">
        <v>166</v>
      </c>
      <c r="AC176" s="22">
        <v>0.81359899999999996</v>
      </c>
      <c r="AD176">
        <f t="shared" si="28"/>
        <v>18.942299999999999</v>
      </c>
      <c r="AE176">
        <f t="shared" si="29"/>
        <v>15.420092968799999</v>
      </c>
      <c r="AF176" s="9"/>
      <c r="AG176" s="22">
        <v>0.735931</v>
      </c>
      <c r="AH176" s="22">
        <v>137.88800000000001</v>
      </c>
      <c r="AI176" s="22">
        <v>-1.90216E-2</v>
      </c>
      <c r="AJ176" s="22">
        <v>166</v>
      </c>
      <c r="AK176" s="22">
        <v>0.73519900000000005</v>
      </c>
      <c r="AL176">
        <f t="shared" si="30"/>
        <v>19.021599999999999</v>
      </c>
      <c r="AM176">
        <f t="shared" si="31"/>
        <v>13.9985851096</v>
      </c>
      <c r="AP176" s="9"/>
      <c r="AQ176" s="22">
        <v>0.814056</v>
      </c>
      <c r="AR176" s="22">
        <v>171.947</v>
      </c>
      <c r="AS176" s="22">
        <v>-1.8948400000000001E-2</v>
      </c>
      <c r="AT176" s="22">
        <v>166</v>
      </c>
      <c r="AU176" s="22">
        <v>0.81298800000000004</v>
      </c>
      <c r="AV176">
        <f t="shared" si="32"/>
        <v>18.948399999999999</v>
      </c>
      <c r="AW176">
        <f t="shared" si="33"/>
        <v>15.4250587104</v>
      </c>
      <c r="AX176" s="9"/>
      <c r="AY176" s="22">
        <v>0.735931</v>
      </c>
      <c r="AZ176" s="22">
        <v>205.97300000000001</v>
      </c>
      <c r="BA176" s="22">
        <v>-1.9012500000000002E-2</v>
      </c>
      <c r="BB176" s="22">
        <v>166</v>
      </c>
      <c r="BC176" s="22">
        <v>0.73529100000000003</v>
      </c>
      <c r="BD176">
        <f t="shared" si="34"/>
        <v>19.012500000000003</v>
      </c>
      <c r="BE176">
        <f t="shared" si="35"/>
        <v>13.991888137500002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0.80902099999999999</v>
      </c>
      <c r="H177" s="22">
        <v>35.8157</v>
      </c>
      <c r="I177" s="22">
        <v>-1.8798800000000001E-2</v>
      </c>
      <c r="J177" s="22">
        <v>167</v>
      </c>
      <c r="K177" s="22">
        <v>0.80871599999999999</v>
      </c>
      <c r="L177">
        <f t="shared" si="24"/>
        <v>18.7988</v>
      </c>
      <c r="M177">
        <f t="shared" si="25"/>
        <v>15.2086239748</v>
      </c>
      <c r="N177" s="9"/>
      <c r="O177" s="22">
        <v>0.74096700000000004</v>
      </c>
      <c r="P177" s="22">
        <v>69.868899999999996</v>
      </c>
      <c r="Q177" s="22">
        <v>-1.8905600000000002E-2</v>
      </c>
      <c r="R177" s="22">
        <v>167</v>
      </c>
      <c r="S177" s="22">
        <v>0.740143</v>
      </c>
      <c r="T177">
        <f t="shared" si="26"/>
        <v>18.905600000000003</v>
      </c>
      <c r="U177">
        <f t="shared" si="27"/>
        <v>14.008425715200003</v>
      </c>
      <c r="X177" s="9"/>
      <c r="Y177" s="22">
        <v>0.80902099999999999</v>
      </c>
      <c r="Z177" s="22">
        <v>103.892</v>
      </c>
      <c r="AA177" s="22">
        <v>-1.89514E-2</v>
      </c>
      <c r="AB177" s="22">
        <v>167</v>
      </c>
      <c r="AC177" s="22">
        <v>0.80841099999999999</v>
      </c>
      <c r="AD177">
        <f t="shared" si="28"/>
        <v>18.9514</v>
      </c>
      <c r="AE177">
        <f t="shared" si="29"/>
        <v>15.332080579399999</v>
      </c>
      <c r="AF177" s="9"/>
      <c r="AG177" s="22">
        <v>0.74096700000000004</v>
      </c>
      <c r="AH177" s="22">
        <v>137.898</v>
      </c>
      <c r="AI177" s="22">
        <v>-1.9015500000000001E-2</v>
      </c>
      <c r="AJ177" s="22">
        <v>167</v>
      </c>
      <c r="AK177" s="22">
        <v>0.74008200000000002</v>
      </c>
      <c r="AL177">
        <f t="shared" si="30"/>
        <v>19.015499999999999</v>
      </c>
      <c r="AM177">
        <f t="shared" si="31"/>
        <v>14.0898579885</v>
      </c>
      <c r="AP177" s="9"/>
      <c r="AQ177" s="22">
        <v>0.80902099999999999</v>
      </c>
      <c r="AR177" s="22">
        <v>171.95699999999999</v>
      </c>
      <c r="AS177" s="22">
        <v>-1.89514E-2</v>
      </c>
      <c r="AT177" s="22">
        <v>167</v>
      </c>
      <c r="AU177" s="22">
        <v>0.80841099999999999</v>
      </c>
      <c r="AV177">
        <f t="shared" si="32"/>
        <v>18.9514</v>
      </c>
      <c r="AW177">
        <f t="shared" si="33"/>
        <v>15.332080579399999</v>
      </c>
      <c r="AX177" s="9"/>
      <c r="AY177" s="22">
        <v>0.74096700000000004</v>
      </c>
      <c r="AZ177" s="22">
        <v>205.983</v>
      </c>
      <c r="BA177" s="22">
        <v>-1.9009399999999999E-2</v>
      </c>
      <c r="BB177" s="22">
        <v>167</v>
      </c>
      <c r="BC177" s="22">
        <v>0.74017299999999997</v>
      </c>
      <c r="BD177">
        <f t="shared" si="34"/>
        <v>19.009399999999999</v>
      </c>
      <c r="BE177">
        <f t="shared" si="35"/>
        <v>14.0853380898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0.80398599999999998</v>
      </c>
      <c r="H178" s="22">
        <v>35.825800000000001</v>
      </c>
      <c r="I178" s="22">
        <v>-1.8804899999999999E-2</v>
      </c>
      <c r="J178" s="22">
        <v>168</v>
      </c>
      <c r="K178" s="22">
        <v>0.80352800000000002</v>
      </c>
      <c r="L178">
        <f t="shared" si="24"/>
        <v>18.8049</v>
      </c>
      <c r="M178">
        <f t="shared" si="25"/>
        <v>15.118876331399999</v>
      </c>
      <c r="N178" s="9"/>
      <c r="O178" s="22">
        <v>0.74600200000000005</v>
      </c>
      <c r="P178" s="22">
        <v>69.878900000000002</v>
      </c>
      <c r="Q178" s="22">
        <v>-1.88995E-2</v>
      </c>
      <c r="R178" s="22">
        <v>168</v>
      </c>
      <c r="S178" s="22">
        <v>0.74526999999999999</v>
      </c>
      <c r="T178">
        <f t="shared" si="26"/>
        <v>18.8995</v>
      </c>
      <c r="U178">
        <f t="shared" si="27"/>
        <v>14.099064799000001</v>
      </c>
      <c r="X178" s="9"/>
      <c r="Y178" s="22">
        <v>0.80398599999999998</v>
      </c>
      <c r="Z178" s="22">
        <v>103.902</v>
      </c>
      <c r="AA178" s="22">
        <v>-1.8957499999999999E-2</v>
      </c>
      <c r="AB178" s="22">
        <v>168</v>
      </c>
      <c r="AC178" s="22">
        <v>0.80322300000000002</v>
      </c>
      <c r="AD178">
        <f t="shared" si="28"/>
        <v>18.9575</v>
      </c>
      <c r="AE178">
        <f t="shared" si="29"/>
        <v>15.241564595</v>
      </c>
      <c r="AF178" s="9"/>
      <c r="AG178" s="22">
        <v>0.74600200000000005</v>
      </c>
      <c r="AH178" s="22">
        <v>137.90799999999999</v>
      </c>
      <c r="AI178" s="22">
        <v>-1.9015500000000001E-2</v>
      </c>
      <c r="AJ178" s="22">
        <v>168</v>
      </c>
      <c r="AK178" s="22">
        <v>0.74505600000000005</v>
      </c>
      <c r="AL178">
        <f t="shared" si="30"/>
        <v>19.015499999999999</v>
      </c>
      <c r="AM178">
        <f t="shared" si="31"/>
        <v>14.185601031000001</v>
      </c>
      <c r="AP178" s="9"/>
      <c r="AQ178" s="22">
        <v>0.80398599999999998</v>
      </c>
      <c r="AR178" s="22">
        <v>171.96700000000001</v>
      </c>
      <c r="AS178" s="22">
        <v>-1.8957499999999999E-2</v>
      </c>
      <c r="AT178" s="22">
        <v>168</v>
      </c>
      <c r="AU178" s="22">
        <v>0.80291699999999999</v>
      </c>
      <c r="AV178">
        <f t="shared" si="32"/>
        <v>18.9575</v>
      </c>
      <c r="AW178">
        <f t="shared" si="33"/>
        <v>15.241564595</v>
      </c>
      <c r="AX178" s="9"/>
      <c r="AY178" s="22">
        <v>0.74600200000000005</v>
      </c>
      <c r="AZ178" s="22">
        <v>205.99299999999999</v>
      </c>
      <c r="BA178" s="22">
        <v>-1.90063E-2</v>
      </c>
      <c r="BB178" s="22">
        <v>168</v>
      </c>
      <c r="BC178" s="22">
        <v>0.74502599999999997</v>
      </c>
      <c r="BD178">
        <f t="shared" si="34"/>
        <v>19.0063</v>
      </c>
      <c r="BE178">
        <f t="shared" si="35"/>
        <v>14.178737812600001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0.79895000000000005</v>
      </c>
      <c r="H179" s="22">
        <v>35.835900000000002</v>
      </c>
      <c r="I179" s="22">
        <v>-1.8807999999999998E-2</v>
      </c>
      <c r="J179" s="22">
        <v>169</v>
      </c>
      <c r="K179" s="22">
        <v>0.79772900000000002</v>
      </c>
      <c r="L179">
        <f t="shared" si="24"/>
        <v>18.808</v>
      </c>
      <c r="M179">
        <f t="shared" si="25"/>
        <v>15.026651600000001</v>
      </c>
      <c r="N179" s="9"/>
      <c r="O179" s="22">
        <v>0.75103799999999998</v>
      </c>
      <c r="P179" s="22">
        <v>69.888999999999996</v>
      </c>
      <c r="Q179" s="22">
        <v>-1.88965E-2</v>
      </c>
      <c r="R179" s="22">
        <v>169</v>
      </c>
      <c r="S179" s="22">
        <v>0.75024400000000002</v>
      </c>
      <c r="T179">
        <f t="shared" si="26"/>
        <v>18.8965</v>
      </c>
      <c r="U179">
        <f t="shared" si="27"/>
        <v>14.191989567</v>
      </c>
      <c r="X179" s="9"/>
      <c r="Y179" s="22">
        <v>0.79895000000000005</v>
      </c>
      <c r="Z179" s="22">
        <v>103.91200000000001</v>
      </c>
      <c r="AA179" s="22">
        <v>-1.8960600000000001E-2</v>
      </c>
      <c r="AB179" s="22">
        <v>169</v>
      </c>
      <c r="AC179" s="22">
        <v>0.79772900000000002</v>
      </c>
      <c r="AD179">
        <f t="shared" si="28"/>
        <v>18.960599999999999</v>
      </c>
      <c r="AE179">
        <f t="shared" si="29"/>
        <v>15.148571370000001</v>
      </c>
      <c r="AF179" s="9"/>
      <c r="AG179" s="22">
        <v>0.75103799999999998</v>
      </c>
      <c r="AH179" s="22">
        <v>137.91800000000001</v>
      </c>
      <c r="AI179" s="22">
        <v>-1.9009399999999999E-2</v>
      </c>
      <c r="AJ179" s="22">
        <v>169</v>
      </c>
      <c r="AK179" s="22">
        <v>0.75027500000000003</v>
      </c>
      <c r="AL179">
        <f t="shared" si="30"/>
        <v>19.009399999999999</v>
      </c>
      <c r="AM179">
        <f t="shared" si="31"/>
        <v>14.276781757199998</v>
      </c>
      <c r="AP179" s="9"/>
      <c r="AQ179" s="22">
        <v>0.79895000000000005</v>
      </c>
      <c r="AR179" s="22">
        <v>171.977</v>
      </c>
      <c r="AS179" s="22">
        <v>-1.8963600000000001E-2</v>
      </c>
      <c r="AT179" s="22">
        <v>169</v>
      </c>
      <c r="AU179" s="22">
        <v>0.79834000000000005</v>
      </c>
      <c r="AV179">
        <f t="shared" si="32"/>
        <v>18.9636</v>
      </c>
      <c r="AW179">
        <f t="shared" si="33"/>
        <v>15.150968220000001</v>
      </c>
      <c r="AX179" s="9"/>
      <c r="AY179" s="22">
        <v>0.75103799999999998</v>
      </c>
      <c r="AZ179" s="22">
        <v>206.00299999999999</v>
      </c>
      <c r="BA179" s="22">
        <v>-1.9000199999999998E-2</v>
      </c>
      <c r="BB179" s="22">
        <v>169</v>
      </c>
      <c r="BC179" s="22">
        <v>0.75058000000000002</v>
      </c>
      <c r="BD179">
        <f t="shared" si="34"/>
        <v>19.0002</v>
      </c>
      <c r="BE179">
        <f t="shared" si="35"/>
        <v>14.269872207599999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0.79391500000000004</v>
      </c>
      <c r="H180" s="22">
        <v>35.8459</v>
      </c>
      <c r="I180" s="22">
        <v>-1.8807999999999998E-2</v>
      </c>
      <c r="J180" s="22">
        <v>170</v>
      </c>
      <c r="K180" s="22">
        <v>0.79284699999999997</v>
      </c>
      <c r="L180">
        <f t="shared" si="24"/>
        <v>18.808</v>
      </c>
      <c r="M180">
        <f t="shared" si="25"/>
        <v>14.93195332</v>
      </c>
      <c r="N180" s="9"/>
      <c r="O180" s="22">
        <v>0.756073</v>
      </c>
      <c r="P180" s="22">
        <v>69.899100000000004</v>
      </c>
      <c r="Q180" s="22">
        <v>-1.8890400000000002E-2</v>
      </c>
      <c r="R180" s="22">
        <v>170</v>
      </c>
      <c r="S180" s="22">
        <v>0.75500500000000004</v>
      </c>
      <c r="T180">
        <f t="shared" si="26"/>
        <v>18.890400000000003</v>
      </c>
      <c r="U180">
        <f t="shared" si="27"/>
        <v>14.282521399200002</v>
      </c>
      <c r="X180" s="9"/>
      <c r="Y180" s="22">
        <v>0.79391500000000004</v>
      </c>
      <c r="Z180" s="22">
        <v>103.922</v>
      </c>
      <c r="AA180" s="22">
        <v>-1.89667E-2</v>
      </c>
      <c r="AB180" s="22">
        <v>170</v>
      </c>
      <c r="AC180" s="22">
        <v>0.79284699999999997</v>
      </c>
      <c r="AD180">
        <f t="shared" si="28"/>
        <v>18.966699999999999</v>
      </c>
      <c r="AE180">
        <f t="shared" si="29"/>
        <v>15.057947630500001</v>
      </c>
      <c r="AF180" s="9"/>
      <c r="AG180" s="22">
        <v>0.756073</v>
      </c>
      <c r="AH180" s="22">
        <v>137.928</v>
      </c>
      <c r="AI180" s="22">
        <v>-1.9000199999999998E-2</v>
      </c>
      <c r="AJ180" s="22">
        <v>170</v>
      </c>
      <c r="AK180" s="22">
        <v>0.75500500000000004</v>
      </c>
      <c r="AL180">
        <f t="shared" si="30"/>
        <v>19.0002</v>
      </c>
      <c r="AM180">
        <f t="shared" si="31"/>
        <v>14.365538214599999</v>
      </c>
      <c r="AP180" s="9"/>
      <c r="AQ180" s="22">
        <v>0.79391500000000004</v>
      </c>
      <c r="AR180" s="22">
        <v>171.98699999999999</v>
      </c>
      <c r="AS180" s="22">
        <v>-1.8969699999999999E-2</v>
      </c>
      <c r="AT180" s="22">
        <v>170</v>
      </c>
      <c r="AU180" s="22">
        <v>0.79284699999999997</v>
      </c>
      <c r="AV180">
        <f t="shared" si="32"/>
        <v>18.9697</v>
      </c>
      <c r="AW180">
        <f t="shared" si="33"/>
        <v>15.0603293755</v>
      </c>
      <c r="AX180" s="9"/>
      <c r="AY180" s="22">
        <v>0.756073</v>
      </c>
      <c r="AZ180" s="22">
        <v>206.01300000000001</v>
      </c>
      <c r="BA180" s="22">
        <v>-1.89911E-2</v>
      </c>
      <c r="BB180" s="22">
        <v>170</v>
      </c>
      <c r="BC180" s="22">
        <v>0.75561500000000004</v>
      </c>
      <c r="BD180">
        <f t="shared" si="34"/>
        <v>18.991099999999999</v>
      </c>
      <c r="BE180">
        <f t="shared" si="35"/>
        <v>14.3586579503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0.788879</v>
      </c>
      <c r="H181" s="22">
        <v>35.856000000000002</v>
      </c>
      <c r="I181" s="22">
        <v>-1.88141E-2</v>
      </c>
      <c r="J181" s="22">
        <v>171</v>
      </c>
      <c r="K181" s="22">
        <v>0.788574</v>
      </c>
      <c r="L181">
        <f t="shared" si="24"/>
        <v>18.8141</v>
      </c>
      <c r="M181">
        <f t="shared" si="25"/>
        <v>14.842048393899999</v>
      </c>
      <c r="N181" s="9"/>
      <c r="O181" s="22">
        <v>0.76110800000000001</v>
      </c>
      <c r="P181" s="22">
        <v>69.909099999999995</v>
      </c>
      <c r="Q181" s="22">
        <v>-1.8887299999999999E-2</v>
      </c>
      <c r="R181" s="22">
        <v>171</v>
      </c>
      <c r="S181" s="22">
        <v>0.76080300000000001</v>
      </c>
      <c r="T181">
        <f t="shared" si="26"/>
        <v>18.8873</v>
      </c>
      <c r="U181">
        <f t="shared" si="27"/>
        <v>14.3752751284</v>
      </c>
      <c r="X181" s="9"/>
      <c r="Y181" s="22">
        <v>0.788879</v>
      </c>
      <c r="Z181" s="22">
        <v>103.932</v>
      </c>
      <c r="AA181" s="22">
        <v>-1.8972800000000001E-2</v>
      </c>
      <c r="AB181" s="22">
        <v>171</v>
      </c>
      <c r="AC181" s="22">
        <v>0.788269</v>
      </c>
      <c r="AD181">
        <f t="shared" si="28"/>
        <v>18.972800000000003</v>
      </c>
      <c r="AE181">
        <f t="shared" si="29"/>
        <v>14.967243491200003</v>
      </c>
      <c r="AF181" s="9"/>
      <c r="AG181" s="22">
        <v>0.76110800000000001</v>
      </c>
      <c r="AH181" s="22">
        <v>137.93799999999999</v>
      </c>
      <c r="AI181" s="22">
        <v>-1.89941E-2</v>
      </c>
      <c r="AJ181" s="22">
        <v>171</v>
      </c>
      <c r="AK181" s="22">
        <v>0.75988800000000001</v>
      </c>
      <c r="AL181">
        <f t="shared" si="30"/>
        <v>18.9941</v>
      </c>
      <c r="AM181">
        <f t="shared" si="31"/>
        <v>14.4565614628</v>
      </c>
      <c r="AP181" s="9"/>
      <c r="AQ181" s="22">
        <v>0.788879</v>
      </c>
      <c r="AR181" s="22">
        <v>171.99700000000001</v>
      </c>
      <c r="AS181" s="22">
        <v>-1.8972800000000001E-2</v>
      </c>
      <c r="AT181" s="22">
        <v>171</v>
      </c>
      <c r="AU181" s="22">
        <v>0.787964</v>
      </c>
      <c r="AV181">
        <f t="shared" si="32"/>
        <v>18.972800000000003</v>
      </c>
      <c r="AW181">
        <f t="shared" si="33"/>
        <v>14.967243491200003</v>
      </c>
      <c r="AX181" s="9"/>
      <c r="AY181" s="22">
        <v>0.76110800000000001</v>
      </c>
      <c r="AZ181" s="22">
        <v>206.023</v>
      </c>
      <c r="BA181" s="22">
        <v>-1.8988000000000001E-2</v>
      </c>
      <c r="BB181" s="22">
        <v>171</v>
      </c>
      <c r="BC181" s="22">
        <v>0.76049800000000001</v>
      </c>
      <c r="BD181">
        <f t="shared" si="34"/>
        <v>18.988000000000003</v>
      </c>
      <c r="BE181">
        <f t="shared" si="35"/>
        <v>14.451918704000002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0.78384399999999999</v>
      </c>
      <c r="H182" s="22">
        <v>35.866100000000003</v>
      </c>
      <c r="I182" s="22">
        <v>-1.8823199999999998E-2</v>
      </c>
      <c r="J182" s="22">
        <v>172</v>
      </c>
      <c r="K182" s="22">
        <v>0.78338600000000003</v>
      </c>
      <c r="L182">
        <f t="shared" si="24"/>
        <v>18.8232</v>
      </c>
      <c r="M182">
        <f t="shared" si="25"/>
        <v>14.7544523808</v>
      </c>
      <c r="N182" s="9"/>
      <c r="O182" s="22">
        <v>0.76614400000000005</v>
      </c>
      <c r="P182" s="22">
        <v>69.919200000000004</v>
      </c>
      <c r="Q182" s="22">
        <v>-1.8881200000000001E-2</v>
      </c>
      <c r="R182" s="22">
        <v>172</v>
      </c>
      <c r="S182" s="22">
        <v>0.76538099999999998</v>
      </c>
      <c r="T182">
        <f t="shared" si="26"/>
        <v>18.8812</v>
      </c>
      <c r="U182">
        <f t="shared" si="27"/>
        <v>14.465718092800001</v>
      </c>
      <c r="X182" s="9"/>
      <c r="Y182" s="22">
        <v>0.78384399999999999</v>
      </c>
      <c r="Z182" s="22">
        <v>103.94199999999999</v>
      </c>
      <c r="AA182" s="22">
        <v>-1.89789E-2</v>
      </c>
      <c r="AB182" s="22">
        <v>172</v>
      </c>
      <c r="AC182" s="22">
        <v>0.78277600000000003</v>
      </c>
      <c r="AD182">
        <f t="shared" si="28"/>
        <v>18.978899999999999</v>
      </c>
      <c r="AE182">
        <f t="shared" si="29"/>
        <v>14.876496891599999</v>
      </c>
      <c r="AF182" s="9"/>
      <c r="AG182" s="22">
        <v>0.76614400000000005</v>
      </c>
      <c r="AH182" s="22">
        <v>137.94800000000001</v>
      </c>
      <c r="AI182" s="22">
        <v>-1.89941E-2</v>
      </c>
      <c r="AJ182" s="22">
        <v>172</v>
      </c>
      <c r="AK182" s="22">
        <v>0.76538099999999998</v>
      </c>
      <c r="AL182">
        <f t="shared" si="30"/>
        <v>18.9941</v>
      </c>
      <c r="AM182">
        <f t="shared" si="31"/>
        <v>14.5522157504</v>
      </c>
      <c r="AP182" s="9"/>
      <c r="AQ182" s="22">
        <v>0.78384399999999999</v>
      </c>
      <c r="AR182" s="22">
        <v>172.00700000000001</v>
      </c>
      <c r="AS182" s="22">
        <v>-1.89789E-2</v>
      </c>
      <c r="AT182" s="22">
        <v>172</v>
      </c>
      <c r="AU182" s="22">
        <v>0.78277600000000003</v>
      </c>
      <c r="AV182">
        <f t="shared" si="32"/>
        <v>18.978899999999999</v>
      </c>
      <c r="AW182">
        <f t="shared" si="33"/>
        <v>14.876496891599999</v>
      </c>
      <c r="AX182" s="9"/>
      <c r="AY182" s="22">
        <v>0.76614400000000005</v>
      </c>
      <c r="AZ182" s="22">
        <v>206.03299999999999</v>
      </c>
      <c r="BA182" s="22">
        <v>-1.8981899999999999E-2</v>
      </c>
      <c r="BB182" s="22">
        <v>172</v>
      </c>
      <c r="BC182" s="22">
        <v>0.76507599999999998</v>
      </c>
      <c r="BD182">
        <f t="shared" si="34"/>
        <v>18.9819</v>
      </c>
      <c r="BE182">
        <f t="shared" si="35"/>
        <v>14.5428687936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0.77880899999999997</v>
      </c>
      <c r="H183" s="22">
        <v>35.876100000000001</v>
      </c>
      <c r="I183" s="22">
        <v>-1.8832399999999999E-2</v>
      </c>
      <c r="J183" s="22">
        <v>173</v>
      </c>
      <c r="K183" s="22">
        <v>0.77789299999999995</v>
      </c>
      <c r="L183">
        <f t="shared" si="24"/>
        <v>18.8324</v>
      </c>
      <c r="M183">
        <f t="shared" si="25"/>
        <v>14.6668426116</v>
      </c>
      <c r="N183" s="9"/>
      <c r="O183" s="22">
        <v>0.77117899999999995</v>
      </c>
      <c r="P183" s="22">
        <v>69.929299999999998</v>
      </c>
      <c r="Q183" s="22">
        <v>-1.8878200000000001E-2</v>
      </c>
      <c r="R183" s="22">
        <v>173</v>
      </c>
      <c r="S183" s="22">
        <v>0.77026399999999995</v>
      </c>
      <c r="T183">
        <f t="shared" si="26"/>
        <v>18.8782</v>
      </c>
      <c r="U183">
        <f t="shared" si="27"/>
        <v>14.558471397799998</v>
      </c>
      <c r="X183" s="9"/>
      <c r="Y183" s="22">
        <v>0.77880899999999997</v>
      </c>
      <c r="Z183" s="22">
        <v>103.952</v>
      </c>
      <c r="AA183" s="22">
        <v>-1.8988000000000001E-2</v>
      </c>
      <c r="AB183" s="22">
        <v>173</v>
      </c>
      <c r="AC183" s="22">
        <v>0.77758799999999995</v>
      </c>
      <c r="AD183">
        <f t="shared" si="28"/>
        <v>18.988000000000003</v>
      </c>
      <c r="AE183">
        <f t="shared" si="29"/>
        <v>14.788025292000002</v>
      </c>
      <c r="AF183" s="9"/>
      <c r="AG183" s="22">
        <v>0.77117899999999995</v>
      </c>
      <c r="AH183" s="22">
        <v>137.959</v>
      </c>
      <c r="AI183" s="22">
        <v>-1.8988000000000001E-2</v>
      </c>
      <c r="AJ183" s="22">
        <v>173</v>
      </c>
      <c r="AK183" s="22">
        <v>0.77026399999999995</v>
      </c>
      <c r="AL183">
        <f t="shared" si="30"/>
        <v>18.988000000000003</v>
      </c>
      <c r="AM183">
        <f t="shared" si="31"/>
        <v>14.643146852000001</v>
      </c>
      <c r="AP183" s="9"/>
      <c r="AQ183" s="22">
        <v>0.77880899999999997</v>
      </c>
      <c r="AR183" s="22">
        <v>172.017</v>
      </c>
      <c r="AS183" s="22">
        <v>-1.8984999999999998E-2</v>
      </c>
      <c r="AT183" s="22">
        <v>173</v>
      </c>
      <c r="AU183" s="22">
        <v>0.77789299999999995</v>
      </c>
      <c r="AV183">
        <f t="shared" si="32"/>
        <v>18.984999999999999</v>
      </c>
      <c r="AW183">
        <f t="shared" si="33"/>
        <v>14.785688864999999</v>
      </c>
      <c r="AX183" s="9"/>
      <c r="AY183" s="22">
        <v>0.77117899999999995</v>
      </c>
      <c r="AZ183" s="22">
        <v>206.04300000000001</v>
      </c>
      <c r="BA183" s="22">
        <v>-1.8975800000000001E-2</v>
      </c>
      <c r="BB183" s="22">
        <v>173</v>
      </c>
      <c r="BC183" s="22">
        <v>0.76965300000000003</v>
      </c>
      <c r="BD183">
        <f t="shared" si="34"/>
        <v>18.9758</v>
      </c>
      <c r="BE183">
        <f t="shared" si="35"/>
        <v>14.633738468199999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0.77377300000000004</v>
      </c>
      <c r="H184" s="22">
        <v>35.886200000000002</v>
      </c>
      <c r="I184" s="22">
        <v>-1.88416E-2</v>
      </c>
      <c r="J184" s="22">
        <v>174</v>
      </c>
      <c r="K184" s="22">
        <v>0.77300999999999997</v>
      </c>
      <c r="L184">
        <f t="shared" si="24"/>
        <v>18.8416</v>
      </c>
      <c r="M184">
        <f t="shared" si="25"/>
        <v>14.5791213568</v>
      </c>
      <c r="N184" s="9"/>
      <c r="O184" s="22">
        <v>0.77621499999999999</v>
      </c>
      <c r="P184" s="22">
        <v>69.939400000000006</v>
      </c>
      <c r="Q184" s="22">
        <v>-1.8872099999999999E-2</v>
      </c>
      <c r="R184" s="22">
        <v>174</v>
      </c>
      <c r="S184" s="22">
        <v>0.775146</v>
      </c>
      <c r="T184">
        <f t="shared" si="26"/>
        <v>18.8721</v>
      </c>
      <c r="U184">
        <f t="shared" si="27"/>
        <v>14.648807101499999</v>
      </c>
      <c r="X184" s="9"/>
      <c r="Y184" s="22">
        <v>0.77377300000000004</v>
      </c>
      <c r="Z184" s="22">
        <v>103.962</v>
      </c>
      <c r="AA184" s="22">
        <v>-1.8997199999999999E-2</v>
      </c>
      <c r="AB184" s="22">
        <v>174</v>
      </c>
      <c r="AC184" s="22">
        <v>0.77300999999999997</v>
      </c>
      <c r="AD184">
        <f t="shared" si="28"/>
        <v>18.997199999999999</v>
      </c>
      <c r="AE184">
        <f t="shared" si="29"/>
        <v>14.6995204356</v>
      </c>
      <c r="AF184" s="9"/>
      <c r="AG184" s="22">
        <v>0.77621499999999999</v>
      </c>
      <c r="AH184" s="22">
        <v>137.96899999999999</v>
      </c>
      <c r="AI184" s="22">
        <v>-1.89789E-2</v>
      </c>
      <c r="AJ184" s="22">
        <v>174</v>
      </c>
      <c r="AK184" s="22">
        <v>0.775146</v>
      </c>
      <c r="AL184">
        <f t="shared" si="30"/>
        <v>18.978899999999999</v>
      </c>
      <c r="AM184">
        <f t="shared" si="31"/>
        <v>14.731706863499999</v>
      </c>
      <c r="AP184" s="9"/>
      <c r="AQ184" s="22">
        <v>0.77377300000000004</v>
      </c>
      <c r="AR184" s="22">
        <v>172.02699999999999</v>
      </c>
      <c r="AS184" s="22">
        <v>-1.89941E-2</v>
      </c>
      <c r="AT184" s="22">
        <v>174</v>
      </c>
      <c r="AU184" s="22">
        <v>0.77300999999999997</v>
      </c>
      <c r="AV184">
        <f t="shared" si="32"/>
        <v>18.9941</v>
      </c>
      <c r="AW184">
        <f t="shared" si="33"/>
        <v>14.6971217393</v>
      </c>
      <c r="AX184" s="9"/>
      <c r="AY184" s="22">
        <v>0.77621499999999999</v>
      </c>
      <c r="AZ184" s="22">
        <v>206.053</v>
      </c>
      <c r="BA184" s="22">
        <v>-1.8969699999999999E-2</v>
      </c>
      <c r="BB184" s="22">
        <v>174</v>
      </c>
      <c r="BC184" s="22">
        <v>0.775146</v>
      </c>
      <c r="BD184">
        <f t="shared" si="34"/>
        <v>18.9697</v>
      </c>
      <c r="BE184">
        <f t="shared" si="35"/>
        <v>14.7245656855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0.76873800000000003</v>
      </c>
      <c r="H185" s="22">
        <v>35.896299999999997</v>
      </c>
      <c r="I185" s="22">
        <v>-1.88446E-2</v>
      </c>
      <c r="J185" s="22">
        <v>175</v>
      </c>
      <c r="K185" s="22">
        <v>0.767517</v>
      </c>
      <c r="L185">
        <f t="shared" si="24"/>
        <v>18.8446</v>
      </c>
      <c r="M185">
        <f t="shared" si="25"/>
        <v>14.4865601148</v>
      </c>
      <c r="N185" s="9"/>
      <c r="O185" s="22">
        <v>0.78125</v>
      </c>
      <c r="P185" s="22">
        <v>69.949399999999997</v>
      </c>
      <c r="Q185" s="22">
        <v>-1.8866000000000001E-2</v>
      </c>
      <c r="R185" s="22">
        <v>175</v>
      </c>
      <c r="S185" s="22">
        <v>0.78033399999999997</v>
      </c>
      <c r="T185">
        <f t="shared" si="26"/>
        <v>18.866</v>
      </c>
      <c r="U185">
        <f t="shared" si="27"/>
        <v>14.739062499999999</v>
      </c>
      <c r="X185" s="9"/>
      <c r="Y185" s="22">
        <v>0.76873800000000003</v>
      </c>
      <c r="Z185" s="22">
        <v>103.973</v>
      </c>
      <c r="AA185" s="22">
        <v>-1.9000199999999998E-2</v>
      </c>
      <c r="AB185" s="22">
        <v>175</v>
      </c>
      <c r="AC185" s="22">
        <v>0.76843300000000003</v>
      </c>
      <c r="AD185">
        <f t="shared" si="28"/>
        <v>19.0002</v>
      </c>
      <c r="AE185">
        <f t="shared" si="29"/>
        <v>14.6061757476</v>
      </c>
      <c r="AF185" s="9"/>
      <c r="AG185" s="22">
        <v>0.78125</v>
      </c>
      <c r="AH185" s="22">
        <v>137.97900000000001</v>
      </c>
      <c r="AI185" s="22">
        <v>-1.89789E-2</v>
      </c>
      <c r="AJ185" s="22">
        <v>175</v>
      </c>
      <c r="AK185" s="22">
        <v>0.77972399999999997</v>
      </c>
      <c r="AL185">
        <f t="shared" si="30"/>
        <v>18.978899999999999</v>
      </c>
      <c r="AM185">
        <f t="shared" si="31"/>
        <v>14.827265624999999</v>
      </c>
      <c r="AP185" s="9"/>
      <c r="AQ185" s="22">
        <v>0.76873800000000003</v>
      </c>
      <c r="AR185" s="22">
        <v>172.03700000000001</v>
      </c>
      <c r="AS185" s="22">
        <v>-1.9003300000000001E-2</v>
      </c>
      <c r="AT185" s="22">
        <v>175</v>
      </c>
      <c r="AU185" s="22">
        <v>0.76721200000000001</v>
      </c>
      <c r="AV185">
        <f t="shared" si="32"/>
        <v>19.003299999999999</v>
      </c>
      <c r="AW185">
        <f t="shared" si="33"/>
        <v>14.6085588354</v>
      </c>
      <c r="AX185" s="9"/>
      <c r="AY185" s="22">
        <v>0.78125</v>
      </c>
      <c r="AZ185" s="22">
        <v>206.06299999999999</v>
      </c>
      <c r="BA185" s="22">
        <v>-1.8963600000000001E-2</v>
      </c>
      <c r="BB185" s="22">
        <v>175</v>
      </c>
      <c r="BC185" s="22">
        <v>0.78033399999999997</v>
      </c>
      <c r="BD185">
        <f t="shared" si="34"/>
        <v>18.9636</v>
      </c>
      <c r="BE185">
        <f t="shared" si="35"/>
        <v>14.815312499999999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0.76370199999999999</v>
      </c>
      <c r="H186" s="22">
        <v>35.906399999999998</v>
      </c>
      <c r="I186" s="22">
        <v>-1.88538E-2</v>
      </c>
      <c r="J186" s="22">
        <v>176</v>
      </c>
      <c r="K186" s="22">
        <v>0.76324499999999995</v>
      </c>
      <c r="L186">
        <f t="shared" si="24"/>
        <v>18.8538</v>
      </c>
      <c r="M186">
        <f t="shared" si="25"/>
        <v>14.398684767599999</v>
      </c>
      <c r="N186" s="9"/>
      <c r="O186" s="22">
        <v>0.78628500000000001</v>
      </c>
      <c r="P186" s="22">
        <v>69.959500000000006</v>
      </c>
      <c r="Q186" s="22">
        <v>-1.8862899999999998E-2</v>
      </c>
      <c r="R186" s="22">
        <v>176</v>
      </c>
      <c r="S186" s="22">
        <v>0.78521700000000005</v>
      </c>
      <c r="T186">
        <f t="shared" si="26"/>
        <v>18.8629</v>
      </c>
      <c r="U186">
        <f t="shared" si="27"/>
        <v>14.8316153265</v>
      </c>
      <c r="X186" s="9"/>
      <c r="Y186" s="22">
        <v>0.76370199999999999</v>
      </c>
      <c r="Z186" s="22">
        <v>103.983</v>
      </c>
      <c r="AA186" s="22">
        <v>-1.9003300000000001E-2</v>
      </c>
      <c r="AB186" s="22">
        <v>176</v>
      </c>
      <c r="AC186" s="22">
        <v>0.76293900000000003</v>
      </c>
      <c r="AD186">
        <f t="shared" si="28"/>
        <v>19.003299999999999</v>
      </c>
      <c r="AE186">
        <f t="shared" si="29"/>
        <v>14.5128582166</v>
      </c>
      <c r="AF186" s="9"/>
      <c r="AG186" s="22">
        <v>0.78628500000000001</v>
      </c>
      <c r="AH186" s="22">
        <v>137.989</v>
      </c>
      <c r="AI186" s="22">
        <v>-1.8972800000000001E-2</v>
      </c>
      <c r="AJ186" s="22">
        <v>176</v>
      </c>
      <c r="AK186" s="22">
        <v>0.78521700000000005</v>
      </c>
      <c r="AL186">
        <f t="shared" si="30"/>
        <v>18.972800000000003</v>
      </c>
      <c r="AM186">
        <f t="shared" si="31"/>
        <v>14.918028048000002</v>
      </c>
      <c r="AP186" s="9"/>
      <c r="AQ186" s="22">
        <v>0.76370199999999999</v>
      </c>
      <c r="AR186" s="22">
        <v>172.047</v>
      </c>
      <c r="AS186" s="22">
        <v>-1.90063E-2</v>
      </c>
      <c r="AT186" s="22">
        <v>176</v>
      </c>
      <c r="AU186" s="22">
        <v>0.76293900000000003</v>
      </c>
      <c r="AV186">
        <f t="shared" si="32"/>
        <v>19.0063</v>
      </c>
      <c r="AW186">
        <f t="shared" si="33"/>
        <v>14.515149322599999</v>
      </c>
      <c r="AX186" s="9"/>
      <c r="AY186" s="22">
        <v>0.78628500000000001</v>
      </c>
      <c r="AZ186" s="22">
        <v>206.07400000000001</v>
      </c>
      <c r="BA186" s="22">
        <v>-1.8957499999999999E-2</v>
      </c>
      <c r="BB186" s="22">
        <v>176</v>
      </c>
      <c r="BC186" s="22">
        <v>0.78552200000000005</v>
      </c>
      <c r="BD186">
        <f t="shared" si="34"/>
        <v>18.9575</v>
      </c>
      <c r="BE186">
        <f t="shared" si="35"/>
        <v>14.9059978875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0.75866699999999998</v>
      </c>
      <c r="H187" s="22">
        <v>35.916400000000003</v>
      </c>
      <c r="I187" s="22">
        <v>-1.88568E-2</v>
      </c>
      <c r="J187" s="22">
        <v>177</v>
      </c>
      <c r="K187" s="22">
        <v>0.75775099999999995</v>
      </c>
      <c r="L187">
        <f t="shared" si="24"/>
        <v>18.8568</v>
      </c>
      <c r="M187">
        <f t="shared" si="25"/>
        <v>14.306031885599999</v>
      </c>
      <c r="N187" s="9"/>
      <c r="O187" s="22">
        <v>0.79132100000000005</v>
      </c>
      <c r="P187" s="22">
        <v>69.9696</v>
      </c>
      <c r="Q187" s="22">
        <v>-1.88568E-2</v>
      </c>
      <c r="R187" s="22">
        <v>177</v>
      </c>
      <c r="S187" s="22">
        <v>0.79040500000000002</v>
      </c>
      <c r="T187">
        <f t="shared" si="26"/>
        <v>18.8568</v>
      </c>
      <c r="U187">
        <f t="shared" si="27"/>
        <v>14.921781832800001</v>
      </c>
      <c r="X187" s="9"/>
      <c r="Y187" s="22">
        <v>0.75866699999999998</v>
      </c>
      <c r="Z187" s="22">
        <v>103.99299999999999</v>
      </c>
      <c r="AA187" s="22">
        <v>-1.9009399999999999E-2</v>
      </c>
      <c r="AB187" s="22">
        <v>177</v>
      </c>
      <c r="AC187" s="22">
        <v>0.75836199999999998</v>
      </c>
      <c r="AD187">
        <f t="shared" si="28"/>
        <v>19.009399999999999</v>
      </c>
      <c r="AE187">
        <f t="shared" si="29"/>
        <v>14.4218044698</v>
      </c>
      <c r="AF187" s="9"/>
      <c r="AG187" s="22">
        <v>0.79132100000000005</v>
      </c>
      <c r="AH187" s="22">
        <v>137.999</v>
      </c>
      <c r="AI187" s="22">
        <v>-1.8963600000000001E-2</v>
      </c>
      <c r="AJ187" s="22">
        <v>177</v>
      </c>
      <c r="AK187" s="22">
        <v>0.79010000000000002</v>
      </c>
      <c r="AL187">
        <f t="shared" si="30"/>
        <v>18.9636</v>
      </c>
      <c r="AM187">
        <f t="shared" si="31"/>
        <v>15.0062949156</v>
      </c>
      <c r="AP187" s="9"/>
      <c r="AQ187" s="22">
        <v>0.75866699999999998</v>
      </c>
      <c r="AR187" s="22">
        <v>172.05699999999999</v>
      </c>
      <c r="AS187" s="22">
        <v>-1.9012500000000002E-2</v>
      </c>
      <c r="AT187" s="22">
        <v>177</v>
      </c>
      <c r="AU187" s="22">
        <v>0.75805699999999998</v>
      </c>
      <c r="AV187">
        <f t="shared" si="32"/>
        <v>19.012500000000003</v>
      </c>
      <c r="AW187">
        <f t="shared" si="33"/>
        <v>14.424156337500001</v>
      </c>
      <c r="AX187" s="9"/>
      <c r="AY187" s="22">
        <v>0.79132100000000005</v>
      </c>
      <c r="AZ187" s="22">
        <v>206.084</v>
      </c>
      <c r="BA187" s="22">
        <v>-1.89514E-2</v>
      </c>
      <c r="BB187" s="22">
        <v>177</v>
      </c>
      <c r="BC187" s="22">
        <v>0.79040500000000002</v>
      </c>
      <c r="BD187">
        <f t="shared" si="34"/>
        <v>18.9514</v>
      </c>
      <c r="BE187">
        <f t="shared" si="35"/>
        <v>14.996640799400001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0.75363199999999997</v>
      </c>
      <c r="H188" s="22">
        <v>35.926499999999997</v>
      </c>
      <c r="I188" s="22">
        <v>-1.88568E-2</v>
      </c>
      <c r="J188" s="22">
        <v>178</v>
      </c>
      <c r="K188" s="22">
        <v>0.75286900000000001</v>
      </c>
      <c r="L188">
        <f t="shared" si="24"/>
        <v>18.8568</v>
      </c>
      <c r="M188">
        <f t="shared" si="25"/>
        <v>14.211087897599999</v>
      </c>
      <c r="N188" s="9"/>
      <c r="O188" s="22">
        <v>0.79635599999999995</v>
      </c>
      <c r="P188" s="22">
        <v>69.979600000000005</v>
      </c>
      <c r="Q188" s="22">
        <v>-1.88538E-2</v>
      </c>
      <c r="R188" s="22">
        <v>178</v>
      </c>
      <c r="S188" s="22">
        <v>0.79620400000000002</v>
      </c>
      <c r="T188">
        <f t="shared" si="26"/>
        <v>18.8538</v>
      </c>
      <c r="U188">
        <f t="shared" si="27"/>
        <v>15.014336752799998</v>
      </c>
      <c r="X188" s="9"/>
      <c r="Y188" s="22">
        <v>0.75363199999999997</v>
      </c>
      <c r="Z188" s="22">
        <v>104.003</v>
      </c>
      <c r="AA188" s="22">
        <v>-1.9015500000000001E-2</v>
      </c>
      <c r="AB188" s="22">
        <v>178</v>
      </c>
      <c r="AC188" s="22">
        <v>0.75256299999999998</v>
      </c>
      <c r="AD188">
        <f t="shared" si="28"/>
        <v>19.015499999999999</v>
      </c>
      <c r="AE188">
        <f t="shared" si="29"/>
        <v>14.330689295999999</v>
      </c>
      <c r="AF188" s="9"/>
      <c r="AG188" s="22">
        <v>0.79635599999999995</v>
      </c>
      <c r="AH188" s="22">
        <v>138.00899999999999</v>
      </c>
      <c r="AI188" s="22">
        <v>-1.8957499999999999E-2</v>
      </c>
      <c r="AJ188" s="22">
        <v>178</v>
      </c>
      <c r="AK188" s="22">
        <v>0.79528799999999999</v>
      </c>
      <c r="AL188">
        <f t="shared" si="30"/>
        <v>18.9575</v>
      </c>
      <c r="AM188">
        <f t="shared" si="31"/>
        <v>15.096918869999998</v>
      </c>
      <c r="AP188" s="9"/>
      <c r="AQ188" s="22">
        <v>0.75363199999999997</v>
      </c>
      <c r="AR188" s="22">
        <v>172.06800000000001</v>
      </c>
      <c r="AS188" s="22">
        <v>-1.9015500000000001E-2</v>
      </c>
      <c r="AT188" s="22">
        <v>178</v>
      </c>
      <c r="AU188" s="22">
        <v>0.75225799999999998</v>
      </c>
      <c r="AV188">
        <f t="shared" si="32"/>
        <v>19.015499999999999</v>
      </c>
      <c r="AW188">
        <f t="shared" si="33"/>
        <v>14.330689295999999</v>
      </c>
      <c r="AX188" s="9"/>
      <c r="AY188" s="22">
        <v>0.79635599999999995</v>
      </c>
      <c r="AZ188" s="22">
        <v>206.09399999999999</v>
      </c>
      <c r="BA188" s="22">
        <v>-1.8948400000000001E-2</v>
      </c>
      <c r="BB188" s="22">
        <v>178</v>
      </c>
      <c r="BC188" s="22">
        <v>0.79559299999999999</v>
      </c>
      <c r="BD188">
        <f t="shared" si="34"/>
        <v>18.948399999999999</v>
      </c>
      <c r="BE188">
        <f t="shared" si="35"/>
        <v>15.089672030399999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0.74859600000000004</v>
      </c>
      <c r="H189" s="22">
        <v>35.936599999999999</v>
      </c>
      <c r="I189" s="22">
        <v>-1.8862899999999998E-2</v>
      </c>
      <c r="J189" s="22">
        <v>179</v>
      </c>
      <c r="K189" s="22">
        <v>0.747803</v>
      </c>
      <c r="L189">
        <f t="shared" si="24"/>
        <v>18.8629</v>
      </c>
      <c r="M189">
        <f t="shared" si="25"/>
        <v>14.1206914884</v>
      </c>
      <c r="N189" s="9"/>
      <c r="O189" s="22">
        <v>0.80139199999999999</v>
      </c>
      <c r="P189" s="22">
        <v>69.989699999999999</v>
      </c>
      <c r="Q189" s="22">
        <v>-1.8847699999999998E-2</v>
      </c>
      <c r="R189" s="22">
        <v>179</v>
      </c>
      <c r="S189" s="22">
        <v>0.80078099999999997</v>
      </c>
      <c r="T189">
        <f t="shared" si="26"/>
        <v>18.8477</v>
      </c>
      <c r="U189">
        <f t="shared" si="27"/>
        <v>15.104395998399999</v>
      </c>
      <c r="X189" s="9"/>
      <c r="Y189" s="22">
        <v>0.74859600000000004</v>
      </c>
      <c r="Z189" s="22">
        <v>104.01300000000001</v>
      </c>
      <c r="AA189" s="22">
        <v>-1.90216E-2</v>
      </c>
      <c r="AB189" s="22">
        <v>179</v>
      </c>
      <c r="AC189" s="22">
        <v>0.74774200000000002</v>
      </c>
      <c r="AD189">
        <f t="shared" si="28"/>
        <v>19.021599999999999</v>
      </c>
      <c r="AE189">
        <f t="shared" si="29"/>
        <v>14.2394936736</v>
      </c>
      <c r="AF189" s="9"/>
      <c r="AG189" s="22">
        <v>0.80139199999999999</v>
      </c>
      <c r="AH189" s="22">
        <v>138.01900000000001</v>
      </c>
      <c r="AI189" s="22">
        <v>-1.89514E-2</v>
      </c>
      <c r="AJ189" s="22">
        <v>179</v>
      </c>
      <c r="AK189" s="22">
        <v>0.80017099999999997</v>
      </c>
      <c r="AL189">
        <f t="shared" si="30"/>
        <v>18.9514</v>
      </c>
      <c r="AM189">
        <f t="shared" si="31"/>
        <v>15.187500348799999</v>
      </c>
      <c r="AP189" s="9"/>
      <c r="AQ189" s="22">
        <v>0.74859600000000004</v>
      </c>
      <c r="AR189" s="22">
        <v>172.078</v>
      </c>
      <c r="AS189" s="22">
        <v>-1.9015500000000001E-2</v>
      </c>
      <c r="AT189" s="22">
        <v>179</v>
      </c>
      <c r="AU189" s="22">
        <v>0.74774200000000002</v>
      </c>
      <c r="AV189">
        <f t="shared" si="32"/>
        <v>19.015499999999999</v>
      </c>
      <c r="AW189">
        <f t="shared" si="33"/>
        <v>14.234927238000001</v>
      </c>
      <c r="AX189" s="9"/>
      <c r="AY189" s="22">
        <v>0.80139199999999999</v>
      </c>
      <c r="AZ189" s="22">
        <v>206.10400000000001</v>
      </c>
      <c r="BA189" s="22">
        <v>-1.8945300000000002E-2</v>
      </c>
      <c r="BB189" s="22">
        <v>179</v>
      </c>
      <c r="BC189" s="22">
        <v>0.79986599999999997</v>
      </c>
      <c r="BD189">
        <f t="shared" si="34"/>
        <v>18.945300000000003</v>
      </c>
      <c r="BE189">
        <f t="shared" si="35"/>
        <v>15.182611857600003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0.74356100000000003</v>
      </c>
      <c r="H190" s="22">
        <v>35.946599999999997</v>
      </c>
      <c r="I190" s="22">
        <v>-1.8866000000000001E-2</v>
      </c>
      <c r="J190" s="22">
        <v>180</v>
      </c>
      <c r="K190" s="22">
        <v>0.74301099999999998</v>
      </c>
      <c r="L190">
        <f t="shared" si="24"/>
        <v>18.866</v>
      </c>
      <c r="M190">
        <f t="shared" si="25"/>
        <v>14.028021826</v>
      </c>
      <c r="N190" s="9"/>
      <c r="O190" s="22">
        <v>0.806427</v>
      </c>
      <c r="P190" s="22">
        <v>69.999799999999993</v>
      </c>
      <c r="Q190" s="22">
        <v>-1.8838500000000001E-2</v>
      </c>
      <c r="R190" s="22">
        <v>180</v>
      </c>
      <c r="S190" s="22">
        <v>0.80566400000000005</v>
      </c>
      <c r="T190">
        <f t="shared" si="26"/>
        <v>18.8385</v>
      </c>
      <c r="U190">
        <f t="shared" si="27"/>
        <v>15.191875039499999</v>
      </c>
      <c r="X190" s="9"/>
      <c r="Y190" s="22">
        <v>0.74356100000000003</v>
      </c>
      <c r="Z190" s="22">
        <v>104.023</v>
      </c>
      <c r="AA190" s="22">
        <v>-1.9027700000000002E-2</v>
      </c>
      <c r="AB190" s="22">
        <v>180</v>
      </c>
      <c r="AC190" s="22">
        <v>0.742676</v>
      </c>
      <c r="AD190">
        <f t="shared" si="28"/>
        <v>19.027700000000003</v>
      </c>
      <c r="AE190">
        <f t="shared" si="29"/>
        <v>14.148255639700002</v>
      </c>
      <c r="AF190" s="9"/>
      <c r="AG190" s="22">
        <v>0.806427</v>
      </c>
      <c r="AH190" s="22">
        <v>138.029</v>
      </c>
      <c r="AI190" s="22">
        <v>-1.8948400000000001E-2</v>
      </c>
      <c r="AJ190" s="22">
        <v>180</v>
      </c>
      <c r="AK190" s="22">
        <v>0.80657999999999996</v>
      </c>
      <c r="AL190">
        <f t="shared" si="30"/>
        <v>18.948399999999999</v>
      </c>
      <c r="AM190">
        <f t="shared" si="31"/>
        <v>15.280501366799999</v>
      </c>
      <c r="AP190" s="9"/>
      <c r="AQ190" s="22">
        <v>0.74356100000000003</v>
      </c>
      <c r="AR190" s="22">
        <v>172.08799999999999</v>
      </c>
      <c r="AS190" s="22">
        <v>-1.90216E-2</v>
      </c>
      <c r="AT190" s="22">
        <v>180</v>
      </c>
      <c r="AU190" s="22">
        <v>0.742676</v>
      </c>
      <c r="AV190">
        <f t="shared" si="32"/>
        <v>19.021599999999999</v>
      </c>
      <c r="AW190">
        <f t="shared" si="33"/>
        <v>14.1437199176</v>
      </c>
      <c r="AX190" s="9"/>
      <c r="AY190" s="22">
        <v>0.806427</v>
      </c>
      <c r="AZ190" s="22">
        <v>206.114</v>
      </c>
      <c r="BA190" s="22">
        <v>-1.89392E-2</v>
      </c>
      <c r="BB190" s="22">
        <v>180</v>
      </c>
      <c r="BC190" s="22">
        <v>0.80505400000000005</v>
      </c>
      <c r="BD190">
        <f t="shared" si="34"/>
        <v>18.9392</v>
      </c>
      <c r="BE190">
        <f t="shared" si="35"/>
        <v>15.273082238399999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0.73852499999999999</v>
      </c>
      <c r="H191" s="22">
        <v>35.956699999999998</v>
      </c>
      <c r="I191" s="22">
        <v>-1.8872099999999999E-2</v>
      </c>
      <c r="J191" s="22">
        <v>181</v>
      </c>
      <c r="K191" s="22">
        <v>0.73788500000000001</v>
      </c>
      <c r="L191">
        <f t="shared" si="24"/>
        <v>18.8721</v>
      </c>
      <c r="M191">
        <f t="shared" si="25"/>
        <v>13.937517652499999</v>
      </c>
      <c r="N191" s="9"/>
      <c r="O191" s="22">
        <v>0.81146200000000002</v>
      </c>
      <c r="P191" s="22">
        <v>70.009900000000002</v>
      </c>
      <c r="Q191" s="22">
        <v>-1.88293E-2</v>
      </c>
      <c r="R191" s="22">
        <v>181</v>
      </c>
      <c r="S191" s="22">
        <v>0.81024200000000002</v>
      </c>
      <c r="T191">
        <f t="shared" si="26"/>
        <v>18.8293</v>
      </c>
      <c r="U191">
        <f t="shared" si="27"/>
        <v>15.279261436600001</v>
      </c>
      <c r="X191" s="9"/>
      <c r="Y191" s="22">
        <v>0.73852499999999999</v>
      </c>
      <c r="Z191" s="22">
        <v>104.033</v>
      </c>
      <c r="AA191" s="22">
        <v>-1.90308E-2</v>
      </c>
      <c r="AB191" s="22">
        <v>181</v>
      </c>
      <c r="AC191" s="22">
        <v>0.73779300000000003</v>
      </c>
      <c r="AD191">
        <f t="shared" si="28"/>
        <v>19.030799999999999</v>
      </c>
      <c r="AE191">
        <f t="shared" si="29"/>
        <v>14.05472157</v>
      </c>
      <c r="AF191" s="9"/>
      <c r="AG191" s="22">
        <v>0.81146200000000002</v>
      </c>
      <c r="AH191" s="22">
        <v>138.03899999999999</v>
      </c>
      <c r="AI191" s="22">
        <v>-1.8945300000000002E-2</v>
      </c>
      <c r="AJ191" s="22">
        <v>181</v>
      </c>
      <c r="AK191" s="22">
        <v>0.81024200000000002</v>
      </c>
      <c r="AL191">
        <f t="shared" si="30"/>
        <v>18.945300000000003</v>
      </c>
      <c r="AM191">
        <f t="shared" si="31"/>
        <v>15.373391028600002</v>
      </c>
      <c r="AP191" s="9"/>
      <c r="AQ191" s="22">
        <v>0.73852499999999999</v>
      </c>
      <c r="AR191" s="22">
        <v>172.09800000000001</v>
      </c>
      <c r="AS191" s="22">
        <v>-1.90216E-2</v>
      </c>
      <c r="AT191" s="22">
        <v>181</v>
      </c>
      <c r="AU191" s="22">
        <v>0.73763999999999996</v>
      </c>
      <c r="AV191">
        <f t="shared" si="32"/>
        <v>19.021599999999999</v>
      </c>
      <c r="AW191">
        <f t="shared" si="33"/>
        <v>14.047927139999999</v>
      </c>
      <c r="AX191" s="9"/>
      <c r="AY191" s="22">
        <v>0.81146200000000002</v>
      </c>
      <c r="AZ191" s="22">
        <v>206.124</v>
      </c>
      <c r="BA191" s="22">
        <v>-1.8933100000000001E-2</v>
      </c>
      <c r="BB191" s="22">
        <v>181</v>
      </c>
      <c r="BC191" s="22">
        <v>0.81085200000000002</v>
      </c>
      <c r="BD191">
        <f t="shared" si="34"/>
        <v>18.9331</v>
      </c>
      <c r="BE191">
        <f t="shared" si="35"/>
        <v>15.3634911922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0.73348999999999998</v>
      </c>
      <c r="H192" s="22">
        <v>35.966799999999999</v>
      </c>
      <c r="I192" s="22">
        <v>-1.8878200000000001E-2</v>
      </c>
      <c r="J192" s="22">
        <v>182</v>
      </c>
      <c r="K192" s="22">
        <v>0.73257399999999995</v>
      </c>
      <c r="L192">
        <f t="shared" si="24"/>
        <v>18.8782</v>
      </c>
      <c r="M192">
        <f t="shared" si="25"/>
        <v>13.846970917999998</v>
      </c>
      <c r="N192" s="9"/>
      <c r="O192" s="22">
        <v>0.81649799999999995</v>
      </c>
      <c r="P192" s="22">
        <v>70.019900000000007</v>
      </c>
      <c r="Q192" s="22">
        <v>-1.8823199999999998E-2</v>
      </c>
      <c r="R192" s="22">
        <v>182</v>
      </c>
      <c r="S192" s="22">
        <v>0.81573499999999999</v>
      </c>
      <c r="T192">
        <f t="shared" si="26"/>
        <v>18.8232</v>
      </c>
      <c r="U192">
        <f t="shared" si="27"/>
        <v>15.3691051536</v>
      </c>
      <c r="X192" s="9"/>
      <c r="Y192" s="22">
        <v>0.73348999999999998</v>
      </c>
      <c r="Z192" s="22">
        <v>104.04300000000001</v>
      </c>
      <c r="AA192" s="22">
        <v>-1.9036899999999999E-2</v>
      </c>
      <c r="AB192" s="22">
        <v>182</v>
      </c>
      <c r="AC192" s="22">
        <v>0.73257399999999995</v>
      </c>
      <c r="AD192">
        <f t="shared" si="28"/>
        <v>19.036899999999999</v>
      </c>
      <c r="AE192">
        <f t="shared" si="29"/>
        <v>13.963375781</v>
      </c>
      <c r="AF192" s="9"/>
      <c r="AG192" s="22">
        <v>0.81649799999999995</v>
      </c>
      <c r="AH192" s="22">
        <v>138.04900000000001</v>
      </c>
      <c r="AI192" s="22">
        <v>-1.8942299999999999E-2</v>
      </c>
      <c r="AJ192" s="22">
        <v>182</v>
      </c>
      <c r="AK192" s="22">
        <v>0.81512499999999999</v>
      </c>
      <c r="AL192">
        <f t="shared" si="30"/>
        <v>18.942299999999999</v>
      </c>
      <c r="AM192">
        <f t="shared" si="31"/>
        <v>15.466350065399999</v>
      </c>
      <c r="AP192" s="9"/>
      <c r="AQ192" s="22">
        <v>0.73348999999999998</v>
      </c>
      <c r="AR192" s="22">
        <v>172.108</v>
      </c>
      <c r="AS192" s="22">
        <v>-1.9027700000000002E-2</v>
      </c>
      <c r="AT192" s="22">
        <v>182</v>
      </c>
      <c r="AU192" s="22">
        <v>0.73297100000000004</v>
      </c>
      <c r="AV192">
        <f t="shared" si="32"/>
        <v>19.027700000000003</v>
      </c>
      <c r="AW192">
        <f t="shared" si="33"/>
        <v>13.956627673000002</v>
      </c>
      <c r="AX192" s="9"/>
      <c r="AY192" s="22">
        <v>0.81649799999999995</v>
      </c>
      <c r="AZ192" s="22">
        <v>206.13399999999999</v>
      </c>
      <c r="BA192" s="22">
        <v>-1.8924E-2</v>
      </c>
      <c r="BB192" s="22">
        <v>182</v>
      </c>
      <c r="BC192" s="22">
        <v>0.81573499999999999</v>
      </c>
      <c r="BD192">
        <f t="shared" si="34"/>
        <v>18.923999999999999</v>
      </c>
      <c r="BE192">
        <f t="shared" si="35"/>
        <v>15.451408151999999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0.72845499999999996</v>
      </c>
      <c r="H193" s="22">
        <v>35.976900000000001</v>
      </c>
      <c r="I193" s="22">
        <v>-1.8887299999999999E-2</v>
      </c>
      <c r="J193" s="22">
        <v>183</v>
      </c>
      <c r="K193" s="22">
        <v>0.727356</v>
      </c>
      <c r="L193">
        <f t="shared" si="24"/>
        <v>18.8873</v>
      </c>
      <c r="M193">
        <f t="shared" si="25"/>
        <v>13.758548121499999</v>
      </c>
      <c r="N193" s="9"/>
      <c r="O193" s="22">
        <v>0.82153299999999996</v>
      </c>
      <c r="P193" s="22">
        <v>70.03</v>
      </c>
      <c r="Q193" s="22">
        <v>-1.88171E-2</v>
      </c>
      <c r="R193" s="22">
        <v>183</v>
      </c>
      <c r="S193" s="22">
        <v>0.82031299999999996</v>
      </c>
      <c r="T193">
        <f t="shared" si="26"/>
        <v>18.8171</v>
      </c>
      <c r="U193">
        <f t="shared" si="27"/>
        <v>15.4588686143</v>
      </c>
      <c r="X193" s="9"/>
      <c r="Y193" s="22">
        <v>0.72845499999999996</v>
      </c>
      <c r="Z193" s="22">
        <v>104.053</v>
      </c>
      <c r="AA193" s="22">
        <v>-1.9039899999999998E-2</v>
      </c>
      <c r="AB193" s="22">
        <v>183</v>
      </c>
      <c r="AC193" s="22">
        <v>0.72775299999999998</v>
      </c>
      <c r="AD193">
        <f t="shared" si="28"/>
        <v>19.039899999999999</v>
      </c>
      <c r="AE193">
        <f t="shared" si="29"/>
        <v>13.869710354499999</v>
      </c>
      <c r="AF193" s="9"/>
      <c r="AG193" s="22">
        <v>0.82153299999999996</v>
      </c>
      <c r="AH193" s="22">
        <v>138.059</v>
      </c>
      <c r="AI193" s="22">
        <v>-1.89362E-2</v>
      </c>
      <c r="AJ193" s="22">
        <v>183</v>
      </c>
      <c r="AK193" s="22">
        <v>0.82092299999999996</v>
      </c>
      <c r="AL193">
        <f t="shared" si="30"/>
        <v>18.936199999999999</v>
      </c>
      <c r="AM193">
        <f t="shared" si="31"/>
        <v>15.556713194599999</v>
      </c>
      <c r="AP193" s="9"/>
      <c r="AQ193" s="22">
        <v>0.72845499999999996</v>
      </c>
      <c r="AR193" s="22">
        <v>172.11799999999999</v>
      </c>
      <c r="AS193" s="22">
        <v>-1.9036899999999999E-2</v>
      </c>
      <c r="AT193" s="22">
        <v>183</v>
      </c>
      <c r="AU193" s="22">
        <v>0.72750899999999996</v>
      </c>
      <c r="AV193">
        <f t="shared" si="32"/>
        <v>19.036899999999999</v>
      </c>
      <c r="AW193">
        <f t="shared" si="33"/>
        <v>13.867524989499998</v>
      </c>
      <c r="AX193" s="9"/>
      <c r="AY193" s="22">
        <v>0.82153299999999996</v>
      </c>
      <c r="AZ193" s="22">
        <v>206.14400000000001</v>
      </c>
      <c r="BA193" s="22">
        <v>-1.8917799999999999E-2</v>
      </c>
      <c r="BB193" s="22">
        <v>183</v>
      </c>
      <c r="BC193" s="22">
        <v>0.82061799999999996</v>
      </c>
      <c r="BD193">
        <f t="shared" si="34"/>
        <v>18.9178</v>
      </c>
      <c r="BE193">
        <f t="shared" si="35"/>
        <v>15.541596987399998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0.72341900000000003</v>
      </c>
      <c r="H194" s="22">
        <v>35.986899999999999</v>
      </c>
      <c r="I194" s="22">
        <v>-1.8890400000000002E-2</v>
      </c>
      <c r="J194" s="22">
        <v>184</v>
      </c>
      <c r="K194" s="22">
        <v>0.72256500000000001</v>
      </c>
      <c r="L194">
        <f t="shared" si="24"/>
        <v>18.890400000000003</v>
      </c>
      <c r="M194">
        <f t="shared" si="25"/>
        <v>13.665674277600003</v>
      </c>
      <c r="N194" s="9"/>
      <c r="O194" s="22">
        <v>0.826569</v>
      </c>
      <c r="P194" s="22">
        <v>70.040099999999995</v>
      </c>
      <c r="Q194" s="22">
        <v>-1.88141E-2</v>
      </c>
      <c r="R194" s="22">
        <v>184</v>
      </c>
      <c r="S194" s="22">
        <v>0.82580600000000004</v>
      </c>
      <c r="T194">
        <f t="shared" si="26"/>
        <v>18.8141</v>
      </c>
      <c r="U194">
        <f t="shared" si="27"/>
        <v>15.5511518229</v>
      </c>
      <c r="X194" s="9"/>
      <c r="Y194" s="22">
        <v>0.72341900000000003</v>
      </c>
      <c r="Z194" s="22">
        <v>104.063</v>
      </c>
      <c r="AA194" s="22">
        <v>-1.9046E-2</v>
      </c>
      <c r="AB194" s="22">
        <v>184</v>
      </c>
      <c r="AC194" s="22">
        <v>0.72259499999999999</v>
      </c>
      <c r="AD194">
        <f t="shared" si="28"/>
        <v>19.045999999999999</v>
      </c>
      <c r="AE194">
        <f t="shared" si="29"/>
        <v>13.778238274</v>
      </c>
      <c r="AF194" s="9"/>
      <c r="AG194" s="22">
        <v>0.826569</v>
      </c>
      <c r="AH194" s="22">
        <v>138.06899999999999</v>
      </c>
      <c r="AI194" s="22">
        <v>-1.8926999999999999E-2</v>
      </c>
      <c r="AJ194" s="22">
        <v>184</v>
      </c>
      <c r="AK194" s="22">
        <v>0.82641600000000004</v>
      </c>
      <c r="AL194">
        <f t="shared" si="30"/>
        <v>18.927</v>
      </c>
      <c r="AM194">
        <f t="shared" si="31"/>
        <v>15.644471463</v>
      </c>
      <c r="AP194" s="9"/>
      <c r="AQ194" s="22">
        <v>0.72341900000000003</v>
      </c>
      <c r="AR194" s="22">
        <v>172.12799999999999</v>
      </c>
      <c r="AS194" s="22">
        <v>-1.9046E-2</v>
      </c>
      <c r="AT194" s="22">
        <v>184</v>
      </c>
      <c r="AU194" s="22">
        <v>0.72287000000000001</v>
      </c>
      <c r="AV194">
        <f t="shared" si="32"/>
        <v>19.045999999999999</v>
      </c>
      <c r="AW194">
        <f t="shared" si="33"/>
        <v>13.778238274</v>
      </c>
      <c r="AX194" s="9"/>
      <c r="AY194" s="22">
        <v>0.826569</v>
      </c>
      <c r="AZ194" s="22">
        <v>206.154</v>
      </c>
      <c r="BA194" s="22">
        <v>-1.89117E-2</v>
      </c>
      <c r="BB194" s="22">
        <v>184</v>
      </c>
      <c r="BC194" s="22">
        <v>0.82580600000000004</v>
      </c>
      <c r="BD194">
        <f t="shared" si="34"/>
        <v>18.9117</v>
      </c>
      <c r="BE194">
        <f t="shared" si="35"/>
        <v>15.631824957299999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0.71838400000000002</v>
      </c>
      <c r="H195" s="22">
        <v>35.997</v>
      </c>
      <c r="I195" s="22">
        <v>-1.88995E-2</v>
      </c>
      <c r="J195" s="22">
        <v>185</v>
      </c>
      <c r="K195" s="22">
        <v>0.71755999999999998</v>
      </c>
      <c r="L195">
        <f t="shared" si="24"/>
        <v>18.8995</v>
      </c>
      <c r="M195">
        <f t="shared" si="25"/>
        <v>13.577098407999999</v>
      </c>
      <c r="N195" s="9"/>
      <c r="O195" s="22">
        <v>0.83160400000000001</v>
      </c>
      <c r="P195" s="22">
        <v>70.0501</v>
      </c>
      <c r="Q195" s="22">
        <v>-1.8811000000000001E-2</v>
      </c>
      <c r="R195" s="22">
        <v>185</v>
      </c>
      <c r="S195" s="22">
        <v>0.83038299999999998</v>
      </c>
      <c r="T195">
        <f t="shared" si="26"/>
        <v>18.811</v>
      </c>
      <c r="U195">
        <f t="shared" si="27"/>
        <v>15.643302844000001</v>
      </c>
      <c r="X195" s="9"/>
      <c r="Y195" s="22">
        <v>0.71838400000000002</v>
      </c>
      <c r="Z195" s="22">
        <v>104.07299999999999</v>
      </c>
      <c r="AA195" s="22">
        <v>-1.9046E-2</v>
      </c>
      <c r="AB195" s="22">
        <v>185</v>
      </c>
      <c r="AC195" s="22">
        <v>0.71768200000000004</v>
      </c>
      <c r="AD195">
        <f t="shared" si="28"/>
        <v>19.045999999999999</v>
      </c>
      <c r="AE195">
        <f t="shared" si="29"/>
        <v>13.682341664000001</v>
      </c>
      <c r="AF195" s="9"/>
      <c r="AG195" s="22">
        <v>0.83160400000000001</v>
      </c>
      <c r="AH195" s="22">
        <v>138.07900000000001</v>
      </c>
      <c r="AI195" s="22">
        <v>-1.8924E-2</v>
      </c>
      <c r="AJ195" s="22">
        <v>185</v>
      </c>
      <c r="AK195" s="22">
        <v>0.83007799999999998</v>
      </c>
      <c r="AL195">
        <f t="shared" si="30"/>
        <v>18.923999999999999</v>
      </c>
      <c r="AM195">
        <f t="shared" si="31"/>
        <v>15.737274096</v>
      </c>
      <c r="AP195" s="9"/>
      <c r="AQ195" s="22">
        <v>0.71838400000000002</v>
      </c>
      <c r="AR195" s="22">
        <v>172.13800000000001</v>
      </c>
      <c r="AS195" s="22">
        <v>-1.9052099999999999E-2</v>
      </c>
      <c r="AT195" s="22">
        <v>185</v>
      </c>
      <c r="AU195" s="22">
        <v>0.71777299999999999</v>
      </c>
      <c r="AV195">
        <f t="shared" si="32"/>
        <v>19.052099999999999</v>
      </c>
      <c r="AW195">
        <f t="shared" si="33"/>
        <v>13.6867238064</v>
      </c>
      <c r="AX195" s="9"/>
      <c r="AY195" s="22">
        <v>0.83160400000000001</v>
      </c>
      <c r="AZ195" s="22">
        <v>206.16399999999999</v>
      </c>
      <c r="BA195" s="22">
        <v>-1.8908700000000001E-2</v>
      </c>
      <c r="BB195" s="22">
        <v>185</v>
      </c>
      <c r="BC195" s="22">
        <v>0.83068799999999998</v>
      </c>
      <c r="BD195">
        <f t="shared" si="34"/>
        <v>18.9087</v>
      </c>
      <c r="BE195">
        <f t="shared" si="35"/>
        <v>15.7245505548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0.71334799999999998</v>
      </c>
      <c r="H196" s="22">
        <v>36.007100000000001</v>
      </c>
      <c r="I196" s="22">
        <v>-1.8905600000000002E-2</v>
      </c>
      <c r="J196" s="22">
        <v>186</v>
      </c>
      <c r="K196" s="22">
        <v>0.712677</v>
      </c>
      <c r="L196">
        <f t="shared" si="24"/>
        <v>18.905600000000003</v>
      </c>
      <c r="M196">
        <f t="shared" si="25"/>
        <v>13.486271948800002</v>
      </c>
      <c r="N196" s="9"/>
      <c r="O196" s="22">
        <v>0.83663900000000002</v>
      </c>
      <c r="P196" s="22">
        <v>70.060199999999995</v>
      </c>
      <c r="Q196" s="22">
        <v>-1.8807999999999998E-2</v>
      </c>
      <c r="R196" s="22">
        <v>186</v>
      </c>
      <c r="S196" s="22">
        <v>0.83618199999999998</v>
      </c>
      <c r="T196">
        <f t="shared" si="26"/>
        <v>18.808</v>
      </c>
      <c r="U196">
        <f t="shared" si="27"/>
        <v>15.735506312</v>
      </c>
      <c r="X196" s="9"/>
      <c r="Y196" s="22">
        <v>0.71334799999999998</v>
      </c>
      <c r="Z196" s="22">
        <v>104.083</v>
      </c>
      <c r="AA196" s="22">
        <v>-1.9049099999999999E-2</v>
      </c>
      <c r="AB196" s="22">
        <v>186</v>
      </c>
      <c r="AC196" s="22">
        <v>0.71249399999999996</v>
      </c>
      <c r="AD196">
        <f t="shared" si="28"/>
        <v>19.049099999999999</v>
      </c>
      <c r="AE196">
        <f t="shared" si="29"/>
        <v>13.588637386799999</v>
      </c>
      <c r="AF196" s="9"/>
      <c r="AG196" s="22">
        <v>0.83663900000000002</v>
      </c>
      <c r="AH196" s="22">
        <v>138.089</v>
      </c>
      <c r="AI196" s="22">
        <v>-1.8917799999999999E-2</v>
      </c>
      <c r="AJ196" s="22">
        <v>186</v>
      </c>
      <c r="AK196" s="22">
        <v>0.83618199999999998</v>
      </c>
      <c r="AL196">
        <f t="shared" si="30"/>
        <v>18.9178</v>
      </c>
      <c r="AM196">
        <f t="shared" si="31"/>
        <v>15.827369274200001</v>
      </c>
      <c r="AP196" s="9"/>
      <c r="AQ196" s="22">
        <v>0.71334799999999998</v>
      </c>
      <c r="AR196" s="22">
        <v>172.148</v>
      </c>
      <c r="AS196" s="22">
        <v>-1.9058200000000001E-2</v>
      </c>
      <c r="AT196" s="22">
        <v>186</v>
      </c>
      <c r="AU196" s="22">
        <v>0.712646</v>
      </c>
      <c r="AV196">
        <f t="shared" si="32"/>
        <v>19.058199999999999</v>
      </c>
      <c r="AW196">
        <f t="shared" si="33"/>
        <v>13.595128853599999</v>
      </c>
      <c r="AX196" s="9"/>
      <c r="AY196" s="22">
        <v>0.83663900000000002</v>
      </c>
      <c r="AZ196" s="22">
        <v>206.17400000000001</v>
      </c>
      <c r="BA196" s="22">
        <v>-1.8905600000000002E-2</v>
      </c>
      <c r="BB196" s="22">
        <v>186</v>
      </c>
      <c r="BC196" s="22">
        <v>0.83526599999999995</v>
      </c>
      <c r="BD196">
        <f t="shared" si="34"/>
        <v>18.905600000000003</v>
      </c>
      <c r="BE196">
        <f t="shared" si="35"/>
        <v>15.817162278400003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0.70831299999999997</v>
      </c>
      <c r="H197" s="22">
        <v>36.017099999999999</v>
      </c>
      <c r="I197" s="22">
        <v>-1.8908700000000001E-2</v>
      </c>
      <c r="J197" s="22">
        <v>187</v>
      </c>
      <c r="K197" s="22">
        <v>0.70767199999999997</v>
      </c>
      <c r="L197">
        <f t="shared" si="24"/>
        <v>18.9087</v>
      </c>
      <c r="M197">
        <f t="shared" si="25"/>
        <v>13.393278023099999</v>
      </c>
      <c r="N197" s="9"/>
      <c r="O197" s="22">
        <v>0.84167499999999995</v>
      </c>
      <c r="P197" s="22">
        <v>70.070300000000003</v>
      </c>
      <c r="Q197" s="22">
        <v>-1.8804899999999999E-2</v>
      </c>
      <c r="R197" s="22">
        <v>187</v>
      </c>
      <c r="S197" s="22">
        <v>0.84075900000000003</v>
      </c>
      <c r="T197">
        <f t="shared" si="26"/>
        <v>18.8049</v>
      </c>
      <c r="U197">
        <f t="shared" si="27"/>
        <v>15.8276142075</v>
      </c>
      <c r="X197" s="9"/>
      <c r="Y197" s="22">
        <v>0.70831299999999997</v>
      </c>
      <c r="Z197" s="22">
        <v>104.093</v>
      </c>
      <c r="AA197" s="22">
        <v>-1.9052099999999999E-2</v>
      </c>
      <c r="AB197" s="22">
        <v>187</v>
      </c>
      <c r="AC197" s="22">
        <v>0.70770299999999997</v>
      </c>
      <c r="AD197">
        <f t="shared" si="28"/>
        <v>19.052099999999999</v>
      </c>
      <c r="AE197">
        <f t="shared" si="29"/>
        <v>13.4948501073</v>
      </c>
      <c r="AF197" s="9"/>
      <c r="AG197" s="22">
        <v>0.84167499999999995</v>
      </c>
      <c r="AH197" s="22">
        <v>138.1</v>
      </c>
      <c r="AI197" s="22">
        <v>-1.8908700000000001E-2</v>
      </c>
      <c r="AJ197" s="22">
        <v>187</v>
      </c>
      <c r="AK197" s="22">
        <v>0.84136999999999995</v>
      </c>
      <c r="AL197">
        <f t="shared" si="30"/>
        <v>18.9087</v>
      </c>
      <c r="AM197">
        <f t="shared" si="31"/>
        <v>15.914980072499999</v>
      </c>
      <c r="AP197" s="9"/>
      <c r="AQ197" s="22">
        <v>0.70831299999999997</v>
      </c>
      <c r="AR197" s="22">
        <v>172.15799999999999</v>
      </c>
      <c r="AS197" s="22">
        <v>-1.9070400000000001E-2</v>
      </c>
      <c r="AT197" s="22">
        <v>187</v>
      </c>
      <c r="AU197" s="22">
        <v>0.70742799999999995</v>
      </c>
      <c r="AV197">
        <f t="shared" si="32"/>
        <v>19.070400000000003</v>
      </c>
      <c r="AW197">
        <f t="shared" si="33"/>
        <v>13.507812235200001</v>
      </c>
      <c r="AX197" s="9"/>
      <c r="AY197" s="22">
        <v>0.84167499999999995</v>
      </c>
      <c r="AZ197" s="22">
        <v>206.184</v>
      </c>
      <c r="BA197" s="22">
        <v>-1.88965E-2</v>
      </c>
      <c r="BB197" s="22">
        <v>187</v>
      </c>
      <c r="BC197" s="22">
        <v>0.84045400000000003</v>
      </c>
      <c r="BD197">
        <f t="shared" si="34"/>
        <v>18.8965</v>
      </c>
      <c r="BE197">
        <f t="shared" si="35"/>
        <v>15.904711637499998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0.70327799999999996</v>
      </c>
      <c r="H198" s="22">
        <v>36.027200000000001</v>
      </c>
      <c r="I198" s="22">
        <v>-1.8914799999999999E-2</v>
      </c>
      <c r="J198" s="22">
        <v>188</v>
      </c>
      <c r="K198" s="22">
        <v>0.70236200000000004</v>
      </c>
      <c r="L198">
        <f t="shared" si="24"/>
        <v>18.9148</v>
      </c>
      <c r="M198">
        <f t="shared" si="25"/>
        <v>13.302362714399999</v>
      </c>
      <c r="N198" s="9"/>
      <c r="O198" s="22">
        <v>0.84670999999999996</v>
      </c>
      <c r="P198" s="22">
        <v>70.080399999999997</v>
      </c>
      <c r="Q198" s="22">
        <v>-1.88019E-2</v>
      </c>
      <c r="R198" s="22">
        <v>188</v>
      </c>
      <c r="S198" s="22">
        <v>0.84533700000000001</v>
      </c>
      <c r="T198">
        <f t="shared" si="26"/>
        <v>18.8019</v>
      </c>
      <c r="U198">
        <f t="shared" si="27"/>
        <v>15.919756748999999</v>
      </c>
      <c r="X198" s="9"/>
      <c r="Y198" s="22">
        <v>0.70327799999999996</v>
      </c>
      <c r="Z198" s="22">
        <v>104.10299999999999</v>
      </c>
      <c r="AA198" s="22">
        <v>-1.90613E-2</v>
      </c>
      <c r="AB198" s="22">
        <v>188</v>
      </c>
      <c r="AC198" s="22">
        <v>0.702484</v>
      </c>
      <c r="AD198">
        <f t="shared" si="28"/>
        <v>19.061299999999999</v>
      </c>
      <c r="AE198">
        <f t="shared" si="29"/>
        <v>13.405392941399999</v>
      </c>
      <c r="AF198" s="9"/>
      <c r="AG198" s="22">
        <v>0.84670999999999996</v>
      </c>
      <c r="AH198" s="22">
        <v>138.11000000000001</v>
      </c>
      <c r="AI198" s="22">
        <v>-1.8902599999999999E-2</v>
      </c>
      <c r="AJ198" s="22">
        <v>188</v>
      </c>
      <c r="AK198" s="22">
        <v>0.845642</v>
      </c>
      <c r="AL198">
        <f t="shared" si="30"/>
        <v>18.9026</v>
      </c>
      <c r="AM198">
        <f t="shared" si="31"/>
        <v>16.005020446</v>
      </c>
      <c r="AP198" s="9"/>
      <c r="AQ198" s="22">
        <v>0.70327799999999996</v>
      </c>
      <c r="AR198" s="22">
        <v>172.16800000000001</v>
      </c>
      <c r="AS198" s="22">
        <v>-1.90735E-2</v>
      </c>
      <c r="AT198" s="22">
        <v>188</v>
      </c>
      <c r="AU198" s="22">
        <v>0.70233199999999996</v>
      </c>
      <c r="AV198">
        <f t="shared" si="32"/>
        <v>19.073499999999999</v>
      </c>
      <c r="AW198">
        <f t="shared" si="33"/>
        <v>13.413972932999998</v>
      </c>
      <c r="AX198" s="9"/>
      <c r="AY198" s="22">
        <v>0.84670999999999996</v>
      </c>
      <c r="AZ198" s="22">
        <v>206.19399999999999</v>
      </c>
      <c r="BA198" s="22">
        <v>-1.8893400000000001E-2</v>
      </c>
      <c r="BB198" s="22">
        <v>188</v>
      </c>
      <c r="BC198" s="22">
        <v>0.845947</v>
      </c>
      <c r="BD198">
        <f t="shared" si="34"/>
        <v>18.8934</v>
      </c>
      <c r="BE198">
        <f t="shared" si="35"/>
        <v>15.997230713999999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0.69824200000000003</v>
      </c>
      <c r="H199" s="22">
        <v>36.037300000000002</v>
      </c>
      <c r="I199" s="22">
        <v>-1.8917799999999999E-2</v>
      </c>
      <c r="J199" s="22">
        <v>189</v>
      </c>
      <c r="K199" s="22">
        <v>0.69723500000000005</v>
      </c>
      <c r="L199">
        <f t="shared" si="24"/>
        <v>18.9178</v>
      </c>
      <c r="M199">
        <f t="shared" si="25"/>
        <v>13.209202507600001</v>
      </c>
      <c r="N199" s="9"/>
      <c r="O199" s="22">
        <v>0.851746</v>
      </c>
      <c r="P199" s="22">
        <v>70.090400000000002</v>
      </c>
      <c r="Q199" s="22">
        <v>-1.8795800000000001E-2</v>
      </c>
      <c r="R199" s="22">
        <v>189</v>
      </c>
      <c r="S199" s="22">
        <v>0.85082999999999998</v>
      </c>
      <c r="T199">
        <f t="shared" si="26"/>
        <v>18.7958</v>
      </c>
      <c r="U199">
        <f t="shared" si="27"/>
        <v>16.009247466800002</v>
      </c>
      <c r="X199" s="9"/>
      <c r="Y199" s="22">
        <v>0.69824200000000003</v>
      </c>
      <c r="Z199" s="22">
        <v>104.114</v>
      </c>
      <c r="AA199" s="22">
        <v>-1.9070400000000001E-2</v>
      </c>
      <c r="AB199" s="22">
        <v>189</v>
      </c>
      <c r="AC199" s="22">
        <v>0.69738800000000001</v>
      </c>
      <c r="AD199">
        <f t="shared" si="28"/>
        <v>19.070400000000003</v>
      </c>
      <c r="AE199">
        <f t="shared" si="29"/>
        <v>13.315754236800002</v>
      </c>
      <c r="AF199" s="9"/>
      <c r="AG199" s="22">
        <v>0.851746</v>
      </c>
      <c r="AH199" s="22">
        <v>138.12</v>
      </c>
      <c r="AI199" s="22">
        <v>-1.88965E-2</v>
      </c>
      <c r="AJ199" s="22">
        <v>189</v>
      </c>
      <c r="AK199" s="22">
        <v>0.85082999999999998</v>
      </c>
      <c r="AL199">
        <f t="shared" si="30"/>
        <v>18.8965</v>
      </c>
      <c r="AM199">
        <f t="shared" si="31"/>
        <v>16.095018288999999</v>
      </c>
      <c r="AP199" s="9"/>
      <c r="AQ199" s="22">
        <v>0.69824200000000003</v>
      </c>
      <c r="AR199" s="22">
        <v>172.178</v>
      </c>
      <c r="AS199" s="22">
        <v>-1.9079599999999999E-2</v>
      </c>
      <c r="AT199" s="22">
        <v>189</v>
      </c>
      <c r="AU199" s="22">
        <v>0.69750999999999996</v>
      </c>
      <c r="AV199">
        <f t="shared" si="32"/>
        <v>19.079599999999999</v>
      </c>
      <c r="AW199">
        <f t="shared" si="33"/>
        <v>13.322178063200001</v>
      </c>
      <c r="AX199" s="9"/>
      <c r="AY199" s="22">
        <v>0.851746</v>
      </c>
      <c r="AZ199" s="22">
        <v>206.20400000000001</v>
      </c>
      <c r="BA199" s="22">
        <v>-1.8887299999999999E-2</v>
      </c>
      <c r="BB199" s="22">
        <v>189</v>
      </c>
      <c r="BC199" s="22">
        <v>0.85082999999999998</v>
      </c>
      <c r="BD199">
        <f t="shared" si="34"/>
        <v>18.8873</v>
      </c>
      <c r="BE199">
        <f t="shared" si="35"/>
        <v>16.087182225799999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0.69320700000000002</v>
      </c>
      <c r="H200" s="22">
        <v>36.0473</v>
      </c>
      <c r="I200" s="22">
        <v>-1.8920900000000001E-2</v>
      </c>
      <c r="J200" s="22">
        <v>190</v>
      </c>
      <c r="K200" s="22">
        <v>0.69216900000000003</v>
      </c>
      <c r="L200">
        <f t="shared" si="24"/>
        <v>18.9209</v>
      </c>
      <c r="M200">
        <f t="shared" si="25"/>
        <v>13.1161003263</v>
      </c>
      <c r="N200" s="9"/>
      <c r="O200" s="22">
        <v>0.85678100000000001</v>
      </c>
      <c r="P200" s="22">
        <v>70.100499999999997</v>
      </c>
      <c r="Q200" s="22">
        <v>-1.8789699999999999E-2</v>
      </c>
      <c r="R200" s="22">
        <v>190</v>
      </c>
      <c r="S200" s="22">
        <v>0.85571299999999995</v>
      </c>
      <c r="T200">
        <f t="shared" si="26"/>
        <v>18.7897</v>
      </c>
      <c r="U200">
        <f t="shared" si="27"/>
        <v>16.098657955699998</v>
      </c>
      <c r="X200" s="9"/>
      <c r="Y200" s="22">
        <v>0.69320700000000002</v>
      </c>
      <c r="Z200" s="22">
        <v>104.124</v>
      </c>
      <c r="AA200" s="22">
        <v>-1.9079599999999999E-2</v>
      </c>
      <c r="AB200" s="22">
        <v>190</v>
      </c>
      <c r="AC200" s="22">
        <v>0.69247400000000003</v>
      </c>
      <c r="AD200">
        <f t="shared" si="28"/>
        <v>19.079599999999999</v>
      </c>
      <c r="AE200">
        <f t="shared" si="29"/>
        <v>13.2261122772</v>
      </c>
      <c r="AF200" s="9"/>
      <c r="AG200" s="22">
        <v>0.85678100000000001</v>
      </c>
      <c r="AH200" s="22">
        <v>138.13</v>
      </c>
      <c r="AI200" s="22">
        <v>-1.8890400000000002E-2</v>
      </c>
      <c r="AJ200" s="22">
        <v>190</v>
      </c>
      <c r="AK200" s="22">
        <v>0.85632299999999995</v>
      </c>
      <c r="AL200">
        <f t="shared" si="30"/>
        <v>18.890400000000003</v>
      </c>
      <c r="AM200">
        <f t="shared" si="31"/>
        <v>16.184935802400002</v>
      </c>
      <c r="AP200" s="9"/>
      <c r="AQ200" s="22">
        <v>0.69320700000000002</v>
      </c>
      <c r="AR200" s="22">
        <v>172.18799999999999</v>
      </c>
      <c r="AS200" s="22">
        <v>-1.9082600000000002E-2</v>
      </c>
      <c r="AT200" s="22">
        <v>190</v>
      </c>
      <c r="AU200" s="22">
        <v>0.69235199999999997</v>
      </c>
      <c r="AV200">
        <f t="shared" si="32"/>
        <v>19.082600000000003</v>
      </c>
      <c r="AW200">
        <f t="shared" si="33"/>
        <v>13.228191898200002</v>
      </c>
      <c r="AX200" s="9"/>
      <c r="AY200" s="22">
        <v>0.85678100000000001</v>
      </c>
      <c r="AZ200" s="22">
        <v>206.215</v>
      </c>
      <c r="BA200" s="22">
        <v>-1.8881200000000001E-2</v>
      </c>
      <c r="BB200" s="22">
        <v>190</v>
      </c>
      <c r="BC200" s="22">
        <v>0.85601799999999995</v>
      </c>
      <c r="BD200">
        <f t="shared" si="34"/>
        <v>18.8812</v>
      </c>
      <c r="BE200">
        <f t="shared" si="35"/>
        <v>16.1770534172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0.68817099999999998</v>
      </c>
      <c r="H201" s="22">
        <v>36.057400000000001</v>
      </c>
      <c r="I201" s="22">
        <v>-1.8924E-2</v>
      </c>
      <c r="J201" s="22">
        <v>191</v>
      </c>
      <c r="K201" s="22">
        <v>0.68731699999999996</v>
      </c>
      <c r="L201">
        <f t="shared" si="24"/>
        <v>18.923999999999999</v>
      </c>
      <c r="M201">
        <f t="shared" si="25"/>
        <v>13.022948004</v>
      </c>
      <c r="N201" s="9"/>
      <c r="O201" s="22">
        <v>0.86181600000000003</v>
      </c>
      <c r="P201" s="22">
        <v>70.110600000000005</v>
      </c>
      <c r="Q201" s="22">
        <v>-1.8783600000000001E-2</v>
      </c>
      <c r="R201" s="22">
        <v>191</v>
      </c>
      <c r="S201" s="22">
        <v>0.86090100000000003</v>
      </c>
      <c r="T201">
        <f t="shared" si="26"/>
        <v>18.7836</v>
      </c>
      <c r="U201">
        <f t="shared" si="27"/>
        <v>16.1880070176</v>
      </c>
      <c r="X201" s="9"/>
      <c r="Y201" s="22">
        <v>0.68817099999999998</v>
      </c>
      <c r="Z201" s="22">
        <v>104.134</v>
      </c>
      <c r="AA201" s="22">
        <v>-1.9085700000000001E-2</v>
      </c>
      <c r="AB201" s="22">
        <v>191</v>
      </c>
      <c r="AC201" s="22">
        <v>0.68740800000000002</v>
      </c>
      <c r="AD201">
        <f t="shared" si="28"/>
        <v>19.085699999999999</v>
      </c>
      <c r="AE201">
        <f t="shared" si="29"/>
        <v>13.134225254699999</v>
      </c>
      <c r="AF201" s="9"/>
      <c r="AG201" s="22">
        <v>0.86181600000000003</v>
      </c>
      <c r="AH201" s="22">
        <v>138.13999999999999</v>
      </c>
      <c r="AI201" s="22">
        <v>-1.88843E-2</v>
      </c>
      <c r="AJ201" s="22">
        <v>191</v>
      </c>
      <c r="AK201" s="22">
        <v>0.86120600000000003</v>
      </c>
      <c r="AL201">
        <f t="shared" si="30"/>
        <v>18.8843</v>
      </c>
      <c r="AM201">
        <f t="shared" si="31"/>
        <v>16.274791888799999</v>
      </c>
      <c r="AP201" s="9"/>
      <c r="AQ201" s="22">
        <v>0.68817099999999998</v>
      </c>
      <c r="AR201" s="22">
        <v>172.19800000000001</v>
      </c>
      <c r="AS201" s="22">
        <v>-1.9085700000000001E-2</v>
      </c>
      <c r="AT201" s="22">
        <v>191</v>
      </c>
      <c r="AU201" s="22">
        <v>0.68737800000000004</v>
      </c>
      <c r="AV201">
        <f t="shared" si="32"/>
        <v>19.085699999999999</v>
      </c>
      <c r="AW201">
        <f t="shared" si="33"/>
        <v>13.134225254699999</v>
      </c>
      <c r="AX201" s="9"/>
      <c r="AY201" s="22">
        <v>0.86181600000000003</v>
      </c>
      <c r="AZ201" s="22">
        <v>206.22499999999999</v>
      </c>
      <c r="BA201" s="22">
        <v>-1.8872099999999999E-2</v>
      </c>
      <c r="BB201" s="22">
        <v>191</v>
      </c>
      <c r="BC201" s="22">
        <v>0.86059600000000003</v>
      </c>
      <c r="BD201">
        <f t="shared" si="34"/>
        <v>18.8721</v>
      </c>
      <c r="BE201">
        <f t="shared" si="35"/>
        <v>16.2642777336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0.68313599999999997</v>
      </c>
      <c r="H202" s="22">
        <v>36.067500000000003</v>
      </c>
      <c r="I202" s="22">
        <v>-1.8930099999999998E-2</v>
      </c>
      <c r="J202" s="22">
        <v>192</v>
      </c>
      <c r="K202" s="22">
        <v>0.68228100000000003</v>
      </c>
      <c r="L202">
        <f t="shared" si="24"/>
        <v>18.930099999999999</v>
      </c>
      <c r="M202">
        <f t="shared" si="25"/>
        <v>12.931832793599998</v>
      </c>
      <c r="N202" s="9"/>
      <c r="O202" s="22">
        <v>0.86685199999999996</v>
      </c>
      <c r="P202" s="22">
        <v>70.120599999999996</v>
      </c>
      <c r="Q202" s="22">
        <v>-1.87744E-2</v>
      </c>
      <c r="R202" s="22">
        <v>192</v>
      </c>
      <c r="S202" s="22">
        <v>0.866699</v>
      </c>
      <c r="T202">
        <f t="shared" si="26"/>
        <v>18.7744</v>
      </c>
      <c r="U202">
        <f t="shared" si="27"/>
        <v>16.274626188799999</v>
      </c>
      <c r="X202" s="9"/>
      <c r="Y202" s="22">
        <v>0.68313599999999997</v>
      </c>
      <c r="Z202" s="22">
        <v>104.14400000000001</v>
      </c>
      <c r="AA202" s="22">
        <v>-1.9094799999999999E-2</v>
      </c>
      <c r="AB202" s="22">
        <v>192</v>
      </c>
      <c r="AC202" s="22">
        <v>0.68237300000000001</v>
      </c>
      <c r="AD202">
        <f t="shared" si="28"/>
        <v>19.094799999999999</v>
      </c>
      <c r="AE202">
        <f t="shared" si="29"/>
        <v>13.044345292799999</v>
      </c>
      <c r="AF202" s="9"/>
      <c r="AG202" s="22">
        <v>0.86685199999999996</v>
      </c>
      <c r="AH202" s="22">
        <v>138.15</v>
      </c>
      <c r="AI202" s="22">
        <v>-1.8881200000000001E-2</v>
      </c>
      <c r="AJ202" s="22">
        <v>192</v>
      </c>
      <c r="AK202" s="22">
        <v>0.865784</v>
      </c>
      <c r="AL202">
        <f t="shared" si="30"/>
        <v>18.8812</v>
      </c>
      <c r="AM202">
        <f t="shared" si="31"/>
        <v>16.367205982399998</v>
      </c>
      <c r="AP202" s="9"/>
      <c r="AQ202" s="22">
        <v>0.68313599999999997</v>
      </c>
      <c r="AR202" s="22">
        <v>172.209</v>
      </c>
      <c r="AS202" s="22">
        <v>-1.9094799999999999E-2</v>
      </c>
      <c r="AT202" s="22">
        <v>192</v>
      </c>
      <c r="AU202" s="22">
        <v>0.68243399999999999</v>
      </c>
      <c r="AV202">
        <f t="shared" si="32"/>
        <v>19.094799999999999</v>
      </c>
      <c r="AW202">
        <f t="shared" si="33"/>
        <v>13.044345292799999</v>
      </c>
      <c r="AX202" s="9"/>
      <c r="AY202" s="22">
        <v>0.86685199999999996</v>
      </c>
      <c r="AZ202" s="22">
        <v>206.23500000000001</v>
      </c>
      <c r="BA202" s="22">
        <v>-1.8862899999999998E-2</v>
      </c>
      <c r="BB202" s="22">
        <v>192</v>
      </c>
      <c r="BC202" s="22">
        <v>0.865479</v>
      </c>
      <c r="BD202">
        <f t="shared" si="34"/>
        <v>18.8629</v>
      </c>
      <c r="BE202">
        <f t="shared" si="35"/>
        <v>16.351342590799998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0.67810099999999995</v>
      </c>
      <c r="H203" s="22">
        <v>36.077599999999997</v>
      </c>
      <c r="I203" s="22">
        <v>-1.89362E-2</v>
      </c>
      <c r="J203" s="22">
        <v>193</v>
      </c>
      <c r="K203" s="22">
        <v>0.67709399999999997</v>
      </c>
      <c r="L203">
        <f t="shared" si="24"/>
        <v>18.936199999999999</v>
      </c>
      <c r="M203">
        <f t="shared" si="25"/>
        <v>12.840656156199998</v>
      </c>
      <c r="N203" s="9"/>
      <c r="O203" s="22">
        <v>0.87188699999999997</v>
      </c>
      <c r="P203" s="22">
        <v>70.130700000000004</v>
      </c>
      <c r="Q203" s="22">
        <v>-1.8768300000000002E-2</v>
      </c>
      <c r="R203" s="22">
        <v>193</v>
      </c>
      <c r="S203" s="22">
        <v>0.87036100000000005</v>
      </c>
      <c r="T203">
        <f t="shared" si="26"/>
        <v>18.7683</v>
      </c>
      <c r="U203">
        <f t="shared" si="27"/>
        <v>16.363836782099998</v>
      </c>
      <c r="X203" s="9"/>
      <c r="Y203" s="22">
        <v>0.67810099999999995</v>
      </c>
      <c r="Z203" s="22">
        <v>104.154</v>
      </c>
      <c r="AA203" s="22">
        <v>-1.9097900000000001E-2</v>
      </c>
      <c r="AB203" s="22">
        <v>193</v>
      </c>
      <c r="AC203" s="22">
        <v>0.67739899999999997</v>
      </c>
      <c r="AD203">
        <f t="shared" si="28"/>
        <v>19.097900000000003</v>
      </c>
      <c r="AE203">
        <f t="shared" si="29"/>
        <v>12.9503050879</v>
      </c>
      <c r="AF203" s="9"/>
      <c r="AG203" s="22">
        <v>0.87188699999999997</v>
      </c>
      <c r="AH203" s="22">
        <v>138.16</v>
      </c>
      <c r="AI203" s="22">
        <v>-1.8872099999999999E-2</v>
      </c>
      <c r="AJ203" s="22">
        <v>193</v>
      </c>
      <c r="AK203" s="22">
        <v>0.87066699999999997</v>
      </c>
      <c r="AL203">
        <f t="shared" si="30"/>
        <v>18.8721</v>
      </c>
      <c r="AM203">
        <f t="shared" si="31"/>
        <v>16.454338652699999</v>
      </c>
      <c r="AP203" s="9"/>
      <c r="AQ203" s="22">
        <v>0.67810099999999995</v>
      </c>
      <c r="AR203" s="22">
        <v>172.21899999999999</v>
      </c>
      <c r="AS203" s="22">
        <v>-1.9094799999999999E-2</v>
      </c>
      <c r="AT203" s="22">
        <v>193</v>
      </c>
      <c r="AU203" s="22">
        <v>0.67752100000000004</v>
      </c>
      <c r="AV203">
        <f t="shared" si="32"/>
        <v>19.094799999999999</v>
      </c>
      <c r="AW203">
        <f t="shared" si="33"/>
        <v>12.948202974799999</v>
      </c>
      <c r="AX203" s="9"/>
      <c r="AY203" s="22">
        <v>0.87188699999999997</v>
      </c>
      <c r="AZ203" s="22">
        <v>206.245</v>
      </c>
      <c r="BA203" s="22">
        <v>-1.88568E-2</v>
      </c>
      <c r="BB203" s="22">
        <v>193</v>
      </c>
      <c r="BC203" s="22">
        <v>0.87127699999999997</v>
      </c>
      <c r="BD203">
        <f t="shared" si="34"/>
        <v>18.8568</v>
      </c>
      <c r="BE203">
        <f t="shared" si="35"/>
        <v>16.440998781599998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0.67306500000000002</v>
      </c>
      <c r="H204" s="22">
        <v>36.087600000000002</v>
      </c>
      <c r="I204" s="22">
        <v>-1.8942299999999999E-2</v>
      </c>
      <c r="J204" s="22">
        <v>194</v>
      </c>
      <c r="K204" s="22">
        <v>0.672211</v>
      </c>
      <c r="L204">
        <f t="shared" ref="L204:L267" si="36">-I204/$F$2*1000</f>
        <v>18.942299999999999</v>
      </c>
      <c r="M204">
        <f t="shared" ref="M204:M267" si="37">L204*G204</f>
        <v>12.7493991495</v>
      </c>
      <c r="N204" s="9"/>
      <c r="O204" s="22">
        <v>0.87692300000000001</v>
      </c>
      <c r="P204" s="22">
        <v>70.140799999999999</v>
      </c>
      <c r="Q204" s="22">
        <v>-1.87622E-2</v>
      </c>
      <c r="R204" s="22">
        <v>194</v>
      </c>
      <c r="S204" s="22">
        <v>0.87616000000000005</v>
      </c>
      <c r="T204">
        <f t="shared" ref="T204:T267" si="38">-Q204/$F$2*1000</f>
        <v>18.7622</v>
      </c>
      <c r="U204">
        <f t="shared" ref="U204:U267" si="39">T204*O204</f>
        <v>16.453004710600002</v>
      </c>
      <c r="X204" s="9"/>
      <c r="Y204" s="22">
        <v>0.67306500000000002</v>
      </c>
      <c r="Z204" s="22">
        <v>104.164</v>
      </c>
      <c r="AA204" s="22">
        <v>-1.9103999999999999E-2</v>
      </c>
      <c r="AB204" s="22">
        <v>194</v>
      </c>
      <c r="AC204" s="22">
        <v>0.67227199999999998</v>
      </c>
      <c r="AD204">
        <f t="shared" ref="AD204:AD267" si="40">-AA204/$F$2*1000</f>
        <v>19.103999999999999</v>
      </c>
      <c r="AE204">
        <f t="shared" ref="AE204:AE267" si="41">AD204*Y204</f>
        <v>12.858233759999999</v>
      </c>
      <c r="AF204" s="9"/>
      <c r="AG204" s="22">
        <v>0.87692300000000001</v>
      </c>
      <c r="AH204" s="22">
        <v>138.16999999999999</v>
      </c>
      <c r="AI204" s="22">
        <v>-1.8866000000000001E-2</v>
      </c>
      <c r="AJ204" s="22">
        <v>194</v>
      </c>
      <c r="AK204" s="22">
        <v>0.87554900000000002</v>
      </c>
      <c r="AL204">
        <f t="shared" ref="AL204:AL267" si="42">-AI204/$F$2*1000</f>
        <v>18.866</v>
      </c>
      <c r="AM204">
        <f t="shared" ref="AM204:AM267" si="43">AL204*AG204</f>
        <v>16.544029318</v>
      </c>
      <c r="AP204" s="9"/>
      <c r="AQ204" s="22">
        <v>0.67306500000000002</v>
      </c>
      <c r="AR204" s="22">
        <v>172.22900000000001</v>
      </c>
      <c r="AS204" s="22">
        <v>-1.9103999999999999E-2</v>
      </c>
      <c r="AT204" s="22">
        <v>194</v>
      </c>
      <c r="AU204" s="22">
        <v>0.67233299999999996</v>
      </c>
      <c r="AV204">
        <f t="shared" ref="AV204:AV267" si="44">-AS204/$F$2*1000</f>
        <v>19.103999999999999</v>
      </c>
      <c r="AW204">
        <f t="shared" ref="AW204:AW267" si="45">AV204*AQ204</f>
        <v>12.858233759999999</v>
      </c>
      <c r="AX204" s="9"/>
      <c r="AY204" s="22">
        <v>0.87692300000000001</v>
      </c>
      <c r="AZ204" s="22">
        <v>206.255</v>
      </c>
      <c r="BA204" s="22">
        <v>-1.8850700000000001E-2</v>
      </c>
      <c r="BB204" s="22">
        <v>194</v>
      </c>
      <c r="BC204" s="22">
        <v>0.87616000000000005</v>
      </c>
      <c r="BD204">
        <f t="shared" ref="BD204:BD267" si="46">-BA204/$F$2*1000</f>
        <v>18.8507</v>
      </c>
      <c r="BE204">
        <f t="shared" ref="BE204:BE267" si="47">BD204*AY204</f>
        <v>16.5306123961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0.66803000000000001</v>
      </c>
      <c r="H205" s="22">
        <v>36.097700000000003</v>
      </c>
      <c r="I205" s="22">
        <v>-1.8948400000000001E-2</v>
      </c>
      <c r="J205" s="22">
        <v>195</v>
      </c>
      <c r="K205" s="22">
        <v>0.66699200000000003</v>
      </c>
      <c r="L205">
        <f t="shared" si="36"/>
        <v>18.948399999999999</v>
      </c>
      <c r="M205">
        <f t="shared" si="37"/>
        <v>12.658099652000001</v>
      </c>
      <c r="N205" s="9"/>
      <c r="O205" s="22">
        <v>0.88195800000000002</v>
      </c>
      <c r="P205" s="22">
        <v>70.150800000000004</v>
      </c>
      <c r="Q205" s="22">
        <v>-1.8753100000000002E-2</v>
      </c>
      <c r="R205" s="22">
        <v>195</v>
      </c>
      <c r="S205" s="22">
        <v>0.88104199999999999</v>
      </c>
      <c r="T205">
        <f t="shared" si="38"/>
        <v>18.753100000000003</v>
      </c>
      <c r="U205">
        <f t="shared" si="39"/>
        <v>16.539446569800003</v>
      </c>
      <c r="X205" s="9"/>
      <c r="Y205" s="22">
        <v>0.66803000000000001</v>
      </c>
      <c r="Z205" s="22">
        <v>104.17400000000001</v>
      </c>
      <c r="AA205" s="22">
        <v>-1.9110100000000001E-2</v>
      </c>
      <c r="AB205" s="22">
        <v>195</v>
      </c>
      <c r="AC205" s="22">
        <v>0.66741899999999998</v>
      </c>
      <c r="AD205">
        <f t="shared" si="40"/>
        <v>19.110100000000003</v>
      </c>
      <c r="AE205">
        <f t="shared" si="41"/>
        <v>12.766120103000002</v>
      </c>
      <c r="AF205" s="9"/>
      <c r="AG205" s="22">
        <v>0.88195800000000002</v>
      </c>
      <c r="AH205" s="22">
        <v>138.18</v>
      </c>
      <c r="AI205" s="22">
        <v>-1.8859899999999999E-2</v>
      </c>
      <c r="AJ205" s="22">
        <v>195</v>
      </c>
      <c r="AK205" s="22">
        <v>0.88073699999999999</v>
      </c>
      <c r="AL205">
        <f t="shared" si="42"/>
        <v>18.8599</v>
      </c>
      <c r="AM205">
        <f t="shared" si="43"/>
        <v>16.633639684199998</v>
      </c>
      <c r="AP205" s="9"/>
      <c r="AQ205" s="22">
        <v>0.66803000000000001</v>
      </c>
      <c r="AR205" s="22">
        <v>172.239</v>
      </c>
      <c r="AS205" s="22">
        <v>-1.91132E-2</v>
      </c>
      <c r="AT205" s="22">
        <v>195</v>
      </c>
      <c r="AU205" s="22">
        <v>0.66714499999999999</v>
      </c>
      <c r="AV205">
        <f t="shared" si="44"/>
        <v>19.113199999999999</v>
      </c>
      <c r="AW205">
        <f t="shared" si="45"/>
        <v>12.768190996</v>
      </c>
      <c r="AX205" s="9"/>
      <c r="AY205" s="22">
        <v>0.88195800000000002</v>
      </c>
      <c r="AZ205" s="22">
        <v>206.26499999999999</v>
      </c>
      <c r="BA205" s="22">
        <v>-1.88446E-2</v>
      </c>
      <c r="BB205" s="22">
        <v>195</v>
      </c>
      <c r="BC205" s="22">
        <v>0.88073699999999999</v>
      </c>
      <c r="BD205">
        <f t="shared" si="46"/>
        <v>18.8446</v>
      </c>
      <c r="BE205">
        <f t="shared" si="47"/>
        <v>16.620145726800001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0.66299399999999997</v>
      </c>
      <c r="H206" s="22">
        <v>36.107799999999997</v>
      </c>
      <c r="I206" s="22">
        <v>-1.89514E-2</v>
      </c>
      <c r="J206" s="22">
        <v>196</v>
      </c>
      <c r="K206" s="22">
        <v>0.66229199999999999</v>
      </c>
      <c r="L206">
        <f t="shared" si="36"/>
        <v>18.9514</v>
      </c>
      <c r="M206">
        <f t="shared" si="37"/>
        <v>12.564664491599999</v>
      </c>
      <c r="N206" s="9"/>
      <c r="O206" s="22">
        <v>0.88699300000000003</v>
      </c>
      <c r="P206" s="22">
        <v>70.160899999999998</v>
      </c>
      <c r="Q206" s="22">
        <v>-1.8749999999999999E-2</v>
      </c>
      <c r="R206" s="22">
        <v>196</v>
      </c>
      <c r="S206" s="22">
        <v>0.88622999999999996</v>
      </c>
      <c r="T206">
        <f t="shared" si="38"/>
        <v>18.75</v>
      </c>
      <c r="U206">
        <f t="shared" si="39"/>
        <v>16.631118749999999</v>
      </c>
      <c r="X206" s="9"/>
      <c r="Y206" s="22">
        <v>0.66299399999999997</v>
      </c>
      <c r="Z206" s="22">
        <v>104.184</v>
      </c>
      <c r="AA206" s="22">
        <v>-1.91162E-2</v>
      </c>
      <c r="AB206" s="22">
        <v>196</v>
      </c>
      <c r="AC206" s="22">
        <v>0.662354</v>
      </c>
      <c r="AD206">
        <f t="shared" si="40"/>
        <v>19.116199999999999</v>
      </c>
      <c r="AE206">
        <f t="shared" si="41"/>
        <v>12.673925902799999</v>
      </c>
      <c r="AF206" s="9"/>
      <c r="AG206" s="22">
        <v>0.88699300000000003</v>
      </c>
      <c r="AH206" s="22">
        <v>138.19</v>
      </c>
      <c r="AI206" s="22">
        <v>-1.88538E-2</v>
      </c>
      <c r="AJ206" s="22">
        <v>196</v>
      </c>
      <c r="AK206" s="22">
        <v>0.88561999999999996</v>
      </c>
      <c r="AL206">
        <f t="shared" si="42"/>
        <v>18.8538</v>
      </c>
      <c r="AM206">
        <f t="shared" si="43"/>
        <v>16.723188623399999</v>
      </c>
      <c r="AP206" s="9"/>
      <c r="AQ206" s="22">
        <v>0.66299399999999997</v>
      </c>
      <c r="AR206" s="22">
        <v>172.249</v>
      </c>
      <c r="AS206" s="22">
        <v>-1.9119299999999999E-2</v>
      </c>
      <c r="AT206" s="22">
        <v>196</v>
      </c>
      <c r="AU206" s="22">
        <v>0.66210899999999995</v>
      </c>
      <c r="AV206">
        <f t="shared" si="44"/>
        <v>19.119299999999999</v>
      </c>
      <c r="AW206">
        <f t="shared" si="45"/>
        <v>12.675981184199999</v>
      </c>
      <c r="AX206" s="9"/>
      <c r="AY206" s="22">
        <v>0.88699300000000003</v>
      </c>
      <c r="AZ206" s="22">
        <v>206.27500000000001</v>
      </c>
      <c r="BA206" s="22">
        <v>-1.8838500000000001E-2</v>
      </c>
      <c r="BB206" s="22">
        <v>196</v>
      </c>
      <c r="BC206" s="22">
        <v>0.88592499999999996</v>
      </c>
      <c r="BD206">
        <f t="shared" si="46"/>
        <v>18.8385</v>
      </c>
      <c r="BE206">
        <f t="shared" si="47"/>
        <v>16.709617630500002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0.65795899999999996</v>
      </c>
      <c r="H207" s="22">
        <v>36.117800000000003</v>
      </c>
      <c r="I207" s="22">
        <v>-1.8960600000000001E-2</v>
      </c>
      <c r="J207" s="22">
        <v>197</v>
      </c>
      <c r="K207" s="22">
        <v>0.657196</v>
      </c>
      <c r="L207">
        <f t="shared" si="36"/>
        <v>18.960599999999999</v>
      </c>
      <c r="M207">
        <f t="shared" si="37"/>
        <v>12.475297415399998</v>
      </c>
      <c r="N207" s="9"/>
      <c r="O207" s="22">
        <v>0.89202899999999996</v>
      </c>
      <c r="P207" s="22">
        <v>70.171000000000006</v>
      </c>
      <c r="Q207" s="22">
        <v>-1.8743900000000001E-2</v>
      </c>
      <c r="R207" s="22">
        <v>197</v>
      </c>
      <c r="S207" s="22">
        <v>0.89111300000000004</v>
      </c>
      <c r="T207">
        <f t="shared" si="38"/>
        <v>18.7439</v>
      </c>
      <c r="U207">
        <f t="shared" si="39"/>
        <v>16.720102373099998</v>
      </c>
      <c r="X207" s="9"/>
      <c r="Y207" s="22">
        <v>0.65795899999999996</v>
      </c>
      <c r="Z207" s="22">
        <v>104.194</v>
      </c>
      <c r="AA207" s="22">
        <v>-1.9125400000000001E-2</v>
      </c>
      <c r="AB207" s="22">
        <v>197</v>
      </c>
      <c r="AC207" s="22">
        <v>0.65747100000000003</v>
      </c>
      <c r="AD207">
        <f t="shared" si="40"/>
        <v>19.125399999999999</v>
      </c>
      <c r="AE207">
        <f t="shared" si="41"/>
        <v>12.583729058599999</v>
      </c>
      <c r="AF207" s="9"/>
      <c r="AG207" s="22">
        <v>0.89202899999999996</v>
      </c>
      <c r="AH207" s="22">
        <v>138.19999999999999</v>
      </c>
      <c r="AI207" s="22">
        <v>-1.8847699999999998E-2</v>
      </c>
      <c r="AJ207" s="22">
        <v>197</v>
      </c>
      <c r="AK207" s="22">
        <v>0.89172399999999996</v>
      </c>
      <c r="AL207">
        <f t="shared" si="42"/>
        <v>18.8477</v>
      </c>
      <c r="AM207">
        <f t="shared" si="43"/>
        <v>16.812694983299998</v>
      </c>
      <c r="AP207" s="9"/>
      <c r="AQ207" s="22">
        <v>0.65795899999999996</v>
      </c>
      <c r="AR207" s="22">
        <v>172.25899999999999</v>
      </c>
      <c r="AS207" s="22">
        <v>-1.9125400000000001E-2</v>
      </c>
      <c r="AT207" s="22">
        <v>197</v>
      </c>
      <c r="AU207" s="22">
        <v>0.65713500000000002</v>
      </c>
      <c r="AV207">
        <f t="shared" si="44"/>
        <v>19.125399999999999</v>
      </c>
      <c r="AW207">
        <f t="shared" si="45"/>
        <v>12.583729058599999</v>
      </c>
      <c r="AX207" s="9"/>
      <c r="AY207" s="22">
        <v>0.89202899999999996</v>
      </c>
      <c r="AZ207" s="22">
        <v>206.285</v>
      </c>
      <c r="BA207" s="22">
        <v>-1.8832399999999999E-2</v>
      </c>
      <c r="BB207" s="22">
        <v>197</v>
      </c>
      <c r="BC207" s="22">
        <v>0.89141800000000004</v>
      </c>
      <c r="BD207">
        <f t="shared" si="46"/>
        <v>18.8324</v>
      </c>
      <c r="BE207">
        <f t="shared" si="47"/>
        <v>16.7990469396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0.65292399999999995</v>
      </c>
      <c r="H208" s="22">
        <v>36.127899999999997</v>
      </c>
      <c r="I208" s="22">
        <v>-1.8963600000000001E-2</v>
      </c>
      <c r="J208" s="22">
        <v>198</v>
      </c>
      <c r="K208" s="22">
        <v>0.65210000000000001</v>
      </c>
      <c r="L208">
        <f t="shared" si="36"/>
        <v>18.9636</v>
      </c>
      <c r="M208">
        <f t="shared" si="37"/>
        <v>12.381789566399998</v>
      </c>
      <c r="N208" s="9"/>
      <c r="O208" s="22">
        <v>0.89706399999999997</v>
      </c>
      <c r="P208" s="22">
        <v>70.181100000000001</v>
      </c>
      <c r="Q208" s="22">
        <v>-1.8737799999999999E-2</v>
      </c>
      <c r="R208" s="22">
        <v>198</v>
      </c>
      <c r="S208" s="22">
        <v>0.89538600000000002</v>
      </c>
      <c r="T208">
        <f t="shared" si="38"/>
        <v>18.7378</v>
      </c>
      <c r="U208">
        <f t="shared" si="39"/>
        <v>16.809005819199999</v>
      </c>
      <c r="X208" s="9"/>
      <c r="Y208" s="22">
        <v>0.65292399999999995</v>
      </c>
      <c r="Z208" s="22">
        <v>104.20399999999999</v>
      </c>
      <c r="AA208" s="22">
        <v>-1.9131499999999999E-2</v>
      </c>
      <c r="AB208" s="22">
        <v>198</v>
      </c>
      <c r="AC208" s="22">
        <v>0.65212999999999999</v>
      </c>
      <c r="AD208">
        <f t="shared" si="40"/>
        <v>19.131499999999999</v>
      </c>
      <c r="AE208">
        <f t="shared" si="41"/>
        <v>12.491415505999999</v>
      </c>
      <c r="AF208" s="9"/>
      <c r="AG208" s="22">
        <v>0.89706399999999997</v>
      </c>
      <c r="AH208" s="22">
        <v>138.21</v>
      </c>
      <c r="AI208" s="22">
        <v>-1.88446E-2</v>
      </c>
      <c r="AJ208" s="22">
        <v>198</v>
      </c>
      <c r="AK208" s="22">
        <v>0.89630100000000001</v>
      </c>
      <c r="AL208">
        <f t="shared" si="42"/>
        <v>18.8446</v>
      </c>
      <c r="AM208">
        <f t="shared" si="43"/>
        <v>16.904812254399999</v>
      </c>
      <c r="AP208" s="9"/>
      <c r="AQ208" s="22">
        <v>0.65292399999999995</v>
      </c>
      <c r="AR208" s="22">
        <v>172.26900000000001</v>
      </c>
      <c r="AS208" s="22">
        <v>-1.9131499999999999E-2</v>
      </c>
      <c r="AT208" s="22">
        <v>198</v>
      </c>
      <c r="AU208" s="22">
        <v>0.65222199999999997</v>
      </c>
      <c r="AV208">
        <f t="shared" si="44"/>
        <v>19.131499999999999</v>
      </c>
      <c r="AW208">
        <f t="shared" si="45"/>
        <v>12.491415505999999</v>
      </c>
      <c r="AX208" s="9"/>
      <c r="AY208" s="22">
        <v>0.89706399999999997</v>
      </c>
      <c r="AZ208" s="22">
        <v>206.29499999999999</v>
      </c>
      <c r="BA208" s="22">
        <v>-1.88293E-2</v>
      </c>
      <c r="BB208" s="22">
        <v>198</v>
      </c>
      <c r="BC208" s="22">
        <v>0.89569100000000001</v>
      </c>
      <c r="BD208">
        <f t="shared" si="46"/>
        <v>18.8293</v>
      </c>
      <c r="BE208">
        <f t="shared" si="47"/>
        <v>16.891087175199999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0.64788800000000002</v>
      </c>
      <c r="H209" s="22">
        <v>36.137999999999998</v>
      </c>
      <c r="I209" s="22">
        <v>-1.8969699999999999E-2</v>
      </c>
      <c r="J209" s="22">
        <v>199</v>
      </c>
      <c r="K209" s="22">
        <v>0.64718600000000004</v>
      </c>
      <c r="L209">
        <f t="shared" si="36"/>
        <v>18.9697</v>
      </c>
      <c r="M209">
        <f t="shared" si="37"/>
        <v>12.290240993599999</v>
      </c>
      <c r="N209" s="9"/>
      <c r="O209" s="22">
        <v>0.90210000000000001</v>
      </c>
      <c r="P209" s="22">
        <v>70.191100000000006</v>
      </c>
      <c r="Q209" s="22">
        <v>-1.87317E-2</v>
      </c>
      <c r="R209" s="22">
        <v>199</v>
      </c>
      <c r="S209" s="22">
        <v>0.90148899999999998</v>
      </c>
      <c r="T209">
        <f t="shared" si="38"/>
        <v>18.7317</v>
      </c>
      <c r="U209">
        <f t="shared" si="39"/>
        <v>16.897866570000001</v>
      </c>
      <c r="X209" s="9"/>
      <c r="Y209" s="22">
        <v>0.64788800000000002</v>
      </c>
      <c r="Z209" s="22">
        <v>104.214</v>
      </c>
      <c r="AA209" s="22">
        <v>-1.9137600000000001E-2</v>
      </c>
      <c r="AB209" s="22">
        <v>199</v>
      </c>
      <c r="AC209" s="22">
        <v>0.64712499999999995</v>
      </c>
      <c r="AD209">
        <f t="shared" si="40"/>
        <v>19.137600000000003</v>
      </c>
      <c r="AE209">
        <f t="shared" si="41"/>
        <v>12.399021388800001</v>
      </c>
      <c r="AF209" s="9"/>
      <c r="AG209" s="22">
        <v>0.90210000000000001</v>
      </c>
      <c r="AH209" s="22">
        <v>138.22</v>
      </c>
      <c r="AI209" s="22">
        <v>-1.8838500000000001E-2</v>
      </c>
      <c r="AJ209" s="22">
        <v>199</v>
      </c>
      <c r="AK209" s="22">
        <v>0.90057399999999999</v>
      </c>
      <c r="AL209">
        <f t="shared" si="42"/>
        <v>18.8385</v>
      </c>
      <c r="AM209">
        <f t="shared" si="43"/>
        <v>16.994210850000002</v>
      </c>
      <c r="AP209" s="9"/>
      <c r="AQ209" s="22">
        <v>0.64788800000000002</v>
      </c>
      <c r="AR209" s="22">
        <v>172.279</v>
      </c>
      <c r="AS209" s="22">
        <v>-1.9137600000000001E-2</v>
      </c>
      <c r="AT209" s="22">
        <v>199</v>
      </c>
      <c r="AU209" s="22">
        <v>0.647339</v>
      </c>
      <c r="AV209">
        <f t="shared" si="44"/>
        <v>19.137600000000003</v>
      </c>
      <c r="AW209">
        <f t="shared" si="45"/>
        <v>12.399021388800001</v>
      </c>
      <c r="AX209" s="9"/>
      <c r="AY209" s="22">
        <v>0.90210000000000001</v>
      </c>
      <c r="AZ209" s="22">
        <v>206.30500000000001</v>
      </c>
      <c r="BA209" s="22">
        <v>-1.8826300000000001E-2</v>
      </c>
      <c r="BB209" s="22">
        <v>199</v>
      </c>
      <c r="BC209" s="22">
        <v>0.90057399999999999</v>
      </c>
      <c r="BD209">
        <f t="shared" si="46"/>
        <v>18.8263</v>
      </c>
      <c r="BE209">
        <f t="shared" si="47"/>
        <v>16.983205229999999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0.64285300000000001</v>
      </c>
      <c r="H210" s="22">
        <v>36.148099999999999</v>
      </c>
      <c r="I210" s="22">
        <v>-1.8975800000000001E-2</v>
      </c>
      <c r="J210" s="22">
        <v>200</v>
      </c>
      <c r="K210" s="22">
        <v>0.64196799999999998</v>
      </c>
      <c r="L210">
        <f t="shared" si="36"/>
        <v>18.9758</v>
      </c>
      <c r="M210">
        <f t="shared" si="37"/>
        <v>12.198649957400001</v>
      </c>
      <c r="N210" s="9"/>
      <c r="O210" s="22">
        <v>0.90713500000000002</v>
      </c>
      <c r="P210" s="22">
        <v>70.2012</v>
      </c>
      <c r="Q210" s="22">
        <v>-1.8725599999999998E-2</v>
      </c>
      <c r="R210" s="22">
        <v>200</v>
      </c>
      <c r="S210" s="22">
        <v>0.90667699999999996</v>
      </c>
      <c r="T210">
        <f t="shared" si="38"/>
        <v>18.7256</v>
      </c>
      <c r="U210">
        <f t="shared" si="39"/>
        <v>16.986647156</v>
      </c>
      <c r="X210" s="9"/>
      <c r="Y210" s="22">
        <v>0.64285300000000001</v>
      </c>
      <c r="Z210" s="22">
        <v>104.224</v>
      </c>
      <c r="AA210" s="22">
        <v>-1.9137600000000001E-2</v>
      </c>
      <c r="AB210" s="22">
        <v>200</v>
      </c>
      <c r="AC210" s="22">
        <v>0.64215100000000003</v>
      </c>
      <c r="AD210">
        <f t="shared" si="40"/>
        <v>19.137600000000003</v>
      </c>
      <c r="AE210">
        <f t="shared" si="41"/>
        <v>12.302663572800002</v>
      </c>
      <c r="AF210" s="9"/>
      <c r="AG210" s="22">
        <v>0.90713500000000002</v>
      </c>
      <c r="AH210" s="22">
        <v>138.22999999999999</v>
      </c>
      <c r="AI210" s="22">
        <v>-1.8832399999999999E-2</v>
      </c>
      <c r="AJ210" s="22">
        <v>200</v>
      </c>
      <c r="AK210" s="22">
        <v>0.90637199999999996</v>
      </c>
      <c r="AL210">
        <f t="shared" si="42"/>
        <v>18.8324</v>
      </c>
      <c r="AM210">
        <f t="shared" si="43"/>
        <v>17.083529173999999</v>
      </c>
      <c r="AP210" s="9"/>
      <c r="AQ210" s="22">
        <v>0.64285300000000001</v>
      </c>
      <c r="AR210" s="22">
        <v>172.28899999999999</v>
      </c>
      <c r="AS210" s="22">
        <v>-1.91437E-2</v>
      </c>
      <c r="AT210" s="22">
        <v>200</v>
      </c>
      <c r="AU210" s="22">
        <v>0.64202899999999996</v>
      </c>
      <c r="AV210">
        <f t="shared" si="44"/>
        <v>19.143699999999999</v>
      </c>
      <c r="AW210">
        <f t="shared" si="45"/>
        <v>12.3065849761</v>
      </c>
      <c r="AX210" s="9"/>
      <c r="AY210" s="22">
        <v>0.90713500000000002</v>
      </c>
      <c r="AZ210" s="22">
        <v>206.315</v>
      </c>
      <c r="BA210" s="22">
        <v>-1.8820199999999999E-2</v>
      </c>
      <c r="BB210" s="22">
        <v>200</v>
      </c>
      <c r="BC210" s="22">
        <v>0.90606699999999996</v>
      </c>
      <c r="BD210">
        <f t="shared" si="46"/>
        <v>18.8202</v>
      </c>
      <c r="BE210">
        <f t="shared" si="47"/>
        <v>17.072462127000001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0.63781699999999997</v>
      </c>
      <c r="H211" s="22">
        <v>36.158099999999997</v>
      </c>
      <c r="I211" s="22">
        <v>-1.89789E-2</v>
      </c>
      <c r="J211" s="22">
        <v>201</v>
      </c>
      <c r="K211" s="22">
        <v>0.63714599999999999</v>
      </c>
      <c r="L211">
        <f t="shared" si="36"/>
        <v>18.978899999999999</v>
      </c>
      <c r="M211">
        <f t="shared" si="37"/>
        <v>12.105065061299999</v>
      </c>
      <c r="N211" s="9"/>
      <c r="O211" s="22">
        <v>0.91217000000000004</v>
      </c>
      <c r="P211" s="22">
        <v>70.211299999999994</v>
      </c>
      <c r="Q211" s="22">
        <v>-1.8725599999999998E-2</v>
      </c>
      <c r="R211" s="22">
        <v>201</v>
      </c>
      <c r="S211" s="22">
        <v>0.91095000000000004</v>
      </c>
      <c r="T211">
        <f t="shared" si="38"/>
        <v>18.7256</v>
      </c>
      <c r="U211">
        <f t="shared" si="39"/>
        <v>17.080930552000002</v>
      </c>
      <c r="X211" s="9"/>
      <c r="Y211" s="22">
        <v>0.63781699999999997</v>
      </c>
      <c r="Z211" s="22">
        <v>104.23399999999999</v>
      </c>
      <c r="AA211" s="22">
        <v>-1.91437E-2</v>
      </c>
      <c r="AB211" s="22">
        <v>201</v>
      </c>
      <c r="AC211" s="22">
        <v>0.63705400000000001</v>
      </c>
      <c r="AD211">
        <f t="shared" si="40"/>
        <v>19.143699999999999</v>
      </c>
      <c r="AE211">
        <f t="shared" si="41"/>
        <v>12.210177302899998</v>
      </c>
      <c r="AF211" s="9"/>
      <c r="AG211" s="22">
        <v>0.91217000000000004</v>
      </c>
      <c r="AH211" s="22">
        <v>138.24100000000001</v>
      </c>
      <c r="AI211" s="22">
        <v>-1.8826300000000001E-2</v>
      </c>
      <c r="AJ211" s="22">
        <v>201</v>
      </c>
      <c r="AK211" s="22">
        <v>0.91125500000000004</v>
      </c>
      <c r="AL211">
        <f t="shared" si="42"/>
        <v>18.8263</v>
      </c>
      <c r="AM211">
        <f t="shared" si="43"/>
        <v>17.172786071000001</v>
      </c>
      <c r="AP211" s="9"/>
      <c r="AQ211" s="22">
        <v>0.63781699999999997</v>
      </c>
      <c r="AR211" s="22">
        <v>172.29900000000001</v>
      </c>
      <c r="AS211" s="22">
        <v>-1.9146699999999999E-2</v>
      </c>
      <c r="AT211" s="22">
        <v>201</v>
      </c>
      <c r="AU211" s="22">
        <v>0.63708500000000001</v>
      </c>
      <c r="AV211">
        <f t="shared" si="44"/>
        <v>19.146699999999999</v>
      </c>
      <c r="AW211">
        <f t="shared" si="45"/>
        <v>12.212090753899998</v>
      </c>
      <c r="AX211" s="9"/>
      <c r="AY211" s="22">
        <v>0.91217000000000004</v>
      </c>
      <c r="AZ211" s="22">
        <v>206.32499999999999</v>
      </c>
      <c r="BA211" s="22">
        <v>-1.88141E-2</v>
      </c>
      <c r="BB211" s="22">
        <v>201</v>
      </c>
      <c r="BC211" s="22">
        <v>0.91156000000000004</v>
      </c>
      <c r="BD211">
        <f t="shared" si="46"/>
        <v>18.8141</v>
      </c>
      <c r="BE211">
        <f t="shared" si="47"/>
        <v>17.161657597000001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0.63278199999999996</v>
      </c>
      <c r="H212" s="22">
        <v>36.168199999999999</v>
      </c>
      <c r="I212" s="22">
        <v>-1.8988000000000001E-2</v>
      </c>
      <c r="J212" s="22">
        <v>202</v>
      </c>
      <c r="K212" s="22">
        <v>0.63205</v>
      </c>
      <c r="L212">
        <f t="shared" si="36"/>
        <v>18.988000000000003</v>
      </c>
      <c r="M212">
        <f t="shared" si="37"/>
        <v>12.015264616000001</v>
      </c>
      <c r="N212" s="9"/>
      <c r="O212" s="22">
        <v>0.91720599999999997</v>
      </c>
      <c r="P212" s="22">
        <v>70.221299999999999</v>
      </c>
      <c r="Q212" s="22">
        <v>-1.87195E-2</v>
      </c>
      <c r="R212" s="22">
        <v>202</v>
      </c>
      <c r="S212" s="22">
        <v>0.91613800000000001</v>
      </c>
      <c r="T212">
        <f t="shared" si="38"/>
        <v>18.7195</v>
      </c>
      <c r="U212">
        <f t="shared" si="39"/>
        <v>17.169637717000001</v>
      </c>
      <c r="X212" s="9"/>
      <c r="Y212" s="22">
        <v>0.63278199999999996</v>
      </c>
      <c r="Z212" s="22">
        <v>104.244</v>
      </c>
      <c r="AA212" s="22">
        <v>-1.9152800000000001E-2</v>
      </c>
      <c r="AB212" s="22">
        <v>202</v>
      </c>
      <c r="AC212" s="22">
        <v>0.632019</v>
      </c>
      <c r="AD212">
        <f t="shared" si="40"/>
        <v>19.152800000000003</v>
      </c>
      <c r="AE212">
        <f t="shared" si="41"/>
        <v>12.119547089600001</v>
      </c>
      <c r="AF212" s="9"/>
      <c r="AG212" s="22">
        <v>0.91720599999999997</v>
      </c>
      <c r="AH212" s="22">
        <v>138.251</v>
      </c>
      <c r="AI212" s="22">
        <v>-1.8823199999999998E-2</v>
      </c>
      <c r="AJ212" s="22">
        <v>202</v>
      </c>
      <c r="AK212" s="22">
        <v>0.91644300000000001</v>
      </c>
      <c r="AL212">
        <f t="shared" si="42"/>
        <v>18.8232</v>
      </c>
      <c r="AM212">
        <f t="shared" si="43"/>
        <v>17.2647519792</v>
      </c>
      <c r="AP212" s="9"/>
      <c r="AQ212" s="22">
        <v>0.63278199999999996</v>
      </c>
      <c r="AR212" s="22">
        <v>172.309</v>
      </c>
      <c r="AS212" s="22">
        <v>-1.9149800000000002E-2</v>
      </c>
      <c r="AT212" s="22">
        <v>202</v>
      </c>
      <c r="AU212" s="22">
        <v>0.63198900000000002</v>
      </c>
      <c r="AV212">
        <f t="shared" si="44"/>
        <v>19.149800000000003</v>
      </c>
      <c r="AW212">
        <f t="shared" si="45"/>
        <v>12.1176487436</v>
      </c>
      <c r="AX212" s="9"/>
      <c r="AY212" s="22">
        <v>0.91720599999999997</v>
      </c>
      <c r="AZ212" s="22">
        <v>206.33500000000001</v>
      </c>
      <c r="BA212" s="22">
        <v>-1.8811000000000001E-2</v>
      </c>
      <c r="BB212" s="22">
        <v>202</v>
      </c>
      <c r="BC212" s="22">
        <v>0.91613800000000001</v>
      </c>
      <c r="BD212">
        <f t="shared" si="46"/>
        <v>18.811</v>
      </c>
      <c r="BE212">
        <f t="shared" si="47"/>
        <v>17.253562066000001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0.62774700000000005</v>
      </c>
      <c r="H213" s="22">
        <v>36.1783</v>
      </c>
      <c r="I213" s="22">
        <v>-1.89941E-2</v>
      </c>
      <c r="J213" s="22">
        <v>203</v>
      </c>
      <c r="K213" s="22">
        <v>0.62704499999999996</v>
      </c>
      <c r="L213">
        <f t="shared" si="36"/>
        <v>18.9941</v>
      </c>
      <c r="M213">
        <f t="shared" si="37"/>
        <v>11.923489292700001</v>
      </c>
      <c r="N213" s="9"/>
      <c r="O213" s="22">
        <v>0.92224099999999998</v>
      </c>
      <c r="P213" s="22">
        <v>70.231399999999994</v>
      </c>
      <c r="Q213" s="22">
        <v>-1.8713400000000002E-2</v>
      </c>
      <c r="R213" s="22">
        <v>203</v>
      </c>
      <c r="S213" s="22">
        <v>0.92132599999999998</v>
      </c>
      <c r="T213">
        <f t="shared" si="38"/>
        <v>18.7134</v>
      </c>
      <c r="U213">
        <f t="shared" si="39"/>
        <v>17.2582647294</v>
      </c>
      <c r="X213" s="9"/>
      <c r="Y213" s="22">
        <v>0.62774700000000005</v>
      </c>
      <c r="Z213" s="22">
        <v>104.255</v>
      </c>
      <c r="AA213" s="22">
        <v>-1.91589E-2</v>
      </c>
      <c r="AB213" s="22">
        <v>203</v>
      </c>
      <c r="AC213" s="22">
        <v>0.62701399999999996</v>
      </c>
      <c r="AD213">
        <f t="shared" si="40"/>
        <v>19.158899999999999</v>
      </c>
      <c r="AE213">
        <f t="shared" si="41"/>
        <v>12.0269419983</v>
      </c>
      <c r="AF213" s="9"/>
      <c r="AG213" s="22">
        <v>0.92224099999999998</v>
      </c>
      <c r="AH213" s="22">
        <v>138.261</v>
      </c>
      <c r="AI213" s="22">
        <v>-1.8820199999999999E-2</v>
      </c>
      <c r="AJ213" s="22">
        <v>203</v>
      </c>
      <c r="AK213" s="22">
        <v>0.92102099999999998</v>
      </c>
      <c r="AL213">
        <f t="shared" si="42"/>
        <v>18.8202</v>
      </c>
      <c r="AM213">
        <f t="shared" si="43"/>
        <v>17.3567600682</v>
      </c>
      <c r="AP213" s="9"/>
      <c r="AQ213" s="22">
        <v>0.62774700000000005</v>
      </c>
      <c r="AR213" s="22">
        <v>172.31899999999999</v>
      </c>
      <c r="AS213" s="22">
        <v>-1.91559E-2</v>
      </c>
      <c r="AT213" s="22">
        <v>203</v>
      </c>
      <c r="AU213" s="22">
        <v>0.62701399999999996</v>
      </c>
      <c r="AV213">
        <f t="shared" si="44"/>
        <v>19.155899999999999</v>
      </c>
      <c r="AW213">
        <f t="shared" si="45"/>
        <v>12.0250587573</v>
      </c>
      <c r="AX213" s="9"/>
      <c r="AY213" s="22">
        <v>0.92224099999999998</v>
      </c>
      <c r="AZ213" s="22">
        <v>206.345</v>
      </c>
      <c r="BA213" s="22">
        <v>-1.8804899999999999E-2</v>
      </c>
      <c r="BB213" s="22">
        <v>203</v>
      </c>
      <c r="BC213" s="22">
        <v>0.92132599999999998</v>
      </c>
      <c r="BD213">
        <f t="shared" si="46"/>
        <v>18.8049</v>
      </c>
      <c r="BE213">
        <f t="shared" si="47"/>
        <v>17.3426497809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0.62271100000000001</v>
      </c>
      <c r="H214" s="22">
        <v>36.188299999999998</v>
      </c>
      <c r="I214" s="22">
        <v>-1.9003300000000001E-2</v>
      </c>
      <c r="J214" s="22">
        <v>204</v>
      </c>
      <c r="K214" s="22">
        <v>0.62213099999999999</v>
      </c>
      <c r="L214">
        <f t="shared" si="36"/>
        <v>19.003299999999999</v>
      </c>
      <c r="M214">
        <f t="shared" si="37"/>
        <v>11.8335639463</v>
      </c>
      <c r="N214" s="9"/>
      <c r="O214" s="22">
        <v>0.92727700000000002</v>
      </c>
      <c r="P214" s="22">
        <v>70.241500000000002</v>
      </c>
      <c r="Q214" s="22">
        <v>-1.87073E-2</v>
      </c>
      <c r="R214" s="22">
        <v>204</v>
      </c>
      <c r="S214" s="22">
        <v>0.92681899999999995</v>
      </c>
      <c r="T214">
        <f t="shared" si="38"/>
        <v>18.7073</v>
      </c>
      <c r="U214">
        <f t="shared" si="39"/>
        <v>17.346849022099999</v>
      </c>
      <c r="X214" s="9"/>
      <c r="Y214" s="22">
        <v>0.62271100000000001</v>
      </c>
      <c r="Z214" s="22">
        <v>104.265</v>
      </c>
      <c r="AA214" s="22">
        <v>-1.91681E-2</v>
      </c>
      <c r="AB214" s="22">
        <v>204</v>
      </c>
      <c r="AC214" s="22">
        <v>0.62191799999999997</v>
      </c>
      <c r="AD214">
        <f t="shared" si="40"/>
        <v>19.168099999999999</v>
      </c>
      <c r="AE214">
        <f t="shared" si="41"/>
        <v>11.9361867191</v>
      </c>
      <c r="AF214" s="9"/>
      <c r="AG214" s="22">
        <v>0.92727700000000002</v>
      </c>
      <c r="AH214" s="22">
        <v>138.27099999999999</v>
      </c>
      <c r="AI214" s="22">
        <v>-1.88141E-2</v>
      </c>
      <c r="AJ214" s="22">
        <v>204</v>
      </c>
      <c r="AK214" s="22">
        <v>0.92681899999999995</v>
      </c>
      <c r="AL214">
        <f t="shared" si="42"/>
        <v>18.8141</v>
      </c>
      <c r="AM214">
        <f t="shared" si="43"/>
        <v>17.445882205699998</v>
      </c>
      <c r="AP214" s="9"/>
      <c r="AQ214" s="22">
        <v>0.62271100000000001</v>
      </c>
      <c r="AR214" s="22">
        <v>172.32900000000001</v>
      </c>
      <c r="AS214" s="22">
        <v>-1.9165000000000001E-2</v>
      </c>
      <c r="AT214" s="22">
        <v>204</v>
      </c>
      <c r="AU214" s="22">
        <v>0.62213099999999999</v>
      </c>
      <c r="AV214">
        <f t="shared" si="44"/>
        <v>19.165000000000003</v>
      </c>
      <c r="AW214">
        <f t="shared" si="45"/>
        <v>11.934256315000003</v>
      </c>
      <c r="AX214" s="9"/>
      <c r="AY214" s="22">
        <v>0.92727700000000002</v>
      </c>
      <c r="AZ214" s="22">
        <v>206.35599999999999</v>
      </c>
      <c r="BA214" s="22">
        <v>-1.88019E-2</v>
      </c>
      <c r="BB214" s="22">
        <v>204</v>
      </c>
      <c r="BC214" s="22">
        <v>0.92651399999999995</v>
      </c>
      <c r="BD214">
        <f t="shared" si="46"/>
        <v>18.8019</v>
      </c>
      <c r="BE214">
        <f t="shared" si="47"/>
        <v>17.434569426300001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0.617676</v>
      </c>
      <c r="H215" s="22">
        <v>36.198399999999999</v>
      </c>
      <c r="I215" s="22">
        <v>-1.9012500000000002E-2</v>
      </c>
      <c r="J215" s="22">
        <v>205</v>
      </c>
      <c r="K215" s="22">
        <v>0.61706499999999997</v>
      </c>
      <c r="L215">
        <f t="shared" si="36"/>
        <v>19.012500000000003</v>
      </c>
      <c r="M215">
        <f t="shared" si="37"/>
        <v>11.743564950000001</v>
      </c>
      <c r="N215" s="9"/>
      <c r="O215" s="22">
        <v>0.93231200000000003</v>
      </c>
      <c r="P215" s="22">
        <v>70.251599999999996</v>
      </c>
      <c r="Q215" s="22">
        <v>-1.8704200000000001E-2</v>
      </c>
      <c r="R215" s="22">
        <v>205</v>
      </c>
      <c r="S215" s="22">
        <v>0.931396</v>
      </c>
      <c r="T215">
        <f t="shared" si="38"/>
        <v>18.7042</v>
      </c>
      <c r="U215">
        <f t="shared" si="39"/>
        <v>17.438150110400002</v>
      </c>
      <c r="X215" s="9"/>
      <c r="Y215" s="22">
        <v>0.617676</v>
      </c>
      <c r="Z215" s="22">
        <v>104.27500000000001</v>
      </c>
      <c r="AA215" s="22">
        <v>-1.9174199999999999E-2</v>
      </c>
      <c r="AB215" s="22">
        <v>205</v>
      </c>
      <c r="AC215" s="22">
        <v>0.61691300000000004</v>
      </c>
      <c r="AD215">
        <f t="shared" si="40"/>
        <v>19.174199999999999</v>
      </c>
      <c r="AE215">
        <f t="shared" si="41"/>
        <v>11.8434431592</v>
      </c>
      <c r="AF215" s="9"/>
      <c r="AG215" s="22">
        <v>0.93231200000000003</v>
      </c>
      <c r="AH215" s="22">
        <v>138.28100000000001</v>
      </c>
      <c r="AI215" s="22">
        <v>-1.8811000000000001E-2</v>
      </c>
      <c r="AJ215" s="22">
        <v>205</v>
      </c>
      <c r="AK215" s="22">
        <v>0.93170200000000003</v>
      </c>
      <c r="AL215">
        <f t="shared" si="42"/>
        <v>18.811</v>
      </c>
      <c r="AM215">
        <f t="shared" si="43"/>
        <v>17.537721032</v>
      </c>
      <c r="AP215" s="9"/>
      <c r="AQ215" s="22">
        <v>0.617676</v>
      </c>
      <c r="AR215" s="22">
        <v>172.339</v>
      </c>
      <c r="AS215" s="22">
        <v>-1.91681E-2</v>
      </c>
      <c r="AT215" s="22">
        <v>205</v>
      </c>
      <c r="AU215" s="22">
        <v>0.61685199999999996</v>
      </c>
      <c r="AV215">
        <f t="shared" si="44"/>
        <v>19.168099999999999</v>
      </c>
      <c r="AW215">
        <f t="shared" si="45"/>
        <v>11.839675335599999</v>
      </c>
      <c r="AX215" s="9"/>
      <c r="AY215" s="22">
        <v>0.93231200000000003</v>
      </c>
      <c r="AZ215" s="22">
        <v>206.36600000000001</v>
      </c>
      <c r="BA215" s="22">
        <v>-1.8798800000000001E-2</v>
      </c>
      <c r="BB215" s="22">
        <v>205</v>
      </c>
      <c r="BC215" s="22">
        <v>0.931091</v>
      </c>
      <c r="BD215">
        <f t="shared" si="46"/>
        <v>18.7988</v>
      </c>
      <c r="BE215">
        <f t="shared" si="47"/>
        <v>17.526346825600001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0.61263999999999996</v>
      </c>
      <c r="H216" s="22">
        <v>36.208500000000001</v>
      </c>
      <c r="I216" s="22">
        <v>-1.90186E-2</v>
      </c>
      <c r="J216" s="22">
        <v>206</v>
      </c>
      <c r="K216" s="22">
        <v>0.61181600000000003</v>
      </c>
      <c r="L216">
        <f t="shared" si="36"/>
        <v>19.018599999999999</v>
      </c>
      <c r="M216">
        <f t="shared" si="37"/>
        <v>11.651555103999998</v>
      </c>
      <c r="N216" s="9"/>
      <c r="O216" s="22">
        <v>0.93734700000000004</v>
      </c>
      <c r="P216" s="22">
        <v>70.261600000000001</v>
      </c>
      <c r="Q216" s="22">
        <v>-1.8698099999999999E-2</v>
      </c>
      <c r="R216" s="22">
        <v>206</v>
      </c>
      <c r="S216" s="22">
        <v>0.93658399999999997</v>
      </c>
      <c r="T216">
        <f t="shared" si="38"/>
        <v>18.6981</v>
      </c>
      <c r="U216">
        <f t="shared" si="39"/>
        <v>17.5266079407</v>
      </c>
      <c r="X216" s="9"/>
      <c r="Y216" s="22">
        <v>0.61263999999999996</v>
      </c>
      <c r="Z216" s="22">
        <v>104.285</v>
      </c>
      <c r="AA216" s="22">
        <v>-1.9177199999999998E-2</v>
      </c>
      <c r="AB216" s="22">
        <v>206</v>
      </c>
      <c r="AC216" s="22">
        <v>0.61154200000000003</v>
      </c>
      <c r="AD216">
        <f t="shared" si="40"/>
        <v>19.177199999999999</v>
      </c>
      <c r="AE216">
        <f t="shared" si="41"/>
        <v>11.748719807999999</v>
      </c>
      <c r="AF216" s="9"/>
      <c r="AG216" s="22">
        <v>0.93734700000000004</v>
      </c>
      <c r="AH216" s="22">
        <v>138.291</v>
      </c>
      <c r="AI216" s="22">
        <v>-1.8804899999999999E-2</v>
      </c>
      <c r="AJ216" s="22">
        <v>206</v>
      </c>
      <c r="AK216" s="22">
        <v>0.93627899999999997</v>
      </c>
      <c r="AL216">
        <f t="shared" si="42"/>
        <v>18.8049</v>
      </c>
      <c r="AM216">
        <f t="shared" si="43"/>
        <v>17.6267166003</v>
      </c>
      <c r="AP216" s="9"/>
      <c r="AQ216" s="22">
        <v>0.61263999999999996</v>
      </c>
      <c r="AR216" s="22">
        <v>172.35</v>
      </c>
      <c r="AS216" s="22">
        <v>-1.91711E-2</v>
      </c>
      <c r="AT216" s="22">
        <v>206</v>
      </c>
      <c r="AU216" s="22">
        <v>0.61184700000000003</v>
      </c>
      <c r="AV216">
        <f t="shared" si="44"/>
        <v>19.171099999999999</v>
      </c>
      <c r="AW216">
        <f t="shared" si="45"/>
        <v>11.744982703999998</v>
      </c>
      <c r="AX216" s="9"/>
      <c r="AY216" s="22">
        <v>0.93734700000000004</v>
      </c>
      <c r="AZ216" s="22">
        <v>206.376</v>
      </c>
      <c r="BA216" s="22">
        <v>-1.8792699999999999E-2</v>
      </c>
      <c r="BB216" s="22">
        <v>206</v>
      </c>
      <c r="BC216" s="22">
        <v>0.93658399999999997</v>
      </c>
      <c r="BD216">
        <f t="shared" si="46"/>
        <v>18.7927</v>
      </c>
      <c r="BE216">
        <f t="shared" si="47"/>
        <v>17.615280966900002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0.60760499999999995</v>
      </c>
      <c r="H217" s="22">
        <v>36.218600000000002</v>
      </c>
      <c r="I217" s="22">
        <v>-1.9024699999999999E-2</v>
      </c>
      <c r="J217" s="22">
        <v>207</v>
      </c>
      <c r="K217" s="22">
        <v>0.60681200000000002</v>
      </c>
      <c r="L217">
        <f t="shared" si="36"/>
        <v>19.024699999999999</v>
      </c>
      <c r="M217">
        <f t="shared" si="37"/>
        <v>11.559502843499999</v>
      </c>
      <c r="N217" s="9"/>
      <c r="O217" s="22">
        <v>0.94238299999999997</v>
      </c>
      <c r="P217" s="22">
        <v>70.271699999999996</v>
      </c>
      <c r="Q217" s="22">
        <v>-1.8695099999999999E-2</v>
      </c>
      <c r="R217" s="22">
        <v>207</v>
      </c>
      <c r="S217" s="22">
        <v>0.94207799999999997</v>
      </c>
      <c r="T217">
        <f t="shared" si="38"/>
        <v>18.6951</v>
      </c>
      <c r="U217">
        <f t="shared" si="39"/>
        <v>17.617944423299999</v>
      </c>
      <c r="X217" s="9"/>
      <c r="Y217" s="22">
        <v>0.60760499999999995</v>
      </c>
      <c r="Z217" s="22">
        <v>104.295</v>
      </c>
      <c r="AA217" s="22">
        <v>-1.9180300000000001E-2</v>
      </c>
      <c r="AB217" s="22">
        <v>207</v>
      </c>
      <c r="AC217" s="22">
        <v>0.60668900000000003</v>
      </c>
      <c r="AD217">
        <f t="shared" si="40"/>
        <v>19.180300000000003</v>
      </c>
      <c r="AE217">
        <f t="shared" si="41"/>
        <v>11.6540461815</v>
      </c>
      <c r="AF217" s="9"/>
      <c r="AG217" s="22">
        <v>0.94238299999999997</v>
      </c>
      <c r="AH217" s="22">
        <v>138.30099999999999</v>
      </c>
      <c r="AI217" s="22">
        <v>-1.8795800000000001E-2</v>
      </c>
      <c r="AJ217" s="22">
        <v>207</v>
      </c>
      <c r="AK217" s="22">
        <v>0.94116200000000005</v>
      </c>
      <c r="AL217">
        <f t="shared" si="42"/>
        <v>18.7958</v>
      </c>
      <c r="AM217">
        <f t="shared" si="43"/>
        <v>17.712842391399999</v>
      </c>
      <c r="AP217" s="9"/>
      <c r="AQ217" s="22">
        <v>0.60760499999999995</v>
      </c>
      <c r="AR217" s="22">
        <v>172.36</v>
      </c>
      <c r="AS217" s="22">
        <v>-1.9177199999999998E-2</v>
      </c>
      <c r="AT217" s="22">
        <v>207</v>
      </c>
      <c r="AU217" s="22">
        <v>0.60675000000000001</v>
      </c>
      <c r="AV217">
        <f t="shared" si="44"/>
        <v>19.177199999999999</v>
      </c>
      <c r="AW217">
        <f t="shared" si="45"/>
        <v>11.652162605999999</v>
      </c>
      <c r="AX217" s="9"/>
      <c r="AY217" s="22">
        <v>0.94238299999999997</v>
      </c>
      <c r="AZ217" s="22">
        <v>206.386</v>
      </c>
      <c r="BA217" s="22">
        <v>-1.8783600000000001E-2</v>
      </c>
      <c r="BB217" s="22">
        <v>207</v>
      </c>
      <c r="BC217" s="22">
        <v>0.94207799999999997</v>
      </c>
      <c r="BD217">
        <f t="shared" si="46"/>
        <v>18.7836</v>
      </c>
      <c r="BE217">
        <f t="shared" si="47"/>
        <v>17.701345318799998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0.60257000000000005</v>
      </c>
      <c r="H218" s="22">
        <v>36.2286</v>
      </c>
      <c r="I218" s="22">
        <v>-1.90308E-2</v>
      </c>
      <c r="J218" s="22">
        <v>208</v>
      </c>
      <c r="K218" s="22">
        <v>0.60153199999999996</v>
      </c>
      <c r="L218">
        <f t="shared" si="36"/>
        <v>19.030799999999999</v>
      </c>
      <c r="M218">
        <f t="shared" si="37"/>
        <v>11.467389156000001</v>
      </c>
      <c r="N218" s="9"/>
      <c r="O218" s="22">
        <v>0.94741799999999998</v>
      </c>
      <c r="P218" s="22">
        <v>70.281800000000004</v>
      </c>
      <c r="Q218" s="22">
        <v>-1.8689000000000001E-2</v>
      </c>
      <c r="R218" s="22">
        <v>208</v>
      </c>
      <c r="S218" s="22">
        <v>0.94635000000000002</v>
      </c>
      <c r="T218">
        <f t="shared" si="38"/>
        <v>18.689</v>
      </c>
      <c r="U218">
        <f t="shared" si="39"/>
        <v>17.706295002000001</v>
      </c>
      <c r="X218" s="9"/>
      <c r="Y218" s="22">
        <v>0.60257000000000005</v>
      </c>
      <c r="Z218" s="22">
        <v>104.30500000000001</v>
      </c>
      <c r="AA218" s="22">
        <v>-1.91833E-2</v>
      </c>
      <c r="AB218" s="22">
        <v>208</v>
      </c>
      <c r="AC218" s="22">
        <v>0.60165400000000002</v>
      </c>
      <c r="AD218">
        <f t="shared" si="40"/>
        <v>19.183299999999999</v>
      </c>
      <c r="AE218">
        <f t="shared" si="41"/>
        <v>11.559281081</v>
      </c>
      <c r="AF218" s="9"/>
      <c r="AG218" s="22">
        <v>0.94741799999999998</v>
      </c>
      <c r="AH218" s="22">
        <v>138.31100000000001</v>
      </c>
      <c r="AI218" s="22">
        <v>-1.8786600000000001E-2</v>
      </c>
      <c r="AJ218" s="22">
        <v>208</v>
      </c>
      <c r="AK218" s="22">
        <v>0.94635000000000002</v>
      </c>
      <c r="AL218">
        <f t="shared" si="42"/>
        <v>18.7866</v>
      </c>
      <c r="AM218">
        <f t="shared" si="43"/>
        <v>17.798762998800001</v>
      </c>
      <c r="AP218" s="9"/>
      <c r="AQ218" s="22">
        <v>0.60257000000000005</v>
      </c>
      <c r="AR218" s="22">
        <v>172.37</v>
      </c>
      <c r="AS218" s="22">
        <v>-1.9180300000000001E-2</v>
      </c>
      <c r="AT218" s="22">
        <v>208</v>
      </c>
      <c r="AU218" s="22">
        <v>0.60183699999999996</v>
      </c>
      <c r="AV218">
        <f t="shared" si="44"/>
        <v>19.180300000000003</v>
      </c>
      <c r="AW218">
        <f t="shared" si="45"/>
        <v>11.557473371000002</v>
      </c>
      <c r="AX218" s="9"/>
      <c r="AY218" s="22">
        <v>0.94741799999999998</v>
      </c>
      <c r="AZ218" s="22">
        <v>206.39599999999999</v>
      </c>
      <c r="BA218" s="22">
        <v>-1.8777499999999999E-2</v>
      </c>
      <c r="BB218" s="22">
        <v>208</v>
      </c>
      <c r="BC218" s="22">
        <v>0.94604500000000002</v>
      </c>
      <c r="BD218">
        <f t="shared" si="46"/>
        <v>18.7775</v>
      </c>
      <c r="BE218">
        <f t="shared" si="47"/>
        <v>17.790141495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0.59753400000000001</v>
      </c>
      <c r="H219" s="22">
        <v>36.238700000000001</v>
      </c>
      <c r="I219" s="22">
        <v>-1.9036899999999999E-2</v>
      </c>
      <c r="J219" s="22">
        <v>209</v>
      </c>
      <c r="K219" s="22">
        <v>0.59680200000000005</v>
      </c>
      <c r="L219">
        <f t="shared" si="36"/>
        <v>19.036899999999999</v>
      </c>
      <c r="M219">
        <f t="shared" si="37"/>
        <v>11.3751950046</v>
      </c>
      <c r="N219" s="9"/>
      <c r="O219" s="22">
        <v>0.95245400000000002</v>
      </c>
      <c r="P219" s="22">
        <v>70.291799999999995</v>
      </c>
      <c r="Q219" s="22">
        <v>-1.8682899999999999E-2</v>
      </c>
      <c r="R219" s="22">
        <v>209</v>
      </c>
      <c r="S219" s="22">
        <v>0.95184299999999999</v>
      </c>
      <c r="T219">
        <f t="shared" si="38"/>
        <v>18.6829</v>
      </c>
      <c r="U219">
        <f t="shared" si="39"/>
        <v>17.794602836599999</v>
      </c>
      <c r="X219" s="9"/>
      <c r="Y219" s="22">
        <v>0.59753400000000001</v>
      </c>
      <c r="Z219" s="22">
        <v>104.315</v>
      </c>
      <c r="AA219" s="22">
        <v>-1.9189500000000002E-2</v>
      </c>
      <c r="AB219" s="22">
        <v>209</v>
      </c>
      <c r="AC219" s="22">
        <v>0.59677100000000005</v>
      </c>
      <c r="AD219">
        <f t="shared" si="40"/>
        <v>19.189500000000002</v>
      </c>
      <c r="AE219">
        <f t="shared" si="41"/>
        <v>11.466378693000001</v>
      </c>
      <c r="AF219" s="9"/>
      <c r="AG219" s="22">
        <v>0.95245400000000002</v>
      </c>
      <c r="AH219" s="22">
        <v>138.321</v>
      </c>
      <c r="AI219" s="22">
        <v>-1.8777499999999999E-2</v>
      </c>
      <c r="AJ219" s="22">
        <v>209</v>
      </c>
      <c r="AK219" s="22">
        <v>0.95184299999999999</v>
      </c>
      <c r="AL219">
        <f t="shared" si="42"/>
        <v>18.7775</v>
      </c>
      <c r="AM219">
        <f t="shared" si="43"/>
        <v>17.884704984999999</v>
      </c>
      <c r="AP219" s="9"/>
      <c r="AQ219" s="22">
        <v>0.59753400000000001</v>
      </c>
      <c r="AR219" s="22">
        <v>172.38</v>
      </c>
      <c r="AS219" s="22">
        <v>-1.9186399999999999E-2</v>
      </c>
      <c r="AT219" s="22">
        <v>209</v>
      </c>
      <c r="AU219" s="22">
        <v>0.59652700000000003</v>
      </c>
      <c r="AV219">
        <f t="shared" si="44"/>
        <v>19.186399999999999</v>
      </c>
      <c r="AW219">
        <f t="shared" si="45"/>
        <v>11.464526337599999</v>
      </c>
      <c r="AX219" s="9"/>
      <c r="AY219" s="22">
        <v>0.95245400000000002</v>
      </c>
      <c r="AZ219" s="22">
        <v>206.40600000000001</v>
      </c>
      <c r="BA219" s="22">
        <v>-1.8771400000000001E-2</v>
      </c>
      <c r="BB219" s="22">
        <v>209</v>
      </c>
      <c r="BC219" s="22">
        <v>0.95153799999999999</v>
      </c>
      <c r="BD219">
        <f t="shared" si="46"/>
        <v>18.7714</v>
      </c>
      <c r="BE219">
        <f t="shared" si="47"/>
        <v>17.878895015600001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0.592499</v>
      </c>
      <c r="H220" s="22">
        <v>36.248800000000003</v>
      </c>
      <c r="I220" s="22">
        <v>-1.9043000000000001E-2</v>
      </c>
      <c r="J220" s="22">
        <v>210</v>
      </c>
      <c r="K220" s="22">
        <v>0.59201000000000004</v>
      </c>
      <c r="L220">
        <f t="shared" si="36"/>
        <v>19.042999999999999</v>
      </c>
      <c r="M220">
        <f t="shared" si="37"/>
        <v>11.282958456999999</v>
      </c>
      <c r="N220" s="9"/>
      <c r="O220" s="22">
        <v>0.95748900000000003</v>
      </c>
      <c r="P220" s="22">
        <v>70.301900000000003</v>
      </c>
      <c r="Q220" s="22">
        <v>-1.86798E-2</v>
      </c>
      <c r="R220" s="22">
        <v>210</v>
      </c>
      <c r="S220" s="22">
        <v>0.95672599999999997</v>
      </c>
      <c r="T220">
        <f t="shared" si="38"/>
        <v>18.6798</v>
      </c>
      <c r="U220">
        <f t="shared" si="39"/>
        <v>17.885703022200001</v>
      </c>
      <c r="X220" s="9"/>
      <c r="Y220" s="22">
        <v>0.592499</v>
      </c>
      <c r="Z220" s="22">
        <v>104.325</v>
      </c>
      <c r="AA220" s="22">
        <v>-1.9192500000000001E-2</v>
      </c>
      <c r="AB220" s="22">
        <v>210</v>
      </c>
      <c r="AC220" s="22">
        <v>0.59158299999999997</v>
      </c>
      <c r="AD220">
        <f t="shared" si="40"/>
        <v>19.192500000000003</v>
      </c>
      <c r="AE220">
        <f t="shared" si="41"/>
        <v>11.371537057500001</v>
      </c>
      <c r="AF220" s="9"/>
      <c r="AG220" s="22">
        <v>0.95748900000000003</v>
      </c>
      <c r="AH220" s="22">
        <v>138.33099999999999</v>
      </c>
      <c r="AI220" s="22">
        <v>-1.8768300000000002E-2</v>
      </c>
      <c r="AJ220" s="22">
        <v>210</v>
      </c>
      <c r="AK220" s="22">
        <v>0.95611599999999997</v>
      </c>
      <c r="AL220">
        <f t="shared" si="42"/>
        <v>18.7683</v>
      </c>
      <c r="AM220">
        <f t="shared" si="43"/>
        <v>17.9704407987</v>
      </c>
      <c r="AP220" s="9"/>
      <c r="AQ220" s="22">
        <v>0.592499</v>
      </c>
      <c r="AR220" s="22">
        <v>172.39</v>
      </c>
      <c r="AS220" s="22">
        <v>-1.9192500000000001E-2</v>
      </c>
      <c r="AT220" s="22">
        <v>210</v>
      </c>
      <c r="AU220" s="22">
        <v>0.59191899999999997</v>
      </c>
      <c r="AV220">
        <f t="shared" si="44"/>
        <v>19.192500000000003</v>
      </c>
      <c r="AW220">
        <f t="shared" si="45"/>
        <v>11.371537057500001</v>
      </c>
      <c r="AX220" s="9"/>
      <c r="AY220" s="22">
        <v>0.95748900000000003</v>
      </c>
      <c r="AZ220" s="22">
        <v>206.416</v>
      </c>
      <c r="BA220" s="22">
        <v>-1.8765299999999999E-2</v>
      </c>
      <c r="BB220" s="22">
        <v>210</v>
      </c>
      <c r="BC220" s="22">
        <v>0.95703099999999997</v>
      </c>
      <c r="BD220">
        <f t="shared" si="46"/>
        <v>18.7653</v>
      </c>
      <c r="BE220">
        <f t="shared" si="47"/>
        <v>17.967568331700001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0.58746299999999996</v>
      </c>
      <c r="H221" s="22">
        <v>36.258800000000001</v>
      </c>
      <c r="I221" s="22">
        <v>-1.9046E-2</v>
      </c>
      <c r="J221" s="22">
        <v>211</v>
      </c>
      <c r="K221" s="22">
        <v>0.58685299999999996</v>
      </c>
      <c r="L221">
        <f t="shared" si="36"/>
        <v>19.045999999999999</v>
      </c>
      <c r="M221">
        <f t="shared" si="37"/>
        <v>11.188820298</v>
      </c>
      <c r="N221" s="9"/>
      <c r="O221" s="22">
        <v>0.96252400000000005</v>
      </c>
      <c r="P221" s="22">
        <v>70.311999999999998</v>
      </c>
      <c r="Q221" s="22">
        <v>-1.86768E-2</v>
      </c>
      <c r="R221" s="22">
        <v>211</v>
      </c>
      <c r="S221" s="22">
        <v>0.96160900000000005</v>
      </c>
      <c r="T221">
        <f t="shared" si="38"/>
        <v>18.6768</v>
      </c>
      <c r="U221">
        <f t="shared" si="39"/>
        <v>17.976868243200002</v>
      </c>
      <c r="X221" s="9"/>
      <c r="Y221" s="22">
        <v>0.58746299999999996</v>
      </c>
      <c r="Z221" s="22">
        <v>104.33499999999999</v>
      </c>
      <c r="AA221" s="22">
        <v>-1.91986E-2</v>
      </c>
      <c r="AB221" s="22">
        <v>211</v>
      </c>
      <c r="AC221" s="22">
        <v>0.58657800000000004</v>
      </c>
      <c r="AD221">
        <f t="shared" si="40"/>
        <v>19.198599999999999</v>
      </c>
      <c r="AE221">
        <f t="shared" si="41"/>
        <v>11.278467151799999</v>
      </c>
      <c r="AF221" s="9"/>
      <c r="AG221" s="22">
        <v>0.96252400000000005</v>
      </c>
      <c r="AH221" s="22">
        <v>138.34100000000001</v>
      </c>
      <c r="AI221" s="22">
        <v>-1.8765299999999999E-2</v>
      </c>
      <c r="AJ221" s="22">
        <v>211</v>
      </c>
      <c r="AK221" s="22">
        <v>0.96130400000000005</v>
      </c>
      <c r="AL221">
        <f t="shared" si="42"/>
        <v>18.7653</v>
      </c>
      <c r="AM221">
        <f t="shared" si="43"/>
        <v>18.062051617200002</v>
      </c>
      <c r="AP221" s="9"/>
      <c r="AQ221" s="22">
        <v>0.58746299999999996</v>
      </c>
      <c r="AR221" s="22">
        <v>172.4</v>
      </c>
      <c r="AS221" s="22">
        <v>-1.91956E-2</v>
      </c>
      <c r="AT221" s="22">
        <v>211</v>
      </c>
      <c r="AU221" s="22">
        <v>0.58676099999999998</v>
      </c>
      <c r="AV221">
        <f t="shared" si="44"/>
        <v>19.195599999999999</v>
      </c>
      <c r="AW221">
        <f t="shared" si="45"/>
        <v>11.276704762799998</v>
      </c>
      <c r="AX221" s="9"/>
      <c r="AY221" s="22">
        <v>0.96252400000000005</v>
      </c>
      <c r="AZ221" s="22">
        <v>206.42599999999999</v>
      </c>
      <c r="BA221" s="22">
        <v>-1.87592E-2</v>
      </c>
      <c r="BB221" s="22">
        <v>211</v>
      </c>
      <c r="BC221" s="22">
        <v>0.96160900000000005</v>
      </c>
      <c r="BD221">
        <f t="shared" si="46"/>
        <v>18.7592</v>
      </c>
      <c r="BE221">
        <f t="shared" si="47"/>
        <v>18.056180220800002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0.58242799999999995</v>
      </c>
      <c r="H222" s="22">
        <v>36.268900000000002</v>
      </c>
      <c r="I222" s="22">
        <v>-1.9052099999999999E-2</v>
      </c>
      <c r="J222" s="22">
        <v>212</v>
      </c>
      <c r="K222" s="22">
        <v>0.58178700000000005</v>
      </c>
      <c r="L222">
        <f t="shared" si="36"/>
        <v>19.052099999999999</v>
      </c>
      <c r="M222">
        <f t="shared" si="37"/>
        <v>11.096476498799998</v>
      </c>
      <c r="N222" s="9"/>
      <c r="O222" s="22">
        <v>0.96755999999999998</v>
      </c>
      <c r="P222" s="22">
        <v>70.322100000000006</v>
      </c>
      <c r="Q222" s="22">
        <v>-1.8670699999999998E-2</v>
      </c>
      <c r="R222" s="22">
        <v>212</v>
      </c>
      <c r="S222" s="22">
        <v>0.96679700000000002</v>
      </c>
      <c r="T222">
        <f t="shared" si="38"/>
        <v>18.6707</v>
      </c>
      <c r="U222">
        <f t="shared" si="39"/>
        <v>18.065022492000001</v>
      </c>
      <c r="X222" s="9"/>
      <c r="Y222" s="22">
        <v>0.58242799999999995</v>
      </c>
      <c r="Z222" s="22">
        <v>104.345</v>
      </c>
      <c r="AA222" s="22">
        <v>-1.9204700000000002E-2</v>
      </c>
      <c r="AB222" s="22">
        <v>212</v>
      </c>
      <c r="AC222" s="22">
        <v>0.58172599999999997</v>
      </c>
      <c r="AD222">
        <f t="shared" si="40"/>
        <v>19.204700000000003</v>
      </c>
      <c r="AE222">
        <f t="shared" si="41"/>
        <v>11.1853550116</v>
      </c>
      <c r="AF222" s="9"/>
      <c r="AG222" s="22">
        <v>0.96755999999999998</v>
      </c>
      <c r="AH222" s="22">
        <v>138.351</v>
      </c>
      <c r="AI222" s="22">
        <v>-1.87592E-2</v>
      </c>
      <c r="AJ222" s="22">
        <v>212</v>
      </c>
      <c r="AK222" s="22">
        <v>0.96618700000000002</v>
      </c>
      <c r="AL222">
        <f t="shared" si="42"/>
        <v>18.7592</v>
      </c>
      <c r="AM222">
        <f t="shared" si="43"/>
        <v>18.150651551999999</v>
      </c>
      <c r="AP222" s="9"/>
      <c r="AQ222" s="22">
        <v>0.58242799999999995</v>
      </c>
      <c r="AR222" s="22">
        <v>172.41</v>
      </c>
      <c r="AS222" s="22">
        <v>-1.91986E-2</v>
      </c>
      <c r="AT222" s="22">
        <v>212</v>
      </c>
      <c r="AU222" s="22">
        <v>0.58203099999999997</v>
      </c>
      <c r="AV222">
        <f t="shared" si="44"/>
        <v>19.198599999999999</v>
      </c>
      <c r="AW222">
        <f t="shared" si="45"/>
        <v>11.181802200799998</v>
      </c>
      <c r="AX222" s="9"/>
      <c r="AY222" s="22">
        <v>0.96755999999999998</v>
      </c>
      <c r="AZ222" s="22">
        <v>206.43600000000001</v>
      </c>
      <c r="BA222" s="22">
        <v>-1.8753100000000002E-2</v>
      </c>
      <c r="BB222" s="22">
        <v>212</v>
      </c>
      <c r="BC222" s="22">
        <v>0.96649200000000002</v>
      </c>
      <c r="BD222">
        <f t="shared" si="46"/>
        <v>18.753100000000003</v>
      </c>
      <c r="BE222">
        <f t="shared" si="47"/>
        <v>18.144749436000001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0.57739300000000005</v>
      </c>
      <c r="H223" s="22">
        <v>36.279000000000003</v>
      </c>
      <c r="I223" s="22">
        <v>-1.9058200000000001E-2</v>
      </c>
      <c r="J223" s="22">
        <v>213</v>
      </c>
      <c r="K223" s="22">
        <v>0.57669099999999995</v>
      </c>
      <c r="L223">
        <f t="shared" si="36"/>
        <v>19.058199999999999</v>
      </c>
      <c r="M223">
        <f t="shared" si="37"/>
        <v>11.004071272600001</v>
      </c>
      <c r="N223" s="9"/>
      <c r="O223" s="22">
        <v>0.97259499999999999</v>
      </c>
      <c r="P223" s="22">
        <v>70.332099999999997</v>
      </c>
      <c r="Q223" s="22">
        <v>-1.86646E-2</v>
      </c>
      <c r="R223" s="22">
        <v>213</v>
      </c>
      <c r="S223" s="22">
        <v>0.97198499999999999</v>
      </c>
      <c r="T223">
        <f t="shared" si="38"/>
        <v>18.6646</v>
      </c>
      <c r="U223">
        <f t="shared" si="39"/>
        <v>18.153096637000001</v>
      </c>
      <c r="X223" s="9"/>
      <c r="Y223" s="22">
        <v>0.57739300000000005</v>
      </c>
      <c r="Z223" s="22">
        <v>104.355</v>
      </c>
      <c r="AA223" s="22">
        <v>-1.92108E-2</v>
      </c>
      <c r="AB223" s="22">
        <v>213</v>
      </c>
      <c r="AC223" s="22">
        <v>0.57662999999999998</v>
      </c>
      <c r="AD223">
        <f t="shared" si="40"/>
        <v>19.210799999999999</v>
      </c>
      <c r="AE223">
        <f t="shared" si="41"/>
        <v>11.0921814444</v>
      </c>
      <c r="AF223" s="9"/>
      <c r="AG223" s="22">
        <v>0.97259499999999999</v>
      </c>
      <c r="AH223" s="22">
        <v>138.36099999999999</v>
      </c>
      <c r="AI223" s="22">
        <v>-1.87592E-2</v>
      </c>
      <c r="AJ223" s="22">
        <v>213</v>
      </c>
      <c r="AK223" s="22">
        <v>0.97167999999999999</v>
      </c>
      <c r="AL223">
        <f t="shared" si="42"/>
        <v>18.7592</v>
      </c>
      <c r="AM223">
        <f t="shared" si="43"/>
        <v>18.245104124000001</v>
      </c>
      <c r="AP223" s="9"/>
      <c r="AQ223" s="22">
        <v>0.57739300000000005</v>
      </c>
      <c r="AR223" s="22">
        <v>172.42</v>
      </c>
      <c r="AS223" s="22">
        <v>-1.9207800000000001E-2</v>
      </c>
      <c r="AT223" s="22">
        <v>213</v>
      </c>
      <c r="AU223" s="22">
        <v>0.57684299999999999</v>
      </c>
      <c r="AV223">
        <f t="shared" si="44"/>
        <v>19.207799999999999</v>
      </c>
      <c r="AW223">
        <f t="shared" si="45"/>
        <v>11.0904492654</v>
      </c>
      <c r="AX223" s="9"/>
      <c r="AY223" s="22">
        <v>0.97259499999999999</v>
      </c>
      <c r="AZ223" s="22">
        <v>206.446</v>
      </c>
      <c r="BA223" s="22">
        <v>-1.8743900000000001E-2</v>
      </c>
      <c r="BB223" s="22">
        <v>213</v>
      </c>
      <c r="BC223" s="22">
        <v>0.97137499999999999</v>
      </c>
      <c r="BD223">
        <f t="shared" si="46"/>
        <v>18.7439</v>
      </c>
      <c r="BE223">
        <f t="shared" si="47"/>
        <v>18.2302234205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0.572357</v>
      </c>
      <c r="H224" s="22">
        <v>36.289099999999998</v>
      </c>
      <c r="I224" s="22">
        <v>-1.90613E-2</v>
      </c>
      <c r="J224" s="22">
        <v>214</v>
      </c>
      <c r="K224" s="22">
        <v>0.57159400000000005</v>
      </c>
      <c r="L224">
        <f t="shared" si="36"/>
        <v>19.061299999999999</v>
      </c>
      <c r="M224">
        <f t="shared" si="37"/>
        <v>10.9098684841</v>
      </c>
      <c r="N224" s="9"/>
      <c r="O224" s="22">
        <v>0.97763100000000003</v>
      </c>
      <c r="P224" s="22">
        <v>70.342200000000005</v>
      </c>
      <c r="Q224" s="22">
        <v>-1.8655399999999999E-2</v>
      </c>
      <c r="R224" s="22">
        <v>214</v>
      </c>
      <c r="S224" s="22">
        <v>0.97625700000000004</v>
      </c>
      <c r="T224">
        <f t="shared" si="38"/>
        <v>18.6554</v>
      </c>
      <c r="U224">
        <f t="shared" si="39"/>
        <v>18.238097357400001</v>
      </c>
      <c r="X224" s="9"/>
      <c r="Y224" s="22">
        <v>0.572357</v>
      </c>
      <c r="Z224" s="22">
        <v>104.36499999999999</v>
      </c>
      <c r="AA224" s="22">
        <v>-1.9220000000000001E-2</v>
      </c>
      <c r="AB224" s="22">
        <v>214</v>
      </c>
      <c r="AC224" s="22">
        <v>0.57138100000000003</v>
      </c>
      <c r="AD224">
        <f t="shared" si="40"/>
        <v>19.220000000000002</v>
      </c>
      <c r="AE224">
        <f t="shared" si="41"/>
        <v>11.000701540000001</v>
      </c>
      <c r="AF224" s="9"/>
      <c r="AG224" s="22">
        <v>0.97763100000000003</v>
      </c>
      <c r="AH224" s="22">
        <v>138.37100000000001</v>
      </c>
      <c r="AI224" s="22">
        <v>-1.8753100000000002E-2</v>
      </c>
      <c r="AJ224" s="22">
        <v>214</v>
      </c>
      <c r="AK224" s="22">
        <v>0.97625700000000004</v>
      </c>
      <c r="AL224">
        <f t="shared" si="42"/>
        <v>18.753100000000003</v>
      </c>
      <c r="AM224">
        <f t="shared" si="43"/>
        <v>18.333611906100003</v>
      </c>
      <c r="AP224" s="9"/>
      <c r="AQ224" s="22">
        <v>0.572357</v>
      </c>
      <c r="AR224" s="22">
        <v>172.43</v>
      </c>
      <c r="AS224" s="22">
        <v>-1.9213899999999999E-2</v>
      </c>
      <c r="AT224" s="22">
        <v>214</v>
      </c>
      <c r="AU224" s="22">
        <v>0.57156399999999996</v>
      </c>
      <c r="AV224">
        <f t="shared" si="44"/>
        <v>19.213899999999999</v>
      </c>
      <c r="AW224">
        <f t="shared" si="45"/>
        <v>10.9972101623</v>
      </c>
      <c r="AX224" s="9"/>
      <c r="AY224" s="22">
        <v>0.97763100000000003</v>
      </c>
      <c r="AZ224" s="22">
        <v>206.45599999999999</v>
      </c>
      <c r="BA224" s="22">
        <v>-1.8737799999999999E-2</v>
      </c>
      <c r="BB224" s="22">
        <v>214</v>
      </c>
      <c r="BC224" s="22">
        <v>0.97656299999999996</v>
      </c>
      <c r="BD224">
        <f t="shared" si="46"/>
        <v>18.7378</v>
      </c>
      <c r="BE224">
        <f t="shared" si="47"/>
        <v>18.318654151800001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0.56732199999999999</v>
      </c>
      <c r="H225" s="22">
        <v>36.299100000000003</v>
      </c>
      <c r="I225" s="22">
        <v>-1.9064299999999999E-2</v>
      </c>
      <c r="J225" s="22">
        <v>215</v>
      </c>
      <c r="K225" s="22">
        <v>0.56646700000000005</v>
      </c>
      <c r="L225">
        <f t="shared" si="36"/>
        <v>19.064299999999999</v>
      </c>
      <c r="M225">
        <f t="shared" si="37"/>
        <v>10.8155968046</v>
      </c>
      <c r="N225" s="9"/>
      <c r="O225" s="22">
        <v>0.98266600000000004</v>
      </c>
      <c r="P225" s="22">
        <v>70.3523</v>
      </c>
      <c r="Q225" s="22">
        <v>-1.8649300000000001E-2</v>
      </c>
      <c r="R225" s="22">
        <v>215</v>
      </c>
      <c r="S225" s="22">
        <v>0.98175000000000001</v>
      </c>
      <c r="T225">
        <f t="shared" si="38"/>
        <v>18.6493</v>
      </c>
      <c r="U225">
        <f t="shared" si="39"/>
        <v>18.326033033800002</v>
      </c>
      <c r="X225" s="9"/>
      <c r="Y225" s="22">
        <v>0.56732199999999999</v>
      </c>
      <c r="Z225" s="22">
        <v>104.375</v>
      </c>
      <c r="AA225" s="22">
        <v>-1.9226099999999999E-2</v>
      </c>
      <c r="AB225" s="22">
        <v>215</v>
      </c>
      <c r="AC225" s="22">
        <v>0.56625400000000004</v>
      </c>
      <c r="AD225">
        <f t="shared" si="40"/>
        <v>19.226099999999999</v>
      </c>
      <c r="AE225">
        <f t="shared" si="41"/>
        <v>10.907389504199999</v>
      </c>
      <c r="AF225" s="9"/>
      <c r="AG225" s="22">
        <v>0.98266600000000004</v>
      </c>
      <c r="AH225" s="22">
        <v>138.38200000000001</v>
      </c>
      <c r="AI225" s="22">
        <v>-1.87469E-2</v>
      </c>
      <c r="AJ225" s="22">
        <v>215</v>
      </c>
      <c r="AK225" s="22">
        <v>0.98175000000000001</v>
      </c>
      <c r="AL225">
        <f t="shared" si="42"/>
        <v>18.7469</v>
      </c>
      <c r="AM225">
        <f t="shared" si="43"/>
        <v>18.421941235400002</v>
      </c>
      <c r="AP225" s="9"/>
      <c r="AQ225" s="22">
        <v>0.56732199999999999</v>
      </c>
      <c r="AR225" s="22">
        <v>172.44</v>
      </c>
      <c r="AS225" s="22">
        <v>-1.9220000000000001E-2</v>
      </c>
      <c r="AT225" s="22">
        <v>215</v>
      </c>
      <c r="AU225" s="22">
        <v>0.56634499999999999</v>
      </c>
      <c r="AV225">
        <f t="shared" si="44"/>
        <v>19.220000000000002</v>
      </c>
      <c r="AW225">
        <f t="shared" si="45"/>
        <v>10.903928840000001</v>
      </c>
      <c r="AX225" s="9"/>
      <c r="AY225" s="22">
        <v>0.98266600000000004</v>
      </c>
      <c r="AZ225" s="22">
        <v>206.46600000000001</v>
      </c>
      <c r="BA225" s="22">
        <v>-1.87317E-2</v>
      </c>
      <c r="BB225" s="22">
        <v>215</v>
      </c>
      <c r="BC225" s="22">
        <v>0.98175000000000001</v>
      </c>
      <c r="BD225">
        <f t="shared" si="46"/>
        <v>18.7317</v>
      </c>
      <c r="BE225">
        <f t="shared" si="47"/>
        <v>18.407004712199999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0.56228599999999995</v>
      </c>
      <c r="H226" s="22">
        <v>36.309199999999997</v>
      </c>
      <c r="I226" s="22">
        <v>-1.9067400000000002E-2</v>
      </c>
      <c r="J226" s="22">
        <v>216</v>
      </c>
      <c r="K226" s="22">
        <v>0.56161499999999998</v>
      </c>
      <c r="L226">
        <f t="shared" si="36"/>
        <v>19.067400000000003</v>
      </c>
      <c r="M226">
        <f t="shared" si="37"/>
        <v>10.721332076400001</v>
      </c>
      <c r="N226" s="9"/>
      <c r="O226" s="22">
        <v>0.98770100000000005</v>
      </c>
      <c r="P226" s="22">
        <v>70.362300000000005</v>
      </c>
      <c r="Q226" s="22">
        <v>-1.86401E-2</v>
      </c>
      <c r="R226" s="22">
        <v>216</v>
      </c>
      <c r="S226" s="22">
        <v>0.98754900000000001</v>
      </c>
      <c r="T226">
        <f t="shared" si="38"/>
        <v>18.6401</v>
      </c>
      <c r="U226">
        <f t="shared" si="39"/>
        <v>18.410845410100002</v>
      </c>
      <c r="X226" s="9"/>
      <c r="Y226" s="22">
        <v>0.56228599999999995</v>
      </c>
      <c r="Z226" s="22">
        <v>104.38500000000001</v>
      </c>
      <c r="AA226" s="22">
        <v>-1.9232200000000001E-2</v>
      </c>
      <c r="AB226" s="22">
        <v>216</v>
      </c>
      <c r="AC226" s="22">
        <v>0.56170699999999996</v>
      </c>
      <c r="AD226">
        <f t="shared" si="40"/>
        <v>19.232200000000002</v>
      </c>
      <c r="AE226">
        <f t="shared" si="41"/>
        <v>10.813996809200001</v>
      </c>
      <c r="AF226" s="9"/>
      <c r="AG226" s="22">
        <v>0.98770100000000005</v>
      </c>
      <c r="AH226" s="22">
        <v>138.392</v>
      </c>
      <c r="AI226" s="22">
        <v>-1.8743900000000001E-2</v>
      </c>
      <c r="AJ226" s="22">
        <v>216</v>
      </c>
      <c r="AK226" s="22">
        <v>0.98663299999999998</v>
      </c>
      <c r="AL226">
        <f t="shared" si="42"/>
        <v>18.7439</v>
      </c>
      <c r="AM226">
        <f t="shared" si="43"/>
        <v>18.513368773900002</v>
      </c>
      <c r="AP226" s="9"/>
      <c r="AQ226" s="22">
        <v>0.56228599999999995</v>
      </c>
      <c r="AR226" s="22">
        <v>172.45</v>
      </c>
      <c r="AS226" s="22">
        <v>-1.9226099999999999E-2</v>
      </c>
      <c r="AT226" s="22">
        <v>216</v>
      </c>
      <c r="AU226" s="22">
        <v>0.56121799999999999</v>
      </c>
      <c r="AV226">
        <f t="shared" si="44"/>
        <v>19.226099999999999</v>
      </c>
      <c r="AW226">
        <f t="shared" si="45"/>
        <v>10.810566864599998</v>
      </c>
      <c r="AX226" s="9"/>
      <c r="AY226" s="22">
        <v>0.98770100000000005</v>
      </c>
      <c r="AZ226" s="22">
        <v>206.476</v>
      </c>
      <c r="BA226" s="22">
        <v>-1.8728600000000001E-2</v>
      </c>
      <c r="BB226" s="22">
        <v>216</v>
      </c>
      <c r="BC226" s="22">
        <v>0.98632799999999998</v>
      </c>
      <c r="BD226">
        <f t="shared" si="46"/>
        <v>18.7286</v>
      </c>
      <c r="BE226">
        <f t="shared" si="47"/>
        <v>18.498256948600002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0.55725100000000005</v>
      </c>
      <c r="H227" s="22">
        <v>36.319299999999998</v>
      </c>
      <c r="I227" s="22">
        <v>-1.90735E-2</v>
      </c>
      <c r="J227" s="22">
        <v>217</v>
      </c>
      <c r="K227" s="22">
        <v>0.55627400000000005</v>
      </c>
      <c r="L227">
        <f t="shared" si="36"/>
        <v>19.073499999999999</v>
      </c>
      <c r="M227">
        <f t="shared" si="37"/>
        <v>10.628726948500001</v>
      </c>
      <c r="N227" s="9"/>
      <c r="O227" s="22">
        <v>0.99273699999999998</v>
      </c>
      <c r="P227" s="22">
        <v>70.372399999999999</v>
      </c>
      <c r="Q227" s="22">
        <v>-1.8634000000000001E-2</v>
      </c>
      <c r="R227" s="22">
        <v>217</v>
      </c>
      <c r="S227" s="22">
        <v>0.99121099999999995</v>
      </c>
      <c r="T227">
        <f t="shared" si="38"/>
        <v>18.634</v>
      </c>
      <c r="U227">
        <f t="shared" si="39"/>
        <v>18.498661257999998</v>
      </c>
      <c r="X227" s="9"/>
      <c r="Y227" s="22">
        <v>0.55725100000000005</v>
      </c>
      <c r="Z227" s="22">
        <v>104.396</v>
      </c>
      <c r="AA227" s="22">
        <v>-1.92383E-2</v>
      </c>
      <c r="AB227" s="22">
        <v>217</v>
      </c>
      <c r="AC227" s="22">
        <v>0.55627400000000005</v>
      </c>
      <c r="AD227">
        <f t="shared" si="40"/>
        <v>19.238299999999999</v>
      </c>
      <c r="AE227">
        <f t="shared" si="41"/>
        <v>10.720561913300001</v>
      </c>
      <c r="AF227" s="9"/>
      <c r="AG227" s="22">
        <v>0.99273699999999998</v>
      </c>
      <c r="AH227" s="22">
        <v>138.40199999999999</v>
      </c>
      <c r="AI227" s="22">
        <v>-1.8740799999999998E-2</v>
      </c>
      <c r="AJ227" s="22">
        <v>217</v>
      </c>
      <c r="AK227" s="22">
        <v>0.99151599999999995</v>
      </c>
      <c r="AL227">
        <f t="shared" si="42"/>
        <v>18.7408</v>
      </c>
      <c r="AM227">
        <f t="shared" si="43"/>
        <v>18.604685569600001</v>
      </c>
      <c r="AP227" s="9"/>
      <c r="AQ227" s="22">
        <v>0.55725100000000005</v>
      </c>
      <c r="AR227" s="22">
        <v>172.46</v>
      </c>
      <c r="AS227" s="22">
        <v>-1.9229099999999999E-2</v>
      </c>
      <c r="AT227" s="22">
        <v>217</v>
      </c>
      <c r="AU227" s="22">
        <v>0.55636600000000003</v>
      </c>
      <c r="AV227">
        <f t="shared" si="44"/>
        <v>19.229099999999999</v>
      </c>
      <c r="AW227">
        <f t="shared" si="45"/>
        <v>10.7154352041</v>
      </c>
      <c r="AX227" s="9"/>
      <c r="AY227" s="22">
        <v>0.99273699999999998</v>
      </c>
      <c r="AZ227" s="22">
        <v>206.48599999999999</v>
      </c>
      <c r="BA227" s="22">
        <v>-1.8725599999999998E-2</v>
      </c>
      <c r="BB227" s="22">
        <v>217</v>
      </c>
      <c r="BC227" s="22">
        <v>0.99212599999999995</v>
      </c>
      <c r="BD227">
        <f t="shared" si="46"/>
        <v>18.7256</v>
      </c>
      <c r="BE227">
        <f t="shared" si="47"/>
        <v>18.589595967200001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0.55221600000000004</v>
      </c>
      <c r="H228" s="22">
        <v>36.329300000000003</v>
      </c>
      <c r="I228" s="22">
        <v>-1.9079599999999999E-2</v>
      </c>
      <c r="J228" s="22">
        <v>218</v>
      </c>
      <c r="K228" s="22">
        <v>0.55108599999999996</v>
      </c>
      <c r="L228">
        <f t="shared" si="36"/>
        <v>19.079599999999999</v>
      </c>
      <c r="M228">
        <f t="shared" si="37"/>
        <v>10.5360603936</v>
      </c>
      <c r="N228" s="9"/>
      <c r="O228" s="22">
        <v>0.99777199999999999</v>
      </c>
      <c r="P228" s="22">
        <v>70.382499999999993</v>
      </c>
      <c r="Q228" s="22">
        <v>-1.8631000000000002E-2</v>
      </c>
      <c r="R228" s="22">
        <v>218</v>
      </c>
      <c r="S228" s="22">
        <v>0.99700900000000003</v>
      </c>
      <c r="T228">
        <f t="shared" si="38"/>
        <v>18.631</v>
      </c>
      <c r="U228">
        <f t="shared" si="39"/>
        <v>18.589490132000002</v>
      </c>
      <c r="X228" s="9"/>
      <c r="Y228" s="22">
        <v>0.55221600000000004</v>
      </c>
      <c r="Z228" s="22">
        <v>104.40600000000001</v>
      </c>
      <c r="AA228" s="22">
        <v>-1.9244399999999998E-2</v>
      </c>
      <c r="AB228" s="22">
        <v>218</v>
      </c>
      <c r="AC228" s="22">
        <v>0.55087299999999995</v>
      </c>
      <c r="AD228">
        <f t="shared" si="40"/>
        <v>19.244399999999999</v>
      </c>
      <c r="AE228">
        <f t="shared" si="41"/>
        <v>10.627065590400001</v>
      </c>
      <c r="AF228" s="9"/>
      <c r="AG228" s="22">
        <v>0.99777199999999999</v>
      </c>
      <c r="AH228" s="22">
        <v>138.41200000000001</v>
      </c>
      <c r="AI228" s="22">
        <v>-1.87347E-2</v>
      </c>
      <c r="AJ228" s="22">
        <v>218</v>
      </c>
      <c r="AK228" s="22">
        <v>0.99700900000000003</v>
      </c>
      <c r="AL228">
        <f t="shared" si="42"/>
        <v>18.7347</v>
      </c>
      <c r="AM228">
        <f t="shared" si="43"/>
        <v>18.692959088399999</v>
      </c>
      <c r="AP228" s="9"/>
      <c r="AQ228" s="22">
        <v>0.55221600000000004</v>
      </c>
      <c r="AR228" s="22">
        <v>172.47</v>
      </c>
      <c r="AS228" s="22">
        <v>-1.9235200000000001E-2</v>
      </c>
      <c r="AT228" s="22">
        <v>218</v>
      </c>
      <c r="AU228" s="22">
        <v>0.55181899999999995</v>
      </c>
      <c r="AV228">
        <f t="shared" si="44"/>
        <v>19.235200000000003</v>
      </c>
      <c r="AW228">
        <f t="shared" si="45"/>
        <v>10.621985203200001</v>
      </c>
      <c r="AX228" s="9"/>
      <c r="AY228" s="22">
        <v>0.99777199999999999</v>
      </c>
      <c r="AZ228" s="22">
        <v>206.49700000000001</v>
      </c>
      <c r="BA228" s="22">
        <v>-1.87195E-2</v>
      </c>
      <c r="BB228" s="22">
        <v>218</v>
      </c>
      <c r="BC228" s="22">
        <v>0.99639900000000003</v>
      </c>
      <c r="BD228">
        <f t="shared" si="46"/>
        <v>18.7195</v>
      </c>
      <c r="BE228">
        <f t="shared" si="47"/>
        <v>18.677792954000001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0.54718</v>
      </c>
      <c r="H229" s="22">
        <v>36.339399999999998</v>
      </c>
      <c r="I229" s="22">
        <v>-1.9085700000000001E-2</v>
      </c>
      <c r="J229" s="22">
        <v>219</v>
      </c>
      <c r="K229" s="22">
        <v>0.54632599999999998</v>
      </c>
      <c r="L229">
        <f t="shared" si="36"/>
        <v>19.085699999999999</v>
      </c>
      <c r="M229">
        <f t="shared" si="37"/>
        <v>10.443313326</v>
      </c>
      <c r="N229" s="9"/>
      <c r="O229" s="22">
        <v>1.00281</v>
      </c>
      <c r="P229" s="22">
        <v>70.392600000000002</v>
      </c>
      <c r="Q229" s="22">
        <v>-1.86249E-2</v>
      </c>
      <c r="R229" s="22">
        <v>219</v>
      </c>
      <c r="S229" s="22">
        <v>1.0018899999999999</v>
      </c>
      <c r="T229">
        <f t="shared" si="38"/>
        <v>18.6249</v>
      </c>
      <c r="U229">
        <f t="shared" si="39"/>
        <v>18.677235969000002</v>
      </c>
      <c r="X229" s="9"/>
      <c r="Y229" s="22">
        <v>0.54718</v>
      </c>
      <c r="Z229" s="22">
        <v>104.416</v>
      </c>
      <c r="AA229" s="22">
        <v>-1.92505E-2</v>
      </c>
      <c r="AB229" s="22">
        <v>219</v>
      </c>
      <c r="AC229" s="22">
        <v>0.54647800000000002</v>
      </c>
      <c r="AD229">
        <f t="shared" si="40"/>
        <v>19.250499999999999</v>
      </c>
      <c r="AE229">
        <f t="shared" si="41"/>
        <v>10.533488589999999</v>
      </c>
      <c r="AF229" s="9"/>
      <c r="AG229" s="22">
        <v>1.00281</v>
      </c>
      <c r="AH229" s="22">
        <v>138.422</v>
      </c>
      <c r="AI229" s="22">
        <v>-1.8728600000000001E-2</v>
      </c>
      <c r="AJ229" s="22">
        <v>219</v>
      </c>
      <c r="AK229" s="22">
        <v>1.0024999999999999</v>
      </c>
      <c r="AL229">
        <f t="shared" si="42"/>
        <v>18.7286</v>
      </c>
      <c r="AM229">
        <f t="shared" si="43"/>
        <v>18.781227366</v>
      </c>
      <c r="AP229" s="9"/>
      <c r="AQ229" s="22">
        <v>0.54718</v>
      </c>
      <c r="AR229" s="22">
        <v>172.48</v>
      </c>
      <c r="AS229" s="22">
        <v>-1.9241299999999999E-2</v>
      </c>
      <c r="AT229" s="22">
        <v>219</v>
      </c>
      <c r="AU229" s="22">
        <v>0.546539</v>
      </c>
      <c r="AV229">
        <f t="shared" si="44"/>
        <v>19.241299999999999</v>
      </c>
      <c r="AW229">
        <f t="shared" si="45"/>
        <v>10.528454534</v>
      </c>
      <c r="AX229" s="9"/>
      <c r="AY229" s="22">
        <v>1.00281</v>
      </c>
      <c r="AZ229" s="22">
        <v>206.50700000000001</v>
      </c>
      <c r="BA229" s="22">
        <v>-1.8713400000000002E-2</v>
      </c>
      <c r="BB229" s="22">
        <v>219</v>
      </c>
      <c r="BC229" s="22">
        <v>1.00159</v>
      </c>
      <c r="BD229">
        <f t="shared" si="46"/>
        <v>18.7134</v>
      </c>
      <c r="BE229">
        <f t="shared" si="47"/>
        <v>18.765984654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0.54214499999999999</v>
      </c>
      <c r="H230" s="22">
        <v>36.349499999999999</v>
      </c>
      <c r="I230" s="22">
        <v>-1.9091799999999999E-2</v>
      </c>
      <c r="J230" s="22">
        <v>220</v>
      </c>
      <c r="K230" s="22">
        <v>0.54162600000000005</v>
      </c>
      <c r="L230">
        <f t="shared" si="36"/>
        <v>19.091799999999999</v>
      </c>
      <c r="M230">
        <f t="shared" si="37"/>
        <v>10.350523911</v>
      </c>
      <c r="N230" s="9"/>
      <c r="O230" s="22">
        <v>1.0078400000000001</v>
      </c>
      <c r="P230" s="22">
        <v>70.402600000000007</v>
      </c>
      <c r="Q230" s="22">
        <v>-1.8621800000000001E-2</v>
      </c>
      <c r="R230" s="22">
        <v>220</v>
      </c>
      <c r="S230" s="22">
        <v>1.0067699999999999</v>
      </c>
      <c r="T230">
        <f t="shared" si="38"/>
        <v>18.6218</v>
      </c>
      <c r="U230">
        <f t="shared" si="39"/>
        <v>18.767794912000003</v>
      </c>
      <c r="X230" s="9"/>
      <c r="Y230" s="22">
        <v>0.54214499999999999</v>
      </c>
      <c r="Z230" s="22">
        <v>104.426</v>
      </c>
      <c r="AA230" s="22">
        <v>-1.92535E-2</v>
      </c>
      <c r="AB230" s="22">
        <v>220</v>
      </c>
      <c r="AC230" s="22">
        <v>0.54144300000000001</v>
      </c>
      <c r="AD230">
        <f t="shared" si="40"/>
        <v>19.253499999999999</v>
      </c>
      <c r="AE230">
        <f t="shared" si="41"/>
        <v>10.438188757499999</v>
      </c>
      <c r="AF230" s="9"/>
      <c r="AG230" s="22">
        <v>1.0078400000000001</v>
      </c>
      <c r="AH230" s="22">
        <v>138.43199999999999</v>
      </c>
      <c r="AI230" s="22">
        <v>-1.87195E-2</v>
      </c>
      <c r="AJ230" s="22">
        <v>220</v>
      </c>
      <c r="AK230" s="22">
        <v>1.0067699999999999</v>
      </c>
      <c r="AL230">
        <f t="shared" si="42"/>
        <v>18.7195</v>
      </c>
      <c r="AM230">
        <f t="shared" si="43"/>
        <v>18.866260880000002</v>
      </c>
      <c r="AP230" s="9"/>
      <c r="AQ230" s="22">
        <v>0.54214499999999999</v>
      </c>
      <c r="AR230" s="22">
        <v>172.49100000000001</v>
      </c>
      <c r="AS230" s="22">
        <v>-1.92505E-2</v>
      </c>
      <c r="AT230" s="22">
        <v>220</v>
      </c>
      <c r="AU230" s="22">
        <v>0.54125999999999996</v>
      </c>
      <c r="AV230">
        <f t="shared" si="44"/>
        <v>19.250499999999999</v>
      </c>
      <c r="AW230">
        <f t="shared" si="45"/>
        <v>10.436562322499999</v>
      </c>
      <c r="AX230" s="9"/>
      <c r="AY230" s="22">
        <v>1.0078400000000001</v>
      </c>
      <c r="AZ230" s="22">
        <v>206.517</v>
      </c>
      <c r="BA230" s="22">
        <v>-1.87073E-2</v>
      </c>
      <c r="BB230" s="22">
        <v>220</v>
      </c>
      <c r="BC230" s="22">
        <v>1.00769</v>
      </c>
      <c r="BD230">
        <f t="shared" si="46"/>
        <v>18.7073</v>
      </c>
      <c r="BE230">
        <f t="shared" si="47"/>
        <v>18.853965232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0.53710899999999995</v>
      </c>
      <c r="H231" s="22">
        <v>36.359499999999997</v>
      </c>
      <c r="I231" s="22">
        <v>-1.9094799999999999E-2</v>
      </c>
      <c r="J231" s="22">
        <v>221</v>
      </c>
      <c r="K231" s="22">
        <v>0.53628500000000001</v>
      </c>
      <c r="L231">
        <f t="shared" si="36"/>
        <v>19.094799999999999</v>
      </c>
      <c r="M231">
        <f t="shared" si="37"/>
        <v>10.255988933199999</v>
      </c>
      <c r="N231" s="9"/>
      <c r="O231" s="22">
        <v>1.01288</v>
      </c>
      <c r="P231" s="22">
        <v>70.412700000000001</v>
      </c>
      <c r="Q231" s="22">
        <v>-1.8615699999999999E-2</v>
      </c>
      <c r="R231" s="22">
        <v>221</v>
      </c>
      <c r="S231" s="22">
        <v>1.01135</v>
      </c>
      <c r="T231">
        <f t="shared" si="38"/>
        <v>18.6157</v>
      </c>
      <c r="U231">
        <f t="shared" si="39"/>
        <v>18.855470216000001</v>
      </c>
      <c r="X231" s="9"/>
      <c r="Y231" s="22">
        <v>0.53710899999999995</v>
      </c>
      <c r="Z231" s="22">
        <v>104.43600000000001</v>
      </c>
      <c r="AA231" s="22">
        <v>-1.9256599999999999E-2</v>
      </c>
      <c r="AB231" s="22">
        <v>221</v>
      </c>
      <c r="AC231" s="22">
        <v>0.53640699999999997</v>
      </c>
      <c r="AD231">
        <f t="shared" si="40"/>
        <v>19.256599999999999</v>
      </c>
      <c r="AE231">
        <f t="shared" si="41"/>
        <v>10.342893169399998</v>
      </c>
      <c r="AF231" s="9"/>
      <c r="AG231" s="22">
        <v>1.01288</v>
      </c>
      <c r="AH231" s="22">
        <v>138.44200000000001</v>
      </c>
      <c r="AI231" s="22">
        <v>-1.8713400000000002E-2</v>
      </c>
      <c r="AJ231" s="22">
        <v>221</v>
      </c>
      <c r="AK231" s="22">
        <v>1.01196</v>
      </c>
      <c r="AL231">
        <f t="shared" si="42"/>
        <v>18.7134</v>
      </c>
      <c r="AM231">
        <f t="shared" si="43"/>
        <v>18.954428591999999</v>
      </c>
      <c r="AP231" s="9"/>
      <c r="AQ231" s="22">
        <v>0.53710899999999995</v>
      </c>
      <c r="AR231" s="22">
        <v>172.501</v>
      </c>
      <c r="AS231" s="22">
        <v>-1.92535E-2</v>
      </c>
      <c r="AT231" s="22">
        <v>221</v>
      </c>
      <c r="AU231" s="22">
        <v>0.53625500000000004</v>
      </c>
      <c r="AV231">
        <f t="shared" si="44"/>
        <v>19.253499999999999</v>
      </c>
      <c r="AW231">
        <f t="shared" si="45"/>
        <v>10.341228131499998</v>
      </c>
      <c r="AX231" s="9"/>
      <c r="AY231" s="22">
        <v>1.01288</v>
      </c>
      <c r="AZ231" s="22">
        <v>206.52699999999999</v>
      </c>
      <c r="BA231" s="22">
        <v>-1.8701200000000001E-2</v>
      </c>
      <c r="BB231" s="22">
        <v>221</v>
      </c>
      <c r="BC231" s="22">
        <v>1.01227</v>
      </c>
      <c r="BD231">
        <f t="shared" si="46"/>
        <v>18.7012</v>
      </c>
      <c r="BE231">
        <f t="shared" si="47"/>
        <v>18.942071456000001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0.53207400000000005</v>
      </c>
      <c r="H232" s="22">
        <v>36.369599999999998</v>
      </c>
      <c r="I232" s="22">
        <v>-1.9101E-2</v>
      </c>
      <c r="J232" s="22">
        <v>222</v>
      </c>
      <c r="K232" s="22">
        <v>0.53134199999999998</v>
      </c>
      <c r="L232">
        <f t="shared" si="36"/>
        <v>19.100999999999999</v>
      </c>
      <c r="M232">
        <f t="shared" si="37"/>
        <v>10.163145474</v>
      </c>
      <c r="N232" s="9"/>
      <c r="O232" s="22">
        <v>1.0179100000000001</v>
      </c>
      <c r="P232" s="22">
        <v>70.422799999999995</v>
      </c>
      <c r="Q232" s="22">
        <v>-1.8612699999999999E-2</v>
      </c>
      <c r="R232" s="22">
        <v>222</v>
      </c>
      <c r="S232" s="22">
        <v>1.01715</v>
      </c>
      <c r="T232">
        <f t="shared" si="38"/>
        <v>18.6127</v>
      </c>
      <c r="U232">
        <f t="shared" si="39"/>
        <v>18.946053457000001</v>
      </c>
      <c r="X232" s="9"/>
      <c r="Y232" s="22">
        <v>0.53207400000000005</v>
      </c>
      <c r="Z232" s="22">
        <v>104.446</v>
      </c>
      <c r="AA232" s="22">
        <v>-1.9259600000000002E-2</v>
      </c>
      <c r="AB232" s="22">
        <v>222</v>
      </c>
      <c r="AC232" s="22">
        <v>0.53137199999999996</v>
      </c>
      <c r="AD232">
        <f t="shared" si="40"/>
        <v>19.259600000000002</v>
      </c>
      <c r="AE232">
        <f t="shared" si="41"/>
        <v>10.247532410400002</v>
      </c>
      <c r="AF232" s="9"/>
      <c r="AG232" s="22">
        <v>1.0179100000000001</v>
      </c>
      <c r="AH232" s="22">
        <v>138.452</v>
      </c>
      <c r="AI232" s="22">
        <v>-1.87073E-2</v>
      </c>
      <c r="AJ232" s="22">
        <v>222</v>
      </c>
      <c r="AK232" s="22">
        <v>1.01685</v>
      </c>
      <c r="AL232">
        <f t="shared" si="42"/>
        <v>18.7073</v>
      </c>
      <c r="AM232">
        <f t="shared" si="43"/>
        <v>19.042347743000001</v>
      </c>
      <c r="AP232" s="9"/>
      <c r="AQ232" s="22">
        <v>0.53207400000000005</v>
      </c>
      <c r="AR232" s="22">
        <v>172.511</v>
      </c>
      <c r="AS232" s="22">
        <v>-1.9256599999999999E-2</v>
      </c>
      <c r="AT232" s="22">
        <v>222</v>
      </c>
      <c r="AU232" s="22">
        <v>0.531281</v>
      </c>
      <c r="AV232">
        <f t="shared" si="44"/>
        <v>19.256599999999999</v>
      </c>
      <c r="AW232">
        <f t="shared" si="45"/>
        <v>10.2459361884</v>
      </c>
      <c r="AX232" s="9"/>
      <c r="AY232" s="22">
        <v>1.0179100000000001</v>
      </c>
      <c r="AZ232" s="22">
        <v>206.53700000000001</v>
      </c>
      <c r="BA232" s="22">
        <v>-1.8698099999999999E-2</v>
      </c>
      <c r="BB232" s="22">
        <v>222</v>
      </c>
      <c r="BC232" s="22">
        <v>1.01654</v>
      </c>
      <c r="BD232">
        <f t="shared" si="46"/>
        <v>18.6981</v>
      </c>
      <c r="BE232">
        <f t="shared" si="47"/>
        <v>19.032982971000003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0.52703900000000004</v>
      </c>
      <c r="H233" s="22">
        <v>36.3797</v>
      </c>
      <c r="I233" s="22">
        <v>-1.9103999999999999E-2</v>
      </c>
      <c r="J233" s="22">
        <v>223</v>
      </c>
      <c r="K233" s="22">
        <v>0.52639800000000003</v>
      </c>
      <c r="L233">
        <f t="shared" si="36"/>
        <v>19.103999999999999</v>
      </c>
      <c r="M233">
        <f t="shared" si="37"/>
        <v>10.068553056000001</v>
      </c>
      <c r="N233" s="9"/>
      <c r="O233" s="22">
        <v>1.02295</v>
      </c>
      <c r="P233" s="22">
        <v>70.4328</v>
      </c>
      <c r="Q233" s="22">
        <v>-1.8612699999999999E-2</v>
      </c>
      <c r="R233" s="22">
        <v>223</v>
      </c>
      <c r="S233" s="22">
        <v>1.02203</v>
      </c>
      <c r="T233">
        <f t="shared" si="38"/>
        <v>18.6127</v>
      </c>
      <c r="U233">
        <f t="shared" si="39"/>
        <v>19.039861465000001</v>
      </c>
      <c r="X233" s="9"/>
      <c r="Y233" s="22">
        <v>0.52703900000000004</v>
      </c>
      <c r="Z233" s="22">
        <v>104.456</v>
      </c>
      <c r="AA233" s="22">
        <v>-1.92657E-2</v>
      </c>
      <c r="AB233" s="22">
        <v>223</v>
      </c>
      <c r="AC233" s="22">
        <v>0.52642800000000001</v>
      </c>
      <c r="AD233">
        <f t="shared" si="40"/>
        <v>19.265699999999999</v>
      </c>
      <c r="AE233">
        <f t="shared" si="41"/>
        <v>10.1537752623</v>
      </c>
      <c r="AF233" s="9"/>
      <c r="AG233" s="22">
        <v>1.02295</v>
      </c>
      <c r="AH233" s="22">
        <v>138.46199999999999</v>
      </c>
      <c r="AI233" s="22">
        <v>-1.8701200000000001E-2</v>
      </c>
      <c r="AJ233" s="22">
        <v>223</v>
      </c>
      <c r="AK233" s="22">
        <v>1.02234</v>
      </c>
      <c r="AL233">
        <f t="shared" si="42"/>
        <v>18.7012</v>
      </c>
      <c r="AM233">
        <f t="shared" si="43"/>
        <v>19.130392539999999</v>
      </c>
      <c r="AP233" s="9"/>
      <c r="AQ233" s="22">
        <v>0.52703900000000004</v>
      </c>
      <c r="AR233" s="22">
        <v>172.52099999999999</v>
      </c>
      <c r="AS233" s="22">
        <v>-1.9259600000000002E-2</v>
      </c>
      <c r="AT233" s="22">
        <v>223</v>
      </c>
      <c r="AU233" s="22">
        <v>0.52627599999999997</v>
      </c>
      <c r="AV233">
        <f t="shared" si="44"/>
        <v>19.259600000000002</v>
      </c>
      <c r="AW233">
        <f t="shared" si="45"/>
        <v>10.150560324400002</v>
      </c>
      <c r="AX233" s="9"/>
      <c r="AY233" s="22">
        <v>1.02295</v>
      </c>
      <c r="AZ233" s="22">
        <v>206.547</v>
      </c>
      <c r="BA233" s="22">
        <v>-1.8692E-2</v>
      </c>
      <c r="BB233" s="22">
        <v>223</v>
      </c>
      <c r="BC233" s="22">
        <v>1.02173</v>
      </c>
      <c r="BD233">
        <f t="shared" si="46"/>
        <v>18.692</v>
      </c>
      <c r="BE233">
        <f t="shared" si="47"/>
        <v>19.120981400000002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0.52200299999999999</v>
      </c>
      <c r="H234" s="22">
        <v>36.389800000000001</v>
      </c>
      <c r="I234" s="22">
        <v>-1.9110100000000001E-2</v>
      </c>
      <c r="J234" s="22">
        <v>224</v>
      </c>
      <c r="K234" s="22">
        <v>0.52130100000000001</v>
      </c>
      <c r="L234">
        <f t="shared" si="36"/>
        <v>19.110100000000003</v>
      </c>
      <c r="M234">
        <f t="shared" si="37"/>
        <v>9.9755295303000011</v>
      </c>
      <c r="N234" s="9"/>
      <c r="O234" s="22">
        <v>1.0279799999999999</v>
      </c>
      <c r="P234" s="22">
        <v>70.442899999999995</v>
      </c>
      <c r="Q234" s="22">
        <v>-1.86096E-2</v>
      </c>
      <c r="R234" s="22">
        <v>224</v>
      </c>
      <c r="S234" s="22">
        <v>1.0275300000000001</v>
      </c>
      <c r="T234">
        <f t="shared" si="38"/>
        <v>18.6096</v>
      </c>
      <c r="U234">
        <f t="shared" si="39"/>
        <v>19.130296607999998</v>
      </c>
      <c r="X234" s="9"/>
      <c r="Y234" s="22">
        <v>0.52200299999999999</v>
      </c>
      <c r="Z234" s="22">
        <v>104.46599999999999</v>
      </c>
      <c r="AA234" s="22">
        <v>-1.9271900000000002E-2</v>
      </c>
      <c r="AB234" s="22">
        <v>224</v>
      </c>
      <c r="AC234" s="22">
        <v>0.52127100000000004</v>
      </c>
      <c r="AD234">
        <f t="shared" si="40"/>
        <v>19.271900000000002</v>
      </c>
      <c r="AE234">
        <f t="shared" si="41"/>
        <v>10.059989615700001</v>
      </c>
      <c r="AF234" s="9"/>
      <c r="AG234" s="22">
        <v>1.0279799999999999</v>
      </c>
      <c r="AH234" s="22">
        <v>138.47200000000001</v>
      </c>
      <c r="AI234" s="22">
        <v>-1.8692E-2</v>
      </c>
      <c r="AJ234" s="22">
        <v>224</v>
      </c>
      <c r="AK234" s="22">
        <v>1.02661</v>
      </c>
      <c r="AL234">
        <f t="shared" si="42"/>
        <v>18.692</v>
      </c>
      <c r="AM234">
        <f t="shared" si="43"/>
        <v>19.215002159999997</v>
      </c>
      <c r="AP234" s="9"/>
      <c r="AQ234" s="22">
        <v>0.52200299999999999</v>
      </c>
      <c r="AR234" s="22">
        <v>172.53100000000001</v>
      </c>
      <c r="AS234" s="22">
        <v>-1.9259600000000002E-2</v>
      </c>
      <c r="AT234" s="22">
        <v>224</v>
      </c>
      <c r="AU234" s="22">
        <v>0.52124000000000004</v>
      </c>
      <c r="AV234">
        <f t="shared" si="44"/>
        <v>19.259600000000002</v>
      </c>
      <c r="AW234">
        <f t="shared" si="45"/>
        <v>10.053568978800001</v>
      </c>
      <c r="AX234" s="9"/>
      <c r="AY234" s="22">
        <v>1.0279799999999999</v>
      </c>
      <c r="AZ234" s="22">
        <v>206.55699999999999</v>
      </c>
      <c r="BA234" s="22">
        <v>-1.8682899999999999E-2</v>
      </c>
      <c r="BB234" s="22">
        <v>224</v>
      </c>
      <c r="BC234" s="22">
        <v>1.0269200000000001</v>
      </c>
      <c r="BD234">
        <f t="shared" si="46"/>
        <v>18.6829</v>
      </c>
      <c r="BE234">
        <f t="shared" si="47"/>
        <v>19.205647541999998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0.51696799999999998</v>
      </c>
      <c r="H235" s="22">
        <v>36.399799999999999</v>
      </c>
      <c r="I235" s="22">
        <v>-1.91132E-2</v>
      </c>
      <c r="J235" s="22">
        <v>225</v>
      </c>
      <c r="K235" s="22">
        <v>0.51617400000000002</v>
      </c>
      <c r="L235">
        <f t="shared" si="36"/>
        <v>19.113199999999999</v>
      </c>
      <c r="M235">
        <f t="shared" si="37"/>
        <v>9.880912777599999</v>
      </c>
      <c r="N235" s="9"/>
      <c r="O235" s="22">
        <v>1.03302</v>
      </c>
      <c r="P235" s="22">
        <v>70.453000000000003</v>
      </c>
      <c r="Q235" s="22">
        <v>-1.8600499999999999E-2</v>
      </c>
      <c r="R235" s="22">
        <v>225</v>
      </c>
      <c r="S235" s="22">
        <v>1.0318000000000001</v>
      </c>
      <c r="T235">
        <f t="shared" si="38"/>
        <v>18.6005</v>
      </c>
      <c r="U235">
        <f t="shared" si="39"/>
        <v>19.214688510000002</v>
      </c>
      <c r="X235" s="9"/>
      <c r="Y235" s="22">
        <v>0.51696799999999998</v>
      </c>
      <c r="Z235" s="22">
        <v>104.476</v>
      </c>
      <c r="AA235" s="22">
        <v>-1.9281E-2</v>
      </c>
      <c r="AB235" s="22">
        <v>225</v>
      </c>
      <c r="AC235" s="22">
        <v>0.516235</v>
      </c>
      <c r="AD235">
        <f t="shared" si="40"/>
        <v>19.280999999999999</v>
      </c>
      <c r="AE235">
        <f t="shared" si="41"/>
        <v>9.9676600079999993</v>
      </c>
      <c r="AF235" s="9"/>
      <c r="AG235" s="22">
        <v>1.03302</v>
      </c>
      <c r="AH235" s="22">
        <v>138.482</v>
      </c>
      <c r="AI235" s="22">
        <v>-1.8689000000000001E-2</v>
      </c>
      <c r="AJ235" s="22">
        <v>225</v>
      </c>
      <c r="AK235" s="22">
        <v>1.0318000000000001</v>
      </c>
      <c r="AL235">
        <f t="shared" si="42"/>
        <v>18.689</v>
      </c>
      <c r="AM235">
        <f t="shared" si="43"/>
        <v>19.306110780000001</v>
      </c>
      <c r="AP235" s="9"/>
      <c r="AQ235" s="22">
        <v>0.51696799999999998</v>
      </c>
      <c r="AR235" s="22">
        <v>172.541</v>
      </c>
      <c r="AS235" s="22">
        <v>-1.92657E-2</v>
      </c>
      <c r="AT235" s="22">
        <v>225</v>
      </c>
      <c r="AU235" s="22">
        <v>0.51635699999999995</v>
      </c>
      <c r="AV235">
        <f t="shared" si="44"/>
        <v>19.265699999999999</v>
      </c>
      <c r="AW235">
        <f t="shared" si="45"/>
        <v>9.9597503975999988</v>
      </c>
      <c r="AX235" s="9"/>
      <c r="AY235" s="22">
        <v>1.03302</v>
      </c>
      <c r="AZ235" s="22">
        <v>206.56700000000001</v>
      </c>
      <c r="BA235" s="22">
        <v>-1.8682899999999999E-2</v>
      </c>
      <c r="BB235" s="22">
        <v>225</v>
      </c>
      <c r="BC235" s="22">
        <v>1.0321</v>
      </c>
      <c r="BD235">
        <f t="shared" si="46"/>
        <v>18.6829</v>
      </c>
      <c r="BE235">
        <f t="shared" si="47"/>
        <v>19.299809358000001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0.51193200000000005</v>
      </c>
      <c r="H236" s="22">
        <v>36.4099</v>
      </c>
      <c r="I236" s="22">
        <v>-1.9119299999999999E-2</v>
      </c>
      <c r="J236" s="22">
        <v>226</v>
      </c>
      <c r="K236" s="22">
        <v>0.51116899999999998</v>
      </c>
      <c r="L236">
        <f t="shared" si="36"/>
        <v>19.119299999999999</v>
      </c>
      <c r="M236">
        <f t="shared" si="37"/>
        <v>9.7877814876000002</v>
      </c>
      <c r="N236" s="9"/>
      <c r="O236" s="22">
        <v>1.03806</v>
      </c>
      <c r="P236" s="22">
        <v>70.462999999999994</v>
      </c>
      <c r="Q236" s="22">
        <v>-1.8588299999999999E-2</v>
      </c>
      <c r="R236" s="22">
        <v>226</v>
      </c>
      <c r="S236" s="22">
        <v>1.03668</v>
      </c>
      <c r="T236">
        <f t="shared" si="38"/>
        <v>18.5883</v>
      </c>
      <c r="U236">
        <f t="shared" si="39"/>
        <v>19.295770697999998</v>
      </c>
      <c r="X236" s="9"/>
      <c r="Y236" s="22">
        <v>0.51193200000000005</v>
      </c>
      <c r="Z236" s="22">
        <v>104.486</v>
      </c>
      <c r="AA236" s="22">
        <v>-1.9287100000000001E-2</v>
      </c>
      <c r="AB236" s="22">
        <v>226</v>
      </c>
      <c r="AC236" s="22">
        <v>0.51119999999999999</v>
      </c>
      <c r="AD236">
        <f t="shared" si="40"/>
        <v>19.287100000000002</v>
      </c>
      <c r="AE236">
        <f t="shared" si="41"/>
        <v>9.8736836772000025</v>
      </c>
      <c r="AF236" s="9"/>
      <c r="AG236" s="22">
        <v>1.03806</v>
      </c>
      <c r="AH236" s="22">
        <v>138.49199999999999</v>
      </c>
      <c r="AI236" s="22">
        <v>-1.8682899999999999E-2</v>
      </c>
      <c r="AJ236" s="22">
        <v>226</v>
      </c>
      <c r="AK236" s="22">
        <v>1.0376000000000001</v>
      </c>
      <c r="AL236">
        <f t="shared" si="42"/>
        <v>18.6829</v>
      </c>
      <c r="AM236">
        <f t="shared" si="43"/>
        <v>19.393971174000001</v>
      </c>
      <c r="AP236" s="9"/>
      <c r="AQ236" s="22">
        <v>0.51193200000000005</v>
      </c>
      <c r="AR236" s="22">
        <v>172.55099999999999</v>
      </c>
      <c r="AS236" s="22">
        <v>-1.9268799999999999E-2</v>
      </c>
      <c r="AT236" s="22">
        <v>226</v>
      </c>
      <c r="AU236" s="22">
        <v>0.51116899999999998</v>
      </c>
      <c r="AV236">
        <f t="shared" si="44"/>
        <v>19.268799999999999</v>
      </c>
      <c r="AW236">
        <f t="shared" si="45"/>
        <v>9.8643153216000012</v>
      </c>
      <c r="AX236" s="9"/>
      <c r="AY236" s="22">
        <v>1.03806</v>
      </c>
      <c r="AZ236" s="22">
        <v>206.577</v>
      </c>
      <c r="BA236" s="22">
        <v>-1.86768E-2</v>
      </c>
      <c r="BB236" s="22">
        <v>226</v>
      </c>
      <c r="BC236" s="22">
        <v>1.0369900000000001</v>
      </c>
      <c r="BD236">
        <f t="shared" si="46"/>
        <v>18.6768</v>
      </c>
      <c r="BE236">
        <f t="shared" si="47"/>
        <v>19.387639008000001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0.50689700000000004</v>
      </c>
      <c r="H237" s="22">
        <v>36.42</v>
      </c>
      <c r="I237" s="22">
        <v>-1.91284E-2</v>
      </c>
      <c r="J237" s="22">
        <v>227</v>
      </c>
      <c r="K237" s="22">
        <v>0.506073</v>
      </c>
      <c r="L237">
        <f t="shared" si="36"/>
        <v>19.128399999999999</v>
      </c>
      <c r="M237">
        <f t="shared" si="37"/>
        <v>9.6961285748000012</v>
      </c>
      <c r="N237" s="9"/>
      <c r="O237" s="22">
        <v>1.0430900000000001</v>
      </c>
      <c r="P237" s="22">
        <v>70.473100000000002</v>
      </c>
      <c r="Q237" s="22">
        <v>-1.85822E-2</v>
      </c>
      <c r="R237" s="22">
        <v>227</v>
      </c>
      <c r="S237" s="22">
        <v>1.0418700000000001</v>
      </c>
      <c r="T237">
        <f t="shared" si="38"/>
        <v>18.5822</v>
      </c>
      <c r="U237">
        <f t="shared" si="39"/>
        <v>19.382906998000003</v>
      </c>
      <c r="X237" s="9"/>
      <c r="Y237" s="22">
        <v>0.50689700000000004</v>
      </c>
      <c r="Z237" s="22">
        <v>104.496</v>
      </c>
      <c r="AA237" s="22">
        <v>-1.92932E-2</v>
      </c>
      <c r="AB237" s="22">
        <v>227</v>
      </c>
      <c r="AC237" s="22">
        <v>0.50637799999999999</v>
      </c>
      <c r="AD237">
        <f t="shared" si="40"/>
        <v>19.293199999999999</v>
      </c>
      <c r="AE237">
        <f t="shared" si="41"/>
        <v>9.7796652004000002</v>
      </c>
      <c r="AF237" s="9"/>
      <c r="AG237" s="22">
        <v>1.0430900000000001</v>
      </c>
      <c r="AH237" s="22">
        <v>138.50200000000001</v>
      </c>
      <c r="AI237" s="22">
        <v>-1.86798E-2</v>
      </c>
      <c r="AJ237" s="22">
        <v>227</v>
      </c>
      <c r="AK237" s="22">
        <v>1.0418700000000001</v>
      </c>
      <c r="AL237">
        <f t="shared" si="42"/>
        <v>18.6798</v>
      </c>
      <c r="AM237">
        <f t="shared" si="43"/>
        <v>19.484712582</v>
      </c>
      <c r="AP237" s="9"/>
      <c r="AQ237" s="22">
        <v>0.50689700000000004</v>
      </c>
      <c r="AR237" s="22">
        <v>172.56100000000001</v>
      </c>
      <c r="AS237" s="22">
        <v>-1.9278E-2</v>
      </c>
      <c r="AT237" s="22">
        <v>227</v>
      </c>
      <c r="AU237" s="22">
        <v>0.506104</v>
      </c>
      <c r="AV237">
        <f t="shared" si="44"/>
        <v>19.277999999999999</v>
      </c>
      <c r="AW237">
        <f t="shared" si="45"/>
        <v>9.7719603660000001</v>
      </c>
      <c r="AX237" s="9"/>
      <c r="AY237" s="22">
        <v>1.0430900000000001</v>
      </c>
      <c r="AZ237" s="22">
        <v>206.58699999999999</v>
      </c>
      <c r="BA237" s="22">
        <v>-1.8667599999999999E-2</v>
      </c>
      <c r="BB237" s="22">
        <v>227</v>
      </c>
      <c r="BC237" s="22">
        <v>1.0427900000000001</v>
      </c>
      <c r="BD237">
        <f t="shared" si="46"/>
        <v>18.6676</v>
      </c>
      <c r="BE237">
        <f t="shared" si="47"/>
        <v>19.471986884000003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0.50186200000000003</v>
      </c>
      <c r="H238" s="22">
        <v>36.43</v>
      </c>
      <c r="I238" s="22">
        <v>-1.9134499999999999E-2</v>
      </c>
      <c r="J238" s="22">
        <v>228</v>
      </c>
      <c r="K238" s="22">
        <v>0.50088500000000002</v>
      </c>
      <c r="L238">
        <f t="shared" si="36"/>
        <v>19.134499999999999</v>
      </c>
      <c r="M238">
        <f t="shared" si="37"/>
        <v>9.6028784389999995</v>
      </c>
      <c r="N238" s="9"/>
      <c r="O238" s="22">
        <v>1.04813</v>
      </c>
      <c r="P238" s="22">
        <v>70.483199999999997</v>
      </c>
      <c r="Q238" s="22">
        <v>-1.8575999999999999E-2</v>
      </c>
      <c r="R238" s="22">
        <v>228</v>
      </c>
      <c r="S238" s="22">
        <v>1.0473600000000001</v>
      </c>
      <c r="T238">
        <f t="shared" si="38"/>
        <v>18.576000000000001</v>
      </c>
      <c r="U238">
        <f t="shared" si="39"/>
        <v>19.47006288</v>
      </c>
      <c r="X238" s="9"/>
      <c r="Y238" s="22">
        <v>0.50186200000000003</v>
      </c>
      <c r="Z238" s="22">
        <v>104.506</v>
      </c>
      <c r="AA238" s="22">
        <v>-1.9299299999999998E-2</v>
      </c>
      <c r="AB238" s="22">
        <v>228</v>
      </c>
      <c r="AC238" s="22">
        <v>0.50134299999999998</v>
      </c>
      <c r="AD238">
        <f t="shared" si="40"/>
        <v>19.299299999999999</v>
      </c>
      <c r="AE238">
        <f t="shared" si="41"/>
        <v>9.6855852965999993</v>
      </c>
      <c r="AF238" s="9"/>
      <c r="AG238" s="22">
        <v>1.04813</v>
      </c>
      <c r="AH238" s="22">
        <v>138.512</v>
      </c>
      <c r="AI238" s="22">
        <v>-1.86768E-2</v>
      </c>
      <c r="AJ238" s="22">
        <v>228</v>
      </c>
      <c r="AK238" s="22">
        <v>1.0473600000000001</v>
      </c>
      <c r="AL238">
        <f t="shared" si="42"/>
        <v>18.6768</v>
      </c>
      <c r="AM238">
        <f t="shared" si="43"/>
        <v>19.575714384000001</v>
      </c>
      <c r="AP238" s="9"/>
      <c r="AQ238" s="22">
        <v>0.50186200000000003</v>
      </c>
      <c r="AR238" s="22">
        <v>172.571</v>
      </c>
      <c r="AS238" s="22">
        <v>-1.9281E-2</v>
      </c>
      <c r="AT238" s="22">
        <v>228</v>
      </c>
      <c r="AU238" s="22">
        <v>0.50106799999999996</v>
      </c>
      <c r="AV238">
        <f t="shared" si="44"/>
        <v>19.280999999999999</v>
      </c>
      <c r="AW238">
        <f t="shared" si="45"/>
        <v>9.6764012220000009</v>
      </c>
      <c r="AX238" s="9"/>
      <c r="AY238" s="22">
        <v>1.04813</v>
      </c>
      <c r="AZ238" s="22">
        <v>206.59700000000001</v>
      </c>
      <c r="BA238" s="22">
        <v>-1.8661500000000001E-2</v>
      </c>
      <c r="BB238" s="22">
        <v>228</v>
      </c>
      <c r="BC238" s="22">
        <v>1.0464500000000001</v>
      </c>
      <c r="BD238">
        <f t="shared" si="46"/>
        <v>18.6615</v>
      </c>
      <c r="BE238">
        <f t="shared" si="47"/>
        <v>19.559677995000001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0.49682599999999999</v>
      </c>
      <c r="H239" s="22">
        <v>36.440100000000001</v>
      </c>
      <c r="I239" s="22">
        <v>-1.9140600000000001E-2</v>
      </c>
      <c r="J239" s="22">
        <v>229</v>
      </c>
      <c r="K239" s="22">
        <v>0.49609399999999998</v>
      </c>
      <c r="L239">
        <f t="shared" si="36"/>
        <v>19.140599999999999</v>
      </c>
      <c r="M239">
        <f t="shared" si="37"/>
        <v>9.5095477356</v>
      </c>
      <c r="N239" s="9"/>
      <c r="O239" s="22">
        <v>1.0531600000000001</v>
      </c>
      <c r="P239" s="22">
        <v>70.493300000000005</v>
      </c>
      <c r="Q239" s="22">
        <v>-1.8572999999999999E-2</v>
      </c>
      <c r="R239" s="22">
        <v>229</v>
      </c>
      <c r="S239" s="22">
        <v>1.0525500000000001</v>
      </c>
      <c r="T239">
        <f t="shared" si="38"/>
        <v>18.573</v>
      </c>
      <c r="U239">
        <f t="shared" si="39"/>
        <v>19.560340680000003</v>
      </c>
      <c r="X239" s="9"/>
      <c r="Y239" s="22">
        <v>0.49682599999999999</v>
      </c>
      <c r="Z239" s="22">
        <v>104.51600000000001</v>
      </c>
      <c r="AA239" s="22">
        <v>-1.9302400000000001E-2</v>
      </c>
      <c r="AB239" s="22">
        <v>229</v>
      </c>
      <c r="AC239" s="22">
        <v>0.49612400000000001</v>
      </c>
      <c r="AD239">
        <f t="shared" si="40"/>
        <v>19.302400000000002</v>
      </c>
      <c r="AE239">
        <f t="shared" si="41"/>
        <v>9.5899341824000004</v>
      </c>
      <c r="AF239" s="9"/>
      <c r="AG239" s="22">
        <v>1.0531600000000001</v>
      </c>
      <c r="AH239" s="22">
        <v>138.523</v>
      </c>
      <c r="AI239" s="22">
        <v>-1.8670699999999998E-2</v>
      </c>
      <c r="AJ239" s="22">
        <v>229</v>
      </c>
      <c r="AK239" s="22">
        <v>1.0519400000000001</v>
      </c>
      <c r="AL239">
        <f t="shared" si="42"/>
        <v>18.6707</v>
      </c>
      <c r="AM239">
        <f t="shared" si="43"/>
        <v>19.663234412000001</v>
      </c>
      <c r="AP239" s="9"/>
      <c r="AQ239" s="22">
        <v>0.49682599999999999</v>
      </c>
      <c r="AR239" s="22">
        <v>172.58099999999999</v>
      </c>
      <c r="AS239" s="22">
        <v>-1.9284099999999998E-2</v>
      </c>
      <c r="AT239" s="22">
        <v>229</v>
      </c>
      <c r="AU239" s="22">
        <v>0.49606299999999998</v>
      </c>
      <c r="AV239">
        <f t="shared" si="44"/>
        <v>19.284099999999999</v>
      </c>
      <c r="AW239">
        <f t="shared" si="45"/>
        <v>9.5808422665999995</v>
      </c>
      <c r="AX239" s="9"/>
      <c r="AY239" s="22">
        <v>1.0531600000000001</v>
      </c>
      <c r="AZ239" s="22">
        <v>206.607</v>
      </c>
      <c r="BA239" s="22">
        <v>-1.86523E-2</v>
      </c>
      <c r="BB239" s="22">
        <v>229</v>
      </c>
      <c r="BC239" s="22">
        <v>1.0516399999999999</v>
      </c>
      <c r="BD239">
        <f t="shared" si="46"/>
        <v>18.6523</v>
      </c>
      <c r="BE239">
        <f t="shared" si="47"/>
        <v>19.643856268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0.49179099999999998</v>
      </c>
      <c r="H240" s="22">
        <v>36.450200000000002</v>
      </c>
      <c r="I240" s="22">
        <v>-1.91437E-2</v>
      </c>
      <c r="J240" s="22">
        <v>230</v>
      </c>
      <c r="K240" s="22">
        <v>0.49105799999999999</v>
      </c>
      <c r="L240">
        <f t="shared" si="36"/>
        <v>19.143699999999999</v>
      </c>
      <c r="M240">
        <f t="shared" si="37"/>
        <v>9.414699366699999</v>
      </c>
      <c r="N240" s="9"/>
      <c r="O240" s="22">
        <v>1.0582</v>
      </c>
      <c r="P240" s="22">
        <v>70.503299999999996</v>
      </c>
      <c r="Q240" s="22">
        <v>-1.8566900000000001E-2</v>
      </c>
      <c r="R240" s="22">
        <v>230</v>
      </c>
      <c r="S240" s="22">
        <v>1.0571299999999999</v>
      </c>
      <c r="T240">
        <f t="shared" si="38"/>
        <v>18.5669</v>
      </c>
      <c r="U240">
        <f t="shared" si="39"/>
        <v>19.647493580000003</v>
      </c>
      <c r="X240" s="9"/>
      <c r="Y240" s="22">
        <v>0.49179099999999998</v>
      </c>
      <c r="Z240" s="22">
        <v>104.526</v>
      </c>
      <c r="AA240" s="22">
        <v>-1.9311499999999999E-2</v>
      </c>
      <c r="AB240" s="22">
        <v>230</v>
      </c>
      <c r="AC240" s="22">
        <v>0.49136400000000002</v>
      </c>
      <c r="AD240">
        <f t="shared" si="40"/>
        <v>19.311499999999999</v>
      </c>
      <c r="AE240">
        <f t="shared" si="41"/>
        <v>9.4972218964999993</v>
      </c>
      <c r="AF240" s="9"/>
      <c r="AG240" s="22">
        <v>1.0582</v>
      </c>
      <c r="AH240" s="22">
        <v>138.53299999999999</v>
      </c>
      <c r="AI240" s="22">
        <v>-1.86646E-2</v>
      </c>
      <c r="AJ240" s="22">
        <v>230</v>
      </c>
      <c r="AK240" s="22">
        <v>1.0571299999999999</v>
      </c>
      <c r="AL240">
        <f t="shared" si="42"/>
        <v>18.6646</v>
      </c>
      <c r="AM240">
        <f t="shared" si="43"/>
        <v>19.75087972</v>
      </c>
      <c r="AP240" s="9"/>
      <c r="AQ240" s="22">
        <v>0.49179099999999998</v>
      </c>
      <c r="AR240" s="22">
        <v>172.59100000000001</v>
      </c>
      <c r="AS240" s="22">
        <v>-1.9287100000000001E-2</v>
      </c>
      <c r="AT240" s="22">
        <v>230</v>
      </c>
      <c r="AU240" s="22">
        <v>0.49111900000000003</v>
      </c>
      <c r="AV240">
        <f t="shared" si="44"/>
        <v>19.287100000000002</v>
      </c>
      <c r="AW240">
        <f t="shared" si="45"/>
        <v>9.4852221961000005</v>
      </c>
      <c r="AX240" s="9"/>
      <c r="AY240" s="22">
        <v>1.0582</v>
      </c>
      <c r="AZ240" s="22">
        <v>206.61699999999999</v>
      </c>
      <c r="BA240" s="22">
        <v>-1.8646200000000002E-2</v>
      </c>
      <c r="BB240" s="22">
        <v>230</v>
      </c>
      <c r="BC240" s="22">
        <v>1.0574300000000001</v>
      </c>
      <c r="BD240">
        <f t="shared" si="46"/>
        <v>18.6462</v>
      </c>
      <c r="BE240">
        <f t="shared" si="47"/>
        <v>19.73140884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0.48675499999999999</v>
      </c>
      <c r="H241" s="22">
        <v>36.460299999999997</v>
      </c>
      <c r="I241" s="22">
        <v>-1.9149800000000002E-2</v>
      </c>
      <c r="J241" s="22">
        <v>231</v>
      </c>
      <c r="K241" s="22">
        <v>0.48605300000000001</v>
      </c>
      <c r="L241">
        <f t="shared" si="36"/>
        <v>19.149800000000003</v>
      </c>
      <c r="M241">
        <f t="shared" si="37"/>
        <v>9.3212608990000003</v>
      </c>
      <c r="N241" s="9"/>
      <c r="O241" s="22">
        <v>1.0632299999999999</v>
      </c>
      <c r="P241" s="22">
        <v>70.513400000000004</v>
      </c>
      <c r="Q241" s="22">
        <v>-1.8560799999999999E-2</v>
      </c>
      <c r="R241" s="22">
        <v>231</v>
      </c>
      <c r="S241" s="22">
        <v>1.0620099999999999</v>
      </c>
      <c r="T241">
        <f t="shared" si="38"/>
        <v>18.5608</v>
      </c>
      <c r="U241">
        <f t="shared" si="39"/>
        <v>19.734399384</v>
      </c>
      <c r="X241" s="9"/>
      <c r="Y241" s="22">
        <v>0.48675499999999999</v>
      </c>
      <c r="Z241" s="22">
        <v>104.53700000000001</v>
      </c>
      <c r="AA241" s="22">
        <v>-1.9317600000000001E-2</v>
      </c>
      <c r="AB241" s="22">
        <v>231</v>
      </c>
      <c r="AC241" s="22">
        <v>0.48611500000000002</v>
      </c>
      <c r="AD241">
        <f t="shared" si="40"/>
        <v>19.317600000000002</v>
      </c>
      <c r="AE241">
        <f t="shared" si="41"/>
        <v>9.4029383880000008</v>
      </c>
      <c r="AF241" s="9"/>
      <c r="AG241" s="22">
        <v>1.0632299999999999</v>
      </c>
      <c r="AH241" s="22">
        <v>138.54300000000001</v>
      </c>
      <c r="AI241" s="22">
        <v>-1.8661500000000001E-2</v>
      </c>
      <c r="AJ241" s="22">
        <v>231</v>
      </c>
      <c r="AK241" s="22">
        <v>1.0620099999999999</v>
      </c>
      <c r="AL241">
        <f t="shared" si="42"/>
        <v>18.6615</v>
      </c>
      <c r="AM241">
        <f t="shared" si="43"/>
        <v>19.841466644999997</v>
      </c>
      <c r="AP241" s="9"/>
      <c r="AQ241" s="22">
        <v>0.48675499999999999</v>
      </c>
      <c r="AR241" s="22">
        <v>172.601</v>
      </c>
      <c r="AS241" s="22">
        <v>-1.92932E-2</v>
      </c>
      <c r="AT241" s="22">
        <v>231</v>
      </c>
      <c r="AU241" s="22">
        <v>0.48602299999999998</v>
      </c>
      <c r="AV241">
        <f t="shared" si="44"/>
        <v>19.293199999999999</v>
      </c>
      <c r="AW241">
        <f t="shared" si="45"/>
        <v>9.3910615659999994</v>
      </c>
      <c r="AX241" s="9"/>
      <c r="AY241" s="22">
        <v>1.0632299999999999</v>
      </c>
      <c r="AZ241" s="22">
        <v>206.62700000000001</v>
      </c>
      <c r="BA241" s="22">
        <v>-1.86401E-2</v>
      </c>
      <c r="BB241" s="22">
        <v>231</v>
      </c>
      <c r="BC241" s="22">
        <v>1.0620099999999999</v>
      </c>
      <c r="BD241">
        <f t="shared" si="46"/>
        <v>18.6401</v>
      </c>
      <c r="BE241">
        <f t="shared" si="47"/>
        <v>19.818713523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0.48171999999999998</v>
      </c>
      <c r="H242" s="22">
        <v>36.470300000000002</v>
      </c>
      <c r="I242" s="22">
        <v>-1.9152800000000001E-2</v>
      </c>
      <c r="J242" s="22">
        <v>232</v>
      </c>
      <c r="K242" s="22">
        <v>0.48089599999999999</v>
      </c>
      <c r="L242">
        <f t="shared" si="36"/>
        <v>19.152800000000003</v>
      </c>
      <c r="M242">
        <f t="shared" si="37"/>
        <v>9.2262868160000018</v>
      </c>
      <c r="N242" s="9"/>
      <c r="O242" s="22">
        <v>1.0682700000000001</v>
      </c>
      <c r="P242" s="22">
        <v>70.523499999999999</v>
      </c>
      <c r="Q242" s="22">
        <v>-1.85547E-2</v>
      </c>
      <c r="R242" s="22">
        <v>232</v>
      </c>
      <c r="S242" s="22">
        <v>1.0671999999999999</v>
      </c>
      <c r="T242">
        <f t="shared" si="38"/>
        <v>18.5547</v>
      </c>
      <c r="U242">
        <f t="shared" si="39"/>
        <v>19.821429369000001</v>
      </c>
      <c r="X242" s="9"/>
      <c r="Y242" s="22">
        <v>0.48171999999999998</v>
      </c>
      <c r="Z242" s="22">
        <v>104.547</v>
      </c>
      <c r="AA242" s="22">
        <v>-1.9323699999999999E-2</v>
      </c>
      <c r="AB242" s="22">
        <v>232</v>
      </c>
      <c r="AC242" s="22">
        <v>0.48138399999999998</v>
      </c>
      <c r="AD242">
        <f t="shared" si="40"/>
        <v>19.323699999999999</v>
      </c>
      <c r="AE242">
        <f t="shared" si="41"/>
        <v>9.3086127639999994</v>
      </c>
      <c r="AF242" s="9"/>
      <c r="AG242" s="22">
        <v>1.0682700000000001</v>
      </c>
      <c r="AH242" s="22">
        <v>138.553</v>
      </c>
      <c r="AI242" s="22">
        <v>-1.8655399999999999E-2</v>
      </c>
      <c r="AJ242" s="22">
        <v>232</v>
      </c>
      <c r="AK242" s="22">
        <v>1.0671999999999999</v>
      </c>
      <c r="AL242">
        <f t="shared" si="42"/>
        <v>18.6554</v>
      </c>
      <c r="AM242">
        <f t="shared" si="43"/>
        <v>19.929004158000001</v>
      </c>
      <c r="AP242" s="9"/>
      <c r="AQ242" s="22">
        <v>0.48171999999999998</v>
      </c>
      <c r="AR242" s="22">
        <v>172.61099999999999</v>
      </c>
      <c r="AS242" s="22">
        <v>-1.9296299999999999E-2</v>
      </c>
      <c r="AT242" s="22">
        <v>232</v>
      </c>
      <c r="AU242" s="22">
        <v>0.48117100000000002</v>
      </c>
      <c r="AV242">
        <f t="shared" si="44"/>
        <v>19.296299999999999</v>
      </c>
      <c r="AW242">
        <f t="shared" si="45"/>
        <v>9.2954136359999993</v>
      </c>
      <c r="AX242" s="9"/>
      <c r="AY242" s="22">
        <v>1.0682700000000001</v>
      </c>
      <c r="AZ242" s="22">
        <v>206.63800000000001</v>
      </c>
      <c r="BA242" s="22">
        <v>-1.8631000000000002E-2</v>
      </c>
      <c r="BB242" s="22">
        <v>232</v>
      </c>
      <c r="BC242" s="22">
        <v>1.0674999999999999</v>
      </c>
      <c r="BD242">
        <f t="shared" si="46"/>
        <v>18.631</v>
      </c>
      <c r="BE242">
        <f t="shared" si="47"/>
        <v>19.902938370000001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0.47668500000000003</v>
      </c>
      <c r="H243" s="22">
        <v>36.480400000000003</v>
      </c>
      <c r="I243" s="22">
        <v>-1.9152800000000001E-2</v>
      </c>
      <c r="J243" s="22">
        <v>233</v>
      </c>
      <c r="K243" s="22">
        <v>0.47592200000000001</v>
      </c>
      <c r="L243">
        <f t="shared" si="36"/>
        <v>19.152800000000003</v>
      </c>
      <c r="M243">
        <f t="shared" si="37"/>
        <v>9.1298524680000011</v>
      </c>
      <c r="N243" s="9"/>
      <c r="O243" s="22">
        <v>1.0732999999999999</v>
      </c>
      <c r="P243" s="22">
        <v>70.533500000000004</v>
      </c>
      <c r="Q243" s="22">
        <v>-1.8548599999999998E-2</v>
      </c>
      <c r="R243" s="22">
        <v>233</v>
      </c>
      <c r="S243" s="22">
        <v>1.07239</v>
      </c>
      <c r="T243">
        <f t="shared" si="38"/>
        <v>18.548599999999997</v>
      </c>
      <c r="U243">
        <f t="shared" si="39"/>
        <v>19.908212379999995</v>
      </c>
      <c r="X243" s="9"/>
      <c r="Y243" s="22">
        <v>0.47668500000000003</v>
      </c>
      <c r="Z243" s="22">
        <v>104.557</v>
      </c>
      <c r="AA243" s="22">
        <v>-1.9326800000000002E-2</v>
      </c>
      <c r="AB243" s="22">
        <v>233</v>
      </c>
      <c r="AC243" s="22">
        <v>0.47622700000000001</v>
      </c>
      <c r="AD243">
        <f t="shared" si="40"/>
        <v>19.326800000000002</v>
      </c>
      <c r="AE243">
        <f t="shared" si="41"/>
        <v>9.212795658000001</v>
      </c>
      <c r="AF243" s="9"/>
      <c r="AG243" s="22">
        <v>1.0732999999999999</v>
      </c>
      <c r="AH243" s="22">
        <v>138.56299999999999</v>
      </c>
      <c r="AI243" s="22">
        <v>-1.8649300000000001E-2</v>
      </c>
      <c r="AJ243" s="22">
        <v>233</v>
      </c>
      <c r="AK243" s="22">
        <v>1.0720799999999999</v>
      </c>
      <c r="AL243">
        <f t="shared" si="42"/>
        <v>18.6493</v>
      </c>
      <c r="AM243">
        <f t="shared" si="43"/>
        <v>20.016293689999998</v>
      </c>
      <c r="AP243" s="9"/>
      <c r="AQ243" s="22">
        <v>0.47668500000000003</v>
      </c>
      <c r="AR243" s="22">
        <v>172.62100000000001</v>
      </c>
      <c r="AS243" s="22">
        <v>-1.9302400000000001E-2</v>
      </c>
      <c r="AT243" s="22">
        <v>233</v>
      </c>
      <c r="AU243" s="22">
        <v>0.47582999999999998</v>
      </c>
      <c r="AV243">
        <f t="shared" si="44"/>
        <v>19.302400000000002</v>
      </c>
      <c r="AW243">
        <f t="shared" si="45"/>
        <v>9.2011645440000009</v>
      </c>
      <c r="AX243" s="9"/>
      <c r="AY243" s="22">
        <v>1.0732999999999999</v>
      </c>
      <c r="AZ243" s="22">
        <v>206.648</v>
      </c>
      <c r="BA243" s="22">
        <v>-1.8631000000000002E-2</v>
      </c>
      <c r="BB243" s="22">
        <v>233</v>
      </c>
      <c r="BC243" s="22">
        <v>1.0726899999999999</v>
      </c>
      <c r="BD243">
        <f t="shared" si="46"/>
        <v>18.631</v>
      </c>
      <c r="BE243">
        <f t="shared" si="47"/>
        <v>19.996652299999997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0.47164899999999998</v>
      </c>
      <c r="H244" s="22">
        <v>36.490499999999997</v>
      </c>
      <c r="I244" s="22">
        <v>-1.91589E-2</v>
      </c>
      <c r="J244" s="22">
        <v>234</v>
      </c>
      <c r="K244" s="22">
        <v>0.470947</v>
      </c>
      <c r="L244">
        <f t="shared" si="36"/>
        <v>19.158899999999999</v>
      </c>
      <c r="M244">
        <f t="shared" si="37"/>
        <v>9.0362760260999995</v>
      </c>
      <c r="N244" s="9"/>
      <c r="O244" s="22">
        <v>1.0783400000000001</v>
      </c>
      <c r="P244" s="22">
        <v>70.543599999999998</v>
      </c>
      <c r="Q244" s="22">
        <v>-1.8545499999999999E-2</v>
      </c>
      <c r="R244" s="22">
        <v>234</v>
      </c>
      <c r="S244" s="22">
        <v>1.07697</v>
      </c>
      <c r="T244">
        <f t="shared" si="38"/>
        <v>18.545500000000001</v>
      </c>
      <c r="U244">
        <f t="shared" si="39"/>
        <v>19.998354470000002</v>
      </c>
      <c r="X244" s="9"/>
      <c r="Y244" s="22">
        <v>0.47164899999999998</v>
      </c>
      <c r="Z244" s="22">
        <v>104.56699999999999</v>
      </c>
      <c r="AA244" s="22">
        <v>-1.9329800000000001E-2</v>
      </c>
      <c r="AB244" s="22">
        <v>234</v>
      </c>
      <c r="AC244" s="22">
        <v>0.470856</v>
      </c>
      <c r="AD244">
        <f t="shared" si="40"/>
        <v>19.329800000000002</v>
      </c>
      <c r="AE244">
        <f t="shared" si="41"/>
        <v>9.1168808402000003</v>
      </c>
      <c r="AF244" s="9"/>
      <c r="AG244" s="22">
        <v>1.0783400000000001</v>
      </c>
      <c r="AH244" s="22">
        <v>138.57300000000001</v>
      </c>
      <c r="AI244" s="22">
        <v>-1.8643199999999999E-2</v>
      </c>
      <c r="AJ244" s="22">
        <v>234</v>
      </c>
      <c r="AK244" s="22">
        <v>1.07819</v>
      </c>
      <c r="AL244">
        <f t="shared" si="42"/>
        <v>18.6432</v>
      </c>
      <c r="AM244">
        <f t="shared" si="43"/>
        <v>20.103708288</v>
      </c>
      <c r="AP244" s="9"/>
      <c r="AQ244" s="22">
        <v>0.47164899999999998</v>
      </c>
      <c r="AR244" s="22">
        <v>172.63200000000001</v>
      </c>
      <c r="AS244" s="22">
        <v>-1.9311499999999999E-2</v>
      </c>
      <c r="AT244" s="22">
        <v>234</v>
      </c>
      <c r="AU244" s="22">
        <v>0.47100799999999998</v>
      </c>
      <c r="AV244">
        <f t="shared" si="44"/>
        <v>19.311499999999999</v>
      </c>
      <c r="AW244">
        <f t="shared" si="45"/>
        <v>9.1082496634999988</v>
      </c>
      <c r="AX244" s="9"/>
      <c r="AY244" s="22">
        <v>1.0783400000000001</v>
      </c>
      <c r="AZ244" s="22">
        <v>206.65799999999999</v>
      </c>
      <c r="BA244" s="22">
        <v>-1.86249E-2</v>
      </c>
      <c r="BB244" s="22">
        <v>234</v>
      </c>
      <c r="BC244" s="22">
        <v>1.07758</v>
      </c>
      <c r="BD244">
        <f t="shared" si="46"/>
        <v>18.6249</v>
      </c>
      <c r="BE244">
        <f t="shared" si="47"/>
        <v>20.083974666000003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0.46661399999999997</v>
      </c>
      <c r="H245" s="22">
        <v>36.500500000000002</v>
      </c>
      <c r="I245" s="22">
        <v>-1.9161999999999998E-2</v>
      </c>
      <c r="J245" s="22">
        <v>235</v>
      </c>
      <c r="K245" s="22">
        <v>0.466003</v>
      </c>
      <c r="L245">
        <f t="shared" si="36"/>
        <v>19.161999999999999</v>
      </c>
      <c r="M245">
        <f t="shared" si="37"/>
        <v>8.9412574679999999</v>
      </c>
      <c r="N245" s="9"/>
      <c r="O245" s="22">
        <v>1.0833699999999999</v>
      </c>
      <c r="P245" s="22">
        <v>70.553700000000006</v>
      </c>
      <c r="Q245" s="22">
        <v>-1.8539400000000001E-2</v>
      </c>
      <c r="R245" s="22">
        <v>235</v>
      </c>
      <c r="S245" s="22">
        <v>1.0821499999999999</v>
      </c>
      <c r="T245">
        <f t="shared" si="38"/>
        <v>18.539400000000001</v>
      </c>
      <c r="U245">
        <f t="shared" si="39"/>
        <v>20.085029777999999</v>
      </c>
      <c r="X245" s="9"/>
      <c r="Y245" s="22">
        <v>0.46661399999999997</v>
      </c>
      <c r="Z245" s="22">
        <v>104.577</v>
      </c>
      <c r="AA245" s="22">
        <v>-1.93359E-2</v>
      </c>
      <c r="AB245" s="22">
        <v>235</v>
      </c>
      <c r="AC245" s="22">
        <v>0.46588099999999999</v>
      </c>
      <c r="AD245">
        <f t="shared" si="40"/>
        <v>19.335899999999999</v>
      </c>
      <c r="AE245">
        <f t="shared" si="41"/>
        <v>9.0224016425999984</v>
      </c>
      <c r="AF245" s="9"/>
      <c r="AG245" s="22">
        <v>1.0833699999999999</v>
      </c>
      <c r="AH245" s="22">
        <v>138.583</v>
      </c>
      <c r="AI245" s="22">
        <v>-1.86401E-2</v>
      </c>
      <c r="AJ245" s="22">
        <v>235</v>
      </c>
      <c r="AK245" s="22">
        <v>1.08185</v>
      </c>
      <c r="AL245">
        <f t="shared" si="42"/>
        <v>18.6401</v>
      </c>
      <c r="AM245">
        <f t="shared" si="43"/>
        <v>20.194125137</v>
      </c>
      <c r="AP245" s="9"/>
      <c r="AQ245" s="22">
        <v>0.46661399999999997</v>
      </c>
      <c r="AR245" s="22">
        <v>172.642</v>
      </c>
      <c r="AS245" s="22">
        <v>-1.9314600000000001E-2</v>
      </c>
      <c r="AT245" s="22">
        <v>235</v>
      </c>
      <c r="AU245" s="22">
        <v>0.46594200000000002</v>
      </c>
      <c r="AV245">
        <f t="shared" si="44"/>
        <v>19.314600000000002</v>
      </c>
      <c r="AW245">
        <f t="shared" si="45"/>
        <v>9.0124627644000004</v>
      </c>
      <c r="AX245" s="9"/>
      <c r="AY245" s="22">
        <v>1.0833699999999999</v>
      </c>
      <c r="AZ245" s="22">
        <v>206.66800000000001</v>
      </c>
      <c r="BA245" s="22">
        <v>-1.8621800000000001E-2</v>
      </c>
      <c r="BB245" s="22">
        <v>235</v>
      </c>
      <c r="BC245" s="22">
        <v>1.08246</v>
      </c>
      <c r="BD245">
        <f t="shared" si="46"/>
        <v>18.6218</v>
      </c>
      <c r="BE245">
        <f t="shared" si="47"/>
        <v>20.174299466000001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0.46157799999999999</v>
      </c>
      <c r="H246" s="22">
        <v>36.510599999999997</v>
      </c>
      <c r="I246" s="22">
        <v>-1.91681E-2</v>
      </c>
      <c r="J246" s="22">
        <v>236</v>
      </c>
      <c r="K246" s="22">
        <v>0.46106000000000003</v>
      </c>
      <c r="L246">
        <f t="shared" si="36"/>
        <v>19.168099999999999</v>
      </c>
      <c r="M246">
        <f t="shared" si="37"/>
        <v>8.8475732617999991</v>
      </c>
      <c r="N246" s="9"/>
      <c r="O246" s="22">
        <v>1.0884100000000001</v>
      </c>
      <c r="P246" s="22">
        <v>70.563800000000001</v>
      </c>
      <c r="Q246" s="22">
        <v>-1.8533299999999999E-2</v>
      </c>
      <c r="R246" s="22">
        <v>236</v>
      </c>
      <c r="S246" s="22">
        <v>1.08704</v>
      </c>
      <c r="T246">
        <f t="shared" si="38"/>
        <v>18.533300000000001</v>
      </c>
      <c r="U246">
        <f t="shared" si="39"/>
        <v>20.171829053000003</v>
      </c>
      <c r="X246" s="9"/>
      <c r="Y246" s="22">
        <v>0.46157799999999999</v>
      </c>
      <c r="Z246" s="22">
        <v>104.587</v>
      </c>
      <c r="AA246" s="22">
        <v>-1.9342000000000002E-2</v>
      </c>
      <c r="AB246" s="22">
        <v>236</v>
      </c>
      <c r="AC246" s="22">
        <v>0.46109</v>
      </c>
      <c r="AD246">
        <f t="shared" si="40"/>
        <v>19.342000000000002</v>
      </c>
      <c r="AE246">
        <f t="shared" si="41"/>
        <v>8.9278416760000017</v>
      </c>
      <c r="AF246" s="9"/>
      <c r="AG246" s="22">
        <v>1.0884100000000001</v>
      </c>
      <c r="AH246" s="22">
        <v>138.59299999999999</v>
      </c>
      <c r="AI246" s="22">
        <v>-1.8634000000000001E-2</v>
      </c>
      <c r="AJ246" s="22">
        <v>236</v>
      </c>
      <c r="AK246" s="22">
        <v>1.08795</v>
      </c>
      <c r="AL246">
        <f t="shared" si="42"/>
        <v>18.634</v>
      </c>
      <c r="AM246">
        <f t="shared" si="43"/>
        <v>20.281431940000001</v>
      </c>
      <c r="AP246" s="9"/>
      <c r="AQ246" s="22">
        <v>0.46157799999999999</v>
      </c>
      <c r="AR246" s="22">
        <v>172.65199999999999</v>
      </c>
      <c r="AS246" s="22">
        <v>-1.9326800000000002E-2</v>
      </c>
      <c r="AT246" s="22">
        <v>236</v>
      </c>
      <c r="AU246" s="22">
        <v>0.46087600000000001</v>
      </c>
      <c r="AV246">
        <f t="shared" si="44"/>
        <v>19.326800000000002</v>
      </c>
      <c r="AW246">
        <f t="shared" si="45"/>
        <v>8.920825690400001</v>
      </c>
      <c r="AX246" s="9"/>
      <c r="AY246" s="22">
        <v>1.0884100000000001</v>
      </c>
      <c r="AZ246" s="22">
        <v>206.678</v>
      </c>
      <c r="BA246" s="22">
        <v>-1.8615699999999999E-2</v>
      </c>
      <c r="BB246" s="22">
        <v>236</v>
      </c>
      <c r="BC246" s="22">
        <v>1.08734</v>
      </c>
      <c r="BD246">
        <f t="shared" si="46"/>
        <v>18.6157</v>
      </c>
      <c r="BE246">
        <f t="shared" si="47"/>
        <v>20.261514037000001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0.45654299999999998</v>
      </c>
      <c r="H247" s="22">
        <v>36.520699999999998</v>
      </c>
      <c r="I247" s="22">
        <v>-1.9174199999999999E-2</v>
      </c>
      <c r="J247" s="22">
        <v>237</v>
      </c>
      <c r="K247" s="22">
        <v>0.45574999999999999</v>
      </c>
      <c r="L247">
        <f t="shared" si="36"/>
        <v>19.174199999999999</v>
      </c>
      <c r="M247">
        <f t="shared" si="37"/>
        <v>8.753846790599999</v>
      </c>
      <c r="N247" s="9"/>
      <c r="O247" s="22">
        <v>1.09344</v>
      </c>
      <c r="P247" s="22">
        <v>70.573800000000006</v>
      </c>
      <c r="Q247" s="22">
        <v>-1.8527200000000001E-2</v>
      </c>
      <c r="R247" s="22">
        <v>237</v>
      </c>
      <c r="S247" s="22">
        <v>1.09192</v>
      </c>
      <c r="T247">
        <f t="shared" si="38"/>
        <v>18.527200000000001</v>
      </c>
      <c r="U247">
        <f t="shared" si="39"/>
        <v>20.258381568000001</v>
      </c>
      <c r="X247" s="9"/>
      <c r="Y247" s="22">
        <v>0.45654299999999998</v>
      </c>
      <c r="Z247" s="22">
        <v>104.59699999999999</v>
      </c>
      <c r="AA247" s="22">
        <v>-1.93481E-2</v>
      </c>
      <c r="AB247" s="22">
        <v>237</v>
      </c>
      <c r="AC247" s="22">
        <v>0.455841</v>
      </c>
      <c r="AD247">
        <f t="shared" si="40"/>
        <v>19.348099999999999</v>
      </c>
      <c r="AE247">
        <f t="shared" si="41"/>
        <v>8.8332396182999986</v>
      </c>
      <c r="AF247" s="9"/>
      <c r="AG247" s="22">
        <v>1.09344</v>
      </c>
      <c r="AH247" s="22">
        <v>138.60300000000001</v>
      </c>
      <c r="AI247" s="22">
        <v>-1.86249E-2</v>
      </c>
      <c r="AJ247" s="22">
        <v>237</v>
      </c>
      <c r="AK247" s="22">
        <v>1.09253</v>
      </c>
      <c r="AL247">
        <f t="shared" si="42"/>
        <v>18.6249</v>
      </c>
      <c r="AM247">
        <f t="shared" si="43"/>
        <v>20.365210655999999</v>
      </c>
      <c r="AP247" s="9"/>
      <c r="AQ247" s="22">
        <v>0.45654299999999998</v>
      </c>
      <c r="AR247" s="22">
        <v>172.66200000000001</v>
      </c>
      <c r="AS247" s="22">
        <v>-1.9329800000000001E-2</v>
      </c>
      <c r="AT247" s="22">
        <v>237</v>
      </c>
      <c r="AU247" s="22">
        <v>0.45568799999999998</v>
      </c>
      <c r="AV247">
        <f t="shared" si="44"/>
        <v>19.329800000000002</v>
      </c>
      <c r="AW247">
        <f t="shared" si="45"/>
        <v>8.8248848814000009</v>
      </c>
      <c r="AX247" s="9"/>
      <c r="AY247" s="22">
        <v>1.09344</v>
      </c>
      <c r="AZ247" s="22">
        <v>206.68799999999999</v>
      </c>
      <c r="BA247" s="22">
        <v>-1.8612699999999999E-2</v>
      </c>
      <c r="BB247" s="22">
        <v>237</v>
      </c>
      <c r="BC247" s="22">
        <v>1.09222</v>
      </c>
      <c r="BD247">
        <f t="shared" si="46"/>
        <v>18.6127</v>
      </c>
      <c r="BE247">
        <f t="shared" si="47"/>
        <v>20.351870687999998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0.45150800000000002</v>
      </c>
      <c r="H248" s="22">
        <v>36.530799999999999</v>
      </c>
      <c r="I248" s="22">
        <v>-1.9180300000000001E-2</v>
      </c>
      <c r="J248" s="22">
        <v>238</v>
      </c>
      <c r="K248" s="22">
        <v>0.45086700000000002</v>
      </c>
      <c r="L248">
        <f t="shared" si="36"/>
        <v>19.180300000000003</v>
      </c>
      <c r="M248">
        <f t="shared" si="37"/>
        <v>8.6600588924000022</v>
      </c>
      <c r="N248" s="9"/>
      <c r="O248" s="22">
        <v>1.0984799999999999</v>
      </c>
      <c r="P248" s="22">
        <v>70.5839</v>
      </c>
      <c r="Q248" s="22">
        <v>-1.8521099999999999E-2</v>
      </c>
      <c r="R248" s="22">
        <v>238</v>
      </c>
      <c r="S248" s="22">
        <v>1.09863</v>
      </c>
      <c r="T248">
        <f t="shared" si="38"/>
        <v>18.521099999999997</v>
      </c>
      <c r="U248">
        <f t="shared" si="39"/>
        <v>20.345057927999996</v>
      </c>
      <c r="X248" s="9"/>
      <c r="Y248" s="22">
        <v>0.45150800000000002</v>
      </c>
      <c r="Z248" s="22">
        <v>104.607</v>
      </c>
      <c r="AA248" s="22">
        <v>-1.9357300000000001E-2</v>
      </c>
      <c r="AB248" s="22">
        <v>238</v>
      </c>
      <c r="AC248" s="22">
        <v>0.45068399999999997</v>
      </c>
      <c r="AD248">
        <f t="shared" si="40"/>
        <v>19.357300000000002</v>
      </c>
      <c r="AE248">
        <f t="shared" si="41"/>
        <v>8.7399758084000005</v>
      </c>
      <c r="AF248" s="9"/>
      <c r="AG248" s="22">
        <v>1.0984799999999999</v>
      </c>
      <c r="AH248" s="22">
        <v>138.613</v>
      </c>
      <c r="AI248" s="22">
        <v>-1.8618800000000001E-2</v>
      </c>
      <c r="AJ248" s="22">
        <v>238</v>
      </c>
      <c r="AK248" s="22">
        <v>1.09772</v>
      </c>
      <c r="AL248">
        <f t="shared" si="42"/>
        <v>18.6188</v>
      </c>
      <c r="AM248">
        <f t="shared" si="43"/>
        <v>20.452379424</v>
      </c>
      <c r="AP248" s="9"/>
      <c r="AQ248" s="22">
        <v>0.45150800000000002</v>
      </c>
      <c r="AR248" s="22">
        <v>172.672</v>
      </c>
      <c r="AS248" s="22">
        <v>-1.93359E-2</v>
      </c>
      <c r="AT248" s="22">
        <v>238</v>
      </c>
      <c r="AU248" s="22">
        <v>0.45083600000000001</v>
      </c>
      <c r="AV248">
        <f t="shared" si="44"/>
        <v>19.335899999999999</v>
      </c>
      <c r="AW248">
        <f t="shared" si="45"/>
        <v>8.7303135372000007</v>
      </c>
      <c r="AX248" s="9"/>
      <c r="AY248" s="22">
        <v>1.0984799999999999</v>
      </c>
      <c r="AZ248" s="22">
        <v>206.69800000000001</v>
      </c>
      <c r="BA248" s="22">
        <v>-1.86096E-2</v>
      </c>
      <c r="BB248" s="22">
        <v>238</v>
      </c>
      <c r="BC248" s="22">
        <v>1.09772</v>
      </c>
      <c r="BD248">
        <f t="shared" si="46"/>
        <v>18.6096</v>
      </c>
      <c r="BE248">
        <f t="shared" si="47"/>
        <v>20.442273407999998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0.44647199999999998</v>
      </c>
      <c r="H249" s="22">
        <v>36.540799999999997</v>
      </c>
      <c r="I249" s="22">
        <v>-1.91833E-2</v>
      </c>
      <c r="J249" s="22">
        <v>239</v>
      </c>
      <c r="K249" s="22">
        <v>0.44577</v>
      </c>
      <c r="L249">
        <f t="shared" si="36"/>
        <v>19.183299999999999</v>
      </c>
      <c r="M249">
        <f t="shared" si="37"/>
        <v>8.5648063175999987</v>
      </c>
      <c r="N249" s="9"/>
      <c r="O249" s="22">
        <v>1.1035200000000001</v>
      </c>
      <c r="P249" s="22">
        <v>70.593999999999994</v>
      </c>
      <c r="Q249" s="22">
        <v>-1.8515E-2</v>
      </c>
      <c r="R249" s="22">
        <v>239</v>
      </c>
      <c r="S249" s="22">
        <v>1.1029100000000001</v>
      </c>
      <c r="T249">
        <f t="shared" si="38"/>
        <v>18.515000000000001</v>
      </c>
      <c r="U249">
        <f t="shared" si="39"/>
        <v>20.431672800000001</v>
      </c>
      <c r="X249" s="9"/>
      <c r="Y249" s="22">
        <v>0.44647199999999998</v>
      </c>
      <c r="Z249" s="22">
        <v>104.617</v>
      </c>
      <c r="AA249" s="22">
        <v>-1.9363399999999999E-2</v>
      </c>
      <c r="AB249" s="22">
        <v>239</v>
      </c>
      <c r="AC249" s="22">
        <v>0.44564799999999999</v>
      </c>
      <c r="AD249">
        <f t="shared" si="40"/>
        <v>19.363399999999999</v>
      </c>
      <c r="AE249">
        <f t="shared" si="41"/>
        <v>8.6452159247999987</v>
      </c>
      <c r="AF249" s="9"/>
      <c r="AG249" s="22">
        <v>1.1035200000000001</v>
      </c>
      <c r="AH249" s="22">
        <v>138.62299999999999</v>
      </c>
      <c r="AI249" s="22">
        <v>-1.8612699999999999E-2</v>
      </c>
      <c r="AJ249" s="22">
        <v>239</v>
      </c>
      <c r="AK249" s="22">
        <v>1.10229</v>
      </c>
      <c r="AL249">
        <f t="shared" si="42"/>
        <v>18.6127</v>
      </c>
      <c r="AM249">
        <f t="shared" si="43"/>
        <v>20.539486704000002</v>
      </c>
      <c r="AP249" s="9"/>
      <c r="AQ249" s="22">
        <v>0.44647199999999998</v>
      </c>
      <c r="AR249" s="22">
        <v>172.68199999999999</v>
      </c>
      <c r="AS249" s="22">
        <v>-1.9342000000000002E-2</v>
      </c>
      <c r="AT249" s="22">
        <v>239</v>
      </c>
      <c r="AU249" s="22">
        <v>0.44567899999999999</v>
      </c>
      <c r="AV249">
        <f t="shared" si="44"/>
        <v>19.342000000000002</v>
      </c>
      <c r="AW249">
        <f t="shared" si="45"/>
        <v>8.6356614240000003</v>
      </c>
      <c r="AX249" s="9"/>
      <c r="AY249" s="22">
        <v>1.1035200000000001</v>
      </c>
      <c r="AZ249" s="22">
        <v>206.708</v>
      </c>
      <c r="BA249" s="22">
        <v>-1.8603499999999999E-2</v>
      </c>
      <c r="BB249" s="22">
        <v>239</v>
      </c>
      <c r="BC249" s="22">
        <v>1.10229</v>
      </c>
      <c r="BD249">
        <f t="shared" si="46"/>
        <v>18.603499999999997</v>
      </c>
      <c r="BE249">
        <f t="shared" si="47"/>
        <v>20.529334319999997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0.44143700000000002</v>
      </c>
      <c r="H250" s="22">
        <v>36.550899999999999</v>
      </c>
      <c r="I250" s="22">
        <v>-1.9189500000000002E-2</v>
      </c>
      <c r="J250" s="22">
        <v>240</v>
      </c>
      <c r="K250" s="22">
        <v>0.44070399999999998</v>
      </c>
      <c r="L250">
        <f t="shared" si="36"/>
        <v>19.189500000000002</v>
      </c>
      <c r="M250">
        <f t="shared" si="37"/>
        <v>8.4709553115000009</v>
      </c>
      <c r="N250" s="9"/>
      <c r="O250" s="22">
        <v>1.1085499999999999</v>
      </c>
      <c r="P250" s="22">
        <v>70.603999999999999</v>
      </c>
      <c r="Q250" s="22">
        <v>-1.8508899999999998E-2</v>
      </c>
      <c r="R250" s="22">
        <v>240</v>
      </c>
      <c r="S250" s="22">
        <v>1.10748</v>
      </c>
      <c r="T250">
        <f t="shared" si="38"/>
        <v>18.508899999999997</v>
      </c>
      <c r="U250">
        <f t="shared" si="39"/>
        <v>20.518041094999994</v>
      </c>
      <c r="X250" s="9"/>
      <c r="Y250" s="22">
        <v>0.44143700000000002</v>
      </c>
      <c r="Z250" s="22">
        <v>104.627</v>
      </c>
      <c r="AA250" s="22">
        <v>-1.9366499999999998E-2</v>
      </c>
      <c r="AB250" s="22">
        <v>240</v>
      </c>
      <c r="AC250" s="22">
        <v>0.44079600000000002</v>
      </c>
      <c r="AD250">
        <f t="shared" si="40"/>
        <v>19.366499999999998</v>
      </c>
      <c r="AE250">
        <f t="shared" si="41"/>
        <v>8.5490896605</v>
      </c>
      <c r="AF250" s="9"/>
      <c r="AG250" s="22">
        <v>1.1085499999999999</v>
      </c>
      <c r="AH250" s="22">
        <v>138.63300000000001</v>
      </c>
      <c r="AI250" s="22">
        <v>-1.8603499999999999E-2</v>
      </c>
      <c r="AJ250" s="22">
        <v>240</v>
      </c>
      <c r="AK250" s="22">
        <v>1.1077900000000001</v>
      </c>
      <c r="AL250">
        <f t="shared" si="42"/>
        <v>18.603499999999997</v>
      </c>
      <c r="AM250">
        <f t="shared" si="43"/>
        <v>20.622909924999995</v>
      </c>
      <c r="AP250" s="9"/>
      <c r="AQ250" s="22">
        <v>0.44143700000000002</v>
      </c>
      <c r="AR250" s="22">
        <v>172.69200000000001</v>
      </c>
      <c r="AS250" s="22">
        <v>-1.9342000000000002E-2</v>
      </c>
      <c r="AT250" s="22">
        <v>240</v>
      </c>
      <c r="AU250" s="22">
        <v>0.44091799999999998</v>
      </c>
      <c r="AV250">
        <f t="shared" si="44"/>
        <v>19.342000000000002</v>
      </c>
      <c r="AW250">
        <f t="shared" si="45"/>
        <v>8.5382744540000015</v>
      </c>
      <c r="AX250" s="9"/>
      <c r="AY250" s="22">
        <v>1.1085499999999999</v>
      </c>
      <c r="AZ250" s="22">
        <v>206.71799999999999</v>
      </c>
      <c r="BA250" s="22">
        <v>-1.8603499999999999E-2</v>
      </c>
      <c r="BB250" s="22">
        <v>240</v>
      </c>
      <c r="BC250" s="22">
        <v>1.10748</v>
      </c>
      <c r="BD250">
        <f t="shared" si="46"/>
        <v>18.603499999999997</v>
      </c>
      <c r="BE250">
        <f t="shared" si="47"/>
        <v>20.622909924999995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0.43640099999999998</v>
      </c>
      <c r="H251" s="22">
        <v>36.561</v>
      </c>
      <c r="I251" s="22">
        <v>-1.9192500000000001E-2</v>
      </c>
      <c r="J251" s="22">
        <v>241</v>
      </c>
      <c r="K251" s="22">
        <v>0.43588300000000002</v>
      </c>
      <c r="L251">
        <f t="shared" si="36"/>
        <v>19.192500000000003</v>
      </c>
      <c r="M251">
        <f t="shared" si="37"/>
        <v>8.3756261925000004</v>
      </c>
      <c r="N251" s="9"/>
      <c r="O251" s="22">
        <v>1.1135900000000001</v>
      </c>
      <c r="P251" s="22">
        <v>70.614099999999993</v>
      </c>
      <c r="Q251" s="22">
        <v>-1.8505899999999999E-2</v>
      </c>
      <c r="R251" s="22">
        <v>241</v>
      </c>
      <c r="S251" s="22">
        <v>1.11267</v>
      </c>
      <c r="T251">
        <f t="shared" si="38"/>
        <v>18.5059</v>
      </c>
      <c r="U251">
        <f t="shared" si="39"/>
        <v>20.607985181000004</v>
      </c>
      <c r="X251" s="9"/>
      <c r="Y251" s="22">
        <v>0.43640099999999998</v>
      </c>
      <c r="Z251" s="22">
        <v>104.637</v>
      </c>
      <c r="AA251" s="22">
        <v>-1.9366499999999998E-2</v>
      </c>
      <c r="AB251" s="22">
        <v>241</v>
      </c>
      <c r="AC251" s="22">
        <v>0.435699</v>
      </c>
      <c r="AD251">
        <f t="shared" si="40"/>
        <v>19.366499999999998</v>
      </c>
      <c r="AE251">
        <f t="shared" si="41"/>
        <v>8.4515599664999996</v>
      </c>
      <c r="AF251" s="9"/>
      <c r="AG251" s="22">
        <v>1.1135900000000001</v>
      </c>
      <c r="AH251" s="22">
        <v>138.643</v>
      </c>
      <c r="AI251" s="22">
        <v>-1.8600499999999999E-2</v>
      </c>
      <c r="AJ251" s="22">
        <v>241</v>
      </c>
      <c r="AK251" s="22">
        <v>1.1123700000000001</v>
      </c>
      <c r="AL251">
        <f t="shared" si="42"/>
        <v>18.6005</v>
      </c>
      <c r="AM251">
        <f t="shared" si="43"/>
        <v>20.713330795000001</v>
      </c>
      <c r="AP251" s="9"/>
      <c r="AQ251" s="22">
        <v>0.43640099999999998</v>
      </c>
      <c r="AR251" s="22">
        <v>172.702</v>
      </c>
      <c r="AS251" s="22">
        <v>-1.9354199999999998E-2</v>
      </c>
      <c r="AT251" s="22">
        <v>241</v>
      </c>
      <c r="AU251" s="22">
        <v>0.43579099999999998</v>
      </c>
      <c r="AV251">
        <f t="shared" si="44"/>
        <v>19.354199999999999</v>
      </c>
      <c r="AW251">
        <f t="shared" si="45"/>
        <v>8.4461922341999998</v>
      </c>
      <c r="AX251" s="9"/>
      <c r="AY251" s="22">
        <v>1.1135900000000001</v>
      </c>
      <c r="AZ251" s="22">
        <v>206.72800000000001</v>
      </c>
      <c r="BA251" s="22">
        <v>-1.8600499999999999E-2</v>
      </c>
      <c r="BB251" s="22">
        <v>241</v>
      </c>
      <c r="BC251" s="22">
        <v>1.1123700000000001</v>
      </c>
      <c r="BD251">
        <f t="shared" si="46"/>
        <v>18.6005</v>
      </c>
      <c r="BE251">
        <f t="shared" si="47"/>
        <v>20.713330795000001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0.43136600000000003</v>
      </c>
      <c r="H252" s="22">
        <v>36.570999999999998</v>
      </c>
      <c r="I252" s="22">
        <v>-1.91986E-2</v>
      </c>
      <c r="J252" s="22">
        <v>242</v>
      </c>
      <c r="K252" s="22">
        <v>0.43051099999999998</v>
      </c>
      <c r="L252">
        <f t="shared" si="36"/>
        <v>19.198599999999999</v>
      </c>
      <c r="M252">
        <f t="shared" si="37"/>
        <v>8.2816232876000004</v>
      </c>
      <c r="N252" s="9"/>
      <c r="O252" s="22">
        <v>1.1186199999999999</v>
      </c>
      <c r="P252" s="22">
        <v>70.624200000000002</v>
      </c>
      <c r="Q252" s="22">
        <v>-1.84998E-2</v>
      </c>
      <c r="R252" s="22">
        <v>242</v>
      </c>
      <c r="S252" s="22">
        <v>1.11755</v>
      </c>
      <c r="T252">
        <f t="shared" si="38"/>
        <v>18.4998</v>
      </c>
      <c r="U252">
        <f t="shared" si="39"/>
        <v>20.694246276000001</v>
      </c>
      <c r="X252" s="9"/>
      <c r="Y252" s="22">
        <v>0.43136600000000003</v>
      </c>
      <c r="Z252" s="22">
        <v>104.64700000000001</v>
      </c>
      <c r="AA252" s="22">
        <v>-1.9366499999999998E-2</v>
      </c>
      <c r="AB252" s="22">
        <v>242</v>
      </c>
      <c r="AC252" s="22">
        <v>0.43063400000000002</v>
      </c>
      <c r="AD252">
        <f t="shared" si="40"/>
        <v>19.366499999999998</v>
      </c>
      <c r="AE252">
        <f t="shared" si="41"/>
        <v>8.3540496389999994</v>
      </c>
      <c r="AF252" s="9"/>
      <c r="AG252" s="22">
        <v>1.1186199999999999</v>
      </c>
      <c r="AH252" s="22">
        <v>138.65299999999999</v>
      </c>
      <c r="AI252" s="22">
        <v>-1.8591300000000002E-2</v>
      </c>
      <c r="AJ252" s="22">
        <v>242</v>
      </c>
      <c r="AK252" s="22">
        <v>1.1178600000000001</v>
      </c>
      <c r="AL252">
        <f t="shared" si="42"/>
        <v>18.5913</v>
      </c>
      <c r="AM252">
        <f t="shared" si="43"/>
        <v>20.796600005999998</v>
      </c>
      <c r="AP252" s="9"/>
      <c r="AQ252" s="22">
        <v>0.43136600000000003</v>
      </c>
      <c r="AR252" s="22">
        <v>172.71199999999999</v>
      </c>
      <c r="AS252" s="22">
        <v>-1.93604E-2</v>
      </c>
      <c r="AT252" s="22">
        <v>242</v>
      </c>
      <c r="AU252" s="22">
        <v>0.43072500000000002</v>
      </c>
      <c r="AV252">
        <f t="shared" si="44"/>
        <v>19.360399999999998</v>
      </c>
      <c r="AW252">
        <f t="shared" si="45"/>
        <v>8.3514183063999994</v>
      </c>
      <c r="AX252" s="9"/>
      <c r="AY252" s="22">
        <v>1.1186199999999999</v>
      </c>
      <c r="AZ252" s="22">
        <v>206.738</v>
      </c>
      <c r="BA252" s="22">
        <v>-1.8594400000000001E-2</v>
      </c>
      <c r="BB252" s="22">
        <v>242</v>
      </c>
      <c r="BC252" s="22">
        <v>1.11755</v>
      </c>
      <c r="BD252">
        <f t="shared" si="46"/>
        <v>18.5944</v>
      </c>
      <c r="BE252">
        <f t="shared" si="47"/>
        <v>20.800067727999998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0.42633100000000002</v>
      </c>
      <c r="H253" s="22">
        <v>36.581099999999999</v>
      </c>
      <c r="I253" s="22">
        <v>-1.9204700000000002E-2</v>
      </c>
      <c r="J253" s="22">
        <v>243</v>
      </c>
      <c r="K253" s="22">
        <v>0.42599500000000001</v>
      </c>
      <c r="L253">
        <f t="shared" si="36"/>
        <v>19.204700000000003</v>
      </c>
      <c r="M253">
        <f t="shared" si="37"/>
        <v>8.1875589557000019</v>
      </c>
      <c r="N253" s="9"/>
      <c r="O253" s="22">
        <v>1.1236600000000001</v>
      </c>
      <c r="P253" s="22">
        <v>70.634299999999996</v>
      </c>
      <c r="Q253" s="22">
        <v>-1.8496700000000001E-2</v>
      </c>
      <c r="R253" s="22">
        <v>243</v>
      </c>
      <c r="S253" s="22">
        <v>1.1230500000000001</v>
      </c>
      <c r="T253">
        <f t="shared" si="38"/>
        <v>18.496700000000001</v>
      </c>
      <c r="U253">
        <f t="shared" si="39"/>
        <v>20.784001922000002</v>
      </c>
      <c r="X253" s="9"/>
      <c r="Y253" s="22">
        <v>0.42633100000000002</v>
      </c>
      <c r="Z253" s="22">
        <v>104.657</v>
      </c>
      <c r="AA253" s="22">
        <v>-1.93726E-2</v>
      </c>
      <c r="AB253" s="22">
        <v>243</v>
      </c>
      <c r="AC253" s="22">
        <v>0.42550700000000002</v>
      </c>
      <c r="AD253">
        <f t="shared" si="40"/>
        <v>19.372599999999998</v>
      </c>
      <c r="AE253">
        <f t="shared" si="41"/>
        <v>8.2591399306</v>
      </c>
      <c r="AF253" s="9"/>
      <c r="AG253" s="22">
        <v>1.1236600000000001</v>
      </c>
      <c r="AH253" s="22">
        <v>138.66399999999999</v>
      </c>
      <c r="AI253" s="22">
        <v>-1.8588299999999999E-2</v>
      </c>
      <c r="AJ253" s="22">
        <v>243</v>
      </c>
      <c r="AK253" s="22">
        <v>1.1230500000000001</v>
      </c>
      <c r="AL253">
        <f t="shared" si="42"/>
        <v>18.5883</v>
      </c>
      <c r="AM253">
        <f t="shared" si="43"/>
        <v>20.886929178000003</v>
      </c>
      <c r="AP253" s="9"/>
      <c r="AQ253" s="22">
        <v>0.42633100000000002</v>
      </c>
      <c r="AR253" s="22">
        <v>172.72200000000001</v>
      </c>
      <c r="AS253" s="22">
        <v>-1.9363399999999999E-2</v>
      </c>
      <c r="AT253" s="22">
        <v>243</v>
      </c>
      <c r="AU253" s="22">
        <v>0.42538500000000001</v>
      </c>
      <c r="AV253">
        <f t="shared" si="44"/>
        <v>19.363399999999999</v>
      </c>
      <c r="AW253">
        <f t="shared" si="45"/>
        <v>8.2552176853999999</v>
      </c>
      <c r="AX253" s="9"/>
      <c r="AY253" s="22">
        <v>1.1236600000000001</v>
      </c>
      <c r="AZ253" s="22">
        <v>206.74799999999999</v>
      </c>
      <c r="BA253" s="22">
        <v>-1.8588299999999999E-2</v>
      </c>
      <c r="BB253" s="22">
        <v>243</v>
      </c>
      <c r="BC253" s="22">
        <v>1.1230500000000001</v>
      </c>
      <c r="BD253">
        <f t="shared" si="46"/>
        <v>18.5883</v>
      </c>
      <c r="BE253">
        <f t="shared" si="47"/>
        <v>20.886929178000003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0.42129499999999998</v>
      </c>
      <c r="H254" s="22">
        <v>36.591200000000001</v>
      </c>
      <c r="I254" s="22">
        <v>-1.92108E-2</v>
      </c>
      <c r="J254" s="22">
        <v>244</v>
      </c>
      <c r="K254" s="22">
        <v>0.42047099999999998</v>
      </c>
      <c r="L254">
        <f t="shared" si="36"/>
        <v>19.210799999999999</v>
      </c>
      <c r="M254">
        <f t="shared" si="37"/>
        <v>8.0934139859999998</v>
      </c>
      <c r="N254" s="9"/>
      <c r="O254" s="22">
        <v>1.12869</v>
      </c>
      <c r="P254" s="22">
        <v>70.644300000000001</v>
      </c>
      <c r="Q254" s="22">
        <v>-1.8490599999999999E-2</v>
      </c>
      <c r="R254" s="22">
        <v>244</v>
      </c>
      <c r="S254" s="22">
        <v>1.1279300000000001</v>
      </c>
      <c r="T254">
        <f t="shared" si="38"/>
        <v>18.490600000000001</v>
      </c>
      <c r="U254">
        <f t="shared" si="39"/>
        <v>20.870155314000002</v>
      </c>
      <c r="X254" s="9"/>
      <c r="Y254" s="22">
        <v>0.42129499999999998</v>
      </c>
      <c r="Z254" s="22">
        <v>104.667</v>
      </c>
      <c r="AA254" s="22">
        <v>-1.9378699999999999E-2</v>
      </c>
      <c r="AB254" s="22">
        <v>244</v>
      </c>
      <c r="AC254" s="22">
        <v>0.42068499999999998</v>
      </c>
      <c r="AD254">
        <f t="shared" si="40"/>
        <v>19.378699999999998</v>
      </c>
      <c r="AE254">
        <f t="shared" si="41"/>
        <v>8.164149416499999</v>
      </c>
      <c r="AF254" s="9"/>
      <c r="AG254" s="22">
        <v>1.12869</v>
      </c>
      <c r="AH254" s="22">
        <v>138.67400000000001</v>
      </c>
      <c r="AI254" s="22">
        <v>-1.85822E-2</v>
      </c>
      <c r="AJ254" s="22">
        <v>244</v>
      </c>
      <c r="AK254" s="22">
        <v>1.1276200000000001</v>
      </c>
      <c r="AL254">
        <f t="shared" si="42"/>
        <v>18.5822</v>
      </c>
      <c r="AM254">
        <f t="shared" si="43"/>
        <v>20.973543318000001</v>
      </c>
      <c r="AP254" s="9"/>
      <c r="AQ254" s="22">
        <v>0.42129499999999998</v>
      </c>
      <c r="AR254" s="22">
        <v>172.732</v>
      </c>
      <c r="AS254" s="22">
        <v>-1.9369500000000001E-2</v>
      </c>
      <c r="AT254" s="22">
        <v>244</v>
      </c>
      <c r="AU254" s="22">
        <v>0.42083700000000002</v>
      </c>
      <c r="AV254">
        <f t="shared" si="44"/>
        <v>19.369500000000002</v>
      </c>
      <c r="AW254">
        <f t="shared" si="45"/>
        <v>8.1602735025000008</v>
      </c>
      <c r="AX254" s="9"/>
      <c r="AY254" s="22">
        <v>1.12869</v>
      </c>
      <c r="AZ254" s="22">
        <v>206.75800000000001</v>
      </c>
      <c r="BA254" s="22">
        <v>-1.8579100000000001E-2</v>
      </c>
      <c r="BB254" s="22">
        <v>244</v>
      </c>
      <c r="BC254" s="22">
        <v>1.1282300000000001</v>
      </c>
      <c r="BD254">
        <f t="shared" si="46"/>
        <v>18.5791</v>
      </c>
      <c r="BE254">
        <f t="shared" si="47"/>
        <v>20.970044379000001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0.41626000000000002</v>
      </c>
      <c r="H255" s="22">
        <v>36.601300000000002</v>
      </c>
      <c r="I255" s="22">
        <v>-1.9216899999999999E-2</v>
      </c>
      <c r="J255" s="22">
        <v>245</v>
      </c>
      <c r="K255" s="22">
        <v>0.41528300000000001</v>
      </c>
      <c r="L255">
        <f t="shared" si="36"/>
        <v>19.216899999999999</v>
      </c>
      <c r="M255">
        <f t="shared" si="37"/>
        <v>7.9992267940000001</v>
      </c>
      <c r="N255" s="9"/>
      <c r="O255" s="22">
        <v>1.1337299999999999</v>
      </c>
      <c r="P255" s="22">
        <v>70.654399999999995</v>
      </c>
      <c r="Q255" s="22">
        <v>-1.8484500000000001E-2</v>
      </c>
      <c r="R255" s="22">
        <v>245</v>
      </c>
      <c r="S255" s="22">
        <v>1.1325099999999999</v>
      </c>
      <c r="T255">
        <f t="shared" si="38"/>
        <v>18.484500000000001</v>
      </c>
      <c r="U255">
        <f t="shared" si="39"/>
        <v>20.956432185000001</v>
      </c>
      <c r="X255" s="9"/>
      <c r="Y255" s="22">
        <v>0.41626000000000002</v>
      </c>
      <c r="Z255" s="22">
        <v>104.678</v>
      </c>
      <c r="AA255" s="22">
        <v>-1.93878E-2</v>
      </c>
      <c r="AB255" s="22">
        <v>245</v>
      </c>
      <c r="AC255" s="22">
        <v>0.41549700000000001</v>
      </c>
      <c r="AD255">
        <f t="shared" si="40"/>
        <v>19.387799999999999</v>
      </c>
      <c r="AE255">
        <f t="shared" si="41"/>
        <v>8.0703656279999993</v>
      </c>
      <c r="AF255" s="9"/>
      <c r="AG255" s="22">
        <v>1.1337299999999999</v>
      </c>
      <c r="AH255" s="22">
        <v>138.684</v>
      </c>
      <c r="AI255" s="22">
        <v>-1.8572999999999999E-2</v>
      </c>
      <c r="AJ255" s="22">
        <v>245</v>
      </c>
      <c r="AK255" s="22">
        <v>1.1328100000000001</v>
      </c>
      <c r="AL255">
        <f t="shared" si="42"/>
        <v>18.573</v>
      </c>
      <c r="AM255">
        <f t="shared" si="43"/>
        <v>21.05676729</v>
      </c>
      <c r="AP255" s="9"/>
      <c r="AQ255" s="22">
        <v>0.41626000000000002</v>
      </c>
      <c r="AR255" s="22">
        <v>172.74199999999999</v>
      </c>
      <c r="AS255" s="22">
        <v>-1.9369500000000001E-2</v>
      </c>
      <c r="AT255" s="22">
        <v>245</v>
      </c>
      <c r="AU255" s="22">
        <v>0.41561900000000002</v>
      </c>
      <c r="AV255">
        <f t="shared" si="44"/>
        <v>19.369500000000002</v>
      </c>
      <c r="AW255">
        <f t="shared" si="45"/>
        <v>8.0627480700000014</v>
      </c>
      <c r="AX255" s="9"/>
      <c r="AY255" s="22">
        <v>1.1337299999999999</v>
      </c>
      <c r="AZ255" s="22">
        <v>206.768</v>
      </c>
      <c r="BA255" s="22">
        <v>-1.85699E-2</v>
      </c>
      <c r="BB255" s="22">
        <v>245</v>
      </c>
      <c r="BC255" s="22">
        <v>1.1328100000000001</v>
      </c>
      <c r="BD255">
        <f t="shared" si="46"/>
        <v>18.569900000000001</v>
      </c>
      <c r="BE255">
        <f t="shared" si="47"/>
        <v>21.053252727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0.41122399999999998</v>
      </c>
      <c r="H256" s="22">
        <v>36.6113</v>
      </c>
      <c r="I256" s="22">
        <v>-1.9223000000000001E-2</v>
      </c>
      <c r="J256" s="22">
        <v>246</v>
      </c>
      <c r="K256" s="22">
        <v>0.41049200000000002</v>
      </c>
      <c r="L256">
        <f t="shared" si="36"/>
        <v>19.222999999999999</v>
      </c>
      <c r="M256">
        <f t="shared" si="37"/>
        <v>7.9049589519999994</v>
      </c>
      <c r="N256" s="9"/>
      <c r="O256" s="22">
        <v>1.13876</v>
      </c>
      <c r="P256" s="22">
        <v>70.664500000000004</v>
      </c>
      <c r="Q256" s="22">
        <v>-1.8478399999999999E-2</v>
      </c>
      <c r="R256" s="22">
        <v>246</v>
      </c>
      <c r="S256" s="22">
        <v>1.1379999999999999</v>
      </c>
      <c r="T256">
        <f t="shared" si="38"/>
        <v>18.478400000000001</v>
      </c>
      <c r="U256">
        <f t="shared" si="39"/>
        <v>21.042462784000001</v>
      </c>
      <c r="X256" s="9"/>
      <c r="Y256" s="22">
        <v>0.41122399999999998</v>
      </c>
      <c r="Z256" s="22">
        <v>104.688</v>
      </c>
      <c r="AA256" s="22">
        <v>-1.9393899999999999E-2</v>
      </c>
      <c r="AB256" s="22">
        <v>246</v>
      </c>
      <c r="AC256" s="22">
        <v>0.41067500000000001</v>
      </c>
      <c r="AD256">
        <f t="shared" si="40"/>
        <v>19.393899999999999</v>
      </c>
      <c r="AE256">
        <f t="shared" si="41"/>
        <v>7.9752371335999994</v>
      </c>
      <c r="AF256" s="9"/>
      <c r="AG256" s="22">
        <v>1.13876</v>
      </c>
      <c r="AH256" s="22">
        <v>138.69399999999999</v>
      </c>
      <c r="AI256" s="22">
        <v>-1.8566900000000001E-2</v>
      </c>
      <c r="AJ256" s="22">
        <v>246</v>
      </c>
      <c r="AK256" s="22">
        <v>1.1383099999999999</v>
      </c>
      <c r="AL256">
        <f t="shared" si="42"/>
        <v>18.5669</v>
      </c>
      <c r="AM256">
        <f t="shared" si="43"/>
        <v>21.143243044000002</v>
      </c>
      <c r="AP256" s="9"/>
      <c r="AQ256" s="22">
        <v>0.41122399999999998</v>
      </c>
      <c r="AR256" s="22">
        <v>172.75200000000001</v>
      </c>
      <c r="AS256" s="22">
        <v>-1.9378699999999999E-2</v>
      </c>
      <c r="AT256" s="22">
        <v>246</v>
      </c>
      <c r="AU256" s="22">
        <v>0.410553</v>
      </c>
      <c r="AV256">
        <f t="shared" si="44"/>
        <v>19.378699999999998</v>
      </c>
      <c r="AW256">
        <f t="shared" si="45"/>
        <v>7.9689865287999986</v>
      </c>
      <c r="AX256" s="9"/>
      <c r="AY256" s="22">
        <v>1.13876</v>
      </c>
      <c r="AZ256" s="22">
        <v>206.779</v>
      </c>
      <c r="BA256" s="22">
        <v>-1.8563799999999998E-2</v>
      </c>
      <c r="BB256" s="22">
        <v>246</v>
      </c>
      <c r="BC256" s="22">
        <v>1.1383099999999999</v>
      </c>
      <c r="BD256">
        <f t="shared" si="46"/>
        <v>18.563799999999997</v>
      </c>
      <c r="BE256">
        <f t="shared" si="47"/>
        <v>21.139712887999995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0.40618900000000002</v>
      </c>
      <c r="H257" s="22">
        <v>36.621400000000001</v>
      </c>
      <c r="I257" s="22">
        <v>-1.9226099999999999E-2</v>
      </c>
      <c r="J257" s="22">
        <v>247</v>
      </c>
      <c r="K257" s="22">
        <v>0.405304</v>
      </c>
      <c r="L257">
        <f t="shared" si="36"/>
        <v>19.226099999999999</v>
      </c>
      <c r="M257">
        <f t="shared" si="37"/>
        <v>7.8094303328999999</v>
      </c>
      <c r="N257" s="9"/>
      <c r="O257" s="22">
        <v>1.1437999999999999</v>
      </c>
      <c r="P257" s="22">
        <v>70.674499999999995</v>
      </c>
      <c r="Q257" s="22">
        <v>-1.8472300000000001E-2</v>
      </c>
      <c r="R257" s="22">
        <v>247</v>
      </c>
      <c r="S257" s="22">
        <v>1.1431899999999999</v>
      </c>
      <c r="T257">
        <f t="shared" si="38"/>
        <v>18.472300000000001</v>
      </c>
      <c r="U257">
        <f t="shared" si="39"/>
        <v>21.128616739999998</v>
      </c>
      <c r="X257" s="9"/>
      <c r="Y257" s="22">
        <v>0.40618900000000002</v>
      </c>
      <c r="Z257" s="22">
        <v>104.69799999999999</v>
      </c>
      <c r="AA257" s="22">
        <v>-1.9397000000000001E-2</v>
      </c>
      <c r="AB257" s="22">
        <v>247</v>
      </c>
      <c r="AC257" s="22">
        <v>0.40527299999999999</v>
      </c>
      <c r="AD257">
        <f t="shared" si="40"/>
        <v>19.397000000000002</v>
      </c>
      <c r="AE257">
        <f t="shared" si="41"/>
        <v>7.8788480330000015</v>
      </c>
      <c r="AF257" s="9"/>
      <c r="AG257" s="22">
        <v>1.1437999999999999</v>
      </c>
      <c r="AH257" s="22">
        <v>138.70400000000001</v>
      </c>
      <c r="AI257" s="22">
        <v>-1.8560799999999999E-2</v>
      </c>
      <c r="AJ257" s="22">
        <v>247</v>
      </c>
      <c r="AK257" s="22">
        <v>1.1428799999999999</v>
      </c>
      <c r="AL257">
        <f t="shared" si="42"/>
        <v>18.5608</v>
      </c>
      <c r="AM257">
        <f t="shared" si="43"/>
        <v>21.229843039999999</v>
      </c>
      <c r="AP257" s="9"/>
      <c r="AQ257" s="22">
        <v>0.40618900000000002</v>
      </c>
      <c r="AR257" s="22">
        <v>172.762</v>
      </c>
      <c r="AS257" s="22">
        <v>-1.9381700000000002E-2</v>
      </c>
      <c r="AT257" s="22">
        <v>247</v>
      </c>
      <c r="AU257" s="22">
        <v>0.40557900000000002</v>
      </c>
      <c r="AV257">
        <f t="shared" si="44"/>
        <v>19.381700000000002</v>
      </c>
      <c r="AW257">
        <f t="shared" si="45"/>
        <v>7.8726333413000011</v>
      </c>
      <c r="AX257" s="9"/>
      <c r="AY257" s="22">
        <v>1.1437999999999999</v>
      </c>
      <c r="AZ257" s="22">
        <v>206.78899999999999</v>
      </c>
      <c r="BA257" s="22">
        <v>-1.8560799999999999E-2</v>
      </c>
      <c r="BB257" s="22">
        <v>247</v>
      </c>
      <c r="BC257" s="22">
        <v>1.1428799999999999</v>
      </c>
      <c r="BD257">
        <f t="shared" si="46"/>
        <v>18.5608</v>
      </c>
      <c r="BE257">
        <f t="shared" si="47"/>
        <v>21.229843039999999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0.40115400000000001</v>
      </c>
      <c r="H258" s="22">
        <v>36.631500000000003</v>
      </c>
      <c r="I258" s="22">
        <v>-1.9235200000000001E-2</v>
      </c>
      <c r="J258" s="22">
        <v>248</v>
      </c>
      <c r="K258" s="22">
        <v>0.40029900000000002</v>
      </c>
      <c r="L258">
        <f t="shared" si="36"/>
        <v>19.235200000000003</v>
      </c>
      <c r="M258">
        <f t="shared" si="37"/>
        <v>7.7162774208000009</v>
      </c>
      <c r="N258" s="9"/>
      <c r="O258" s="22">
        <v>1.14883</v>
      </c>
      <c r="P258" s="22">
        <v>70.684600000000003</v>
      </c>
      <c r="Q258" s="22">
        <v>-1.8469200000000002E-2</v>
      </c>
      <c r="R258" s="22">
        <v>248</v>
      </c>
      <c r="S258" s="22">
        <v>1.14838</v>
      </c>
      <c r="T258">
        <f t="shared" si="38"/>
        <v>18.469200000000001</v>
      </c>
      <c r="U258">
        <f t="shared" si="39"/>
        <v>21.217971036000002</v>
      </c>
      <c r="X258" s="9"/>
      <c r="Y258" s="22">
        <v>0.40115400000000001</v>
      </c>
      <c r="Z258" s="22">
        <v>104.708</v>
      </c>
      <c r="AA258" s="22">
        <v>-1.9400000000000001E-2</v>
      </c>
      <c r="AB258" s="22">
        <v>248</v>
      </c>
      <c r="AC258" s="22">
        <v>0.40075699999999997</v>
      </c>
      <c r="AD258">
        <f t="shared" si="40"/>
        <v>19.400000000000002</v>
      </c>
      <c r="AE258">
        <f t="shared" si="41"/>
        <v>7.7823876000000007</v>
      </c>
      <c r="AF258" s="9"/>
      <c r="AG258" s="22">
        <v>1.14883</v>
      </c>
      <c r="AH258" s="22">
        <v>138.714</v>
      </c>
      <c r="AI258" s="22">
        <v>-1.85577E-2</v>
      </c>
      <c r="AJ258" s="22">
        <v>248</v>
      </c>
      <c r="AK258" s="22">
        <v>1.14838</v>
      </c>
      <c r="AL258">
        <f t="shared" si="42"/>
        <v>18.557700000000001</v>
      </c>
      <c r="AM258">
        <f t="shared" si="43"/>
        <v>21.319642491</v>
      </c>
      <c r="AP258" s="9"/>
      <c r="AQ258" s="22">
        <v>0.40115400000000001</v>
      </c>
      <c r="AR258" s="22">
        <v>172.77199999999999</v>
      </c>
      <c r="AS258" s="22">
        <v>-1.9381700000000002E-2</v>
      </c>
      <c r="AT258" s="22">
        <v>248</v>
      </c>
      <c r="AU258" s="22">
        <v>0.40033000000000002</v>
      </c>
      <c r="AV258">
        <f t="shared" si="44"/>
        <v>19.381700000000002</v>
      </c>
      <c r="AW258">
        <f t="shared" si="45"/>
        <v>7.7750464818000014</v>
      </c>
      <c r="AX258" s="9"/>
      <c r="AY258" s="22">
        <v>1.14883</v>
      </c>
      <c r="AZ258" s="22">
        <v>206.79900000000001</v>
      </c>
      <c r="BA258" s="22">
        <v>-1.85547E-2</v>
      </c>
      <c r="BB258" s="22">
        <v>248</v>
      </c>
      <c r="BC258" s="22">
        <v>1.14716</v>
      </c>
      <c r="BD258">
        <f t="shared" si="46"/>
        <v>18.5547</v>
      </c>
      <c r="BE258">
        <f t="shared" si="47"/>
        <v>21.316196001000002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0.39611800000000003</v>
      </c>
      <c r="H259" s="22">
        <v>36.641500000000001</v>
      </c>
      <c r="I259" s="22">
        <v>-1.92383E-2</v>
      </c>
      <c r="J259" s="22">
        <v>249</v>
      </c>
      <c r="K259" s="22">
        <v>0.39550800000000003</v>
      </c>
      <c r="L259">
        <f t="shared" si="36"/>
        <v>19.238299999999999</v>
      </c>
      <c r="M259">
        <f t="shared" si="37"/>
        <v>7.6206369193999999</v>
      </c>
      <c r="N259" s="9"/>
      <c r="O259" s="22">
        <v>1.15387</v>
      </c>
      <c r="P259" s="22">
        <v>70.694699999999997</v>
      </c>
      <c r="Q259" s="22">
        <v>-1.84631E-2</v>
      </c>
      <c r="R259" s="22">
        <v>249</v>
      </c>
      <c r="S259" s="22">
        <v>1.15265</v>
      </c>
      <c r="T259">
        <f t="shared" si="38"/>
        <v>18.463100000000001</v>
      </c>
      <c r="U259">
        <f t="shared" si="39"/>
        <v>21.304017197</v>
      </c>
      <c r="X259" s="9"/>
      <c r="Y259" s="22">
        <v>0.39611800000000003</v>
      </c>
      <c r="Z259" s="22">
        <v>104.718</v>
      </c>
      <c r="AA259" s="22">
        <v>-1.9406099999999999E-2</v>
      </c>
      <c r="AB259" s="22">
        <v>249</v>
      </c>
      <c r="AC259" s="22">
        <v>0.395569</v>
      </c>
      <c r="AD259">
        <f t="shared" si="40"/>
        <v>19.406099999999999</v>
      </c>
      <c r="AE259">
        <f t="shared" si="41"/>
        <v>7.6871055198000002</v>
      </c>
      <c r="AF259" s="9"/>
      <c r="AG259" s="22">
        <v>1.15387</v>
      </c>
      <c r="AH259" s="22">
        <v>138.72399999999999</v>
      </c>
      <c r="AI259" s="22">
        <v>-1.8551600000000001E-2</v>
      </c>
      <c r="AJ259" s="22">
        <v>249</v>
      </c>
      <c r="AK259" s="22">
        <v>1.15265</v>
      </c>
      <c r="AL259">
        <f t="shared" si="42"/>
        <v>18.551600000000001</v>
      </c>
      <c r="AM259">
        <f t="shared" si="43"/>
        <v>21.406134691999998</v>
      </c>
      <c r="AP259" s="9"/>
      <c r="AQ259" s="22">
        <v>0.39611800000000003</v>
      </c>
      <c r="AR259" s="22">
        <v>172.78299999999999</v>
      </c>
      <c r="AS259" s="22">
        <v>-1.93878E-2</v>
      </c>
      <c r="AT259" s="22">
        <v>249</v>
      </c>
      <c r="AU259" s="22">
        <v>0.39559899999999998</v>
      </c>
      <c r="AV259">
        <f t="shared" si="44"/>
        <v>19.387799999999999</v>
      </c>
      <c r="AW259">
        <f t="shared" si="45"/>
        <v>7.6798565604000002</v>
      </c>
      <c r="AX259" s="9"/>
      <c r="AY259" s="22">
        <v>1.15387</v>
      </c>
      <c r="AZ259" s="22">
        <v>206.809</v>
      </c>
      <c r="BA259" s="22">
        <v>-1.8551600000000001E-2</v>
      </c>
      <c r="BB259" s="22">
        <v>249</v>
      </c>
      <c r="BC259" s="22">
        <v>1.1529499999999999</v>
      </c>
      <c r="BD259">
        <f t="shared" si="46"/>
        <v>18.551600000000001</v>
      </c>
      <c r="BE259">
        <f t="shared" si="47"/>
        <v>21.406134691999998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0.39108300000000001</v>
      </c>
      <c r="H260" s="22">
        <v>36.651600000000002</v>
      </c>
      <c r="I260" s="22">
        <v>-1.9244399999999998E-2</v>
      </c>
      <c r="J260" s="22">
        <v>250</v>
      </c>
      <c r="K260" s="22">
        <v>0.39032</v>
      </c>
      <c r="L260">
        <f t="shared" si="36"/>
        <v>19.244399999999999</v>
      </c>
      <c r="M260">
        <f t="shared" si="37"/>
        <v>7.5261576851999994</v>
      </c>
      <c r="N260" s="9"/>
      <c r="O260" s="22">
        <v>1.1589100000000001</v>
      </c>
      <c r="P260" s="22">
        <v>70.704800000000006</v>
      </c>
      <c r="Q260" s="22">
        <v>-1.8457000000000001E-2</v>
      </c>
      <c r="R260" s="22">
        <v>250</v>
      </c>
      <c r="S260" s="22">
        <v>1.15784</v>
      </c>
      <c r="T260">
        <f t="shared" si="38"/>
        <v>18.457000000000001</v>
      </c>
      <c r="U260">
        <f t="shared" si="39"/>
        <v>21.390001870000003</v>
      </c>
      <c r="X260" s="9"/>
      <c r="Y260" s="22">
        <v>0.39108300000000001</v>
      </c>
      <c r="Z260" s="22">
        <v>104.72799999999999</v>
      </c>
      <c r="AA260" s="22">
        <v>-1.9412200000000001E-2</v>
      </c>
      <c r="AB260" s="22">
        <v>250</v>
      </c>
      <c r="AC260" s="22">
        <v>0.39022800000000002</v>
      </c>
      <c r="AD260">
        <f t="shared" si="40"/>
        <v>19.412200000000002</v>
      </c>
      <c r="AE260">
        <f t="shared" si="41"/>
        <v>7.5917814126000014</v>
      </c>
      <c r="AF260" s="9"/>
      <c r="AG260" s="22">
        <v>1.1589100000000001</v>
      </c>
      <c r="AH260" s="22">
        <v>138.73400000000001</v>
      </c>
      <c r="AI260" s="22">
        <v>-1.8548599999999998E-2</v>
      </c>
      <c r="AJ260" s="22">
        <v>250</v>
      </c>
      <c r="AK260" s="22">
        <v>1.15845</v>
      </c>
      <c r="AL260">
        <f t="shared" si="42"/>
        <v>18.548599999999997</v>
      </c>
      <c r="AM260">
        <f t="shared" si="43"/>
        <v>21.496158026</v>
      </c>
      <c r="AP260" s="9"/>
      <c r="AQ260" s="22">
        <v>0.39108300000000001</v>
      </c>
      <c r="AR260" s="22">
        <v>172.79300000000001</v>
      </c>
      <c r="AS260" s="22">
        <v>-1.9390899999999999E-2</v>
      </c>
      <c r="AT260" s="22">
        <v>250</v>
      </c>
      <c r="AU260" s="22">
        <v>0.39044200000000001</v>
      </c>
      <c r="AV260">
        <f t="shared" si="44"/>
        <v>19.390899999999998</v>
      </c>
      <c r="AW260">
        <f t="shared" si="45"/>
        <v>7.5834513446999994</v>
      </c>
      <c r="AX260" s="9"/>
      <c r="AY260" s="22">
        <v>1.1589100000000001</v>
      </c>
      <c r="AZ260" s="22">
        <v>206.81899999999999</v>
      </c>
      <c r="BA260" s="22">
        <v>-1.8548599999999998E-2</v>
      </c>
      <c r="BB260" s="22">
        <v>250</v>
      </c>
      <c r="BC260" s="22">
        <v>1.1581399999999999</v>
      </c>
      <c r="BD260">
        <f t="shared" si="46"/>
        <v>18.548599999999997</v>
      </c>
      <c r="BE260">
        <f t="shared" si="47"/>
        <v>21.496158026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0.38604699999999997</v>
      </c>
      <c r="H261" s="22">
        <v>36.661700000000003</v>
      </c>
      <c r="I261" s="22">
        <v>-1.92535E-2</v>
      </c>
      <c r="J261" s="22">
        <v>251</v>
      </c>
      <c r="K261" s="22">
        <v>0.38534499999999999</v>
      </c>
      <c r="L261">
        <f t="shared" si="36"/>
        <v>19.253499999999999</v>
      </c>
      <c r="M261">
        <f t="shared" si="37"/>
        <v>7.4327559144999995</v>
      </c>
      <c r="N261" s="9"/>
      <c r="O261" s="22">
        <v>1.16394</v>
      </c>
      <c r="P261" s="22">
        <v>70.714799999999997</v>
      </c>
      <c r="Q261" s="22">
        <v>-1.8450899999999999E-2</v>
      </c>
      <c r="R261" s="22">
        <v>251</v>
      </c>
      <c r="S261" s="22">
        <v>1.16272</v>
      </c>
      <c r="T261">
        <f t="shared" si="38"/>
        <v>18.450900000000001</v>
      </c>
      <c r="U261">
        <f t="shared" si="39"/>
        <v>21.475740546000001</v>
      </c>
      <c r="X261" s="9"/>
      <c r="Y261" s="22">
        <v>0.38604699999999997</v>
      </c>
      <c r="Z261" s="22">
        <v>104.738</v>
      </c>
      <c r="AA261" s="22">
        <v>-1.94153E-2</v>
      </c>
      <c r="AB261" s="22">
        <v>251</v>
      </c>
      <c r="AC261" s="22">
        <v>0.385376</v>
      </c>
      <c r="AD261">
        <f t="shared" si="40"/>
        <v>19.415299999999998</v>
      </c>
      <c r="AE261">
        <f t="shared" si="41"/>
        <v>7.4952183190999992</v>
      </c>
      <c r="AF261" s="9"/>
      <c r="AG261" s="22">
        <v>1.16394</v>
      </c>
      <c r="AH261" s="22">
        <v>138.744</v>
      </c>
      <c r="AI261" s="22">
        <v>-1.8545499999999999E-2</v>
      </c>
      <c r="AJ261" s="22">
        <v>251</v>
      </c>
      <c r="AK261" s="22">
        <v>1.16272</v>
      </c>
      <c r="AL261">
        <f t="shared" si="42"/>
        <v>18.545500000000001</v>
      </c>
      <c r="AM261">
        <f t="shared" si="43"/>
        <v>21.585849270000001</v>
      </c>
      <c r="AP261" s="9"/>
      <c r="AQ261" s="22">
        <v>0.38604699999999997</v>
      </c>
      <c r="AR261" s="22">
        <v>172.803</v>
      </c>
      <c r="AS261" s="22">
        <v>-1.9400000000000001E-2</v>
      </c>
      <c r="AT261" s="22">
        <v>251</v>
      </c>
      <c r="AU261" s="22">
        <v>0.38522299999999998</v>
      </c>
      <c r="AV261">
        <f t="shared" si="44"/>
        <v>19.400000000000002</v>
      </c>
      <c r="AW261">
        <f t="shared" si="45"/>
        <v>7.4893118000000003</v>
      </c>
      <c r="AX261" s="9"/>
      <c r="AY261" s="22">
        <v>1.16394</v>
      </c>
      <c r="AZ261" s="22">
        <v>206.82900000000001</v>
      </c>
      <c r="BA261" s="22">
        <v>-1.8545499999999999E-2</v>
      </c>
      <c r="BB261" s="22">
        <v>251</v>
      </c>
      <c r="BC261" s="22">
        <v>1.16272</v>
      </c>
      <c r="BD261">
        <f t="shared" si="46"/>
        <v>18.545500000000001</v>
      </c>
      <c r="BE261">
        <f t="shared" si="47"/>
        <v>21.585849270000001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0.38101200000000002</v>
      </c>
      <c r="H262" s="22">
        <v>36.671700000000001</v>
      </c>
      <c r="I262" s="22">
        <v>-1.9259600000000002E-2</v>
      </c>
      <c r="J262" s="22">
        <v>252</v>
      </c>
      <c r="K262" s="22">
        <v>0.38040200000000002</v>
      </c>
      <c r="L262">
        <f t="shared" si="36"/>
        <v>19.259600000000002</v>
      </c>
      <c r="M262">
        <f t="shared" si="37"/>
        <v>7.3381387152000013</v>
      </c>
      <c r="N262" s="9"/>
      <c r="O262" s="22">
        <v>1.1689799999999999</v>
      </c>
      <c r="P262" s="22">
        <v>70.724900000000005</v>
      </c>
      <c r="Q262" s="22">
        <v>-1.8444800000000001E-2</v>
      </c>
      <c r="R262" s="22">
        <v>252</v>
      </c>
      <c r="S262" s="22">
        <v>1.16791</v>
      </c>
      <c r="T262">
        <f t="shared" si="38"/>
        <v>18.444800000000001</v>
      </c>
      <c r="U262">
        <f t="shared" si="39"/>
        <v>21.561602304000001</v>
      </c>
      <c r="X262" s="9"/>
      <c r="Y262" s="22">
        <v>0.38101200000000002</v>
      </c>
      <c r="Z262" s="22">
        <v>104.748</v>
      </c>
      <c r="AA262" s="22">
        <v>-1.9421399999999998E-2</v>
      </c>
      <c r="AB262" s="22">
        <v>252</v>
      </c>
      <c r="AC262" s="22">
        <v>0.38003500000000001</v>
      </c>
      <c r="AD262">
        <f t="shared" si="40"/>
        <v>19.421399999999998</v>
      </c>
      <c r="AE262">
        <f t="shared" si="41"/>
        <v>7.3997864567999994</v>
      </c>
      <c r="AF262" s="9"/>
      <c r="AG262" s="22">
        <v>1.1689799999999999</v>
      </c>
      <c r="AH262" s="22">
        <v>138.75399999999999</v>
      </c>
      <c r="AI262" s="22">
        <v>-1.8539400000000001E-2</v>
      </c>
      <c r="AJ262" s="22">
        <v>252</v>
      </c>
      <c r="AK262" s="22">
        <v>1.16852</v>
      </c>
      <c r="AL262">
        <f t="shared" si="42"/>
        <v>18.539400000000001</v>
      </c>
      <c r="AM262">
        <f t="shared" si="43"/>
        <v>21.672187812000001</v>
      </c>
      <c r="AP262" s="9"/>
      <c r="AQ262" s="22">
        <v>0.38101200000000002</v>
      </c>
      <c r="AR262" s="22">
        <v>172.81299999999999</v>
      </c>
      <c r="AS262" s="22">
        <v>-1.9400000000000001E-2</v>
      </c>
      <c r="AT262" s="22">
        <v>252</v>
      </c>
      <c r="AU262" s="22">
        <v>0.379944</v>
      </c>
      <c r="AV262">
        <f t="shared" si="44"/>
        <v>19.400000000000002</v>
      </c>
      <c r="AW262">
        <f t="shared" si="45"/>
        <v>7.3916328000000009</v>
      </c>
      <c r="AX262" s="9"/>
      <c r="AY262" s="22">
        <v>1.1689799999999999</v>
      </c>
      <c r="AZ262" s="22">
        <v>206.839</v>
      </c>
      <c r="BA262" s="22">
        <v>-1.8539400000000001E-2</v>
      </c>
      <c r="BB262" s="22">
        <v>252</v>
      </c>
      <c r="BC262" s="22">
        <v>1.16791</v>
      </c>
      <c r="BD262">
        <f t="shared" si="46"/>
        <v>18.539400000000001</v>
      </c>
      <c r="BE262">
        <f t="shared" si="47"/>
        <v>21.672187812000001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0.37597700000000001</v>
      </c>
      <c r="H263" s="22">
        <v>36.681800000000003</v>
      </c>
      <c r="I263" s="22">
        <v>-1.9268799999999999E-2</v>
      </c>
      <c r="J263" s="22">
        <v>253</v>
      </c>
      <c r="K263" s="22">
        <v>0.37548799999999999</v>
      </c>
      <c r="L263">
        <f t="shared" si="36"/>
        <v>19.268799999999999</v>
      </c>
      <c r="M263">
        <f t="shared" si="37"/>
        <v>7.2446256175999997</v>
      </c>
      <c r="N263" s="9"/>
      <c r="O263" s="22">
        <v>1.17401</v>
      </c>
      <c r="P263" s="22">
        <v>70.734999999999999</v>
      </c>
      <c r="Q263" s="22">
        <v>-1.8438699999999999E-2</v>
      </c>
      <c r="R263" s="22">
        <v>253</v>
      </c>
      <c r="S263" s="22">
        <v>1.17249</v>
      </c>
      <c r="T263">
        <f t="shared" si="38"/>
        <v>18.438699999999997</v>
      </c>
      <c r="U263">
        <f t="shared" si="39"/>
        <v>21.647218186999996</v>
      </c>
      <c r="X263" s="9"/>
      <c r="Y263" s="22">
        <v>0.37597700000000001</v>
      </c>
      <c r="Z263" s="22">
        <v>104.758</v>
      </c>
      <c r="AA263" s="22">
        <v>-1.9424400000000001E-2</v>
      </c>
      <c r="AB263" s="22">
        <v>253</v>
      </c>
      <c r="AC263" s="22">
        <v>0.37521399999999999</v>
      </c>
      <c r="AD263">
        <f t="shared" si="40"/>
        <v>19.424400000000002</v>
      </c>
      <c r="AE263">
        <f t="shared" si="41"/>
        <v>7.3031276388000013</v>
      </c>
      <c r="AF263" s="9"/>
      <c r="AG263" s="22">
        <v>1.17401</v>
      </c>
      <c r="AH263" s="22">
        <v>138.76400000000001</v>
      </c>
      <c r="AI263" s="22">
        <v>-1.8533299999999999E-2</v>
      </c>
      <c r="AJ263" s="22">
        <v>253</v>
      </c>
      <c r="AK263" s="22">
        <v>1.1731</v>
      </c>
      <c r="AL263">
        <f t="shared" si="42"/>
        <v>18.533300000000001</v>
      </c>
      <c r="AM263">
        <f t="shared" si="43"/>
        <v>21.758279533</v>
      </c>
      <c r="AP263" s="9"/>
      <c r="AQ263" s="22">
        <v>0.37597700000000001</v>
      </c>
      <c r="AR263" s="22">
        <v>172.82300000000001</v>
      </c>
      <c r="AS263" s="22">
        <v>-1.9406099999999999E-2</v>
      </c>
      <c r="AT263" s="22">
        <v>253</v>
      </c>
      <c r="AU263" s="22">
        <v>0.37539699999999998</v>
      </c>
      <c r="AV263">
        <f t="shared" si="44"/>
        <v>19.406099999999999</v>
      </c>
      <c r="AW263">
        <f t="shared" si="45"/>
        <v>7.2962472596999994</v>
      </c>
      <c r="AX263" s="9"/>
      <c r="AY263" s="22">
        <v>1.17401</v>
      </c>
      <c r="AZ263" s="22">
        <v>206.84899999999999</v>
      </c>
      <c r="BA263" s="22">
        <v>-1.8533299999999999E-2</v>
      </c>
      <c r="BB263" s="22">
        <v>253</v>
      </c>
      <c r="BC263" s="22">
        <v>1.1734</v>
      </c>
      <c r="BD263">
        <f t="shared" si="46"/>
        <v>18.533300000000001</v>
      </c>
      <c r="BE263">
        <f t="shared" si="47"/>
        <v>21.758279533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0.37094100000000002</v>
      </c>
      <c r="H264" s="22">
        <v>36.691899999999997</v>
      </c>
      <c r="I264" s="22">
        <v>-1.9271900000000002E-2</v>
      </c>
      <c r="J264" s="22">
        <v>254</v>
      </c>
      <c r="K264" s="22">
        <v>0.37023899999999998</v>
      </c>
      <c r="L264">
        <f t="shared" si="36"/>
        <v>19.271900000000002</v>
      </c>
      <c r="M264">
        <f t="shared" si="37"/>
        <v>7.1487378579000014</v>
      </c>
      <c r="N264" s="9"/>
      <c r="O264" s="22">
        <v>1.1790499999999999</v>
      </c>
      <c r="P264" s="22">
        <v>70.745000000000005</v>
      </c>
      <c r="Q264" s="22">
        <v>-1.84326E-2</v>
      </c>
      <c r="R264" s="22">
        <v>254</v>
      </c>
      <c r="S264" s="22">
        <v>1.17767</v>
      </c>
      <c r="T264">
        <f t="shared" si="38"/>
        <v>18.432600000000001</v>
      </c>
      <c r="U264">
        <f t="shared" si="39"/>
        <v>21.732957029999998</v>
      </c>
      <c r="X264" s="9"/>
      <c r="Y264" s="22">
        <v>0.37094100000000002</v>
      </c>
      <c r="Z264" s="22">
        <v>104.768</v>
      </c>
      <c r="AA264" s="22">
        <v>-1.94305E-2</v>
      </c>
      <c r="AB264" s="22">
        <v>254</v>
      </c>
      <c r="AC264" s="22">
        <v>0.37026999999999999</v>
      </c>
      <c r="AD264">
        <f t="shared" si="40"/>
        <v>19.430499999999999</v>
      </c>
      <c r="AE264">
        <f t="shared" si="41"/>
        <v>7.2075691004999998</v>
      </c>
      <c r="AF264" s="9"/>
      <c r="AG264" s="22">
        <v>1.1790499999999999</v>
      </c>
      <c r="AH264" s="22">
        <v>138.774</v>
      </c>
      <c r="AI264" s="22">
        <v>-1.8524200000000001E-2</v>
      </c>
      <c r="AJ264" s="22">
        <v>254</v>
      </c>
      <c r="AK264" s="22">
        <v>1.17828</v>
      </c>
      <c r="AL264">
        <f t="shared" si="42"/>
        <v>18.5242</v>
      </c>
      <c r="AM264">
        <f t="shared" si="43"/>
        <v>21.840958009999998</v>
      </c>
      <c r="AP264" s="9"/>
      <c r="AQ264" s="22">
        <v>0.37094100000000002</v>
      </c>
      <c r="AR264" s="22">
        <v>172.833</v>
      </c>
      <c r="AS264" s="22">
        <v>-1.94153E-2</v>
      </c>
      <c r="AT264" s="22">
        <v>254</v>
      </c>
      <c r="AU264" s="22">
        <v>0.370361</v>
      </c>
      <c r="AV264">
        <f t="shared" si="44"/>
        <v>19.415299999999998</v>
      </c>
      <c r="AW264">
        <f t="shared" si="45"/>
        <v>7.2019307973000002</v>
      </c>
      <c r="AX264" s="9"/>
      <c r="AY264" s="22">
        <v>1.1790499999999999</v>
      </c>
      <c r="AZ264" s="22">
        <v>206.85900000000001</v>
      </c>
      <c r="BA264" s="22">
        <v>-1.8524200000000001E-2</v>
      </c>
      <c r="BB264" s="22">
        <v>254</v>
      </c>
      <c r="BC264" s="22">
        <v>1.17767</v>
      </c>
      <c r="BD264">
        <f t="shared" si="46"/>
        <v>18.5242</v>
      </c>
      <c r="BE264">
        <f t="shared" si="47"/>
        <v>21.840958009999998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0.36590600000000001</v>
      </c>
      <c r="H265" s="22">
        <v>36.701999999999998</v>
      </c>
      <c r="I265" s="22">
        <v>-1.9274900000000001E-2</v>
      </c>
      <c r="J265" s="22">
        <v>255</v>
      </c>
      <c r="K265" s="22">
        <v>0.36541699999999999</v>
      </c>
      <c r="L265">
        <f t="shared" si="36"/>
        <v>19.274900000000002</v>
      </c>
      <c r="M265">
        <f t="shared" si="37"/>
        <v>7.0528015594000006</v>
      </c>
      <c r="N265" s="9"/>
      <c r="O265" s="22">
        <v>1.18408</v>
      </c>
      <c r="P265" s="22">
        <v>70.755099999999999</v>
      </c>
      <c r="Q265" s="22">
        <v>-1.8426499999999998E-2</v>
      </c>
      <c r="R265" s="22">
        <v>255</v>
      </c>
      <c r="S265" s="22">
        <v>1.1831700000000001</v>
      </c>
      <c r="T265">
        <f t="shared" si="38"/>
        <v>18.426499999999997</v>
      </c>
      <c r="U265">
        <f t="shared" si="39"/>
        <v>21.818450119999998</v>
      </c>
      <c r="X265" s="9"/>
      <c r="Y265" s="22">
        <v>0.36590600000000001</v>
      </c>
      <c r="Z265" s="22">
        <v>104.77800000000001</v>
      </c>
      <c r="AA265" s="22">
        <v>-1.9433599999999999E-2</v>
      </c>
      <c r="AB265" s="22">
        <v>255</v>
      </c>
      <c r="AC265" s="22">
        <v>0.36502099999999998</v>
      </c>
      <c r="AD265">
        <f t="shared" si="40"/>
        <v>19.433599999999998</v>
      </c>
      <c r="AE265">
        <f t="shared" si="41"/>
        <v>7.1108708415999997</v>
      </c>
      <c r="AF265" s="9"/>
      <c r="AG265" s="22">
        <v>1.18408</v>
      </c>
      <c r="AH265" s="22">
        <v>138.78399999999999</v>
      </c>
      <c r="AI265" s="22">
        <v>-1.8515E-2</v>
      </c>
      <c r="AJ265" s="22">
        <v>255</v>
      </c>
      <c r="AK265" s="22">
        <v>1.1831700000000001</v>
      </c>
      <c r="AL265">
        <f t="shared" si="42"/>
        <v>18.515000000000001</v>
      </c>
      <c r="AM265">
        <f t="shared" si="43"/>
        <v>21.9232412</v>
      </c>
      <c r="AP265" s="9"/>
      <c r="AQ265" s="22">
        <v>0.36590600000000001</v>
      </c>
      <c r="AR265" s="22">
        <v>172.84299999999999</v>
      </c>
      <c r="AS265" s="22">
        <v>-1.9421399999999998E-2</v>
      </c>
      <c r="AT265" s="22">
        <v>255</v>
      </c>
      <c r="AU265" s="22">
        <v>0.36526500000000001</v>
      </c>
      <c r="AV265">
        <f t="shared" si="44"/>
        <v>19.421399999999998</v>
      </c>
      <c r="AW265">
        <f t="shared" si="45"/>
        <v>7.1064067883999993</v>
      </c>
      <c r="AX265" s="9"/>
      <c r="AY265" s="22">
        <v>1.18408</v>
      </c>
      <c r="AZ265" s="22">
        <v>206.869</v>
      </c>
      <c r="BA265" s="22">
        <v>-1.8515E-2</v>
      </c>
      <c r="BB265" s="22">
        <v>255</v>
      </c>
      <c r="BC265" s="22">
        <v>1.18347</v>
      </c>
      <c r="BD265">
        <f t="shared" si="46"/>
        <v>18.515000000000001</v>
      </c>
      <c r="BE265">
        <f t="shared" si="47"/>
        <v>21.9232412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0.36087000000000002</v>
      </c>
      <c r="H266" s="22">
        <v>36.712000000000003</v>
      </c>
      <c r="I266" s="22">
        <v>-1.9281E-2</v>
      </c>
      <c r="J266" s="22">
        <v>256</v>
      </c>
      <c r="K266" s="22">
        <v>0.36013800000000001</v>
      </c>
      <c r="L266">
        <f t="shared" si="36"/>
        <v>19.280999999999999</v>
      </c>
      <c r="M266">
        <f t="shared" si="37"/>
        <v>6.9579344699999996</v>
      </c>
      <c r="N266" s="9"/>
      <c r="O266" s="22">
        <v>1.18912</v>
      </c>
      <c r="P266" s="22">
        <v>70.765199999999993</v>
      </c>
      <c r="Q266" s="22">
        <v>-1.84204E-2</v>
      </c>
      <c r="R266" s="22">
        <v>256</v>
      </c>
      <c r="S266" s="22">
        <v>1.18835</v>
      </c>
      <c r="T266">
        <f t="shared" si="38"/>
        <v>18.420400000000001</v>
      </c>
      <c r="U266">
        <f t="shared" si="39"/>
        <v>21.904066048000001</v>
      </c>
      <c r="X266" s="9"/>
      <c r="Y266" s="22">
        <v>0.36087000000000002</v>
      </c>
      <c r="Z266" s="22">
        <v>104.788</v>
      </c>
      <c r="AA266" s="22">
        <v>-1.9436599999999998E-2</v>
      </c>
      <c r="AB266" s="22">
        <v>256</v>
      </c>
      <c r="AC266" s="22">
        <v>0.36026000000000002</v>
      </c>
      <c r="AD266">
        <f t="shared" si="40"/>
        <v>19.436599999999999</v>
      </c>
      <c r="AE266">
        <f t="shared" si="41"/>
        <v>7.0140858420000001</v>
      </c>
      <c r="AF266" s="9"/>
      <c r="AG266" s="22">
        <v>1.18912</v>
      </c>
      <c r="AH266" s="22">
        <v>138.79400000000001</v>
      </c>
      <c r="AI266" s="22">
        <v>-1.8505899999999999E-2</v>
      </c>
      <c r="AJ266" s="22">
        <v>256</v>
      </c>
      <c r="AK266" s="22">
        <v>1.18835</v>
      </c>
      <c r="AL266">
        <f t="shared" si="42"/>
        <v>18.5059</v>
      </c>
      <c r="AM266">
        <f t="shared" si="43"/>
        <v>22.005735808000001</v>
      </c>
      <c r="AP266" s="9"/>
      <c r="AQ266" s="22">
        <v>0.36087000000000002</v>
      </c>
      <c r="AR266" s="22">
        <v>172.85300000000001</v>
      </c>
      <c r="AS266" s="22">
        <v>-1.9424400000000001E-2</v>
      </c>
      <c r="AT266" s="22">
        <v>256</v>
      </c>
      <c r="AU266" s="22">
        <v>0.36026000000000002</v>
      </c>
      <c r="AV266">
        <f t="shared" si="44"/>
        <v>19.424400000000002</v>
      </c>
      <c r="AW266">
        <f t="shared" si="45"/>
        <v>7.009683228000001</v>
      </c>
      <c r="AX266" s="9"/>
      <c r="AY266" s="22">
        <v>1.18912</v>
      </c>
      <c r="AZ266" s="22">
        <v>206.87899999999999</v>
      </c>
      <c r="BA266" s="22">
        <v>-1.8505899999999999E-2</v>
      </c>
      <c r="BB266" s="22">
        <v>256</v>
      </c>
      <c r="BC266" s="22">
        <v>1.18835</v>
      </c>
      <c r="BD266">
        <f t="shared" si="46"/>
        <v>18.5059</v>
      </c>
      <c r="BE266">
        <f t="shared" si="47"/>
        <v>22.005735808000001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0.35583500000000001</v>
      </c>
      <c r="H267" s="22">
        <v>36.722099999999998</v>
      </c>
      <c r="I267" s="22">
        <v>-1.9284099999999998E-2</v>
      </c>
      <c r="J267" s="22">
        <v>257</v>
      </c>
      <c r="K267" s="22">
        <v>0.355072</v>
      </c>
      <c r="L267">
        <f t="shared" si="36"/>
        <v>19.284099999999999</v>
      </c>
      <c r="M267">
        <f t="shared" si="37"/>
        <v>6.8619577234999998</v>
      </c>
      <c r="N267" s="9"/>
      <c r="O267" s="22">
        <v>1.19415</v>
      </c>
      <c r="P267" s="22">
        <v>70.775300000000001</v>
      </c>
      <c r="Q267" s="22">
        <v>-1.84204E-2</v>
      </c>
      <c r="R267" s="22">
        <v>257</v>
      </c>
      <c r="S267" s="22">
        <v>1.1932400000000001</v>
      </c>
      <c r="T267">
        <f t="shared" si="38"/>
        <v>18.420400000000001</v>
      </c>
      <c r="U267">
        <f t="shared" si="39"/>
        <v>21.996720660000001</v>
      </c>
      <c r="X267" s="9"/>
      <c r="Y267" s="22">
        <v>0.35583500000000001</v>
      </c>
      <c r="Z267" s="22">
        <v>104.798</v>
      </c>
      <c r="AA267" s="22">
        <v>-1.94427E-2</v>
      </c>
      <c r="AB267" s="22">
        <v>257</v>
      </c>
      <c r="AC267" s="22">
        <v>0.35513299999999998</v>
      </c>
      <c r="AD267">
        <f t="shared" si="40"/>
        <v>19.442699999999999</v>
      </c>
      <c r="AE267">
        <f t="shared" si="41"/>
        <v>6.9183931544999995</v>
      </c>
      <c r="AF267" s="9"/>
      <c r="AG267" s="22">
        <v>1.19415</v>
      </c>
      <c r="AH267" s="22">
        <v>138.80500000000001</v>
      </c>
      <c r="AI267" s="22">
        <v>-1.85028E-2</v>
      </c>
      <c r="AJ267" s="22">
        <v>257</v>
      </c>
      <c r="AK267" s="22">
        <v>1.1932400000000001</v>
      </c>
      <c r="AL267">
        <f t="shared" si="42"/>
        <v>18.502800000000001</v>
      </c>
      <c r="AM267">
        <f t="shared" si="43"/>
        <v>22.095118620000001</v>
      </c>
      <c r="AP267" s="9"/>
      <c r="AQ267" s="22">
        <v>0.35583500000000001</v>
      </c>
      <c r="AR267" s="22">
        <v>172.863</v>
      </c>
      <c r="AS267" s="22">
        <v>-1.94305E-2</v>
      </c>
      <c r="AT267" s="22">
        <v>257</v>
      </c>
      <c r="AU267" s="22">
        <v>0.35531600000000002</v>
      </c>
      <c r="AV267">
        <f t="shared" si="44"/>
        <v>19.430499999999999</v>
      </c>
      <c r="AW267">
        <f t="shared" si="45"/>
        <v>6.9140519674999998</v>
      </c>
      <c r="AX267" s="9"/>
      <c r="AY267" s="22">
        <v>1.19415</v>
      </c>
      <c r="AZ267" s="22">
        <v>206.88900000000001</v>
      </c>
      <c r="BA267" s="22">
        <v>-1.84998E-2</v>
      </c>
      <c r="BB267" s="22">
        <v>257</v>
      </c>
      <c r="BC267" s="22">
        <v>1.19293</v>
      </c>
      <c r="BD267">
        <f t="shared" si="46"/>
        <v>18.4998</v>
      </c>
      <c r="BE267">
        <f t="shared" si="47"/>
        <v>22.091536170000001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0.3508</v>
      </c>
      <c r="H268" s="22">
        <v>36.732199999999999</v>
      </c>
      <c r="I268" s="22">
        <v>-1.9287100000000001E-2</v>
      </c>
      <c r="J268" s="22">
        <v>258</v>
      </c>
      <c r="K268" s="22">
        <v>0.35012799999999999</v>
      </c>
      <c r="L268">
        <f t="shared" ref="L268:L331" si="48">-I268/$F$2*1000</f>
        <v>19.287100000000002</v>
      </c>
      <c r="M268">
        <f t="shared" ref="M268:M331" si="49">L268*G268</f>
        <v>6.7659146800000007</v>
      </c>
      <c r="N268" s="9"/>
      <c r="O268" s="22">
        <v>1.19919</v>
      </c>
      <c r="P268" s="22">
        <v>70.785300000000007</v>
      </c>
      <c r="Q268" s="22">
        <v>-1.8414300000000002E-2</v>
      </c>
      <c r="R268" s="22">
        <v>258</v>
      </c>
      <c r="S268" s="22">
        <v>1.1975100000000001</v>
      </c>
      <c r="T268">
        <f t="shared" ref="T268:T331" si="50">-Q268/$F$2*1000</f>
        <v>18.414300000000001</v>
      </c>
      <c r="U268">
        <f t="shared" ref="U268:U331" si="51">T268*O268</f>
        <v>22.082244417000002</v>
      </c>
      <c r="X268" s="9"/>
      <c r="Y268" s="22">
        <v>0.3508</v>
      </c>
      <c r="Z268" s="22">
        <v>104.80800000000001</v>
      </c>
      <c r="AA268" s="22">
        <v>-1.9448900000000002E-2</v>
      </c>
      <c r="AB268" s="22">
        <v>258</v>
      </c>
      <c r="AC268" s="22">
        <v>0.34991499999999998</v>
      </c>
      <c r="AD268">
        <f t="shared" ref="AD268:AD331" si="52">-AA268/$F$2*1000</f>
        <v>19.448900000000002</v>
      </c>
      <c r="AE268">
        <f t="shared" ref="AE268:AE331" si="53">AD268*Y268</f>
        <v>6.8226741200000003</v>
      </c>
      <c r="AF268" s="9"/>
      <c r="AG268" s="22">
        <v>1.19919</v>
      </c>
      <c r="AH268" s="22">
        <v>138.815</v>
      </c>
      <c r="AI268" s="22">
        <v>-1.84998E-2</v>
      </c>
      <c r="AJ268" s="22">
        <v>258</v>
      </c>
      <c r="AK268" s="22">
        <v>1.1981200000000001</v>
      </c>
      <c r="AL268">
        <f t="shared" ref="AL268:AL331" si="54">-AI268/$F$2*1000</f>
        <v>18.4998</v>
      </c>
      <c r="AM268">
        <f t="shared" ref="AM268:AM331" si="55">AL268*AG268</f>
        <v>22.184775162000001</v>
      </c>
      <c r="AP268" s="9"/>
      <c r="AQ268" s="22">
        <v>0.3508</v>
      </c>
      <c r="AR268" s="22">
        <v>172.87299999999999</v>
      </c>
      <c r="AS268" s="22">
        <v>-1.9433599999999999E-2</v>
      </c>
      <c r="AT268" s="22">
        <v>258</v>
      </c>
      <c r="AU268" s="22">
        <v>0.35025000000000001</v>
      </c>
      <c r="AV268">
        <f t="shared" ref="AV268:AV331" si="56">-AS268/$F$2*1000</f>
        <v>19.433599999999998</v>
      </c>
      <c r="AW268">
        <f t="shared" ref="AW268:AW331" si="57">AV268*AQ268</f>
        <v>6.8173068799999994</v>
      </c>
      <c r="AX268" s="9"/>
      <c r="AY268" s="22">
        <v>1.19919</v>
      </c>
      <c r="AZ268" s="22">
        <v>206.899</v>
      </c>
      <c r="BA268" s="22">
        <v>-1.8493699999999998E-2</v>
      </c>
      <c r="BB268" s="22">
        <v>258</v>
      </c>
      <c r="BC268" s="22">
        <v>1.1981200000000001</v>
      </c>
      <c r="BD268">
        <f t="shared" ref="BD268:BD331" si="58">-BA268/$F$2*1000</f>
        <v>18.493699999999997</v>
      </c>
      <c r="BE268">
        <f t="shared" ref="BE268:BE331" si="59">BD268*AY268</f>
        <v>22.177460102999994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0.34576400000000002</v>
      </c>
      <c r="H269" s="22">
        <v>36.742199999999997</v>
      </c>
      <c r="I269" s="22">
        <v>-1.92932E-2</v>
      </c>
      <c r="J269" s="22">
        <v>259</v>
      </c>
      <c r="K269" s="22">
        <v>0.34494000000000002</v>
      </c>
      <c r="L269">
        <f t="shared" si="48"/>
        <v>19.293199999999999</v>
      </c>
      <c r="M269">
        <f t="shared" si="49"/>
        <v>6.6708940048000001</v>
      </c>
      <c r="N269" s="9"/>
      <c r="O269" s="22">
        <v>1.2042200000000001</v>
      </c>
      <c r="P269" s="22">
        <v>70.795400000000001</v>
      </c>
      <c r="Q269" s="22">
        <v>-1.8411299999999999E-2</v>
      </c>
      <c r="R269" s="22">
        <v>259</v>
      </c>
      <c r="S269" s="22">
        <v>1.2033100000000001</v>
      </c>
      <c r="T269">
        <f t="shared" si="50"/>
        <v>18.411299999999997</v>
      </c>
      <c r="U269">
        <f t="shared" si="51"/>
        <v>22.171255685999999</v>
      </c>
      <c r="X269" s="9"/>
      <c r="Y269" s="22">
        <v>0.34576400000000002</v>
      </c>
      <c r="Z269" s="22">
        <v>104.819</v>
      </c>
      <c r="AA269" s="22">
        <v>-1.9451900000000001E-2</v>
      </c>
      <c r="AB269" s="22">
        <v>259</v>
      </c>
      <c r="AC269" s="22">
        <v>0.34512300000000001</v>
      </c>
      <c r="AD269">
        <f t="shared" si="52"/>
        <v>19.451900000000002</v>
      </c>
      <c r="AE269">
        <f t="shared" si="53"/>
        <v>6.725766751600001</v>
      </c>
      <c r="AF269" s="9"/>
      <c r="AG269" s="22">
        <v>1.2042200000000001</v>
      </c>
      <c r="AH269" s="22">
        <v>138.82499999999999</v>
      </c>
      <c r="AI269" s="22">
        <v>-1.8490599999999999E-2</v>
      </c>
      <c r="AJ269" s="22">
        <v>259</v>
      </c>
      <c r="AK269" s="22">
        <v>1.2030000000000001</v>
      </c>
      <c r="AL269">
        <f t="shared" si="54"/>
        <v>18.490600000000001</v>
      </c>
      <c r="AM269">
        <f t="shared" si="55"/>
        <v>22.266750332000001</v>
      </c>
      <c r="AP269" s="9"/>
      <c r="AQ269" s="22">
        <v>0.34576400000000002</v>
      </c>
      <c r="AR269" s="22">
        <v>172.88300000000001</v>
      </c>
      <c r="AS269" s="22">
        <v>-1.94427E-2</v>
      </c>
      <c r="AT269" s="22">
        <v>259</v>
      </c>
      <c r="AU269" s="22">
        <v>0.345306</v>
      </c>
      <c r="AV269">
        <f t="shared" si="56"/>
        <v>19.442699999999999</v>
      </c>
      <c r="AW269">
        <f t="shared" si="57"/>
        <v>6.7225857227999999</v>
      </c>
      <c r="AX269" s="9"/>
      <c r="AY269" s="22">
        <v>1.2042200000000001</v>
      </c>
      <c r="AZ269" s="22">
        <v>206.90899999999999</v>
      </c>
      <c r="BA269" s="22">
        <v>-1.8490599999999999E-2</v>
      </c>
      <c r="BB269" s="22">
        <v>259</v>
      </c>
      <c r="BC269" s="22">
        <v>1.2039200000000001</v>
      </c>
      <c r="BD269">
        <f t="shared" si="58"/>
        <v>18.490600000000001</v>
      </c>
      <c r="BE269">
        <f t="shared" si="59"/>
        <v>22.266750332000001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0.340729</v>
      </c>
      <c r="H270" s="22">
        <v>36.752299999999998</v>
      </c>
      <c r="I270" s="22">
        <v>-1.9296299999999999E-2</v>
      </c>
      <c r="J270" s="22">
        <v>260</v>
      </c>
      <c r="K270" s="22">
        <v>0.340088</v>
      </c>
      <c r="L270">
        <f t="shared" si="48"/>
        <v>19.296299999999999</v>
      </c>
      <c r="M270">
        <f t="shared" si="49"/>
        <v>6.5748090026999995</v>
      </c>
      <c r="N270" s="9"/>
      <c r="O270" s="22">
        <v>1.20926</v>
      </c>
      <c r="P270" s="22">
        <v>70.805499999999995</v>
      </c>
      <c r="Q270" s="22">
        <v>-1.84082E-2</v>
      </c>
      <c r="R270" s="22">
        <v>260</v>
      </c>
      <c r="S270" s="22">
        <v>1.2084999999999999</v>
      </c>
      <c r="T270">
        <f t="shared" si="50"/>
        <v>18.408200000000001</v>
      </c>
      <c r="U270">
        <f t="shared" si="51"/>
        <v>22.260299932000002</v>
      </c>
      <c r="X270" s="9"/>
      <c r="Y270" s="22">
        <v>0.340729</v>
      </c>
      <c r="Z270" s="22">
        <v>104.82899999999999</v>
      </c>
      <c r="AA270" s="22">
        <v>-1.9455E-2</v>
      </c>
      <c r="AB270" s="22">
        <v>260</v>
      </c>
      <c r="AC270" s="22">
        <v>0.340057</v>
      </c>
      <c r="AD270">
        <f t="shared" si="52"/>
        <v>19.454999999999998</v>
      </c>
      <c r="AE270">
        <f t="shared" si="53"/>
        <v>6.6288826949999997</v>
      </c>
      <c r="AF270" s="9"/>
      <c r="AG270" s="22">
        <v>1.20926</v>
      </c>
      <c r="AH270" s="22">
        <v>138.83500000000001</v>
      </c>
      <c r="AI270" s="22">
        <v>-1.8484500000000001E-2</v>
      </c>
      <c r="AJ270" s="22">
        <v>260</v>
      </c>
      <c r="AK270" s="22">
        <v>1.2088000000000001</v>
      </c>
      <c r="AL270">
        <f t="shared" si="54"/>
        <v>18.484500000000001</v>
      </c>
      <c r="AM270">
        <f t="shared" si="55"/>
        <v>22.352566469999999</v>
      </c>
      <c r="AP270" s="9"/>
      <c r="AQ270" s="22">
        <v>0.340729</v>
      </c>
      <c r="AR270" s="22">
        <v>172.893</v>
      </c>
      <c r="AS270" s="22">
        <v>-1.9448900000000002E-2</v>
      </c>
      <c r="AT270" s="22">
        <v>260</v>
      </c>
      <c r="AU270" s="22">
        <v>0.339752</v>
      </c>
      <c r="AV270">
        <f t="shared" si="56"/>
        <v>19.448900000000002</v>
      </c>
      <c r="AW270">
        <f t="shared" si="57"/>
        <v>6.6268042481000009</v>
      </c>
      <c r="AX270" s="9"/>
      <c r="AY270" s="22">
        <v>1.20926</v>
      </c>
      <c r="AZ270" s="22">
        <v>206.92</v>
      </c>
      <c r="BA270" s="22">
        <v>-1.84875E-2</v>
      </c>
      <c r="BB270" s="22">
        <v>260</v>
      </c>
      <c r="BC270" s="22">
        <v>1.2078899999999999</v>
      </c>
      <c r="BD270">
        <f t="shared" si="58"/>
        <v>18.487500000000001</v>
      </c>
      <c r="BE270">
        <f t="shared" si="59"/>
        <v>22.356194250000001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0.33569300000000002</v>
      </c>
      <c r="H271" s="22">
        <v>36.7624</v>
      </c>
      <c r="I271" s="22">
        <v>-1.9302400000000001E-2</v>
      </c>
      <c r="J271" s="22">
        <v>261</v>
      </c>
      <c r="K271" s="22">
        <v>0.33489999999999998</v>
      </c>
      <c r="L271">
        <f t="shared" si="48"/>
        <v>19.302400000000002</v>
      </c>
      <c r="M271">
        <f t="shared" si="49"/>
        <v>6.4796805632000014</v>
      </c>
      <c r="N271" s="9"/>
      <c r="O271" s="22">
        <v>1.2142900000000001</v>
      </c>
      <c r="P271" s="22">
        <v>70.8155</v>
      </c>
      <c r="Q271" s="22">
        <v>-1.84052E-2</v>
      </c>
      <c r="R271" s="22">
        <v>261</v>
      </c>
      <c r="S271" s="22">
        <v>1.2136800000000001</v>
      </c>
      <c r="T271">
        <f t="shared" si="50"/>
        <v>18.405200000000001</v>
      </c>
      <c r="U271">
        <f t="shared" si="51"/>
        <v>22.349250308000002</v>
      </c>
      <c r="X271" s="9"/>
      <c r="Y271" s="22">
        <v>0.33569300000000002</v>
      </c>
      <c r="Z271" s="22">
        <v>104.839</v>
      </c>
      <c r="AA271" s="22">
        <v>-1.9461099999999999E-2</v>
      </c>
      <c r="AB271" s="22">
        <v>261</v>
      </c>
      <c r="AC271" s="22">
        <v>0.33499099999999998</v>
      </c>
      <c r="AD271">
        <f t="shared" si="52"/>
        <v>19.461099999999998</v>
      </c>
      <c r="AE271">
        <f t="shared" si="53"/>
        <v>6.5329550423000002</v>
      </c>
      <c r="AF271" s="9"/>
      <c r="AG271" s="22">
        <v>1.2142900000000001</v>
      </c>
      <c r="AH271" s="22">
        <v>138.845</v>
      </c>
      <c r="AI271" s="22">
        <v>-1.8481399999999999E-2</v>
      </c>
      <c r="AJ271" s="22">
        <v>261</v>
      </c>
      <c r="AK271" s="22">
        <v>1.2136800000000001</v>
      </c>
      <c r="AL271">
        <f t="shared" si="54"/>
        <v>18.481399999999997</v>
      </c>
      <c r="AM271">
        <f t="shared" si="55"/>
        <v>22.441779206</v>
      </c>
      <c r="AP271" s="9"/>
      <c r="AQ271" s="22">
        <v>0.33569300000000002</v>
      </c>
      <c r="AR271" s="22">
        <v>172.90299999999999</v>
      </c>
      <c r="AS271" s="22">
        <v>-1.9451900000000001E-2</v>
      </c>
      <c r="AT271" s="22">
        <v>261</v>
      </c>
      <c r="AU271" s="22">
        <v>0.33486900000000003</v>
      </c>
      <c r="AV271">
        <f t="shared" si="56"/>
        <v>19.451900000000002</v>
      </c>
      <c r="AW271">
        <f t="shared" si="57"/>
        <v>6.5298666667000012</v>
      </c>
      <c r="AX271" s="9"/>
      <c r="AY271" s="22">
        <v>1.2142900000000001</v>
      </c>
      <c r="AZ271" s="22">
        <v>206.93</v>
      </c>
      <c r="BA271" s="22">
        <v>-1.8481399999999999E-2</v>
      </c>
      <c r="BB271" s="22">
        <v>261</v>
      </c>
      <c r="BC271" s="22">
        <v>1.2139899999999999</v>
      </c>
      <c r="BD271">
        <f t="shared" si="58"/>
        <v>18.481399999999997</v>
      </c>
      <c r="BE271">
        <f t="shared" si="59"/>
        <v>22.441779206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0.33065800000000001</v>
      </c>
      <c r="H272" s="22">
        <v>36.772500000000001</v>
      </c>
      <c r="I272" s="22">
        <v>-1.9308499999999999E-2</v>
      </c>
      <c r="J272" s="22">
        <v>262</v>
      </c>
      <c r="K272" s="22">
        <v>0.32986500000000002</v>
      </c>
      <c r="L272">
        <f t="shared" si="48"/>
        <v>19.308499999999999</v>
      </c>
      <c r="M272">
        <f t="shared" si="49"/>
        <v>6.384509993</v>
      </c>
      <c r="N272" s="9"/>
      <c r="O272" s="22">
        <v>1.21933</v>
      </c>
      <c r="P272" s="22">
        <v>70.825599999999994</v>
      </c>
      <c r="Q272" s="22">
        <v>-1.8395999999999999E-2</v>
      </c>
      <c r="R272" s="22">
        <v>262</v>
      </c>
      <c r="S272" s="22">
        <v>1.2185699999999999</v>
      </c>
      <c r="T272">
        <f t="shared" si="50"/>
        <v>18.396000000000001</v>
      </c>
      <c r="U272">
        <f t="shared" si="51"/>
        <v>22.430794680000002</v>
      </c>
      <c r="X272" s="9"/>
      <c r="Y272" s="22">
        <v>0.33065800000000001</v>
      </c>
      <c r="Z272" s="22">
        <v>104.849</v>
      </c>
      <c r="AA272" s="22">
        <v>-1.94702E-2</v>
      </c>
      <c r="AB272" s="22">
        <v>262</v>
      </c>
      <c r="AC272" s="22">
        <v>0.32995600000000003</v>
      </c>
      <c r="AD272">
        <f t="shared" si="52"/>
        <v>19.470199999999998</v>
      </c>
      <c r="AE272">
        <f t="shared" si="53"/>
        <v>6.4379773915999996</v>
      </c>
      <c r="AF272" s="9"/>
      <c r="AG272" s="22">
        <v>1.21933</v>
      </c>
      <c r="AH272" s="22">
        <v>138.85499999999999</v>
      </c>
      <c r="AI272" s="22">
        <v>-1.8478399999999999E-2</v>
      </c>
      <c r="AJ272" s="22">
        <v>262</v>
      </c>
      <c r="AK272" s="22">
        <v>1.2185699999999999</v>
      </c>
      <c r="AL272">
        <f t="shared" si="54"/>
        <v>18.478400000000001</v>
      </c>
      <c r="AM272">
        <f t="shared" si="55"/>
        <v>22.531267472</v>
      </c>
      <c r="AP272" s="9"/>
      <c r="AQ272" s="22">
        <v>0.33065800000000001</v>
      </c>
      <c r="AR272" s="22">
        <v>172.91300000000001</v>
      </c>
      <c r="AS272" s="22">
        <v>-1.9458E-2</v>
      </c>
      <c r="AT272" s="22">
        <v>262</v>
      </c>
      <c r="AU272" s="22">
        <v>0.33010899999999999</v>
      </c>
      <c r="AV272">
        <f t="shared" si="56"/>
        <v>19.457999999999998</v>
      </c>
      <c r="AW272">
        <f t="shared" si="57"/>
        <v>6.4339433639999992</v>
      </c>
      <c r="AX272" s="9"/>
      <c r="AY272" s="22">
        <v>1.21933</v>
      </c>
      <c r="AZ272" s="22">
        <v>206.94</v>
      </c>
      <c r="BA272" s="22">
        <v>-1.8478399999999999E-2</v>
      </c>
      <c r="BB272" s="22">
        <v>262</v>
      </c>
      <c r="BC272" s="22">
        <v>1.2179599999999999</v>
      </c>
      <c r="BD272">
        <f t="shared" si="58"/>
        <v>18.478400000000001</v>
      </c>
      <c r="BE272">
        <f t="shared" si="59"/>
        <v>22.531267472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0.325623</v>
      </c>
      <c r="H273" s="22">
        <v>36.782499999999999</v>
      </c>
      <c r="I273" s="22">
        <v>-1.9314600000000001E-2</v>
      </c>
      <c r="J273" s="22">
        <v>263</v>
      </c>
      <c r="K273" s="22">
        <v>0.32470700000000002</v>
      </c>
      <c r="L273">
        <f t="shared" si="48"/>
        <v>19.314600000000002</v>
      </c>
      <c r="M273">
        <f t="shared" si="49"/>
        <v>6.2892779958000009</v>
      </c>
      <c r="N273" s="9"/>
      <c r="O273" s="22">
        <v>1.22437</v>
      </c>
      <c r="P273" s="22">
        <v>70.835700000000003</v>
      </c>
      <c r="Q273" s="22">
        <v>-1.8389900000000001E-2</v>
      </c>
      <c r="R273" s="22">
        <v>263</v>
      </c>
      <c r="S273" s="22">
        <v>1.2234499999999999</v>
      </c>
      <c r="T273">
        <f t="shared" si="50"/>
        <v>18.389900000000001</v>
      </c>
      <c r="U273">
        <f t="shared" si="51"/>
        <v>22.516041863000002</v>
      </c>
      <c r="X273" s="9"/>
      <c r="Y273" s="22">
        <v>0.325623</v>
      </c>
      <c r="Z273" s="22">
        <v>104.85899999999999</v>
      </c>
      <c r="AA273" s="22">
        <v>-1.9476299999999998E-2</v>
      </c>
      <c r="AB273" s="22">
        <v>263</v>
      </c>
      <c r="AC273" s="22">
        <v>0.32495099999999999</v>
      </c>
      <c r="AD273">
        <f t="shared" si="52"/>
        <v>19.476299999999998</v>
      </c>
      <c r="AE273">
        <f t="shared" si="53"/>
        <v>6.3419312348999997</v>
      </c>
      <c r="AF273" s="9"/>
      <c r="AG273" s="22">
        <v>1.22437</v>
      </c>
      <c r="AH273" s="22">
        <v>138.86500000000001</v>
      </c>
      <c r="AI273" s="22">
        <v>-1.84753E-2</v>
      </c>
      <c r="AJ273" s="22">
        <v>263</v>
      </c>
      <c r="AK273" s="22">
        <v>1.2228399999999999</v>
      </c>
      <c r="AL273">
        <f t="shared" si="54"/>
        <v>18.475300000000001</v>
      </c>
      <c r="AM273">
        <f t="shared" si="55"/>
        <v>22.620603061000001</v>
      </c>
      <c r="AP273" s="9"/>
      <c r="AQ273" s="22">
        <v>0.325623</v>
      </c>
      <c r="AR273" s="22">
        <v>172.92400000000001</v>
      </c>
      <c r="AS273" s="22">
        <v>-1.9461099999999999E-2</v>
      </c>
      <c r="AT273" s="22">
        <v>263</v>
      </c>
      <c r="AU273" s="22">
        <v>0.32473800000000003</v>
      </c>
      <c r="AV273">
        <f t="shared" si="56"/>
        <v>19.461099999999998</v>
      </c>
      <c r="AW273">
        <f t="shared" si="57"/>
        <v>6.3369817652999991</v>
      </c>
      <c r="AX273" s="9"/>
      <c r="AY273" s="22">
        <v>1.22437</v>
      </c>
      <c r="AZ273" s="22">
        <v>206.95</v>
      </c>
      <c r="BA273" s="22">
        <v>-1.8472300000000001E-2</v>
      </c>
      <c r="BB273" s="22">
        <v>263</v>
      </c>
      <c r="BC273" s="22">
        <v>1.2234499999999999</v>
      </c>
      <c r="BD273">
        <f t="shared" si="58"/>
        <v>18.472300000000001</v>
      </c>
      <c r="BE273">
        <f t="shared" si="59"/>
        <v>22.616929950999999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0.32058700000000001</v>
      </c>
      <c r="H274" s="22">
        <v>36.7926</v>
      </c>
      <c r="I274" s="22">
        <v>-1.93207E-2</v>
      </c>
      <c r="J274" s="22">
        <v>264</v>
      </c>
      <c r="K274" s="22">
        <v>0.32003799999999999</v>
      </c>
      <c r="L274">
        <f t="shared" si="48"/>
        <v>19.320699999999999</v>
      </c>
      <c r="M274">
        <f t="shared" si="49"/>
        <v>6.1939652508999998</v>
      </c>
      <c r="N274" s="9"/>
      <c r="O274" s="22">
        <v>1.2294</v>
      </c>
      <c r="P274" s="22">
        <v>70.845699999999994</v>
      </c>
      <c r="Q274" s="22">
        <v>-1.8383799999999999E-2</v>
      </c>
      <c r="R274" s="22">
        <v>264</v>
      </c>
      <c r="S274" s="22">
        <v>1.22803</v>
      </c>
      <c r="T274">
        <f t="shared" si="50"/>
        <v>18.383799999999997</v>
      </c>
      <c r="U274">
        <f t="shared" si="51"/>
        <v>22.601043719999996</v>
      </c>
      <c r="X274" s="9"/>
      <c r="Y274" s="22">
        <v>0.32058700000000001</v>
      </c>
      <c r="Z274" s="22">
        <v>104.869</v>
      </c>
      <c r="AA274" s="22">
        <v>-1.9485499999999999E-2</v>
      </c>
      <c r="AB274" s="22">
        <v>264</v>
      </c>
      <c r="AC274" s="22">
        <v>0.32006800000000002</v>
      </c>
      <c r="AD274">
        <f t="shared" si="52"/>
        <v>19.485499999999998</v>
      </c>
      <c r="AE274">
        <f t="shared" si="53"/>
        <v>6.2467979885</v>
      </c>
      <c r="AF274" s="9"/>
      <c r="AG274" s="22">
        <v>1.2294</v>
      </c>
      <c r="AH274" s="22">
        <v>138.875</v>
      </c>
      <c r="AI274" s="22">
        <v>-1.8469200000000002E-2</v>
      </c>
      <c r="AJ274" s="22">
        <v>264</v>
      </c>
      <c r="AK274" s="22">
        <v>1.22864</v>
      </c>
      <c r="AL274">
        <f t="shared" si="54"/>
        <v>18.469200000000001</v>
      </c>
      <c r="AM274">
        <f t="shared" si="55"/>
        <v>22.706034480000003</v>
      </c>
      <c r="AP274" s="9"/>
      <c r="AQ274" s="22">
        <v>0.32058700000000001</v>
      </c>
      <c r="AR274" s="22">
        <v>172.934</v>
      </c>
      <c r="AS274" s="22">
        <v>-1.94672E-2</v>
      </c>
      <c r="AT274" s="22">
        <v>264</v>
      </c>
      <c r="AU274" s="22">
        <v>0.32000699999999999</v>
      </c>
      <c r="AV274">
        <f t="shared" si="56"/>
        <v>19.467200000000002</v>
      </c>
      <c r="AW274">
        <f t="shared" si="57"/>
        <v>6.2409312464000006</v>
      </c>
      <c r="AX274" s="9"/>
      <c r="AY274" s="22">
        <v>1.2294</v>
      </c>
      <c r="AZ274" s="22">
        <v>206.96</v>
      </c>
      <c r="BA274" s="22">
        <v>-1.8466199999999999E-2</v>
      </c>
      <c r="BB274" s="22">
        <v>264</v>
      </c>
      <c r="BC274" s="22">
        <v>1.2283299999999999</v>
      </c>
      <c r="BD274">
        <f t="shared" si="58"/>
        <v>18.466199999999997</v>
      </c>
      <c r="BE274">
        <f t="shared" si="59"/>
        <v>22.702346279999997</v>
      </c>
    </row>
    <row r="275" spans="6:101">
      <c r="F275" s="9"/>
      <c r="G275" s="22">
        <v>0.315552</v>
      </c>
      <c r="H275" s="22">
        <v>36.802700000000002</v>
      </c>
      <c r="I275" s="22">
        <v>-1.9323699999999999E-2</v>
      </c>
      <c r="J275" s="22">
        <v>265</v>
      </c>
      <c r="K275" s="22">
        <v>0.315002</v>
      </c>
      <c r="L275">
        <f t="shared" si="48"/>
        <v>19.323699999999999</v>
      </c>
      <c r="M275">
        <f t="shared" si="49"/>
        <v>6.0976321823999999</v>
      </c>
      <c r="N275" s="9"/>
      <c r="O275" s="22">
        <v>1.23444</v>
      </c>
      <c r="P275" s="22">
        <v>70.855800000000002</v>
      </c>
      <c r="Q275" s="22">
        <v>-1.83777E-2</v>
      </c>
      <c r="R275" s="22">
        <v>265</v>
      </c>
      <c r="S275" s="22">
        <v>1.23322</v>
      </c>
      <c r="T275">
        <f t="shared" si="50"/>
        <v>18.377700000000001</v>
      </c>
      <c r="U275">
        <f t="shared" si="51"/>
        <v>22.686167988000001</v>
      </c>
      <c r="X275" s="9"/>
      <c r="Y275" s="22">
        <v>0.315552</v>
      </c>
      <c r="Z275" s="22">
        <v>104.879</v>
      </c>
      <c r="AA275" s="22">
        <v>-1.9491600000000001E-2</v>
      </c>
      <c r="AB275" s="22">
        <v>265</v>
      </c>
      <c r="AC275" s="22">
        <v>0.31494100000000003</v>
      </c>
      <c r="AD275">
        <f t="shared" si="52"/>
        <v>19.491600000000002</v>
      </c>
      <c r="AE275">
        <f t="shared" si="53"/>
        <v>6.1506133632000006</v>
      </c>
      <c r="AF275" s="9"/>
      <c r="AG275" s="22">
        <v>1.23444</v>
      </c>
      <c r="AH275" s="22">
        <v>138.88499999999999</v>
      </c>
      <c r="AI275" s="22">
        <v>-1.84631E-2</v>
      </c>
      <c r="AJ275" s="22">
        <v>265</v>
      </c>
      <c r="AK275" s="22">
        <v>1.23322</v>
      </c>
      <c r="AL275">
        <f t="shared" si="54"/>
        <v>18.463100000000001</v>
      </c>
      <c r="AM275">
        <f t="shared" si="55"/>
        <v>22.791589164000001</v>
      </c>
      <c r="AP275" s="9"/>
      <c r="AQ275" s="22">
        <v>0.315552</v>
      </c>
      <c r="AR275" s="22">
        <v>172.94399999999999</v>
      </c>
      <c r="AS275" s="22">
        <v>-1.9473299999999999E-2</v>
      </c>
      <c r="AT275" s="22">
        <v>265</v>
      </c>
      <c r="AU275" s="22">
        <v>0.31515500000000002</v>
      </c>
      <c r="AV275">
        <f t="shared" si="56"/>
        <v>19.473299999999998</v>
      </c>
      <c r="AW275">
        <f t="shared" si="57"/>
        <v>6.1448387615999991</v>
      </c>
      <c r="AX275" s="9"/>
      <c r="AY275" s="22">
        <v>1.23444</v>
      </c>
      <c r="AZ275" s="22">
        <v>206.97</v>
      </c>
      <c r="BA275" s="22">
        <v>-1.8457000000000001E-2</v>
      </c>
      <c r="BB275" s="22">
        <v>265</v>
      </c>
      <c r="BC275" s="22">
        <v>1.23383</v>
      </c>
      <c r="BD275">
        <f t="shared" si="58"/>
        <v>18.457000000000001</v>
      </c>
      <c r="BE275">
        <f t="shared" si="59"/>
        <v>22.784059080000002</v>
      </c>
    </row>
    <row r="276" spans="6:101">
      <c r="F276" s="9"/>
      <c r="G276" s="22">
        <v>0.31051600000000001</v>
      </c>
      <c r="H276" s="22">
        <v>36.8127</v>
      </c>
      <c r="I276" s="22">
        <v>-1.9329800000000001E-2</v>
      </c>
      <c r="J276" s="22">
        <v>266</v>
      </c>
      <c r="K276" s="22">
        <v>0.309784</v>
      </c>
      <c r="L276">
        <f t="shared" si="48"/>
        <v>19.329800000000002</v>
      </c>
      <c r="M276">
        <f t="shared" si="49"/>
        <v>6.0022121768000014</v>
      </c>
      <c r="N276" s="9"/>
      <c r="O276" s="22">
        <v>1.2394700000000001</v>
      </c>
      <c r="P276" s="22">
        <v>70.865899999999996</v>
      </c>
      <c r="Q276" s="22">
        <v>-1.8368499999999999E-2</v>
      </c>
      <c r="R276" s="22">
        <v>266</v>
      </c>
      <c r="S276" s="22">
        <v>1.2383999999999999</v>
      </c>
      <c r="T276">
        <f t="shared" si="50"/>
        <v>18.368500000000001</v>
      </c>
      <c r="U276">
        <f t="shared" si="51"/>
        <v>22.767204695000004</v>
      </c>
      <c r="X276" s="9"/>
      <c r="Y276" s="22">
        <v>0.31051600000000001</v>
      </c>
      <c r="Z276" s="22">
        <v>104.889</v>
      </c>
      <c r="AA276" s="22">
        <v>-1.9494600000000001E-2</v>
      </c>
      <c r="AB276" s="22">
        <v>266</v>
      </c>
      <c r="AC276" s="22">
        <v>0.30984499999999998</v>
      </c>
      <c r="AD276">
        <f t="shared" si="52"/>
        <v>19.494600000000002</v>
      </c>
      <c r="AE276">
        <f t="shared" si="53"/>
        <v>6.0533852136000013</v>
      </c>
      <c r="AF276" s="9"/>
      <c r="AG276" s="22">
        <v>1.2394700000000001</v>
      </c>
      <c r="AH276" s="22">
        <v>138.89500000000001</v>
      </c>
      <c r="AI276" s="22">
        <v>-1.84601E-2</v>
      </c>
      <c r="AJ276" s="22">
        <v>266</v>
      </c>
      <c r="AK276" s="22">
        <v>1.23871</v>
      </c>
      <c r="AL276">
        <f t="shared" si="54"/>
        <v>18.460100000000001</v>
      </c>
      <c r="AM276">
        <f t="shared" si="55"/>
        <v>22.880740147000001</v>
      </c>
      <c r="AP276" s="9"/>
      <c r="AQ276" s="22">
        <v>0.31051600000000001</v>
      </c>
      <c r="AR276" s="22">
        <v>172.95400000000001</v>
      </c>
      <c r="AS276" s="22">
        <v>-1.9479400000000001E-2</v>
      </c>
      <c r="AT276" s="22">
        <v>266</v>
      </c>
      <c r="AU276" s="22">
        <v>0.30972300000000003</v>
      </c>
      <c r="AV276">
        <f t="shared" si="56"/>
        <v>19.479400000000002</v>
      </c>
      <c r="AW276">
        <f t="shared" si="57"/>
        <v>6.0486653704000011</v>
      </c>
      <c r="AX276" s="9"/>
      <c r="AY276" s="22">
        <v>1.2394700000000001</v>
      </c>
      <c r="AZ276" s="22">
        <v>206.98</v>
      </c>
      <c r="BA276" s="22">
        <v>-1.8454000000000002E-2</v>
      </c>
      <c r="BB276" s="22">
        <v>266</v>
      </c>
      <c r="BC276" s="22">
        <v>1.23871</v>
      </c>
      <c r="BD276">
        <f t="shared" si="58"/>
        <v>18.454000000000001</v>
      </c>
      <c r="BE276">
        <f t="shared" si="59"/>
        <v>22.873179380000003</v>
      </c>
    </row>
    <row r="277" spans="6:101">
      <c r="F277" s="9"/>
      <c r="G277" s="22">
        <v>0.305481</v>
      </c>
      <c r="H277" s="22">
        <v>36.822800000000001</v>
      </c>
      <c r="I277" s="22">
        <v>-1.93359E-2</v>
      </c>
      <c r="J277" s="22">
        <v>267</v>
      </c>
      <c r="K277" s="22">
        <v>0.30481000000000003</v>
      </c>
      <c r="L277">
        <f t="shared" si="48"/>
        <v>19.335899999999999</v>
      </c>
      <c r="M277">
        <f t="shared" si="49"/>
        <v>5.9067500679</v>
      </c>
      <c r="N277" s="9"/>
      <c r="O277" s="22">
        <v>1.24451</v>
      </c>
      <c r="P277" s="22">
        <v>70.876000000000005</v>
      </c>
      <c r="Q277" s="22">
        <v>-1.83655E-2</v>
      </c>
      <c r="R277" s="22">
        <v>267</v>
      </c>
      <c r="S277" s="22">
        <v>1.2439</v>
      </c>
      <c r="T277">
        <f t="shared" si="50"/>
        <v>18.365500000000001</v>
      </c>
      <c r="U277">
        <f t="shared" si="51"/>
        <v>22.856048405000003</v>
      </c>
      <c r="X277" s="9"/>
      <c r="Y277" s="22">
        <v>0.305481</v>
      </c>
      <c r="Z277" s="22">
        <v>104.899</v>
      </c>
      <c r="AA277" s="22">
        <v>-1.94977E-2</v>
      </c>
      <c r="AB277" s="22">
        <v>267</v>
      </c>
      <c r="AC277" s="22">
        <v>0.304871</v>
      </c>
      <c r="AD277">
        <f t="shared" si="52"/>
        <v>19.497699999999998</v>
      </c>
      <c r="AE277">
        <f t="shared" si="53"/>
        <v>5.9561768936999995</v>
      </c>
      <c r="AF277" s="9"/>
      <c r="AG277" s="22">
        <v>1.24451</v>
      </c>
      <c r="AH277" s="22">
        <v>138.905</v>
      </c>
      <c r="AI277" s="22">
        <v>-1.8457000000000001E-2</v>
      </c>
      <c r="AJ277" s="22">
        <v>267</v>
      </c>
      <c r="AK277" s="22">
        <v>1.2439</v>
      </c>
      <c r="AL277">
        <f t="shared" si="54"/>
        <v>18.457000000000001</v>
      </c>
      <c r="AM277">
        <f t="shared" si="55"/>
        <v>22.969921070000002</v>
      </c>
      <c r="AP277" s="9"/>
      <c r="AQ277" s="22">
        <v>0.305481</v>
      </c>
      <c r="AR277" s="22">
        <v>172.964</v>
      </c>
      <c r="AS277" s="22">
        <v>-1.94824E-2</v>
      </c>
      <c r="AT277" s="22">
        <v>267</v>
      </c>
      <c r="AU277" s="22">
        <v>0.30484</v>
      </c>
      <c r="AV277">
        <f t="shared" si="56"/>
        <v>19.482400000000002</v>
      </c>
      <c r="AW277">
        <f t="shared" si="57"/>
        <v>5.9515030344000008</v>
      </c>
      <c r="AX277" s="9"/>
      <c r="AY277" s="22">
        <v>1.24451</v>
      </c>
      <c r="AZ277" s="22">
        <v>206.99</v>
      </c>
      <c r="BA277" s="22">
        <v>-1.8450899999999999E-2</v>
      </c>
      <c r="BB277" s="22">
        <v>267</v>
      </c>
      <c r="BC277" s="22">
        <v>1.24359</v>
      </c>
      <c r="BD277">
        <f t="shared" si="58"/>
        <v>18.450900000000001</v>
      </c>
      <c r="BE277">
        <f t="shared" si="59"/>
        <v>22.962329559000001</v>
      </c>
    </row>
    <row r="278" spans="6:101">
      <c r="F278" s="9"/>
      <c r="G278" s="22">
        <v>0.30044599999999999</v>
      </c>
      <c r="H278" s="22">
        <v>36.832900000000002</v>
      </c>
      <c r="I278" s="22">
        <v>-1.9338999999999999E-2</v>
      </c>
      <c r="J278" s="22">
        <v>268</v>
      </c>
      <c r="K278" s="22">
        <v>0.29983500000000002</v>
      </c>
      <c r="L278">
        <f t="shared" si="48"/>
        <v>19.338999999999999</v>
      </c>
      <c r="M278">
        <f t="shared" si="49"/>
        <v>5.8103251939999998</v>
      </c>
      <c r="N278" s="9"/>
      <c r="O278" s="22">
        <v>1.2495400000000001</v>
      </c>
      <c r="P278" s="22">
        <v>70.885999999999996</v>
      </c>
      <c r="Q278" s="22">
        <v>-1.8362400000000001E-2</v>
      </c>
      <c r="R278" s="22">
        <v>268</v>
      </c>
      <c r="S278" s="22">
        <v>1.24847</v>
      </c>
      <c r="T278">
        <f t="shared" si="50"/>
        <v>18.362400000000001</v>
      </c>
      <c r="U278">
        <f t="shared" si="51"/>
        <v>22.944553296000002</v>
      </c>
      <c r="X278" s="9"/>
      <c r="Y278" s="22">
        <v>0.30044599999999999</v>
      </c>
      <c r="Z278" s="22">
        <v>104.90900000000001</v>
      </c>
      <c r="AA278" s="22">
        <v>-1.9500699999999999E-2</v>
      </c>
      <c r="AB278" s="22">
        <v>268</v>
      </c>
      <c r="AC278" s="22">
        <v>0.300232</v>
      </c>
      <c r="AD278">
        <f t="shared" si="52"/>
        <v>19.500699999999998</v>
      </c>
      <c r="AE278">
        <f t="shared" si="53"/>
        <v>5.8589073121999995</v>
      </c>
      <c r="AF278" s="9"/>
      <c r="AG278" s="22">
        <v>1.2495400000000001</v>
      </c>
      <c r="AH278" s="22">
        <v>138.91499999999999</v>
      </c>
      <c r="AI278" s="22">
        <v>-1.8450899999999999E-2</v>
      </c>
      <c r="AJ278" s="22">
        <v>268</v>
      </c>
      <c r="AK278" s="22">
        <v>1.24939</v>
      </c>
      <c r="AL278">
        <f t="shared" si="54"/>
        <v>18.450900000000001</v>
      </c>
      <c r="AM278">
        <f t="shared" si="55"/>
        <v>23.055137586000004</v>
      </c>
      <c r="AP278" s="9"/>
      <c r="AQ278" s="22">
        <v>0.30044599999999999</v>
      </c>
      <c r="AR278" s="22">
        <v>172.97399999999999</v>
      </c>
      <c r="AS278" s="22">
        <v>-1.9485499999999999E-2</v>
      </c>
      <c r="AT278" s="22">
        <v>268</v>
      </c>
      <c r="AU278" s="22">
        <v>0.29971300000000001</v>
      </c>
      <c r="AV278">
        <f t="shared" si="56"/>
        <v>19.485499999999998</v>
      </c>
      <c r="AW278">
        <f t="shared" si="57"/>
        <v>5.8543405329999993</v>
      </c>
      <c r="AX278" s="9"/>
      <c r="AY278" s="22">
        <v>1.2495400000000001</v>
      </c>
      <c r="AZ278" s="22">
        <v>207</v>
      </c>
      <c r="BA278" s="22">
        <v>-1.8444800000000001E-2</v>
      </c>
      <c r="BB278" s="22">
        <v>268</v>
      </c>
      <c r="BC278" s="22">
        <v>1.24878</v>
      </c>
      <c r="BD278">
        <f t="shared" si="58"/>
        <v>18.444800000000001</v>
      </c>
      <c r="BE278">
        <f t="shared" si="59"/>
        <v>23.047515392000001</v>
      </c>
    </row>
    <row r="279" spans="6:101">
      <c r="F279" s="9"/>
      <c r="G279" s="22">
        <v>0.29541000000000001</v>
      </c>
      <c r="H279" s="22">
        <v>36.843000000000004</v>
      </c>
      <c r="I279" s="22">
        <v>-1.9342000000000002E-2</v>
      </c>
      <c r="J279" s="22">
        <v>269</v>
      </c>
      <c r="K279" s="22">
        <v>0.29458600000000001</v>
      </c>
      <c r="L279">
        <f t="shared" si="48"/>
        <v>19.342000000000002</v>
      </c>
      <c r="M279">
        <f t="shared" si="49"/>
        <v>5.7138202200000006</v>
      </c>
      <c r="N279" s="9"/>
      <c r="O279" s="22">
        <v>1.25458</v>
      </c>
      <c r="P279" s="22">
        <v>70.896100000000004</v>
      </c>
      <c r="Q279" s="22">
        <v>-1.8356299999999999E-2</v>
      </c>
      <c r="R279" s="22">
        <v>269</v>
      </c>
      <c r="S279" s="22">
        <v>1.25366</v>
      </c>
      <c r="T279">
        <f t="shared" si="50"/>
        <v>18.356299999999997</v>
      </c>
      <c r="U279">
        <f t="shared" si="51"/>
        <v>23.029446853999996</v>
      </c>
      <c r="X279" s="9"/>
      <c r="Y279" s="22">
        <v>0.29541000000000001</v>
      </c>
      <c r="Z279" s="22">
        <v>104.919</v>
      </c>
      <c r="AA279" s="22">
        <v>-1.9506800000000001E-2</v>
      </c>
      <c r="AB279" s="22">
        <v>269</v>
      </c>
      <c r="AC279" s="22">
        <v>0.294678</v>
      </c>
      <c r="AD279">
        <f t="shared" si="52"/>
        <v>19.506800000000002</v>
      </c>
      <c r="AE279">
        <f t="shared" si="53"/>
        <v>5.762503788000001</v>
      </c>
      <c r="AF279" s="9"/>
      <c r="AG279" s="22">
        <v>1.25458</v>
      </c>
      <c r="AH279" s="22">
        <v>138.92500000000001</v>
      </c>
      <c r="AI279" s="22">
        <v>-1.8444800000000001E-2</v>
      </c>
      <c r="AJ279" s="22">
        <v>269</v>
      </c>
      <c r="AK279" s="22">
        <v>1.25397</v>
      </c>
      <c r="AL279">
        <f t="shared" si="54"/>
        <v>18.444800000000001</v>
      </c>
      <c r="AM279">
        <f t="shared" si="55"/>
        <v>23.140477184000002</v>
      </c>
      <c r="AP279" s="9"/>
      <c r="AQ279" s="22">
        <v>0.29541000000000001</v>
      </c>
      <c r="AR279" s="22">
        <v>172.98400000000001</v>
      </c>
      <c r="AS279" s="22">
        <v>-1.9491600000000001E-2</v>
      </c>
      <c r="AT279" s="22">
        <v>269</v>
      </c>
      <c r="AU279" s="22">
        <v>0.29480000000000001</v>
      </c>
      <c r="AV279">
        <f t="shared" si="56"/>
        <v>19.491600000000002</v>
      </c>
      <c r="AW279">
        <f t="shared" si="57"/>
        <v>5.7580135560000008</v>
      </c>
      <c r="AX279" s="9"/>
      <c r="AY279" s="22">
        <v>1.25458</v>
      </c>
      <c r="AZ279" s="22">
        <v>207.01</v>
      </c>
      <c r="BA279" s="22">
        <v>-1.8441800000000001E-2</v>
      </c>
      <c r="BB279" s="22">
        <v>269</v>
      </c>
      <c r="BC279" s="22">
        <v>1.25397</v>
      </c>
      <c r="BD279">
        <f t="shared" si="58"/>
        <v>18.441800000000001</v>
      </c>
      <c r="BE279">
        <f t="shared" si="59"/>
        <v>23.136713444000002</v>
      </c>
    </row>
    <row r="280" spans="6:101">
      <c r="F280" s="9"/>
      <c r="G280" s="22">
        <v>0.29037499999999999</v>
      </c>
      <c r="H280" s="22">
        <v>36.853000000000002</v>
      </c>
      <c r="I280" s="22">
        <v>-1.93481E-2</v>
      </c>
      <c r="J280" s="22">
        <v>270</v>
      </c>
      <c r="K280" s="22">
        <v>0.28952</v>
      </c>
      <c r="L280">
        <f t="shared" si="48"/>
        <v>19.348099999999999</v>
      </c>
      <c r="M280">
        <f t="shared" si="49"/>
        <v>5.6182045374999996</v>
      </c>
      <c r="N280" s="9"/>
      <c r="O280" s="22">
        <v>1.2596099999999999</v>
      </c>
      <c r="P280" s="22">
        <v>70.906199999999998</v>
      </c>
      <c r="Q280" s="22">
        <v>-1.8353299999999999E-2</v>
      </c>
      <c r="R280" s="22">
        <v>270</v>
      </c>
      <c r="S280" s="22">
        <v>1.25854</v>
      </c>
      <c r="T280">
        <f t="shared" si="50"/>
        <v>18.353300000000001</v>
      </c>
      <c r="U280">
        <f t="shared" si="51"/>
        <v>23.118000212999998</v>
      </c>
      <c r="X280" s="9"/>
      <c r="Y280" s="22">
        <v>0.29037499999999999</v>
      </c>
      <c r="Z280" s="22">
        <v>104.929</v>
      </c>
      <c r="AA280" s="22">
        <v>-1.95129E-2</v>
      </c>
      <c r="AB280" s="22">
        <v>270</v>
      </c>
      <c r="AC280" s="22">
        <v>0.28967300000000001</v>
      </c>
      <c r="AD280">
        <f t="shared" si="52"/>
        <v>19.512899999999998</v>
      </c>
      <c r="AE280">
        <f t="shared" si="53"/>
        <v>5.6660583374999991</v>
      </c>
      <c r="AF280" s="9"/>
      <c r="AG280" s="22">
        <v>1.2596099999999999</v>
      </c>
      <c r="AH280" s="22">
        <v>138.935</v>
      </c>
      <c r="AI280" s="22">
        <v>-1.8438699999999999E-2</v>
      </c>
      <c r="AJ280" s="22">
        <v>270</v>
      </c>
      <c r="AK280" s="22">
        <v>1.25885</v>
      </c>
      <c r="AL280">
        <f t="shared" si="54"/>
        <v>18.438699999999997</v>
      </c>
      <c r="AM280">
        <f t="shared" si="55"/>
        <v>23.225570906999994</v>
      </c>
      <c r="AP280" s="9"/>
      <c r="AQ280" s="22">
        <v>0.29037499999999999</v>
      </c>
      <c r="AR280" s="22">
        <v>172.994</v>
      </c>
      <c r="AS280" s="22">
        <v>-1.9494600000000001E-2</v>
      </c>
      <c r="AT280" s="22">
        <v>270</v>
      </c>
      <c r="AU280" s="22">
        <v>0.28976400000000002</v>
      </c>
      <c r="AV280">
        <f t="shared" si="56"/>
        <v>19.494600000000002</v>
      </c>
      <c r="AW280">
        <f t="shared" si="57"/>
        <v>5.6607444750000004</v>
      </c>
      <c r="AX280" s="9"/>
      <c r="AY280" s="22">
        <v>1.2596099999999999</v>
      </c>
      <c r="AZ280" s="22">
        <v>207.02</v>
      </c>
      <c r="BA280" s="22">
        <v>-1.8435699999999999E-2</v>
      </c>
      <c r="BB280" s="22">
        <v>270</v>
      </c>
      <c r="BC280" s="22">
        <v>1.25885</v>
      </c>
      <c r="BD280">
        <f t="shared" si="58"/>
        <v>18.435700000000001</v>
      </c>
      <c r="BE280">
        <f t="shared" si="59"/>
        <v>23.221792077</v>
      </c>
    </row>
    <row r="281" spans="6:101">
      <c r="F281" s="9"/>
      <c r="G281" s="22">
        <v>0.28533900000000001</v>
      </c>
      <c r="H281" s="22">
        <v>36.863100000000003</v>
      </c>
      <c r="I281" s="22">
        <v>-1.9351199999999999E-2</v>
      </c>
      <c r="J281" s="22">
        <v>271</v>
      </c>
      <c r="K281" s="22">
        <v>0.28466799999999998</v>
      </c>
      <c r="L281">
        <f t="shared" si="48"/>
        <v>19.351199999999999</v>
      </c>
      <c r="M281">
        <f t="shared" si="49"/>
        <v>5.5216520567999998</v>
      </c>
      <c r="N281" s="9"/>
      <c r="O281" s="22">
        <v>1.2646500000000001</v>
      </c>
      <c r="P281" s="22">
        <v>70.916200000000003</v>
      </c>
      <c r="Q281" s="22">
        <v>-1.8347200000000001E-2</v>
      </c>
      <c r="R281" s="22">
        <v>271</v>
      </c>
      <c r="S281" s="22">
        <v>1.26373</v>
      </c>
      <c r="T281">
        <f t="shared" si="50"/>
        <v>18.347200000000001</v>
      </c>
      <c r="U281">
        <f t="shared" si="51"/>
        <v>23.20278648</v>
      </c>
      <c r="X281" s="9"/>
      <c r="Y281" s="22">
        <v>0.28533900000000001</v>
      </c>
      <c r="Z281" s="22">
        <v>104.93899999999999</v>
      </c>
      <c r="AA281" s="22">
        <v>-1.9519000000000002E-2</v>
      </c>
      <c r="AB281" s="22">
        <v>271</v>
      </c>
      <c r="AC281" s="22">
        <v>0.28463699999999997</v>
      </c>
      <c r="AD281">
        <f t="shared" si="52"/>
        <v>19.519000000000002</v>
      </c>
      <c r="AE281">
        <f t="shared" si="53"/>
        <v>5.569531941000001</v>
      </c>
      <c r="AF281" s="9"/>
      <c r="AG281" s="22">
        <v>1.2646500000000001</v>
      </c>
      <c r="AH281" s="22">
        <v>138.946</v>
      </c>
      <c r="AI281" s="22">
        <v>-1.84326E-2</v>
      </c>
      <c r="AJ281" s="22">
        <v>271</v>
      </c>
      <c r="AK281" s="22">
        <v>1.26434</v>
      </c>
      <c r="AL281">
        <f t="shared" si="54"/>
        <v>18.432600000000001</v>
      </c>
      <c r="AM281">
        <f t="shared" si="55"/>
        <v>23.31078759</v>
      </c>
      <c r="AP281" s="9"/>
      <c r="AQ281" s="22">
        <v>0.28533900000000001</v>
      </c>
      <c r="AR281" s="22">
        <v>173.00399999999999</v>
      </c>
      <c r="AS281" s="22">
        <v>-1.9503800000000002E-2</v>
      </c>
      <c r="AT281" s="22">
        <v>271</v>
      </c>
      <c r="AU281" s="22">
        <v>0.28469800000000001</v>
      </c>
      <c r="AV281">
        <f t="shared" si="56"/>
        <v>19.503800000000002</v>
      </c>
      <c r="AW281">
        <f t="shared" si="57"/>
        <v>5.5651947882000004</v>
      </c>
      <c r="AX281" s="9"/>
      <c r="AY281" s="22">
        <v>1.2646500000000001</v>
      </c>
      <c r="AZ281" s="22">
        <v>207.03</v>
      </c>
      <c r="BA281" s="22">
        <v>-1.8429600000000001E-2</v>
      </c>
      <c r="BB281" s="22">
        <v>271</v>
      </c>
      <c r="BC281" s="22">
        <v>1.26373</v>
      </c>
      <c r="BD281">
        <f t="shared" si="58"/>
        <v>18.429600000000001</v>
      </c>
      <c r="BE281">
        <f t="shared" si="59"/>
        <v>23.306993640000002</v>
      </c>
    </row>
    <row r="282" spans="6:101">
      <c r="F282" s="9"/>
      <c r="G282" s="22">
        <v>0.280304</v>
      </c>
      <c r="H282" s="22">
        <v>36.873199999999997</v>
      </c>
      <c r="I282" s="22">
        <v>-1.93604E-2</v>
      </c>
      <c r="J282" s="22">
        <v>272</v>
      </c>
      <c r="K282" s="22">
        <v>0.27954099999999998</v>
      </c>
      <c r="L282">
        <f t="shared" si="48"/>
        <v>19.360399999999998</v>
      </c>
      <c r="M282">
        <f t="shared" si="49"/>
        <v>5.4267975615999999</v>
      </c>
      <c r="N282" s="9"/>
      <c r="O282" s="22">
        <v>1.2696799999999999</v>
      </c>
      <c r="P282" s="22">
        <v>70.926299999999998</v>
      </c>
      <c r="Q282" s="22">
        <v>-1.8338E-2</v>
      </c>
      <c r="R282" s="22">
        <v>272</v>
      </c>
      <c r="S282" s="22">
        <v>1.2692300000000001</v>
      </c>
      <c r="T282">
        <f t="shared" si="50"/>
        <v>18.338000000000001</v>
      </c>
      <c r="U282">
        <f t="shared" si="51"/>
        <v>23.28339184</v>
      </c>
      <c r="X282" s="9"/>
      <c r="Y282" s="22">
        <v>0.280304</v>
      </c>
      <c r="Z282" s="22">
        <v>104.949</v>
      </c>
      <c r="AA282" s="22">
        <v>-1.95251E-2</v>
      </c>
      <c r="AB282" s="22">
        <v>272</v>
      </c>
      <c r="AC282" s="22">
        <v>0.27993800000000002</v>
      </c>
      <c r="AD282">
        <f t="shared" si="52"/>
        <v>19.525099999999998</v>
      </c>
      <c r="AE282">
        <f t="shared" si="53"/>
        <v>5.4729636303999998</v>
      </c>
      <c r="AF282" s="9"/>
      <c r="AG282" s="22">
        <v>1.2696799999999999</v>
      </c>
      <c r="AH282" s="22">
        <v>138.95599999999999</v>
      </c>
      <c r="AI282" s="22">
        <v>-1.8429600000000001E-2</v>
      </c>
      <c r="AJ282" s="22">
        <v>272</v>
      </c>
      <c r="AK282" s="22">
        <v>1.26892</v>
      </c>
      <c r="AL282">
        <f t="shared" si="54"/>
        <v>18.429600000000001</v>
      </c>
      <c r="AM282">
        <f t="shared" si="55"/>
        <v>23.399694527999998</v>
      </c>
      <c r="AP282" s="9"/>
      <c r="AQ282" s="22">
        <v>0.280304</v>
      </c>
      <c r="AR282" s="22">
        <v>173.01400000000001</v>
      </c>
      <c r="AS282" s="22">
        <v>-1.9506800000000001E-2</v>
      </c>
      <c r="AT282" s="22">
        <v>272</v>
      </c>
      <c r="AU282" s="22">
        <v>0.27963300000000002</v>
      </c>
      <c r="AV282">
        <f t="shared" si="56"/>
        <v>19.506800000000002</v>
      </c>
      <c r="AW282">
        <f t="shared" si="57"/>
        <v>5.4678340672000001</v>
      </c>
      <c r="AX282" s="9"/>
      <c r="AY282" s="22">
        <v>1.2696799999999999</v>
      </c>
      <c r="AZ282" s="22">
        <v>207.04</v>
      </c>
      <c r="BA282" s="22">
        <v>-1.8423499999999999E-2</v>
      </c>
      <c r="BB282" s="22">
        <v>272</v>
      </c>
      <c r="BC282" s="22">
        <v>1.26892</v>
      </c>
      <c r="BD282">
        <f t="shared" si="58"/>
        <v>18.423500000000001</v>
      </c>
      <c r="BE282">
        <f t="shared" si="59"/>
        <v>23.391949480000001</v>
      </c>
    </row>
    <row r="283" spans="6:101">
      <c r="F283" s="9"/>
      <c r="G283" s="22">
        <v>0.27526899999999999</v>
      </c>
      <c r="H283" s="22">
        <v>36.883200000000002</v>
      </c>
      <c r="I283" s="22">
        <v>-1.9363399999999999E-2</v>
      </c>
      <c r="J283" s="22">
        <v>273</v>
      </c>
      <c r="K283" s="22">
        <v>0.27456700000000001</v>
      </c>
      <c r="L283">
        <f t="shared" si="48"/>
        <v>19.363399999999999</v>
      </c>
      <c r="M283">
        <f t="shared" si="49"/>
        <v>5.330143754599999</v>
      </c>
      <c r="N283" s="9"/>
      <c r="O283" s="22">
        <v>1.2747200000000001</v>
      </c>
      <c r="P283" s="22">
        <v>70.936400000000006</v>
      </c>
      <c r="Q283" s="22">
        <v>-1.8331900000000002E-2</v>
      </c>
      <c r="R283" s="22">
        <v>273</v>
      </c>
      <c r="S283" s="22">
        <v>1.2738</v>
      </c>
      <c r="T283">
        <f t="shared" si="50"/>
        <v>18.331900000000001</v>
      </c>
      <c r="U283">
        <f t="shared" si="51"/>
        <v>23.368039568000004</v>
      </c>
      <c r="X283" s="9"/>
      <c r="Y283" s="22">
        <v>0.27526899999999999</v>
      </c>
      <c r="Z283" s="22">
        <v>104.96</v>
      </c>
      <c r="AA283" s="22">
        <v>-1.9531300000000001E-2</v>
      </c>
      <c r="AB283" s="22">
        <v>273</v>
      </c>
      <c r="AC283" s="22">
        <v>0.27468900000000002</v>
      </c>
      <c r="AD283">
        <f t="shared" si="52"/>
        <v>19.531300000000002</v>
      </c>
      <c r="AE283">
        <f t="shared" si="53"/>
        <v>5.3763614197000003</v>
      </c>
      <c r="AF283" s="9"/>
      <c r="AG283" s="22">
        <v>1.2747200000000001</v>
      </c>
      <c r="AH283" s="22">
        <v>138.96600000000001</v>
      </c>
      <c r="AI283" s="22">
        <v>-1.8423499999999999E-2</v>
      </c>
      <c r="AJ283" s="22">
        <v>273</v>
      </c>
      <c r="AK283" s="22">
        <v>1.27441</v>
      </c>
      <c r="AL283">
        <f t="shared" si="54"/>
        <v>18.423500000000001</v>
      </c>
      <c r="AM283">
        <f t="shared" si="55"/>
        <v>23.484803920000001</v>
      </c>
      <c r="AP283" s="9"/>
      <c r="AQ283" s="22">
        <v>0.27526899999999999</v>
      </c>
      <c r="AR283" s="22">
        <v>173.024</v>
      </c>
      <c r="AS283" s="22">
        <v>-1.95129E-2</v>
      </c>
      <c r="AT283" s="22">
        <v>273</v>
      </c>
      <c r="AU283" s="22">
        <v>0.27468900000000002</v>
      </c>
      <c r="AV283">
        <f t="shared" si="56"/>
        <v>19.512899999999998</v>
      </c>
      <c r="AW283">
        <f t="shared" si="57"/>
        <v>5.371296470099999</v>
      </c>
      <c r="AX283" s="9"/>
      <c r="AY283" s="22">
        <v>1.2747200000000001</v>
      </c>
      <c r="AZ283" s="22">
        <v>207.05</v>
      </c>
      <c r="BA283" s="22">
        <v>-1.84204E-2</v>
      </c>
      <c r="BB283" s="22">
        <v>273</v>
      </c>
      <c r="BC283" s="22">
        <v>1.27441</v>
      </c>
      <c r="BD283">
        <f t="shared" si="58"/>
        <v>18.420400000000001</v>
      </c>
      <c r="BE283">
        <f t="shared" si="59"/>
        <v>23.480852288000001</v>
      </c>
    </row>
    <row r="284" spans="6:101">
      <c r="F284" s="9"/>
      <c r="G284" s="22">
        <v>0.270233</v>
      </c>
      <c r="H284" s="22">
        <v>36.893300000000004</v>
      </c>
      <c r="I284" s="22">
        <v>-1.9366499999999998E-2</v>
      </c>
      <c r="J284" s="22">
        <v>274</v>
      </c>
      <c r="K284" s="22">
        <v>0.269318</v>
      </c>
      <c r="L284">
        <f t="shared" si="48"/>
        <v>19.366499999999998</v>
      </c>
      <c r="M284">
        <f t="shared" si="49"/>
        <v>5.2334673944999999</v>
      </c>
      <c r="N284" s="9"/>
      <c r="O284" s="22">
        <v>1.2797499999999999</v>
      </c>
      <c r="P284" s="22">
        <v>70.9465</v>
      </c>
      <c r="Q284" s="22">
        <v>-1.83258E-2</v>
      </c>
      <c r="R284" s="22">
        <v>274</v>
      </c>
      <c r="S284" s="22">
        <v>1.2789900000000001</v>
      </c>
      <c r="T284">
        <f t="shared" si="50"/>
        <v>18.325800000000001</v>
      </c>
      <c r="U284">
        <f t="shared" si="51"/>
        <v>23.452442550000001</v>
      </c>
      <c r="X284" s="9"/>
      <c r="Y284" s="22">
        <v>0.270233</v>
      </c>
      <c r="Z284" s="22">
        <v>104.97</v>
      </c>
      <c r="AA284" s="22">
        <v>-1.95374E-2</v>
      </c>
      <c r="AB284" s="22">
        <v>274</v>
      </c>
      <c r="AC284" s="22">
        <v>0.26983600000000002</v>
      </c>
      <c r="AD284">
        <f t="shared" si="52"/>
        <v>19.537400000000002</v>
      </c>
      <c r="AE284">
        <f t="shared" si="53"/>
        <v>5.2796502142000001</v>
      </c>
      <c r="AF284" s="9"/>
      <c r="AG284" s="22">
        <v>1.2797499999999999</v>
      </c>
      <c r="AH284" s="22">
        <v>138.976</v>
      </c>
      <c r="AI284" s="22">
        <v>-1.84174E-2</v>
      </c>
      <c r="AJ284" s="22">
        <v>274</v>
      </c>
      <c r="AK284" s="22">
        <v>1.2783800000000001</v>
      </c>
      <c r="AL284">
        <f t="shared" si="54"/>
        <v>18.417400000000001</v>
      </c>
      <c r="AM284">
        <f t="shared" si="55"/>
        <v>23.56966765</v>
      </c>
      <c r="AP284" s="9"/>
      <c r="AQ284" s="22">
        <v>0.270233</v>
      </c>
      <c r="AR284" s="22">
        <v>173.03399999999999</v>
      </c>
      <c r="AS284" s="22">
        <v>-1.9515999999999999E-2</v>
      </c>
      <c r="AT284" s="22">
        <v>274</v>
      </c>
      <c r="AU284" s="22">
        <v>0.26968399999999998</v>
      </c>
      <c r="AV284">
        <f t="shared" si="56"/>
        <v>19.515999999999998</v>
      </c>
      <c r="AW284">
        <f t="shared" si="57"/>
        <v>5.2738672279999994</v>
      </c>
      <c r="AX284" s="9"/>
      <c r="AY284" s="22">
        <v>1.2797499999999999</v>
      </c>
      <c r="AZ284" s="22">
        <v>207.06</v>
      </c>
      <c r="BA284" s="22">
        <v>-1.8414300000000002E-2</v>
      </c>
      <c r="BB284" s="22">
        <v>274</v>
      </c>
      <c r="BC284" s="22">
        <v>1.2783800000000001</v>
      </c>
      <c r="BD284">
        <f t="shared" si="58"/>
        <v>18.414300000000001</v>
      </c>
      <c r="BE284">
        <f t="shared" si="59"/>
        <v>23.565700424999999</v>
      </c>
    </row>
    <row r="285" spans="6:101">
      <c r="F285" s="9"/>
      <c r="G285" s="22">
        <v>0.26519799999999999</v>
      </c>
      <c r="H285" s="22">
        <v>36.903399999999998</v>
      </c>
      <c r="I285" s="22">
        <v>-1.9369500000000001E-2</v>
      </c>
      <c r="J285" s="22">
        <v>275</v>
      </c>
      <c r="K285" s="22">
        <v>0.264374</v>
      </c>
      <c r="L285">
        <f t="shared" si="48"/>
        <v>19.369500000000002</v>
      </c>
      <c r="M285">
        <f t="shared" si="49"/>
        <v>5.1367526610000001</v>
      </c>
      <c r="N285" s="9"/>
      <c r="O285" s="22">
        <v>1.2847900000000001</v>
      </c>
      <c r="P285" s="22">
        <v>70.956500000000005</v>
      </c>
      <c r="Q285" s="22">
        <v>-1.8319700000000001E-2</v>
      </c>
      <c r="R285" s="22">
        <v>275</v>
      </c>
      <c r="S285" s="22">
        <v>1.2838700000000001</v>
      </c>
      <c r="T285">
        <f t="shared" si="50"/>
        <v>18.319700000000001</v>
      </c>
      <c r="U285">
        <f t="shared" si="51"/>
        <v>23.536967363000002</v>
      </c>
      <c r="X285" s="9"/>
      <c r="Y285" s="22">
        <v>0.26519799999999999</v>
      </c>
      <c r="Z285" s="22">
        <v>104.98</v>
      </c>
      <c r="AA285" s="22">
        <v>-1.9540399999999999E-2</v>
      </c>
      <c r="AB285" s="22">
        <v>275</v>
      </c>
      <c r="AC285" s="22">
        <v>0.26455699999999999</v>
      </c>
      <c r="AD285">
        <f t="shared" si="52"/>
        <v>19.540399999999998</v>
      </c>
      <c r="AE285">
        <f t="shared" si="53"/>
        <v>5.1820749991999993</v>
      </c>
      <c r="AF285" s="9"/>
      <c r="AG285" s="22">
        <v>1.2847900000000001</v>
      </c>
      <c r="AH285" s="22">
        <v>138.98599999999999</v>
      </c>
      <c r="AI285" s="22">
        <v>-1.84174E-2</v>
      </c>
      <c r="AJ285" s="22">
        <v>275</v>
      </c>
      <c r="AK285" s="22">
        <v>1.2835700000000001</v>
      </c>
      <c r="AL285">
        <f t="shared" si="54"/>
        <v>18.417400000000001</v>
      </c>
      <c r="AM285">
        <f t="shared" si="55"/>
        <v>23.662491346000003</v>
      </c>
      <c r="AP285" s="9"/>
      <c r="AQ285" s="22">
        <v>0.26519799999999999</v>
      </c>
      <c r="AR285" s="22">
        <v>173.04400000000001</v>
      </c>
      <c r="AS285" s="22">
        <v>-1.9522100000000001E-2</v>
      </c>
      <c r="AT285" s="22">
        <v>275</v>
      </c>
      <c r="AU285" s="22">
        <v>0.26416000000000001</v>
      </c>
      <c r="AV285">
        <f t="shared" si="56"/>
        <v>19.522100000000002</v>
      </c>
      <c r="AW285">
        <f t="shared" si="57"/>
        <v>5.1772218757999999</v>
      </c>
      <c r="AX285" s="9"/>
      <c r="AY285" s="22">
        <v>1.2847900000000001</v>
      </c>
      <c r="AZ285" s="22">
        <v>207.071</v>
      </c>
      <c r="BA285" s="22">
        <v>-1.84082E-2</v>
      </c>
      <c r="BB285" s="22">
        <v>275</v>
      </c>
      <c r="BC285" s="22">
        <v>1.2841800000000001</v>
      </c>
      <c r="BD285">
        <f t="shared" si="58"/>
        <v>18.408200000000001</v>
      </c>
      <c r="BE285">
        <f t="shared" si="59"/>
        <v>23.650671278000004</v>
      </c>
    </row>
    <row r="286" spans="6:101">
      <c r="F286" s="9"/>
      <c r="G286" s="22">
        <v>0.260162</v>
      </c>
      <c r="H286" s="22">
        <v>36.913499999999999</v>
      </c>
      <c r="I286" s="22">
        <v>-1.93756E-2</v>
      </c>
      <c r="J286" s="22">
        <v>276</v>
      </c>
      <c r="K286" s="22">
        <v>0.25949100000000003</v>
      </c>
      <c r="L286">
        <f t="shared" si="48"/>
        <v>19.375599999999999</v>
      </c>
      <c r="M286">
        <f t="shared" si="49"/>
        <v>5.0407948471999999</v>
      </c>
      <c r="N286" s="9"/>
      <c r="O286" s="22">
        <v>1.28983</v>
      </c>
      <c r="P286" s="22">
        <v>70.9666</v>
      </c>
      <c r="Q286" s="22">
        <v>-1.8313599999999999E-2</v>
      </c>
      <c r="R286" s="22">
        <v>276</v>
      </c>
      <c r="S286" s="22">
        <v>1.2887599999999999</v>
      </c>
      <c r="T286">
        <f t="shared" si="50"/>
        <v>18.313600000000001</v>
      </c>
      <c r="U286">
        <f t="shared" si="51"/>
        <v>23.621430688</v>
      </c>
      <c r="X286" s="9"/>
      <c r="Y286" s="22">
        <v>0.260162</v>
      </c>
      <c r="Z286" s="22">
        <v>104.99</v>
      </c>
      <c r="AA286" s="22">
        <v>-1.9543499999999998E-2</v>
      </c>
      <c r="AB286" s="22">
        <v>276</v>
      </c>
      <c r="AC286" s="22">
        <v>0.25949100000000003</v>
      </c>
      <c r="AD286">
        <f t="shared" si="52"/>
        <v>19.543499999999998</v>
      </c>
      <c r="AE286">
        <f t="shared" si="53"/>
        <v>5.0844760469999999</v>
      </c>
      <c r="AF286" s="9"/>
      <c r="AG286" s="22">
        <v>1.28983</v>
      </c>
      <c r="AH286" s="22">
        <v>138.99600000000001</v>
      </c>
      <c r="AI286" s="22">
        <v>-1.84082E-2</v>
      </c>
      <c r="AJ286" s="22">
        <v>276</v>
      </c>
      <c r="AK286" s="22">
        <v>1.2893699999999999</v>
      </c>
      <c r="AL286">
        <f t="shared" si="54"/>
        <v>18.408200000000001</v>
      </c>
      <c r="AM286">
        <f t="shared" si="55"/>
        <v>23.743448606000001</v>
      </c>
      <c r="AP286" s="9"/>
      <c r="AQ286" s="22">
        <v>0.260162</v>
      </c>
      <c r="AR286" s="22">
        <v>173.054</v>
      </c>
      <c r="AS286" s="22">
        <v>-1.9531300000000001E-2</v>
      </c>
      <c r="AT286" s="22">
        <v>276</v>
      </c>
      <c r="AU286" s="22">
        <v>0.25949100000000003</v>
      </c>
      <c r="AV286">
        <f t="shared" si="56"/>
        <v>19.531300000000002</v>
      </c>
      <c r="AW286">
        <f t="shared" si="57"/>
        <v>5.0813020706000005</v>
      </c>
      <c r="AX286" s="9"/>
      <c r="AY286" s="22">
        <v>1.28983</v>
      </c>
      <c r="AZ286" s="22">
        <v>207.08099999999999</v>
      </c>
      <c r="BA286" s="22">
        <v>-1.8402100000000001E-2</v>
      </c>
      <c r="BB286" s="22">
        <v>276</v>
      </c>
      <c r="BC286" s="22">
        <v>1.2893699999999999</v>
      </c>
      <c r="BD286">
        <f t="shared" si="58"/>
        <v>18.402100000000001</v>
      </c>
      <c r="BE286">
        <f t="shared" si="59"/>
        <v>23.735580643000002</v>
      </c>
    </row>
    <row r="287" spans="6:101">
      <c r="F287" s="9"/>
      <c r="G287" s="22">
        <v>0.25512699999999999</v>
      </c>
      <c r="H287" s="22">
        <v>36.923499999999997</v>
      </c>
      <c r="I287" s="22">
        <v>-1.9381700000000002E-2</v>
      </c>
      <c r="J287" s="22">
        <v>277</v>
      </c>
      <c r="K287" s="22">
        <v>0.25469999999999998</v>
      </c>
      <c r="L287">
        <f t="shared" si="48"/>
        <v>19.381700000000002</v>
      </c>
      <c r="M287">
        <f t="shared" si="49"/>
        <v>4.9447949759000007</v>
      </c>
      <c r="N287" s="9"/>
      <c r="O287" s="22">
        <v>1.2948599999999999</v>
      </c>
      <c r="P287" s="22">
        <v>70.976699999999994</v>
      </c>
      <c r="Q287" s="22">
        <v>-1.83105E-2</v>
      </c>
      <c r="R287" s="22">
        <v>277</v>
      </c>
      <c r="S287" s="22">
        <v>1.2948599999999999</v>
      </c>
      <c r="T287">
        <f t="shared" si="50"/>
        <v>18.310500000000001</v>
      </c>
      <c r="U287">
        <f t="shared" si="51"/>
        <v>23.70953403</v>
      </c>
      <c r="X287" s="9"/>
      <c r="Y287" s="22">
        <v>0.25512699999999999</v>
      </c>
      <c r="Z287" s="22">
        <v>105</v>
      </c>
      <c r="AA287" s="22">
        <v>-1.9546500000000001E-2</v>
      </c>
      <c r="AB287" s="22">
        <v>277</v>
      </c>
      <c r="AC287" s="22">
        <v>0.254608</v>
      </c>
      <c r="AD287">
        <f t="shared" si="52"/>
        <v>19.546500000000002</v>
      </c>
      <c r="AE287">
        <f t="shared" si="53"/>
        <v>4.9868399055000001</v>
      </c>
      <c r="AF287" s="9"/>
      <c r="AG287" s="22">
        <v>1.2948599999999999</v>
      </c>
      <c r="AH287" s="22">
        <v>139.006</v>
      </c>
      <c r="AI287" s="22">
        <v>-1.8398999999999999E-2</v>
      </c>
      <c r="AJ287" s="22">
        <v>277</v>
      </c>
      <c r="AK287" s="22">
        <v>1.2942499999999999</v>
      </c>
      <c r="AL287">
        <f t="shared" si="54"/>
        <v>18.398999999999997</v>
      </c>
      <c r="AM287">
        <f t="shared" si="55"/>
        <v>23.824129139999993</v>
      </c>
      <c r="AP287" s="9"/>
      <c r="AQ287" s="22">
        <v>0.25512699999999999</v>
      </c>
      <c r="AR287" s="22">
        <v>173.065</v>
      </c>
      <c r="AS287" s="22">
        <v>-1.95374E-2</v>
      </c>
      <c r="AT287" s="22">
        <v>277</v>
      </c>
      <c r="AU287" s="22">
        <v>0.254639</v>
      </c>
      <c r="AV287">
        <f t="shared" si="56"/>
        <v>19.537400000000002</v>
      </c>
      <c r="AW287">
        <f t="shared" si="57"/>
        <v>4.9845182498000007</v>
      </c>
      <c r="AX287" s="9"/>
      <c r="AY287" s="22">
        <v>1.2948599999999999</v>
      </c>
      <c r="AZ287" s="22">
        <v>207.09100000000001</v>
      </c>
      <c r="BA287" s="22">
        <v>-1.8395999999999999E-2</v>
      </c>
      <c r="BB287" s="22">
        <v>277</v>
      </c>
      <c r="BC287" s="22">
        <v>1.2942499999999999</v>
      </c>
      <c r="BD287">
        <f t="shared" si="58"/>
        <v>18.396000000000001</v>
      </c>
      <c r="BE287">
        <f t="shared" si="59"/>
        <v>23.820244559999999</v>
      </c>
    </row>
    <row r="288" spans="6:101">
      <c r="F288" s="9"/>
      <c r="G288" s="22">
        <v>0.25009199999999998</v>
      </c>
      <c r="H288" s="22">
        <v>36.933599999999998</v>
      </c>
      <c r="I288" s="22">
        <v>-1.9381700000000002E-2</v>
      </c>
      <c r="J288" s="22">
        <v>278</v>
      </c>
      <c r="K288" s="22">
        <v>0.24942</v>
      </c>
      <c r="L288">
        <f t="shared" si="48"/>
        <v>19.381700000000002</v>
      </c>
      <c r="M288">
        <f t="shared" si="49"/>
        <v>4.8472081164</v>
      </c>
      <c r="N288" s="9"/>
      <c r="O288" s="22">
        <v>1.2999000000000001</v>
      </c>
      <c r="P288" s="22">
        <v>70.986699999999999</v>
      </c>
      <c r="Q288" s="22">
        <v>-1.82983E-2</v>
      </c>
      <c r="R288" s="22">
        <v>278</v>
      </c>
      <c r="S288" s="22">
        <v>1.2991299999999999</v>
      </c>
      <c r="T288">
        <f t="shared" si="50"/>
        <v>18.298300000000001</v>
      </c>
      <c r="U288">
        <f t="shared" si="51"/>
        <v>23.785960170000003</v>
      </c>
      <c r="X288" s="9"/>
      <c r="Y288" s="22">
        <v>0.25009199999999998</v>
      </c>
      <c r="Z288" s="22">
        <v>105.01</v>
      </c>
      <c r="AA288" s="22">
        <v>-1.95526E-2</v>
      </c>
      <c r="AB288" s="22">
        <v>278</v>
      </c>
      <c r="AC288" s="22">
        <v>0.24920700000000001</v>
      </c>
      <c r="AD288">
        <f t="shared" si="52"/>
        <v>19.552599999999998</v>
      </c>
      <c r="AE288">
        <f t="shared" si="53"/>
        <v>4.8899488391999988</v>
      </c>
      <c r="AF288" s="9"/>
      <c r="AG288" s="22">
        <v>1.2999000000000001</v>
      </c>
      <c r="AH288" s="22">
        <v>139.01599999999999</v>
      </c>
      <c r="AI288" s="22">
        <v>-1.83929E-2</v>
      </c>
      <c r="AJ288" s="22">
        <v>278</v>
      </c>
      <c r="AK288" s="22">
        <v>1.2994399999999999</v>
      </c>
      <c r="AL288">
        <f t="shared" si="54"/>
        <v>18.392900000000001</v>
      </c>
      <c r="AM288">
        <f t="shared" si="55"/>
        <v>23.908930710000003</v>
      </c>
      <c r="AP288" s="9"/>
      <c r="AQ288" s="22">
        <v>0.25009199999999998</v>
      </c>
      <c r="AR288" s="22">
        <v>173.07499999999999</v>
      </c>
      <c r="AS288" s="22">
        <v>-1.9543499999999998E-2</v>
      </c>
      <c r="AT288" s="22">
        <v>278</v>
      </c>
      <c r="AU288" s="22">
        <v>0.249359</v>
      </c>
      <c r="AV288">
        <f t="shared" si="56"/>
        <v>19.543499999999998</v>
      </c>
      <c r="AW288">
        <f t="shared" si="57"/>
        <v>4.8876730019999988</v>
      </c>
      <c r="AX288" s="9"/>
      <c r="AY288" s="22">
        <v>1.2999000000000001</v>
      </c>
      <c r="AZ288" s="22">
        <v>207.101</v>
      </c>
      <c r="BA288" s="22">
        <v>-1.8389900000000001E-2</v>
      </c>
      <c r="BB288" s="22">
        <v>278</v>
      </c>
      <c r="BC288" s="22">
        <v>1.2991299999999999</v>
      </c>
      <c r="BD288">
        <f t="shared" si="58"/>
        <v>18.389900000000001</v>
      </c>
      <c r="BE288">
        <f t="shared" si="59"/>
        <v>23.905031010000002</v>
      </c>
    </row>
    <row r="289" spans="6:57">
      <c r="F289" s="9"/>
      <c r="G289" s="22">
        <v>0.245056</v>
      </c>
      <c r="H289" s="22">
        <v>36.9437</v>
      </c>
      <c r="I289" s="22">
        <v>-1.9390899999999999E-2</v>
      </c>
      <c r="J289" s="22">
        <v>279</v>
      </c>
      <c r="K289" s="22">
        <v>0.24410999999999999</v>
      </c>
      <c r="L289">
        <f t="shared" si="48"/>
        <v>19.390899999999998</v>
      </c>
      <c r="M289">
        <f t="shared" si="49"/>
        <v>4.7518563903999995</v>
      </c>
      <c r="N289" s="9"/>
      <c r="O289" s="22">
        <v>1.3049299999999999</v>
      </c>
      <c r="P289" s="22">
        <v>70.996799999999993</v>
      </c>
      <c r="Q289" s="22">
        <v>-1.82953E-2</v>
      </c>
      <c r="R289" s="22">
        <v>279</v>
      </c>
      <c r="S289" s="22">
        <v>1.30402</v>
      </c>
      <c r="T289">
        <f t="shared" si="50"/>
        <v>18.295300000000001</v>
      </c>
      <c r="U289">
        <f t="shared" si="51"/>
        <v>23.874085828999998</v>
      </c>
      <c r="X289" s="9"/>
      <c r="Y289" s="22">
        <v>0.245056</v>
      </c>
      <c r="Z289" s="22">
        <v>105.02</v>
      </c>
      <c r="AA289" s="22">
        <v>-1.9555699999999999E-2</v>
      </c>
      <c r="AB289" s="22">
        <v>279</v>
      </c>
      <c r="AC289" s="22">
        <v>0.244446</v>
      </c>
      <c r="AD289">
        <f t="shared" si="52"/>
        <v>19.555699999999998</v>
      </c>
      <c r="AE289">
        <f t="shared" si="53"/>
        <v>4.7922416191999995</v>
      </c>
      <c r="AF289" s="9"/>
      <c r="AG289" s="22">
        <v>1.3049299999999999</v>
      </c>
      <c r="AH289" s="22">
        <v>139.02600000000001</v>
      </c>
      <c r="AI289" s="22">
        <v>-1.8386799999999998E-2</v>
      </c>
      <c r="AJ289" s="22">
        <v>279</v>
      </c>
      <c r="AK289" s="22">
        <v>1.3043199999999999</v>
      </c>
      <c r="AL289">
        <f t="shared" si="54"/>
        <v>18.386799999999997</v>
      </c>
      <c r="AM289">
        <f t="shared" si="55"/>
        <v>23.993486923999995</v>
      </c>
      <c r="AP289" s="9"/>
      <c r="AQ289" s="22">
        <v>0.245056</v>
      </c>
      <c r="AR289" s="22">
        <v>173.08500000000001</v>
      </c>
      <c r="AS289" s="22">
        <v>-1.9543499999999998E-2</v>
      </c>
      <c r="AT289" s="22">
        <v>279</v>
      </c>
      <c r="AU289" s="22">
        <v>0.24438499999999999</v>
      </c>
      <c r="AV289">
        <f t="shared" si="56"/>
        <v>19.543499999999998</v>
      </c>
      <c r="AW289">
        <f t="shared" si="57"/>
        <v>4.7892519359999994</v>
      </c>
      <c r="AX289" s="9"/>
      <c r="AY289" s="22">
        <v>1.3049299999999999</v>
      </c>
      <c r="AZ289" s="22">
        <v>207.11099999999999</v>
      </c>
      <c r="BA289" s="22">
        <v>-1.8383799999999999E-2</v>
      </c>
      <c r="BB289" s="22">
        <v>279</v>
      </c>
      <c r="BC289" s="22">
        <v>1.30463</v>
      </c>
      <c r="BD289">
        <f t="shared" si="58"/>
        <v>18.383799999999997</v>
      </c>
      <c r="BE289">
        <f t="shared" si="59"/>
        <v>23.989572133999996</v>
      </c>
    </row>
    <row r="290" spans="6:57">
      <c r="F290" s="9"/>
      <c r="G290" s="22">
        <v>0.24002100000000001</v>
      </c>
      <c r="H290" s="22">
        <v>36.953699999999998</v>
      </c>
      <c r="I290" s="22">
        <v>-1.9397000000000001E-2</v>
      </c>
      <c r="J290" s="22">
        <v>280</v>
      </c>
      <c r="K290" s="22">
        <v>0.23941000000000001</v>
      </c>
      <c r="L290">
        <f t="shared" si="48"/>
        <v>19.397000000000002</v>
      </c>
      <c r="M290">
        <f t="shared" si="49"/>
        <v>4.6556873370000007</v>
      </c>
      <c r="N290" s="9"/>
      <c r="O290" s="22">
        <v>1.3099700000000001</v>
      </c>
      <c r="P290" s="22">
        <v>71.006900000000002</v>
      </c>
      <c r="Q290" s="22">
        <v>-1.8289199999999999E-2</v>
      </c>
      <c r="R290" s="22">
        <v>280</v>
      </c>
      <c r="S290" s="22">
        <v>1.3091999999999999</v>
      </c>
      <c r="T290">
        <f t="shared" si="50"/>
        <v>18.289199999999997</v>
      </c>
      <c r="U290">
        <f t="shared" si="51"/>
        <v>23.958303323999999</v>
      </c>
      <c r="X290" s="9"/>
      <c r="Y290" s="22">
        <v>0.24002100000000001</v>
      </c>
      <c r="Z290" s="22">
        <v>105.03</v>
      </c>
      <c r="AA290" s="22">
        <v>-1.95648E-2</v>
      </c>
      <c r="AB290" s="22">
        <v>280</v>
      </c>
      <c r="AC290" s="22">
        <v>0.23886099999999999</v>
      </c>
      <c r="AD290">
        <f t="shared" si="52"/>
        <v>19.564800000000002</v>
      </c>
      <c r="AE290">
        <f t="shared" si="53"/>
        <v>4.6959628608000008</v>
      </c>
      <c r="AF290" s="9"/>
      <c r="AG290" s="22">
        <v>1.3099700000000001</v>
      </c>
      <c r="AH290" s="22">
        <v>139.036</v>
      </c>
      <c r="AI290" s="22">
        <v>-1.8383799999999999E-2</v>
      </c>
      <c r="AJ290" s="22">
        <v>280</v>
      </c>
      <c r="AK290" s="22">
        <v>1.30951</v>
      </c>
      <c r="AL290">
        <f t="shared" si="54"/>
        <v>18.383799999999997</v>
      </c>
      <c r="AM290">
        <f t="shared" si="55"/>
        <v>24.082226485999996</v>
      </c>
      <c r="AP290" s="9"/>
      <c r="AQ290" s="22">
        <v>0.24002100000000001</v>
      </c>
      <c r="AR290" s="22">
        <v>173.095</v>
      </c>
      <c r="AS290" s="22">
        <v>-1.95496E-2</v>
      </c>
      <c r="AT290" s="22">
        <v>280</v>
      </c>
      <c r="AU290" s="22">
        <v>0.239288</v>
      </c>
      <c r="AV290">
        <f t="shared" si="56"/>
        <v>19.549600000000002</v>
      </c>
      <c r="AW290">
        <f t="shared" si="57"/>
        <v>4.6923145416000009</v>
      </c>
      <c r="AX290" s="9"/>
      <c r="AY290" s="22">
        <v>1.3099700000000001</v>
      </c>
      <c r="AZ290" s="22">
        <v>207.12100000000001</v>
      </c>
      <c r="BA290" s="22">
        <v>-1.83777E-2</v>
      </c>
      <c r="BB290" s="22">
        <v>280</v>
      </c>
      <c r="BC290" s="22">
        <v>1.3085899999999999</v>
      </c>
      <c r="BD290">
        <f t="shared" si="58"/>
        <v>18.377700000000001</v>
      </c>
      <c r="BE290">
        <f t="shared" si="59"/>
        <v>24.074235669000004</v>
      </c>
    </row>
    <row r="291" spans="6:57">
      <c r="F291" s="9"/>
      <c r="G291" s="22">
        <v>0.234985</v>
      </c>
      <c r="H291" s="22">
        <v>36.963799999999999</v>
      </c>
      <c r="I291" s="22">
        <v>-1.94031E-2</v>
      </c>
      <c r="J291" s="22">
        <v>281</v>
      </c>
      <c r="K291" s="22">
        <v>0.23428299999999999</v>
      </c>
      <c r="L291">
        <f t="shared" si="48"/>
        <v>19.403099999999998</v>
      </c>
      <c r="M291">
        <f t="shared" si="49"/>
        <v>4.5594374534999993</v>
      </c>
      <c r="N291" s="9"/>
      <c r="O291" s="22">
        <v>1.3149999999999999</v>
      </c>
      <c r="P291" s="22">
        <v>71.016999999999996</v>
      </c>
      <c r="Q291" s="22">
        <v>-1.8280000000000001E-2</v>
      </c>
      <c r="R291" s="22">
        <v>281</v>
      </c>
      <c r="S291" s="22">
        <v>1.3143899999999999</v>
      </c>
      <c r="T291">
        <f t="shared" si="50"/>
        <v>18.28</v>
      </c>
      <c r="U291">
        <f t="shared" si="51"/>
        <v>24.0382</v>
      </c>
      <c r="X291" s="9"/>
      <c r="Y291" s="22">
        <v>0.234985</v>
      </c>
      <c r="Z291" s="22">
        <v>105.04</v>
      </c>
      <c r="AA291" s="22">
        <v>-1.9567899999999999E-2</v>
      </c>
      <c r="AB291" s="22">
        <v>281</v>
      </c>
      <c r="AC291" s="22">
        <v>0.23449700000000001</v>
      </c>
      <c r="AD291">
        <f t="shared" si="52"/>
        <v>19.567899999999998</v>
      </c>
      <c r="AE291">
        <f t="shared" si="53"/>
        <v>4.5981629814999998</v>
      </c>
      <c r="AF291" s="9"/>
      <c r="AG291" s="22">
        <v>1.3149999999999999</v>
      </c>
      <c r="AH291" s="22">
        <v>139.04599999999999</v>
      </c>
      <c r="AI291" s="22">
        <v>-1.83807E-2</v>
      </c>
      <c r="AJ291" s="22">
        <v>281</v>
      </c>
      <c r="AK291" s="22">
        <v>1.3143899999999999</v>
      </c>
      <c r="AL291">
        <f t="shared" si="54"/>
        <v>18.380700000000001</v>
      </c>
      <c r="AM291">
        <f t="shared" si="55"/>
        <v>24.170620500000002</v>
      </c>
      <c r="AP291" s="9"/>
      <c r="AQ291" s="22">
        <v>0.234985</v>
      </c>
      <c r="AR291" s="22">
        <v>173.10499999999999</v>
      </c>
      <c r="AS291" s="22">
        <v>-1.9558699999999998E-2</v>
      </c>
      <c r="AT291" s="22">
        <v>281</v>
      </c>
      <c r="AU291" s="22">
        <v>0.23428299999999999</v>
      </c>
      <c r="AV291">
        <f t="shared" si="56"/>
        <v>19.558699999999998</v>
      </c>
      <c r="AW291">
        <f t="shared" si="57"/>
        <v>4.5960011194999995</v>
      </c>
      <c r="AX291" s="9"/>
      <c r="AY291" s="22">
        <v>1.3149999999999999</v>
      </c>
      <c r="AZ291" s="22">
        <v>207.131</v>
      </c>
      <c r="BA291" s="22">
        <v>-1.8371599999999998E-2</v>
      </c>
      <c r="BB291" s="22">
        <v>281</v>
      </c>
      <c r="BC291" s="22">
        <v>1.3143899999999999</v>
      </c>
      <c r="BD291">
        <f t="shared" si="58"/>
        <v>18.371599999999997</v>
      </c>
      <c r="BE291">
        <f t="shared" si="59"/>
        <v>24.158653999999995</v>
      </c>
    </row>
    <row r="292" spans="6:57">
      <c r="F292" s="9"/>
      <c r="G292" s="22">
        <v>0.22994999999999999</v>
      </c>
      <c r="H292" s="22">
        <v>36.9739</v>
      </c>
      <c r="I292" s="22">
        <v>-1.9406099999999999E-2</v>
      </c>
      <c r="J292" s="22">
        <v>282</v>
      </c>
      <c r="K292" s="22">
        <v>0.22940099999999999</v>
      </c>
      <c r="L292">
        <f t="shared" si="48"/>
        <v>19.406099999999999</v>
      </c>
      <c r="M292">
        <f t="shared" si="49"/>
        <v>4.4624326949999995</v>
      </c>
      <c r="N292" s="9"/>
      <c r="O292" s="22">
        <v>1.3200400000000001</v>
      </c>
      <c r="P292" s="22">
        <v>71.027000000000001</v>
      </c>
      <c r="Q292" s="22">
        <v>-1.8277000000000002E-2</v>
      </c>
      <c r="R292" s="22">
        <v>282</v>
      </c>
      <c r="S292" s="22">
        <v>1.31958</v>
      </c>
      <c r="T292">
        <f t="shared" si="50"/>
        <v>18.277000000000001</v>
      </c>
      <c r="U292">
        <f t="shared" si="51"/>
        <v>24.126371080000002</v>
      </c>
      <c r="X292" s="9"/>
      <c r="Y292" s="22">
        <v>0.22994999999999999</v>
      </c>
      <c r="Z292" s="22">
        <v>105.05</v>
      </c>
      <c r="AA292" s="22">
        <v>-1.9574000000000001E-2</v>
      </c>
      <c r="AB292" s="22">
        <v>282</v>
      </c>
      <c r="AC292" s="22">
        <v>0.229187</v>
      </c>
      <c r="AD292">
        <f t="shared" si="52"/>
        <v>19.574000000000002</v>
      </c>
      <c r="AE292">
        <f t="shared" si="53"/>
        <v>4.5010412999999998</v>
      </c>
      <c r="AF292" s="9"/>
      <c r="AG292" s="22">
        <v>1.3200400000000001</v>
      </c>
      <c r="AH292" s="22">
        <v>139.05600000000001</v>
      </c>
      <c r="AI292" s="22">
        <v>-1.8374600000000001E-2</v>
      </c>
      <c r="AJ292" s="22">
        <v>282</v>
      </c>
      <c r="AK292" s="22">
        <v>1.31958</v>
      </c>
      <c r="AL292">
        <f t="shared" si="54"/>
        <v>18.374600000000001</v>
      </c>
      <c r="AM292">
        <f t="shared" si="55"/>
        <v>24.255206984000004</v>
      </c>
      <c r="AP292" s="9"/>
      <c r="AQ292" s="22">
        <v>0.22994999999999999</v>
      </c>
      <c r="AR292" s="22">
        <v>173.11500000000001</v>
      </c>
      <c r="AS292" s="22">
        <v>-1.9561800000000001E-2</v>
      </c>
      <c r="AT292" s="22">
        <v>282</v>
      </c>
      <c r="AU292" s="22">
        <v>0.229187</v>
      </c>
      <c r="AV292">
        <f t="shared" si="56"/>
        <v>19.561800000000002</v>
      </c>
      <c r="AW292">
        <f t="shared" si="57"/>
        <v>4.49823591</v>
      </c>
      <c r="AX292" s="9"/>
      <c r="AY292" s="22">
        <v>1.3200400000000001</v>
      </c>
      <c r="AZ292" s="22">
        <v>207.14099999999999</v>
      </c>
      <c r="BA292" s="22">
        <v>-1.8362400000000001E-2</v>
      </c>
      <c r="BB292" s="22">
        <v>282</v>
      </c>
      <c r="BC292" s="22">
        <v>1.32019</v>
      </c>
      <c r="BD292">
        <f t="shared" si="58"/>
        <v>18.362400000000001</v>
      </c>
      <c r="BE292">
        <f t="shared" si="59"/>
        <v>24.239102496000005</v>
      </c>
    </row>
    <row r="293" spans="6:57">
      <c r="F293" s="9"/>
      <c r="G293" s="22">
        <v>0.224915</v>
      </c>
      <c r="H293" s="22">
        <v>36.984000000000002</v>
      </c>
      <c r="I293" s="22">
        <v>-1.9409200000000001E-2</v>
      </c>
      <c r="J293" s="22">
        <v>283</v>
      </c>
      <c r="K293" s="22">
        <v>0.224274</v>
      </c>
      <c r="L293">
        <f t="shared" si="48"/>
        <v>19.409200000000002</v>
      </c>
      <c r="M293">
        <f t="shared" si="49"/>
        <v>4.3654202180000006</v>
      </c>
      <c r="N293" s="9"/>
      <c r="O293" s="22">
        <v>1.32507</v>
      </c>
      <c r="P293" s="22">
        <v>71.037099999999995</v>
      </c>
      <c r="Q293" s="22">
        <v>-1.82709E-2</v>
      </c>
      <c r="R293" s="22">
        <v>283</v>
      </c>
      <c r="S293" s="22">
        <v>1.32416</v>
      </c>
      <c r="T293">
        <f t="shared" si="50"/>
        <v>18.270900000000001</v>
      </c>
      <c r="U293">
        <f t="shared" si="51"/>
        <v>24.210221463</v>
      </c>
      <c r="X293" s="9"/>
      <c r="Y293" s="22">
        <v>0.224915</v>
      </c>
      <c r="Z293" s="22">
        <v>105.06</v>
      </c>
      <c r="AA293" s="22">
        <v>-1.9577000000000001E-2</v>
      </c>
      <c r="AB293" s="22">
        <v>283</v>
      </c>
      <c r="AC293" s="22">
        <v>0.224243</v>
      </c>
      <c r="AD293">
        <f t="shared" si="52"/>
        <v>19.577000000000002</v>
      </c>
      <c r="AE293">
        <f t="shared" si="53"/>
        <v>4.4031609550000006</v>
      </c>
      <c r="AF293" s="9"/>
      <c r="AG293" s="22">
        <v>1.32507</v>
      </c>
      <c r="AH293" s="22">
        <v>139.066</v>
      </c>
      <c r="AI293" s="22">
        <v>-1.8368499999999999E-2</v>
      </c>
      <c r="AJ293" s="22">
        <v>283</v>
      </c>
      <c r="AK293" s="22">
        <v>1.32416</v>
      </c>
      <c r="AL293">
        <f t="shared" si="54"/>
        <v>18.368500000000001</v>
      </c>
      <c r="AM293">
        <f t="shared" si="55"/>
        <v>24.339548295</v>
      </c>
      <c r="AP293" s="9"/>
      <c r="AQ293" s="22">
        <v>0.224915</v>
      </c>
      <c r="AR293" s="22">
        <v>173.125</v>
      </c>
      <c r="AS293" s="22">
        <v>-1.95648E-2</v>
      </c>
      <c r="AT293" s="22">
        <v>283</v>
      </c>
      <c r="AU293" s="22">
        <v>0.224213</v>
      </c>
      <c r="AV293">
        <f t="shared" si="56"/>
        <v>19.564800000000002</v>
      </c>
      <c r="AW293">
        <f t="shared" si="57"/>
        <v>4.4004169920000002</v>
      </c>
      <c r="AX293" s="9"/>
      <c r="AY293" s="22">
        <v>1.32507</v>
      </c>
      <c r="AZ293" s="22">
        <v>207.15100000000001</v>
      </c>
      <c r="BA293" s="22">
        <v>-1.8356299999999999E-2</v>
      </c>
      <c r="BB293" s="22">
        <v>283</v>
      </c>
      <c r="BC293" s="22">
        <v>1.32446</v>
      </c>
      <c r="BD293">
        <f t="shared" si="58"/>
        <v>18.356299999999997</v>
      </c>
      <c r="BE293">
        <f t="shared" si="59"/>
        <v>24.323382440999996</v>
      </c>
    </row>
    <row r="294" spans="6:57">
      <c r="F294" s="9"/>
      <c r="G294" s="22">
        <v>0.21987899999999999</v>
      </c>
      <c r="H294" s="22">
        <v>36.994</v>
      </c>
      <c r="I294" s="22">
        <v>-1.9412200000000001E-2</v>
      </c>
      <c r="J294" s="22">
        <v>284</v>
      </c>
      <c r="K294" s="22">
        <v>0.21951300000000001</v>
      </c>
      <c r="L294">
        <f t="shared" si="48"/>
        <v>19.412200000000002</v>
      </c>
      <c r="M294">
        <f t="shared" si="49"/>
        <v>4.2683351238</v>
      </c>
      <c r="N294" s="9"/>
      <c r="O294" s="22">
        <v>1.3301099999999999</v>
      </c>
      <c r="P294" s="22">
        <v>71.047200000000004</v>
      </c>
      <c r="Q294" s="22">
        <v>-1.8267800000000001E-2</v>
      </c>
      <c r="R294" s="22">
        <v>284</v>
      </c>
      <c r="S294" s="22">
        <v>1.32965</v>
      </c>
      <c r="T294">
        <f t="shared" si="50"/>
        <v>18.267800000000001</v>
      </c>
      <c r="U294">
        <f t="shared" si="51"/>
        <v>24.298183458</v>
      </c>
      <c r="X294" s="9"/>
      <c r="Y294" s="22">
        <v>0.21987899999999999</v>
      </c>
      <c r="Z294" s="22">
        <v>105.07</v>
      </c>
      <c r="AA294" s="22">
        <v>-1.95801E-2</v>
      </c>
      <c r="AB294" s="22">
        <v>284</v>
      </c>
      <c r="AC294" s="22">
        <v>0.219391</v>
      </c>
      <c r="AD294">
        <f t="shared" si="52"/>
        <v>19.580099999999998</v>
      </c>
      <c r="AE294">
        <f t="shared" si="53"/>
        <v>4.3052528078999996</v>
      </c>
      <c r="AF294" s="9"/>
      <c r="AG294" s="22">
        <v>1.3301099999999999</v>
      </c>
      <c r="AH294" s="22">
        <v>139.07599999999999</v>
      </c>
      <c r="AI294" s="22">
        <v>-1.8362400000000001E-2</v>
      </c>
      <c r="AJ294" s="22">
        <v>284</v>
      </c>
      <c r="AK294" s="22">
        <v>1.32965</v>
      </c>
      <c r="AL294">
        <f t="shared" si="54"/>
        <v>18.362400000000001</v>
      </c>
      <c r="AM294">
        <f t="shared" si="55"/>
        <v>24.424011864000001</v>
      </c>
      <c r="AP294" s="9"/>
      <c r="AQ294" s="22">
        <v>0.21987899999999999</v>
      </c>
      <c r="AR294" s="22">
        <v>173.13499999999999</v>
      </c>
      <c r="AS294" s="22">
        <v>-1.9570899999999999E-2</v>
      </c>
      <c r="AT294" s="22">
        <v>284</v>
      </c>
      <c r="AU294" s="22">
        <v>0.21933</v>
      </c>
      <c r="AV294">
        <f t="shared" si="56"/>
        <v>19.570899999999998</v>
      </c>
      <c r="AW294">
        <f t="shared" si="57"/>
        <v>4.3032299210999998</v>
      </c>
      <c r="AX294" s="9"/>
      <c r="AY294" s="22">
        <v>1.3301099999999999</v>
      </c>
      <c r="AZ294" s="22">
        <v>207.161</v>
      </c>
      <c r="BA294" s="22">
        <v>-1.8350200000000001E-2</v>
      </c>
      <c r="BB294" s="22">
        <v>284</v>
      </c>
      <c r="BC294" s="22">
        <v>1.32935</v>
      </c>
      <c r="BD294">
        <f t="shared" si="58"/>
        <v>18.350200000000001</v>
      </c>
      <c r="BE294">
        <f t="shared" si="59"/>
        <v>24.407784522</v>
      </c>
    </row>
    <row r="295" spans="6:57">
      <c r="F295" s="9"/>
      <c r="G295" s="22">
        <v>0.21484400000000001</v>
      </c>
      <c r="H295" s="22">
        <v>37.004100000000001</v>
      </c>
      <c r="I295" s="22">
        <v>-1.9418299999999999E-2</v>
      </c>
      <c r="J295" s="22">
        <v>285</v>
      </c>
      <c r="K295" s="22">
        <v>0.214447</v>
      </c>
      <c r="L295">
        <f t="shared" si="48"/>
        <v>19.418299999999999</v>
      </c>
      <c r="M295">
        <f t="shared" si="49"/>
        <v>4.1719052451999996</v>
      </c>
      <c r="N295" s="9"/>
      <c r="O295" s="22">
        <v>1.33514</v>
      </c>
      <c r="P295" s="22">
        <v>71.057199999999995</v>
      </c>
      <c r="Q295" s="22">
        <v>-1.8261699999999999E-2</v>
      </c>
      <c r="R295" s="22">
        <v>285</v>
      </c>
      <c r="S295" s="22">
        <v>1.33423</v>
      </c>
      <c r="T295">
        <f t="shared" si="50"/>
        <v>18.261699999999998</v>
      </c>
      <c r="U295">
        <f t="shared" si="51"/>
        <v>24.381926137999997</v>
      </c>
      <c r="X295" s="9"/>
      <c r="Y295" s="22">
        <v>0.21484400000000001</v>
      </c>
      <c r="Z295" s="22">
        <v>105.08</v>
      </c>
      <c r="AA295" s="22">
        <v>-1.9586200000000002E-2</v>
      </c>
      <c r="AB295" s="22">
        <v>285</v>
      </c>
      <c r="AC295" s="22">
        <v>0.21426400000000001</v>
      </c>
      <c r="AD295">
        <f t="shared" si="52"/>
        <v>19.586200000000002</v>
      </c>
      <c r="AE295">
        <f t="shared" si="53"/>
        <v>4.2079775528000001</v>
      </c>
      <c r="AF295" s="9"/>
      <c r="AG295" s="22">
        <v>1.33514</v>
      </c>
      <c r="AH295" s="22">
        <v>139.08699999999999</v>
      </c>
      <c r="AI295" s="22">
        <v>-1.8359400000000001E-2</v>
      </c>
      <c r="AJ295" s="22">
        <v>285</v>
      </c>
      <c r="AK295" s="22">
        <v>1.33423</v>
      </c>
      <c r="AL295">
        <f t="shared" si="54"/>
        <v>18.359400000000001</v>
      </c>
      <c r="AM295">
        <f t="shared" si="55"/>
        <v>24.512369316000001</v>
      </c>
      <c r="AP295" s="9"/>
      <c r="AQ295" s="22">
        <v>0.21484400000000001</v>
      </c>
      <c r="AR295" s="22">
        <v>173.14500000000001</v>
      </c>
      <c r="AS295" s="22">
        <v>-1.9577000000000001E-2</v>
      </c>
      <c r="AT295" s="22">
        <v>285</v>
      </c>
      <c r="AU295" s="22">
        <v>0.214203</v>
      </c>
      <c r="AV295">
        <f t="shared" si="56"/>
        <v>19.577000000000002</v>
      </c>
      <c r="AW295">
        <f t="shared" si="57"/>
        <v>4.2060009880000004</v>
      </c>
      <c r="AX295" s="9"/>
      <c r="AY295" s="22">
        <v>1.33514</v>
      </c>
      <c r="AZ295" s="22">
        <v>207.17099999999999</v>
      </c>
      <c r="BA295" s="22">
        <v>-1.8344099999999999E-2</v>
      </c>
      <c r="BB295" s="22">
        <v>285</v>
      </c>
      <c r="BC295" s="22">
        <v>1.33453</v>
      </c>
      <c r="BD295">
        <f t="shared" si="58"/>
        <v>18.344099999999997</v>
      </c>
      <c r="BE295">
        <f t="shared" si="59"/>
        <v>24.491941673999996</v>
      </c>
    </row>
    <row r="296" spans="6:57">
      <c r="F296" s="9"/>
      <c r="G296" s="22">
        <v>0.20980799999999999</v>
      </c>
      <c r="H296" s="22">
        <v>37.014200000000002</v>
      </c>
      <c r="I296" s="22">
        <v>-1.9424400000000001E-2</v>
      </c>
      <c r="J296" s="22">
        <v>286</v>
      </c>
      <c r="K296" s="22">
        <v>0.20913699999999999</v>
      </c>
      <c r="L296">
        <f t="shared" si="48"/>
        <v>19.424400000000002</v>
      </c>
      <c r="M296">
        <f t="shared" si="49"/>
        <v>4.0753945152000002</v>
      </c>
      <c r="N296" s="9"/>
      <c r="O296" s="22">
        <v>1.3401799999999999</v>
      </c>
      <c r="P296" s="22">
        <v>71.067300000000003</v>
      </c>
      <c r="Q296" s="22">
        <v>-1.82556E-2</v>
      </c>
      <c r="R296" s="22">
        <v>286</v>
      </c>
      <c r="S296" s="22">
        <v>1.33911</v>
      </c>
      <c r="T296">
        <f t="shared" si="50"/>
        <v>18.255600000000001</v>
      </c>
      <c r="U296">
        <f t="shared" si="51"/>
        <v>24.465790007999999</v>
      </c>
      <c r="X296" s="9"/>
      <c r="Y296" s="22">
        <v>0.20980799999999999</v>
      </c>
      <c r="Z296" s="22">
        <v>105.09</v>
      </c>
      <c r="AA296" s="22">
        <v>-1.9589200000000001E-2</v>
      </c>
      <c r="AB296" s="22">
        <v>286</v>
      </c>
      <c r="AC296" s="22">
        <v>0.20932000000000001</v>
      </c>
      <c r="AD296">
        <f t="shared" si="52"/>
        <v>19.589200000000002</v>
      </c>
      <c r="AE296">
        <f t="shared" si="53"/>
        <v>4.1099708736</v>
      </c>
      <c r="AF296" s="9"/>
      <c r="AG296" s="22">
        <v>1.3401799999999999</v>
      </c>
      <c r="AH296" s="22">
        <v>139.09700000000001</v>
      </c>
      <c r="AI296" s="22">
        <v>-1.8353299999999999E-2</v>
      </c>
      <c r="AJ296" s="22">
        <v>286</v>
      </c>
      <c r="AK296" s="22">
        <v>1.33911</v>
      </c>
      <c r="AL296">
        <f t="shared" si="54"/>
        <v>18.353300000000001</v>
      </c>
      <c r="AM296">
        <f t="shared" si="55"/>
        <v>24.596725593999999</v>
      </c>
      <c r="AP296" s="9"/>
      <c r="AQ296" s="22">
        <v>0.20980799999999999</v>
      </c>
      <c r="AR296" s="22">
        <v>173.155</v>
      </c>
      <c r="AS296" s="22">
        <v>-1.95801E-2</v>
      </c>
      <c r="AT296" s="22">
        <v>286</v>
      </c>
      <c r="AU296" s="22">
        <v>0.20929</v>
      </c>
      <c r="AV296">
        <f t="shared" si="56"/>
        <v>19.580099999999998</v>
      </c>
      <c r="AW296">
        <f t="shared" si="57"/>
        <v>4.1080616207999991</v>
      </c>
      <c r="AX296" s="9"/>
      <c r="AY296" s="22">
        <v>1.3401799999999999</v>
      </c>
      <c r="AZ296" s="22">
        <v>207.18100000000001</v>
      </c>
      <c r="BA296" s="22">
        <v>-1.8341099999999999E-2</v>
      </c>
      <c r="BB296" s="22">
        <v>286</v>
      </c>
      <c r="BC296" s="22">
        <v>1.3394200000000001</v>
      </c>
      <c r="BD296">
        <f t="shared" si="58"/>
        <v>18.341099999999997</v>
      </c>
      <c r="BE296">
        <f t="shared" si="59"/>
        <v>24.580375397999994</v>
      </c>
    </row>
    <row r="297" spans="6:57">
      <c r="F297" s="9"/>
      <c r="G297" s="22">
        <v>0.20477300000000001</v>
      </c>
      <c r="H297" s="22">
        <v>37.0242</v>
      </c>
      <c r="I297" s="22">
        <v>-1.94275E-2</v>
      </c>
      <c r="J297" s="22">
        <v>287</v>
      </c>
      <c r="K297" s="22">
        <v>0.20416300000000001</v>
      </c>
      <c r="L297">
        <f t="shared" si="48"/>
        <v>19.427500000000002</v>
      </c>
      <c r="M297">
        <f t="shared" si="49"/>
        <v>3.9782274575000005</v>
      </c>
      <c r="N297" s="9"/>
      <c r="O297" s="22">
        <v>1.34521</v>
      </c>
      <c r="P297" s="22">
        <v>71.077399999999997</v>
      </c>
      <c r="Q297" s="22">
        <v>-1.8252600000000001E-2</v>
      </c>
      <c r="R297" s="22">
        <v>287</v>
      </c>
      <c r="S297" s="22">
        <v>1.3443000000000001</v>
      </c>
      <c r="T297">
        <f t="shared" si="50"/>
        <v>18.252600000000001</v>
      </c>
      <c r="U297">
        <f t="shared" si="51"/>
        <v>24.553580046</v>
      </c>
      <c r="X297" s="9"/>
      <c r="Y297" s="22">
        <v>0.20477300000000001</v>
      </c>
      <c r="Z297" s="22">
        <v>105.101</v>
      </c>
      <c r="AA297" s="22">
        <v>-1.95953E-2</v>
      </c>
      <c r="AB297" s="22">
        <v>287</v>
      </c>
      <c r="AC297" s="22">
        <v>0.204376</v>
      </c>
      <c r="AD297">
        <f t="shared" si="52"/>
        <v>19.595299999999998</v>
      </c>
      <c r="AE297">
        <f t="shared" si="53"/>
        <v>4.0125883669000002</v>
      </c>
      <c r="AF297" s="9"/>
      <c r="AG297" s="22">
        <v>1.34521</v>
      </c>
      <c r="AH297" s="22">
        <v>139.107</v>
      </c>
      <c r="AI297" s="22">
        <v>-1.8344099999999999E-2</v>
      </c>
      <c r="AJ297" s="22">
        <v>287</v>
      </c>
      <c r="AK297" s="22">
        <v>1.3446</v>
      </c>
      <c r="AL297">
        <f t="shared" si="54"/>
        <v>18.344099999999997</v>
      </c>
      <c r="AM297">
        <f t="shared" si="55"/>
        <v>24.676666760999996</v>
      </c>
      <c r="AP297" s="9"/>
      <c r="AQ297" s="22">
        <v>0.20477300000000001</v>
      </c>
      <c r="AR297" s="22">
        <v>173.16499999999999</v>
      </c>
      <c r="AS297" s="22">
        <v>-1.9586200000000002E-2</v>
      </c>
      <c r="AT297" s="22">
        <v>287</v>
      </c>
      <c r="AU297" s="22">
        <v>0.20440700000000001</v>
      </c>
      <c r="AV297">
        <f t="shared" si="56"/>
        <v>19.586200000000002</v>
      </c>
      <c r="AW297">
        <f t="shared" si="57"/>
        <v>4.0107249326000005</v>
      </c>
      <c r="AX297" s="9"/>
      <c r="AY297" s="22">
        <v>1.34521</v>
      </c>
      <c r="AZ297" s="22">
        <v>207.191</v>
      </c>
      <c r="BA297" s="22">
        <v>-1.8335000000000001E-2</v>
      </c>
      <c r="BB297" s="22">
        <v>287</v>
      </c>
      <c r="BC297" s="22">
        <v>1.3446</v>
      </c>
      <c r="BD297">
        <f t="shared" si="58"/>
        <v>18.335000000000001</v>
      </c>
      <c r="BE297">
        <f t="shared" si="59"/>
        <v>24.664425350000002</v>
      </c>
    </row>
    <row r="298" spans="6:57">
      <c r="F298" s="9"/>
      <c r="G298" s="22">
        <v>0.199738</v>
      </c>
      <c r="H298" s="22">
        <v>37.034300000000002</v>
      </c>
      <c r="I298" s="22">
        <v>-1.94305E-2</v>
      </c>
      <c r="J298" s="22">
        <v>288</v>
      </c>
      <c r="K298" s="22">
        <v>0.199127</v>
      </c>
      <c r="L298">
        <f t="shared" si="48"/>
        <v>19.430499999999999</v>
      </c>
      <c r="M298">
        <f t="shared" si="49"/>
        <v>3.8810092089999997</v>
      </c>
      <c r="N298" s="9"/>
      <c r="O298" s="22">
        <v>1.35025</v>
      </c>
      <c r="P298" s="22">
        <v>71.087500000000006</v>
      </c>
      <c r="Q298" s="22">
        <v>-1.8246499999999999E-2</v>
      </c>
      <c r="R298" s="22">
        <v>288</v>
      </c>
      <c r="S298" s="22">
        <v>1.3494900000000001</v>
      </c>
      <c r="T298">
        <f t="shared" si="50"/>
        <v>18.246499999999997</v>
      </c>
      <c r="U298">
        <f t="shared" si="51"/>
        <v>24.637336624999996</v>
      </c>
      <c r="X298" s="9"/>
      <c r="Y298" s="22">
        <v>0.199738</v>
      </c>
      <c r="Z298" s="22">
        <v>105.111</v>
      </c>
      <c r="AA298" s="22">
        <v>-1.96045E-2</v>
      </c>
      <c r="AB298" s="22">
        <v>288</v>
      </c>
      <c r="AC298" s="22">
        <v>0.19924900000000001</v>
      </c>
      <c r="AD298">
        <f t="shared" si="52"/>
        <v>19.604500000000002</v>
      </c>
      <c r="AE298">
        <f t="shared" si="53"/>
        <v>3.9157636210000004</v>
      </c>
      <c r="AF298" s="9"/>
      <c r="AG298" s="22">
        <v>1.35025</v>
      </c>
      <c r="AH298" s="22">
        <v>139.11699999999999</v>
      </c>
      <c r="AI298" s="22">
        <v>-1.8341099999999999E-2</v>
      </c>
      <c r="AJ298" s="22">
        <v>288</v>
      </c>
      <c r="AK298" s="22">
        <v>1.34918</v>
      </c>
      <c r="AL298">
        <f t="shared" si="54"/>
        <v>18.341099999999997</v>
      </c>
      <c r="AM298">
        <f t="shared" si="55"/>
        <v>24.765070274999996</v>
      </c>
      <c r="AP298" s="9"/>
      <c r="AQ298" s="22">
        <v>0.199738</v>
      </c>
      <c r="AR298" s="22">
        <v>173.17500000000001</v>
      </c>
      <c r="AS298" s="22">
        <v>-1.95923E-2</v>
      </c>
      <c r="AT298" s="22">
        <v>288</v>
      </c>
      <c r="AU298" s="22">
        <v>0.19924900000000001</v>
      </c>
      <c r="AV298">
        <f t="shared" si="56"/>
        <v>19.592300000000002</v>
      </c>
      <c r="AW298">
        <f t="shared" si="57"/>
        <v>3.9133268174000002</v>
      </c>
      <c r="AX298" s="9"/>
      <c r="AY298" s="22">
        <v>1.35025</v>
      </c>
      <c r="AZ298" s="22">
        <v>207.20099999999999</v>
      </c>
      <c r="BA298" s="22">
        <v>-1.8331900000000002E-2</v>
      </c>
      <c r="BB298" s="22">
        <v>288</v>
      </c>
      <c r="BC298" s="22">
        <v>1.3494900000000001</v>
      </c>
      <c r="BD298">
        <f t="shared" si="58"/>
        <v>18.331900000000001</v>
      </c>
      <c r="BE298">
        <f t="shared" si="59"/>
        <v>24.752647975000002</v>
      </c>
    </row>
    <row r="299" spans="6:57">
      <c r="F299" s="9"/>
      <c r="G299" s="22">
        <v>0.19470199999999999</v>
      </c>
      <c r="H299" s="22">
        <v>37.044400000000003</v>
      </c>
      <c r="I299" s="22">
        <v>-1.9436599999999998E-2</v>
      </c>
      <c r="J299" s="22">
        <v>289</v>
      </c>
      <c r="K299" s="22">
        <v>0.19406100000000001</v>
      </c>
      <c r="L299">
        <f t="shared" si="48"/>
        <v>19.436599999999999</v>
      </c>
      <c r="M299">
        <f t="shared" si="49"/>
        <v>3.7843448931999992</v>
      </c>
      <c r="N299" s="9"/>
      <c r="O299" s="22">
        <v>1.3552900000000001</v>
      </c>
      <c r="P299" s="22">
        <v>71.097499999999997</v>
      </c>
      <c r="Q299" s="22">
        <v>-1.8237300000000001E-2</v>
      </c>
      <c r="R299" s="22">
        <v>289</v>
      </c>
      <c r="S299" s="22">
        <v>1.35406</v>
      </c>
      <c r="T299">
        <f t="shared" si="50"/>
        <v>18.237300000000001</v>
      </c>
      <c r="U299">
        <f t="shared" si="51"/>
        <v>24.716830317000003</v>
      </c>
      <c r="X299" s="9"/>
      <c r="Y299" s="22">
        <v>0.19470199999999999</v>
      </c>
      <c r="Z299" s="22">
        <v>105.121</v>
      </c>
      <c r="AA299" s="22">
        <v>-1.96075E-2</v>
      </c>
      <c r="AB299" s="22">
        <v>289</v>
      </c>
      <c r="AC299" s="22">
        <v>0.194275</v>
      </c>
      <c r="AD299">
        <f t="shared" si="52"/>
        <v>19.607500000000002</v>
      </c>
      <c r="AE299">
        <f t="shared" si="53"/>
        <v>3.8176194649999999</v>
      </c>
      <c r="AF299" s="9"/>
      <c r="AG299" s="22">
        <v>1.3552900000000001</v>
      </c>
      <c r="AH299" s="22">
        <v>139.12700000000001</v>
      </c>
      <c r="AI299" s="22">
        <v>-1.8335000000000001E-2</v>
      </c>
      <c r="AJ299" s="22">
        <v>289</v>
      </c>
      <c r="AK299" s="22">
        <v>1.3543700000000001</v>
      </c>
      <c r="AL299">
        <f t="shared" si="54"/>
        <v>18.335000000000001</v>
      </c>
      <c r="AM299">
        <f t="shared" si="55"/>
        <v>24.849242150000002</v>
      </c>
      <c r="AP299" s="9"/>
      <c r="AQ299" s="22">
        <v>0.19470199999999999</v>
      </c>
      <c r="AR299" s="22">
        <v>173.185</v>
      </c>
      <c r="AS299" s="22">
        <v>-1.9598399999999998E-2</v>
      </c>
      <c r="AT299" s="22">
        <v>289</v>
      </c>
      <c r="AU299" s="22">
        <v>0.19406100000000001</v>
      </c>
      <c r="AV299">
        <f t="shared" si="56"/>
        <v>19.598399999999998</v>
      </c>
      <c r="AW299">
        <f t="shared" si="57"/>
        <v>3.8158476767999994</v>
      </c>
      <c r="AX299" s="9"/>
      <c r="AY299" s="22">
        <v>1.3552900000000001</v>
      </c>
      <c r="AZ299" s="22">
        <v>207.21199999999999</v>
      </c>
      <c r="BA299" s="22">
        <v>-1.83258E-2</v>
      </c>
      <c r="BB299" s="22">
        <v>289</v>
      </c>
      <c r="BC299" s="22">
        <v>1.35406</v>
      </c>
      <c r="BD299">
        <f t="shared" si="58"/>
        <v>18.325800000000001</v>
      </c>
      <c r="BE299">
        <f t="shared" si="59"/>
        <v>24.836773482000002</v>
      </c>
    </row>
    <row r="300" spans="6:57">
      <c r="F300" s="9"/>
      <c r="G300" s="22">
        <v>0.189667</v>
      </c>
      <c r="H300" s="22">
        <v>37.054400000000001</v>
      </c>
      <c r="I300" s="22">
        <v>-1.94427E-2</v>
      </c>
      <c r="J300" s="22">
        <v>290</v>
      </c>
      <c r="K300" s="22">
        <v>0.189056</v>
      </c>
      <c r="L300">
        <f t="shared" si="48"/>
        <v>19.442699999999999</v>
      </c>
      <c r="M300">
        <f t="shared" si="49"/>
        <v>3.6876385808999999</v>
      </c>
      <c r="N300" s="9"/>
      <c r="O300" s="22">
        <v>1.36032</v>
      </c>
      <c r="P300" s="22">
        <v>71.107600000000005</v>
      </c>
      <c r="Q300" s="22">
        <v>-1.8228100000000001E-2</v>
      </c>
      <c r="R300" s="22">
        <v>290</v>
      </c>
      <c r="S300" s="22">
        <v>1.3595600000000001</v>
      </c>
      <c r="T300">
        <f t="shared" si="50"/>
        <v>18.228100000000001</v>
      </c>
      <c r="U300">
        <f t="shared" si="51"/>
        <v>24.796048992000003</v>
      </c>
      <c r="X300" s="9"/>
      <c r="Y300" s="22">
        <v>0.189667</v>
      </c>
      <c r="Z300" s="22">
        <v>105.131</v>
      </c>
      <c r="AA300" s="22">
        <v>-1.9616700000000001E-2</v>
      </c>
      <c r="AB300" s="22">
        <v>290</v>
      </c>
      <c r="AC300" s="22">
        <v>0.189026</v>
      </c>
      <c r="AD300">
        <f t="shared" si="52"/>
        <v>19.616700000000002</v>
      </c>
      <c r="AE300">
        <f t="shared" si="53"/>
        <v>3.7206406389000004</v>
      </c>
      <c r="AF300" s="9"/>
      <c r="AG300" s="22">
        <v>1.36032</v>
      </c>
      <c r="AH300" s="22">
        <v>139.137</v>
      </c>
      <c r="AI300" s="22">
        <v>-1.83258E-2</v>
      </c>
      <c r="AJ300" s="22">
        <v>290</v>
      </c>
      <c r="AK300" s="22">
        <v>1.3595600000000001</v>
      </c>
      <c r="AL300">
        <f t="shared" si="54"/>
        <v>18.325800000000001</v>
      </c>
      <c r="AM300">
        <f t="shared" si="55"/>
        <v>24.928952256000002</v>
      </c>
      <c r="AP300" s="9"/>
      <c r="AQ300" s="22">
        <v>0.189667</v>
      </c>
      <c r="AR300" s="22">
        <v>173.19499999999999</v>
      </c>
      <c r="AS300" s="22">
        <v>-1.9601400000000001E-2</v>
      </c>
      <c r="AT300" s="22">
        <v>290</v>
      </c>
      <c r="AU300" s="22">
        <v>0.18911700000000001</v>
      </c>
      <c r="AV300">
        <f t="shared" si="56"/>
        <v>19.601400000000002</v>
      </c>
      <c r="AW300">
        <f t="shared" si="57"/>
        <v>3.7177387338000005</v>
      </c>
      <c r="AX300" s="9"/>
      <c r="AY300" s="22">
        <v>1.36032</v>
      </c>
      <c r="AZ300" s="22">
        <v>207.22200000000001</v>
      </c>
      <c r="BA300" s="22">
        <v>-1.8316700000000002E-2</v>
      </c>
      <c r="BB300" s="22">
        <v>290</v>
      </c>
      <c r="BC300" s="22">
        <v>1.3598600000000001</v>
      </c>
      <c r="BD300">
        <f t="shared" si="58"/>
        <v>18.316700000000001</v>
      </c>
      <c r="BE300">
        <f t="shared" si="59"/>
        <v>24.916573344</v>
      </c>
    </row>
    <row r="301" spans="6:57">
      <c r="F301" s="9"/>
      <c r="G301" s="22">
        <v>0.18463099999999999</v>
      </c>
      <c r="H301" s="22">
        <v>37.064500000000002</v>
      </c>
      <c r="I301" s="22">
        <v>-1.9451900000000001E-2</v>
      </c>
      <c r="J301" s="22">
        <v>291</v>
      </c>
      <c r="K301" s="22">
        <v>0.18398999999999999</v>
      </c>
      <c r="L301">
        <f t="shared" si="48"/>
        <v>19.451900000000002</v>
      </c>
      <c r="M301">
        <f t="shared" si="49"/>
        <v>3.5914237489</v>
      </c>
      <c r="N301" s="9"/>
      <c r="O301" s="22">
        <v>1.3653599999999999</v>
      </c>
      <c r="P301" s="22">
        <v>71.117699999999999</v>
      </c>
      <c r="Q301" s="22">
        <v>-1.8221999999999999E-2</v>
      </c>
      <c r="R301" s="22">
        <v>291</v>
      </c>
      <c r="S301" s="22">
        <v>1.3644400000000001</v>
      </c>
      <c r="T301">
        <f t="shared" si="50"/>
        <v>18.221999999999998</v>
      </c>
      <c r="U301">
        <f t="shared" si="51"/>
        <v>24.879589919999994</v>
      </c>
      <c r="X301" s="9"/>
      <c r="Y301" s="22">
        <v>0.18463099999999999</v>
      </c>
      <c r="Z301" s="22">
        <v>105.14100000000001</v>
      </c>
      <c r="AA301" s="22">
        <v>-1.9616700000000001E-2</v>
      </c>
      <c r="AB301" s="22">
        <v>291</v>
      </c>
      <c r="AC301" s="22">
        <v>0.183777</v>
      </c>
      <c r="AD301">
        <f t="shared" si="52"/>
        <v>19.616700000000002</v>
      </c>
      <c r="AE301">
        <f t="shared" si="53"/>
        <v>3.6218509377000001</v>
      </c>
      <c r="AF301" s="9"/>
      <c r="AG301" s="22">
        <v>1.3653599999999999</v>
      </c>
      <c r="AH301" s="22">
        <v>139.14699999999999</v>
      </c>
      <c r="AI301" s="22">
        <v>-1.8316700000000002E-2</v>
      </c>
      <c r="AJ301" s="22">
        <v>291</v>
      </c>
      <c r="AK301" s="22">
        <v>1.3650500000000001</v>
      </c>
      <c r="AL301">
        <f t="shared" si="54"/>
        <v>18.316700000000001</v>
      </c>
      <c r="AM301">
        <f t="shared" si="55"/>
        <v>25.008889512</v>
      </c>
      <c r="AP301" s="9"/>
      <c r="AQ301" s="22">
        <v>0.18463099999999999</v>
      </c>
      <c r="AR301" s="22">
        <v>173.20599999999999</v>
      </c>
      <c r="AS301" s="22">
        <v>-1.96075E-2</v>
      </c>
      <c r="AT301" s="22">
        <v>291</v>
      </c>
      <c r="AU301" s="22">
        <v>0.184143</v>
      </c>
      <c r="AV301">
        <f t="shared" si="56"/>
        <v>19.607500000000002</v>
      </c>
      <c r="AW301">
        <f t="shared" si="57"/>
        <v>3.6201523325</v>
      </c>
      <c r="AX301" s="9"/>
      <c r="AY301" s="22">
        <v>1.3653599999999999</v>
      </c>
      <c r="AZ301" s="22">
        <v>207.232</v>
      </c>
      <c r="BA301" s="22">
        <v>-1.83105E-2</v>
      </c>
      <c r="BB301" s="22">
        <v>291</v>
      </c>
      <c r="BC301" s="22">
        <v>1.3644400000000001</v>
      </c>
      <c r="BD301">
        <f t="shared" si="58"/>
        <v>18.310500000000001</v>
      </c>
      <c r="BE301">
        <f t="shared" si="59"/>
        <v>25.000424280000001</v>
      </c>
    </row>
    <row r="302" spans="6:57">
      <c r="F302" s="9"/>
      <c r="G302" s="22">
        <v>0.17959600000000001</v>
      </c>
      <c r="H302" s="22">
        <v>37.074599999999997</v>
      </c>
      <c r="I302" s="22">
        <v>-1.9458E-2</v>
      </c>
      <c r="J302" s="22">
        <v>292</v>
      </c>
      <c r="K302" s="22">
        <v>0.17913799999999999</v>
      </c>
      <c r="L302">
        <f t="shared" si="48"/>
        <v>19.457999999999998</v>
      </c>
      <c r="M302">
        <f t="shared" si="49"/>
        <v>3.4945789679999999</v>
      </c>
      <c r="N302" s="9"/>
      <c r="O302" s="22">
        <v>1.37039</v>
      </c>
      <c r="P302" s="22">
        <v>71.127700000000004</v>
      </c>
      <c r="Q302" s="22">
        <v>-1.8212900000000001E-2</v>
      </c>
      <c r="R302" s="22">
        <v>292</v>
      </c>
      <c r="S302" s="22">
        <v>1.3699300000000001</v>
      </c>
      <c r="T302">
        <f t="shared" si="50"/>
        <v>18.212900000000001</v>
      </c>
      <c r="U302">
        <f t="shared" si="51"/>
        <v>24.958776031000003</v>
      </c>
      <c r="X302" s="9"/>
      <c r="Y302" s="22">
        <v>0.17959600000000001</v>
      </c>
      <c r="Z302" s="22">
        <v>105.151</v>
      </c>
      <c r="AA302" s="22">
        <v>-1.9622799999999999E-2</v>
      </c>
      <c r="AB302" s="22">
        <v>292</v>
      </c>
      <c r="AC302" s="22">
        <v>0.17910799999999999</v>
      </c>
      <c r="AD302">
        <f t="shared" si="52"/>
        <v>19.622799999999998</v>
      </c>
      <c r="AE302">
        <f t="shared" si="53"/>
        <v>3.5241763887999999</v>
      </c>
      <c r="AF302" s="9"/>
      <c r="AG302" s="22">
        <v>1.37039</v>
      </c>
      <c r="AH302" s="22">
        <v>139.15700000000001</v>
      </c>
      <c r="AI302" s="22">
        <v>-1.83105E-2</v>
      </c>
      <c r="AJ302" s="22">
        <v>292</v>
      </c>
      <c r="AK302" s="22">
        <v>1.3699300000000001</v>
      </c>
      <c r="AL302">
        <f t="shared" si="54"/>
        <v>18.310500000000001</v>
      </c>
      <c r="AM302">
        <f t="shared" si="55"/>
        <v>25.092526095</v>
      </c>
      <c r="AP302" s="9"/>
      <c r="AQ302" s="22">
        <v>0.17959600000000001</v>
      </c>
      <c r="AR302" s="22">
        <v>173.21600000000001</v>
      </c>
      <c r="AS302" s="22">
        <v>-1.9613599999999998E-2</v>
      </c>
      <c r="AT302" s="22">
        <v>292</v>
      </c>
      <c r="AU302" s="22">
        <v>0.178955</v>
      </c>
      <c r="AV302">
        <f t="shared" si="56"/>
        <v>19.613599999999998</v>
      </c>
      <c r="AW302">
        <f t="shared" si="57"/>
        <v>3.5225241055999996</v>
      </c>
      <c r="AX302" s="9"/>
      <c r="AY302" s="22">
        <v>1.37039</v>
      </c>
      <c r="AZ302" s="22">
        <v>207.24199999999999</v>
      </c>
      <c r="BA302" s="22">
        <v>-1.82983E-2</v>
      </c>
      <c r="BB302" s="22">
        <v>292</v>
      </c>
      <c r="BC302" s="22">
        <v>1.3696299999999999</v>
      </c>
      <c r="BD302">
        <f t="shared" si="58"/>
        <v>18.298300000000001</v>
      </c>
      <c r="BE302">
        <f t="shared" si="59"/>
        <v>25.075807337000001</v>
      </c>
    </row>
    <row r="303" spans="6:57">
      <c r="F303" s="9"/>
      <c r="G303" s="22">
        <v>0.17456099999999999</v>
      </c>
      <c r="H303" s="22">
        <v>37.084699999999998</v>
      </c>
      <c r="I303" s="22">
        <v>-1.9458E-2</v>
      </c>
      <c r="J303" s="22">
        <v>293</v>
      </c>
      <c r="K303" s="22">
        <v>0.174042</v>
      </c>
      <c r="L303">
        <f t="shared" si="48"/>
        <v>19.457999999999998</v>
      </c>
      <c r="M303">
        <f t="shared" si="49"/>
        <v>3.3966079379999994</v>
      </c>
      <c r="N303" s="9"/>
      <c r="O303" s="22">
        <v>1.3754299999999999</v>
      </c>
      <c r="P303" s="22">
        <v>71.137799999999999</v>
      </c>
      <c r="Q303" s="22">
        <v>-1.8209800000000002E-2</v>
      </c>
      <c r="R303" s="22">
        <v>293</v>
      </c>
      <c r="S303" s="22">
        <v>1.3742099999999999</v>
      </c>
      <c r="T303">
        <f t="shared" si="50"/>
        <v>18.209800000000001</v>
      </c>
      <c r="U303">
        <f t="shared" si="51"/>
        <v>25.046305214</v>
      </c>
      <c r="X303" s="9"/>
      <c r="Y303" s="22">
        <v>0.17456099999999999</v>
      </c>
      <c r="Z303" s="22">
        <v>105.161</v>
      </c>
      <c r="AA303" s="22">
        <v>-1.9628900000000001E-2</v>
      </c>
      <c r="AB303" s="22">
        <v>293</v>
      </c>
      <c r="AC303" s="22">
        <v>0.17446900000000001</v>
      </c>
      <c r="AD303">
        <f t="shared" si="52"/>
        <v>19.628900000000002</v>
      </c>
      <c r="AE303">
        <f t="shared" si="53"/>
        <v>3.4264404129000003</v>
      </c>
      <c r="AF303" s="9"/>
      <c r="AG303" s="22">
        <v>1.3754299999999999</v>
      </c>
      <c r="AH303" s="22">
        <v>139.167</v>
      </c>
      <c r="AI303" s="22">
        <v>-1.8301399999999999E-2</v>
      </c>
      <c r="AJ303" s="22">
        <v>293</v>
      </c>
      <c r="AK303" s="22">
        <v>1.3745099999999999</v>
      </c>
      <c r="AL303">
        <f t="shared" si="54"/>
        <v>18.301399999999997</v>
      </c>
      <c r="AM303">
        <f t="shared" si="55"/>
        <v>25.172294601999994</v>
      </c>
      <c r="AP303" s="9"/>
      <c r="AQ303" s="22">
        <v>0.17456099999999999</v>
      </c>
      <c r="AR303" s="22">
        <v>173.226</v>
      </c>
      <c r="AS303" s="22">
        <v>-1.9613599999999998E-2</v>
      </c>
      <c r="AT303" s="22">
        <v>293</v>
      </c>
      <c r="AU303" s="22">
        <v>0.17361499999999999</v>
      </c>
      <c r="AV303">
        <f t="shared" si="56"/>
        <v>19.613599999999998</v>
      </c>
      <c r="AW303">
        <f t="shared" si="57"/>
        <v>3.4237696295999998</v>
      </c>
      <c r="AX303" s="9"/>
      <c r="AY303" s="22">
        <v>1.3754299999999999</v>
      </c>
      <c r="AZ303" s="22">
        <v>207.25200000000001</v>
      </c>
      <c r="BA303" s="22">
        <v>-1.82953E-2</v>
      </c>
      <c r="BB303" s="22">
        <v>293</v>
      </c>
      <c r="BC303" s="22">
        <v>1.3745099999999999</v>
      </c>
      <c r="BD303">
        <f t="shared" si="58"/>
        <v>18.295300000000001</v>
      </c>
      <c r="BE303">
        <f t="shared" si="59"/>
        <v>25.163904478999999</v>
      </c>
    </row>
    <row r="304" spans="6:57">
      <c r="F304" s="9"/>
      <c r="G304" s="22">
        <v>0.16952500000000001</v>
      </c>
      <c r="H304" s="22">
        <v>37.094700000000003</v>
      </c>
      <c r="I304" s="22">
        <v>-1.9464100000000002E-2</v>
      </c>
      <c r="J304" s="22">
        <v>294</v>
      </c>
      <c r="K304" s="22">
        <v>0.16900599999999999</v>
      </c>
      <c r="L304">
        <f t="shared" si="48"/>
        <v>19.464100000000002</v>
      </c>
      <c r="M304">
        <f t="shared" si="49"/>
        <v>3.2996515525000003</v>
      </c>
      <c r="N304" s="9"/>
      <c r="O304" s="22">
        <v>1.38046</v>
      </c>
      <c r="P304" s="22">
        <v>71.147900000000007</v>
      </c>
      <c r="Q304" s="22">
        <v>-1.8206799999999999E-2</v>
      </c>
      <c r="R304" s="22">
        <v>294</v>
      </c>
      <c r="S304" s="22">
        <v>1.3790899999999999</v>
      </c>
      <c r="T304">
        <f t="shared" si="50"/>
        <v>18.206799999999998</v>
      </c>
      <c r="U304">
        <f t="shared" si="51"/>
        <v>25.133759127999998</v>
      </c>
      <c r="X304" s="9"/>
      <c r="Y304" s="22">
        <v>0.16952500000000001</v>
      </c>
      <c r="Z304" s="22">
        <v>105.17100000000001</v>
      </c>
      <c r="AA304" s="22">
        <v>-1.9632E-2</v>
      </c>
      <c r="AB304" s="22">
        <v>294</v>
      </c>
      <c r="AC304" s="22">
        <v>0.16897599999999999</v>
      </c>
      <c r="AD304">
        <f t="shared" si="52"/>
        <v>19.632000000000001</v>
      </c>
      <c r="AE304">
        <f t="shared" si="53"/>
        <v>3.3281148000000003</v>
      </c>
      <c r="AF304" s="9"/>
      <c r="AG304" s="22">
        <v>1.38046</v>
      </c>
      <c r="AH304" s="22">
        <v>139.17699999999999</v>
      </c>
      <c r="AI304" s="22">
        <v>-1.82983E-2</v>
      </c>
      <c r="AJ304" s="22">
        <v>294</v>
      </c>
      <c r="AK304" s="22">
        <v>1.38062</v>
      </c>
      <c r="AL304">
        <f t="shared" si="54"/>
        <v>18.298300000000001</v>
      </c>
      <c r="AM304">
        <f t="shared" si="55"/>
        <v>25.260071218</v>
      </c>
      <c r="AP304" s="9"/>
      <c r="AQ304" s="22">
        <v>0.16952500000000001</v>
      </c>
      <c r="AR304" s="22">
        <v>173.23599999999999</v>
      </c>
      <c r="AS304" s="22">
        <v>-1.9616700000000001E-2</v>
      </c>
      <c r="AT304" s="22">
        <v>294</v>
      </c>
      <c r="AU304" s="22">
        <v>0.16891500000000001</v>
      </c>
      <c r="AV304">
        <f t="shared" si="56"/>
        <v>19.616700000000002</v>
      </c>
      <c r="AW304">
        <f t="shared" si="57"/>
        <v>3.3255210675000004</v>
      </c>
      <c r="AX304" s="9"/>
      <c r="AY304" s="22">
        <v>1.38046</v>
      </c>
      <c r="AZ304" s="22">
        <v>207.262</v>
      </c>
      <c r="BA304" s="22">
        <v>-1.82861E-2</v>
      </c>
      <c r="BB304" s="22">
        <v>294</v>
      </c>
      <c r="BC304" s="22">
        <v>1.3793899999999999</v>
      </c>
      <c r="BD304">
        <f t="shared" si="58"/>
        <v>18.286100000000001</v>
      </c>
      <c r="BE304">
        <f t="shared" si="59"/>
        <v>25.243229606000003</v>
      </c>
    </row>
    <row r="305" spans="6:57">
      <c r="F305" s="9"/>
      <c r="G305" s="22">
        <v>0.16449</v>
      </c>
      <c r="H305" s="22">
        <v>37.104799999999997</v>
      </c>
      <c r="I305" s="22">
        <v>-1.94702E-2</v>
      </c>
      <c r="J305" s="22">
        <v>295</v>
      </c>
      <c r="K305" s="22">
        <v>0.16378799999999999</v>
      </c>
      <c r="L305">
        <f t="shared" si="48"/>
        <v>19.470199999999998</v>
      </c>
      <c r="M305">
        <f t="shared" si="49"/>
        <v>3.2026531979999997</v>
      </c>
      <c r="N305" s="9"/>
      <c r="O305" s="22">
        <v>1.3855</v>
      </c>
      <c r="P305" s="22">
        <v>71.157899999999998</v>
      </c>
      <c r="Q305" s="22">
        <v>-1.8197600000000001E-2</v>
      </c>
      <c r="R305" s="22">
        <v>295</v>
      </c>
      <c r="S305" s="22">
        <v>1.38428</v>
      </c>
      <c r="T305">
        <f t="shared" si="50"/>
        <v>18.197600000000001</v>
      </c>
      <c r="U305">
        <f t="shared" si="51"/>
        <v>25.212774800000002</v>
      </c>
      <c r="X305" s="9"/>
      <c r="Y305" s="22">
        <v>0.16449</v>
      </c>
      <c r="Z305" s="22">
        <v>105.181</v>
      </c>
      <c r="AA305" s="22">
        <v>-1.9638099999999999E-2</v>
      </c>
      <c r="AB305" s="22">
        <v>295</v>
      </c>
      <c r="AC305" s="22">
        <v>0.16409299999999999</v>
      </c>
      <c r="AD305">
        <f t="shared" si="52"/>
        <v>19.638099999999998</v>
      </c>
      <c r="AE305">
        <f t="shared" si="53"/>
        <v>3.2302710689999996</v>
      </c>
      <c r="AF305" s="9"/>
      <c r="AG305" s="22">
        <v>1.3855</v>
      </c>
      <c r="AH305" s="22">
        <v>139.18700000000001</v>
      </c>
      <c r="AI305" s="22">
        <v>-1.8292200000000002E-2</v>
      </c>
      <c r="AJ305" s="22">
        <v>295</v>
      </c>
      <c r="AK305" s="22">
        <v>1.3845799999999999</v>
      </c>
      <c r="AL305">
        <f t="shared" si="54"/>
        <v>18.292200000000001</v>
      </c>
      <c r="AM305">
        <f t="shared" si="55"/>
        <v>25.343843100000001</v>
      </c>
      <c r="AP305" s="9"/>
      <c r="AQ305" s="22">
        <v>0.16449</v>
      </c>
      <c r="AR305" s="22">
        <v>173.24600000000001</v>
      </c>
      <c r="AS305" s="22">
        <v>-1.96198E-2</v>
      </c>
      <c r="AT305" s="22">
        <v>295</v>
      </c>
      <c r="AU305" s="22">
        <v>0.16384899999999999</v>
      </c>
      <c r="AV305">
        <f t="shared" si="56"/>
        <v>19.619800000000001</v>
      </c>
      <c r="AW305">
        <f t="shared" si="57"/>
        <v>3.2272609020000003</v>
      </c>
      <c r="AX305" s="9"/>
      <c r="AY305" s="22">
        <v>1.3855</v>
      </c>
      <c r="AZ305" s="22">
        <v>207.27199999999999</v>
      </c>
      <c r="BA305" s="22">
        <v>-1.8277000000000002E-2</v>
      </c>
      <c r="BB305" s="22">
        <v>295</v>
      </c>
      <c r="BC305" s="22">
        <v>1.38428</v>
      </c>
      <c r="BD305">
        <f t="shared" si="58"/>
        <v>18.277000000000001</v>
      </c>
      <c r="BE305">
        <f t="shared" si="59"/>
        <v>25.3227835</v>
      </c>
    </row>
    <row r="306" spans="6:57">
      <c r="F306" s="9"/>
      <c r="G306" s="22">
        <v>0.15945400000000001</v>
      </c>
      <c r="H306" s="22">
        <v>37.114899999999999</v>
      </c>
      <c r="I306" s="22">
        <v>-1.9476299999999998E-2</v>
      </c>
      <c r="J306" s="22">
        <v>296</v>
      </c>
      <c r="K306" s="22">
        <v>0.15890499999999999</v>
      </c>
      <c r="L306">
        <f t="shared" si="48"/>
        <v>19.476299999999998</v>
      </c>
      <c r="M306">
        <f t="shared" si="49"/>
        <v>3.1055739401999998</v>
      </c>
      <c r="N306" s="9"/>
      <c r="O306" s="22">
        <v>1.39053</v>
      </c>
      <c r="P306" s="22">
        <v>71.168000000000006</v>
      </c>
      <c r="Q306" s="22">
        <v>-1.8191499999999999E-2</v>
      </c>
      <c r="R306" s="22">
        <v>296</v>
      </c>
      <c r="S306" s="22">
        <v>1.38947</v>
      </c>
      <c r="T306">
        <f t="shared" si="50"/>
        <v>18.191499999999998</v>
      </c>
      <c r="U306">
        <f t="shared" si="51"/>
        <v>25.295826494999996</v>
      </c>
      <c r="X306" s="9"/>
      <c r="Y306" s="22">
        <v>0.15945400000000001</v>
      </c>
      <c r="Z306" s="22">
        <v>105.191</v>
      </c>
      <c r="AA306" s="22">
        <v>-1.9641100000000002E-2</v>
      </c>
      <c r="AB306" s="22">
        <v>296</v>
      </c>
      <c r="AC306" s="22">
        <v>0.158722</v>
      </c>
      <c r="AD306">
        <f t="shared" si="52"/>
        <v>19.641100000000002</v>
      </c>
      <c r="AE306">
        <f t="shared" si="53"/>
        <v>3.1318519594000005</v>
      </c>
      <c r="AF306" s="9"/>
      <c r="AG306" s="22">
        <v>1.39053</v>
      </c>
      <c r="AH306" s="22">
        <v>139.197</v>
      </c>
      <c r="AI306" s="22">
        <v>-1.82831E-2</v>
      </c>
      <c r="AJ306" s="22">
        <v>296</v>
      </c>
      <c r="AK306" s="22">
        <v>1.38916</v>
      </c>
      <c r="AL306">
        <f t="shared" si="54"/>
        <v>18.283100000000001</v>
      </c>
      <c r="AM306">
        <f t="shared" si="55"/>
        <v>25.423199043000004</v>
      </c>
      <c r="AP306" s="9"/>
      <c r="AQ306" s="22">
        <v>0.15945400000000001</v>
      </c>
      <c r="AR306" s="22">
        <v>173.256</v>
      </c>
      <c r="AS306" s="22">
        <v>-1.9625900000000002E-2</v>
      </c>
      <c r="AT306" s="22">
        <v>296</v>
      </c>
      <c r="AU306" s="22">
        <v>0.158966</v>
      </c>
      <c r="AV306">
        <f t="shared" si="56"/>
        <v>19.625900000000001</v>
      </c>
      <c r="AW306">
        <f t="shared" si="57"/>
        <v>3.1294282586000004</v>
      </c>
      <c r="AX306" s="9"/>
      <c r="AY306" s="22">
        <v>1.39053</v>
      </c>
      <c r="AZ306" s="22">
        <v>207.28200000000001</v>
      </c>
      <c r="BA306" s="22">
        <v>-1.82709E-2</v>
      </c>
      <c r="BB306" s="22">
        <v>296</v>
      </c>
      <c r="BC306" s="22">
        <v>1.3897699999999999</v>
      </c>
      <c r="BD306">
        <f t="shared" si="58"/>
        <v>18.270900000000001</v>
      </c>
      <c r="BE306">
        <f t="shared" si="59"/>
        <v>25.406234577000003</v>
      </c>
    </row>
    <row r="307" spans="6:57">
      <c r="F307" s="9"/>
      <c r="G307" s="22">
        <v>0.154419</v>
      </c>
      <c r="H307" s="22">
        <v>37.124899999999997</v>
      </c>
      <c r="I307" s="22">
        <v>-1.9479400000000001E-2</v>
      </c>
      <c r="J307" s="22">
        <v>297</v>
      </c>
      <c r="K307" s="22">
        <v>0.15399199999999999</v>
      </c>
      <c r="L307">
        <f t="shared" si="48"/>
        <v>19.479400000000002</v>
      </c>
      <c r="M307">
        <f t="shared" si="49"/>
        <v>3.0079894686000004</v>
      </c>
      <c r="N307" s="9"/>
      <c r="O307" s="22">
        <v>1.39557</v>
      </c>
      <c r="P307" s="22">
        <v>71.178100000000001</v>
      </c>
      <c r="Q307" s="22">
        <v>-1.8185400000000001E-2</v>
      </c>
      <c r="R307" s="22">
        <v>297</v>
      </c>
      <c r="S307" s="22">
        <v>1.39435</v>
      </c>
      <c r="T307">
        <f t="shared" si="50"/>
        <v>18.185400000000001</v>
      </c>
      <c r="U307">
        <f t="shared" si="51"/>
        <v>25.378998678000002</v>
      </c>
      <c r="X307" s="9"/>
      <c r="Y307" s="22">
        <v>0.154419</v>
      </c>
      <c r="Z307" s="22">
        <v>105.20099999999999</v>
      </c>
      <c r="AA307" s="22">
        <v>-1.96472E-2</v>
      </c>
      <c r="AB307" s="22">
        <v>297</v>
      </c>
      <c r="AC307" s="22">
        <v>0.153809</v>
      </c>
      <c r="AD307">
        <f t="shared" si="52"/>
        <v>19.647200000000002</v>
      </c>
      <c r="AE307">
        <f t="shared" si="53"/>
        <v>3.0339009768</v>
      </c>
      <c r="AF307" s="9"/>
      <c r="AG307" s="22">
        <v>1.39557</v>
      </c>
      <c r="AH307" s="22">
        <v>139.20699999999999</v>
      </c>
      <c r="AI307" s="22">
        <v>-1.8273899999999999E-2</v>
      </c>
      <c r="AJ307" s="22">
        <v>297</v>
      </c>
      <c r="AK307" s="22">
        <v>1.3946499999999999</v>
      </c>
      <c r="AL307">
        <f t="shared" si="54"/>
        <v>18.273899999999998</v>
      </c>
      <c r="AM307">
        <f t="shared" si="55"/>
        <v>25.502506622999995</v>
      </c>
      <c r="AP307" s="9"/>
      <c r="AQ307" s="22">
        <v>0.154419</v>
      </c>
      <c r="AR307" s="22">
        <v>173.26599999999999</v>
      </c>
      <c r="AS307" s="22">
        <v>-1.9632E-2</v>
      </c>
      <c r="AT307" s="22">
        <v>297</v>
      </c>
      <c r="AU307" s="22">
        <v>0.15362500000000001</v>
      </c>
      <c r="AV307">
        <f t="shared" si="56"/>
        <v>19.632000000000001</v>
      </c>
      <c r="AW307">
        <f t="shared" si="57"/>
        <v>3.0315538080000004</v>
      </c>
      <c r="AX307" s="9"/>
      <c r="AY307" s="22">
        <v>1.39557</v>
      </c>
      <c r="AZ307" s="22">
        <v>207.292</v>
      </c>
      <c r="BA307" s="22">
        <v>-1.8264800000000001E-2</v>
      </c>
      <c r="BB307" s="22">
        <v>297</v>
      </c>
      <c r="BC307" s="22">
        <v>1.39496</v>
      </c>
      <c r="BD307">
        <f t="shared" si="58"/>
        <v>18.264800000000001</v>
      </c>
      <c r="BE307">
        <f t="shared" si="59"/>
        <v>25.489806936000001</v>
      </c>
    </row>
    <row r="308" spans="6:57">
      <c r="F308" s="9"/>
      <c r="G308" s="22">
        <v>0.14938399999999999</v>
      </c>
      <c r="H308" s="22">
        <v>37.134999999999998</v>
      </c>
      <c r="I308" s="22">
        <v>-1.9485499999999999E-2</v>
      </c>
      <c r="J308" s="22">
        <v>298</v>
      </c>
      <c r="K308" s="22">
        <v>0.14880399999999999</v>
      </c>
      <c r="L308">
        <f t="shared" si="48"/>
        <v>19.485499999999998</v>
      </c>
      <c r="M308">
        <f t="shared" si="49"/>
        <v>2.9108219319999997</v>
      </c>
      <c r="N308" s="9"/>
      <c r="O308" s="22">
        <v>1.4006000000000001</v>
      </c>
      <c r="P308" s="22">
        <v>71.188199999999995</v>
      </c>
      <c r="Q308" s="22">
        <v>-1.8182400000000001E-2</v>
      </c>
      <c r="R308" s="22">
        <v>298</v>
      </c>
      <c r="S308" s="22">
        <v>1.39984</v>
      </c>
      <c r="T308">
        <f t="shared" si="50"/>
        <v>18.182400000000001</v>
      </c>
      <c r="U308">
        <f t="shared" si="51"/>
        <v>25.466269440000001</v>
      </c>
      <c r="X308" s="9"/>
      <c r="Y308" s="22">
        <v>0.14938399999999999</v>
      </c>
      <c r="Z308" s="22">
        <v>105.211</v>
      </c>
      <c r="AA308" s="22">
        <v>-1.9650299999999999E-2</v>
      </c>
      <c r="AB308" s="22">
        <v>298</v>
      </c>
      <c r="AC308" s="22">
        <v>0.14877299999999999</v>
      </c>
      <c r="AD308">
        <f t="shared" si="52"/>
        <v>19.650299999999998</v>
      </c>
      <c r="AE308">
        <f t="shared" si="53"/>
        <v>2.9354404151999995</v>
      </c>
      <c r="AF308" s="9"/>
      <c r="AG308" s="22">
        <v>1.4006000000000001</v>
      </c>
      <c r="AH308" s="22">
        <v>139.21700000000001</v>
      </c>
      <c r="AI308" s="22">
        <v>-1.8264800000000001E-2</v>
      </c>
      <c r="AJ308" s="22">
        <v>298</v>
      </c>
      <c r="AK308" s="22">
        <v>1.39984</v>
      </c>
      <c r="AL308">
        <f t="shared" si="54"/>
        <v>18.264800000000001</v>
      </c>
      <c r="AM308">
        <f t="shared" si="55"/>
        <v>25.581678880000002</v>
      </c>
      <c r="AP308" s="9"/>
      <c r="AQ308" s="22">
        <v>0.14938399999999999</v>
      </c>
      <c r="AR308" s="22">
        <v>173.27600000000001</v>
      </c>
      <c r="AS308" s="22">
        <v>-1.9638099999999999E-2</v>
      </c>
      <c r="AT308" s="22">
        <v>298</v>
      </c>
      <c r="AU308" s="22">
        <v>0.14871200000000001</v>
      </c>
      <c r="AV308">
        <f t="shared" si="56"/>
        <v>19.638099999999998</v>
      </c>
      <c r="AW308">
        <f t="shared" si="57"/>
        <v>2.9336179303999996</v>
      </c>
      <c r="AX308" s="9"/>
      <c r="AY308" s="22">
        <v>1.4006000000000001</v>
      </c>
      <c r="AZ308" s="22">
        <v>207.30199999999999</v>
      </c>
      <c r="BA308" s="22">
        <v>-1.8258699999999999E-2</v>
      </c>
      <c r="BB308" s="22">
        <v>298</v>
      </c>
      <c r="BC308" s="22">
        <v>1.39984</v>
      </c>
      <c r="BD308">
        <f t="shared" si="58"/>
        <v>18.258699999999997</v>
      </c>
      <c r="BE308">
        <f t="shared" si="59"/>
        <v>25.573135219999998</v>
      </c>
    </row>
    <row r="309" spans="6:57">
      <c r="F309" s="9"/>
      <c r="G309" s="22">
        <v>0.144348</v>
      </c>
      <c r="H309" s="22">
        <v>37.145099999999999</v>
      </c>
      <c r="I309" s="22">
        <v>-1.9491600000000001E-2</v>
      </c>
      <c r="J309" s="22">
        <v>299</v>
      </c>
      <c r="K309" s="22">
        <v>0.14388999999999999</v>
      </c>
      <c r="L309">
        <f t="shared" si="48"/>
        <v>19.491600000000002</v>
      </c>
      <c r="M309">
        <f t="shared" si="49"/>
        <v>2.8135734768000003</v>
      </c>
      <c r="N309" s="9"/>
      <c r="O309" s="22">
        <v>1.40564</v>
      </c>
      <c r="P309" s="22">
        <v>71.1982</v>
      </c>
      <c r="Q309" s="22">
        <v>-1.81732E-2</v>
      </c>
      <c r="R309" s="22">
        <v>299</v>
      </c>
      <c r="S309" s="22">
        <v>1.40533</v>
      </c>
      <c r="T309">
        <f t="shared" si="50"/>
        <v>18.173200000000001</v>
      </c>
      <c r="U309">
        <f t="shared" si="51"/>
        <v>25.544976848000001</v>
      </c>
      <c r="X309" s="9"/>
      <c r="Y309" s="22">
        <v>0.144348</v>
      </c>
      <c r="Z309" s="22">
        <v>105.221</v>
      </c>
      <c r="AA309" s="22">
        <v>-1.9650299999999999E-2</v>
      </c>
      <c r="AB309" s="22">
        <v>299</v>
      </c>
      <c r="AC309" s="22">
        <v>0.143738</v>
      </c>
      <c r="AD309">
        <f t="shared" si="52"/>
        <v>19.650299999999998</v>
      </c>
      <c r="AE309">
        <f t="shared" si="53"/>
        <v>2.8364815043999996</v>
      </c>
      <c r="AF309" s="9"/>
      <c r="AG309" s="22">
        <v>1.40564</v>
      </c>
      <c r="AH309" s="22">
        <v>139.22800000000001</v>
      </c>
      <c r="AI309" s="22">
        <v>-1.82556E-2</v>
      </c>
      <c r="AJ309" s="22">
        <v>299</v>
      </c>
      <c r="AK309" s="22">
        <v>1.40472</v>
      </c>
      <c r="AL309">
        <f t="shared" si="54"/>
        <v>18.255600000000001</v>
      </c>
      <c r="AM309">
        <f t="shared" si="55"/>
        <v>25.660801584000001</v>
      </c>
      <c r="AP309" s="9"/>
      <c r="AQ309" s="22">
        <v>0.144348</v>
      </c>
      <c r="AR309" s="22">
        <v>173.286</v>
      </c>
      <c r="AS309" s="22">
        <v>-1.9641100000000002E-2</v>
      </c>
      <c r="AT309" s="22">
        <v>299</v>
      </c>
      <c r="AU309" s="22">
        <v>0.14382900000000001</v>
      </c>
      <c r="AV309">
        <f t="shared" si="56"/>
        <v>19.641100000000002</v>
      </c>
      <c r="AW309">
        <f t="shared" si="57"/>
        <v>2.8351535028000003</v>
      </c>
      <c r="AX309" s="9"/>
      <c r="AY309" s="22">
        <v>1.40564</v>
      </c>
      <c r="AZ309" s="22">
        <v>207.31200000000001</v>
      </c>
      <c r="BA309" s="22">
        <v>-1.8249499999999998E-2</v>
      </c>
      <c r="BB309" s="22">
        <v>299</v>
      </c>
      <c r="BC309" s="22">
        <v>1.40533</v>
      </c>
      <c r="BD309">
        <f t="shared" si="58"/>
        <v>18.249499999999998</v>
      </c>
      <c r="BE309">
        <f t="shared" si="59"/>
        <v>25.652227179999997</v>
      </c>
    </row>
    <row r="310" spans="6:57">
      <c r="F310" s="9"/>
      <c r="G310" s="22">
        <v>0.13931299999999999</v>
      </c>
      <c r="H310" s="22">
        <v>37.155200000000001</v>
      </c>
      <c r="I310" s="22">
        <v>-1.9494600000000001E-2</v>
      </c>
      <c r="J310" s="22">
        <v>300</v>
      </c>
      <c r="K310" s="22">
        <v>0.13891600000000001</v>
      </c>
      <c r="L310">
        <f t="shared" si="48"/>
        <v>19.494600000000002</v>
      </c>
      <c r="M310">
        <f t="shared" si="49"/>
        <v>2.7158512098000003</v>
      </c>
      <c r="N310" s="9"/>
      <c r="O310" s="22">
        <v>1.4106799999999999</v>
      </c>
      <c r="P310" s="22">
        <v>71.208299999999994</v>
      </c>
      <c r="Q310" s="22">
        <v>-1.8164099999999999E-2</v>
      </c>
      <c r="R310" s="22">
        <v>300</v>
      </c>
      <c r="S310" s="22">
        <v>1.40961</v>
      </c>
      <c r="T310">
        <f t="shared" si="50"/>
        <v>18.164099999999998</v>
      </c>
      <c r="U310">
        <f t="shared" si="51"/>
        <v>25.623732587999996</v>
      </c>
      <c r="X310" s="9"/>
      <c r="Y310" s="22">
        <v>0.13931299999999999</v>
      </c>
      <c r="Z310" s="22">
        <v>105.23099999999999</v>
      </c>
      <c r="AA310" s="22">
        <v>-1.9650299999999999E-2</v>
      </c>
      <c r="AB310" s="22">
        <v>300</v>
      </c>
      <c r="AC310" s="22">
        <v>0.13870199999999999</v>
      </c>
      <c r="AD310">
        <f t="shared" si="52"/>
        <v>19.650299999999998</v>
      </c>
      <c r="AE310">
        <f t="shared" si="53"/>
        <v>2.7375422438999997</v>
      </c>
      <c r="AF310" s="9"/>
      <c r="AG310" s="22">
        <v>1.4106799999999999</v>
      </c>
      <c r="AH310" s="22">
        <v>139.238</v>
      </c>
      <c r="AI310" s="22">
        <v>-1.8246499999999999E-2</v>
      </c>
      <c r="AJ310" s="22">
        <v>300</v>
      </c>
      <c r="AK310" s="22">
        <v>1.41022</v>
      </c>
      <c r="AL310">
        <f t="shared" si="54"/>
        <v>18.246499999999997</v>
      </c>
      <c r="AM310">
        <f t="shared" si="55"/>
        <v>25.739972619999996</v>
      </c>
      <c r="AP310" s="9"/>
      <c r="AQ310" s="22">
        <v>0.13931299999999999</v>
      </c>
      <c r="AR310" s="22">
        <v>173.29599999999999</v>
      </c>
      <c r="AS310" s="22">
        <v>-1.96472E-2</v>
      </c>
      <c r="AT310" s="22">
        <v>300</v>
      </c>
      <c r="AU310" s="22">
        <v>0.138794</v>
      </c>
      <c r="AV310">
        <f t="shared" si="56"/>
        <v>19.647200000000002</v>
      </c>
      <c r="AW310">
        <f t="shared" si="57"/>
        <v>2.7371103736000002</v>
      </c>
      <c r="AX310" s="9"/>
      <c r="AY310" s="22">
        <v>1.4106799999999999</v>
      </c>
      <c r="AZ310" s="22">
        <v>207.322</v>
      </c>
      <c r="BA310" s="22">
        <v>-1.82434E-2</v>
      </c>
      <c r="BB310" s="22">
        <v>300</v>
      </c>
      <c r="BC310" s="22">
        <v>1.40961</v>
      </c>
      <c r="BD310">
        <f t="shared" si="58"/>
        <v>18.243400000000001</v>
      </c>
      <c r="BE310">
        <f t="shared" si="59"/>
        <v>25.735599512</v>
      </c>
    </row>
    <row r="311" spans="6:57">
      <c r="F311" s="9"/>
      <c r="G311" s="22">
        <v>0.13427700000000001</v>
      </c>
      <c r="H311" s="22">
        <v>37.165199999999999</v>
      </c>
      <c r="I311" s="22">
        <v>-1.9503800000000002E-2</v>
      </c>
      <c r="J311" s="22">
        <v>301</v>
      </c>
      <c r="K311" s="22">
        <v>0.13369800000000001</v>
      </c>
      <c r="L311">
        <f t="shared" si="48"/>
        <v>19.503800000000002</v>
      </c>
      <c r="M311">
        <f t="shared" si="49"/>
        <v>2.6189117526000003</v>
      </c>
      <c r="N311" s="9"/>
      <c r="O311" s="22">
        <v>1.41571</v>
      </c>
      <c r="P311" s="22">
        <v>71.218400000000003</v>
      </c>
      <c r="Q311" s="22">
        <v>-1.8158000000000001E-2</v>
      </c>
      <c r="R311" s="22">
        <v>301</v>
      </c>
      <c r="S311" s="22">
        <v>1.41449</v>
      </c>
      <c r="T311">
        <f t="shared" si="50"/>
        <v>18.158000000000001</v>
      </c>
      <c r="U311">
        <f t="shared" si="51"/>
        <v>25.706462180000003</v>
      </c>
      <c r="X311" s="9"/>
      <c r="Y311" s="22">
        <v>0.13427700000000001</v>
      </c>
      <c r="Z311" s="22">
        <v>105.242</v>
      </c>
      <c r="AA311" s="22">
        <v>-1.96594E-2</v>
      </c>
      <c r="AB311" s="22">
        <v>301</v>
      </c>
      <c r="AC311" s="22">
        <v>0.133545</v>
      </c>
      <c r="AD311">
        <f t="shared" si="52"/>
        <v>19.659400000000002</v>
      </c>
      <c r="AE311">
        <f t="shared" si="53"/>
        <v>2.6398052538000005</v>
      </c>
      <c r="AF311" s="9"/>
      <c r="AG311" s="22">
        <v>1.41571</v>
      </c>
      <c r="AH311" s="22">
        <v>139.24799999999999</v>
      </c>
      <c r="AI311" s="22">
        <v>-1.8237300000000001E-2</v>
      </c>
      <c r="AJ311" s="22">
        <v>301</v>
      </c>
      <c r="AK311" s="22">
        <v>1.41479</v>
      </c>
      <c r="AL311">
        <f t="shared" si="54"/>
        <v>18.237300000000001</v>
      </c>
      <c r="AM311">
        <f t="shared" si="55"/>
        <v>25.818727983000002</v>
      </c>
      <c r="AP311" s="9"/>
      <c r="AQ311" s="22">
        <v>0.13427700000000001</v>
      </c>
      <c r="AR311" s="22">
        <v>173.30600000000001</v>
      </c>
      <c r="AS311" s="22">
        <v>-1.9650299999999999E-2</v>
      </c>
      <c r="AT311" s="22">
        <v>301</v>
      </c>
      <c r="AU311" s="22">
        <v>0.133606</v>
      </c>
      <c r="AV311">
        <f t="shared" si="56"/>
        <v>19.650299999999998</v>
      </c>
      <c r="AW311">
        <f t="shared" si="57"/>
        <v>2.6385833330999997</v>
      </c>
      <c r="AX311" s="9"/>
      <c r="AY311" s="22">
        <v>1.41571</v>
      </c>
      <c r="AZ311" s="22">
        <v>207.33199999999999</v>
      </c>
      <c r="BA311" s="22">
        <v>-1.8234299999999998E-2</v>
      </c>
      <c r="BB311" s="22">
        <v>301</v>
      </c>
      <c r="BC311" s="22">
        <v>1.4151</v>
      </c>
      <c r="BD311">
        <f t="shared" si="58"/>
        <v>18.234299999999998</v>
      </c>
      <c r="BE311">
        <f t="shared" si="59"/>
        <v>25.814480852999996</v>
      </c>
    </row>
    <row r="312" spans="6:57">
      <c r="F312" s="9"/>
      <c r="G312" s="22">
        <v>0.129242</v>
      </c>
      <c r="H312" s="22">
        <v>37.1753</v>
      </c>
      <c r="I312" s="22">
        <v>-1.95099E-2</v>
      </c>
      <c r="J312" s="22">
        <v>302</v>
      </c>
      <c r="K312" s="22">
        <v>0.12860099999999999</v>
      </c>
      <c r="L312">
        <f t="shared" si="48"/>
        <v>19.509900000000002</v>
      </c>
      <c r="M312">
        <f t="shared" si="49"/>
        <v>2.5214984958</v>
      </c>
      <c r="N312" s="9"/>
      <c r="O312" s="22">
        <v>1.42075</v>
      </c>
      <c r="P312" s="22">
        <v>71.228399999999993</v>
      </c>
      <c r="Q312" s="22">
        <v>-1.81488E-2</v>
      </c>
      <c r="R312" s="22">
        <v>302</v>
      </c>
      <c r="S312" s="22">
        <v>1.4196800000000001</v>
      </c>
      <c r="T312">
        <f t="shared" si="50"/>
        <v>18.148800000000001</v>
      </c>
      <c r="U312">
        <f t="shared" si="51"/>
        <v>25.7849076</v>
      </c>
      <c r="X312" s="9"/>
      <c r="Y312" s="22">
        <v>0.129242</v>
      </c>
      <c r="Z312" s="22">
        <v>105.252</v>
      </c>
      <c r="AA312" s="22">
        <v>-1.9662499999999999E-2</v>
      </c>
      <c r="AB312" s="22">
        <v>302</v>
      </c>
      <c r="AC312" s="22">
        <v>0.12857099999999999</v>
      </c>
      <c r="AD312">
        <f t="shared" si="52"/>
        <v>19.662499999999998</v>
      </c>
      <c r="AE312">
        <f t="shared" si="53"/>
        <v>2.5412208249999995</v>
      </c>
      <c r="AF312" s="9"/>
      <c r="AG312" s="22">
        <v>1.42075</v>
      </c>
      <c r="AH312" s="22">
        <v>139.25800000000001</v>
      </c>
      <c r="AI312" s="22">
        <v>-1.8228100000000001E-2</v>
      </c>
      <c r="AJ312" s="22">
        <v>302</v>
      </c>
      <c r="AK312" s="22">
        <v>1.42059</v>
      </c>
      <c r="AL312">
        <f t="shared" si="54"/>
        <v>18.228100000000001</v>
      </c>
      <c r="AM312">
        <f t="shared" si="55"/>
        <v>25.897573075</v>
      </c>
      <c r="AP312" s="9"/>
      <c r="AQ312" s="22">
        <v>0.129242</v>
      </c>
      <c r="AR312" s="22">
        <v>173.316</v>
      </c>
      <c r="AS312" s="22">
        <v>-1.9650299999999999E-2</v>
      </c>
      <c r="AT312" s="22">
        <v>302</v>
      </c>
      <c r="AU312" s="22">
        <v>0.12884499999999999</v>
      </c>
      <c r="AV312">
        <f t="shared" si="56"/>
        <v>19.650299999999998</v>
      </c>
      <c r="AW312">
        <f t="shared" si="57"/>
        <v>2.5396440725999998</v>
      </c>
      <c r="AX312" s="9"/>
      <c r="AY312" s="22">
        <v>1.42075</v>
      </c>
      <c r="AZ312" s="22">
        <v>207.34200000000001</v>
      </c>
      <c r="BA312" s="22">
        <v>-1.8228100000000001E-2</v>
      </c>
      <c r="BB312" s="22">
        <v>302</v>
      </c>
      <c r="BC312" s="22">
        <v>1.41937</v>
      </c>
      <c r="BD312">
        <f t="shared" si="58"/>
        <v>18.228100000000001</v>
      </c>
      <c r="BE312">
        <f t="shared" si="59"/>
        <v>25.897573075</v>
      </c>
    </row>
    <row r="313" spans="6:57">
      <c r="F313" s="9"/>
      <c r="G313" s="22">
        <v>0.124207</v>
      </c>
      <c r="H313" s="22">
        <v>37.185400000000001</v>
      </c>
      <c r="I313" s="22">
        <v>-1.95129E-2</v>
      </c>
      <c r="J313" s="22">
        <v>303</v>
      </c>
      <c r="K313" s="22">
        <v>0.123566</v>
      </c>
      <c r="L313">
        <f t="shared" si="48"/>
        <v>19.512899999999998</v>
      </c>
      <c r="M313">
        <f t="shared" si="49"/>
        <v>2.4236387702999997</v>
      </c>
      <c r="N313" s="9"/>
      <c r="O313" s="22">
        <v>1.42578</v>
      </c>
      <c r="P313" s="22">
        <v>71.238500000000002</v>
      </c>
      <c r="Q313" s="22">
        <v>-1.8139599999999999E-2</v>
      </c>
      <c r="R313" s="22">
        <v>303</v>
      </c>
      <c r="S313" s="22">
        <v>1.4254800000000001</v>
      </c>
      <c r="T313">
        <f t="shared" si="50"/>
        <v>18.139599999999998</v>
      </c>
      <c r="U313">
        <f t="shared" si="51"/>
        <v>25.863078887999997</v>
      </c>
      <c r="X313" s="9"/>
      <c r="Y313" s="22">
        <v>0.124207</v>
      </c>
      <c r="Z313" s="22">
        <v>105.262</v>
      </c>
      <c r="AA313" s="22">
        <v>-1.9671600000000001E-2</v>
      </c>
      <c r="AB313" s="22">
        <v>303</v>
      </c>
      <c r="AC313" s="22">
        <v>0.123474</v>
      </c>
      <c r="AD313">
        <f t="shared" si="52"/>
        <v>19.671600000000002</v>
      </c>
      <c r="AE313">
        <f t="shared" si="53"/>
        <v>2.4433504212000003</v>
      </c>
      <c r="AF313" s="9"/>
      <c r="AG313" s="22">
        <v>1.42578</v>
      </c>
      <c r="AH313" s="22">
        <v>139.268</v>
      </c>
      <c r="AI313" s="22">
        <v>-1.8218999999999999E-2</v>
      </c>
      <c r="AJ313" s="22">
        <v>303</v>
      </c>
      <c r="AK313" s="22">
        <v>1.42517</v>
      </c>
      <c r="AL313">
        <f t="shared" si="54"/>
        <v>18.218999999999998</v>
      </c>
      <c r="AM313">
        <f t="shared" si="55"/>
        <v>25.976285819999998</v>
      </c>
      <c r="AP313" s="9"/>
      <c r="AQ313" s="22">
        <v>0.124207</v>
      </c>
      <c r="AR313" s="22">
        <v>173.32599999999999</v>
      </c>
      <c r="AS313" s="22">
        <v>-1.9656400000000001E-2</v>
      </c>
      <c r="AT313" s="22">
        <v>303</v>
      </c>
      <c r="AU313" s="22">
        <v>0.123566</v>
      </c>
      <c r="AV313">
        <f t="shared" si="56"/>
        <v>19.656400000000001</v>
      </c>
      <c r="AW313">
        <f t="shared" si="57"/>
        <v>2.4414624748000002</v>
      </c>
      <c r="AX313" s="9"/>
      <c r="AY313" s="22">
        <v>1.42578</v>
      </c>
      <c r="AZ313" s="22">
        <v>207.35300000000001</v>
      </c>
      <c r="BA313" s="22">
        <v>-1.82159E-2</v>
      </c>
      <c r="BB313" s="22">
        <v>303</v>
      </c>
      <c r="BC313" s="22">
        <v>1.42456</v>
      </c>
      <c r="BD313">
        <f t="shared" si="58"/>
        <v>18.215900000000001</v>
      </c>
      <c r="BE313">
        <f t="shared" si="59"/>
        <v>25.971865902000001</v>
      </c>
    </row>
    <row r="314" spans="6:57">
      <c r="F314" s="9"/>
      <c r="G314" s="22">
        <v>0.119171</v>
      </c>
      <c r="H314" s="22">
        <v>37.195399999999999</v>
      </c>
      <c r="I314" s="22">
        <v>-1.9515999999999999E-2</v>
      </c>
      <c r="J314" s="22">
        <v>304</v>
      </c>
      <c r="K314" s="22">
        <v>0.118591</v>
      </c>
      <c r="L314">
        <f t="shared" si="48"/>
        <v>19.515999999999998</v>
      </c>
      <c r="M314">
        <f t="shared" si="49"/>
        <v>2.3257412359999998</v>
      </c>
      <c r="N314" s="9"/>
      <c r="O314" s="22">
        <v>1.43082</v>
      </c>
      <c r="P314" s="22">
        <v>71.248599999999996</v>
      </c>
      <c r="Q314" s="22">
        <v>-1.8130500000000001E-2</v>
      </c>
      <c r="R314" s="22">
        <v>304</v>
      </c>
      <c r="S314" s="22">
        <v>1.43005</v>
      </c>
      <c r="T314">
        <f t="shared" si="50"/>
        <v>18.130500000000001</v>
      </c>
      <c r="U314">
        <f t="shared" si="51"/>
        <v>25.941482010000001</v>
      </c>
      <c r="X314" s="9"/>
      <c r="Y314" s="22">
        <v>0.119171</v>
      </c>
      <c r="Z314" s="22">
        <v>105.27200000000001</v>
      </c>
      <c r="AA314" s="22">
        <v>-1.9671600000000001E-2</v>
      </c>
      <c r="AB314" s="22">
        <v>304</v>
      </c>
      <c r="AC314" s="22">
        <v>0.11816400000000001</v>
      </c>
      <c r="AD314">
        <f t="shared" si="52"/>
        <v>19.671600000000002</v>
      </c>
      <c r="AE314">
        <f t="shared" si="53"/>
        <v>2.3442842436000002</v>
      </c>
      <c r="AF314" s="9"/>
      <c r="AG314" s="22">
        <v>1.43082</v>
      </c>
      <c r="AH314" s="22">
        <v>139.27799999999999</v>
      </c>
      <c r="AI314" s="22">
        <v>-1.8212900000000001E-2</v>
      </c>
      <c r="AJ314" s="22">
        <v>304</v>
      </c>
      <c r="AK314" s="22">
        <v>1.4303600000000001</v>
      </c>
      <c r="AL314">
        <f t="shared" si="54"/>
        <v>18.212900000000001</v>
      </c>
      <c r="AM314">
        <f t="shared" si="55"/>
        <v>26.059381578</v>
      </c>
      <c r="AP314" s="9"/>
      <c r="AQ314" s="22">
        <v>0.119171</v>
      </c>
      <c r="AR314" s="22">
        <v>173.33600000000001</v>
      </c>
      <c r="AS314" s="22">
        <v>-1.9662499999999999E-2</v>
      </c>
      <c r="AT314" s="22">
        <v>304</v>
      </c>
      <c r="AU314" s="22">
        <v>0.118378</v>
      </c>
      <c r="AV314">
        <f t="shared" si="56"/>
        <v>19.662499999999998</v>
      </c>
      <c r="AW314">
        <f t="shared" si="57"/>
        <v>2.3431997874999997</v>
      </c>
      <c r="AX314" s="9"/>
      <c r="AY314" s="22">
        <v>1.43082</v>
      </c>
      <c r="AZ314" s="22">
        <v>207.363</v>
      </c>
      <c r="BA314" s="22">
        <v>-1.82007E-2</v>
      </c>
      <c r="BB314" s="22">
        <v>304</v>
      </c>
      <c r="BC314" s="22">
        <v>1.43005</v>
      </c>
      <c r="BD314">
        <f t="shared" si="58"/>
        <v>18.200700000000001</v>
      </c>
      <c r="BE314">
        <f t="shared" si="59"/>
        <v>26.041925574</v>
      </c>
    </row>
    <row r="315" spans="6:57">
      <c r="F315" s="9"/>
      <c r="G315" s="22">
        <v>0.114136</v>
      </c>
      <c r="H315" s="22">
        <v>37.205500000000001</v>
      </c>
      <c r="I315" s="22">
        <v>-1.9519000000000002E-2</v>
      </c>
      <c r="J315" s="22">
        <v>305</v>
      </c>
      <c r="K315" s="22">
        <v>0.113617</v>
      </c>
      <c r="L315">
        <f t="shared" si="48"/>
        <v>19.519000000000002</v>
      </c>
      <c r="M315">
        <f t="shared" si="49"/>
        <v>2.2278205840000003</v>
      </c>
      <c r="N315" s="9"/>
      <c r="O315" s="22">
        <v>1.4358500000000001</v>
      </c>
      <c r="P315" s="22">
        <v>71.258700000000005</v>
      </c>
      <c r="Q315" s="22">
        <v>-1.81183E-2</v>
      </c>
      <c r="R315" s="22">
        <v>305</v>
      </c>
      <c r="S315" s="22">
        <v>1.4352400000000001</v>
      </c>
      <c r="T315">
        <f t="shared" si="50"/>
        <v>18.118300000000001</v>
      </c>
      <c r="U315">
        <f t="shared" si="51"/>
        <v>26.015161055000004</v>
      </c>
      <c r="X315" s="9"/>
      <c r="Y315" s="22">
        <v>0.114136</v>
      </c>
      <c r="Z315" s="22">
        <v>105.282</v>
      </c>
      <c r="AA315" s="22">
        <v>-1.9677699999999999E-2</v>
      </c>
      <c r="AB315" s="22">
        <v>305</v>
      </c>
      <c r="AC315" s="22">
        <v>0.113495</v>
      </c>
      <c r="AD315">
        <f t="shared" si="52"/>
        <v>19.677699999999998</v>
      </c>
      <c r="AE315">
        <f t="shared" si="53"/>
        <v>2.2459339671999996</v>
      </c>
      <c r="AF315" s="9"/>
      <c r="AG315" s="22">
        <v>1.4358500000000001</v>
      </c>
      <c r="AH315" s="22">
        <v>139.28800000000001</v>
      </c>
      <c r="AI315" s="22">
        <v>-1.82037E-2</v>
      </c>
      <c r="AJ315" s="22">
        <v>305</v>
      </c>
      <c r="AK315" s="22">
        <v>1.4349400000000001</v>
      </c>
      <c r="AL315">
        <f t="shared" si="54"/>
        <v>18.203700000000001</v>
      </c>
      <c r="AM315">
        <f t="shared" si="55"/>
        <v>26.137782645000001</v>
      </c>
      <c r="AP315" s="9"/>
      <c r="AQ315" s="22">
        <v>0.114136</v>
      </c>
      <c r="AR315" s="22">
        <v>173.34700000000001</v>
      </c>
      <c r="AS315" s="22">
        <v>-1.9665499999999999E-2</v>
      </c>
      <c r="AT315" s="22">
        <v>305</v>
      </c>
      <c r="AU315" s="22">
        <v>0.113373</v>
      </c>
      <c r="AV315">
        <f t="shared" si="56"/>
        <v>19.665499999999998</v>
      </c>
      <c r="AW315">
        <f t="shared" si="57"/>
        <v>2.2445415079999997</v>
      </c>
      <c r="AX315" s="9"/>
      <c r="AY315" s="22">
        <v>1.4358500000000001</v>
      </c>
      <c r="AZ315" s="22">
        <v>207.37299999999999</v>
      </c>
      <c r="BA315" s="22">
        <v>-1.81885E-2</v>
      </c>
      <c r="BB315" s="22">
        <v>305</v>
      </c>
      <c r="BC315" s="22">
        <v>1.4349400000000001</v>
      </c>
      <c r="BD315">
        <f t="shared" si="58"/>
        <v>18.188500000000001</v>
      </c>
      <c r="BE315">
        <f t="shared" si="59"/>
        <v>26.115957725000005</v>
      </c>
    </row>
    <row r="316" spans="6:57">
      <c r="F316" s="9"/>
      <c r="G316" s="22">
        <v>0.1091</v>
      </c>
      <c r="H316" s="22">
        <v>37.215600000000002</v>
      </c>
      <c r="I316" s="22">
        <v>-1.9522100000000001E-2</v>
      </c>
      <c r="J316" s="22">
        <v>306</v>
      </c>
      <c r="K316" s="22">
        <v>0.10852100000000001</v>
      </c>
      <c r="L316">
        <f t="shared" si="48"/>
        <v>19.522100000000002</v>
      </c>
      <c r="M316">
        <f t="shared" si="49"/>
        <v>2.1298611100000002</v>
      </c>
      <c r="N316" s="9"/>
      <c r="O316" s="22">
        <v>1.44089</v>
      </c>
      <c r="P316" s="22">
        <v>71.268699999999995</v>
      </c>
      <c r="Q316" s="22">
        <v>-1.81091E-2</v>
      </c>
      <c r="R316" s="22">
        <v>306</v>
      </c>
      <c r="S316" s="22">
        <v>1.4398200000000001</v>
      </c>
      <c r="T316">
        <f t="shared" si="50"/>
        <v>18.109099999999998</v>
      </c>
      <c r="U316">
        <f t="shared" si="51"/>
        <v>26.093221098999997</v>
      </c>
      <c r="X316" s="9"/>
      <c r="Y316" s="22">
        <v>0.1091</v>
      </c>
      <c r="Z316" s="22">
        <v>105.292</v>
      </c>
      <c r="AA316" s="22">
        <v>-1.9680799999999998E-2</v>
      </c>
      <c r="AB316" s="22">
        <v>306</v>
      </c>
      <c r="AC316" s="22">
        <v>0.108643</v>
      </c>
      <c r="AD316">
        <f t="shared" si="52"/>
        <v>19.680799999999998</v>
      </c>
      <c r="AE316">
        <f t="shared" si="53"/>
        <v>2.1471752799999999</v>
      </c>
      <c r="AF316" s="9"/>
      <c r="AG316" s="22">
        <v>1.44089</v>
      </c>
      <c r="AH316" s="22">
        <v>139.298</v>
      </c>
      <c r="AI316" s="22">
        <v>-1.8185400000000001E-2</v>
      </c>
      <c r="AJ316" s="22">
        <v>306</v>
      </c>
      <c r="AK316" s="22">
        <v>1.4398200000000001</v>
      </c>
      <c r="AL316">
        <f t="shared" si="54"/>
        <v>18.185400000000001</v>
      </c>
      <c r="AM316">
        <f t="shared" si="55"/>
        <v>26.203161006000002</v>
      </c>
      <c r="AP316" s="9"/>
      <c r="AQ316" s="22">
        <v>0.1091</v>
      </c>
      <c r="AR316" s="22">
        <v>173.357</v>
      </c>
      <c r="AS316" s="22">
        <v>-1.9671600000000001E-2</v>
      </c>
      <c r="AT316" s="22">
        <v>306</v>
      </c>
      <c r="AU316" s="22">
        <v>0.10821500000000001</v>
      </c>
      <c r="AV316">
        <f t="shared" si="56"/>
        <v>19.671600000000002</v>
      </c>
      <c r="AW316">
        <f t="shared" si="57"/>
        <v>2.1461715600000004</v>
      </c>
      <c r="AX316" s="9"/>
      <c r="AY316" s="22">
        <v>1.44089</v>
      </c>
      <c r="AZ316" s="22">
        <v>207.38300000000001</v>
      </c>
      <c r="BA316" s="22">
        <v>-1.81732E-2</v>
      </c>
      <c r="BB316" s="22">
        <v>306</v>
      </c>
      <c r="BC316" s="22">
        <v>1.4401200000000001</v>
      </c>
      <c r="BD316">
        <f t="shared" si="58"/>
        <v>18.173200000000001</v>
      </c>
      <c r="BE316">
        <f t="shared" si="59"/>
        <v>26.185582148000002</v>
      </c>
    </row>
    <row r="317" spans="6:57">
      <c r="F317" s="9"/>
      <c r="G317" s="22">
        <v>0.104065</v>
      </c>
      <c r="H317" s="22">
        <v>37.225700000000003</v>
      </c>
      <c r="I317" s="22">
        <v>-1.9522100000000001E-2</v>
      </c>
      <c r="J317" s="22">
        <v>307</v>
      </c>
      <c r="K317" s="22">
        <v>0.103363</v>
      </c>
      <c r="L317">
        <f t="shared" si="48"/>
        <v>19.522100000000002</v>
      </c>
      <c r="M317">
        <f t="shared" si="49"/>
        <v>2.0315673365000002</v>
      </c>
      <c r="N317" s="9"/>
      <c r="O317" s="22">
        <v>1.4459200000000001</v>
      </c>
      <c r="P317" s="22">
        <v>71.278800000000004</v>
      </c>
      <c r="Q317" s="22">
        <v>-1.80939E-2</v>
      </c>
      <c r="R317" s="22">
        <v>307</v>
      </c>
      <c r="S317" s="22">
        <v>1.4447000000000001</v>
      </c>
      <c r="T317">
        <f t="shared" si="50"/>
        <v>18.093899999999998</v>
      </c>
      <c r="U317">
        <f t="shared" si="51"/>
        <v>26.162331887999997</v>
      </c>
      <c r="X317" s="9"/>
      <c r="Y317" s="22">
        <v>0.104065</v>
      </c>
      <c r="Z317" s="22">
        <v>105.30200000000001</v>
      </c>
      <c r="AA317" s="22">
        <v>-1.96869E-2</v>
      </c>
      <c r="AB317" s="22">
        <v>307</v>
      </c>
      <c r="AC317" s="22">
        <v>0.103516</v>
      </c>
      <c r="AD317">
        <f t="shared" si="52"/>
        <v>19.686900000000001</v>
      </c>
      <c r="AE317">
        <f t="shared" si="53"/>
        <v>2.0487172485</v>
      </c>
      <c r="AF317" s="9"/>
      <c r="AG317" s="22">
        <v>1.4459200000000001</v>
      </c>
      <c r="AH317" s="22">
        <v>139.30799999999999</v>
      </c>
      <c r="AI317" s="22">
        <v>-1.8170200000000001E-2</v>
      </c>
      <c r="AJ317" s="22">
        <v>307</v>
      </c>
      <c r="AK317" s="22">
        <v>1.4450099999999999</v>
      </c>
      <c r="AL317">
        <f t="shared" si="54"/>
        <v>18.170200000000001</v>
      </c>
      <c r="AM317">
        <f t="shared" si="55"/>
        <v>26.272655584000002</v>
      </c>
      <c r="AP317" s="9"/>
      <c r="AQ317" s="22">
        <v>0.104065</v>
      </c>
      <c r="AR317" s="22">
        <v>173.36699999999999</v>
      </c>
      <c r="AS317" s="22">
        <v>-1.9677699999999999E-2</v>
      </c>
      <c r="AT317" s="22">
        <v>307</v>
      </c>
      <c r="AU317" s="22">
        <v>0.103149</v>
      </c>
      <c r="AV317">
        <f t="shared" si="56"/>
        <v>19.677699999999998</v>
      </c>
      <c r="AW317">
        <f t="shared" si="57"/>
        <v>2.0477598504999999</v>
      </c>
      <c r="AX317" s="9"/>
      <c r="AY317" s="22">
        <v>1.4459200000000001</v>
      </c>
      <c r="AZ317" s="22">
        <v>207.393</v>
      </c>
      <c r="BA317" s="22">
        <v>-1.8158000000000001E-2</v>
      </c>
      <c r="BB317" s="22">
        <v>307</v>
      </c>
      <c r="BC317" s="22">
        <v>1.4447000000000001</v>
      </c>
      <c r="BD317">
        <f t="shared" si="58"/>
        <v>18.158000000000001</v>
      </c>
      <c r="BE317">
        <f t="shared" si="59"/>
        <v>26.255015360000005</v>
      </c>
    </row>
    <row r="318" spans="6:57">
      <c r="F318" s="9"/>
      <c r="G318" s="22">
        <v>9.9029500000000006E-2</v>
      </c>
      <c r="H318" s="22">
        <v>37.235700000000001</v>
      </c>
      <c r="I318" s="22">
        <v>-1.9528199999999999E-2</v>
      </c>
      <c r="J318" s="22">
        <v>308</v>
      </c>
      <c r="K318" s="22">
        <v>9.8297099999999998E-2</v>
      </c>
      <c r="L318">
        <f t="shared" si="48"/>
        <v>19.528199999999998</v>
      </c>
      <c r="M318">
        <f t="shared" si="49"/>
        <v>1.9338678818999999</v>
      </c>
      <c r="N318" s="9"/>
      <c r="O318" s="22">
        <v>1.45096</v>
      </c>
      <c r="P318" s="22">
        <v>71.288899999999998</v>
      </c>
      <c r="Q318" s="22">
        <v>-1.8075600000000001E-2</v>
      </c>
      <c r="R318" s="22">
        <v>308</v>
      </c>
      <c r="S318" s="22">
        <v>1.4501999999999999</v>
      </c>
      <c r="T318">
        <f t="shared" si="50"/>
        <v>18.075600000000001</v>
      </c>
      <c r="U318">
        <f t="shared" si="51"/>
        <v>26.226972576000001</v>
      </c>
      <c r="X318" s="9"/>
      <c r="Y318" s="22">
        <v>9.9029500000000006E-2</v>
      </c>
      <c r="Z318" s="22">
        <v>105.312</v>
      </c>
      <c r="AA318" s="22">
        <v>-1.96899E-2</v>
      </c>
      <c r="AB318" s="22">
        <v>308</v>
      </c>
      <c r="AC318" s="22">
        <v>9.8297099999999998E-2</v>
      </c>
      <c r="AD318">
        <f t="shared" si="52"/>
        <v>19.689900000000002</v>
      </c>
      <c r="AE318">
        <f t="shared" si="53"/>
        <v>1.9498809520500002</v>
      </c>
      <c r="AF318" s="9"/>
      <c r="AG318" s="22">
        <v>1.45096</v>
      </c>
      <c r="AH318" s="22">
        <v>139.31800000000001</v>
      </c>
      <c r="AI318" s="22">
        <v>-1.8151899999999999E-2</v>
      </c>
      <c r="AJ318" s="22">
        <v>308</v>
      </c>
      <c r="AK318" s="22">
        <v>1.4501999999999999</v>
      </c>
      <c r="AL318">
        <f t="shared" si="54"/>
        <v>18.151899999999998</v>
      </c>
      <c r="AM318">
        <f t="shared" si="55"/>
        <v>26.337680823999996</v>
      </c>
      <c r="AP318" s="9"/>
      <c r="AQ318" s="22">
        <v>9.9029500000000006E-2</v>
      </c>
      <c r="AR318" s="22">
        <v>173.37700000000001</v>
      </c>
      <c r="AS318" s="22">
        <v>-1.9680799999999998E-2</v>
      </c>
      <c r="AT318" s="22">
        <v>308</v>
      </c>
      <c r="AU318" s="22">
        <v>9.8449700000000001E-2</v>
      </c>
      <c r="AV318">
        <f t="shared" si="56"/>
        <v>19.680799999999998</v>
      </c>
      <c r="AW318">
        <f t="shared" si="57"/>
        <v>1.9489797836</v>
      </c>
      <c r="AX318" s="9"/>
      <c r="AY318" s="22">
        <v>1.45096</v>
      </c>
      <c r="AZ318" s="22">
        <v>207.40299999999999</v>
      </c>
      <c r="BA318" s="22">
        <v>-1.8139599999999999E-2</v>
      </c>
      <c r="BB318" s="22">
        <v>308</v>
      </c>
      <c r="BC318" s="22">
        <v>1.4501999999999999</v>
      </c>
      <c r="BD318">
        <f t="shared" si="58"/>
        <v>18.139599999999998</v>
      </c>
      <c r="BE318">
        <f t="shared" si="59"/>
        <v>26.319834015999998</v>
      </c>
    </row>
    <row r="319" spans="6:57">
      <c r="F319" s="9"/>
      <c r="G319" s="22">
        <v>9.3994099999999997E-2</v>
      </c>
      <c r="H319" s="22">
        <v>37.245800000000003</v>
      </c>
      <c r="I319" s="22">
        <v>-1.9531300000000001E-2</v>
      </c>
      <c r="J319" s="22">
        <v>309</v>
      </c>
      <c r="K319" s="22">
        <v>9.3170199999999995E-2</v>
      </c>
      <c r="L319">
        <f t="shared" si="48"/>
        <v>19.531300000000002</v>
      </c>
      <c r="M319">
        <f t="shared" si="49"/>
        <v>1.8358269653300001</v>
      </c>
      <c r="N319" s="9"/>
      <c r="O319" s="22">
        <v>1.4559899999999999</v>
      </c>
      <c r="P319" s="22">
        <v>71.298900000000003</v>
      </c>
      <c r="Q319" s="22">
        <v>-1.8060300000000001E-2</v>
      </c>
      <c r="R319" s="22">
        <v>309</v>
      </c>
      <c r="S319" s="22">
        <v>1.4553799999999999</v>
      </c>
      <c r="T319">
        <f t="shared" si="50"/>
        <v>18.060300000000002</v>
      </c>
      <c r="U319">
        <f t="shared" si="51"/>
        <v>26.295616197000001</v>
      </c>
      <c r="X319" s="9"/>
      <c r="Y319" s="22">
        <v>9.3994099999999997E-2</v>
      </c>
      <c r="Z319" s="22">
        <v>105.322</v>
      </c>
      <c r="AA319" s="22">
        <v>-1.9696000000000002E-2</v>
      </c>
      <c r="AB319" s="22">
        <v>309</v>
      </c>
      <c r="AC319" s="22">
        <v>9.36279E-2</v>
      </c>
      <c r="AD319">
        <f t="shared" si="52"/>
        <v>19.696000000000002</v>
      </c>
      <c r="AE319">
        <f t="shared" si="53"/>
        <v>1.8513077936</v>
      </c>
      <c r="AF319" s="9"/>
      <c r="AG319" s="22">
        <v>1.4559899999999999</v>
      </c>
      <c r="AH319" s="22">
        <v>139.328</v>
      </c>
      <c r="AI319" s="22">
        <v>-1.8136599999999999E-2</v>
      </c>
      <c r="AJ319" s="22">
        <v>309</v>
      </c>
      <c r="AK319" s="22">
        <v>1.4553799999999999</v>
      </c>
      <c r="AL319">
        <f t="shared" si="54"/>
        <v>18.136599999999998</v>
      </c>
      <c r="AM319">
        <f t="shared" si="55"/>
        <v>26.406708233999996</v>
      </c>
      <c r="AP319" s="9"/>
      <c r="AQ319" s="22">
        <v>9.3994099999999997E-2</v>
      </c>
      <c r="AR319" s="22">
        <v>173.387</v>
      </c>
      <c r="AS319" s="22">
        <v>-1.96869E-2</v>
      </c>
      <c r="AT319" s="22">
        <v>309</v>
      </c>
      <c r="AU319" s="22">
        <v>9.3475299999999997E-2</v>
      </c>
      <c r="AV319">
        <f t="shared" si="56"/>
        <v>19.686900000000001</v>
      </c>
      <c r="AW319">
        <f t="shared" si="57"/>
        <v>1.8504524472900001</v>
      </c>
      <c r="AX319" s="9"/>
      <c r="AY319" s="22">
        <v>1.4559899999999999</v>
      </c>
      <c r="AZ319" s="22">
        <v>207.41300000000001</v>
      </c>
      <c r="BA319" s="22">
        <v>-1.81213E-2</v>
      </c>
      <c r="BB319" s="22">
        <v>309</v>
      </c>
      <c r="BC319" s="22">
        <v>1.4553799999999999</v>
      </c>
      <c r="BD319">
        <f t="shared" si="58"/>
        <v>18.121300000000002</v>
      </c>
      <c r="BE319">
        <f t="shared" si="59"/>
        <v>26.384431587000002</v>
      </c>
    </row>
    <row r="320" spans="6:57">
      <c r="F320" s="9"/>
      <c r="G320" s="22">
        <v>8.8958700000000002E-2</v>
      </c>
      <c r="H320" s="22">
        <v>37.255899999999997</v>
      </c>
      <c r="I320" s="22">
        <v>-1.95374E-2</v>
      </c>
      <c r="J320" s="22">
        <v>310</v>
      </c>
      <c r="K320" s="22">
        <v>8.8287400000000002E-2</v>
      </c>
      <c r="L320">
        <f t="shared" si="48"/>
        <v>19.537400000000002</v>
      </c>
      <c r="M320">
        <f t="shared" si="49"/>
        <v>1.7380217053800002</v>
      </c>
      <c r="N320" s="9"/>
      <c r="O320" s="22">
        <v>1.4610300000000001</v>
      </c>
      <c r="P320" s="22">
        <v>71.308999999999997</v>
      </c>
      <c r="Q320" s="22">
        <v>-1.8041999999999999E-2</v>
      </c>
      <c r="R320" s="22">
        <v>310</v>
      </c>
      <c r="S320" s="22">
        <v>1.46027</v>
      </c>
      <c r="T320">
        <f t="shared" si="50"/>
        <v>18.041999999999998</v>
      </c>
      <c r="U320">
        <f t="shared" si="51"/>
        <v>26.359903259999999</v>
      </c>
      <c r="X320" s="9"/>
      <c r="Y320" s="22">
        <v>8.8958700000000002E-2</v>
      </c>
      <c r="Z320" s="22">
        <v>105.33199999999999</v>
      </c>
      <c r="AA320" s="22">
        <v>-1.97021E-2</v>
      </c>
      <c r="AB320" s="22">
        <v>310</v>
      </c>
      <c r="AC320" s="22">
        <v>8.8562000000000002E-2</v>
      </c>
      <c r="AD320">
        <f t="shared" si="52"/>
        <v>19.702100000000002</v>
      </c>
      <c r="AE320">
        <f t="shared" si="53"/>
        <v>1.7526732032700001</v>
      </c>
      <c r="AF320" s="9"/>
      <c r="AG320" s="22">
        <v>1.4610300000000001</v>
      </c>
      <c r="AH320" s="22">
        <v>139.33799999999999</v>
      </c>
      <c r="AI320" s="22">
        <v>-1.81213E-2</v>
      </c>
      <c r="AJ320" s="22">
        <v>310</v>
      </c>
      <c r="AK320" s="22">
        <v>1.46027</v>
      </c>
      <c r="AL320">
        <f t="shared" si="54"/>
        <v>18.121300000000002</v>
      </c>
      <c r="AM320">
        <f t="shared" si="55"/>
        <v>26.475762939000003</v>
      </c>
      <c r="AP320" s="9"/>
      <c r="AQ320" s="22">
        <v>8.8958700000000002E-2</v>
      </c>
      <c r="AR320" s="22">
        <v>173.39699999999999</v>
      </c>
      <c r="AS320" s="22">
        <v>-1.96899E-2</v>
      </c>
      <c r="AT320" s="22">
        <v>310</v>
      </c>
      <c r="AU320" s="22">
        <v>8.8348399999999994E-2</v>
      </c>
      <c r="AV320">
        <f t="shared" si="56"/>
        <v>19.689900000000002</v>
      </c>
      <c r="AW320">
        <f t="shared" si="57"/>
        <v>1.7515879071300002</v>
      </c>
      <c r="AX320" s="9"/>
      <c r="AY320" s="22">
        <v>1.4610300000000001</v>
      </c>
      <c r="AZ320" s="22">
        <v>207.423</v>
      </c>
      <c r="BA320" s="22">
        <v>-1.8096899999999999E-2</v>
      </c>
      <c r="BB320" s="22">
        <v>310</v>
      </c>
      <c r="BC320" s="22">
        <v>1.46027</v>
      </c>
      <c r="BD320">
        <f t="shared" si="58"/>
        <v>18.096899999999998</v>
      </c>
      <c r="BE320">
        <f t="shared" si="59"/>
        <v>26.440113806999999</v>
      </c>
    </row>
    <row r="321" spans="6:57">
      <c r="F321" s="9"/>
      <c r="G321" s="22">
        <v>8.3923300000000006E-2</v>
      </c>
      <c r="H321" s="22">
        <v>37.265900000000002</v>
      </c>
      <c r="I321" s="22">
        <v>-1.9543499999999998E-2</v>
      </c>
      <c r="J321" s="22">
        <v>311</v>
      </c>
      <c r="K321" s="22">
        <v>8.3526600000000006E-2</v>
      </c>
      <c r="L321">
        <f t="shared" si="48"/>
        <v>19.543499999999998</v>
      </c>
      <c r="M321">
        <f t="shared" si="49"/>
        <v>1.64015501355</v>
      </c>
      <c r="N321" s="9"/>
      <c r="O321" s="22">
        <v>1.4660599999999999</v>
      </c>
      <c r="P321" s="22">
        <v>71.319100000000006</v>
      </c>
      <c r="Q321" s="22">
        <v>-1.8020600000000001E-2</v>
      </c>
      <c r="R321" s="22">
        <v>311</v>
      </c>
      <c r="S321" s="22">
        <v>1.4654499999999999</v>
      </c>
      <c r="T321">
        <f t="shared" si="50"/>
        <v>18.020600000000002</v>
      </c>
      <c r="U321">
        <f t="shared" si="51"/>
        <v>26.419280836000002</v>
      </c>
      <c r="X321" s="9"/>
      <c r="Y321" s="22">
        <v>8.3923300000000006E-2</v>
      </c>
      <c r="Z321" s="22">
        <v>105.342</v>
      </c>
      <c r="AA321" s="22">
        <v>-1.9708300000000002E-2</v>
      </c>
      <c r="AB321" s="22">
        <v>311</v>
      </c>
      <c r="AC321" s="22">
        <v>8.3374000000000004E-2</v>
      </c>
      <c r="AD321">
        <f t="shared" si="52"/>
        <v>19.708300000000001</v>
      </c>
      <c r="AE321">
        <f t="shared" si="53"/>
        <v>1.6539855733900002</v>
      </c>
      <c r="AF321" s="9"/>
      <c r="AG321" s="22">
        <v>1.4660599999999999</v>
      </c>
      <c r="AH321" s="22">
        <v>139.34800000000001</v>
      </c>
      <c r="AI321" s="22">
        <v>-1.8096899999999999E-2</v>
      </c>
      <c r="AJ321" s="22">
        <v>311</v>
      </c>
      <c r="AK321" s="22">
        <v>1.46515</v>
      </c>
      <c r="AL321">
        <f t="shared" si="54"/>
        <v>18.096899999999998</v>
      </c>
      <c r="AM321">
        <f t="shared" si="55"/>
        <v>26.531141213999994</v>
      </c>
      <c r="AP321" s="9"/>
      <c r="AQ321" s="22">
        <v>8.3923300000000006E-2</v>
      </c>
      <c r="AR321" s="22">
        <v>173.40700000000001</v>
      </c>
      <c r="AS321" s="22">
        <v>-1.9692999999999999E-2</v>
      </c>
      <c r="AT321" s="22">
        <v>311</v>
      </c>
      <c r="AU321" s="22">
        <v>8.3099400000000004E-2</v>
      </c>
      <c r="AV321">
        <f t="shared" si="56"/>
        <v>19.692999999999998</v>
      </c>
      <c r="AW321">
        <f t="shared" si="57"/>
        <v>1.6527015468999999</v>
      </c>
      <c r="AX321" s="9"/>
      <c r="AY321" s="22">
        <v>1.4660599999999999</v>
      </c>
      <c r="AZ321" s="22">
        <v>207.43299999999999</v>
      </c>
      <c r="BA321" s="22">
        <v>-1.80664E-2</v>
      </c>
      <c r="BB321" s="22">
        <v>311</v>
      </c>
      <c r="BC321" s="22">
        <v>1.46515</v>
      </c>
      <c r="BD321">
        <f t="shared" si="58"/>
        <v>18.066400000000002</v>
      </c>
      <c r="BE321">
        <f t="shared" si="59"/>
        <v>26.486426384000001</v>
      </c>
    </row>
    <row r="322" spans="6:57">
      <c r="F322" s="9"/>
      <c r="G322" s="22">
        <v>7.8887899999999997E-2</v>
      </c>
      <c r="H322" s="22">
        <v>37.276000000000003</v>
      </c>
      <c r="I322" s="22">
        <v>-1.95496E-2</v>
      </c>
      <c r="J322" s="22">
        <v>312</v>
      </c>
      <c r="K322" s="22">
        <v>7.8460699999999994E-2</v>
      </c>
      <c r="L322">
        <f t="shared" si="48"/>
        <v>19.549600000000002</v>
      </c>
      <c r="M322">
        <f t="shared" si="49"/>
        <v>1.54222688984</v>
      </c>
      <c r="N322" s="9"/>
      <c r="O322" s="22">
        <v>1.4711000000000001</v>
      </c>
      <c r="P322" s="22">
        <v>71.3292</v>
      </c>
      <c r="Q322" s="22">
        <v>-1.79962E-2</v>
      </c>
      <c r="R322" s="22">
        <v>312</v>
      </c>
      <c r="S322" s="22">
        <v>1.47034</v>
      </c>
      <c r="T322">
        <f t="shared" si="50"/>
        <v>17.996200000000002</v>
      </c>
      <c r="U322">
        <f t="shared" si="51"/>
        <v>26.474209820000002</v>
      </c>
      <c r="X322" s="9"/>
      <c r="Y322" s="22">
        <v>7.8887899999999997E-2</v>
      </c>
      <c r="Z322" s="22">
        <v>105.352</v>
      </c>
      <c r="AA322" s="22">
        <v>-1.9711300000000001E-2</v>
      </c>
      <c r="AB322" s="22">
        <v>312</v>
      </c>
      <c r="AC322" s="22">
        <v>7.8216599999999997E-2</v>
      </c>
      <c r="AD322">
        <f t="shared" si="52"/>
        <v>19.711300000000001</v>
      </c>
      <c r="AE322">
        <f t="shared" si="53"/>
        <v>1.5549830632700001</v>
      </c>
      <c r="AF322" s="9"/>
      <c r="AG322" s="22">
        <v>1.4711000000000001</v>
      </c>
      <c r="AH322" s="22">
        <v>139.358</v>
      </c>
      <c r="AI322" s="22">
        <v>-1.8072499999999998E-2</v>
      </c>
      <c r="AJ322" s="22">
        <v>312</v>
      </c>
      <c r="AK322" s="22">
        <v>1.4706399999999999</v>
      </c>
      <c r="AL322">
        <f t="shared" si="54"/>
        <v>18.072499999999998</v>
      </c>
      <c r="AM322">
        <f t="shared" si="55"/>
        <v>26.586454749999998</v>
      </c>
      <c r="AP322" s="9"/>
      <c r="AQ322" s="22">
        <v>7.8887899999999997E-2</v>
      </c>
      <c r="AR322" s="22">
        <v>173.417</v>
      </c>
      <c r="AS322" s="22">
        <v>-1.9699100000000001E-2</v>
      </c>
      <c r="AT322" s="22">
        <v>312</v>
      </c>
      <c r="AU322" s="22">
        <v>7.82471E-2</v>
      </c>
      <c r="AV322">
        <f t="shared" si="56"/>
        <v>19.699100000000001</v>
      </c>
      <c r="AW322">
        <f t="shared" si="57"/>
        <v>1.55402063089</v>
      </c>
      <c r="AX322" s="9"/>
      <c r="AY322" s="22">
        <v>1.4711000000000001</v>
      </c>
      <c r="AZ322" s="22">
        <v>207.44300000000001</v>
      </c>
      <c r="BA322" s="22">
        <v>-1.8041999999999999E-2</v>
      </c>
      <c r="BB322" s="22">
        <v>312</v>
      </c>
      <c r="BC322" s="22">
        <v>1.4700299999999999</v>
      </c>
      <c r="BD322">
        <f t="shared" si="58"/>
        <v>18.041999999999998</v>
      </c>
      <c r="BE322">
        <f t="shared" si="59"/>
        <v>26.541586199999998</v>
      </c>
    </row>
    <row r="323" spans="6:57">
      <c r="F323" s="9"/>
      <c r="G323" s="22">
        <v>7.3852500000000001E-2</v>
      </c>
      <c r="H323" s="22">
        <v>37.286099999999998</v>
      </c>
      <c r="I323" s="22">
        <v>-1.95526E-2</v>
      </c>
      <c r="J323" s="22">
        <v>313</v>
      </c>
      <c r="K323" s="22">
        <v>7.3333700000000002E-2</v>
      </c>
      <c r="L323">
        <f t="shared" si="48"/>
        <v>19.552599999999998</v>
      </c>
      <c r="M323">
        <f t="shared" si="49"/>
        <v>1.4440083914999999</v>
      </c>
      <c r="N323" s="9"/>
      <c r="O323" s="22">
        <v>1.47614</v>
      </c>
      <c r="P323" s="22">
        <v>71.339200000000005</v>
      </c>
      <c r="Q323" s="22">
        <v>-1.79688E-2</v>
      </c>
      <c r="R323" s="22">
        <v>313</v>
      </c>
      <c r="S323" s="22">
        <v>1.47583</v>
      </c>
      <c r="T323">
        <f t="shared" si="50"/>
        <v>17.968800000000002</v>
      </c>
      <c r="U323">
        <f t="shared" si="51"/>
        <v>26.524464432000002</v>
      </c>
      <c r="X323" s="9"/>
      <c r="Y323" s="22">
        <v>7.3852500000000001E-2</v>
      </c>
      <c r="Z323" s="22">
        <v>105.36199999999999</v>
      </c>
      <c r="AA323" s="22">
        <v>-1.97144E-2</v>
      </c>
      <c r="AB323" s="22">
        <v>313</v>
      </c>
      <c r="AC323" s="22">
        <v>7.3211700000000005E-2</v>
      </c>
      <c r="AD323">
        <f t="shared" si="52"/>
        <v>19.714400000000001</v>
      </c>
      <c r="AE323">
        <f t="shared" si="53"/>
        <v>1.4559577260000001</v>
      </c>
      <c r="AF323" s="9"/>
      <c r="AG323" s="22">
        <v>1.47614</v>
      </c>
      <c r="AH323" s="22">
        <v>139.369</v>
      </c>
      <c r="AI323" s="22">
        <v>-1.8041999999999999E-2</v>
      </c>
      <c r="AJ323" s="22">
        <v>313</v>
      </c>
      <c r="AK323" s="22">
        <v>1.4755199999999999</v>
      </c>
      <c r="AL323">
        <f t="shared" si="54"/>
        <v>18.041999999999998</v>
      </c>
      <c r="AM323">
        <f t="shared" si="55"/>
        <v>26.632517879999998</v>
      </c>
      <c r="AP323" s="9"/>
      <c r="AQ323" s="22">
        <v>7.3852500000000001E-2</v>
      </c>
      <c r="AR323" s="22">
        <v>173.42699999999999</v>
      </c>
      <c r="AS323" s="22">
        <v>-1.97021E-2</v>
      </c>
      <c r="AT323" s="22">
        <v>313</v>
      </c>
      <c r="AU323" s="22">
        <v>7.3089600000000005E-2</v>
      </c>
      <c r="AV323">
        <f t="shared" si="56"/>
        <v>19.702100000000002</v>
      </c>
      <c r="AW323">
        <f t="shared" si="57"/>
        <v>1.4550493402500002</v>
      </c>
      <c r="AX323" s="9"/>
      <c r="AY323" s="22">
        <v>1.47614</v>
      </c>
      <c r="AZ323" s="22">
        <v>207.453</v>
      </c>
      <c r="BA323" s="22">
        <v>-1.80115E-2</v>
      </c>
      <c r="BB323" s="22">
        <v>313</v>
      </c>
      <c r="BC323" s="22">
        <v>1.47522</v>
      </c>
      <c r="BD323">
        <f t="shared" si="58"/>
        <v>18.011499999999998</v>
      </c>
      <c r="BE323">
        <f t="shared" si="59"/>
        <v>26.587495609999998</v>
      </c>
    </row>
    <row r="324" spans="6:57">
      <c r="F324" s="9"/>
      <c r="G324" s="22">
        <v>6.8817100000000006E-2</v>
      </c>
      <c r="H324" s="22">
        <v>37.296199999999999</v>
      </c>
      <c r="I324" s="22">
        <v>-1.9561800000000001E-2</v>
      </c>
      <c r="J324" s="22">
        <v>314</v>
      </c>
      <c r="K324" s="22">
        <v>6.8298300000000006E-2</v>
      </c>
      <c r="L324">
        <f t="shared" si="48"/>
        <v>19.561800000000002</v>
      </c>
      <c r="M324">
        <f t="shared" si="49"/>
        <v>1.3461863467800002</v>
      </c>
      <c r="N324" s="9"/>
      <c r="O324" s="22">
        <v>1.4811700000000001</v>
      </c>
      <c r="P324" s="22">
        <v>71.349299999999999</v>
      </c>
      <c r="Q324" s="22">
        <v>-1.7938200000000001E-2</v>
      </c>
      <c r="R324" s="22">
        <v>314</v>
      </c>
      <c r="S324" s="22">
        <v>1.4801</v>
      </c>
      <c r="T324">
        <f t="shared" si="50"/>
        <v>17.938200000000002</v>
      </c>
      <c r="U324">
        <f t="shared" si="51"/>
        <v>26.569523694000004</v>
      </c>
      <c r="X324" s="9"/>
      <c r="Y324" s="22">
        <v>6.8817100000000006E-2</v>
      </c>
      <c r="Z324" s="22">
        <v>105.372</v>
      </c>
      <c r="AA324" s="22">
        <v>-1.9720499999999998E-2</v>
      </c>
      <c r="AB324" s="22">
        <v>314</v>
      </c>
      <c r="AC324" s="22">
        <v>6.8389900000000003E-2</v>
      </c>
      <c r="AD324">
        <f t="shared" si="52"/>
        <v>19.720499999999998</v>
      </c>
      <c r="AE324">
        <f t="shared" si="53"/>
        <v>1.3571076205499999</v>
      </c>
      <c r="AF324" s="9"/>
      <c r="AG324" s="22">
        <v>1.4811700000000001</v>
      </c>
      <c r="AH324" s="22">
        <v>139.37899999999999</v>
      </c>
      <c r="AI324" s="22">
        <v>-1.8008400000000001E-2</v>
      </c>
      <c r="AJ324" s="22">
        <v>314</v>
      </c>
      <c r="AK324" s="22">
        <v>1.48041</v>
      </c>
      <c r="AL324">
        <f t="shared" si="54"/>
        <v>18.008400000000002</v>
      </c>
      <c r="AM324">
        <f t="shared" si="55"/>
        <v>26.673501828000003</v>
      </c>
      <c r="AP324" s="9"/>
      <c r="AQ324" s="22">
        <v>6.8817100000000006E-2</v>
      </c>
      <c r="AR324" s="22">
        <v>173.43700000000001</v>
      </c>
      <c r="AS324" s="22">
        <v>-1.9711300000000001E-2</v>
      </c>
      <c r="AT324" s="22">
        <v>314</v>
      </c>
      <c r="AU324" s="22">
        <v>6.8237300000000001E-2</v>
      </c>
      <c r="AV324">
        <f t="shared" si="56"/>
        <v>19.711300000000001</v>
      </c>
      <c r="AW324">
        <f t="shared" si="57"/>
        <v>1.3564745032300003</v>
      </c>
      <c r="AX324" s="9"/>
      <c r="AY324" s="22">
        <v>1.4811700000000001</v>
      </c>
      <c r="AZ324" s="22">
        <v>207.46299999999999</v>
      </c>
      <c r="BA324" s="22">
        <v>-1.7977900000000002E-2</v>
      </c>
      <c r="BB324" s="22">
        <v>314</v>
      </c>
      <c r="BC324" s="22">
        <v>1.48041</v>
      </c>
      <c r="BD324">
        <f t="shared" si="58"/>
        <v>17.977900000000002</v>
      </c>
      <c r="BE324">
        <f t="shared" si="59"/>
        <v>26.628326143000006</v>
      </c>
    </row>
    <row r="325" spans="6:57">
      <c r="F325" s="9"/>
      <c r="G325" s="22">
        <v>6.3781699999999997E-2</v>
      </c>
      <c r="H325" s="22">
        <v>37.306199999999997</v>
      </c>
      <c r="I325" s="22">
        <v>-1.9567899999999999E-2</v>
      </c>
      <c r="J325" s="22">
        <v>315</v>
      </c>
      <c r="K325" s="22">
        <v>6.3324000000000005E-2</v>
      </c>
      <c r="L325">
        <f t="shared" si="48"/>
        <v>19.567899999999998</v>
      </c>
      <c r="M325">
        <f t="shared" si="49"/>
        <v>1.2480739274299999</v>
      </c>
      <c r="N325" s="9"/>
      <c r="O325" s="22">
        <v>1.48621</v>
      </c>
      <c r="P325" s="22">
        <v>71.359399999999994</v>
      </c>
      <c r="Q325" s="22">
        <v>-1.7904699999999999E-2</v>
      </c>
      <c r="R325" s="22">
        <v>315</v>
      </c>
      <c r="S325" s="22">
        <v>1.48529</v>
      </c>
      <c r="T325">
        <f t="shared" si="50"/>
        <v>17.904699999999998</v>
      </c>
      <c r="U325">
        <f t="shared" si="51"/>
        <v>26.610144187</v>
      </c>
      <c r="X325" s="9"/>
      <c r="Y325" s="22">
        <v>6.3781699999999997E-2</v>
      </c>
      <c r="Z325" s="22">
        <v>105.38200000000001</v>
      </c>
      <c r="AA325" s="22">
        <v>-1.9723500000000001E-2</v>
      </c>
      <c r="AB325" s="22">
        <v>315</v>
      </c>
      <c r="AC325" s="22">
        <v>6.31409E-2</v>
      </c>
      <c r="AD325">
        <f t="shared" si="52"/>
        <v>19.723500000000001</v>
      </c>
      <c r="AE325">
        <f t="shared" si="53"/>
        <v>1.25799835995</v>
      </c>
      <c r="AF325" s="9"/>
      <c r="AG325" s="22">
        <v>1.48621</v>
      </c>
      <c r="AH325" s="22">
        <v>139.38900000000001</v>
      </c>
      <c r="AI325" s="22">
        <v>-1.79688E-2</v>
      </c>
      <c r="AJ325" s="22">
        <v>315</v>
      </c>
      <c r="AK325" s="22">
        <v>1.48529</v>
      </c>
      <c r="AL325">
        <f t="shared" si="54"/>
        <v>17.968800000000002</v>
      </c>
      <c r="AM325">
        <f t="shared" si="55"/>
        <v>26.705410248000003</v>
      </c>
      <c r="AP325" s="9"/>
      <c r="AQ325" s="22">
        <v>6.3781699999999997E-2</v>
      </c>
      <c r="AR325" s="22">
        <v>173.447</v>
      </c>
      <c r="AS325" s="22">
        <v>-1.97174E-2</v>
      </c>
      <c r="AT325" s="22">
        <v>315</v>
      </c>
      <c r="AU325" s="22">
        <v>6.3110399999999997E-2</v>
      </c>
      <c r="AV325">
        <f t="shared" si="56"/>
        <v>19.717399999999998</v>
      </c>
      <c r="AW325">
        <f t="shared" si="57"/>
        <v>1.2576092915799999</v>
      </c>
      <c r="AX325" s="9"/>
      <c r="AY325" s="22">
        <v>1.48621</v>
      </c>
      <c r="AZ325" s="22">
        <v>207.47300000000001</v>
      </c>
      <c r="BA325" s="22">
        <v>-1.79443E-2</v>
      </c>
      <c r="BB325" s="22">
        <v>315</v>
      </c>
      <c r="BC325" s="22">
        <v>1.48529</v>
      </c>
      <c r="BD325">
        <f t="shared" si="58"/>
        <v>17.944299999999998</v>
      </c>
      <c r="BE325">
        <f t="shared" si="59"/>
        <v>26.668998103</v>
      </c>
    </row>
    <row r="326" spans="6:57">
      <c r="F326" s="9"/>
      <c r="G326" s="22">
        <v>5.8746300000000001E-2</v>
      </c>
      <c r="H326" s="22">
        <v>37.316299999999998</v>
      </c>
      <c r="I326" s="22">
        <v>-1.9570899999999999E-2</v>
      </c>
      <c r="J326" s="22">
        <v>316</v>
      </c>
      <c r="K326" s="22">
        <v>5.8227500000000001E-2</v>
      </c>
      <c r="L326">
        <f t="shared" si="48"/>
        <v>19.570899999999998</v>
      </c>
      <c r="M326">
        <f t="shared" si="49"/>
        <v>1.1497179626699998</v>
      </c>
      <c r="N326" s="9"/>
      <c r="O326" s="22">
        <v>1.4912399999999999</v>
      </c>
      <c r="P326" s="22">
        <v>71.369399999999999</v>
      </c>
      <c r="Q326" s="22">
        <v>-1.7871100000000001E-2</v>
      </c>
      <c r="R326" s="22">
        <v>316</v>
      </c>
      <c r="S326" s="22">
        <v>1.49078</v>
      </c>
      <c r="T326">
        <f t="shared" si="50"/>
        <v>17.871100000000002</v>
      </c>
      <c r="U326">
        <f t="shared" si="51"/>
        <v>26.650099164</v>
      </c>
      <c r="X326" s="9"/>
      <c r="Y326" s="22">
        <v>5.8746300000000001E-2</v>
      </c>
      <c r="Z326" s="22">
        <v>105.393</v>
      </c>
      <c r="AA326" s="22">
        <v>-1.97296E-2</v>
      </c>
      <c r="AB326" s="22">
        <v>316</v>
      </c>
      <c r="AC326" s="22">
        <v>5.8227500000000001E-2</v>
      </c>
      <c r="AD326">
        <f t="shared" si="52"/>
        <v>19.729600000000001</v>
      </c>
      <c r="AE326">
        <f t="shared" si="53"/>
        <v>1.15904100048</v>
      </c>
      <c r="AF326" s="9"/>
      <c r="AG326" s="22">
        <v>1.4912399999999999</v>
      </c>
      <c r="AH326" s="22">
        <v>139.399</v>
      </c>
      <c r="AI326" s="22">
        <v>-1.7932099999999999E-2</v>
      </c>
      <c r="AJ326" s="22">
        <v>316</v>
      </c>
      <c r="AK326" s="22">
        <v>1.49017</v>
      </c>
      <c r="AL326">
        <f t="shared" si="54"/>
        <v>17.932099999999998</v>
      </c>
      <c r="AM326">
        <f t="shared" si="55"/>
        <v>26.741064803999997</v>
      </c>
      <c r="AP326" s="9"/>
      <c r="AQ326" s="22">
        <v>5.8746300000000001E-2</v>
      </c>
      <c r="AR326" s="22">
        <v>173.45699999999999</v>
      </c>
      <c r="AS326" s="22">
        <v>-1.9723500000000001E-2</v>
      </c>
      <c r="AT326" s="22">
        <v>316</v>
      </c>
      <c r="AU326" s="22">
        <v>5.8075000000000002E-2</v>
      </c>
      <c r="AV326">
        <f t="shared" si="56"/>
        <v>19.723500000000001</v>
      </c>
      <c r="AW326">
        <f t="shared" si="57"/>
        <v>1.1586826480500001</v>
      </c>
      <c r="AX326" s="9"/>
      <c r="AY326" s="22">
        <v>1.4912399999999999</v>
      </c>
      <c r="AZ326" s="22">
        <v>207.483</v>
      </c>
      <c r="BA326" s="22">
        <v>-1.79016E-2</v>
      </c>
      <c r="BB326" s="22">
        <v>316</v>
      </c>
      <c r="BC326" s="22">
        <v>1.49078</v>
      </c>
      <c r="BD326">
        <f t="shared" si="58"/>
        <v>17.901599999999998</v>
      </c>
      <c r="BE326">
        <f t="shared" si="59"/>
        <v>26.695581983999997</v>
      </c>
    </row>
    <row r="327" spans="6:57">
      <c r="F327" s="9"/>
      <c r="G327" s="22">
        <v>5.3710899999999999E-2</v>
      </c>
      <c r="H327" s="22">
        <v>37.3264</v>
      </c>
      <c r="I327" s="22">
        <v>-1.9577000000000001E-2</v>
      </c>
      <c r="J327" s="22">
        <v>317</v>
      </c>
      <c r="K327" s="22">
        <v>5.2795399999999999E-2</v>
      </c>
      <c r="L327">
        <f t="shared" si="48"/>
        <v>19.577000000000002</v>
      </c>
      <c r="M327">
        <f t="shared" si="49"/>
        <v>1.0514982893</v>
      </c>
      <c r="N327" s="9"/>
      <c r="O327" s="22">
        <v>1.4962800000000001</v>
      </c>
      <c r="P327" s="22">
        <v>71.379499999999993</v>
      </c>
      <c r="Q327" s="22">
        <v>-1.7831400000000001E-2</v>
      </c>
      <c r="R327" s="22">
        <v>317</v>
      </c>
      <c r="S327" s="22">
        <v>1.4950600000000001</v>
      </c>
      <c r="T327">
        <f t="shared" si="50"/>
        <v>17.831400000000002</v>
      </c>
      <c r="U327">
        <f t="shared" si="51"/>
        <v>26.680767192000005</v>
      </c>
      <c r="X327" s="9"/>
      <c r="Y327" s="22">
        <v>5.3710899999999999E-2</v>
      </c>
      <c r="Z327" s="22">
        <v>105.40300000000001</v>
      </c>
      <c r="AA327" s="22">
        <v>-1.9738800000000001E-2</v>
      </c>
      <c r="AB327" s="22">
        <v>317</v>
      </c>
      <c r="AC327" s="22">
        <v>5.3375199999999998E-2</v>
      </c>
      <c r="AD327">
        <f t="shared" si="52"/>
        <v>19.738800000000001</v>
      </c>
      <c r="AE327">
        <f t="shared" si="53"/>
        <v>1.0601887129200001</v>
      </c>
      <c r="AF327" s="9"/>
      <c r="AG327" s="22">
        <v>1.4962800000000001</v>
      </c>
      <c r="AH327" s="22">
        <v>139.40899999999999</v>
      </c>
      <c r="AI327" s="22">
        <v>-1.7895500000000002E-2</v>
      </c>
      <c r="AJ327" s="22">
        <v>317</v>
      </c>
      <c r="AK327" s="22">
        <v>1.49536</v>
      </c>
      <c r="AL327">
        <f t="shared" si="54"/>
        <v>17.895500000000002</v>
      </c>
      <c r="AM327">
        <f t="shared" si="55"/>
        <v>26.776678740000005</v>
      </c>
      <c r="AP327" s="9"/>
      <c r="AQ327" s="22">
        <v>5.3710899999999999E-2</v>
      </c>
      <c r="AR327" s="22">
        <v>173.46700000000001</v>
      </c>
      <c r="AS327" s="22">
        <v>-1.97296E-2</v>
      </c>
      <c r="AT327" s="22">
        <v>317</v>
      </c>
      <c r="AU327" s="22">
        <v>5.3100599999999998E-2</v>
      </c>
      <c r="AV327">
        <f t="shared" si="56"/>
        <v>19.729600000000001</v>
      </c>
      <c r="AW327">
        <f t="shared" si="57"/>
        <v>1.05969457264</v>
      </c>
      <c r="AX327" s="9"/>
      <c r="AY327" s="22">
        <v>1.4962800000000001</v>
      </c>
      <c r="AZ327" s="22">
        <v>207.494</v>
      </c>
      <c r="BA327" s="22">
        <v>-1.78497E-2</v>
      </c>
      <c r="BB327" s="22">
        <v>317</v>
      </c>
      <c r="BC327" s="22">
        <v>1.4950600000000001</v>
      </c>
      <c r="BD327">
        <f t="shared" si="58"/>
        <v>17.849699999999999</v>
      </c>
      <c r="BE327">
        <f t="shared" si="59"/>
        <v>26.708149115999998</v>
      </c>
    </row>
    <row r="328" spans="6:57">
      <c r="F328" s="9"/>
      <c r="G328" s="22">
        <v>4.8675499999999997E-2</v>
      </c>
      <c r="H328" s="22">
        <v>37.336399999999998</v>
      </c>
      <c r="I328" s="22">
        <v>-1.95801E-2</v>
      </c>
      <c r="J328" s="22">
        <v>318</v>
      </c>
      <c r="K328" s="22">
        <v>4.8800700000000002E-2</v>
      </c>
      <c r="L328">
        <f t="shared" si="48"/>
        <v>19.580099999999998</v>
      </c>
      <c r="M328">
        <f t="shared" si="49"/>
        <v>0.95307115754999983</v>
      </c>
      <c r="N328" s="9"/>
      <c r="O328" s="22">
        <v>1.5013099999999999</v>
      </c>
      <c r="P328" s="22">
        <v>71.389600000000002</v>
      </c>
      <c r="Q328" s="22">
        <v>-1.7785599999999999E-2</v>
      </c>
      <c r="R328" s="22">
        <v>318</v>
      </c>
      <c r="S328" s="22">
        <v>1.50024</v>
      </c>
      <c r="T328">
        <f t="shared" si="50"/>
        <v>17.785599999999999</v>
      </c>
      <c r="U328">
        <f t="shared" si="51"/>
        <v>26.701699135999998</v>
      </c>
      <c r="X328" s="9"/>
      <c r="Y328" s="22">
        <v>4.8675499999999997E-2</v>
      </c>
      <c r="Z328" s="22">
        <v>105.413</v>
      </c>
      <c r="AA328" s="22">
        <v>-1.9738800000000001E-2</v>
      </c>
      <c r="AB328" s="22">
        <v>318</v>
      </c>
      <c r="AC328" s="22">
        <v>4.8419200000000003E-2</v>
      </c>
      <c r="AD328">
        <f t="shared" si="52"/>
        <v>19.738800000000001</v>
      </c>
      <c r="AE328">
        <f t="shared" si="53"/>
        <v>0.96079595939999995</v>
      </c>
      <c r="AF328" s="9"/>
      <c r="AG328" s="22">
        <v>1.5013099999999999</v>
      </c>
      <c r="AH328" s="22">
        <v>139.41900000000001</v>
      </c>
      <c r="AI328" s="22">
        <v>-1.78497E-2</v>
      </c>
      <c r="AJ328" s="22">
        <v>318</v>
      </c>
      <c r="AK328" s="22">
        <v>1.5005500000000001</v>
      </c>
      <c r="AL328">
        <f t="shared" si="54"/>
        <v>17.849699999999999</v>
      </c>
      <c r="AM328">
        <f t="shared" si="55"/>
        <v>26.797933106999995</v>
      </c>
      <c r="AP328" s="9"/>
      <c r="AQ328" s="22">
        <v>4.8675499999999997E-2</v>
      </c>
      <c r="AR328" s="22">
        <v>173.477</v>
      </c>
      <c r="AS328" s="22">
        <v>-1.9732699999999999E-2</v>
      </c>
      <c r="AT328" s="22">
        <v>318</v>
      </c>
      <c r="AU328" s="22">
        <v>4.86481E-2</v>
      </c>
      <c r="AV328">
        <f t="shared" si="56"/>
        <v>19.732699999999998</v>
      </c>
      <c r="AW328">
        <f t="shared" si="57"/>
        <v>0.96049903884999976</v>
      </c>
      <c r="AX328" s="9"/>
      <c r="AY328" s="22">
        <v>1.5013099999999999</v>
      </c>
      <c r="AZ328" s="22">
        <v>207.50399999999999</v>
      </c>
      <c r="BA328" s="22">
        <v>-1.7791700000000001E-2</v>
      </c>
      <c r="BB328" s="22">
        <v>318</v>
      </c>
      <c r="BC328" s="22">
        <v>1.50024</v>
      </c>
      <c r="BD328">
        <f t="shared" si="58"/>
        <v>17.791700000000002</v>
      </c>
      <c r="BE328">
        <f t="shared" si="59"/>
        <v>26.710857127000001</v>
      </c>
    </row>
    <row r="329" spans="6:57">
      <c r="F329" s="9"/>
      <c r="G329" s="22">
        <v>4.3640100000000001E-2</v>
      </c>
      <c r="H329" s="22">
        <v>37.346499999999999</v>
      </c>
      <c r="I329" s="22">
        <v>-1.9586200000000002E-2</v>
      </c>
      <c r="J329" s="22">
        <v>319</v>
      </c>
      <c r="K329" s="22">
        <v>4.3542499999999998E-2</v>
      </c>
      <c r="L329">
        <f t="shared" si="48"/>
        <v>19.586200000000002</v>
      </c>
      <c r="M329">
        <f t="shared" si="49"/>
        <v>0.85474372662000009</v>
      </c>
      <c r="N329" s="9"/>
      <c r="O329" s="22">
        <v>1.5063500000000001</v>
      </c>
      <c r="P329" s="22">
        <v>71.399699999999996</v>
      </c>
      <c r="Q329" s="22">
        <v>-1.7730699999999999E-2</v>
      </c>
      <c r="R329" s="22">
        <v>319</v>
      </c>
      <c r="S329" s="22">
        <v>1.5057400000000001</v>
      </c>
      <c r="T329">
        <f t="shared" si="50"/>
        <v>17.730699999999999</v>
      </c>
      <c r="U329">
        <f t="shared" si="51"/>
        <v>26.708639944999998</v>
      </c>
      <c r="X329" s="9"/>
      <c r="Y329" s="22">
        <v>4.3640100000000001E-2</v>
      </c>
      <c r="Z329" s="22">
        <v>105.423</v>
      </c>
      <c r="AA329" s="22">
        <v>-1.9747899999999999E-2</v>
      </c>
      <c r="AB329" s="22">
        <v>319</v>
      </c>
      <c r="AC329" s="22">
        <v>4.3530300000000001E-2</v>
      </c>
      <c r="AD329">
        <f t="shared" si="52"/>
        <v>19.747899999999998</v>
      </c>
      <c r="AE329">
        <f t="shared" si="53"/>
        <v>0.86180033078999996</v>
      </c>
      <c r="AF329" s="9"/>
      <c r="AG329" s="22">
        <v>1.5063500000000001</v>
      </c>
      <c r="AH329" s="22">
        <v>139.429</v>
      </c>
      <c r="AI329" s="22">
        <v>-1.7797899999999998E-2</v>
      </c>
      <c r="AJ329" s="22">
        <v>319</v>
      </c>
      <c r="AK329" s="22">
        <v>1.5057400000000001</v>
      </c>
      <c r="AL329">
        <f t="shared" si="54"/>
        <v>17.797899999999998</v>
      </c>
      <c r="AM329">
        <f t="shared" si="55"/>
        <v>26.809866664999998</v>
      </c>
      <c r="AP329" s="9"/>
      <c r="AQ329" s="22">
        <v>4.3640100000000001E-2</v>
      </c>
      <c r="AR329" s="22">
        <v>173.488</v>
      </c>
      <c r="AS329" s="22">
        <v>-1.9738800000000001E-2</v>
      </c>
      <c r="AT329" s="22">
        <v>319</v>
      </c>
      <c r="AU329" s="22">
        <v>4.3618799999999999E-2</v>
      </c>
      <c r="AV329">
        <f t="shared" si="56"/>
        <v>19.738800000000001</v>
      </c>
      <c r="AW329">
        <f t="shared" si="57"/>
        <v>0.86140320588000008</v>
      </c>
      <c r="AX329" s="9"/>
      <c r="AY329" s="22">
        <v>1.5063500000000001</v>
      </c>
      <c r="AZ329" s="22">
        <v>207.51400000000001</v>
      </c>
      <c r="BA329" s="22">
        <v>-1.77368E-2</v>
      </c>
      <c r="BB329" s="22">
        <v>319</v>
      </c>
      <c r="BC329" s="22">
        <v>1.50543</v>
      </c>
      <c r="BD329">
        <f t="shared" si="58"/>
        <v>17.736799999999999</v>
      </c>
      <c r="BE329">
        <f t="shared" si="59"/>
        <v>26.71782868</v>
      </c>
    </row>
    <row r="330" spans="6:57">
      <c r="F330" s="9"/>
      <c r="G330" s="22">
        <v>3.8604699999999999E-2</v>
      </c>
      <c r="H330" s="22">
        <v>37.3566</v>
      </c>
      <c r="I330" s="22">
        <v>-1.9589200000000001E-2</v>
      </c>
      <c r="J330" s="22">
        <v>320</v>
      </c>
      <c r="K330" s="22">
        <v>3.8497900000000002E-2</v>
      </c>
      <c r="L330">
        <f t="shared" si="48"/>
        <v>19.589200000000002</v>
      </c>
      <c r="M330">
        <f t="shared" si="49"/>
        <v>0.75623518923999999</v>
      </c>
      <c r="N330" s="9"/>
      <c r="O330" s="22">
        <v>1.5113799999999999</v>
      </c>
      <c r="P330" s="22">
        <v>71.409700000000001</v>
      </c>
      <c r="Q330" s="22">
        <v>-1.7678800000000001E-2</v>
      </c>
      <c r="R330" s="22">
        <v>320</v>
      </c>
      <c r="S330" s="22">
        <v>1.5100100000000001</v>
      </c>
      <c r="T330">
        <f t="shared" si="50"/>
        <v>17.678800000000003</v>
      </c>
      <c r="U330">
        <f t="shared" si="51"/>
        <v>26.719384744000003</v>
      </c>
      <c r="X330" s="9"/>
      <c r="Y330" s="22">
        <v>3.8604699999999999E-2</v>
      </c>
      <c r="Z330" s="22">
        <v>105.43300000000001</v>
      </c>
      <c r="AA330" s="22">
        <v>-1.9751000000000001E-2</v>
      </c>
      <c r="AB330" s="22">
        <v>320</v>
      </c>
      <c r="AC330" s="22">
        <v>3.8769499999999998E-2</v>
      </c>
      <c r="AD330">
        <f t="shared" si="52"/>
        <v>19.751000000000001</v>
      </c>
      <c r="AE330">
        <f t="shared" si="53"/>
        <v>0.76248142969999999</v>
      </c>
      <c r="AF330" s="9"/>
      <c r="AG330" s="22">
        <v>1.5113799999999999</v>
      </c>
      <c r="AH330" s="22">
        <v>139.43899999999999</v>
      </c>
      <c r="AI330" s="22">
        <v>-1.77368E-2</v>
      </c>
      <c r="AJ330" s="22">
        <v>320</v>
      </c>
      <c r="AK330" s="22">
        <v>1.51031</v>
      </c>
      <c r="AL330">
        <f t="shared" si="54"/>
        <v>17.736799999999999</v>
      </c>
      <c r="AM330">
        <f t="shared" si="55"/>
        <v>26.807044783999999</v>
      </c>
      <c r="AP330" s="9"/>
      <c r="AQ330" s="22">
        <v>3.8604699999999999E-2</v>
      </c>
      <c r="AR330" s="22">
        <v>173.49799999999999</v>
      </c>
      <c r="AS330" s="22">
        <v>-1.9744899999999999E-2</v>
      </c>
      <c r="AT330" s="22">
        <v>320</v>
      </c>
      <c r="AU330" s="22">
        <v>3.8836700000000002E-2</v>
      </c>
      <c r="AV330">
        <f t="shared" si="56"/>
        <v>19.744899999999998</v>
      </c>
      <c r="AW330">
        <f t="shared" si="57"/>
        <v>0.76224594102999987</v>
      </c>
      <c r="AX330" s="9"/>
      <c r="AY330" s="22">
        <v>1.5113799999999999</v>
      </c>
      <c r="AZ330" s="22">
        <v>207.524</v>
      </c>
      <c r="BA330" s="22">
        <v>-1.76727E-2</v>
      </c>
      <c r="BB330" s="22">
        <v>320</v>
      </c>
      <c r="BC330" s="22">
        <v>1.5100100000000001</v>
      </c>
      <c r="BD330">
        <f t="shared" si="58"/>
        <v>17.672699999999999</v>
      </c>
      <c r="BE330">
        <f t="shared" si="59"/>
        <v>26.710165325999998</v>
      </c>
    </row>
    <row r="331" spans="6:57">
      <c r="F331" s="9"/>
      <c r="G331" s="22">
        <v>3.3569300000000003E-2</v>
      </c>
      <c r="H331" s="22">
        <v>37.366599999999998</v>
      </c>
      <c r="I331" s="22">
        <v>-1.95923E-2</v>
      </c>
      <c r="J331" s="22">
        <v>321</v>
      </c>
      <c r="K331" s="22">
        <v>3.35815E-2</v>
      </c>
      <c r="L331">
        <f t="shared" si="48"/>
        <v>19.592300000000002</v>
      </c>
      <c r="M331">
        <f t="shared" si="49"/>
        <v>0.65769979639000009</v>
      </c>
      <c r="N331" s="9"/>
      <c r="O331" s="22">
        <v>1.5164200000000001</v>
      </c>
      <c r="P331" s="22">
        <v>71.419799999999995</v>
      </c>
      <c r="Q331" s="22">
        <v>-1.7608599999999999E-2</v>
      </c>
      <c r="R331" s="22">
        <v>321</v>
      </c>
      <c r="S331" s="22">
        <v>1.5152000000000001</v>
      </c>
      <c r="T331">
        <f t="shared" si="50"/>
        <v>17.608599999999999</v>
      </c>
      <c r="U331">
        <f t="shared" si="51"/>
        <v>26.702033212</v>
      </c>
      <c r="X331" s="9"/>
      <c r="Y331" s="22">
        <v>3.3569300000000003E-2</v>
      </c>
      <c r="Z331" s="22">
        <v>105.443</v>
      </c>
      <c r="AA331" s="22">
        <v>-1.97571E-2</v>
      </c>
      <c r="AB331" s="22">
        <v>321</v>
      </c>
      <c r="AC331" s="22">
        <v>3.34869E-2</v>
      </c>
      <c r="AD331">
        <f t="shared" si="52"/>
        <v>19.757100000000001</v>
      </c>
      <c r="AE331">
        <f t="shared" si="53"/>
        <v>0.66323201703000012</v>
      </c>
      <c r="AF331" s="9"/>
      <c r="AG331" s="22">
        <v>1.5164200000000001</v>
      </c>
      <c r="AH331" s="22">
        <v>139.44900000000001</v>
      </c>
      <c r="AI331" s="22">
        <v>-1.7675799999999998E-2</v>
      </c>
      <c r="AJ331" s="22">
        <v>321</v>
      </c>
      <c r="AK331" s="22">
        <v>1.5161100000000001</v>
      </c>
      <c r="AL331">
        <f t="shared" si="54"/>
        <v>17.675799999999999</v>
      </c>
      <c r="AM331">
        <f t="shared" si="55"/>
        <v>26.803936636</v>
      </c>
      <c r="AP331" s="9"/>
      <c r="AQ331" s="22">
        <v>3.3569300000000003E-2</v>
      </c>
      <c r="AR331" s="22">
        <v>173.50800000000001</v>
      </c>
      <c r="AS331" s="22">
        <v>-1.9747899999999999E-2</v>
      </c>
      <c r="AT331" s="22">
        <v>321</v>
      </c>
      <c r="AU331" s="22">
        <v>3.3450300000000002E-2</v>
      </c>
      <c r="AV331">
        <f t="shared" si="56"/>
        <v>19.747899999999998</v>
      </c>
      <c r="AW331">
        <f t="shared" si="57"/>
        <v>0.66292317947000001</v>
      </c>
      <c r="AX331" s="9"/>
      <c r="AY331" s="22">
        <v>1.5164200000000001</v>
      </c>
      <c r="AZ331" s="22">
        <v>207.53399999999999</v>
      </c>
      <c r="BA331" s="22">
        <v>-1.7596400000000002E-2</v>
      </c>
      <c r="BB331" s="22">
        <v>321</v>
      </c>
      <c r="BC331" s="22">
        <v>1.5161100000000001</v>
      </c>
      <c r="BD331">
        <f t="shared" si="58"/>
        <v>17.596400000000003</v>
      </c>
      <c r="BE331">
        <f t="shared" si="59"/>
        <v>26.683532888000006</v>
      </c>
    </row>
    <row r="332" spans="6:57">
      <c r="F332" s="9"/>
      <c r="G332" s="22">
        <v>2.8533900000000001E-2</v>
      </c>
      <c r="H332" s="22">
        <v>37.3767</v>
      </c>
      <c r="I332" s="22">
        <v>-1.95953E-2</v>
      </c>
      <c r="J332" s="22">
        <v>322</v>
      </c>
      <c r="K332" s="22">
        <v>2.8524799999999999E-2</v>
      </c>
      <c r="L332">
        <f t="shared" ref="L332:L358" si="60">-I332/$F$2*1000</f>
        <v>19.595299999999998</v>
      </c>
      <c r="M332">
        <f t="shared" ref="M332:M358" si="61">L332*G332</f>
        <v>0.55913033066999995</v>
      </c>
      <c r="N332" s="9"/>
      <c r="O332" s="22">
        <v>1.52145</v>
      </c>
      <c r="P332" s="22">
        <v>71.429900000000004</v>
      </c>
      <c r="Q332" s="22">
        <v>-1.7538499999999999E-2</v>
      </c>
      <c r="R332" s="22">
        <v>322</v>
      </c>
      <c r="S332" s="22">
        <v>1.5209999999999999</v>
      </c>
      <c r="T332">
        <f t="shared" ref="T332:T358" si="62">-Q332/$F$2*1000</f>
        <v>17.538499999999999</v>
      </c>
      <c r="U332">
        <f t="shared" ref="U332:U358" si="63">T332*O332</f>
        <v>26.683950824999997</v>
      </c>
      <c r="X332" s="9"/>
      <c r="Y332" s="22">
        <v>2.8533900000000001E-2</v>
      </c>
      <c r="Z332" s="22">
        <v>105.453</v>
      </c>
      <c r="AA332" s="22">
        <v>-1.9763200000000002E-2</v>
      </c>
      <c r="AB332" s="22">
        <v>322</v>
      </c>
      <c r="AC332" s="22">
        <v>2.8286700000000001E-2</v>
      </c>
      <c r="AD332">
        <f t="shared" ref="AD332:AD358" si="64">-AA332/$F$2*1000</f>
        <v>19.763200000000001</v>
      </c>
      <c r="AE332">
        <f t="shared" ref="AE332:AE358" si="65">AD332*Y332</f>
        <v>0.56392117248000007</v>
      </c>
      <c r="AF332" s="9"/>
      <c r="AG332" s="22">
        <v>1.52145</v>
      </c>
      <c r="AH332" s="22">
        <v>139.459</v>
      </c>
      <c r="AI332" s="22">
        <v>-1.76025E-2</v>
      </c>
      <c r="AJ332" s="22">
        <v>322</v>
      </c>
      <c r="AK332" s="22">
        <v>1.5203899999999999</v>
      </c>
      <c r="AL332">
        <f t="shared" ref="AL332:AL358" si="66">-AI332/$F$2*1000</f>
        <v>17.602499999999999</v>
      </c>
      <c r="AM332">
        <f t="shared" ref="AM332:AM358" si="67">AL332*AG332</f>
        <v>26.781323624999999</v>
      </c>
      <c r="AP332" s="9"/>
      <c r="AQ332" s="22">
        <v>2.8533900000000001E-2</v>
      </c>
      <c r="AR332" s="22">
        <v>173.518</v>
      </c>
      <c r="AS332" s="22">
        <v>-1.97571E-2</v>
      </c>
      <c r="AT332" s="22">
        <v>322</v>
      </c>
      <c r="AU332" s="22">
        <v>2.84576E-2</v>
      </c>
      <c r="AV332">
        <f t="shared" ref="AV332:AV358" si="68">-AS332/$F$2*1000</f>
        <v>19.757100000000001</v>
      </c>
      <c r="AW332">
        <f t="shared" ref="AW332:AW358" si="69">AV332*AQ332</f>
        <v>0.56374711569000002</v>
      </c>
      <c r="AX332" s="9"/>
      <c r="AY332" s="22">
        <v>1.52145</v>
      </c>
      <c r="AZ332" s="22">
        <v>207.54400000000001</v>
      </c>
      <c r="BA332" s="22">
        <v>-1.75079E-2</v>
      </c>
      <c r="BB332" s="22">
        <v>322</v>
      </c>
      <c r="BC332" s="22">
        <v>1.5206900000000001</v>
      </c>
      <c r="BD332">
        <f t="shared" ref="BD332:BD358" si="70">-BA332/$F$2*1000</f>
        <v>17.507899999999999</v>
      </c>
      <c r="BE332">
        <f t="shared" ref="BE332:BE358" si="71">BD332*AY332</f>
        <v>26.637394454999999</v>
      </c>
    </row>
    <row r="333" spans="6:57">
      <c r="F333" s="9"/>
      <c r="G333" s="22">
        <v>2.3498499999999999E-2</v>
      </c>
      <c r="H333" s="22">
        <v>37.386800000000001</v>
      </c>
      <c r="I333" s="22">
        <v>-1.9601400000000001E-2</v>
      </c>
      <c r="J333" s="22">
        <v>323</v>
      </c>
      <c r="K333" s="22">
        <v>2.3443599999999998E-2</v>
      </c>
      <c r="L333">
        <f t="shared" si="60"/>
        <v>19.601400000000002</v>
      </c>
      <c r="M333">
        <f t="shared" si="61"/>
        <v>0.46060349789999999</v>
      </c>
      <c r="N333" s="9"/>
      <c r="O333" s="22">
        <v>1.5264899999999999</v>
      </c>
      <c r="P333" s="22">
        <v>71.439899999999994</v>
      </c>
      <c r="Q333" s="22">
        <v>-1.7446900000000001E-2</v>
      </c>
      <c r="R333" s="22">
        <v>323</v>
      </c>
      <c r="S333" s="22">
        <v>1.5261800000000001</v>
      </c>
      <c r="T333">
        <f t="shared" si="62"/>
        <v>17.446900000000003</v>
      </c>
      <c r="U333">
        <f t="shared" si="63"/>
        <v>26.632518381000004</v>
      </c>
      <c r="X333" s="9"/>
      <c r="Y333" s="22">
        <v>2.3498499999999999E-2</v>
      </c>
      <c r="Z333" s="22">
        <v>105.46299999999999</v>
      </c>
      <c r="AA333" s="22">
        <v>-1.97693E-2</v>
      </c>
      <c r="AB333" s="22">
        <v>323</v>
      </c>
      <c r="AC333" s="22">
        <v>2.33154E-2</v>
      </c>
      <c r="AD333">
        <f t="shared" si="64"/>
        <v>19.769300000000001</v>
      </c>
      <c r="AE333">
        <f t="shared" si="65"/>
        <v>0.46454889604999999</v>
      </c>
      <c r="AF333" s="9"/>
      <c r="AG333" s="22">
        <v>1.5264899999999999</v>
      </c>
      <c r="AH333" s="22">
        <v>139.46899999999999</v>
      </c>
      <c r="AI333" s="22">
        <v>-1.7513999999999998E-2</v>
      </c>
      <c r="AJ333" s="22">
        <v>323</v>
      </c>
      <c r="AK333" s="22">
        <v>1.5261800000000001</v>
      </c>
      <c r="AL333">
        <f t="shared" si="66"/>
        <v>17.513999999999999</v>
      </c>
      <c r="AM333">
        <f t="shared" si="67"/>
        <v>26.734945859999996</v>
      </c>
      <c r="AP333" s="9"/>
      <c r="AQ333" s="22">
        <v>2.3498499999999999E-2</v>
      </c>
      <c r="AR333" s="22">
        <v>173.52799999999999</v>
      </c>
      <c r="AS333" s="22">
        <v>-1.9760099999999999E-2</v>
      </c>
      <c r="AT333" s="22">
        <v>323</v>
      </c>
      <c r="AU333" s="22">
        <v>2.31384E-2</v>
      </c>
      <c r="AV333">
        <f t="shared" si="68"/>
        <v>19.760099999999998</v>
      </c>
      <c r="AW333">
        <f t="shared" si="69"/>
        <v>0.46433270984999991</v>
      </c>
      <c r="AX333" s="9"/>
      <c r="AY333" s="22">
        <v>1.5264899999999999</v>
      </c>
      <c r="AZ333" s="22">
        <v>207.554</v>
      </c>
      <c r="BA333" s="22">
        <v>-1.74133E-2</v>
      </c>
      <c r="BB333" s="22">
        <v>323</v>
      </c>
      <c r="BC333" s="22">
        <v>1.5261800000000001</v>
      </c>
      <c r="BD333">
        <f t="shared" si="70"/>
        <v>17.4133</v>
      </c>
      <c r="BE333">
        <f t="shared" si="71"/>
        <v>26.581228316999997</v>
      </c>
    </row>
    <row r="334" spans="6:57">
      <c r="F334" s="9"/>
      <c r="G334" s="22">
        <v>1.84631E-2</v>
      </c>
      <c r="H334" s="22">
        <v>37.396900000000002</v>
      </c>
      <c r="I334" s="22">
        <v>-1.9601400000000001E-2</v>
      </c>
      <c r="J334" s="22">
        <v>324</v>
      </c>
      <c r="K334" s="22">
        <v>1.8289199999999999E-2</v>
      </c>
      <c r="L334">
        <f t="shared" si="60"/>
        <v>19.601400000000002</v>
      </c>
      <c r="M334">
        <f t="shared" si="61"/>
        <v>0.36190260834000004</v>
      </c>
      <c r="N334" s="9"/>
      <c r="O334" s="22">
        <v>1.53152</v>
      </c>
      <c r="P334" s="22">
        <v>71.45</v>
      </c>
      <c r="Q334" s="22">
        <v>-1.7355300000000001E-2</v>
      </c>
      <c r="R334" s="22">
        <v>324</v>
      </c>
      <c r="S334" s="22">
        <v>1.5310699999999999</v>
      </c>
      <c r="T334">
        <f t="shared" si="62"/>
        <v>17.3553</v>
      </c>
      <c r="U334">
        <f t="shared" si="63"/>
        <v>26.579989055999999</v>
      </c>
      <c r="X334" s="9"/>
      <c r="Y334" s="22">
        <v>1.84631E-2</v>
      </c>
      <c r="Z334" s="22">
        <v>105.473</v>
      </c>
      <c r="AA334" s="22">
        <v>-1.9775399999999999E-2</v>
      </c>
      <c r="AB334" s="22">
        <v>324</v>
      </c>
      <c r="AC334" s="22">
        <v>1.8527200000000001E-2</v>
      </c>
      <c r="AD334">
        <f t="shared" si="64"/>
        <v>19.775399999999998</v>
      </c>
      <c r="AE334">
        <f t="shared" si="65"/>
        <v>0.36511518773999996</v>
      </c>
      <c r="AF334" s="9"/>
      <c r="AG334" s="22">
        <v>1.53152</v>
      </c>
      <c r="AH334" s="22">
        <v>139.47900000000001</v>
      </c>
      <c r="AI334" s="22">
        <v>-1.74255E-2</v>
      </c>
      <c r="AJ334" s="22">
        <v>324</v>
      </c>
      <c r="AK334" s="22">
        <v>1.5307599999999999</v>
      </c>
      <c r="AL334">
        <f t="shared" si="66"/>
        <v>17.4255</v>
      </c>
      <c r="AM334">
        <f t="shared" si="67"/>
        <v>26.68750176</v>
      </c>
      <c r="AP334" s="9"/>
      <c r="AQ334" s="22">
        <v>1.84631E-2</v>
      </c>
      <c r="AR334" s="22">
        <v>173.53800000000001</v>
      </c>
      <c r="AS334" s="22">
        <v>-1.97693E-2</v>
      </c>
      <c r="AT334" s="22">
        <v>324</v>
      </c>
      <c r="AU334" s="22">
        <v>1.7953500000000001E-2</v>
      </c>
      <c r="AV334">
        <f t="shared" si="68"/>
        <v>19.769300000000001</v>
      </c>
      <c r="AW334">
        <f t="shared" si="69"/>
        <v>0.36500256282999999</v>
      </c>
      <c r="AX334" s="9"/>
      <c r="AY334" s="22">
        <v>1.53152</v>
      </c>
      <c r="AZ334" s="22">
        <v>207.56399999999999</v>
      </c>
      <c r="BA334" s="22">
        <v>-1.7309600000000001E-2</v>
      </c>
      <c r="BB334" s="22">
        <v>324</v>
      </c>
      <c r="BC334" s="22">
        <v>1.5310699999999999</v>
      </c>
      <c r="BD334">
        <f t="shared" si="70"/>
        <v>17.3096</v>
      </c>
      <c r="BE334">
        <f t="shared" si="71"/>
        <v>26.509998591999999</v>
      </c>
    </row>
    <row r="335" spans="6:57">
      <c r="F335" s="9"/>
      <c r="G335" s="22">
        <v>1.3427700000000001E-2</v>
      </c>
      <c r="H335" s="22">
        <v>37.4069</v>
      </c>
      <c r="I335" s="22">
        <v>-1.96075E-2</v>
      </c>
      <c r="J335" s="22">
        <v>325</v>
      </c>
      <c r="K335" s="22">
        <v>1.3284300000000001E-2</v>
      </c>
      <c r="L335">
        <f t="shared" si="60"/>
        <v>19.607500000000002</v>
      </c>
      <c r="M335">
        <f t="shared" si="61"/>
        <v>0.26328362775000003</v>
      </c>
      <c r="N335" s="9"/>
      <c r="O335" s="22">
        <v>1.5365599999999999</v>
      </c>
      <c r="P335" s="22">
        <v>71.460099999999997</v>
      </c>
      <c r="Q335" s="22">
        <v>-1.72607E-2</v>
      </c>
      <c r="R335" s="22">
        <v>325</v>
      </c>
      <c r="S335" s="22">
        <v>1.5353399999999999</v>
      </c>
      <c r="T335">
        <f t="shared" si="62"/>
        <v>17.2607</v>
      </c>
      <c r="U335">
        <f t="shared" si="63"/>
        <v>26.522101191999997</v>
      </c>
      <c r="X335" s="9"/>
      <c r="Y335" s="22">
        <v>1.3427700000000001E-2</v>
      </c>
      <c r="Z335" s="22">
        <v>105.483</v>
      </c>
      <c r="AA335" s="22">
        <v>-1.9775399999999999E-2</v>
      </c>
      <c r="AB335" s="22">
        <v>325</v>
      </c>
      <c r="AC335" s="22">
        <v>1.34521E-2</v>
      </c>
      <c r="AD335">
        <f t="shared" si="64"/>
        <v>19.775399999999998</v>
      </c>
      <c r="AE335">
        <f t="shared" si="65"/>
        <v>0.26553813857999997</v>
      </c>
      <c r="AF335" s="9"/>
      <c r="AG335" s="22">
        <v>1.5365599999999999</v>
      </c>
      <c r="AH335" s="22">
        <v>139.489</v>
      </c>
      <c r="AI335" s="22">
        <v>-1.73157E-2</v>
      </c>
      <c r="AJ335" s="22">
        <v>325</v>
      </c>
      <c r="AK335" s="22">
        <v>1.5356399999999999</v>
      </c>
      <c r="AL335">
        <f t="shared" si="66"/>
        <v>17.3157</v>
      </c>
      <c r="AM335">
        <f t="shared" si="67"/>
        <v>26.606611991999998</v>
      </c>
      <c r="AP335" s="9"/>
      <c r="AQ335" s="22">
        <v>1.3427700000000001E-2</v>
      </c>
      <c r="AR335" s="22">
        <v>173.548</v>
      </c>
      <c r="AS335" s="22">
        <v>-1.97723E-2</v>
      </c>
      <c r="AT335" s="22">
        <v>325</v>
      </c>
      <c r="AU335" s="22">
        <v>1.35742E-2</v>
      </c>
      <c r="AV335">
        <f t="shared" si="68"/>
        <v>19.772300000000001</v>
      </c>
      <c r="AW335">
        <f t="shared" si="69"/>
        <v>0.26549651271000002</v>
      </c>
      <c r="AX335" s="9"/>
      <c r="AY335" s="22">
        <v>1.5365599999999999</v>
      </c>
      <c r="AZ335" s="22">
        <v>207.57400000000001</v>
      </c>
      <c r="BA335" s="22">
        <v>-1.7184399999999999E-2</v>
      </c>
      <c r="BB335" s="22">
        <v>325</v>
      </c>
      <c r="BC335" s="22">
        <v>1.5356399999999999</v>
      </c>
      <c r="BD335">
        <f t="shared" si="70"/>
        <v>17.1844</v>
      </c>
      <c r="BE335">
        <f t="shared" si="71"/>
        <v>26.404861663999998</v>
      </c>
    </row>
    <row r="336" spans="6:57">
      <c r="F336" s="9"/>
      <c r="G336" s="22">
        <v>8.3923299999999999E-3</v>
      </c>
      <c r="H336" s="22">
        <v>37.417000000000002</v>
      </c>
      <c r="I336" s="22">
        <v>-1.9613599999999998E-2</v>
      </c>
      <c r="J336" s="22">
        <v>326</v>
      </c>
      <c r="K336" s="22">
        <v>8.3343500000000008E-3</v>
      </c>
      <c r="L336">
        <f t="shared" si="60"/>
        <v>19.613599999999998</v>
      </c>
      <c r="M336">
        <f t="shared" si="61"/>
        <v>0.16460380368799998</v>
      </c>
      <c r="N336" s="9"/>
      <c r="O336" s="22">
        <v>1.5416000000000001</v>
      </c>
      <c r="P336" s="22">
        <v>71.470100000000002</v>
      </c>
      <c r="Q336" s="22">
        <v>-1.71387E-2</v>
      </c>
      <c r="R336" s="22">
        <v>326</v>
      </c>
      <c r="S336" s="22">
        <v>1.54114</v>
      </c>
      <c r="T336">
        <f t="shared" si="62"/>
        <v>17.1387</v>
      </c>
      <c r="U336">
        <f t="shared" si="63"/>
        <v>26.421019920000003</v>
      </c>
      <c r="X336" s="9"/>
      <c r="Y336" s="22">
        <v>8.3923299999999999E-3</v>
      </c>
      <c r="Z336" s="22">
        <v>105.49299999999999</v>
      </c>
      <c r="AA336" s="22">
        <v>-1.97815E-2</v>
      </c>
      <c r="AB336" s="22">
        <v>326</v>
      </c>
      <c r="AC336" s="22">
        <v>7.75452E-3</v>
      </c>
      <c r="AD336">
        <f t="shared" si="64"/>
        <v>19.781500000000001</v>
      </c>
      <c r="AE336">
        <f t="shared" si="65"/>
        <v>0.16601287589499999</v>
      </c>
      <c r="AF336" s="9"/>
      <c r="AG336" s="22">
        <v>1.5416000000000001</v>
      </c>
      <c r="AH336" s="22">
        <v>139.499</v>
      </c>
      <c r="AI336" s="22">
        <v>-1.7187500000000001E-2</v>
      </c>
      <c r="AJ336" s="22">
        <v>326</v>
      </c>
      <c r="AK336" s="22">
        <v>1.5408299999999999</v>
      </c>
      <c r="AL336">
        <f t="shared" si="66"/>
        <v>17.1875</v>
      </c>
      <c r="AM336">
        <f t="shared" si="67"/>
        <v>26.49625</v>
      </c>
      <c r="AP336" s="9"/>
      <c r="AQ336" s="22">
        <v>8.3923299999999999E-3</v>
      </c>
      <c r="AR336" s="22">
        <v>173.55799999999999</v>
      </c>
      <c r="AS336" s="22">
        <v>-1.9775399999999999E-2</v>
      </c>
      <c r="AT336" s="22">
        <v>326</v>
      </c>
      <c r="AU336" s="22">
        <v>8.3068800000000009E-3</v>
      </c>
      <c r="AV336">
        <f t="shared" si="68"/>
        <v>19.775399999999998</v>
      </c>
      <c r="AW336">
        <f t="shared" si="69"/>
        <v>0.16596168268199998</v>
      </c>
      <c r="AX336" s="9"/>
      <c r="AY336" s="22">
        <v>1.5416000000000001</v>
      </c>
      <c r="AZ336" s="22">
        <v>207.584</v>
      </c>
      <c r="BA336" s="22">
        <v>-1.70563E-2</v>
      </c>
      <c r="BB336" s="22">
        <v>326</v>
      </c>
      <c r="BC336" s="22">
        <v>1.54114</v>
      </c>
      <c r="BD336">
        <f t="shared" si="70"/>
        <v>17.0563</v>
      </c>
      <c r="BE336">
        <f t="shared" si="71"/>
        <v>26.293992080000002</v>
      </c>
    </row>
    <row r="337" spans="6:57">
      <c r="F337" s="9"/>
      <c r="G337" s="22">
        <v>3.3569300000000002E-3</v>
      </c>
      <c r="H337" s="22">
        <v>37.427100000000003</v>
      </c>
      <c r="I337" s="22">
        <v>-1.9616700000000001E-2</v>
      </c>
      <c r="J337" s="22">
        <v>327</v>
      </c>
      <c r="K337" s="22">
        <v>3.1646700000000001E-3</v>
      </c>
      <c r="L337">
        <f t="shared" si="60"/>
        <v>19.616700000000002</v>
      </c>
      <c r="M337">
        <f t="shared" si="61"/>
        <v>6.5851888731000008E-2</v>
      </c>
      <c r="N337" s="9"/>
      <c r="O337" s="22">
        <v>1.5466299999999999</v>
      </c>
      <c r="P337" s="22">
        <v>71.480199999999996</v>
      </c>
      <c r="Q337" s="22">
        <v>-1.7010500000000001E-2</v>
      </c>
      <c r="R337" s="22">
        <v>327</v>
      </c>
      <c r="S337" s="22">
        <v>1.54633</v>
      </c>
      <c r="T337">
        <f t="shared" si="62"/>
        <v>17.0105</v>
      </c>
      <c r="U337">
        <f t="shared" si="63"/>
        <v>26.308949615</v>
      </c>
      <c r="X337" s="9"/>
      <c r="Y337" s="22">
        <v>3.3569300000000002E-3</v>
      </c>
      <c r="Z337" s="22">
        <v>105.503</v>
      </c>
      <c r="AA337" s="22">
        <v>-1.9787599999999999E-2</v>
      </c>
      <c r="AB337" s="22">
        <v>327</v>
      </c>
      <c r="AC337" s="22">
        <v>3.3477799999999999E-3</v>
      </c>
      <c r="AD337">
        <f t="shared" si="64"/>
        <v>19.787599999999998</v>
      </c>
      <c r="AE337">
        <f t="shared" si="65"/>
        <v>6.6425588067999988E-2</v>
      </c>
      <c r="AF337" s="9"/>
      <c r="AG337" s="22">
        <v>1.5466299999999999</v>
      </c>
      <c r="AH337" s="22">
        <v>139.51</v>
      </c>
      <c r="AI337" s="22">
        <v>-1.7077599999999998E-2</v>
      </c>
      <c r="AJ337" s="22">
        <v>327</v>
      </c>
      <c r="AK337" s="22">
        <v>1.54572</v>
      </c>
      <c r="AL337">
        <f t="shared" si="66"/>
        <v>17.077599999999997</v>
      </c>
      <c r="AM337">
        <f t="shared" si="67"/>
        <v>26.412728487999996</v>
      </c>
      <c r="AP337" s="9"/>
      <c r="AQ337" s="22">
        <v>3.3569300000000002E-3</v>
      </c>
      <c r="AR337" s="22">
        <v>173.56800000000001</v>
      </c>
      <c r="AS337" s="22">
        <v>-1.97815E-2</v>
      </c>
      <c r="AT337" s="22">
        <v>327</v>
      </c>
      <c r="AU337" s="22">
        <v>3.2409700000000001E-3</v>
      </c>
      <c r="AV337">
        <f t="shared" si="68"/>
        <v>19.781500000000001</v>
      </c>
      <c r="AW337">
        <f t="shared" si="69"/>
        <v>6.6405110795000014E-2</v>
      </c>
      <c r="AX337" s="9"/>
      <c r="AY337" s="22">
        <v>1.5466299999999999</v>
      </c>
      <c r="AZ337" s="22">
        <v>207.59399999999999</v>
      </c>
      <c r="BA337" s="22">
        <v>-1.6909799999999999E-2</v>
      </c>
      <c r="BB337" s="22">
        <v>327</v>
      </c>
      <c r="BC337" s="22">
        <v>1.54633</v>
      </c>
      <c r="BD337">
        <f t="shared" si="70"/>
        <v>16.909800000000001</v>
      </c>
      <c r="BE337">
        <f t="shared" si="71"/>
        <v>26.153203974</v>
      </c>
    </row>
    <row r="338" spans="6:57">
      <c r="F338" s="9"/>
      <c r="G338" s="22">
        <v>-1.67847E-3</v>
      </c>
      <c r="H338" s="22">
        <v>37.437100000000001</v>
      </c>
      <c r="I338" s="22">
        <v>-1.9616700000000001E-2</v>
      </c>
      <c r="J338" s="22">
        <v>328</v>
      </c>
      <c r="K338" s="22">
        <v>-1.87378E-3</v>
      </c>
      <c r="L338">
        <f t="shared" si="60"/>
        <v>19.616700000000002</v>
      </c>
      <c r="M338">
        <f t="shared" si="61"/>
        <v>-3.2926042449000006E-2</v>
      </c>
      <c r="N338" s="9"/>
      <c r="O338" s="22">
        <v>1.5516700000000001</v>
      </c>
      <c r="P338" s="22">
        <v>71.490300000000005</v>
      </c>
      <c r="Q338" s="22">
        <v>-1.68518E-2</v>
      </c>
      <c r="R338" s="22">
        <v>328</v>
      </c>
      <c r="S338" s="22">
        <v>1.55121</v>
      </c>
      <c r="T338">
        <f t="shared" si="62"/>
        <v>16.851800000000001</v>
      </c>
      <c r="U338">
        <f t="shared" si="63"/>
        <v>26.148432506000002</v>
      </c>
      <c r="X338" s="9"/>
      <c r="Y338" s="22">
        <v>-1.67847E-3</v>
      </c>
      <c r="Z338" s="22">
        <v>105.51300000000001</v>
      </c>
      <c r="AA338" s="22">
        <v>-1.9793700000000001E-2</v>
      </c>
      <c r="AB338" s="22">
        <v>328</v>
      </c>
      <c r="AC338" s="22">
        <v>-1.8493699999999999E-3</v>
      </c>
      <c r="AD338">
        <f t="shared" si="64"/>
        <v>19.793700000000001</v>
      </c>
      <c r="AE338">
        <f t="shared" si="65"/>
        <v>-3.3223131639000002E-2</v>
      </c>
      <c r="AF338" s="9"/>
      <c r="AG338" s="22">
        <v>1.5516700000000001</v>
      </c>
      <c r="AH338" s="22">
        <v>139.52000000000001</v>
      </c>
      <c r="AI338" s="22">
        <v>-1.6922E-2</v>
      </c>
      <c r="AJ338" s="22">
        <v>328</v>
      </c>
      <c r="AK338" s="22">
        <v>1.55121</v>
      </c>
      <c r="AL338">
        <f t="shared" si="66"/>
        <v>16.922000000000001</v>
      </c>
      <c r="AM338">
        <f t="shared" si="67"/>
        <v>26.257359740000002</v>
      </c>
      <c r="AP338" s="9"/>
      <c r="AQ338" s="22">
        <v>-1.67847E-3</v>
      </c>
      <c r="AR338" s="22">
        <v>173.578</v>
      </c>
      <c r="AS338" s="22">
        <v>-1.97845E-2</v>
      </c>
      <c r="AT338" s="22">
        <v>328</v>
      </c>
      <c r="AU338" s="22">
        <v>-1.86768E-3</v>
      </c>
      <c r="AV338">
        <f t="shared" si="68"/>
        <v>19.784500000000001</v>
      </c>
      <c r="AW338">
        <f t="shared" si="69"/>
        <v>-3.3207689715000002E-2</v>
      </c>
      <c r="AX338" s="9"/>
      <c r="AY338" s="22">
        <v>1.5516700000000001</v>
      </c>
      <c r="AZ338" s="22">
        <v>207.60400000000001</v>
      </c>
      <c r="BA338" s="22">
        <v>-1.67297E-2</v>
      </c>
      <c r="BB338" s="22">
        <v>328</v>
      </c>
      <c r="BC338" s="22">
        <v>1.5508999999999999</v>
      </c>
      <c r="BD338">
        <f t="shared" si="70"/>
        <v>16.729700000000001</v>
      </c>
      <c r="BE338">
        <f t="shared" si="71"/>
        <v>25.958973599000004</v>
      </c>
    </row>
    <row r="339" spans="6:57">
      <c r="F339" s="9"/>
      <c r="G339" s="22">
        <v>-6.7138700000000003E-3</v>
      </c>
      <c r="H339" s="22">
        <v>37.447200000000002</v>
      </c>
      <c r="I339" s="22">
        <v>-1.96198E-2</v>
      </c>
      <c r="J339" s="22">
        <v>329</v>
      </c>
      <c r="K339" s="22">
        <v>-6.8450899999999999E-3</v>
      </c>
      <c r="L339">
        <f t="shared" si="60"/>
        <v>19.619800000000001</v>
      </c>
      <c r="M339">
        <f t="shared" si="61"/>
        <v>-0.13172478662600001</v>
      </c>
      <c r="N339" s="9"/>
      <c r="O339" s="22">
        <v>1.5567</v>
      </c>
      <c r="P339" s="22">
        <v>71.500399999999999</v>
      </c>
      <c r="Q339" s="22">
        <v>-1.6668700000000002E-2</v>
      </c>
      <c r="R339" s="22">
        <v>329</v>
      </c>
      <c r="S339" s="22">
        <v>1.55548</v>
      </c>
      <c r="T339">
        <f t="shared" si="62"/>
        <v>16.668700000000001</v>
      </c>
      <c r="U339">
        <f t="shared" si="63"/>
        <v>25.948165290000002</v>
      </c>
      <c r="X339" s="9"/>
      <c r="Y339" s="22">
        <v>-6.7138700000000003E-3</v>
      </c>
      <c r="Z339" s="22">
        <v>105.523</v>
      </c>
      <c r="AA339" s="22">
        <v>-1.9799799999999999E-2</v>
      </c>
      <c r="AB339" s="22">
        <v>329</v>
      </c>
      <c r="AC339" s="22">
        <v>-6.8725599999999998E-3</v>
      </c>
      <c r="AD339">
        <f t="shared" si="64"/>
        <v>19.799799999999998</v>
      </c>
      <c r="AE339">
        <f t="shared" si="65"/>
        <v>-0.13293328322599998</v>
      </c>
      <c r="AF339" s="9"/>
      <c r="AG339" s="22">
        <v>1.5567</v>
      </c>
      <c r="AH339" s="22">
        <v>139.53</v>
      </c>
      <c r="AI339" s="22">
        <v>-1.67572E-2</v>
      </c>
      <c r="AJ339" s="22">
        <v>329</v>
      </c>
      <c r="AK339" s="22">
        <v>1.55579</v>
      </c>
      <c r="AL339">
        <f t="shared" si="66"/>
        <v>16.757200000000001</v>
      </c>
      <c r="AM339">
        <f t="shared" si="67"/>
        <v>26.085933240000003</v>
      </c>
      <c r="AP339" s="9"/>
      <c r="AQ339" s="22">
        <v>-6.7138700000000003E-3</v>
      </c>
      <c r="AR339" s="22">
        <v>173.58799999999999</v>
      </c>
      <c r="AS339" s="22">
        <v>-1.9787599999999999E-2</v>
      </c>
      <c r="AT339" s="22">
        <v>329</v>
      </c>
      <c r="AU339" s="22">
        <v>-6.7474400000000004E-3</v>
      </c>
      <c r="AV339">
        <f t="shared" si="68"/>
        <v>19.787599999999998</v>
      </c>
      <c r="AW339">
        <f t="shared" si="69"/>
        <v>-0.13285137401199998</v>
      </c>
      <c r="AX339" s="9"/>
      <c r="AY339" s="22">
        <v>1.5567</v>
      </c>
      <c r="AZ339" s="22">
        <v>207.614</v>
      </c>
      <c r="BA339" s="22">
        <v>-1.6531400000000002E-2</v>
      </c>
      <c r="BB339" s="22">
        <v>329</v>
      </c>
      <c r="BC339" s="22">
        <v>1.55609</v>
      </c>
      <c r="BD339">
        <f t="shared" si="70"/>
        <v>16.531400000000001</v>
      </c>
      <c r="BE339">
        <f t="shared" si="71"/>
        <v>25.734430380000003</v>
      </c>
    </row>
    <row r="340" spans="6:57">
      <c r="F340" s="9"/>
      <c r="G340" s="22">
        <v>-1.1749300000000001E-2</v>
      </c>
      <c r="H340" s="22">
        <v>37.457299999999996</v>
      </c>
      <c r="I340" s="22">
        <v>-1.9625900000000002E-2</v>
      </c>
      <c r="J340" s="22">
        <v>330</v>
      </c>
      <c r="K340" s="22">
        <v>-1.2020899999999999E-2</v>
      </c>
      <c r="L340">
        <f t="shared" si="60"/>
        <v>19.625900000000001</v>
      </c>
      <c r="M340">
        <f t="shared" si="61"/>
        <v>-0.23059058687000003</v>
      </c>
      <c r="N340" s="9"/>
      <c r="O340" s="22">
        <v>1.5617399999999999</v>
      </c>
      <c r="P340" s="22">
        <v>71.510400000000004</v>
      </c>
      <c r="Q340" s="22">
        <v>-1.64703E-2</v>
      </c>
      <c r="R340" s="22">
        <v>330</v>
      </c>
      <c r="S340" s="22">
        <v>1.56067</v>
      </c>
      <c r="T340">
        <f t="shared" si="62"/>
        <v>16.470300000000002</v>
      </c>
      <c r="U340">
        <f t="shared" si="63"/>
        <v>25.722326322000001</v>
      </c>
      <c r="X340" s="9"/>
      <c r="Y340" s="22">
        <v>-1.1749300000000001E-2</v>
      </c>
      <c r="Z340" s="22">
        <v>105.53400000000001</v>
      </c>
      <c r="AA340" s="22">
        <v>-1.9805900000000001E-2</v>
      </c>
      <c r="AB340" s="22">
        <v>330</v>
      </c>
      <c r="AC340" s="22">
        <v>-1.19934E-2</v>
      </c>
      <c r="AD340">
        <f t="shared" si="64"/>
        <v>19.805900000000001</v>
      </c>
      <c r="AE340">
        <f t="shared" si="65"/>
        <v>-0.23270546087000002</v>
      </c>
      <c r="AF340" s="9"/>
      <c r="AG340" s="22">
        <v>1.5617399999999999</v>
      </c>
      <c r="AH340" s="22">
        <v>139.54</v>
      </c>
      <c r="AI340" s="22">
        <v>-1.6555799999999999E-2</v>
      </c>
      <c r="AJ340" s="22">
        <v>330</v>
      </c>
      <c r="AK340" s="22">
        <v>1.56067</v>
      </c>
      <c r="AL340">
        <f t="shared" si="66"/>
        <v>16.555799999999998</v>
      </c>
      <c r="AM340">
        <f t="shared" si="67"/>
        <v>25.855855091999995</v>
      </c>
      <c r="AP340" s="9"/>
      <c r="AQ340" s="22">
        <v>-1.1749300000000001E-2</v>
      </c>
      <c r="AR340" s="22">
        <v>173.59800000000001</v>
      </c>
      <c r="AS340" s="22">
        <v>-1.9793700000000001E-2</v>
      </c>
      <c r="AT340" s="22">
        <v>330</v>
      </c>
      <c r="AU340" s="22">
        <v>-1.1795E-2</v>
      </c>
      <c r="AV340">
        <f t="shared" si="68"/>
        <v>19.793700000000001</v>
      </c>
      <c r="AW340">
        <f t="shared" si="69"/>
        <v>-0.23256211941000002</v>
      </c>
      <c r="AX340" s="9"/>
      <c r="AY340" s="22">
        <v>1.5617399999999999</v>
      </c>
      <c r="AZ340" s="22">
        <v>207.624</v>
      </c>
      <c r="BA340" s="22">
        <v>-1.6296399999999999E-2</v>
      </c>
      <c r="BB340" s="22">
        <v>330</v>
      </c>
      <c r="BC340" s="22">
        <v>1.56067</v>
      </c>
      <c r="BD340">
        <f t="shared" si="70"/>
        <v>16.296399999999998</v>
      </c>
      <c r="BE340">
        <f t="shared" si="71"/>
        <v>25.450739735999996</v>
      </c>
    </row>
    <row r="341" spans="6:57">
      <c r="F341" s="9"/>
      <c r="G341" s="22">
        <v>-1.67847E-2</v>
      </c>
      <c r="H341" s="22">
        <v>37.467399999999998</v>
      </c>
      <c r="I341" s="22">
        <v>-1.9628900000000001E-2</v>
      </c>
      <c r="J341" s="22">
        <v>331</v>
      </c>
      <c r="K341" s="22">
        <v>-1.7135600000000001E-2</v>
      </c>
      <c r="L341">
        <f t="shared" si="60"/>
        <v>19.628900000000002</v>
      </c>
      <c r="M341">
        <f t="shared" si="61"/>
        <v>-0.32946519783</v>
      </c>
      <c r="N341" s="9"/>
      <c r="O341" s="22">
        <v>1.56677</v>
      </c>
      <c r="P341" s="22">
        <v>71.520499999999998</v>
      </c>
      <c r="Q341" s="22">
        <v>-1.6232300000000002E-2</v>
      </c>
      <c r="R341" s="22">
        <v>331</v>
      </c>
      <c r="S341" s="22">
        <v>1.56555</v>
      </c>
      <c r="T341">
        <f t="shared" si="62"/>
        <v>16.232300000000002</v>
      </c>
      <c r="U341">
        <f t="shared" si="63"/>
        <v>25.432280671000004</v>
      </c>
      <c r="X341" s="9"/>
      <c r="Y341" s="22">
        <v>-1.67847E-2</v>
      </c>
      <c r="Z341" s="22">
        <v>105.544</v>
      </c>
      <c r="AA341" s="22">
        <v>-1.9812E-2</v>
      </c>
      <c r="AB341" s="22">
        <v>331</v>
      </c>
      <c r="AC341" s="22">
        <v>-1.6986100000000001E-2</v>
      </c>
      <c r="AD341">
        <f t="shared" si="64"/>
        <v>19.812000000000001</v>
      </c>
      <c r="AE341">
        <f t="shared" si="65"/>
        <v>-0.3325384764</v>
      </c>
      <c r="AF341" s="9"/>
      <c r="AG341" s="22">
        <v>1.56677</v>
      </c>
      <c r="AH341" s="22">
        <v>139.55000000000001</v>
      </c>
      <c r="AI341" s="22">
        <v>-1.6326899999999998E-2</v>
      </c>
      <c r="AJ341" s="22">
        <v>331</v>
      </c>
      <c r="AK341" s="22">
        <v>1.56647</v>
      </c>
      <c r="AL341">
        <f t="shared" si="66"/>
        <v>16.326899999999998</v>
      </c>
      <c r="AM341">
        <f t="shared" si="67"/>
        <v>25.580497112999996</v>
      </c>
      <c r="AP341" s="9"/>
      <c r="AQ341" s="22">
        <v>-1.67847E-2</v>
      </c>
      <c r="AR341" s="22">
        <v>173.608</v>
      </c>
      <c r="AS341" s="22">
        <v>-1.9799799999999999E-2</v>
      </c>
      <c r="AT341" s="22">
        <v>331</v>
      </c>
      <c r="AU341" s="22">
        <v>-1.7025800000000001E-2</v>
      </c>
      <c r="AV341">
        <f t="shared" si="68"/>
        <v>19.799799999999998</v>
      </c>
      <c r="AW341">
        <f t="shared" si="69"/>
        <v>-0.33233370305999993</v>
      </c>
      <c r="AX341" s="9"/>
      <c r="AY341" s="22">
        <v>1.56677</v>
      </c>
      <c r="AZ341" s="22">
        <v>207.63499999999999</v>
      </c>
      <c r="BA341" s="22">
        <v>-1.6024799999999999E-2</v>
      </c>
      <c r="BB341" s="22">
        <v>331</v>
      </c>
      <c r="BC341" s="22">
        <v>1.56555</v>
      </c>
      <c r="BD341">
        <f t="shared" si="70"/>
        <v>16.024799999999999</v>
      </c>
      <c r="BE341">
        <f t="shared" si="71"/>
        <v>25.107175895999998</v>
      </c>
    </row>
    <row r="342" spans="6:57">
      <c r="F342" s="9"/>
      <c r="G342" s="22">
        <v>-2.1820099999999999E-2</v>
      </c>
      <c r="H342" s="22">
        <v>37.477400000000003</v>
      </c>
      <c r="I342" s="22">
        <v>-1.9638099999999999E-2</v>
      </c>
      <c r="J342" s="22">
        <v>332</v>
      </c>
      <c r="K342" s="22">
        <v>-2.22626E-2</v>
      </c>
      <c r="L342">
        <f t="shared" si="60"/>
        <v>19.638099999999998</v>
      </c>
      <c r="M342">
        <f t="shared" si="61"/>
        <v>-0.4285053058099999</v>
      </c>
      <c r="N342" s="9"/>
      <c r="O342" s="22">
        <v>1.5718099999999999</v>
      </c>
      <c r="P342" s="22">
        <v>71.530600000000007</v>
      </c>
      <c r="Q342" s="22">
        <v>-1.59515E-2</v>
      </c>
      <c r="R342" s="22">
        <v>332</v>
      </c>
      <c r="S342" s="22">
        <v>1.57074</v>
      </c>
      <c r="T342">
        <f t="shared" si="62"/>
        <v>15.951500000000001</v>
      </c>
      <c r="U342">
        <f t="shared" si="63"/>
        <v>25.072727215</v>
      </c>
      <c r="X342" s="9"/>
      <c r="Y342" s="22">
        <v>-2.1820099999999999E-2</v>
      </c>
      <c r="Z342" s="22">
        <v>105.554</v>
      </c>
      <c r="AA342" s="22">
        <v>-1.9815099999999999E-2</v>
      </c>
      <c r="AB342" s="22">
        <v>332</v>
      </c>
      <c r="AC342" s="22">
        <v>-2.2137500000000001E-2</v>
      </c>
      <c r="AD342">
        <f t="shared" si="64"/>
        <v>19.815099999999997</v>
      </c>
      <c r="AE342">
        <f t="shared" si="65"/>
        <v>-0.43236746350999994</v>
      </c>
      <c r="AF342" s="9"/>
      <c r="AG342" s="22">
        <v>1.5718099999999999</v>
      </c>
      <c r="AH342" s="22">
        <v>139.56</v>
      </c>
      <c r="AI342" s="22">
        <v>-1.6064499999999999E-2</v>
      </c>
      <c r="AJ342" s="22">
        <v>332</v>
      </c>
      <c r="AK342" s="22">
        <v>1.57074</v>
      </c>
      <c r="AL342">
        <f t="shared" si="66"/>
        <v>16.064499999999999</v>
      </c>
      <c r="AM342">
        <f t="shared" si="67"/>
        <v>25.250341744999997</v>
      </c>
      <c r="AP342" s="9"/>
      <c r="AQ342" s="22">
        <v>-2.1820099999999999E-2</v>
      </c>
      <c r="AR342" s="22">
        <v>173.61799999999999</v>
      </c>
      <c r="AS342" s="22">
        <v>-1.9802899999999998E-2</v>
      </c>
      <c r="AT342" s="22">
        <v>332</v>
      </c>
      <c r="AU342" s="22">
        <v>-2.1795700000000001E-2</v>
      </c>
      <c r="AV342">
        <f t="shared" si="68"/>
        <v>19.802899999999998</v>
      </c>
      <c r="AW342">
        <f t="shared" si="69"/>
        <v>-0.4321012582899999</v>
      </c>
      <c r="AX342" s="9"/>
      <c r="AY342" s="22">
        <v>1.5718099999999999</v>
      </c>
      <c r="AZ342" s="22">
        <v>207.64500000000001</v>
      </c>
      <c r="BA342" s="22">
        <v>-1.56799E-2</v>
      </c>
      <c r="BB342" s="22">
        <v>332</v>
      </c>
      <c r="BC342" s="22">
        <v>1.57074</v>
      </c>
      <c r="BD342">
        <f t="shared" si="70"/>
        <v>15.6799</v>
      </c>
      <c r="BE342">
        <f t="shared" si="71"/>
        <v>24.645823618999998</v>
      </c>
    </row>
    <row r="343" spans="6:57">
      <c r="F343" s="9"/>
      <c r="G343" s="22">
        <v>-2.6855500000000001E-2</v>
      </c>
      <c r="H343" s="22">
        <v>37.487499999999997</v>
      </c>
      <c r="I343" s="22">
        <v>-1.9644200000000001E-2</v>
      </c>
      <c r="J343" s="22">
        <v>333</v>
      </c>
      <c r="K343" s="22">
        <v>-2.7063E-2</v>
      </c>
      <c r="L343">
        <f t="shared" si="60"/>
        <v>19.644200000000001</v>
      </c>
      <c r="M343">
        <f t="shared" si="61"/>
        <v>-0.52755481310000008</v>
      </c>
      <c r="N343" s="9"/>
      <c r="O343" s="22">
        <v>1.57684</v>
      </c>
      <c r="P343" s="22">
        <v>71.540599999999998</v>
      </c>
      <c r="Q343" s="22">
        <v>-1.56189E-2</v>
      </c>
      <c r="R343" s="22">
        <v>333</v>
      </c>
      <c r="S343" s="22">
        <v>1.5759300000000001</v>
      </c>
      <c r="T343">
        <f t="shared" si="62"/>
        <v>15.6189</v>
      </c>
      <c r="U343">
        <f t="shared" si="63"/>
        <v>24.628506276</v>
      </c>
      <c r="X343" s="9"/>
      <c r="Y343" s="22">
        <v>-2.6855500000000001E-2</v>
      </c>
      <c r="Z343" s="22">
        <v>105.56399999999999</v>
      </c>
      <c r="AA343" s="22">
        <v>-1.9818100000000002E-2</v>
      </c>
      <c r="AB343" s="22">
        <v>333</v>
      </c>
      <c r="AC343" s="22">
        <v>-2.74048E-2</v>
      </c>
      <c r="AD343">
        <f t="shared" si="64"/>
        <v>19.818100000000001</v>
      </c>
      <c r="AE343">
        <f t="shared" si="65"/>
        <v>-0.53222498455</v>
      </c>
      <c r="AF343" s="9"/>
      <c r="AG343" s="22">
        <v>1.57684</v>
      </c>
      <c r="AH343" s="22">
        <v>139.57</v>
      </c>
      <c r="AI343" s="22">
        <v>-1.5737899999999999E-2</v>
      </c>
      <c r="AJ343" s="22">
        <v>333</v>
      </c>
      <c r="AK343" s="22">
        <v>1.57623</v>
      </c>
      <c r="AL343">
        <f t="shared" si="66"/>
        <v>15.7379</v>
      </c>
      <c r="AM343">
        <f t="shared" si="67"/>
        <v>24.816150235999999</v>
      </c>
      <c r="AP343" s="9"/>
      <c r="AQ343" s="22">
        <v>-2.6855500000000001E-2</v>
      </c>
      <c r="AR343" s="22">
        <v>173.62899999999999</v>
      </c>
      <c r="AS343" s="22">
        <v>-1.9805900000000001E-2</v>
      </c>
      <c r="AT343" s="22">
        <v>333</v>
      </c>
      <c r="AU343" s="22">
        <v>-2.7087400000000001E-2</v>
      </c>
      <c r="AV343">
        <f t="shared" si="68"/>
        <v>19.805900000000001</v>
      </c>
      <c r="AW343">
        <f t="shared" si="69"/>
        <v>-0.53189734745000006</v>
      </c>
      <c r="AX343" s="9"/>
      <c r="AY343" s="22">
        <v>1.57684</v>
      </c>
      <c r="AZ343" s="22">
        <v>207.655</v>
      </c>
      <c r="BA343" s="22">
        <v>-1.52893E-2</v>
      </c>
      <c r="BB343" s="22">
        <v>333</v>
      </c>
      <c r="BC343" s="22">
        <v>1.5759300000000001</v>
      </c>
      <c r="BD343">
        <f t="shared" si="70"/>
        <v>15.289300000000001</v>
      </c>
      <c r="BE343">
        <f t="shared" si="71"/>
        <v>24.108779812000002</v>
      </c>
    </row>
    <row r="344" spans="6:57">
      <c r="F344" s="9"/>
      <c r="G344" s="22">
        <v>-3.18909E-2</v>
      </c>
      <c r="H344" s="22">
        <v>37.497599999999998</v>
      </c>
      <c r="I344" s="22">
        <v>-1.96472E-2</v>
      </c>
      <c r="J344" s="22">
        <v>334</v>
      </c>
      <c r="K344" s="22">
        <v>-3.2134999999999997E-2</v>
      </c>
      <c r="L344">
        <f t="shared" si="60"/>
        <v>19.647200000000002</v>
      </c>
      <c r="M344">
        <f t="shared" si="61"/>
        <v>-0.62656689048000003</v>
      </c>
      <c r="N344" s="9"/>
      <c r="O344" s="22">
        <v>1.58188</v>
      </c>
      <c r="P344" s="22">
        <v>71.550700000000006</v>
      </c>
      <c r="Q344" s="22">
        <v>-1.5213000000000001E-2</v>
      </c>
      <c r="R344" s="22">
        <v>334</v>
      </c>
      <c r="S344" s="22">
        <v>1.5805100000000001</v>
      </c>
      <c r="T344">
        <f t="shared" si="62"/>
        <v>15.213000000000001</v>
      </c>
      <c r="U344">
        <f t="shared" si="63"/>
        <v>24.06514044</v>
      </c>
      <c r="X344" s="9"/>
      <c r="Y344" s="22">
        <v>-3.18909E-2</v>
      </c>
      <c r="Z344" s="22">
        <v>105.574</v>
      </c>
      <c r="AA344" s="22">
        <v>-1.9821200000000001E-2</v>
      </c>
      <c r="AB344" s="22">
        <v>334</v>
      </c>
      <c r="AC344" s="22">
        <v>-3.1686400000000003E-2</v>
      </c>
      <c r="AD344">
        <f t="shared" si="64"/>
        <v>19.821200000000001</v>
      </c>
      <c r="AE344">
        <f t="shared" si="65"/>
        <v>-0.63211590707999998</v>
      </c>
      <c r="AF344" s="9"/>
      <c r="AG344" s="22">
        <v>1.58188</v>
      </c>
      <c r="AH344" s="22">
        <v>139.58000000000001</v>
      </c>
      <c r="AI344" s="22">
        <v>-1.53534E-2</v>
      </c>
      <c r="AJ344" s="22">
        <v>334</v>
      </c>
      <c r="AK344" s="22">
        <v>1.58142</v>
      </c>
      <c r="AL344">
        <f t="shared" si="66"/>
        <v>15.353399999999999</v>
      </c>
      <c r="AM344">
        <f t="shared" si="67"/>
        <v>24.287236391999997</v>
      </c>
      <c r="AP344" s="9"/>
      <c r="AQ344" s="22">
        <v>-3.18909E-2</v>
      </c>
      <c r="AR344" s="22">
        <v>173.63900000000001</v>
      </c>
      <c r="AS344" s="22">
        <v>-1.9809E-2</v>
      </c>
      <c r="AT344" s="22">
        <v>334</v>
      </c>
      <c r="AU344" s="22">
        <v>-3.2238799999999998E-2</v>
      </c>
      <c r="AV344">
        <f t="shared" si="68"/>
        <v>19.809000000000001</v>
      </c>
      <c r="AW344">
        <f t="shared" si="69"/>
        <v>-0.63172683810000008</v>
      </c>
      <c r="AX344" s="9"/>
      <c r="AY344" s="22">
        <v>1.58188</v>
      </c>
      <c r="AZ344" s="22">
        <v>207.66499999999999</v>
      </c>
      <c r="BA344" s="22">
        <v>-1.4819300000000001E-2</v>
      </c>
      <c r="BB344" s="22">
        <v>334</v>
      </c>
      <c r="BC344" s="22">
        <v>1.58142</v>
      </c>
      <c r="BD344">
        <f t="shared" si="70"/>
        <v>14.8193</v>
      </c>
      <c r="BE344">
        <f t="shared" si="71"/>
        <v>23.442354284</v>
      </c>
    </row>
    <row r="345" spans="6:57">
      <c r="F345" s="9"/>
      <c r="G345" s="22">
        <v>-3.6926300000000002E-2</v>
      </c>
      <c r="H345" s="22">
        <v>37.507599999999996</v>
      </c>
      <c r="I345" s="22">
        <v>-1.9653299999999999E-2</v>
      </c>
      <c r="J345" s="22">
        <v>335</v>
      </c>
      <c r="K345" s="22">
        <v>-3.6993400000000003E-2</v>
      </c>
      <c r="L345">
        <f t="shared" si="60"/>
        <v>19.653299999999998</v>
      </c>
      <c r="M345">
        <f t="shared" si="61"/>
        <v>-0.72572365178999998</v>
      </c>
      <c r="N345" s="9"/>
      <c r="O345" s="22">
        <v>1.58691</v>
      </c>
      <c r="P345" s="22">
        <v>71.5608</v>
      </c>
      <c r="Q345" s="22">
        <v>-1.4749099999999999E-2</v>
      </c>
      <c r="R345" s="22">
        <v>335</v>
      </c>
      <c r="S345" s="22">
        <v>1.58569</v>
      </c>
      <c r="T345">
        <f t="shared" si="62"/>
        <v>14.749099999999999</v>
      </c>
      <c r="U345">
        <f t="shared" si="63"/>
        <v>23.405494280999999</v>
      </c>
      <c r="X345" s="9"/>
      <c r="Y345" s="22">
        <v>-3.6926300000000002E-2</v>
      </c>
      <c r="Z345" s="22">
        <v>105.584</v>
      </c>
      <c r="AA345" s="22">
        <v>-1.9821200000000001E-2</v>
      </c>
      <c r="AB345" s="22">
        <v>335</v>
      </c>
      <c r="AC345" s="22">
        <v>-3.7173499999999998E-2</v>
      </c>
      <c r="AD345">
        <f t="shared" si="64"/>
        <v>19.821200000000001</v>
      </c>
      <c r="AE345">
        <f t="shared" si="65"/>
        <v>-0.73192357756000004</v>
      </c>
      <c r="AF345" s="9"/>
      <c r="AG345" s="22">
        <v>1.58691</v>
      </c>
      <c r="AH345" s="22">
        <v>139.59</v>
      </c>
      <c r="AI345" s="22">
        <v>-1.48743E-2</v>
      </c>
      <c r="AJ345" s="22">
        <v>335</v>
      </c>
      <c r="AK345" s="22">
        <v>1.5863</v>
      </c>
      <c r="AL345">
        <f t="shared" si="66"/>
        <v>14.8743</v>
      </c>
      <c r="AM345">
        <f t="shared" si="67"/>
        <v>23.604175413</v>
      </c>
      <c r="AP345" s="9"/>
      <c r="AQ345" s="22">
        <v>-3.6926300000000002E-2</v>
      </c>
      <c r="AR345" s="22">
        <v>173.649</v>
      </c>
      <c r="AS345" s="22">
        <v>-1.9815099999999999E-2</v>
      </c>
      <c r="AT345" s="22">
        <v>335</v>
      </c>
      <c r="AU345" s="22">
        <v>-3.7115500000000003E-2</v>
      </c>
      <c r="AV345">
        <f t="shared" si="68"/>
        <v>19.815099999999997</v>
      </c>
      <c r="AW345">
        <f t="shared" si="69"/>
        <v>-0.73169832712999994</v>
      </c>
      <c r="AX345" s="9"/>
      <c r="AY345" s="22">
        <v>1.58691</v>
      </c>
      <c r="AZ345" s="22">
        <v>207.67500000000001</v>
      </c>
      <c r="BA345" s="22">
        <v>-1.4202899999999999E-2</v>
      </c>
      <c r="BB345" s="22">
        <v>335</v>
      </c>
      <c r="BC345" s="22">
        <v>1.58569</v>
      </c>
      <c r="BD345">
        <f t="shared" si="70"/>
        <v>14.2029</v>
      </c>
      <c r="BE345">
        <f t="shared" si="71"/>
        <v>22.538724039000002</v>
      </c>
    </row>
    <row r="346" spans="6:57">
      <c r="F346" s="9"/>
      <c r="G346" s="22">
        <v>-4.1961699999999998E-2</v>
      </c>
      <c r="H346" s="22">
        <v>37.517699999999998</v>
      </c>
      <c r="I346" s="22">
        <v>-1.96594E-2</v>
      </c>
      <c r="J346" s="22">
        <v>336</v>
      </c>
      <c r="K346" s="22">
        <v>-4.2098999999999998E-2</v>
      </c>
      <c r="L346">
        <f t="shared" si="60"/>
        <v>19.659400000000002</v>
      </c>
      <c r="M346">
        <f t="shared" si="61"/>
        <v>-0.82494184498000001</v>
      </c>
      <c r="N346" s="9"/>
      <c r="O346" s="22">
        <v>1.59195</v>
      </c>
      <c r="P346" s="22">
        <v>71.570899999999995</v>
      </c>
      <c r="Q346" s="22">
        <v>-1.4175399999999999E-2</v>
      </c>
      <c r="R346" s="22">
        <v>336</v>
      </c>
      <c r="S346" s="22">
        <v>1.5908800000000001</v>
      </c>
      <c r="T346">
        <f t="shared" si="62"/>
        <v>14.1754</v>
      </c>
      <c r="U346">
        <f t="shared" si="63"/>
        <v>22.566528030000001</v>
      </c>
      <c r="X346" s="9"/>
      <c r="Y346" s="22">
        <v>-4.1961699999999998E-2</v>
      </c>
      <c r="Z346" s="22">
        <v>105.59399999999999</v>
      </c>
      <c r="AA346" s="22">
        <v>-1.9830299999999999E-2</v>
      </c>
      <c r="AB346" s="22">
        <v>336</v>
      </c>
      <c r="AC346" s="22">
        <v>-4.2117300000000003E-2</v>
      </c>
      <c r="AD346">
        <f t="shared" si="64"/>
        <v>19.830299999999998</v>
      </c>
      <c r="AE346">
        <f t="shared" si="65"/>
        <v>-0.8321130995099999</v>
      </c>
      <c r="AF346" s="9"/>
      <c r="AG346" s="22">
        <v>1.59195</v>
      </c>
      <c r="AH346" s="22">
        <v>139.6</v>
      </c>
      <c r="AI346" s="22">
        <v>-1.42487E-2</v>
      </c>
      <c r="AJ346" s="22">
        <v>336</v>
      </c>
      <c r="AK346" s="22">
        <v>1.5908800000000001</v>
      </c>
      <c r="AL346">
        <f t="shared" si="66"/>
        <v>14.248699999999999</v>
      </c>
      <c r="AM346">
        <f t="shared" si="67"/>
        <v>22.683217964999997</v>
      </c>
      <c r="AP346" s="9"/>
      <c r="AQ346" s="22">
        <v>-4.1961699999999998E-2</v>
      </c>
      <c r="AR346" s="22">
        <v>173.65899999999999</v>
      </c>
      <c r="AS346" s="22">
        <v>-1.9818100000000002E-2</v>
      </c>
      <c r="AT346" s="22">
        <v>336</v>
      </c>
      <c r="AU346" s="22">
        <v>-4.2187500000000003E-2</v>
      </c>
      <c r="AV346">
        <f t="shared" si="68"/>
        <v>19.818100000000001</v>
      </c>
      <c r="AW346">
        <f t="shared" si="69"/>
        <v>-0.83160116676999996</v>
      </c>
      <c r="AX346" s="9"/>
      <c r="AY346" s="22">
        <v>1.59195</v>
      </c>
      <c r="AZ346" s="22">
        <v>207.685</v>
      </c>
      <c r="BA346" s="22">
        <v>-1.34552E-2</v>
      </c>
      <c r="BB346" s="22">
        <v>336</v>
      </c>
      <c r="BC346" s="22">
        <v>1.5914900000000001</v>
      </c>
      <c r="BD346">
        <f t="shared" si="70"/>
        <v>13.455200000000001</v>
      </c>
      <c r="BE346">
        <f t="shared" si="71"/>
        <v>21.420005640000003</v>
      </c>
    </row>
    <row r="347" spans="6:57">
      <c r="F347" s="9"/>
      <c r="G347" s="22">
        <v>-4.69971E-2</v>
      </c>
      <c r="H347" s="22">
        <v>37.527799999999999</v>
      </c>
      <c r="I347" s="22">
        <v>-1.9665499999999999E-2</v>
      </c>
      <c r="J347" s="22">
        <v>337</v>
      </c>
      <c r="K347" s="22">
        <v>-4.7079500000000003E-2</v>
      </c>
      <c r="L347">
        <f t="shared" si="60"/>
        <v>19.665499999999998</v>
      </c>
      <c r="M347">
        <f t="shared" si="61"/>
        <v>-0.92422147004999988</v>
      </c>
      <c r="N347" s="9"/>
      <c r="O347" s="22">
        <v>1.5969800000000001</v>
      </c>
      <c r="P347" s="22">
        <v>71.5809</v>
      </c>
      <c r="Q347" s="22">
        <v>-1.3412500000000001E-2</v>
      </c>
      <c r="R347" s="22">
        <v>337</v>
      </c>
      <c r="S347" s="22">
        <v>1.5963700000000001</v>
      </c>
      <c r="T347">
        <f t="shared" si="62"/>
        <v>13.412500000000001</v>
      </c>
      <c r="U347">
        <f t="shared" si="63"/>
        <v>21.419494250000003</v>
      </c>
      <c r="X347" s="9"/>
      <c r="Y347" s="22">
        <v>-4.69971E-2</v>
      </c>
      <c r="Z347" s="22">
        <v>105.604</v>
      </c>
      <c r="AA347" s="22">
        <v>-1.9833400000000001E-2</v>
      </c>
      <c r="AB347" s="22">
        <v>337</v>
      </c>
      <c r="AC347" s="22">
        <v>-4.74457E-2</v>
      </c>
      <c r="AD347">
        <f t="shared" si="64"/>
        <v>19.833400000000001</v>
      </c>
      <c r="AE347">
        <f t="shared" si="65"/>
        <v>-0.93211228314000005</v>
      </c>
      <c r="AF347" s="9"/>
      <c r="AG347" s="22">
        <v>1.5969800000000001</v>
      </c>
      <c r="AH347" s="22">
        <v>139.61000000000001</v>
      </c>
      <c r="AI347" s="22">
        <v>-1.35193E-2</v>
      </c>
      <c r="AJ347" s="22">
        <v>337</v>
      </c>
      <c r="AK347" s="22">
        <v>1.5960700000000001</v>
      </c>
      <c r="AL347">
        <f t="shared" si="66"/>
        <v>13.519299999999999</v>
      </c>
      <c r="AM347">
        <f t="shared" si="67"/>
        <v>21.590051714000001</v>
      </c>
      <c r="AP347" s="9"/>
      <c r="AQ347" s="22">
        <v>-4.69971E-2</v>
      </c>
      <c r="AR347" s="22">
        <v>173.66900000000001</v>
      </c>
      <c r="AS347" s="22">
        <v>-1.98242E-2</v>
      </c>
      <c r="AT347" s="22">
        <v>337</v>
      </c>
      <c r="AU347" s="22">
        <v>-4.7338900000000003E-2</v>
      </c>
      <c r="AV347">
        <f t="shared" si="68"/>
        <v>19.824200000000001</v>
      </c>
      <c r="AW347">
        <f t="shared" si="69"/>
        <v>-0.93167990982000004</v>
      </c>
      <c r="AX347" s="9"/>
      <c r="AY347" s="22">
        <v>1.5969800000000001</v>
      </c>
      <c r="AZ347" s="22">
        <v>207.69499999999999</v>
      </c>
      <c r="BA347" s="22">
        <v>-1.24084E-2</v>
      </c>
      <c r="BB347" s="22">
        <v>337</v>
      </c>
      <c r="BC347" s="22">
        <v>1.5960700000000001</v>
      </c>
      <c r="BD347">
        <f t="shared" si="70"/>
        <v>12.4084</v>
      </c>
      <c r="BE347">
        <f t="shared" si="71"/>
        <v>19.815966632000002</v>
      </c>
    </row>
    <row r="348" spans="6:57">
      <c r="F348" s="9"/>
      <c r="G348" s="22">
        <v>-5.2032500000000002E-2</v>
      </c>
      <c r="H348" s="22">
        <v>37.5379</v>
      </c>
      <c r="I348" s="22">
        <v>-1.9668600000000001E-2</v>
      </c>
      <c r="J348" s="22">
        <v>338</v>
      </c>
      <c r="K348" s="22">
        <v>-5.2734400000000001E-2</v>
      </c>
      <c r="L348">
        <f t="shared" si="60"/>
        <v>19.668600000000001</v>
      </c>
      <c r="M348">
        <f t="shared" si="61"/>
        <v>-1.0234064295</v>
      </c>
      <c r="N348" s="9"/>
      <c r="O348" s="22">
        <v>1.60202</v>
      </c>
      <c r="P348" s="22">
        <v>71.590999999999994</v>
      </c>
      <c r="Q348" s="22">
        <v>-1.2390099999999999E-2</v>
      </c>
      <c r="R348" s="22">
        <v>338</v>
      </c>
      <c r="S348" s="22">
        <v>1.6006499999999999</v>
      </c>
      <c r="T348">
        <f t="shared" si="62"/>
        <v>12.390099999999999</v>
      </c>
      <c r="U348">
        <f t="shared" si="63"/>
        <v>19.849188001999998</v>
      </c>
      <c r="X348" s="9"/>
      <c r="Y348" s="22">
        <v>-5.2032500000000002E-2</v>
      </c>
      <c r="Z348" s="22">
        <v>105.614</v>
      </c>
      <c r="AA348" s="22">
        <v>-1.9836400000000001E-2</v>
      </c>
      <c r="AB348" s="22">
        <v>338</v>
      </c>
      <c r="AC348" s="22">
        <v>-5.2612300000000001E-2</v>
      </c>
      <c r="AD348">
        <f t="shared" si="64"/>
        <v>19.836400000000001</v>
      </c>
      <c r="AE348">
        <f t="shared" si="65"/>
        <v>-1.0321374830000001</v>
      </c>
      <c r="AF348" s="9"/>
      <c r="AG348" s="22">
        <v>1.60202</v>
      </c>
      <c r="AH348" s="22">
        <v>139.62</v>
      </c>
      <c r="AI348" s="22">
        <v>-1.2560999999999999E-2</v>
      </c>
      <c r="AJ348" s="22">
        <v>338</v>
      </c>
      <c r="AK348" s="22">
        <v>1.6012599999999999</v>
      </c>
      <c r="AL348">
        <f t="shared" si="66"/>
        <v>12.561</v>
      </c>
      <c r="AM348">
        <f t="shared" si="67"/>
        <v>20.122973219999999</v>
      </c>
      <c r="AP348" s="9"/>
      <c r="AQ348" s="22">
        <v>-5.2032500000000002E-2</v>
      </c>
      <c r="AR348" s="22">
        <v>173.679</v>
      </c>
      <c r="AS348" s="22">
        <v>-1.9830299999999999E-2</v>
      </c>
      <c r="AT348" s="22">
        <v>338</v>
      </c>
      <c r="AU348" s="22">
        <v>-5.2642799999999997E-2</v>
      </c>
      <c r="AV348">
        <f t="shared" si="68"/>
        <v>19.830299999999998</v>
      </c>
      <c r="AW348">
        <f t="shared" si="69"/>
        <v>-1.0318200847499999</v>
      </c>
      <c r="AX348" s="9"/>
      <c r="AY348" s="22">
        <v>1.60202</v>
      </c>
      <c r="AZ348" s="22">
        <v>207.70500000000001</v>
      </c>
      <c r="BA348" s="22">
        <v>-1.09528E-2</v>
      </c>
      <c r="BB348" s="22">
        <v>338</v>
      </c>
      <c r="BC348" s="22">
        <v>1.6018699999999999</v>
      </c>
      <c r="BD348">
        <f t="shared" si="70"/>
        <v>10.9528</v>
      </c>
      <c r="BE348">
        <f t="shared" si="71"/>
        <v>17.546604656</v>
      </c>
    </row>
    <row r="349" spans="6:57">
      <c r="F349" s="9"/>
      <c r="G349" s="22">
        <v>-5.7067899999999998E-2</v>
      </c>
      <c r="H349" s="22">
        <v>37.547899999999998</v>
      </c>
      <c r="I349" s="22">
        <v>-1.9668600000000001E-2</v>
      </c>
      <c r="J349" s="22">
        <v>339</v>
      </c>
      <c r="K349" s="22">
        <v>-5.74951E-2</v>
      </c>
      <c r="L349">
        <f t="shared" si="60"/>
        <v>19.668600000000001</v>
      </c>
      <c r="M349">
        <f t="shared" si="61"/>
        <v>-1.1224456979399999</v>
      </c>
      <c r="N349" s="9"/>
      <c r="O349" s="22">
        <v>1.6070599999999999</v>
      </c>
      <c r="P349" s="22">
        <v>71.601100000000002</v>
      </c>
      <c r="Q349" s="22">
        <v>-1.10382E-2</v>
      </c>
      <c r="R349" s="22">
        <v>339</v>
      </c>
      <c r="S349" s="22">
        <v>1.6067499999999999</v>
      </c>
      <c r="T349">
        <f t="shared" si="62"/>
        <v>11.0382</v>
      </c>
      <c r="U349">
        <f t="shared" si="63"/>
        <v>17.739049691999998</v>
      </c>
      <c r="X349" s="9"/>
      <c r="Y349" s="22">
        <v>-5.7067899999999998E-2</v>
      </c>
      <c r="Z349" s="22">
        <v>105.624</v>
      </c>
      <c r="AA349" s="22">
        <v>-1.9839499999999999E-2</v>
      </c>
      <c r="AB349" s="22">
        <v>339</v>
      </c>
      <c r="AC349" s="22">
        <v>-5.7952900000000002E-2</v>
      </c>
      <c r="AD349">
        <f t="shared" si="64"/>
        <v>19.839500000000001</v>
      </c>
      <c r="AE349">
        <f t="shared" si="65"/>
        <v>-1.1321986020500001</v>
      </c>
      <c r="AF349" s="9"/>
      <c r="AG349" s="22">
        <v>1.6070599999999999</v>
      </c>
      <c r="AH349" s="22">
        <v>139.63</v>
      </c>
      <c r="AI349" s="22">
        <v>-1.1340299999999999E-2</v>
      </c>
      <c r="AJ349" s="22">
        <v>339</v>
      </c>
      <c r="AK349" s="22">
        <v>1.6058300000000001</v>
      </c>
      <c r="AL349">
        <f t="shared" si="66"/>
        <v>11.340299999999999</v>
      </c>
      <c r="AM349">
        <f t="shared" si="67"/>
        <v>18.224542517999996</v>
      </c>
      <c r="AP349" s="9"/>
      <c r="AQ349" s="22">
        <v>-5.7067899999999998E-2</v>
      </c>
      <c r="AR349" s="22">
        <v>173.68899999999999</v>
      </c>
      <c r="AS349" s="22">
        <v>-1.9833400000000001E-2</v>
      </c>
      <c r="AT349" s="22">
        <v>339</v>
      </c>
      <c r="AU349" s="22">
        <v>-5.7647700000000003E-2</v>
      </c>
      <c r="AV349">
        <f t="shared" si="68"/>
        <v>19.833400000000001</v>
      </c>
      <c r="AW349">
        <f t="shared" si="69"/>
        <v>-1.13185048786</v>
      </c>
      <c r="AX349" s="9"/>
      <c r="AY349" s="22">
        <v>1.6070599999999999</v>
      </c>
      <c r="AZ349" s="22">
        <v>207.715</v>
      </c>
      <c r="BA349" s="22">
        <v>-8.7066699999999997E-3</v>
      </c>
      <c r="BB349" s="22">
        <v>339</v>
      </c>
      <c r="BC349" s="22">
        <v>1.6064499999999999</v>
      </c>
      <c r="BD349">
        <f t="shared" si="70"/>
        <v>8.706669999999999</v>
      </c>
      <c r="BE349">
        <f t="shared" si="71"/>
        <v>13.992141090199997</v>
      </c>
    </row>
    <row r="350" spans="6:57">
      <c r="F350" s="9"/>
      <c r="G350" s="22">
        <v>-6.21033E-2</v>
      </c>
      <c r="H350" s="22">
        <v>37.558</v>
      </c>
      <c r="I350" s="22">
        <v>-1.96747E-2</v>
      </c>
      <c r="J350" s="22">
        <v>340</v>
      </c>
      <c r="K350" s="22">
        <v>-6.2683100000000005E-2</v>
      </c>
      <c r="L350">
        <f t="shared" si="60"/>
        <v>19.674700000000001</v>
      </c>
      <c r="M350">
        <f t="shared" si="61"/>
        <v>-1.2218637965100001</v>
      </c>
      <c r="N350" s="9"/>
      <c r="O350" s="22">
        <v>1.61209</v>
      </c>
      <c r="P350" s="22">
        <v>71.611099999999993</v>
      </c>
      <c r="Q350" s="22">
        <v>-8.7341299999999997E-3</v>
      </c>
      <c r="R350" s="22">
        <v>340</v>
      </c>
      <c r="S350" s="22">
        <v>1.6113299999999999</v>
      </c>
      <c r="T350">
        <f t="shared" si="62"/>
        <v>8.7341300000000004</v>
      </c>
      <c r="U350">
        <f t="shared" si="63"/>
        <v>14.080203631700002</v>
      </c>
      <c r="X350" s="9"/>
      <c r="Y350" s="22">
        <v>-6.21033E-2</v>
      </c>
      <c r="Z350" s="22">
        <v>105.634</v>
      </c>
      <c r="AA350" s="22">
        <v>-1.9842499999999999E-2</v>
      </c>
      <c r="AB350" s="22">
        <v>340</v>
      </c>
      <c r="AC350" s="22">
        <v>-6.2744099999999997E-2</v>
      </c>
      <c r="AD350">
        <f t="shared" si="64"/>
        <v>19.842499999999998</v>
      </c>
      <c r="AE350">
        <f t="shared" si="65"/>
        <v>-1.23228473025</v>
      </c>
      <c r="AF350" s="9"/>
      <c r="AG350" s="22">
        <v>1.61209</v>
      </c>
      <c r="AH350" s="22">
        <v>139.63999999999999</v>
      </c>
      <c r="AI350" s="22">
        <v>-9.4970699999999998E-3</v>
      </c>
      <c r="AJ350" s="22">
        <v>340</v>
      </c>
      <c r="AK350" s="22">
        <v>1.6116299999999999</v>
      </c>
      <c r="AL350">
        <f t="shared" si="66"/>
        <v>9.497069999999999</v>
      </c>
      <c r="AM350">
        <f t="shared" si="67"/>
        <v>15.310131576299998</v>
      </c>
      <c r="AP350" s="9"/>
      <c r="AQ350" s="22">
        <v>-6.21033E-2</v>
      </c>
      <c r="AR350" s="22">
        <v>173.69900000000001</v>
      </c>
      <c r="AS350" s="22">
        <v>-1.9836400000000001E-2</v>
      </c>
      <c r="AT350" s="22">
        <v>340</v>
      </c>
      <c r="AU350" s="22">
        <v>-6.2866199999999997E-2</v>
      </c>
      <c r="AV350">
        <f t="shared" si="68"/>
        <v>19.836400000000001</v>
      </c>
      <c r="AW350">
        <f t="shared" si="69"/>
        <v>-1.2319059001200001</v>
      </c>
      <c r="AX350" s="9"/>
      <c r="AY350" s="22">
        <v>1.61209</v>
      </c>
      <c r="AZ350" s="22">
        <v>207.72499999999999</v>
      </c>
      <c r="BA350" s="22">
        <v>-4.0087899999999999E-3</v>
      </c>
      <c r="BB350" s="22">
        <v>340</v>
      </c>
      <c r="BC350" s="22">
        <v>1.6107199999999999</v>
      </c>
      <c r="BD350">
        <f t="shared" si="70"/>
        <v>4.0087900000000003</v>
      </c>
      <c r="BE350">
        <f t="shared" si="71"/>
        <v>6.4625302711000003</v>
      </c>
    </row>
    <row r="351" spans="6:57">
      <c r="F351" s="9"/>
      <c r="G351" s="22">
        <v>-6.7138699999999996E-2</v>
      </c>
      <c r="H351" s="22">
        <v>37.568100000000001</v>
      </c>
      <c r="I351" s="22">
        <v>-1.9677699999999999E-2</v>
      </c>
      <c r="J351" s="22">
        <v>341</v>
      </c>
      <c r="K351" s="22">
        <v>-6.7993200000000004E-2</v>
      </c>
      <c r="L351">
        <f t="shared" si="60"/>
        <v>19.677699999999998</v>
      </c>
      <c r="M351">
        <f t="shared" si="61"/>
        <v>-1.3211351969899998</v>
      </c>
      <c r="N351" s="9"/>
      <c r="O351" s="22">
        <v>1.61713</v>
      </c>
      <c r="P351" s="22">
        <v>71.621200000000002</v>
      </c>
      <c r="Q351" s="22">
        <v>-4.9035600000000004E-3</v>
      </c>
      <c r="R351" s="22">
        <v>341</v>
      </c>
      <c r="S351" s="22">
        <v>1.6162099999999999</v>
      </c>
      <c r="T351">
        <f t="shared" si="62"/>
        <v>4.9035600000000006</v>
      </c>
      <c r="U351">
        <f t="shared" si="63"/>
        <v>7.9296939828000008</v>
      </c>
      <c r="X351" s="9"/>
      <c r="Y351" s="22">
        <v>-6.7138699999999996E-2</v>
      </c>
      <c r="Z351" s="22">
        <v>105.64400000000001</v>
      </c>
      <c r="AA351" s="22">
        <v>-1.9848600000000001E-2</v>
      </c>
      <c r="AB351" s="22">
        <v>341</v>
      </c>
      <c r="AC351" s="22">
        <v>-6.7474400000000004E-2</v>
      </c>
      <c r="AD351">
        <f t="shared" si="64"/>
        <v>19.848600000000001</v>
      </c>
      <c r="AE351">
        <f t="shared" si="65"/>
        <v>-1.3326092008199999</v>
      </c>
      <c r="AF351" s="9"/>
      <c r="AG351" s="22">
        <v>1.61713</v>
      </c>
      <c r="AH351" s="22">
        <v>139.65</v>
      </c>
      <c r="AI351" s="22">
        <v>-5.8196999999999997E-3</v>
      </c>
      <c r="AJ351" s="22">
        <v>341</v>
      </c>
      <c r="AK351" s="22">
        <v>1.61652</v>
      </c>
      <c r="AL351">
        <f t="shared" si="66"/>
        <v>5.8197000000000001</v>
      </c>
      <c r="AM351">
        <f t="shared" si="67"/>
        <v>9.4112114610000006</v>
      </c>
      <c r="AP351" s="9"/>
      <c r="AQ351" s="22">
        <v>-6.7138699999999996E-2</v>
      </c>
      <c r="AR351" s="22">
        <v>173.709</v>
      </c>
      <c r="AS351" s="22">
        <v>-1.9839499999999999E-2</v>
      </c>
      <c r="AT351" s="22">
        <v>341</v>
      </c>
      <c r="AU351" s="22">
        <v>-6.7596400000000001E-2</v>
      </c>
      <c r="AV351">
        <f t="shared" si="68"/>
        <v>19.839500000000001</v>
      </c>
      <c r="AW351">
        <f t="shared" si="69"/>
        <v>-1.33199823865</v>
      </c>
      <c r="AX351" s="9"/>
      <c r="AY351" s="22">
        <v>1.61713</v>
      </c>
      <c r="AZ351" s="22">
        <v>207.73500000000001</v>
      </c>
      <c r="BA351" s="22">
        <v>5.7647699999999998E-3</v>
      </c>
      <c r="BB351" s="22">
        <v>341</v>
      </c>
      <c r="BC351" s="22">
        <v>1.6149899999999999</v>
      </c>
      <c r="BD351">
        <f t="shared" si="70"/>
        <v>-5.7647699999999995</v>
      </c>
      <c r="BE351">
        <f t="shared" si="71"/>
        <v>-9.3223825100999989</v>
      </c>
    </row>
    <row r="352" spans="6:57">
      <c r="F352" s="9"/>
      <c r="G352" s="22">
        <v>-7.2174100000000005E-2</v>
      </c>
      <c r="H352" s="22">
        <v>37.578099999999999</v>
      </c>
      <c r="I352" s="22">
        <v>-1.96869E-2</v>
      </c>
      <c r="J352" s="22">
        <v>342</v>
      </c>
      <c r="K352" s="22">
        <v>-7.2570800000000005E-2</v>
      </c>
      <c r="L352">
        <f t="shared" si="60"/>
        <v>19.686900000000001</v>
      </c>
      <c r="M352">
        <f t="shared" si="61"/>
        <v>-1.4208842892900002</v>
      </c>
      <c r="N352" s="9"/>
      <c r="O352" s="22">
        <v>1.62216</v>
      </c>
      <c r="P352" s="22">
        <v>71.631299999999996</v>
      </c>
      <c r="Q352" s="22">
        <v>2.6055900000000001E-3</v>
      </c>
      <c r="R352" s="22">
        <v>342</v>
      </c>
      <c r="S352" s="22">
        <v>1.6204799999999999</v>
      </c>
      <c r="T352">
        <f t="shared" si="62"/>
        <v>-2.6055900000000003</v>
      </c>
      <c r="U352">
        <f t="shared" si="63"/>
        <v>-4.2266838744000008</v>
      </c>
      <c r="X352" s="9"/>
      <c r="Y352" s="22">
        <v>-7.2174100000000005E-2</v>
      </c>
      <c r="Z352" s="22">
        <v>105.654</v>
      </c>
      <c r="AA352" s="22">
        <v>-1.98517E-2</v>
      </c>
      <c r="AB352" s="22">
        <v>342</v>
      </c>
      <c r="AC352" s="22">
        <v>-7.2692900000000005E-2</v>
      </c>
      <c r="AD352">
        <f t="shared" si="64"/>
        <v>19.851700000000001</v>
      </c>
      <c r="AE352">
        <f t="shared" si="65"/>
        <v>-1.4327785809700002</v>
      </c>
      <c r="AF352" s="9"/>
      <c r="AG352" s="22">
        <v>1.62216</v>
      </c>
      <c r="AH352" s="22">
        <v>139.661</v>
      </c>
      <c r="AI352" s="22">
        <v>1.2008699999999999E-3</v>
      </c>
      <c r="AJ352" s="22">
        <v>342</v>
      </c>
      <c r="AK352" s="22">
        <v>1.62079</v>
      </c>
      <c r="AL352">
        <f t="shared" si="66"/>
        <v>-1.2008699999999999</v>
      </c>
      <c r="AM352">
        <f t="shared" si="67"/>
        <v>-1.9480032791999999</v>
      </c>
      <c r="AP352" s="9"/>
      <c r="AQ352" s="22">
        <v>-7.2174100000000005E-2</v>
      </c>
      <c r="AR352" s="22">
        <v>173.71899999999999</v>
      </c>
      <c r="AS352" s="22">
        <v>-1.9845600000000001E-2</v>
      </c>
      <c r="AT352" s="22">
        <v>342</v>
      </c>
      <c r="AU352" s="22">
        <v>-7.2601299999999994E-2</v>
      </c>
      <c r="AV352">
        <f t="shared" si="68"/>
        <v>19.845600000000001</v>
      </c>
      <c r="AW352">
        <f t="shared" si="69"/>
        <v>-1.4323383189600001</v>
      </c>
      <c r="AX352" s="9"/>
      <c r="AY352" s="22">
        <v>1.62216</v>
      </c>
      <c r="AZ352" s="22">
        <v>207.745</v>
      </c>
      <c r="BA352" s="22">
        <v>1.87225E-2</v>
      </c>
      <c r="BB352" s="22">
        <v>342</v>
      </c>
      <c r="BC352" s="22">
        <v>1.6214</v>
      </c>
      <c r="BD352">
        <f t="shared" si="70"/>
        <v>-18.7225</v>
      </c>
      <c r="BE352">
        <f t="shared" si="71"/>
        <v>-30.370890600000003</v>
      </c>
    </row>
    <row r="353" spans="6:57">
      <c r="F353" s="9"/>
      <c r="G353" s="22">
        <v>-7.72095E-2</v>
      </c>
      <c r="H353" s="22">
        <v>37.588200000000001</v>
      </c>
      <c r="I353" s="22">
        <v>-1.9692999999999999E-2</v>
      </c>
      <c r="J353" s="22">
        <v>343</v>
      </c>
      <c r="K353" s="22">
        <v>-7.77283E-2</v>
      </c>
      <c r="L353">
        <f t="shared" si="60"/>
        <v>19.692999999999998</v>
      </c>
      <c r="M353">
        <f t="shared" si="61"/>
        <v>-1.5204866834999999</v>
      </c>
      <c r="N353" s="9"/>
      <c r="O353" s="22">
        <v>1.6272</v>
      </c>
      <c r="P353" s="22">
        <v>71.641400000000004</v>
      </c>
      <c r="Q353" s="22">
        <v>1.3806199999999999E-2</v>
      </c>
      <c r="R353" s="22">
        <v>343</v>
      </c>
      <c r="S353" s="22">
        <v>1.6262799999999999</v>
      </c>
      <c r="T353">
        <f t="shared" si="62"/>
        <v>-13.806199999999999</v>
      </c>
      <c r="U353">
        <f t="shared" si="63"/>
        <v>-22.465448639999998</v>
      </c>
      <c r="X353" s="9"/>
      <c r="Y353" s="22">
        <v>-7.72095E-2</v>
      </c>
      <c r="Z353" s="22">
        <v>105.664</v>
      </c>
      <c r="AA353" s="22">
        <v>-1.9860800000000001E-2</v>
      </c>
      <c r="AB353" s="22">
        <v>343</v>
      </c>
      <c r="AC353" s="22">
        <v>-7.7972399999999997E-2</v>
      </c>
      <c r="AD353">
        <f t="shared" si="64"/>
        <v>19.860800000000001</v>
      </c>
      <c r="AE353">
        <f t="shared" si="65"/>
        <v>-1.5334424376</v>
      </c>
      <c r="AF353" s="9"/>
      <c r="AG353" s="22">
        <v>1.6272</v>
      </c>
      <c r="AH353" s="22">
        <v>139.67099999999999</v>
      </c>
      <c r="AI353" s="22">
        <v>1.2207000000000001E-2</v>
      </c>
      <c r="AJ353" s="22">
        <v>343</v>
      </c>
      <c r="AK353" s="22">
        <v>1.6256699999999999</v>
      </c>
      <c r="AL353">
        <f t="shared" si="66"/>
        <v>-12.207000000000001</v>
      </c>
      <c r="AM353">
        <f t="shared" si="67"/>
        <v>-19.863230400000003</v>
      </c>
      <c r="AP353" s="9"/>
      <c r="AQ353" s="22">
        <v>-7.72095E-2</v>
      </c>
      <c r="AR353" s="22">
        <v>173.72900000000001</v>
      </c>
      <c r="AS353" s="22">
        <v>-1.98517E-2</v>
      </c>
      <c r="AT353" s="22">
        <v>343</v>
      </c>
      <c r="AU353" s="22">
        <v>-7.7850299999999997E-2</v>
      </c>
      <c r="AV353">
        <f t="shared" si="68"/>
        <v>19.851700000000001</v>
      </c>
      <c r="AW353">
        <f t="shared" si="69"/>
        <v>-1.53273983115</v>
      </c>
      <c r="AX353" s="9"/>
      <c r="AY353" s="22">
        <v>1.6272</v>
      </c>
      <c r="AZ353" s="22">
        <v>207.755</v>
      </c>
      <c r="BA353" s="22">
        <v>3.1784100000000003E-2</v>
      </c>
      <c r="BB353" s="22">
        <v>343</v>
      </c>
      <c r="BC353" s="22">
        <v>1.62659</v>
      </c>
      <c r="BD353">
        <f t="shared" si="70"/>
        <v>-31.784100000000002</v>
      </c>
      <c r="BE353">
        <f t="shared" si="71"/>
        <v>-51.719087520000002</v>
      </c>
    </row>
    <row r="354" spans="6:57">
      <c r="F354" s="9"/>
      <c r="G354" s="22">
        <v>-8.2244899999999996E-2</v>
      </c>
      <c r="H354" s="22">
        <v>37.598300000000002</v>
      </c>
      <c r="I354" s="22">
        <v>-1.97021E-2</v>
      </c>
      <c r="J354" s="22">
        <v>344</v>
      </c>
      <c r="K354" s="22">
        <v>-8.2489000000000007E-2</v>
      </c>
      <c r="L354">
        <f t="shared" si="60"/>
        <v>19.702100000000002</v>
      </c>
      <c r="M354">
        <f t="shared" si="61"/>
        <v>-1.6203972442900001</v>
      </c>
      <c r="N354" s="9"/>
      <c r="O354" s="22">
        <v>1.6322300000000001</v>
      </c>
      <c r="P354" s="22">
        <v>71.651399999999995</v>
      </c>
      <c r="Q354" s="22">
        <v>2.5747699999999998E-2</v>
      </c>
      <c r="R354" s="22">
        <v>344</v>
      </c>
      <c r="S354" s="22">
        <v>1.6305499999999999</v>
      </c>
      <c r="T354">
        <f t="shared" si="62"/>
        <v>-25.747699999999998</v>
      </c>
      <c r="U354">
        <f t="shared" si="63"/>
        <v>-42.026168370999997</v>
      </c>
      <c r="X354" s="9"/>
      <c r="Y354" s="22">
        <v>-8.2244899999999996E-2</v>
      </c>
      <c r="Z354" s="22">
        <v>105.675</v>
      </c>
      <c r="AA354" s="22">
        <v>-1.98639E-2</v>
      </c>
      <c r="AB354" s="22">
        <v>344</v>
      </c>
      <c r="AC354" s="22">
        <v>-8.2672099999999998E-2</v>
      </c>
      <c r="AD354">
        <f t="shared" si="64"/>
        <v>19.863900000000001</v>
      </c>
      <c r="AE354">
        <f t="shared" si="65"/>
        <v>-1.63370446911</v>
      </c>
      <c r="AF354" s="9"/>
      <c r="AG354" s="22">
        <v>1.6322300000000001</v>
      </c>
      <c r="AH354" s="22">
        <v>139.68100000000001</v>
      </c>
      <c r="AI354" s="22">
        <v>2.3498499999999999E-2</v>
      </c>
      <c r="AJ354" s="22">
        <v>344</v>
      </c>
      <c r="AK354" s="22">
        <v>1.63086</v>
      </c>
      <c r="AL354">
        <f t="shared" si="66"/>
        <v>-23.4985</v>
      </c>
      <c r="AM354">
        <f t="shared" si="67"/>
        <v>-38.354956655000002</v>
      </c>
      <c r="AP354" s="9"/>
      <c r="AQ354" s="22">
        <v>-8.2244899999999996E-2</v>
      </c>
      <c r="AR354" s="22">
        <v>173.739</v>
      </c>
      <c r="AS354" s="22">
        <v>-1.9854699999999999E-2</v>
      </c>
      <c r="AT354" s="22">
        <v>344</v>
      </c>
      <c r="AU354" s="22">
        <v>-8.2763699999999996E-2</v>
      </c>
      <c r="AV354">
        <f t="shared" si="68"/>
        <v>19.854700000000001</v>
      </c>
      <c r="AW354">
        <f t="shared" si="69"/>
        <v>-1.6329478160299999</v>
      </c>
      <c r="AX354" s="9"/>
      <c r="AY354" s="22">
        <v>1.6322300000000001</v>
      </c>
      <c r="AZ354" s="22">
        <v>207.76499999999999</v>
      </c>
      <c r="BA354" s="22">
        <v>4.4879200000000001E-2</v>
      </c>
      <c r="BB354" s="22">
        <v>344</v>
      </c>
      <c r="BC354" s="22">
        <v>1.6311599999999999</v>
      </c>
      <c r="BD354">
        <f t="shared" si="70"/>
        <v>-44.879200000000004</v>
      </c>
      <c r="BE354">
        <f t="shared" si="71"/>
        <v>-73.253176616000005</v>
      </c>
    </row>
    <row r="355" spans="6:57">
      <c r="F355" s="9"/>
      <c r="G355" s="22">
        <v>-8.7280300000000005E-2</v>
      </c>
      <c r="H355" s="22">
        <v>37.608400000000003</v>
      </c>
      <c r="I355" s="22">
        <v>-1.9705199999999999E-2</v>
      </c>
      <c r="J355" s="22">
        <v>345</v>
      </c>
      <c r="K355" s="22">
        <v>-8.7463399999999997E-2</v>
      </c>
      <c r="L355">
        <f t="shared" si="60"/>
        <v>19.705199999999998</v>
      </c>
      <c r="M355">
        <f t="shared" si="61"/>
        <v>-1.7198757675599998</v>
      </c>
      <c r="N355" s="9"/>
      <c r="O355" s="22">
        <v>1.63727</v>
      </c>
      <c r="P355" s="22">
        <v>71.661500000000004</v>
      </c>
      <c r="Q355" s="22">
        <v>3.7472499999999999E-2</v>
      </c>
      <c r="R355" s="22">
        <v>345</v>
      </c>
      <c r="S355" s="22">
        <v>1.63635</v>
      </c>
      <c r="T355">
        <f t="shared" si="62"/>
        <v>-37.472499999999997</v>
      </c>
      <c r="U355">
        <f t="shared" si="63"/>
        <v>-61.352600074999998</v>
      </c>
      <c r="X355" s="9"/>
      <c r="Y355" s="22">
        <v>-8.7280300000000005E-2</v>
      </c>
      <c r="Z355" s="22">
        <v>105.685</v>
      </c>
      <c r="AA355" s="22">
        <v>-1.98669E-2</v>
      </c>
      <c r="AB355" s="22">
        <v>345</v>
      </c>
      <c r="AC355" s="22">
        <v>-8.7829599999999994E-2</v>
      </c>
      <c r="AD355">
        <f t="shared" si="64"/>
        <v>19.866900000000001</v>
      </c>
      <c r="AE355">
        <f t="shared" si="65"/>
        <v>-1.7339889920700002</v>
      </c>
      <c r="AF355" s="9"/>
      <c r="AG355" s="22">
        <v>1.63727</v>
      </c>
      <c r="AH355" s="22">
        <v>139.691</v>
      </c>
      <c r="AI355" s="22">
        <v>3.5162400000000003E-2</v>
      </c>
      <c r="AJ355" s="22">
        <v>345</v>
      </c>
      <c r="AK355" s="22">
        <v>1.63635</v>
      </c>
      <c r="AL355">
        <f t="shared" si="66"/>
        <v>-35.162400000000005</v>
      </c>
      <c r="AM355">
        <f t="shared" si="67"/>
        <v>-57.570342648000008</v>
      </c>
      <c r="AP355" s="9"/>
      <c r="AQ355" s="22">
        <v>-8.7280300000000005E-2</v>
      </c>
      <c r="AR355" s="22">
        <v>173.749</v>
      </c>
      <c r="AS355" s="22">
        <v>-1.9860800000000001E-2</v>
      </c>
      <c r="AT355" s="22">
        <v>345</v>
      </c>
      <c r="AU355" s="22">
        <v>-8.7921100000000002E-2</v>
      </c>
      <c r="AV355">
        <f t="shared" si="68"/>
        <v>19.860800000000001</v>
      </c>
      <c r="AW355">
        <f t="shared" si="69"/>
        <v>-1.7334565822400001</v>
      </c>
      <c r="AX355" s="9"/>
      <c r="AY355" s="22">
        <v>1.63727</v>
      </c>
      <c r="AZ355" s="22">
        <v>207.77600000000001</v>
      </c>
      <c r="BA355" s="22">
        <v>5.8801300000000001E-2</v>
      </c>
      <c r="BB355" s="22">
        <v>345</v>
      </c>
      <c r="BC355" s="22">
        <v>1.63666</v>
      </c>
      <c r="BD355">
        <f t="shared" si="70"/>
        <v>-58.801299999999998</v>
      </c>
      <c r="BE355">
        <f t="shared" si="71"/>
        <v>-96.273604450999997</v>
      </c>
    </row>
    <row r="356" spans="6:57">
      <c r="F356" s="9"/>
      <c r="G356" s="22">
        <v>-9.2315700000000001E-2</v>
      </c>
      <c r="H356" s="22">
        <v>37.618400000000001</v>
      </c>
      <c r="I356" s="22">
        <v>-1.9708300000000002E-2</v>
      </c>
      <c r="J356" s="22">
        <v>346</v>
      </c>
      <c r="K356" s="22">
        <v>-9.2620800000000003E-2</v>
      </c>
      <c r="L356">
        <f t="shared" si="60"/>
        <v>19.708300000000001</v>
      </c>
      <c r="M356">
        <f t="shared" si="61"/>
        <v>-1.8193855103100001</v>
      </c>
      <c r="N356" s="9"/>
      <c r="O356" s="22">
        <v>1.6423000000000001</v>
      </c>
      <c r="P356" s="22">
        <v>71.671599999999998</v>
      </c>
      <c r="Q356" s="22">
        <v>4.90021E-2</v>
      </c>
      <c r="R356" s="22">
        <v>346</v>
      </c>
      <c r="S356" s="22">
        <v>1.64185</v>
      </c>
      <c r="T356">
        <f t="shared" si="62"/>
        <v>-49.002099999999999</v>
      </c>
      <c r="U356">
        <f t="shared" si="63"/>
        <v>-80.47614883</v>
      </c>
      <c r="X356" s="9"/>
      <c r="Y356" s="22">
        <v>-9.2315700000000001E-2</v>
      </c>
      <c r="Z356" s="22">
        <v>105.69499999999999</v>
      </c>
      <c r="AA356" s="22">
        <v>-1.9869999999999999E-2</v>
      </c>
      <c r="AB356" s="22">
        <v>346</v>
      </c>
      <c r="AC356" s="22">
        <v>-9.27124E-2</v>
      </c>
      <c r="AD356">
        <f t="shared" si="64"/>
        <v>19.869999999999997</v>
      </c>
      <c r="AE356">
        <f t="shared" si="65"/>
        <v>-1.8343129589999998</v>
      </c>
      <c r="AF356" s="9"/>
      <c r="AG356" s="22">
        <v>1.6423000000000001</v>
      </c>
      <c r="AH356" s="22">
        <v>139.70099999999999</v>
      </c>
      <c r="AI356" s="22">
        <v>4.6276900000000003E-2</v>
      </c>
      <c r="AJ356" s="22">
        <v>346</v>
      </c>
      <c r="AK356" s="22">
        <v>1.64124</v>
      </c>
      <c r="AL356">
        <f t="shared" si="66"/>
        <v>-46.276900000000005</v>
      </c>
      <c r="AM356">
        <f t="shared" si="67"/>
        <v>-76.000552870000007</v>
      </c>
      <c r="AP356" s="9"/>
      <c r="AQ356" s="22">
        <v>-9.2315700000000001E-2</v>
      </c>
      <c r="AR356" s="22">
        <v>173.75899999999999</v>
      </c>
      <c r="AS356" s="22">
        <v>-1.98639E-2</v>
      </c>
      <c r="AT356" s="22">
        <v>346</v>
      </c>
      <c r="AU356" s="22">
        <v>-9.2956499999999997E-2</v>
      </c>
      <c r="AV356">
        <f t="shared" si="68"/>
        <v>19.863900000000001</v>
      </c>
      <c r="AW356">
        <f t="shared" si="69"/>
        <v>-1.8337498332300002</v>
      </c>
      <c r="AX356" s="9"/>
      <c r="AY356" s="22">
        <v>1.6423000000000001</v>
      </c>
      <c r="AZ356" s="22">
        <v>207.786</v>
      </c>
      <c r="BA356" s="22">
        <v>7.2357199999999997E-2</v>
      </c>
      <c r="BB356" s="22">
        <v>346</v>
      </c>
      <c r="BC356" s="22">
        <v>1.64154</v>
      </c>
      <c r="BD356">
        <f t="shared" si="70"/>
        <v>-72.357199999999992</v>
      </c>
      <c r="BE356">
        <f t="shared" si="71"/>
        <v>-118.83222955999999</v>
      </c>
    </row>
    <row r="357" spans="6:57">
      <c r="F357" s="9"/>
      <c r="G357" s="22">
        <v>-9.7351099999999996E-2</v>
      </c>
      <c r="H357" s="22">
        <v>37.628500000000003</v>
      </c>
      <c r="I357" s="22">
        <v>-1.97174E-2</v>
      </c>
      <c r="J357" s="22">
        <v>347</v>
      </c>
      <c r="K357" s="22">
        <v>-9.7564700000000004E-2</v>
      </c>
      <c r="L357">
        <f t="shared" si="60"/>
        <v>19.717399999999998</v>
      </c>
      <c r="M357">
        <f t="shared" si="61"/>
        <v>-1.9195105791399998</v>
      </c>
      <c r="N357" s="9"/>
      <c r="O357" s="22">
        <v>1.64734</v>
      </c>
      <c r="P357" s="22">
        <v>71.681600000000003</v>
      </c>
      <c r="Q357" s="22">
        <v>6.0690300000000003E-2</v>
      </c>
      <c r="R357" s="22">
        <v>347</v>
      </c>
      <c r="S357" s="22">
        <v>1.64642</v>
      </c>
      <c r="T357">
        <f t="shared" si="62"/>
        <v>-60.690300000000001</v>
      </c>
      <c r="U357">
        <f t="shared" si="63"/>
        <v>-99.977558802000004</v>
      </c>
      <c r="X357" s="9"/>
      <c r="Y357" s="22">
        <v>-9.7351099999999996E-2</v>
      </c>
      <c r="Z357" s="22">
        <v>105.705</v>
      </c>
      <c r="AA357" s="22">
        <v>-1.9872999999999998E-2</v>
      </c>
      <c r="AB357" s="22">
        <v>347</v>
      </c>
      <c r="AC357" s="22">
        <v>-9.7930900000000001E-2</v>
      </c>
      <c r="AD357">
        <f t="shared" si="64"/>
        <v>19.872999999999998</v>
      </c>
      <c r="AE357">
        <f t="shared" si="65"/>
        <v>-1.9346584102999997</v>
      </c>
      <c r="AF357" s="9"/>
      <c r="AG357" s="22">
        <v>1.64734</v>
      </c>
      <c r="AH357" s="22">
        <v>139.71100000000001</v>
      </c>
      <c r="AI357" s="22">
        <v>5.8187900000000001E-2</v>
      </c>
      <c r="AJ357" s="22">
        <v>347</v>
      </c>
      <c r="AK357" s="22">
        <v>1.64673</v>
      </c>
      <c r="AL357">
        <f t="shared" si="66"/>
        <v>-58.187899999999999</v>
      </c>
      <c r="AM357">
        <f t="shared" si="67"/>
        <v>-95.855255185999994</v>
      </c>
      <c r="AP357" s="9"/>
      <c r="AQ357" s="22">
        <v>-9.7351099999999996E-2</v>
      </c>
      <c r="AR357" s="22">
        <v>173.77</v>
      </c>
      <c r="AS357" s="22">
        <v>-1.9869999999999999E-2</v>
      </c>
      <c r="AT357" s="22">
        <v>347</v>
      </c>
      <c r="AU357" s="22">
        <v>-9.8205600000000004E-2</v>
      </c>
      <c r="AV357">
        <f t="shared" si="68"/>
        <v>19.869999999999997</v>
      </c>
      <c r="AW357">
        <f t="shared" si="69"/>
        <v>-1.9343663569999996</v>
      </c>
      <c r="AX357" s="9"/>
      <c r="AY357" s="22">
        <v>1.64734</v>
      </c>
      <c r="AZ357" s="22">
        <v>207.79599999999999</v>
      </c>
      <c r="BA357" s="22">
        <v>8.3587599999999998E-2</v>
      </c>
      <c r="BB357" s="22">
        <v>347</v>
      </c>
      <c r="BC357" s="22">
        <v>1.64642</v>
      </c>
      <c r="BD357">
        <f t="shared" si="70"/>
        <v>-83.587599999999995</v>
      </c>
      <c r="BE357">
        <f t="shared" si="71"/>
        <v>-137.69719698399999</v>
      </c>
    </row>
    <row r="358" spans="6:57">
      <c r="F358" s="9"/>
      <c r="G358" s="22">
        <v>-0.102386</v>
      </c>
      <c r="H358" s="22">
        <v>37.638599999999997</v>
      </c>
      <c r="I358" s="22">
        <v>-1.97174E-2</v>
      </c>
      <c r="J358" s="22">
        <v>348</v>
      </c>
      <c r="K358" s="22">
        <v>-0.103241</v>
      </c>
      <c r="L358">
        <f t="shared" si="60"/>
        <v>19.717399999999998</v>
      </c>
      <c r="M358">
        <f t="shared" si="61"/>
        <v>-2.0187857164</v>
      </c>
      <c r="N358" s="9"/>
      <c r="O358" s="22">
        <v>1.6523699999999999</v>
      </c>
      <c r="P358" s="22">
        <v>71.691699999999997</v>
      </c>
      <c r="Q358" s="22">
        <v>4.7766099999999999E-2</v>
      </c>
      <c r="R358" s="22">
        <v>348</v>
      </c>
      <c r="S358" s="22">
        <v>1.6525300000000001</v>
      </c>
      <c r="T358">
        <f t="shared" si="62"/>
        <v>-47.766100000000002</v>
      </c>
      <c r="U358">
        <f t="shared" si="63"/>
        <v>-78.927270656999994</v>
      </c>
      <c r="X358" s="9"/>
      <c r="Y358" s="22">
        <v>-0.102386</v>
      </c>
      <c r="Z358" s="22">
        <v>105.715</v>
      </c>
      <c r="AA358" s="22">
        <v>-1.9876100000000001E-2</v>
      </c>
      <c r="AB358" s="22">
        <v>348</v>
      </c>
      <c r="AC358" s="22">
        <v>-0.102814</v>
      </c>
      <c r="AD358">
        <f t="shared" si="64"/>
        <v>19.876100000000001</v>
      </c>
      <c r="AE358">
        <f t="shared" si="65"/>
        <v>-2.0350343746000004</v>
      </c>
      <c r="AF358" s="9"/>
      <c r="AG358" s="22">
        <v>1.6523699999999999</v>
      </c>
      <c r="AH358" s="22">
        <v>139.721</v>
      </c>
      <c r="AI358" s="22">
        <v>6.9418300000000002E-2</v>
      </c>
      <c r="AJ358" s="22">
        <v>348</v>
      </c>
      <c r="AK358" s="22">
        <v>1.65161</v>
      </c>
      <c r="AL358">
        <f t="shared" si="66"/>
        <v>-69.418300000000002</v>
      </c>
      <c r="AM358">
        <f t="shared" si="67"/>
        <v>-114.70471637099999</v>
      </c>
      <c r="AP358" s="9"/>
      <c r="AQ358" s="22">
        <v>-0.102386</v>
      </c>
      <c r="AR358" s="22">
        <v>173.78</v>
      </c>
      <c r="AS358" s="22">
        <v>-1.9872999999999998E-2</v>
      </c>
      <c r="AT358" s="22">
        <v>348</v>
      </c>
      <c r="AU358" s="22">
        <v>-0.102966</v>
      </c>
      <c r="AV358">
        <f t="shared" si="68"/>
        <v>19.872999999999998</v>
      </c>
      <c r="AW358">
        <f t="shared" si="69"/>
        <v>-2.0347169780000001</v>
      </c>
      <c r="AX358" s="9"/>
      <c r="AY358" s="22">
        <v>1.6523699999999999</v>
      </c>
      <c r="AZ358" s="22">
        <v>207.80600000000001</v>
      </c>
      <c r="BA358" s="22">
        <v>9.7351099999999996E-2</v>
      </c>
      <c r="BB358" s="22">
        <v>348</v>
      </c>
      <c r="BC358" s="22">
        <v>1.6513100000000001</v>
      </c>
      <c r="BD358">
        <f t="shared" si="70"/>
        <v>-97.351100000000002</v>
      </c>
      <c r="BE358">
        <f t="shared" si="71"/>
        <v>-160.86003710699998</v>
      </c>
    </row>
    <row r="359" spans="6:57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7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7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7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7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7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7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7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7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7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28"/>
  <sheetViews>
    <sheetView topLeftCell="AV1" workbookViewId="0">
      <selection activeCell="BD11" sqref="BD11:BE32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824.97590163982545</v>
      </c>
      <c r="H2" s="2"/>
      <c r="I2" s="6" t="s">
        <v>12</v>
      </c>
      <c r="J2" s="2"/>
      <c r="K2" s="7" t="s">
        <v>13</v>
      </c>
      <c r="L2" s="3">
        <f>L4*I6*L9/100*100</f>
        <v>23.618122383999992</v>
      </c>
      <c r="M2" s="8" t="s">
        <v>14</v>
      </c>
      <c r="N2" s="9"/>
      <c r="O2" s="2">
        <f>ABS(S7-S6)/ABS(T7-T6)*1000</f>
        <v>1666.9601639334569</v>
      </c>
      <c r="P2" s="2"/>
      <c r="Q2" s="6" t="s">
        <v>15</v>
      </c>
      <c r="R2" s="2"/>
      <c r="S2" s="7" t="s">
        <v>13</v>
      </c>
      <c r="T2" s="3">
        <f>T4*Q6*T9/100*100</f>
        <v>23.788434449999997</v>
      </c>
      <c r="U2" s="8" t="s">
        <v>14</v>
      </c>
      <c r="X2" s="9"/>
      <c r="Y2" s="2">
        <f>ABS(AC7-AC6)/ABS(AD7-AD6)*1000</f>
        <v>800.46147541030314</v>
      </c>
      <c r="Z2" s="2"/>
      <c r="AA2" s="6" t="s">
        <v>12</v>
      </c>
      <c r="AB2" s="2"/>
      <c r="AC2" s="7" t="s">
        <v>13</v>
      </c>
      <c r="AD2" s="3">
        <f>AD4*AA6*AD9/100*100</f>
        <v>23.790906519999997</v>
      </c>
      <c r="AE2" s="8" t="s">
        <v>14</v>
      </c>
      <c r="AF2" s="9"/>
      <c r="AG2" s="2">
        <f>ABS(AK7-AK6)/ABS(AL7-AL6)*1000</f>
        <v>1654.4522950810053</v>
      </c>
      <c r="AH2" s="2"/>
      <c r="AI2" s="6" t="s">
        <v>15</v>
      </c>
      <c r="AJ2" s="2"/>
      <c r="AK2" s="7" t="s">
        <v>13</v>
      </c>
      <c r="AL2" s="3">
        <f>AL4*AI6*AL9/100*100</f>
        <v>23.856492225000004</v>
      </c>
      <c r="AM2" s="8" t="s">
        <v>14</v>
      </c>
      <c r="AP2" s="9"/>
      <c r="AQ2" s="2">
        <f>ABS(AU7-AU6)/ABS(AV7-AV6)*1000</f>
        <v>1664.4590163944138</v>
      </c>
      <c r="AR2" s="2"/>
      <c r="AS2" s="6" t="s">
        <v>12</v>
      </c>
      <c r="AT2" s="2"/>
      <c r="AU2" s="7" t="s">
        <v>13</v>
      </c>
      <c r="AV2" s="3">
        <f>AV4*AS6*AV9/100*100</f>
        <v>23.867102955000004</v>
      </c>
      <c r="AW2" s="8" t="s">
        <v>14</v>
      </c>
      <c r="AX2" s="9"/>
      <c r="AY2" s="2">
        <f>ABS(BC7-BC6)/ABS(BD7-BD6)*1000</f>
        <v>823.47426229460302</v>
      </c>
      <c r="AZ2" s="2"/>
      <c r="BA2" s="6" t="s">
        <v>15</v>
      </c>
      <c r="BB2" s="2"/>
      <c r="BC2" s="7" t="s">
        <v>13</v>
      </c>
      <c r="BD2" s="3">
        <f>BD4*BA6*BD9/100*100</f>
        <v>23.831690418000004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1.46393</v>
      </c>
      <c r="J3" s="2"/>
      <c r="K3" s="10">
        <f>INDEX(L11:L1056,MATCH(I3,K11:K1056,0))</f>
        <v>-3.2510400000000002</v>
      </c>
      <c r="L3" s="33" t="s">
        <v>16</v>
      </c>
      <c r="M3" s="11">
        <f>M9</f>
        <v>23.618122383999996</v>
      </c>
      <c r="N3" s="9"/>
      <c r="O3" s="2" t="s">
        <v>44</v>
      </c>
      <c r="P3" s="2"/>
      <c r="Q3" s="2">
        <f>INDEX(S11:S1056,MATCH(0,T11:T1056,-1))</f>
        <v>1.4648399999999999</v>
      </c>
      <c r="R3" s="2"/>
      <c r="S3" s="10">
        <f>INDEX(T11:T1056,MATCH(Q3,S11:S1056,0))</f>
        <v>4.7381599999999997</v>
      </c>
      <c r="T3" s="33" t="s">
        <v>16</v>
      </c>
      <c r="U3" s="11">
        <f>U9</f>
        <v>23.788434449999997</v>
      </c>
      <c r="X3" s="9"/>
      <c r="Y3" s="2" t="s">
        <v>44</v>
      </c>
      <c r="Z3" s="2"/>
      <c r="AA3" s="2">
        <f>INDEX(AC11:AC856,MATCH(0,AD11:AD856,1))</f>
        <v>1.474</v>
      </c>
      <c r="AB3" s="2"/>
      <c r="AC3" s="10">
        <f>INDEX(AD11:AD1056,MATCH(AA3,AC11:AC1056,0))</f>
        <v>-3.3609</v>
      </c>
      <c r="AD3" s="33" t="s">
        <v>16</v>
      </c>
      <c r="AE3" s="11">
        <f>AE9</f>
        <v>23.790906519999997</v>
      </c>
      <c r="AF3" s="9"/>
      <c r="AG3" s="2" t="s">
        <v>44</v>
      </c>
      <c r="AH3" s="2"/>
      <c r="AI3" s="2">
        <f>INDEX(AK11:AK1056,MATCH(0,AL11:AL1056,-1))</f>
        <v>1.4706399999999999</v>
      </c>
      <c r="AJ3" s="2"/>
      <c r="AK3" s="10">
        <f>INDEX(AL11:AL1056,MATCH(AI3,AK11:AK1056,0))</f>
        <v>4.13849</v>
      </c>
      <c r="AL3" s="33" t="s">
        <v>16</v>
      </c>
      <c r="AM3" s="11">
        <f>AM9</f>
        <v>23.856492225</v>
      </c>
      <c r="AP3" s="9"/>
      <c r="AQ3" s="2" t="s">
        <v>44</v>
      </c>
      <c r="AR3" s="2"/>
      <c r="AS3" s="2">
        <f>INDEX(AU11:AU856,MATCH(0,AV11:AV856,1))</f>
        <v>1.47888</v>
      </c>
      <c r="AT3" s="2"/>
      <c r="AU3" s="10">
        <f>INDEX(AV11:AV1056,MATCH(AS3,AU11:AU1056,0))</f>
        <v>-2.5930800000000001</v>
      </c>
      <c r="AV3" s="33" t="s">
        <v>16</v>
      </c>
      <c r="AW3" s="11">
        <f>AW9</f>
        <v>23.867102955</v>
      </c>
      <c r="AX3" s="9"/>
      <c r="AY3" s="2" t="s">
        <v>44</v>
      </c>
      <c r="AZ3" s="2"/>
      <c r="BA3" s="2">
        <f>INDEX(BC11:BC1056,MATCH(0,BD11:BD1056,-1))</f>
        <v>1.4706399999999999</v>
      </c>
      <c r="BB3" s="2"/>
      <c r="BC3" s="10">
        <f>INDEX(BD11:BD1056,MATCH(BA3,BC11:BC1056,0))</f>
        <v>3.82111</v>
      </c>
      <c r="BD3" s="33" t="s">
        <v>16</v>
      </c>
      <c r="BE3" s="11">
        <f>BE9</f>
        <v>23.831690418000004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0.7221950363189571</v>
      </c>
      <c r="H4" s="2"/>
      <c r="I4" s="2">
        <f>INDEX(K11:K1000,1+MATCH(0,L11:L856,1))</f>
        <v>1.4599599999999999</v>
      </c>
      <c r="J4" s="2"/>
      <c r="K4" s="10">
        <f>INDEX(L11:L1056,MATCH(I4,K11:K1056,0))</f>
        <v>2.2460900000000001</v>
      </c>
      <c r="L4" s="32">
        <f>M3/(I6*L9)</f>
        <v>0.83233102309464202</v>
      </c>
      <c r="M4" s="8" t="s">
        <v>17</v>
      </c>
      <c r="N4" s="9"/>
      <c r="O4" s="2">
        <f>ABS(Q3-Q4)/ABS(S3-S4)*1000</f>
        <v>1.0949881247904985</v>
      </c>
      <c r="P4" s="2"/>
      <c r="Q4" s="2">
        <f>INDEX(S11:S856,1+MATCH(0,T11:T856,-1))</f>
        <v>1.4700299999999999</v>
      </c>
      <c r="R4" s="2"/>
      <c r="S4" s="10">
        <f>INDEX(T11:T856,MATCH(Q4,S11:S856,0))</f>
        <v>-1.61743E-3</v>
      </c>
      <c r="T4" s="32">
        <f>U3/(Q6*T9)</f>
        <v>0.83399115231255183</v>
      </c>
      <c r="U4" s="8" t="s">
        <v>17</v>
      </c>
      <c r="X4" s="9"/>
      <c r="Y4" s="2">
        <f>ABS(AA3-AA4)/ABS(AC3-AC4)*1000</f>
        <v>0.86925388447829532</v>
      </c>
      <c r="Z4" s="2"/>
      <c r="AA4" s="2">
        <f>INDEX(AC11:AC1000,1+MATCH(0,AD11:AD856,1))</f>
        <v>1.46912</v>
      </c>
      <c r="AB4" s="2"/>
      <c r="AC4" s="10">
        <f>INDEX(AD11:AD1056,MATCH(AA4,AC11:AC1056,0))</f>
        <v>2.2531099999999999</v>
      </c>
      <c r="AD4" s="32">
        <f>AE3/(AA6*AD9)</f>
        <v>0.83353002983247981</v>
      </c>
      <c r="AE4" s="8" t="s">
        <v>17</v>
      </c>
      <c r="AF4" s="9"/>
      <c r="AG4" s="2">
        <f>ABS(AI3-AI4)/ABS(AK3-AK4)*1000</f>
        <v>0.97940716163389119</v>
      </c>
      <c r="AH4" s="2"/>
      <c r="AI4" s="2">
        <f>INDEX(AK11:AK856,1+MATCH(0,AL11:AL856,-1))</f>
        <v>1.4755199999999999</v>
      </c>
      <c r="AJ4" s="2"/>
      <c r="AK4" s="10">
        <f>INDEX(AL11:AL856,MATCH(AI4,AK11:AK856,0))</f>
        <v>-0.84411599999999998</v>
      </c>
      <c r="AL4" s="32">
        <f>AM3/(AI6*AL9)</f>
        <v>0.83477910340465866</v>
      </c>
      <c r="AM4" s="8" t="s">
        <v>17</v>
      </c>
      <c r="AP4" s="9"/>
      <c r="AQ4" s="2">
        <f>ABS(AS3-AS4)/ABS(AU3-AU4)*1000</f>
        <v>0.8262623721663741</v>
      </c>
      <c r="AR4" s="2"/>
      <c r="AS4" s="2">
        <f>INDEX(AU11:AU1000,1+MATCH(0,AV11:AV856,1))</f>
        <v>1.47461</v>
      </c>
      <c r="AT4" s="2"/>
      <c r="AU4" s="10">
        <f>INDEX(AV11:AV1056,MATCH(AS4,AU11:AU1056,0))</f>
        <v>2.57477</v>
      </c>
      <c r="AV4" s="32">
        <f>AW3/(AS6*AV9)</f>
        <v>0.83377078184446884</v>
      </c>
      <c r="AW4" s="8" t="s">
        <v>17</v>
      </c>
      <c r="AX4" s="9"/>
      <c r="AY4" s="2">
        <f>ABS(BA3-BA4)/ABS(BC3-BC4)*1000</f>
        <v>1.0339305058865171</v>
      </c>
      <c r="AZ4" s="2"/>
      <c r="BA4" s="2">
        <f>INDEX(BC11:BC856,1+MATCH(0,BD11:BD856,-1))</f>
        <v>1.4755199999999999</v>
      </c>
      <c r="BB4" s="2"/>
      <c r="BC4" s="10">
        <f>INDEX(BD11:BD856,MATCH(BA4,BC11:BC856,0))</f>
        <v>-0.89874300000000007</v>
      </c>
      <c r="BD4" s="32">
        <f>BE3/(BA6*BD9)</f>
        <v>0.83409092096239712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17.575099999999999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17.617799999999999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17.571999999999999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17.602499999999999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17.562899999999999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17.584200000000003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1.4615821150491255</v>
      </c>
      <c r="J6" s="32"/>
      <c r="K6" s="13">
        <f>INDEX(K11:K1056,MATCH(L6,L11:L1056,0))</f>
        <v>4.3670699999999998E-3</v>
      </c>
      <c r="L6" s="10">
        <f>INDEX(L11:L1056,MATCH(0,K11:K1056,-1))</f>
        <v>19.409200000000002</v>
      </c>
      <c r="M6" s="8" t="s">
        <v>22</v>
      </c>
      <c r="N6" s="9"/>
      <c r="O6" s="2"/>
      <c r="P6" s="2"/>
      <c r="Q6" s="34">
        <f>(Q3-Q4)/(S3-S4)*(-S4)+Q4</f>
        <v>1.4700282289333573</v>
      </c>
      <c r="R6" s="34"/>
      <c r="S6" s="13">
        <f>INDEX(S11:S1056,MATCH(T6,T11:T1056,0))</f>
        <v>-9.6008299999999994E-3</v>
      </c>
      <c r="T6" s="10">
        <f>INDEX(T11:T1056,MATCH(0,S11:S1056,1))</f>
        <v>19.409200000000002</v>
      </c>
      <c r="U6" s="8" t="s">
        <v>22</v>
      </c>
      <c r="X6" s="9"/>
      <c r="Y6" s="2"/>
      <c r="Z6" s="2"/>
      <c r="AA6" s="32">
        <f>(AA3-AA4)/(AC3-AC4)*(-AC4)+AA4</f>
        <v>1.4710785246196569</v>
      </c>
      <c r="AB6" s="32"/>
      <c r="AC6" s="13">
        <f>INDEX(AC11:AC1056,MATCH(AD6,AD11:AD1056,0))</f>
        <v>4.2663600000000003E-3</v>
      </c>
      <c r="AD6" s="10">
        <f>INDEX(AD11:AD1056,MATCH(0,AC11:AC1056,-1))</f>
        <v>19.397000000000002</v>
      </c>
      <c r="AE6" s="8" t="s">
        <v>22</v>
      </c>
      <c r="AF6" s="9"/>
      <c r="AG6" s="2"/>
      <c r="AH6" s="2"/>
      <c r="AI6" s="34">
        <f>(AI3-AI4)/(AK3-AK4)*(-AK4)+AI4</f>
        <v>1.4746932667443502</v>
      </c>
      <c r="AJ6" s="34"/>
      <c r="AK6" s="13">
        <f>INDEX(AK11:AK1056,MATCH(AL6,AL11:AL1056,0))</f>
        <v>-9.4512899999999993E-3</v>
      </c>
      <c r="AL6" s="10">
        <f>INDEX(AL11:AL1056,MATCH(0,AK11:AK1056,1))</f>
        <v>19.384800000000002</v>
      </c>
      <c r="AM6" s="8" t="s">
        <v>22</v>
      </c>
      <c r="AP6" s="9"/>
      <c r="AQ6" s="2"/>
      <c r="AR6" s="2"/>
      <c r="AS6" s="32">
        <f>(AS3-AS4)/(AU3-AU4)*(-AU4)+AS4</f>
        <v>1.4767374355679828</v>
      </c>
      <c r="AT6" s="32"/>
      <c r="AU6" s="13">
        <f>INDEX(AU11:AU1056,MATCH(AV6,AV11:AV1056,0))</f>
        <v>4.2999300000000004E-3</v>
      </c>
      <c r="AV6" s="10">
        <f>INDEX(AV11:AV1056,MATCH(0,AU11:AU1056,-1))</f>
        <v>19.381700000000002</v>
      </c>
      <c r="AW6" s="8" t="s">
        <v>22</v>
      </c>
      <c r="AX6" s="9"/>
      <c r="AY6" s="2"/>
      <c r="AZ6" s="2"/>
      <c r="BA6" s="34">
        <f>(BA3-BA4)/(BC3-BC4)*(-BC4)+BA4</f>
        <v>1.474590762195348</v>
      </c>
      <c r="BB6" s="34"/>
      <c r="BC6" s="13">
        <f>INDEX(BC11:BC1056,MATCH(BD6,BD11:BD1056,0))</f>
        <v>-4.4799799999999997E-3</v>
      </c>
      <c r="BD6" s="10">
        <f>INDEX(BD11:BD1056,MATCH(0,BC11:BC1056,1))</f>
        <v>19.381700000000002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-6.6528300000000002E-4</v>
      </c>
      <c r="L7" s="10">
        <f>INDEX(L11:L856,1+MATCH(0,K11:K856,-1))</f>
        <v>19.415299999999998</v>
      </c>
      <c r="M7" s="12">
        <f>INDEX(K11:K1056,MATCH(M9,M11:M1056,0))</f>
        <v>1.34338</v>
      </c>
      <c r="N7" s="9"/>
      <c r="O7" s="2"/>
      <c r="P7" s="2"/>
      <c r="Q7" s="2"/>
      <c r="R7" s="2"/>
      <c r="S7" s="13">
        <f>INDEX(S11:S1056,MATCH(T7,T11:T1056,0))</f>
        <v>5.6762700000000002E-4</v>
      </c>
      <c r="T7" s="10">
        <f>INDEX(T11:T1056,1+MATCH(0,S11:S1056,1))</f>
        <v>19.403099999999998</v>
      </c>
      <c r="U7" s="12">
        <f>INDEX(S11:S1056,MATCH(U9,U11:U1056,0))</f>
        <v>1.3494900000000001</v>
      </c>
      <c r="X7" s="9"/>
      <c r="Y7" s="2"/>
      <c r="Z7" s="2"/>
      <c r="AA7" s="2"/>
      <c r="AB7" s="2"/>
      <c r="AC7" s="13">
        <f>INDEX(AC11:AC856,MATCH(AD7,AD11:AD856,1))</f>
        <v>-6.1645500000000002E-4</v>
      </c>
      <c r="AD7" s="10">
        <f>INDEX(AD11:AD856,1+MATCH(0,AC11:AC856,-1))</f>
        <v>19.403099999999998</v>
      </c>
      <c r="AE7" s="12">
        <f>INDEX(AC11:AC1056,MATCH(AE9,AE11:AE1056,0))</f>
        <v>1.35284</v>
      </c>
      <c r="AF7" s="9"/>
      <c r="AG7" s="2"/>
      <c r="AH7" s="2"/>
      <c r="AI7" s="2"/>
      <c r="AJ7" s="2"/>
      <c r="AK7" s="13">
        <f>INDEX(AK11:AK1056,MATCH(AL7,AL11:AL1056,0))</f>
        <v>6.4086899999999997E-4</v>
      </c>
      <c r="AL7" s="10">
        <f>INDEX(AL11:AL1056,1+MATCH(0,AK11:AK1056,1))</f>
        <v>19.378699999999998</v>
      </c>
      <c r="AM7" s="12">
        <f>INDEX(AK11:AK1056,MATCH(AM9,AM11:AM1056,0))</f>
        <v>1.35406</v>
      </c>
      <c r="AP7" s="9"/>
      <c r="AQ7" s="2"/>
      <c r="AR7" s="2"/>
      <c r="AS7" s="2"/>
      <c r="AT7" s="2"/>
      <c r="AU7" s="13">
        <f>INDEX(AU11:AU856,MATCH(AV7,AV11:AV856,1))</f>
        <v>-5.8532699999999998E-3</v>
      </c>
      <c r="AV7" s="10">
        <f>INDEX(AV11:AV856,1+MATCH(0,AU11:AU856,-1))</f>
        <v>19.387799999999999</v>
      </c>
      <c r="AW7" s="12">
        <f>INDEX(AU11:AU1056,MATCH(AW9,AW11:AW1056,0))</f>
        <v>1.3577300000000001</v>
      </c>
      <c r="AX7" s="9"/>
      <c r="AY7" s="2"/>
      <c r="AZ7" s="2"/>
      <c r="BA7" s="2"/>
      <c r="BB7" s="2"/>
      <c r="BC7" s="13">
        <f>INDEX(BC11:BC1056,MATCH(BD7,BD11:BD1056,0))</f>
        <v>5.4321299999999996E-4</v>
      </c>
      <c r="BD7" s="10">
        <f>INDEX(BD11:BD1056,1+MATCH(0,BC11:BC1056,1))</f>
        <v>19.375599999999999</v>
      </c>
      <c r="BE7" s="12">
        <f>INDEX(BC11:BC1056,MATCH(BE9,BE11:BE1056,0))</f>
        <v>1.3546800000000001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0.71594482755045119</v>
      </c>
      <c r="J9" s="2"/>
      <c r="K9" s="2"/>
      <c r="L9" s="3">
        <f>(L6-L7)/(K6-K7)*(-K7)+L7</f>
        <v>19.414493572807789</v>
      </c>
      <c r="M9" s="16">
        <f>MAX(M11:M1056)</f>
        <v>23.618122383999996</v>
      </c>
      <c r="N9" s="9"/>
      <c r="O9" s="2"/>
      <c r="P9" s="2"/>
      <c r="Q9" s="2"/>
      <c r="R9" s="2"/>
      <c r="S9" s="2"/>
      <c r="T9" s="3">
        <f>(T6-T7)/(S6-S7)*(-S7)+T7</f>
        <v>19.403440516235648</v>
      </c>
      <c r="U9" s="16">
        <f>MAX(U11:U1056)</f>
        <v>23.788434449999997</v>
      </c>
      <c r="X9" s="9"/>
      <c r="Y9" s="2"/>
      <c r="Z9" s="2"/>
      <c r="AA9" s="15">
        <f>(MAX(AD2,AL2)-MIN(AD2,AL2))/MAX(AD2,AL2)%</f>
        <v>0.27491763827407051</v>
      </c>
      <c r="AB9" s="2"/>
      <c r="AC9" s="2"/>
      <c r="AD9" s="3">
        <f>(AD6-AD7)/(AC6-AC7)*(-AC7)+AD7</f>
        <v>19.402329875491901</v>
      </c>
      <c r="AE9" s="16">
        <f>MAX(AE11:AE1056)</f>
        <v>23.790906519999997</v>
      </c>
      <c r="AF9" s="9"/>
      <c r="AG9" s="2"/>
      <c r="AH9" s="2"/>
      <c r="AI9" s="2"/>
      <c r="AJ9" s="2"/>
      <c r="AK9" s="2"/>
      <c r="AL9" s="3">
        <f>(AL6-AL7)/(AK6-AK7)*(-AK7)+AL7</f>
        <v>19.379087360216975</v>
      </c>
      <c r="AM9" s="16">
        <f>MAX(AM11:AM1056)</f>
        <v>23.856492225</v>
      </c>
      <c r="AP9" s="9"/>
      <c r="AQ9" s="2"/>
      <c r="AR9" s="2"/>
      <c r="AS9" s="15">
        <f>(MAX(AV2,BD2)-MIN(AV2,BD2))/MAX(AV2,BD2)%</f>
        <v>0.14837383936696194</v>
      </c>
      <c r="AT9" s="2"/>
      <c r="AU9" s="2"/>
      <c r="AV9" s="3">
        <f>(AV6-AV7)/(AU6-AU7)*(-AU7)+AV7</f>
        <v>19.384283379919633</v>
      </c>
      <c r="AW9" s="16">
        <f>MAX(AW11:AW1056)</f>
        <v>23.867102955</v>
      </c>
      <c r="AX9" s="9"/>
      <c r="AY9" s="2"/>
      <c r="AZ9" s="2"/>
      <c r="BA9" s="2"/>
      <c r="BB9" s="2"/>
      <c r="BC9" s="2"/>
      <c r="BD9" s="3">
        <f>(BD6-BD7)/(BC6-BC7)*(-BC7)+BD7</f>
        <v>19.376259659961303</v>
      </c>
      <c r="BE9" s="16">
        <f>MAX(BE11:BE1056)</f>
        <v>23.831690418000004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1.4615821150491255</v>
      </c>
      <c r="B11" s="19">
        <f>IFERROR(L9,0)</f>
        <v>19.414493572807789</v>
      </c>
      <c r="C11" s="20">
        <f>IFERROR(L4,0)</f>
        <v>0.83233102309464202</v>
      </c>
      <c r="D11" s="21">
        <f>IFERROR(L2,0)</f>
        <v>23.618122383999992</v>
      </c>
      <c r="E11" s="21">
        <f>IFERROR(I9,0)</f>
        <v>0.71594482755045119</v>
      </c>
      <c r="F11" s="9"/>
      <c r="G11" s="22">
        <v>1.4948999999999999</v>
      </c>
      <c r="H11" s="22">
        <v>49.109200000000001</v>
      </c>
      <c r="I11" s="22">
        <v>4.0408300000000001E-2</v>
      </c>
      <c r="J11" s="22">
        <v>1</v>
      </c>
      <c r="K11" s="22">
        <v>1.4944500000000001</v>
      </c>
      <c r="L11">
        <f>-I11/$F$2*1000</f>
        <v>-40.408300000000004</v>
      </c>
      <c r="M11">
        <f>L11*G11</f>
        <v>-60.406367670000002</v>
      </c>
      <c r="N11" s="9"/>
      <c r="O11" s="22">
        <v>-9.49097E-2</v>
      </c>
      <c r="P11" s="22">
        <v>97.935599999999994</v>
      </c>
      <c r="Q11" s="22">
        <v>-1.94824E-2</v>
      </c>
      <c r="R11" s="22">
        <v>1</v>
      </c>
      <c r="S11" s="22">
        <v>-9.5550499999999997E-2</v>
      </c>
      <c r="T11">
        <f>-Q11/$F$2*1000</f>
        <v>19.482400000000002</v>
      </c>
      <c r="U11">
        <f>T11*O11</f>
        <v>-1.8490687392800003</v>
      </c>
      <c r="V11" s="23"/>
      <c r="W11" s="24"/>
      <c r="X11" s="9"/>
      <c r="Y11" s="22">
        <v>1.4948999999999999</v>
      </c>
      <c r="Z11" s="22">
        <v>146.87899999999999</v>
      </c>
      <c r="AA11" s="22">
        <v>2.8170799999999999E-2</v>
      </c>
      <c r="AB11" s="22">
        <v>1</v>
      </c>
      <c r="AC11" s="22">
        <v>1.4938400000000001</v>
      </c>
      <c r="AD11">
        <f>-AA11/$F$2*1000</f>
        <v>-28.1708</v>
      </c>
      <c r="AE11">
        <f>AD11*Y11</f>
        <v>-42.112528919999995</v>
      </c>
      <c r="AF11" s="9"/>
      <c r="AG11" s="22">
        <v>-9.49097E-2</v>
      </c>
      <c r="AH11" s="22">
        <v>195.67699999999999</v>
      </c>
      <c r="AI11" s="22">
        <v>-1.94702E-2</v>
      </c>
      <c r="AJ11" s="22">
        <v>1</v>
      </c>
      <c r="AK11" s="22">
        <v>-9.5519999999999994E-2</v>
      </c>
      <c r="AL11">
        <f>-AI11/$F$2*1000</f>
        <v>19.470199999999998</v>
      </c>
      <c r="AM11">
        <f>AL11*AG11</f>
        <v>-1.8479108409399998</v>
      </c>
      <c r="AP11" s="9"/>
      <c r="AQ11" s="22">
        <v>1.4948999999999999</v>
      </c>
      <c r="AR11" s="22">
        <v>244.447</v>
      </c>
      <c r="AS11" s="22">
        <v>2.0196499999999999E-2</v>
      </c>
      <c r="AT11" s="22">
        <v>1</v>
      </c>
      <c r="AU11" s="22">
        <v>1.4938400000000001</v>
      </c>
      <c r="AV11">
        <f>-AS11/$F$2*1000</f>
        <v>-20.1965</v>
      </c>
      <c r="AW11">
        <f>AV11*AQ11</f>
        <v>-30.191747849999999</v>
      </c>
      <c r="AX11" s="9"/>
      <c r="AY11" s="22">
        <v>-9.49097E-2</v>
      </c>
      <c r="AZ11" s="22">
        <v>293.34800000000001</v>
      </c>
      <c r="BA11" s="22">
        <v>-1.94702E-2</v>
      </c>
      <c r="BB11" s="22">
        <v>1</v>
      </c>
      <c r="BC11" s="22">
        <v>-9.5397899999999994E-2</v>
      </c>
      <c r="BD11">
        <f>-BA11/$F$2*1000</f>
        <v>19.470199999999998</v>
      </c>
      <c r="BE11">
        <f>BD11*AY11</f>
        <v>-1.8479108409399998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1.4700282289333573</v>
      </c>
      <c r="B12" s="19">
        <f>IFERROR(T9,0)</f>
        <v>19.403440516235648</v>
      </c>
      <c r="C12" s="20">
        <f>IFERROR(T4,0)</f>
        <v>0.83399115231255183</v>
      </c>
      <c r="D12" s="21">
        <f>IFERROR(T2,0)</f>
        <v>23.788434449999997</v>
      </c>
      <c r="E12" s="21"/>
      <c r="F12" s="9"/>
      <c r="G12" s="22">
        <v>1.48987</v>
      </c>
      <c r="H12" s="22">
        <v>49.119300000000003</v>
      </c>
      <c r="I12" s="22">
        <v>3.4072900000000003E-2</v>
      </c>
      <c r="J12" s="22">
        <v>2</v>
      </c>
      <c r="K12" s="22">
        <v>1.48895</v>
      </c>
      <c r="L12">
        <f t="shared" ref="L12:L75" si="0">-I12/$F$2*1000</f>
        <v>-34.072900000000004</v>
      </c>
      <c r="M12">
        <f t="shared" ref="M12:M75" si="1">L12*G12</f>
        <v>-50.764191523000008</v>
      </c>
      <c r="N12" s="9"/>
      <c r="O12" s="22">
        <v>-8.9874300000000004E-2</v>
      </c>
      <c r="P12" s="22">
        <v>97.945700000000002</v>
      </c>
      <c r="Q12" s="22">
        <v>-1.9476299999999998E-2</v>
      </c>
      <c r="R12" s="22">
        <v>2</v>
      </c>
      <c r="S12" s="22">
        <v>-9.0484599999999998E-2</v>
      </c>
      <c r="T12">
        <f t="shared" ref="T12:T75" si="2">-Q12/$F$2*1000</f>
        <v>19.476299999999998</v>
      </c>
      <c r="U12">
        <f t="shared" ref="U12:U75" si="3">T12*O12</f>
        <v>-1.75041882909</v>
      </c>
      <c r="V12" s="23"/>
      <c r="W12" s="24"/>
      <c r="X12" s="9"/>
      <c r="Y12" s="22">
        <v>1.48987</v>
      </c>
      <c r="Z12" s="22">
        <v>146.88900000000001</v>
      </c>
      <c r="AA12" s="22">
        <v>2.1707199999999999E-2</v>
      </c>
      <c r="AB12" s="22">
        <v>2</v>
      </c>
      <c r="AC12" s="22">
        <v>1.48895</v>
      </c>
      <c r="AD12">
        <f t="shared" ref="AD12:AD75" si="4">-AA12/$F$2*1000</f>
        <v>-21.7072</v>
      </c>
      <c r="AE12">
        <f t="shared" ref="AE12:AE75" si="5">AD12*Y12</f>
        <v>-32.340906064000002</v>
      </c>
      <c r="AF12" s="9"/>
      <c r="AG12" s="22">
        <v>-8.9874300000000004E-2</v>
      </c>
      <c r="AH12" s="22">
        <v>195.68799999999999</v>
      </c>
      <c r="AI12" s="22">
        <v>-1.9464100000000002E-2</v>
      </c>
      <c r="AJ12" s="22">
        <v>2</v>
      </c>
      <c r="AK12" s="22">
        <v>-9.0362499999999998E-2</v>
      </c>
      <c r="AL12">
        <f t="shared" ref="AL12:AL75" si="6">-AI12/$F$2*1000</f>
        <v>19.464100000000002</v>
      </c>
      <c r="AM12">
        <f t="shared" ref="AM12:AM75" si="7">AL12*AG12</f>
        <v>-1.7493223626300003</v>
      </c>
      <c r="AP12" s="9"/>
      <c r="AQ12" s="22">
        <v>1.48987</v>
      </c>
      <c r="AR12" s="22">
        <v>244.45699999999999</v>
      </c>
      <c r="AS12" s="22">
        <v>1.4169299999999999E-2</v>
      </c>
      <c r="AT12" s="22">
        <v>2</v>
      </c>
      <c r="AU12" s="22">
        <v>1.48865</v>
      </c>
      <c r="AV12">
        <f t="shared" ref="AV12:AV75" si="8">-AS12/$F$2*1000</f>
        <v>-14.1693</v>
      </c>
      <c r="AW12">
        <f t="shared" ref="AW12:AW75" si="9">AV12*AQ12</f>
        <v>-21.110414990999999</v>
      </c>
      <c r="AX12" s="9"/>
      <c r="AY12" s="22">
        <v>-8.9874300000000004E-2</v>
      </c>
      <c r="AZ12" s="22">
        <v>293.358</v>
      </c>
      <c r="BA12" s="22">
        <v>-1.9464100000000002E-2</v>
      </c>
      <c r="BB12" s="22">
        <v>2</v>
      </c>
      <c r="BC12" s="22">
        <v>-9.0271000000000004E-2</v>
      </c>
      <c r="BD12">
        <f t="shared" ref="BD12:BD75" si="10">-BA12/$F$2*1000</f>
        <v>19.464100000000002</v>
      </c>
      <c r="BE12">
        <f t="shared" ref="BE12:BE75" si="11">BD12*AY12</f>
        <v>-1.7493223626300003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1.4710785246196569</v>
      </c>
      <c r="B13" s="19">
        <f>IFERROR(AD9,0)</f>
        <v>19.402329875491901</v>
      </c>
      <c r="C13" s="20">
        <f>IFERROR(AD4,0)</f>
        <v>0.83353002983247981</v>
      </c>
      <c r="D13" s="21">
        <f>IFERROR(AD2,0)</f>
        <v>23.790906519999997</v>
      </c>
      <c r="E13" s="21">
        <f>IFERROR(AA9,0)</f>
        <v>0.27491763827407051</v>
      </c>
      <c r="F13" s="9"/>
      <c r="G13" s="22">
        <v>1.4848300000000001</v>
      </c>
      <c r="H13" s="22">
        <v>49.129300000000001</v>
      </c>
      <c r="I13" s="22">
        <v>2.7810700000000001E-2</v>
      </c>
      <c r="J13" s="22">
        <v>3</v>
      </c>
      <c r="K13" s="22">
        <v>1.48468</v>
      </c>
      <c r="L13">
        <f t="shared" si="0"/>
        <v>-27.810700000000001</v>
      </c>
      <c r="M13">
        <f t="shared" si="1"/>
        <v>-41.294161681000006</v>
      </c>
      <c r="N13" s="9"/>
      <c r="O13" s="22">
        <v>-8.4838899999999995E-2</v>
      </c>
      <c r="P13" s="22">
        <v>97.955799999999996</v>
      </c>
      <c r="Q13" s="22">
        <v>-1.9473299999999999E-2</v>
      </c>
      <c r="R13" s="22">
        <v>3</v>
      </c>
      <c r="S13" s="22">
        <v>-8.5357699999999995E-2</v>
      </c>
      <c r="T13">
        <f t="shared" si="2"/>
        <v>19.473299999999998</v>
      </c>
      <c r="U13">
        <f t="shared" si="3"/>
        <v>-1.6520933513699998</v>
      </c>
      <c r="V13" s="23"/>
      <c r="W13" s="24"/>
      <c r="X13" s="9"/>
      <c r="Y13" s="22">
        <v>1.4848300000000001</v>
      </c>
      <c r="Z13" s="22">
        <v>146.899</v>
      </c>
      <c r="AA13" s="22">
        <v>1.5484599999999999E-2</v>
      </c>
      <c r="AB13" s="22">
        <v>3</v>
      </c>
      <c r="AC13" s="22">
        <v>1.48438</v>
      </c>
      <c r="AD13">
        <f t="shared" si="4"/>
        <v>-15.484599999999999</v>
      </c>
      <c r="AE13">
        <f t="shared" si="5"/>
        <v>-22.991998618</v>
      </c>
      <c r="AF13" s="9"/>
      <c r="AG13" s="22">
        <v>-8.4838899999999995E-2</v>
      </c>
      <c r="AH13" s="22">
        <v>195.69800000000001</v>
      </c>
      <c r="AI13" s="22">
        <v>-1.9458E-2</v>
      </c>
      <c r="AJ13" s="22">
        <v>3</v>
      </c>
      <c r="AK13" s="22">
        <v>-8.5235599999999995E-2</v>
      </c>
      <c r="AL13">
        <f t="shared" si="6"/>
        <v>19.457999999999998</v>
      </c>
      <c r="AM13">
        <f t="shared" si="7"/>
        <v>-1.6507953161999998</v>
      </c>
      <c r="AP13" s="9"/>
      <c r="AQ13" s="22">
        <v>1.4848300000000001</v>
      </c>
      <c r="AR13" s="22">
        <v>244.46700000000001</v>
      </c>
      <c r="AS13" s="22">
        <v>8.2946800000000005E-3</v>
      </c>
      <c r="AT13" s="22">
        <v>3</v>
      </c>
      <c r="AU13" s="22">
        <v>1.48407</v>
      </c>
      <c r="AV13">
        <f t="shared" si="8"/>
        <v>-8.2946799999999996</v>
      </c>
      <c r="AW13">
        <f t="shared" si="9"/>
        <v>-12.316189704400001</v>
      </c>
      <c r="AX13" s="9"/>
      <c r="AY13" s="22">
        <v>-8.4838899999999995E-2</v>
      </c>
      <c r="AZ13" s="22">
        <v>293.36799999999999</v>
      </c>
      <c r="BA13" s="22">
        <v>-1.9458E-2</v>
      </c>
      <c r="BB13" s="22">
        <v>3</v>
      </c>
      <c r="BC13" s="22">
        <v>-8.5388199999999997E-2</v>
      </c>
      <c r="BD13">
        <f t="shared" si="10"/>
        <v>19.457999999999998</v>
      </c>
      <c r="BE13">
        <f t="shared" si="11"/>
        <v>-1.6507953161999998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1.4746932667443502</v>
      </c>
      <c r="B14" s="19">
        <f>IFERROR(AL9,0)</f>
        <v>19.379087360216975</v>
      </c>
      <c r="C14" s="20">
        <f>IFERROR(AL4,0)</f>
        <v>0.83477910340465866</v>
      </c>
      <c r="D14" s="21">
        <f>IFERROR(AL2,0)</f>
        <v>23.856492225000004</v>
      </c>
      <c r="E14" s="21"/>
      <c r="F14" s="9"/>
      <c r="G14" s="22">
        <v>1.4798</v>
      </c>
      <c r="H14" s="22">
        <v>49.139400000000002</v>
      </c>
      <c r="I14" s="22">
        <v>2.17346E-2</v>
      </c>
      <c r="J14" s="22">
        <v>4</v>
      </c>
      <c r="K14" s="22">
        <v>1.47919</v>
      </c>
      <c r="L14">
        <f t="shared" si="0"/>
        <v>-21.7346</v>
      </c>
      <c r="M14">
        <f t="shared" si="1"/>
        <v>-32.162861079999999</v>
      </c>
      <c r="N14" s="9"/>
      <c r="O14" s="22">
        <v>-7.9803499999999999E-2</v>
      </c>
      <c r="P14" s="22">
        <v>97.965800000000002</v>
      </c>
      <c r="Q14" s="22">
        <v>-1.94702E-2</v>
      </c>
      <c r="R14" s="22">
        <v>4</v>
      </c>
      <c r="S14" s="22">
        <v>-8.0200199999999999E-2</v>
      </c>
      <c r="T14">
        <f t="shared" si="2"/>
        <v>19.470199999999998</v>
      </c>
      <c r="U14">
        <f t="shared" si="3"/>
        <v>-1.5537901056999999</v>
      </c>
      <c r="V14" s="23"/>
      <c r="W14" s="24"/>
      <c r="X14" s="9"/>
      <c r="Y14" s="22">
        <v>1.4798</v>
      </c>
      <c r="Z14" s="22">
        <v>146.90899999999999</v>
      </c>
      <c r="AA14" s="22">
        <v>9.2620800000000007E-3</v>
      </c>
      <c r="AB14" s="22">
        <v>4</v>
      </c>
      <c r="AC14" s="22">
        <v>1.47888</v>
      </c>
      <c r="AD14">
        <f t="shared" si="4"/>
        <v>-9.262080000000001</v>
      </c>
      <c r="AE14">
        <f t="shared" si="5"/>
        <v>-13.706025984000002</v>
      </c>
      <c r="AF14" s="9"/>
      <c r="AG14" s="22">
        <v>-7.9803499999999999E-2</v>
      </c>
      <c r="AH14" s="22">
        <v>195.708</v>
      </c>
      <c r="AI14" s="22">
        <v>-1.9455E-2</v>
      </c>
      <c r="AJ14" s="22">
        <v>4</v>
      </c>
      <c r="AK14" s="22">
        <v>-8.0841099999999999E-2</v>
      </c>
      <c r="AL14">
        <f t="shared" si="6"/>
        <v>19.454999999999998</v>
      </c>
      <c r="AM14">
        <f t="shared" si="7"/>
        <v>-1.5525770924999998</v>
      </c>
      <c r="AP14" s="9"/>
      <c r="AQ14" s="22">
        <v>1.4798</v>
      </c>
      <c r="AR14" s="22">
        <v>244.477</v>
      </c>
      <c r="AS14" s="22">
        <v>2.5930800000000002E-3</v>
      </c>
      <c r="AT14" s="22">
        <v>4</v>
      </c>
      <c r="AU14" s="22">
        <v>1.47888</v>
      </c>
      <c r="AV14">
        <f t="shared" si="8"/>
        <v>-2.5930800000000001</v>
      </c>
      <c r="AW14">
        <f t="shared" si="9"/>
        <v>-3.8372397839999999</v>
      </c>
      <c r="AX14" s="9"/>
      <c r="AY14" s="22">
        <v>-7.9803499999999999E-2</v>
      </c>
      <c r="AZ14" s="22">
        <v>293.37900000000002</v>
      </c>
      <c r="BA14" s="22">
        <v>-1.9451900000000001E-2</v>
      </c>
      <c r="BB14" s="22">
        <v>4</v>
      </c>
      <c r="BC14" s="22">
        <v>-8.0444299999999996E-2</v>
      </c>
      <c r="BD14">
        <f t="shared" si="10"/>
        <v>19.451900000000002</v>
      </c>
      <c r="BE14">
        <f t="shared" si="11"/>
        <v>-1.5523297016500002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1.4767374355679828</v>
      </c>
      <c r="B15" s="19">
        <f>IFERROR(AV9,0)</f>
        <v>19.384283379919633</v>
      </c>
      <c r="C15" s="20">
        <f>IFERROR(AV4,0)</f>
        <v>0.83377078184446884</v>
      </c>
      <c r="D15" s="21">
        <f>IFERROR(AV2,0)</f>
        <v>23.867102955000004</v>
      </c>
      <c r="E15" s="21">
        <f>IFERROR(AS9,0)</f>
        <v>0.14837383936696194</v>
      </c>
      <c r="F15" s="9"/>
      <c r="G15" s="22">
        <v>1.4747600000000001</v>
      </c>
      <c r="H15" s="22">
        <v>49.149500000000003</v>
      </c>
      <c r="I15" s="22">
        <v>1.5560900000000001E-2</v>
      </c>
      <c r="J15" s="22">
        <v>5</v>
      </c>
      <c r="K15" s="22">
        <v>1.47461</v>
      </c>
      <c r="L15">
        <f t="shared" si="0"/>
        <v>-15.5609</v>
      </c>
      <c r="M15">
        <f t="shared" si="1"/>
        <v>-22.948592884</v>
      </c>
      <c r="N15" s="9"/>
      <c r="O15" s="22">
        <v>-7.4768100000000004E-2</v>
      </c>
      <c r="P15" s="22">
        <v>97.975899999999996</v>
      </c>
      <c r="Q15" s="22">
        <v>-1.9464100000000002E-2</v>
      </c>
      <c r="R15" s="22">
        <v>5</v>
      </c>
      <c r="S15" s="22">
        <v>-7.5378399999999998E-2</v>
      </c>
      <c r="T15">
        <f t="shared" si="2"/>
        <v>19.464100000000002</v>
      </c>
      <c r="U15">
        <f t="shared" si="3"/>
        <v>-1.4552937752100001</v>
      </c>
      <c r="V15" s="23"/>
      <c r="W15" s="24"/>
      <c r="X15" s="9"/>
      <c r="Y15" s="22">
        <v>1.4747600000000001</v>
      </c>
      <c r="Z15" s="22">
        <v>146.91900000000001</v>
      </c>
      <c r="AA15" s="22">
        <v>3.3609E-3</v>
      </c>
      <c r="AB15" s="22">
        <v>5</v>
      </c>
      <c r="AC15" s="22">
        <v>1.474</v>
      </c>
      <c r="AD15">
        <f t="shared" si="4"/>
        <v>-3.3609</v>
      </c>
      <c r="AE15">
        <f t="shared" si="5"/>
        <v>-4.9565208840000006</v>
      </c>
      <c r="AF15" s="9"/>
      <c r="AG15" s="22">
        <v>-7.4768100000000004E-2</v>
      </c>
      <c r="AH15" s="22">
        <v>195.71799999999999</v>
      </c>
      <c r="AI15" s="22">
        <v>-1.9448900000000002E-2</v>
      </c>
      <c r="AJ15" s="22">
        <v>5</v>
      </c>
      <c r="AK15" s="22">
        <v>-7.5103799999999998E-2</v>
      </c>
      <c r="AL15">
        <f t="shared" si="6"/>
        <v>19.448900000000002</v>
      </c>
      <c r="AM15">
        <f t="shared" si="7"/>
        <v>-1.4541573000900003</v>
      </c>
      <c r="AP15" s="9"/>
      <c r="AQ15" s="22">
        <v>1.4747600000000001</v>
      </c>
      <c r="AR15" s="22">
        <v>244.48699999999999</v>
      </c>
      <c r="AS15" s="22">
        <v>-2.5747700000000001E-3</v>
      </c>
      <c r="AT15" s="22">
        <v>5</v>
      </c>
      <c r="AU15" s="22">
        <v>1.47461</v>
      </c>
      <c r="AV15">
        <f t="shared" si="8"/>
        <v>2.57477</v>
      </c>
      <c r="AW15">
        <f t="shared" si="9"/>
        <v>3.7971678052</v>
      </c>
      <c r="AX15" s="9"/>
      <c r="AY15" s="22">
        <v>-7.4768100000000004E-2</v>
      </c>
      <c r="AZ15" s="22">
        <v>293.38900000000001</v>
      </c>
      <c r="BA15" s="22">
        <v>-1.94427E-2</v>
      </c>
      <c r="BB15" s="22">
        <v>5</v>
      </c>
      <c r="BC15" s="22">
        <v>-7.5378399999999998E-2</v>
      </c>
      <c r="BD15">
        <f t="shared" si="10"/>
        <v>19.442699999999999</v>
      </c>
      <c r="BE15">
        <f t="shared" si="11"/>
        <v>-1.4536937378699999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1.474590762195348</v>
      </c>
      <c r="B16" s="19">
        <f>IFERROR(BD9,0)</f>
        <v>19.376259659961303</v>
      </c>
      <c r="C16" s="20">
        <f>IFERROR(BD4,0)</f>
        <v>0.83409092096239712</v>
      </c>
      <c r="D16" s="21">
        <f>IFERROR(BD2,0)</f>
        <v>23.831690418000004</v>
      </c>
      <c r="E16" s="21"/>
      <c r="F16" s="9"/>
      <c r="G16" s="22">
        <v>1.46973</v>
      </c>
      <c r="H16" s="22">
        <v>49.159599999999998</v>
      </c>
      <c r="I16" s="22">
        <v>9.3658400000000003E-3</v>
      </c>
      <c r="J16" s="22">
        <v>6</v>
      </c>
      <c r="K16" s="22">
        <v>1.4688099999999999</v>
      </c>
      <c r="L16">
        <f t="shared" si="0"/>
        <v>-9.3658400000000004</v>
      </c>
      <c r="M16">
        <f t="shared" si="1"/>
        <v>-13.765256023200001</v>
      </c>
      <c r="N16" s="9"/>
      <c r="O16" s="22">
        <v>-6.9732699999999995E-2</v>
      </c>
      <c r="P16" s="22">
        <v>97.986000000000004</v>
      </c>
      <c r="Q16" s="22">
        <v>-1.9461099999999999E-2</v>
      </c>
      <c r="R16" s="22">
        <v>6</v>
      </c>
      <c r="S16" s="22">
        <v>-7.08313E-2</v>
      </c>
      <c r="T16">
        <f t="shared" si="2"/>
        <v>19.461099999999998</v>
      </c>
      <c r="U16">
        <f t="shared" si="3"/>
        <v>-1.3570750479699998</v>
      </c>
      <c r="V16" s="23"/>
      <c r="W16" s="24"/>
      <c r="X16" s="9"/>
      <c r="Y16" s="22">
        <v>1.46973</v>
      </c>
      <c r="Z16" s="22">
        <v>146.929</v>
      </c>
      <c r="AA16" s="22">
        <v>-2.25311E-3</v>
      </c>
      <c r="AB16" s="22">
        <v>6</v>
      </c>
      <c r="AC16" s="22">
        <v>1.46912</v>
      </c>
      <c r="AD16">
        <f t="shared" si="4"/>
        <v>2.2531099999999999</v>
      </c>
      <c r="AE16">
        <f t="shared" si="5"/>
        <v>3.3114633602999999</v>
      </c>
      <c r="AF16" s="9"/>
      <c r="AG16" s="22">
        <v>-6.9732699999999995E-2</v>
      </c>
      <c r="AH16" s="22">
        <v>195.72800000000001</v>
      </c>
      <c r="AI16" s="22">
        <v>-1.9439700000000001E-2</v>
      </c>
      <c r="AJ16" s="22">
        <v>6</v>
      </c>
      <c r="AK16" s="22">
        <v>-7.03125E-2</v>
      </c>
      <c r="AL16">
        <f t="shared" si="6"/>
        <v>19.439700000000002</v>
      </c>
      <c r="AM16">
        <f t="shared" si="7"/>
        <v>-1.3555827681900001</v>
      </c>
      <c r="AP16" s="9"/>
      <c r="AQ16" s="22">
        <v>1.46973</v>
      </c>
      <c r="AR16" s="22">
        <v>244.49700000000001</v>
      </c>
      <c r="AS16" s="22">
        <v>-6.64673E-3</v>
      </c>
      <c r="AT16" s="22">
        <v>6</v>
      </c>
      <c r="AU16" s="22">
        <v>1.4694199999999999</v>
      </c>
      <c r="AV16">
        <f t="shared" si="8"/>
        <v>6.6467299999999998</v>
      </c>
      <c r="AW16">
        <f t="shared" si="9"/>
        <v>9.7688984828999992</v>
      </c>
      <c r="AX16" s="9"/>
      <c r="AY16" s="22">
        <v>-6.9732699999999995E-2</v>
      </c>
      <c r="AZ16" s="22">
        <v>293.399</v>
      </c>
      <c r="BA16" s="22">
        <v>-1.9439700000000001E-2</v>
      </c>
      <c r="BB16" s="22">
        <v>6</v>
      </c>
      <c r="BC16" s="22">
        <v>-7.0098900000000006E-2</v>
      </c>
      <c r="BD16">
        <f t="shared" si="10"/>
        <v>19.439700000000002</v>
      </c>
      <c r="BE16">
        <f t="shared" si="11"/>
        <v>-1.3555827681900001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1.46469</v>
      </c>
      <c r="H17" s="22">
        <v>49.169600000000003</v>
      </c>
      <c r="I17" s="22">
        <v>3.2510400000000002E-3</v>
      </c>
      <c r="J17" s="22">
        <v>7</v>
      </c>
      <c r="K17" s="22">
        <v>1.46393</v>
      </c>
      <c r="L17">
        <f t="shared" si="0"/>
        <v>-3.2510400000000002</v>
      </c>
      <c r="M17">
        <f t="shared" si="1"/>
        <v>-4.7617657776</v>
      </c>
      <c r="N17" s="9"/>
      <c r="O17" s="22">
        <v>-6.4697299999999999E-2</v>
      </c>
      <c r="P17" s="22">
        <v>97.995999999999995</v>
      </c>
      <c r="Q17" s="22">
        <v>-1.9458E-2</v>
      </c>
      <c r="R17" s="22">
        <v>7</v>
      </c>
      <c r="S17" s="22">
        <v>-6.4849900000000002E-2</v>
      </c>
      <c r="T17">
        <f t="shared" si="2"/>
        <v>19.457999999999998</v>
      </c>
      <c r="U17">
        <f t="shared" si="3"/>
        <v>-1.2588800633999999</v>
      </c>
      <c r="V17" s="23"/>
      <c r="W17" s="24"/>
      <c r="X17" s="9"/>
      <c r="Y17" s="22">
        <v>1.46469</v>
      </c>
      <c r="Z17" s="22">
        <v>146.93899999999999</v>
      </c>
      <c r="AA17" s="22">
        <v>-6.5521199999999998E-3</v>
      </c>
      <c r="AB17" s="22">
        <v>7</v>
      </c>
      <c r="AC17" s="22">
        <v>1.4636199999999999</v>
      </c>
      <c r="AD17">
        <f t="shared" si="4"/>
        <v>6.5521199999999995</v>
      </c>
      <c r="AE17">
        <f t="shared" si="5"/>
        <v>9.5968246427999997</v>
      </c>
      <c r="AF17" s="9"/>
      <c r="AG17" s="22">
        <v>-6.4697299999999999E-2</v>
      </c>
      <c r="AH17" s="22">
        <v>195.738</v>
      </c>
      <c r="AI17" s="22">
        <v>-1.9436599999999998E-2</v>
      </c>
      <c r="AJ17" s="22">
        <v>7</v>
      </c>
      <c r="AK17" s="22">
        <v>-6.4880400000000005E-2</v>
      </c>
      <c r="AL17">
        <f t="shared" si="6"/>
        <v>19.436599999999999</v>
      </c>
      <c r="AM17">
        <f t="shared" si="7"/>
        <v>-1.25749554118</v>
      </c>
      <c r="AP17" s="9"/>
      <c r="AQ17" s="22">
        <v>1.46469</v>
      </c>
      <c r="AR17" s="22">
        <v>244.50700000000001</v>
      </c>
      <c r="AS17" s="22">
        <v>-9.1857899999999992E-3</v>
      </c>
      <c r="AT17" s="22">
        <v>7</v>
      </c>
      <c r="AU17" s="22">
        <v>1.4642299999999999</v>
      </c>
      <c r="AV17">
        <f t="shared" si="8"/>
        <v>9.185789999999999</v>
      </c>
      <c r="AW17">
        <f t="shared" si="9"/>
        <v>13.4543347551</v>
      </c>
      <c r="AX17" s="9"/>
      <c r="AY17" s="22">
        <v>-6.4697299999999999E-2</v>
      </c>
      <c r="AZ17" s="22">
        <v>293.40899999999999</v>
      </c>
      <c r="BA17" s="22">
        <v>-1.9433599999999999E-2</v>
      </c>
      <c r="BB17" s="22">
        <v>7</v>
      </c>
      <c r="BC17" s="22">
        <v>-6.5155000000000005E-2</v>
      </c>
      <c r="BD17">
        <f t="shared" si="10"/>
        <v>19.433599999999998</v>
      </c>
      <c r="BE17">
        <f t="shared" si="11"/>
        <v>-1.2573014492799999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1.45966</v>
      </c>
      <c r="H18" s="22">
        <v>49.179699999999997</v>
      </c>
      <c r="I18" s="22">
        <v>-2.2460900000000001E-3</v>
      </c>
      <c r="J18" s="22">
        <v>8</v>
      </c>
      <c r="K18" s="22">
        <v>1.4599599999999999</v>
      </c>
      <c r="L18">
        <f t="shared" si="0"/>
        <v>2.2460900000000001</v>
      </c>
      <c r="M18">
        <f t="shared" si="1"/>
        <v>3.2785277293999999</v>
      </c>
      <c r="N18" s="9"/>
      <c r="O18" s="22">
        <v>-5.9661899999999997E-2</v>
      </c>
      <c r="P18" s="22">
        <v>98.006100000000004</v>
      </c>
      <c r="Q18" s="22">
        <v>-1.9455E-2</v>
      </c>
      <c r="R18" s="22">
        <v>8</v>
      </c>
      <c r="S18" s="22">
        <v>-6.0272199999999998E-2</v>
      </c>
      <c r="T18">
        <f t="shared" si="2"/>
        <v>19.454999999999998</v>
      </c>
      <c r="U18">
        <f t="shared" si="3"/>
        <v>-1.1607222644999999</v>
      </c>
      <c r="V18" s="23"/>
      <c r="W18" s="24"/>
      <c r="X18" s="9"/>
      <c r="Y18" s="22">
        <v>1.45966</v>
      </c>
      <c r="Z18" s="22">
        <v>146.94999999999999</v>
      </c>
      <c r="AA18" s="22">
        <v>-9.1186500000000007E-3</v>
      </c>
      <c r="AB18" s="22">
        <v>8</v>
      </c>
      <c r="AC18" s="22">
        <v>1.45905</v>
      </c>
      <c r="AD18">
        <f t="shared" si="4"/>
        <v>9.1186500000000006</v>
      </c>
      <c r="AE18">
        <f t="shared" si="5"/>
        <v>13.310128659</v>
      </c>
      <c r="AF18" s="9"/>
      <c r="AG18" s="22">
        <v>-5.9661899999999997E-2</v>
      </c>
      <c r="AH18" s="22">
        <v>195.74799999999999</v>
      </c>
      <c r="AI18" s="22">
        <v>-1.94305E-2</v>
      </c>
      <c r="AJ18" s="22">
        <v>8</v>
      </c>
      <c r="AK18" s="22">
        <v>-6.0241700000000002E-2</v>
      </c>
      <c r="AL18">
        <f t="shared" si="6"/>
        <v>19.430499999999999</v>
      </c>
      <c r="AM18">
        <f t="shared" si="7"/>
        <v>-1.1592605479499998</v>
      </c>
      <c r="AP18" s="9"/>
      <c r="AQ18" s="22">
        <v>1.45966</v>
      </c>
      <c r="AR18" s="22">
        <v>244.517</v>
      </c>
      <c r="AS18" s="22">
        <v>-1.0876500000000001E-2</v>
      </c>
      <c r="AT18" s="22">
        <v>8</v>
      </c>
      <c r="AU18" s="22">
        <v>1.45905</v>
      </c>
      <c r="AV18">
        <f t="shared" si="8"/>
        <v>10.8765</v>
      </c>
      <c r="AW18">
        <f t="shared" si="9"/>
        <v>15.875991989999999</v>
      </c>
      <c r="AX18" s="9"/>
      <c r="AY18" s="22">
        <v>-5.9661899999999997E-2</v>
      </c>
      <c r="AZ18" s="22">
        <v>293.41899999999998</v>
      </c>
      <c r="BA18" s="22">
        <v>-1.94275E-2</v>
      </c>
      <c r="BB18" s="22">
        <v>8</v>
      </c>
      <c r="BC18" s="22">
        <v>-5.9845000000000002E-2</v>
      </c>
      <c r="BD18">
        <f t="shared" si="10"/>
        <v>19.427500000000002</v>
      </c>
      <c r="BE18">
        <f t="shared" si="11"/>
        <v>-1.1590815622500001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1.45462</v>
      </c>
      <c r="H19" s="22">
        <v>49.189799999999998</v>
      </c>
      <c r="I19" s="22">
        <v>-6.5246599999999998E-3</v>
      </c>
      <c r="J19" s="22">
        <v>9</v>
      </c>
      <c r="K19" s="22">
        <v>1.4535499999999999</v>
      </c>
      <c r="L19">
        <f t="shared" si="0"/>
        <v>6.5246599999999999</v>
      </c>
      <c r="M19">
        <f t="shared" si="1"/>
        <v>9.4909009292000004</v>
      </c>
      <c r="N19" s="9"/>
      <c r="O19" s="22">
        <v>-5.4626500000000001E-2</v>
      </c>
      <c r="P19" s="22">
        <v>98.016199999999998</v>
      </c>
      <c r="Q19" s="22">
        <v>-1.9448900000000002E-2</v>
      </c>
      <c r="R19" s="22">
        <v>9</v>
      </c>
      <c r="S19" s="22">
        <v>-5.5145300000000001E-2</v>
      </c>
      <c r="T19">
        <f t="shared" si="2"/>
        <v>19.448900000000002</v>
      </c>
      <c r="U19">
        <f t="shared" si="3"/>
        <v>-1.0624253358500002</v>
      </c>
      <c r="V19" s="23"/>
      <c r="W19" s="24"/>
      <c r="X19" s="9"/>
      <c r="Y19" s="22">
        <v>1.45462</v>
      </c>
      <c r="Z19" s="22">
        <v>146.96</v>
      </c>
      <c r="AA19" s="22">
        <v>-1.08124E-2</v>
      </c>
      <c r="AB19" s="22">
        <v>9</v>
      </c>
      <c r="AC19" s="22">
        <v>1.4541599999999999</v>
      </c>
      <c r="AD19">
        <f t="shared" si="4"/>
        <v>10.8124</v>
      </c>
      <c r="AE19">
        <f t="shared" si="5"/>
        <v>15.727933288000001</v>
      </c>
      <c r="AF19" s="9"/>
      <c r="AG19" s="22">
        <v>-5.4626500000000001E-2</v>
      </c>
      <c r="AH19" s="22">
        <v>195.75800000000001</v>
      </c>
      <c r="AI19" s="22">
        <v>-1.94305E-2</v>
      </c>
      <c r="AJ19" s="22">
        <v>9</v>
      </c>
      <c r="AK19" s="22">
        <v>-5.5236800000000003E-2</v>
      </c>
      <c r="AL19">
        <f t="shared" si="6"/>
        <v>19.430499999999999</v>
      </c>
      <c r="AM19">
        <f t="shared" si="7"/>
        <v>-1.0614202082499999</v>
      </c>
      <c r="AP19" s="9"/>
      <c r="AQ19" s="22">
        <v>1.45462</v>
      </c>
      <c r="AR19" s="22">
        <v>244.52699999999999</v>
      </c>
      <c r="AS19" s="22">
        <v>-1.20392E-2</v>
      </c>
      <c r="AT19" s="22">
        <v>9</v>
      </c>
      <c r="AU19" s="22">
        <v>1.4538599999999999</v>
      </c>
      <c r="AV19">
        <f t="shared" si="8"/>
        <v>12.039199999999999</v>
      </c>
      <c r="AW19">
        <f t="shared" si="9"/>
        <v>17.512461104</v>
      </c>
      <c r="AX19" s="9"/>
      <c r="AY19" s="22">
        <v>-5.4626500000000001E-2</v>
      </c>
      <c r="AZ19" s="22">
        <v>293.42899999999997</v>
      </c>
      <c r="BA19" s="22">
        <v>-1.9421399999999998E-2</v>
      </c>
      <c r="BB19" s="22">
        <v>9</v>
      </c>
      <c r="BC19" s="22">
        <v>-5.5267299999999998E-2</v>
      </c>
      <c r="BD19">
        <f t="shared" si="10"/>
        <v>19.421399999999998</v>
      </c>
      <c r="BE19">
        <f t="shared" si="11"/>
        <v>-1.0609231071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1.4495800000000001</v>
      </c>
      <c r="H20" s="22">
        <v>49.199800000000003</v>
      </c>
      <c r="I20" s="22">
        <v>-9.0362499999999991E-3</v>
      </c>
      <c r="J20" s="22">
        <v>10</v>
      </c>
      <c r="K20" s="22">
        <v>1.4489700000000001</v>
      </c>
      <c r="L20">
        <f t="shared" si="0"/>
        <v>9.036249999999999</v>
      </c>
      <c r="M20">
        <f t="shared" si="1"/>
        <v>13.098767275</v>
      </c>
      <c r="N20" s="9"/>
      <c r="O20" s="22">
        <v>-4.9591099999999999E-2</v>
      </c>
      <c r="P20" s="22">
        <v>98.026300000000006</v>
      </c>
      <c r="Q20" s="22">
        <v>-1.94427E-2</v>
      </c>
      <c r="R20" s="22">
        <v>10</v>
      </c>
      <c r="S20" s="22">
        <v>-5.03235E-2</v>
      </c>
      <c r="T20">
        <f t="shared" si="2"/>
        <v>19.442699999999999</v>
      </c>
      <c r="U20">
        <f t="shared" si="3"/>
        <v>-0.96418487996999991</v>
      </c>
      <c r="V20" s="23"/>
      <c r="W20" s="24"/>
      <c r="X20" s="9"/>
      <c r="Y20" s="22">
        <v>1.4495800000000001</v>
      </c>
      <c r="Z20" s="22">
        <v>146.97</v>
      </c>
      <c r="AA20" s="22">
        <v>-1.20026E-2</v>
      </c>
      <c r="AB20" s="22">
        <v>10</v>
      </c>
      <c r="AC20" s="22">
        <v>1.4486699999999999</v>
      </c>
      <c r="AD20">
        <f t="shared" si="4"/>
        <v>12.002600000000001</v>
      </c>
      <c r="AE20">
        <f t="shared" si="5"/>
        <v>17.398728908000002</v>
      </c>
      <c r="AF20" s="9"/>
      <c r="AG20" s="22">
        <v>-4.9591099999999999E-2</v>
      </c>
      <c r="AH20" s="22">
        <v>195.768</v>
      </c>
      <c r="AI20" s="22">
        <v>-1.9424400000000001E-2</v>
      </c>
      <c r="AJ20" s="22">
        <v>10</v>
      </c>
      <c r="AK20" s="22">
        <v>-5.00793E-2</v>
      </c>
      <c r="AL20">
        <f t="shared" si="6"/>
        <v>19.424400000000002</v>
      </c>
      <c r="AM20">
        <f t="shared" si="7"/>
        <v>-0.9632773628400001</v>
      </c>
      <c r="AP20" s="9"/>
      <c r="AQ20" s="22">
        <v>1.4495800000000001</v>
      </c>
      <c r="AR20" s="22">
        <v>244.53700000000001</v>
      </c>
      <c r="AS20" s="22">
        <v>-1.29791E-2</v>
      </c>
      <c r="AT20" s="22">
        <v>10</v>
      </c>
      <c r="AU20" s="22">
        <v>1.4489700000000001</v>
      </c>
      <c r="AV20">
        <f t="shared" si="8"/>
        <v>12.979100000000001</v>
      </c>
      <c r="AW20">
        <f t="shared" si="9"/>
        <v>18.814243778000002</v>
      </c>
      <c r="AX20" s="9"/>
      <c r="AY20" s="22">
        <v>-4.9591099999999999E-2</v>
      </c>
      <c r="AZ20" s="22">
        <v>293.43900000000002</v>
      </c>
      <c r="BA20" s="22">
        <v>-1.9418299999999999E-2</v>
      </c>
      <c r="BB20" s="22">
        <v>10</v>
      </c>
      <c r="BC20" s="22">
        <v>-5.00793E-2</v>
      </c>
      <c r="BD20">
        <f t="shared" si="10"/>
        <v>19.418299999999999</v>
      </c>
      <c r="BE20">
        <f t="shared" si="11"/>
        <v>-0.96297485712999986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1.44455</v>
      </c>
      <c r="H21" s="22">
        <v>49.209899999999998</v>
      </c>
      <c r="I21" s="22">
        <v>-1.0720800000000001E-2</v>
      </c>
      <c r="J21" s="22">
        <v>11</v>
      </c>
      <c r="K21" s="22">
        <v>1.4437899999999999</v>
      </c>
      <c r="L21">
        <f t="shared" si="0"/>
        <v>10.720800000000001</v>
      </c>
      <c r="M21">
        <f t="shared" si="1"/>
        <v>15.48673164</v>
      </c>
      <c r="N21" s="9"/>
      <c r="O21" s="22">
        <v>-4.4555699999999997E-2</v>
      </c>
      <c r="P21" s="22">
        <v>98.036299999999997</v>
      </c>
      <c r="Q21" s="22">
        <v>-1.9436599999999998E-2</v>
      </c>
      <c r="R21" s="22">
        <v>11</v>
      </c>
      <c r="S21" s="22">
        <v>-4.4839499999999997E-2</v>
      </c>
      <c r="T21">
        <f t="shared" si="2"/>
        <v>19.436599999999999</v>
      </c>
      <c r="U21">
        <f t="shared" si="3"/>
        <v>-0.86601131861999991</v>
      </c>
      <c r="V21" s="23"/>
      <c r="W21" s="24"/>
      <c r="X21" s="9"/>
      <c r="Y21" s="22">
        <v>1.44455</v>
      </c>
      <c r="Z21" s="22">
        <v>146.97999999999999</v>
      </c>
      <c r="AA21" s="22">
        <v>-1.29242E-2</v>
      </c>
      <c r="AB21" s="22">
        <v>11</v>
      </c>
      <c r="AC21" s="22">
        <v>1.4437899999999999</v>
      </c>
      <c r="AD21">
        <f t="shared" si="4"/>
        <v>12.924200000000001</v>
      </c>
      <c r="AE21">
        <f t="shared" si="5"/>
        <v>18.669653110000002</v>
      </c>
      <c r="AF21" s="9"/>
      <c r="AG21" s="22">
        <v>-4.4555699999999997E-2</v>
      </c>
      <c r="AH21" s="22">
        <v>195.77799999999999</v>
      </c>
      <c r="AI21" s="22">
        <v>-1.9421399999999998E-2</v>
      </c>
      <c r="AJ21" s="22">
        <v>11</v>
      </c>
      <c r="AK21" s="22">
        <v>-4.47754E-2</v>
      </c>
      <c r="AL21">
        <f t="shared" si="6"/>
        <v>19.421399999999998</v>
      </c>
      <c r="AM21">
        <f t="shared" si="7"/>
        <v>-0.8653340719799999</v>
      </c>
      <c r="AP21" s="9"/>
      <c r="AQ21" s="22">
        <v>1.44455</v>
      </c>
      <c r="AR21" s="22">
        <v>244.548</v>
      </c>
      <c r="AS21" s="22">
        <v>-1.3699299999999999E-2</v>
      </c>
      <c r="AT21" s="22">
        <v>11</v>
      </c>
      <c r="AU21" s="22">
        <v>1.4437899999999999</v>
      </c>
      <c r="AV21">
        <f t="shared" si="8"/>
        <v>13.699299999999999</v>
      </c>
      <c r="AW21">
        <f t="shared" si="9"/>
        <v>19.789323814999999</v>
      </c>
      <c r="AX21" s="9"/>
      <c r="AY21" s="22">
        <v>-4.4555699999999997E-2</v>
      </c>
      <c r="AZ21" s="22">
        <v>293.44900000000001</v>
      </c>
      <c r="BA21" s="22">
        <v>-1.94153E-2</v>
      </c>
      <c r="BB21" s="22">
        <v>11</v>
      </c>
      <c r="BC21" s="22">
        <v>-4.4677700000000001E-2</v>
      </c>
      <c r="BD21">
        <f t="shared" si="10"/>
        <v>19.415299999999998</v>
      </c>
      <c r="BE21">
        <f t="shared" si="11"/>
        <v>-0.86506228220999992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1.4395100000000001</v>
      </c>
      <c r="H22" s="22">
        <v>49.22</v>
      </c>
      <c r="I22" s="22">
        <v>-1.19629E-2</v>
      </c>
      <c r="J22" s="22">
        <v>12</v>
      </c>
      <c r="K22" s="22">
        <v>1.4382900000000001</v>
      </c>
      <c r="L22">
        <f t="shared" si="0"/>
        <v>11.962899999999999</v>
      </c>
      <c r="M22">
        <f t="shared" si="1"/>
        <v>17.220714179000002</v>
      </c>
      <c r="N22" s="9"/>
      <c r="O22" s="22">
        <v>-3.9520300000000001E-2</v>
      </c>
      <c r="P22" s="22">
        <v>98.046400000000006</v>
      </c>
      <c r="Q22" s="22">
        <v>-1.9436599999999998E-2</v>
      </c>
      <c r="R22" s="22">
        <v>12</v>
      </c>
      <c r="S22" s="22">
        <v>-3.9746099999999999E-2</v>
      </c>
      <c r="T22">
        <f t="shared" si="2"/>
        <v>19.436599999999999</v>
      </c>
      <c r="U22">
        <f t="shared" si="3"/>
        <v>-0.76814026297999993</v>
      </c>
      <c r="V22" s="23"/>
      <c r="W22" s="24"/>
      <c r="X22" s="9"/>
      <c r="Y22" s="22">
        <v>1.4395100000000001</v>
      </c>
      <c r="Z22" s="22">
        <v>146.99</v>
      </c>
      <c r="AA22" s="22">
        <v>-1.3650499999999999E-2</v>
      </c>
      <c r="AB22" s="22">
        <v>12</v>
      </c>
      <c r="AC22" s="22">
        <v>1.4392100000000001</v>
      </c>
      <c r="AD22">
        <f t="shared" si="4"/>
        <v>13.650499999999999</v>
      </c>
      <c r="AE22">
        <f t="shared" si="5"/>
        <v>19.650031254999998</v>
      </c>
      <c r="AF22" s="9"/>
      <c r="AG22" s="22">
        <v>-3.9520300000000001E-2</v>
      </c>
      <c r="AH22" s="22">
        <v>195.78800000000001</v>
      </c>
      <c r="AI22" s="22">
        <v>-1.9418299999999999E-2</v>
      </c>
      <c r="AJ22" s="22">
        <v>12</v>
      </c>
      <c r="AK22" s="22">
        <v>-4.0371700000000003E-2</v>
      </c>
      <c r="AL22">
        <f t="shared" si="6"/>
        <v>19.418299999999999</v>
      </c>
      <c r="AM22">
        <f t="shared" si="7"/>
        <v>-0.76741704149000001</v>
      </c>
      <c r="AP22" s="9"/>
      <c r="AQ22" s="22">
        <v>1.4395100000000001</v>
      </c>
      <c r="AR22" s="22">
        <v>244.55799999999999</v>
      </c>
      <c r="AS22" s="22">
        <v>-1.4279200000000001E-2</v>
      </c>
      <c r="AT22" s="22">
        <v>12</v>
      </c>
      <c r="AU22" s="22">
        <v>1.4389000000000001</v>
      </c>
      <c r="AV22">
        <f t="shared" si="8"/>
        <v>14.279200000000001</v>
      </c>
      <c r="AW22">
        <f t="shared" si="9"/>
        <v>20.555051192000004</v>
      </c>
      <c r="AX22" s="9"/>
      <c r="AY22" s="22">
        <v>-3.9520300000000001E-2</v>
      </c>
      <c r="AZ22" s="22">
        <v>293.459</v>
      </c>
      <c r="BA22" s="22">
        <v>-1.9409200000000001E-2</v>
      </c>
      <c r="BB22" s="22">
        <v>12</v>
      </c>
      <c r="BC22" s="22">
        <v>-3.98407E-2</v>
      </c>
      <c r="BD22">
        <f t="shared" si="10"/>
        <v>19.409200000000002</v>
      </c>
      <c r="BE22">
        <f t="shared" si="11"/>
        <v>-0.76705740676000012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1.43448</v>
      </c>
      <c r="H23" s="22">
        <v>49.2301</v>
      </c>
      <c r="I23" s="22">
        <v>-1.28754E-2</v>
      </c>
      <c r="J23" s="22">
        <v>13</v>
      </c>
      <c r="K23" s="22">
        <v>1.4334100000000001</v>
      </c>
      <c r="L23">
        <f t="shared" si="0"/>
        <v>12.875400000000001</v>
      </c>
      <c r="M23">
        <f t="shared" si="1"/>
        <v>18.469503792000001</v>
      </c>
      <c r="N23" s="9"/>
      <c r="O23" s="22">
        <v>-3.4484899999999999E-2</v>
      </c>
      <c r="P23" s="22">
        <v>98.0565</v>
      </c>
      <c r="Q23" s="22">
        <v>-1.94305E-2</v>
      </c>
      <c r="R23" s="22">
        <v>13</v>
      </c>
      <c r="S23" s="22">
        <v>-3.4536699999999997E-2</v>
      </c>
      <c r="T23">
        <f t="shared" si="2"/>
        <v>19.430499999999999</v>
      </c>
      <c r="U23">
        <f t="shared" si="3"/>
        <v>-0.67005884944999994</v>
      </c>
      <c r="V23" s="23"/>
      <c r="W23" s="24"/>
      <c r="X23" s="9"/>
      <c r="Y23" s="22">
        <v>1.43448</v>
      </c>
      <c r="Z23" s="22">
        <v>147</v>
      </c>
      <c r="AA23" s="22">
        <v>-1.42487E-2</v>
      </c>
      <c r="AB23" s="22">
        <v>13</v>
      </c>
      <c r="AC23" s="22">
        <v>1.4337200000000001</v>
      </c>
      <c r="AD23">
        <f t="shared" si="4"/>
        <v>14.248699999999999</v>
      </c>
      <c r="AE23">
        <f t="shared" si="5"/>
        <v>20.439475175999998</v>
      </c>
      <c r="AF23" s="9"/>
      <c r="AG23" s="22">
        <v>-3.4484899999999999E-2</v>
      </c>
      <c r="AH23" s="22">
        <v>195.798</v>
      </c>
      <c r="AI23" s="22">
        <v>-1.9412200000000001E-2</v>
      </c>
      <c r="AJ23" s="22">
        <v>13</v>
      </c>
      <c r="AK23" s="22">
        <v>-3.4701500000000003E-2</v>
      </c>
      <c r="AL23">
        <f t="shared" si="6"/>
        <v>19.412200000000002</v>
      </c>
      <c r="AM23">
        <f t="shared" si="7"/>
        <v>-0.66942777578000001</v>
      </c>
      <c r="AP23" s="9"/>
      <c r="AQ23" s="22">
        <v>1.43448</v>
      </c>
      <c r="AR23" s="22">
        <v>244.56800000000001</v>
      </c>
      <c r="AS23" s="22">
        <v>-1.4770500000000001E-2</v>
      </c>
      <c r="AT23" s="22">
        <v>13</v>
      </c>
      <c r="AU23" s="22">
        <v>1.4334100000000001</v>
      </c>
      <c r="AV23">
        <f t="shared" si="8"/>
        <v>14.7705</v>
      </c>
      <c r="AW23">
        <f t="shared" si="9"/>
        <v>21.187986840000001</v>
      </c>
      <c r="AX23" s="9"/>
      <c r="AY23" s="22">
        <v>-3.4484899999999999E-2</v>
      </c>
      <c r="AZ23" s="22">
        <v>293.46899999999999</v>
      </c>
      <c r="BA23" s="22">
        <v>-1.94031E-2</v>
      </c>
      <c r="BB23" s="22">
        <v>13</v>
      </c>
      <c r="BC23" s="22">
        <v>-3.4637500000000002E-2</v>
      </c>
      <c r="BD23">
        <f t="shared" si="10"/>
        <v>19.403099999999998</v>
      </c>
      <c r="BE23">
        <f t="shared" si="11"/>
        <v>-0.66911396318999994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1.42944</v>
      </c>
      <c r="H24" s="22">
        <v>49.240099999999998</v>
      </c>
      <c r="I24" s="22">
        <v>-1.3610799999999999E-2</v>
      </c>
      <c r="J24" s="22">
        <v>14</v>
      </c>
      <c r="K24" s="22">
        <v>1.4285300000000001</v>
      </c>
      <c r="L24">
        <f t="shared" si="0"/>
        <v>13.610799999999999</v>
      </c>
      <c r="M24">
        <f t="shared" si="1"/>
        <v>19.455821952000001</v>
      </c>
      <c r="N24" s="9"/>
      <c r="O24" s="22">
        <v>-2.94495E-2</v>
      </c>
      <c r="P24" s="22">
        <v>98.066500000000005</v>
      </c>
      <c r="Q24" s="22">
        <v>-1.94305E-2</v>
      </c>
      <c r="R24" s="22">
        <v>14</v>
      </c>
      <c r="S24" s="22">
        <v>-2.9595900000000001E-2</v>
      </c>
      <c r="T24">
        <f t="shared" si="2"/>
        <v>19.430499999999999</v>
      </c>
      <c r="U24">
        <f t="shared" si="3"/>
        <v>-0.57221850974999999</v>
      </c>
      <c r="V24" s="23"/>
      <c r="W24" s="24"/>
      <c r="X24" s="9"/>
      <c r="Y24" s="22">
        <v>1.42944</v>
      </c>
      <c r="Z24" s="22">
        <v>147.01</v>
      </c>
      <c r="AA24" s="22">
        <v>-1.4770500000000001E-2</v>
      </c>
      <c r="AB24" s="22">
        <v>14</v>
      </c>
      <c r="AC24" s="22">
        <v>1.42883</v>
      </c>
      <c r="AD24">
        <f t="shared" si="4"/>
        <v>14.7705</v>
      </c>
      <c r="AE24">
        <f t="shared" si="5"/>
        <v>21.11354352</v>
      </c>
      <c r="AF24" s="9"/>
      <c r="AG24" s="22">
        <v>-2.94495E-2</v>
      </c>
      <c r="AH24" s="22">
        <v>195.80799999999999</v>
      </c>
      <c r="AI24" s="22">
        <v>-1.9406099999999999E-2</v>
      </c>
      <c r="AJ24" s="22">
        <v>14</v>
      </c>
      <c r="AK24" s="22">
        <v>-2.9742399999999999E-2</v>
      </c>
      <c r="AL24">
        <f t="shared" si="6"/>
        <v>19.406099999999999</v>
      </c>
      <c r="AM24">
        <f t="shared" si="7"/>
        <v>-0.57149994194999998</v>
      </c>
      <c r="AP24" s="9"/>
      <c r="AQ24" s="22">
        <v>1.42944</v>
      </c>
      <c r="AR24" s="22">
        <v>244.578</v>
      </c>
      <c r="AS24" s="22">
        <v>-1.5191700000000001E-2</v>
      </c>
      <c r="AT24" s="22">
        <v>14</v>
      </c>
      <c r="AU24" s="22">
        <v>1.4285300000000001</v>
      </c>
      <c r="AV24">
        <f t="shared" si="8"/>
        <v>15.191700000000001</v>
      </c>
      <c r="AW24">
        <f t="shared" si="9"/>
        <v>21.715623648000001</v>
      </c>
      <c r="AX24" s="9"/>
      <c r="AY24" s="22">
        <v>-2.94495E-2</v>
      </c>
      <c r="AZ24" s="22">
        <v>293.47899999999998</v>
      </c>
      <c r="BA24" s="22">
        <v>-1.9400000000000001E-2</v>
      </c>
      <c r="BB24" s="22">
        <v>14</v>
      </c>
      <c r="BC24" s="22">
        <v>-3.00354E-2</v>
      </c>
      <c r="BD24">
        <f t="shared" si="10"/>
        <v>19.400000000000002</v>
      </c>
      <c r="BE24">
        <f t="shared" si="11"/>
        <v>-0.57132030000000011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1.42441</v>
      </c>
      <c r="H25" s="22">
        <v>49.2502</v>
      </c>
      <c r="I25" s="22">
        <v>-1.4236499999999999E-2</v>
      </c>
      <c r="J25" s="22">
        <v>15</v>
      </c>
      <c r="K25" s="22">
        <v>1.4242600000000001</v>
      </c>
      <c r="L25">
        <f t="shared" si="0"/>
        <v>14.236499999999999</v>
      </c>
      <c r="M25">
        <f t="shared" si="1"/>
        <v>20.278612964999997</v>
      </c>
      <c r="N25" s="9"/>
      <c r="O25" s="22">
        <v>-2.4414100000000001E-2</v>
      </c>
      <c r="P25" s="22">
        <v>98.076599999999999</v>
      </c>
      <c r="Q25" s="22">
        <v>-1.9424400000000001E-2</v>
      </c>
      <c r="R25" s="22">
        <v>15</v>
      </c>
      <c r="S25" s="22">
        <v>-2.46521E-2</v>
      </c>
      <c r="T25">
        <f t="shared" si="2"/>
        <v>19.424400000000002</v>
      </c>
      <c r="U25">
        <f t="shared" si="3"/>
        <v>-0.47422924404000005</v>
      </c>
      <c r="V25" s="23"/>
      <c r="W25" s="24"/>
      <c r="X25" s="9"/>
      <c r="Y25" s="22">
        <v>1.42441</v>
      </c>
      <c r="Z25" s="22">
        <v>147.02000000000001</v>
      </c>
      <c r="AA25" s="22">
        <v>-1.51886E-2</v>
      </c>
      <c r="AB25" s="22">
        <v>15</v>
      </c>
      <c r="AC25" s="22">
        <v>1.4236500000000001</v>
      </c>
      <c r="AD25">
        <f t="shared" si="4"/>
        <v>15.188599999999999</v>
      </c>
      <c r="AE25">
        <f t="shared" si="5"/>
        <v>21.634793725999998</v>
      </c>
      <c r="AF25" s="9"/>
      <c r="AG25" s="22">
        <v>-2.4414100000000001E-2</v>
      </c>
      <c r="AH25" s="22">
        <v>195.81800000000001</v>
      </c>
      <c r="AI25" s="22">
        <v>-1.9400000000000001E-2</v>
      </c>
      <c r="AJ25" s="22">
        <v>15</v>
      </c>
      <c r="AK25" s="22">
        <v>-2.4752799999999998E-2</v>
      </c>
      <c r="AL25">
        <f t="shared" si="6"/>
        <v>19.400000000000002</v>
      </c>
      <c r="AM25">
        <f t="shared" si="7"/>
        <v>-0.47363354000000008</v>
      </c>
      <c r="AP25" s="9"/>
      <c r="AQ25" s="22">
        <v>1.42441</v>
      </c>
      <c r="AR25" s="22">
        <v>244.58799999999999</v>
      </c>
      <c r="AS25" s="22">
        <v>-1.5560900000000001E-2</v>
      </c>
      <c r="AT25" s="22">
        <v>15</v>
      </c>
      <c r="AU25" s="22">
        <v>1.42395</v>
      </c>
      <c r="AV25">
        <f t="shared" si="8"/>
        <v>15.5609</v>
      </c>
      <c r="AW25">
        <f t="shared" si="9"/>
        <v>22.165101569000001</v>
      </c>
      <c r="AX25" s="9"/>
      <c r="AY25" s="22">
        <v>-2.4414100000000001E-2</v>
      </c>
      <c r="AZ25" s="22">
        <v>293.48899999999998</v>
      </c>
      <c r="BA25" s="22">
        <v>-1.9397000000000001E-2</v>
      </c>
      <c r="BB25" s="22">
        <v>15</v>
      </c>
      <c r="BC25" s="22">
        <v>-2.4728400000000001E-2</v>
      </c>
      <c r="BD25">
        <f t="shared" si="10"/>
        <v>19.397000000000002</v>
      </c>
      <c r="BE25">
        <f t="shared" si="11"/>
        <v>-0.47356029770000008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1.41937</v>
      </c>
      <c r="H26" s="22">
        <v>49.260300000000001</v>
      </c>
      <c r="I26" s="22">
        <v>-1.47552E-2</v>
      </c>
      <c r="J26" s="22">
        <v>16</v>
      </c>
      <c r="K26" s="22">
        <v>1.41876</v>
      </c>
      <c r="L26">
        <f t="shared" si="0"/>
        <v>14.7552</v>
      </c>
      <c r="M26">
        <f t="shared" si="1"/>
        <v>20.943088224</v>
      </c>
      <c r="N26" s="9"/>
      <c r="O26" s="22">
        <v>-1.9378699999999999E-2</v>
      </c>
      <c r="P26" s="22">
        <v>98.086699999999993</v>
      </c>
      <c r="Q26" s="22">
        <v>-1.9421399999999998E-2</v>
      </c>
      <c r="R26" s="22">
        <v>16</v>
      </c>
      <c r="S26" s="22">
        <v>-1.9680799999999998E-2</v>
      </c>
      <c r="T26">
        <f t="shared" si="2"/>
        <v>19.421399999999998</v>
      </c>
      <c r="U26">
        <f t="shared" si="3"/>
        <v>-0.37636148417999993</v>
      </c>
      <c r="V26" s="23"/>
      <c r="W26" s="24"/>
      <c r="X26" s="9"/>
      <c r="Y26" s="22">
        <v>1.41937</v>
      </c>
      <c r="Z26" s="22">
        <v>147.03</v>
      </c>
      <c r="AA26" s="22">
        <v>-1.55365E-2</v>
      </c>
      <c r="AB26" s="22">
        <v>16</v>
      </c>
      <c r="AC26" s="22">
        <v>1.41815</v>
      </c>
      <c r="AD26">
        <f t="shared" si="4"/>
        <v>15.5365</v>
      </c>
      <c r="AE26">
        <f t="shared" si="5"/>
        <v>22.052042005000001</v>
      </c>
      <c r="AF26" s="9"/>
      <c r="AG26" s="22">
        <v>-1.9378699999999999E-2</v>
      </c>
      <c r="AH26" s="22">
        <v>195.82900000000001</v>
      </c>
      <c r="AI26" s="22">
        <v>-1.9397000000000001E-2</v>
      </c>
      <c r="AJ26" s="22">
        <v>16</v>
      </c>
      <c r="AK26" s="22">
        <v>-1.9528199999999999E-2</v>
      </c>
      <c r="AL26">
        <f t="shared" si="6"/>
        <v>19.397000000000002</v>
      </c>
      <c r="AM26">
        <f t="shared" si="7"/>
        <v>-0.37588864390000004</v>
      </c>
      <c r="AP26" s="9"/>
      <c r="AQ26" s="22">
        <v>1.41937</v>
      </c>
      <c r="AR26" s="22">
        <v>244.59800000000001</v>
      </c>
      <c r="AS26" s="22">
        <v>-1.5847799999999999E-2</v>
      </c>
      <c r="AT26" s="22">
        <v>16</v>
      </c>
      <c r="AU26" s="22">
        <v>1.41876</v>
      </c>
      <c r="AV26">
        <f t="shared" si="8"/>
        <v>15.847799999999999</v>
      </c>
      <c r="AW26">
        <f t="shared" si="9"/>
        <v>22.493891886</v>
      </c>
      <c r="AX26" s="9"/>
      <c r="AY26" s="22">
        <v>-1.9378699999999999E-2</v>
      </c>
      <c r="AZ26" s="22">
        <v>293.49900000000002</v>
      </c>
      <c r="BA26" s="22">
        <v>-1.9397000000000001E-2</v>
      </c>
      <c r="BB26" s="22">
        <v>16</v>
      </c>
      <c r="BC26" s="22">
        <v>-1.96869E-2</v>
      </c>
      <c r="BD26">
        <f t="shared" si="10"/>
        <v>19.397000000000002</v>
      </c>
      <c r="BE26">
        <f t="shared" si="11"/>
        <v>-0.37588864390000004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1.4143399999999999</v>
      </c>
      <c r="H27" s="22">
        <v>49.270299999999999</v>
      </c>
      <c r="I27" s="22">
        <v>-1.51825E-2</v>
      </c>
      <c r="J27" s="22">
        <v>17</v>
      </c>
      <c r="K27" s="22">
        <v>1.41357</v>
      </c>
      <c r="L27">
        <f t="shared" si="0"/>
        <v>15.182499999999999</v>
      </c>
      <c r="M27">
        <f t="shared" si="1"/>
        <v>21.473217049999999</v>
      </c>
      <c r="N27" s="9"/>
      <c r="O27" s="22">
        <v>-1.43433E-2</v>
      </c>
      <c r="P27" s="22">
        <v>98.096800000000002</v>
      </c>
      <c r="Q27" s="22">
        <v>-1.9412200000000001E-2</v>
      </c>
      <c r="R27" s="22">
        <v>17</v>
      </c>
      <c r="S27" s="22">
        <v>-1.47644E-2</v>
      </c>
      <c r="T27">
        <f t="shared" si="2"/>
        <v>19.412200000000002</v>
      </c>
      <c r="U27">
        <f t="shared" si="3"/>
        <v>-0.27843500826000001</v>
      </c>
      <c r="X27" s="9"/>
      <c r="Y27" s="22">
        <v>1.4143399999999999</v>
      </c>
      <c r="Z27" s="22">
        <v>147.04</v>
      </c>
      <c r="AA27" s="22">
        <v>-1.58417E-2</v>
      </c>
      <c r="AB27" s="22">
        <v>17</v>
      </c>
      <c r="AC27" s="22">
        <v>1.41327</v>
      </c>
      <c r="AD27">
        <f t="shared" si="4"/>
        <v>15.841699999999999</v>
      </c>
      <c r="AE27">
        <f t="shared" si="5"/>
        <v>22.405549978</v>
      </c>
      <c r="AF27" s="9"/>
      <c r="AG27" s="22">
        <v>-1.43433E-2</v>
      </c>
      <c r="AH27" s="22">
        <v>195.839</v>
      </c>
      <c r="AI27" s="22">
        <v>-1.9390899999999999E-2</v>
      </c>
      <c r="AJ27" s="22">
        <v>17</v>
      </c>
      <c r="AK27" s="22">
        <v>-1.4627100000000001E-2</v>
      </c>
      <c r="AL27">
        <f t="shared" si="6"/>
        <v>19.390899999999998</v>
      </c>
      <c r="AM27">
        <f t="shared" si="7"/>
        <v>-0.27812949596999997</v>
      </c>
      <c r="AP27" s="9"/>
      <c r="AQ27" s="22">
        <v>1.4143399999999999</v>
      </c>
      <c r="AR27" s="22">
        <v>244.608</v>
      </c>
      <c r="AS27" s="22">
        <v>-1.61163E-2</v>
      </c>
      <c r="AT27" s="22">
        <v>17</v>
      </c>
      <c r="AU27" s="22">
        <v>1.41388</v>
      </c>
      <c r="AV27">
        <f t="shared" si="8"/>
        <v>16.116299999999999</v>
      </c>
      <c r="AW27">
        <f t="shared" si="9"/>
        <v>22.793927741999997</v>
      </c>
      <c r="AX27" s="9"/>
      <c r="AY27" s="22">
        <v>-1.43433E-2</v>
      </c>
      <c r="AZ27" s="22">
        <v>293.50900000000001</v>
      </c>
      <c r="BA27" s="22">
        <v>-1.9390899999999999E-2</v>
      </c>
      <c r="BB27" s="22">
        <v>17</v>
      </c>
      <c r="BC27" s="22">
        <v>-1.46179E-2</v>
      </c>
      <c r="BD27">
        <f t="shared" si="10"/>
        <v>19.390899999999998</v>
      </c>
      <c r="BE27">
        <f t="shared" si="11"/>
        <v>-0.27812949596999997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1.4093</v>
      </c>
      <c r="H28" s="22">
        <v>49.2804</v>
      </c>
      <c r="I28" s="22">
        <v>-1.5533399999999999E-2</v>
      </c>
      <c r="J28" s="22">
        <v>18</v>
      </c>
      <c r="K28" s="22">
        <v>1.40869</v>
      </c>
      <c r="L28">
        <f t="shared" si="0"/>
        <v>15.533399999999999</v>
      </c>
      <c r="M28">
        <f t="shared" si="1"/>
        <v>21.891220619999999</v>
      </c>
      <c r="N28" s="9"/>
      <c r="O28" s="22">
        <v>-9.3078599999999994E-3</v>
      </c>
      <c r="P28" s="22">
        <v>98.106800000000007</v>
      </c>
      <c r="Q28" s="22">
        <v>-1.9409200000000001E-2</v>
      </c>
      <c r="R28" s="22">
        <v>18</v>
      </c>
      <c r="S28" s="22">
        <v>-9.6008299999999994E-3</v>
      </c>
      <c r="T28">
        <f t="shared" si="2"/>
        <v>19.409200000000002</v>
      </c>
      <c r="U28">
        <f t="shared" si="3"/>
        <v>-0.18065811631200002</v>
      </c>
      <c r="X28" s="9"/>
      <c r="Y28" s="22">
        <v>1.4093</v>
      </c>
      <c r="Z28" s="22">
        <v>147.05000000000001</v>
      </c>
      <c r="AA28" s="22">
        <v>-1.61041E-2</v>
      </c>
      <c r="AB28" s="22">
        <v>18</v>
      </c>
      <c r="AC28" s="22">
        <v>1.40839</v>
      </c>
      <c r="AD28">
        <f t="shared" si="4"/>
        <v>16.104099999999999</v>
      </c>
      <c r="AE28">
        <f t="shared" si="5"/>
        <v>22.695508129999997</v>
      </c>
      <c r="AF28" s="9"/>
      <c r="AG28" s="22">
        <v>-9.3078599999999994E-3</v>
      </c>
      <c r="AH28" s="22">
        <v>195.84899999999999</v>
      </c>
      <c r="AI28" s="22">
        <v>-1.9384800000000001E-2</v>
      </c>
      <c r="AJ28" s="22">
        <v>18</v>
      </c>
      <c r="AK28" s="22">
        <v>-9.4512899999999993E-3</v>
      </c>
      <c r="AL28">
        <f t="shared" si="6"/>
        <v>19.384800000000002</v>
      </c>
      <c r="AM28">
        <f t="shared" si="7"/>
        <v>-0.18043100452800001</v>
      </c>
      <c r="AP28" s="9"/>
      <c r="AQ28" s="22">
        <v>1.4093</v>
      </c>
      <c r="AR28" s="22">
        <v>244.61799999999999</v>
      </c>
      <c r="AS28" s="22">
        <v>-1.6342200000000001E-2</v>
      </c>
      <c r="AT28" s="22">
        <v>18</v>
      </c>
      <c r="AU28" s="22">
        <v>1.40869</v>
      </c>
      <c r="AV28">
        <f t="shared" si="8"/>
        <v>16.342200000000002</v>
      </c>
      <c r="AW28">
        <f t="shared" si="9"/>
        <v>23.031062460000001</v>
      </c>
      <c r="AX28" s="9"/>
      <c r="AY28" s="22">
        <v>-9.3078599999999994E-3</v>
      </c>
      <c r="AZ28" s="22">
        <v>293.52</v>
      </c>
      <c r="BA28" s="22">
        <v>-1.93878E-2</v>
      </c>
      <c r="BB28" s="22">
        <v>18</v>
      </c>
      <c r="BC28" s="22">
        <v>-9.4329800000000005E-3</v>
      </c>
      <c r="BD28">
        <f t="shared" si="10"/>
        <v>19.387799999999999</v>
      </c>
      <c r="BE28">
        <f t="shared" si="11"/>
        <v>-0.18045892810799999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1.4042699999999999</v>
      </c>
      <c r="H29" s="22">
        <v>49.290500000000002</v>
      </c>
      <c r="I29" s="22">
        <v>-1.5835599999999998E-2</v>
      </c>
      <c r="J29" s="22">
        <v>19</v>
      </c>
      <c r="K29" s="22">
        <v>1.4035</v>
      </c>
      <c r="L29">
        <f t="shared" si="0"/>
        <v>15.835599999999998</v>
      </c>
      <c r="M29">
        <f t="shared" si="1"/>
        <v>22.237458011999994</v>
      </c>
      <c r="N29" s="9"/>
      <c r="O29" s="22">
        <v>-4.2724599999999996E-3</v>
      </c>
      <c r="P29" s="22">
        <v>98.116900000000001</v>
      </c>
      <c r="Q29" s="22">
        <v>-1.9409200000000001E-2</v>
      </c>
      <c r="R29" s="22">
        <v>19</v>
      </c>
      <c r="S29" s="22">
        <v>-4.1870099999999997E-3</v>
      </c>
      <c r="T29">
        <f t="shared" si="2"/>
        <v>19.409200000000002</v>
      </c>
      <c r="U29">
        <f t="shared" si="3"/>
        <v>-8.2925030632000005E-2</v>
      </c>
      <c r="X29" s="9"/>
      <c r="Y29" s="22">
        <v>1.4042699999999999</v>
      </c>
      <c r="Z29" s="22">
        <v>147.06</v>
      </c>
      <c r="AA29" s="22">
        <v>-1.6333E-2</v>
      </c>
      <c r="AB29" s="22">
        <v>19</v>
      </c>
      <c r="AC29" s="22">
        <v>1.4035</v>
      </c>
      <c r="AD29">
        <f t="shared" si="4"/>
        <v>16.333000000000002</v>
      </c>
      <c r="AE29">
        <f t="shared" si="5"/>
        <v>22.93594191</v>
      </c>
      <c r="AF29" s="9"/>
      <c r="AG29" s="22">
        <v>-4.2724599999999996E-3</v>
      </c>
      <c r="AH29" s="22">
        <v>195.85900000000001</v>
      </c>
      <c r="AI29" s="22">
        <v>-1.9384800000000001E-2</v>
      </c>
      <c r="AJ29" s="22">
        <v>19</v>
      </c>
      <c r="AK29" s="22">
        <v>-4.5349099999999996E-3</v>
      </c>
      <c r="AL29">
        <f t="shared" si="6"/>
        <v>19.384800000000002</v>
      </c>
      <c r="AM29">
        <f t="shared" si="7"/>
        <v>-8.2820782608000007E-2</v>
      </c>
      <c r="AP29" s="9"/>
      <c r="AQ29" s="22">
        <v>1.4042699999999999</v>
      </c>
      <c r="AR29" s="22">
        <v>244.62799999999999</v>
      </c>
      <c r="AS29" s="22">
        <v>-1.65375E-2</v>
      </c>
      <c r="AT29" s="22">
        <v>19</v>
      </c>
      <c r="AU29" s="22">
        <v>1.4035</v>
      </c>
      <c r="AV29">
        <f t="shared" si="8"/>
        <v>16.537500000000001</v>
      </c>
      <c r="AW29">
        <f t="shared" si="9"/>
        <v>23.223115125</v>
      </c>
      <c r="AX29" s="9"/>
      <c r="AY29" s="22">
        <v>-4.2724599999999996E-3</v>
      </c>
      <c r="AZ29" s="22">
        <v>293.52999999999997</v>
      </c>
      <c r="BA29" s="22">
        <v>-1.9381700000000002E-2</v>
      </c>
      <c r="BB29" s="22">
        <v>19</v>
      </c>
      <c r="BC29" s="22">
        <v>-4.4799799999999997E-3</v>
      </c>
      <c r="BD29">
        <f t="shared" si="10"/>
        <v>19.381700000000002</v>
      </c>
      <c r="BE29">
        <f t="shared" si="11"/>
        <v>-8.2807537981999996E-2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1.39923</v>
      </c>
      <c r="H30" s="22">
        <v>49.300600000000003</v>
      </c>
      <c r="I30" s="22">
        <v>-1.60889E-2</v>
      </c>
      <c r="J30" s="22">
        <v>20</v>
      </c>
      <c r="K30" s="22">
        <v>1.39771</v>
      </c>
      <c r="L30">
        <f t="shared" si="0"/>
        <v>16.088899999999999</v>
      </c>
      <c r="M30">
        <f t="shared" si="1"/>
        <v>22.512071546999998</v>
      </c>
      <c r="N30" s="9"/>
      <c r="O30" s="22">
        <v>7.6293900000000002E-4</v>
      </c>
      <c r="P30" s="22">
        <v>98.126999999999995</v>
      </c>
      <c r="Q30" s="22">
        <v>-1.94031E-2</v>
      </c>
      <c r="R30" s="22">
        <v>20</v>
      </c>
      <c r="S30" s="22">
        <v>5.6762700000000002E-4</v>
      </c>
      <c r="T30">
        <f t="shared" si="2"/>
        <v>19.403099999999998</v>
      </c>
      <c r="U30">
        <f t="shared" si="3"/>
        <v>1.4803381710899999E-2</v>
      </c>
      <c r="X30" s="9"/>
      <c r="Y30" s="22">
        <v>1.39923</v>
      </c>
      <c r="Z30" s="22">
        <v>147.07</v>
      </c>
      <c r="AA30" s="22">
        <v>-1.65375E-2</v>
      </c>
      <c r="AB30" s="22">
        <v>20</v>
      </c>
      <c r="AC30" s="22">
        <v>1.39862</v>
      </c>
      <c r="AD30">
        <f t="shared" si="4"/>
        <v>16.537500000000001</v>
      </c>
      <c r="AE30">
        <f t="shared" si="5"/>
        <v>23.139766125000001</v>
      </c>
      <c r="AF30" s="9"/>
      <c r="AG30" s="22">
        <v>7.6293900000000002E-4</v>
      </c>
      <c r="AH30" s="22">
        <v>195.869</v>
      </c>
      <c r="AI30" s="22">
        <v>-1.9378699999999999E-2</v>
      </c>
      <c r="AJ30" s="22">
        <v>20</v>
      </c>
      <c r="AK30" s="22">
        <v>6.4086899999999997E-4</v>
      </c>
      <c r="AL30">
        <f t="shared" si="6"/>
        <v>19.378699999999998</v>
      </c>
      <c r="AM30">
        <f t="shared" si="7"/>
        <v>1.4784765999299999E-2</v>
      </c>
      <c r="AP30" s="9"/>
      <c r="AQ30" s="22">
        <v>1.39923</v>
      </c>
      <c r="AR30" s="22">
        <v>244.63800000000001</v>
      </c>
      <c r="AS30" s="22">
        <v>-1.67175E-2</v>
      </c>
      <c r="AT30" s="22">
        <v>20</v>
      </c>
      <c r="AU30" s="22">
        <v>1.39862</v>
      </c>
      <c r="AV30">
        <f t="shared" si="8"/>
        <v>16.717500000000001</v>
      </c>
      <c r="AW30">
        <f t="shared" si="9"/>
        <v>23.391627525000001</v>
      </c>
      <c r="AX30" s="9"/>
      <c r="AY30" s="22">
        <v>7.6293900000000002E-4</v>
      </c>
      <c r="AZ30" s="22">
        <v>293.54000000000002</v>
      </c>
      <c r="BA30" s="22">
        <v>-1.93756E-2</v>
      </c>
      <c r="BB30" s="22">
        <v>20</v>
      </c>
      <c r="BC30" s="22">
        <v>5.4321299999999996E-4</v>
      </c>
      <c r="BD30">
        <f t="shared" si="10"/>
        <v>19.375599999999999</v>
      </c>
      <c r="BE30">
        <f t="shared" si="11"/>
        <v>1.4782400888399999E-2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1.3942000000000001</v>
      </c>
      <c r="H31" s="22">
        <v>49.310600000000001</v>
      </c>
      <c r="I31" s="22">
        <v>-1.6339099999999999E-2</v>
      </c>
      <c r="J31" s="22">
        <v>21</v>
      </c>
      <c r="K31" s="22">
        <v>1.39374</v>
      </c>
      <c r="L31">
        <f t="shared" si="0"/>
        <v>16.339099999999998</v>
      </c>
      <c r="M31">
        <f t="shared" si="1"/>
        <v>22.779973219999999</v>
      </c>
      <c r="N31" s="9"/>
      <c r="O31" s="22">
        <v>5.7983399999999999E-3</v>
      </c>
      <c r="P31" s="22">
        <v>98.137</v>
      </c>
      <c r="Q31" s="22">
        <v>-1.9397000000000001E-2</v>
      </c>
      <c r="R31" s="22">
        <v>21</v>
      </c>
      <c r="S31" s="22">
        <v>5.4382299999999996E-3</v>
      </c>
      <c r="T31">
        <f t="shared" si="2"/>
        <v>19.397000000000002</v>
      </c>
      <c r="U31">
        <f t="shared" si="3"/>
        <v>0.11247040098000001</v>
      </c>
      <c r="X31" s="9"/>
      <c r="Y31" s="22">
        <v>1.3942000000000001</v>
      </c>
      <c r="Z31" s="22">
        <v>147.08000000000001</v>
      </c>
      <c r="AA31" s="22">
        <v>-1.6705299999999999E-2</v>
      </c>
      <c r="AB31" s="22">
        <v>21</v>
      </c>
      <c r="AC31" s="22">
        <v>1.39374</v>
      </c>
      <c r="AD31">
        <f t="shared" si="4"/>
        <v>16.705299999999998</v>
      </c>
      <c r="AE31">
        <f t="shared" si="5"/>
        <v>23.29052926</v>
      </c>
      <c r="AF31" s="9"/>
      <c r="AG31" s="22">
        <v>5.7983399999999999E-3</v>
      </c>
      <c r="AH31" s="22">
        <v>195.87899999999999</v>
      </c>
      <c r="AI31" s="22">
        <v>-1.93726E-2</v>
      </c>
      <c r="AJ31" s="22">
        <v>21</v>
      </c>
      <c r="AK31" s="22">
        <v>5.6945800000000003E-3</v>
      </c>
      <c r="AL31">
        <f t="shared" si="6"/>
        <v>19.372599999999998</v>
      </c>
      <c r="AM31">
        <f t="shared" si="7"/>
        <v>0.11232892148399999</v>
      </c>
      <c r="AP31" s="9"/>
      <c r="AQ31" s="22">
        <v>1.3942000000000001</v>
      </c>
      <c r="AR31" s="22">
        <v>244.648</v>
      </c>
      <c r="AS31" s="22">
        <v>-1.6867099999999999E-2</v>
      </c>
      <c r="AT31" s="22">
        <v>21</v>
      </c>
      <c r="AU31" s="22">
        <v>1.39313</v>
      </c>
      <c r="AV31">
        <f t="shared" si="8"/>
        <v>16.867100000000001</v>
      </c>
      <c r="AW31">
        <f t="shared" si="9"/>
        <v>23.516110820000002</v>
      </c>
      <c r="AX31" s="9"/>
      <c r="AY31" s="22">
        <v>5.7983399999999999E-3</v>
      </c>
      <c r="AZ31" s="22">
        <v>293.55</v>
      </c>
      <c r="BA31" s="22">
        <v>-1.93726E-2</v>
      </c>
      <c r="BB31" s="22">
        <v>21</v>
      </c>
      <c r="BC31" s="22">
        <v>5.2398699999999998E-3</v>
      </c>
      <c r="BD31">
        <f t="shared" si="10"/>
        <v>19.372599999999998</v>
      </c>
      <c r="BE31">
        <f t="shared" si="11"/>
        <v>0.11232892148399999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1.38916</v>
      </c>
      <c r="H32" s="22">
        <v>49.320700000000002</v>
      </c>
      <c r="I32" s="22">
        <v>-1.65405E-2</v>
      </c>
      <c r="J32" s="22">
        <v>22</v>
      </c>
      <c r="K32" s="22">
        <v>1.3882399999999999</v>
      </c>
      <c r="L32">
        <f t="shared" si="0"/>
        <v>16.540499999999998</v>
      </c>
      <c r="M32">
        <f t="shared" si="1"/>
        <v>22.977400979999995</v>
      </c>
      <c r="N32" s="9"/>
      <c r="O32" s="22">
        <v>1.08337E-2</v>
      </c>
      <c r="P32" s="22">
        <v>98.147099999999995</v>
      </c>
      <c r="Q32" s="22">
        <v>-1.9397000000000001E-2</v>
      </c>
      <c r="R32" s="22">
        <v>22</v>
      </c>
      <c r="S32" s="22">
        <v>1.06903E-2</v>
      </c>
      <c r="T32">
        <f t="shared" si="2"/>
        <v>19.397000000000002</v>
      </c>
      <c r="U32">
        <f t="shared" si="3"/>
        <v>0.21014127890000003</v>
      </c>
      <c r="X32" s="9"/>
      <c r="Y32" s="22">
        <v>1.38916</v>
      </c>
      <c r="Z32" s="22">
        <v>147.09100000000001</v>
      </c>
      <c r="AA32" s="22">
        <v>-1.6861000000000001E-2</v>
      </c>
      <c r="AB32" s="22">
        <v>22</v>
      </c>
      <c r="AC32" s="22">
        <v>1.38855</v>
      </c>
      <c r="AD32">
        <f t="shared" si="4"/>
        <v>16.861000000000001</v>
      </c>
      <c r="AE32">
        <f t="shared" si="5"/>
        <v>23.42262676</v>
      </c>
      <c r="AF32" s="9"/>
      <c r="AG32" s="22">
        <v>1.08337E-2</v>
      </c>
      <c r="AH32" s="22">
        <v>195.88900000000001</v>
      </c>
      <c r="AI32" s="22">
        <v>-1.9369500000000001E-2</v>
      </c>
      <c r="AJ32" s="22">
        <v>22</v>
      </c>
      <c r="AK32" s="22">
        <v>1.06506E-2</v>
      </c>
      <c r="AL32">
        <f t="shared" si="6"/>
        <v>19.369500000000002</v>
      </c>
      <c r="AM32">
        <f t="shared" si="7"/>
        <v>0.20984335215000002</v>
      </c>
      <c r="AP32" s="9"/>
      <c r="AQ32" s="22">
        <v>1.38916</v>
      </c>
      <c r="AR32" s="22">
        <v>244.65799999999999</v>
      </c>
      <c r="AS32" s="22">
        <v>-1.70013E-2</v>
      </c>
      <c r="AT32" s="22">
        <v>22</v>
      </c>
      <c r="AU32" s="22">
        <v>1.38794</v>
      </c>
      <c r="AV32">
        <f t="shared" si="8"/>
        <v>17.001300000000001</v>
      </c>
      <c r="AW32">
        <f t="shared" si="9"/>
        <v>23.617525908000001</v>
      </c>
      <c r="AX32" s="9"/>
      <c r="AY32" s="22">
        <v>1.08337E-2</v>
      </c>
      <c r="AZ32" s="22">
        <v>293.56</v>
      </c>
      <c r="BA32" s="22">
        <v>-1.9366499999999998E-2</v>
      </c>
      <c r="BB32" s="22">
        <v>22</v>
      </c>
      <c r="BC32" s="22">
        <v>1.07635E-2</v>
      </c>
      <c r="BD32">
        <f t="shared" si="10"/>
        <v>19.366499999999998</v>
      </c>
      <c r="BE32">
        <f t="shared" si="11"/>
        <v>0.20981085104999997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1.38412</v>
      </c>
      <c r="H33" s="22">
        <v>49.330800000000004</v>
      </c>
      <c r="I33" s="22">
        <v>-1.67175E-2</v>
      </c>
      <c r="J33" s="22">
        <v>23</v>
      </c>
      <c r="K33" s="22">
        <v>1.38306</v>
      </c>
      <c r="L33">
        <f t="shared" si="0"/>
        <v>16.717500000000001</v>
      </c>
      <c r="M33">
        <f t="shared" si="1"/>
        <v>23.139026100000002</v>
      </c>
      <c r="N33" s="9"/>
      <c r="O33" s="22">
        <v>1.5869100000000001E-2</v>
      </c>
      <c r="P33" s="22">
        <v>98.157200000000003</v>
      </c>
      <c r="Q33" s="22">
        <v>-1.9390899999999999E-2</v>
      </c>
      <c r="R33" s="22">
        <v>23</v>
      </c>
      <c r="S33" s="22">
        <v>1.58447E-2</v>
      </c>
      <c r="T33">
        <f t="shared" si="2"/>
        <v>19.390899999999998</v>
      </c>
      <c r="U33">
        <f t="shared" si="3"/>
        <v>0.30771613118999996</v>
      </c>
      <c r="X33" s="9"/>
      <c r="Y33" s="22">
        <v>1.38412</v>
      </c>
      <c r="Z33" s="22">
        <v>147.101</v>
      </c>
      <c r="AA33" s="22">
        <v>-1.6992199999999999E-2</v>
      </c>
      <c r="AB33" s="22">
        <v>23</v>
      </c>
      <c r="AC33" s="22">
        <v>1.3839699999999999</v>
      </c>
      <c r="AD33">
        <f t="shared" si="4"/>
        <v>16.9922</v>
      </c>
      <c r="AE33">
        <f t="shared" si="5"/>
        <v>23.519243864</v>
      </c>
      <c r="AF33" s="9"/>
      <c r="AG33" s="22">
        <v>1.5869100000000001E-2</v>
      </c>
      <c r="AH33" s="22">
        <v>195.899</v>
      </c>
      <c r="AI33" s="22">
        <v>-1.9366499999999998E-2</v>
      </c>
      <c r="AJ33" s="22">
        <v>23</v>
      </c>
      <c r="AK33" s="22">
        <v>1.55029E-2</v>
      </c>
      <c r="AL33">
        <f t="shared" si="6"/>
        <v>19.366499999999998</v>
      </c>
      <c r="AM33">
        <f t="shared" si="7"/>
        <v>0.30732892514999999</v>
      </c>
      <c r="AP33" s="9"/>
      <c r="AQ33" s="22">
        <v>1.38412</v>
      </c>
      <c r="AR33" s="22">
        <v>244.66800000000001</v>
      </c>
      <c r="AS33" s="22">
        <v>-1.7120400000000001E-2</v>
      </c>
      <c r="AT33" s="22">
        <v>23</v>
      </c>
      <c r="AU33" s="22">
        <v>1.38306</v>
      </c>
      <c r="AV33">
        <f t="shared" si="8"/>
        <v>17.1204</v>
      </c>
      <c r="AW33">
        <f t="shared" si="9"/>
        <v>23.696688047999999</v>
      </c>
      <c r="AX33" s="9"/>
      <c r="AY33" s="22">
        <v>1.5869100000000001E-2</v>
      </c>
      <c r="AZ33" s="22">
        <v>293.57</v>
      </c>
      <c r="BA33" s="22">
        <v>-1.9363399999999999E-2</v>
      </c>
      <c r="BB33" s="22">
        <v>23</v>
      </c>
      <c r="BC33" s="22">
        <v>1.5625E-2</v>
      </c>
      <c r="BD33">
        <f t="shared" si="10"/>
        <v>19.363399999999999</v>
      </c>
      <c r="BE33">
        <f t="shared" si="11"/>
        <v>0.30727973094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1.3790899999999999</v>
      </c>
      <c r="H34" s="22">
        <v>49.340800000000002</v>
      </c>
      <c r="I34" s="22">
        <v>-1.6882299999999999E-2</v>
      </c>
      <c r="J34" s="22">
        <v>24</v>
      </c>
      <c r="K34" s="22">
        <v>1.3784799999999999</v>
      </c>
      <c r="L34">
        <f t="shared" si="0"/>
        <v>16.882300000000001</v>
      </c>
      <c r="M34">
        <f t="shared" si="1"/>
        <v>23.282211106999998</v>
      </c>
      <c r="N34" s="9"/>
      <c r="O34" s="22">
        <v>2.0904499999999999E-2</v>
      </c>
      <c r="P34" s="22">
        <v>98.167299999999997</v>
      </c>
      <c r="Q34" s="22">
        <v>-1.9384800000000001E-2</v>
      </c>
      <c r="R34" s="22">
        <v>24</v>
      </c>
      <c r="S34" s="22">
        <v>2.0800800000000001E-2</v>
      </c>
      <c r="T34">
        <f t="shared" si="2"/>
        <v>19.384800000000002</v>
      </c>
      <c r="U34">
        <f t="shared" si="3"/>
        <v>0.40522955160000002</v>
      </c>
      <c r="X34" s="9"/>
      <c r="Y34" s="22">
        <v>1.3790899999999999</v>
      </c>
      <c r="Z34" s="22">
        <v>147.11099999999999</v>
      </c>
      <c r="AA34" s="22">
        <v>-1.7117299999999998E-2</v>
      </c>
      <c r="AB34" s="22">
        <v>24</v>
      </c>
      <c r="AC34" s="22">
        <v>1.3784799999999999</v>
      </c>
      <c r="AD34">
        <f t="shared" si="4"/>
        <v>17.1173</v>
      </c>
      <c r="AE34">
        <f t="shared" si="5"/>
        <v>23.606297256999998</v>
      </c>
      <c r="AF34" s="9"/>
      <c r="AG34" s="22">
        <v>2.0904499999999999E-2</v>
      </c>
      <c r="AH34" s="22">
        <v>195.90899999999999</v>
      </c>
      <c r="AI34" s="22">
        <v>-1.9363399999999999E-2</v>
      </c>
      <c r="AJ34" s="22">
        <v>24</v>
      </c>
      <c r="AK34" s="22">
        <v>2.0813000000000002E-2</v>
      </c>
      <c r="AL34">
        <f t="shared" si="6"/>
        <v>19.363399999999999</v>
      </c>
      <c r="AM34">
        <f t="shared" si="7"/>
        <v>0.40478219529999998</v>
      </c>
      <c r="AP34" s="9"/>
      <c r="AQ34" s="22">
        <v>1.3790899999999999</v>
      </c>
      <c r="AR34" s="22">
        <v>244.678</v>
      </c>
      <c r="AS34" s="22">
        <v>-1.7227200000000002E-2</v>
      </c>
      <c r="AT34" s="22">
        <v>24</v>
      </c>
      <c r="AU34" s="22">
        <v>1.3778699999999999</v>
      </c>
      <c r="AV34">
        <f t="shared" si="8"/>
        <v>17.2272</v>
      </c>
      <c r="AW34">
        <f t="shared" si="9"/>
        <v>23.757859247999999</v>
      </c>
      <c r="AX34" s="9"/>
      <c r="AY34" s="22">
        <v>2.0904499999999999E-2</v>
      </c>
      <c r="AZ34" s="22">
        <v>293.58</v>
      </c>
      <c r="BA34" s="22">
        <v>-1.9357300000000001E-2</v>
      </c>
      <c r="BB34" s="22">
        <v>24</v>
      </c>
      <c r="BC34" s="22">
        <v>2.08191E-2</v>
      </c>
      <c r="BD34">
        <f t="shared" si="10"/>
        <v>19.357300000000002</v>
      </c>
      <c r="BE34">
        <f t="shared" si="11"/>
        <v>0.40465467785000003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1.37405</v>
      </c>
      <c r="H35" s="22">
        <v>49.350900000000003</v>
      </c>
      <c r="I35" s="22">
        <v>-1.70166E-2</v>
      </c>
      <c r="J35" s="22">
        <v>25</v>
      </c>
      <c r="K35" s="22">
        <v>1.3729899999999999</v>
      </c>
      <c r="L35">
        <f t="shared" si="0"/>
        <v>17.0166</v>
      </c>
      <c r="M35">
        <f t="shared" si="1"/>
        <v>23.38165923</v>
      </c>
      <c r="N35" s="9"/>
      <c r="O35" s="22">
        <v>2.5939899999999998E-2</v>
      </c>
      <c r="P35" s="22">
        <v>98.177300000000002</v>
      </c>
      <c r="Q35" s="22">
        <v>-1.9378699999999999E-2</v>
      </c>
      <c r="R35" s="22">
        <v>25</v>
      </c>
      <c r="S35" s="22">
        <v>2.5720199999999999E-2</v>
      </c>
      <c r="T35">
        <f t="shared" si="2"/>
        <v>19.378699999999998</v>
      </c>
      <c r="U35">
        <f t="shared" si="3"/>
        <v>0.50268154012999988</v>
      </c>
      <c r="X35" s="9"/>
      <c r="Y35" s="22">
        <v>1.37405</v>
      </c>
      <c r="Z35" s="22">
        <v>147.12100000000001</v>
      </c>
      <c r="AA35" s="22">
        <v>-1.7224099999999999E-2</v>
      </c>
      <c r="AB35" s="22">
        <v>25</v>
      </c>
      <c r="AC35" s="22">
        <v>1.3726799999999999</v>
      </c>
      <c r="AD35">
        <f t="shared" si="4"/>
        <v>17.2241</v>
      </c>
      <c r="AE35">
        <f t="shared" si="5"/>
        <v>23.666774605000001</v>
      </c>
      <c r="AF35" s="9"/>
      <c r="AG35" s="22">
        <v>2.5939899999999998E-2</v>
      </c>
      <c r="AH35" s="22">
        <v>195.91900000000001</v>
      </c>
      <c r="AI35" s="22">
        <v>-1.9357300000000001E-2</v>
      </c>
      <c r="AJ35" s="22">
        <v>25</v>
      </c>
      <c r="AK35" s="22">
        <v>2.58362E-2</v>
      </c>
      <c r="AL35">
        <f t="shared" si="6"/>
        <v>19.357300000000002</v>
      </c>
      <c r="AM35">
        <f t="shared" si="7"/>
        <v>0.50212642627000004</v>
      </c>
      <c r="AP35" s="9"/>
      <c r="AQ35" s="22">
        <v>1.37405</v>
      </c>
      <c r="AR35" s="22">
        <v>244.68899999999999</v>
      </c>
      <c r="AS35" s="22">
        <v>-1.73279E-2</v>
      </c>
      <c r="AT35" s="22">
        <v>25</v>
      </c>
      <c r="AU35" s="22">
        <v>1.3729899999999999</v>
      </c>
      <c r="AV35">
        <f t="shared" si="8"/>
        <v>17.3279</v>
      </c>
      <c r="AW35">
        <f t="shared" si="9"/>
        <v>23.809400995000001</v>
      </c>
      <c r="AX35" s="9"/>
      <c r="AY35" s="22">
        <v>2.5939899999999998E-2</v>
      </c>
      <c r="AZ35" s="22">
        <v>293.58999999999997</v>
      </c>
      <c r="BA35" s="22">
        <v>-1.9354199999999998E-2</v>
      </c>
      <c r="BB35" s="22">
        <v>25</v>
      </c>
      <c r="BC35" s="22">
        <v>2.5759899999999999E-2</v>
      </c>
      <c r="BD35">
        <f t="shared" si="10"/>
        <v>19.354199999999999</v>
      </c>
      <c r="BE35">
        <f t="shared" si="11"/>
        <v>0.50204601257999992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1.3690199999999999</v>
      </c>
      <c r="H36" s="22">
        <v>49.360999999999997</v>
      </c>
      <c r="I36" s="22">
        <v>-1.7132600000000001E-2</v>
      </c>
      <c r="J36" s="22">
        <v>26</v>
      </c>
      <c r="K36" s="22">
        <v>1.3681000000000001</v>
      </c>
      <c r="L36">
        <f t="shared" si="0"/>
        <v>17.1326</v>
      </c>
      <c r="M36">
        <f t="shared" si="1"/>
        <v>23.454872051999999</v>
      </c>
      <c r="N36" s="9"/>
      <c r="O36" s="22">
        <v>3.0975300000000001E-2</v>
      </c>
      <c r="P36" s="22">
        <v>98.187399999999997</v>
      </c>
      <c r="Q36" s="22">
        <v>-1.93726E-2</v>
      </c>
      <c r="R36" s="22">
        <v>26</v>
      </c>
      <c r="S36" s="22">
        <v>3.0828899999999999E-2</v>
      </c>
      <c r="T36">
        <f t="shared" si="2"/>
        <v>19.372599999999998</v>
      </c>
      <c r="U36">
        <f t="shared" si="3"/>
        <v>0.60007209677999995</v>
      </c>
      <c r="X36" s="9"/>
      <c r="Y36" s="22">
        <v>1.3690199999999999</v>
      </c>
      <c r="Z36" s="22">
        <v>147.131</v>
      </c>
      <c r="AA36" s="22">
        <v>-1.7324800000000001E-2</v>
      </c>
      <c r="AB36" s="22">
        <v>26</v>
      </c>
      <c r="AC36" s="22">
        <v>1.3687100000000001</v>
      </c>
      <c r="AD36">
        <f t="shared" si="4"/>
        <v>17.3248</v>
      </c>
      <c r="AE36">
        <f t="shared" si="5"/>
        <v>23.717997695999998</v>
      </c>
      <c r="AF36" s="9"/>
      <c r="AG36" s="22">
        <v>3.0975300000000001E-2</v>
      </c>
      <c r="AH36" s="22">
        <v>195.929</v>
      </c>
      <c r="AI36" s="22">
        <v>-1.9354199999999998E-2</v>
      </c>
      <c r="AJ36" s="22">
        <v>26</v>
      </c>
      <c r="AK36" s="22">
        <v>3.10303E-2</v>
      </c>
      <c r="AL36">
        <f t="shared" si="6"/>
        <v>19.354199999999999</v>
      </c>
      <c r="AM36">
        <f t="shared" si="7"/>
        <v>0.59950215125999995</v>
      </c>
      <c r="AP36" s="9"/>
      <c r="AQ36" s="22">
        <v>1.3690199999999999</v>
      </c>
      <c r="AR36" s="22">
        <v>244.69900000000001</v>
      </c>
      <c r="AS36" s="22">
        <v>-1.7416399999999999E-2</v>
      </c>
      <c r="AT36" s="22">
        <v>26</v>
      </c>
      <c r="AU36" s="22">
        <v>1.3684099999999999</v>
      </c>
      <c r="AV36">
        <f t="shared" si="8"/>
        <v>17.416399999999999</v>
      </c>
      <c r="AW36">
        <f t="shared" si="9"/>
        <v>23.843399927999997</v>
      </c>
      <c r="AX36" s="9"/>
      <c r="AY36" s="22">
        <v>3.0975300000000001E-2</v>
      </c>
      <c r="AZ36" s="22">
        <v>293.60000000000002</v>
      </c>
      <c r="BA36" s="22">
        <v>-1.93481E-2</v>
      </c>
      <c r="BB36" s="22">
        <v>26</v>
      </c>
      <c r="BC36" s="22">
        <v>3.09784E-2</v>
      </c>
      <c r="BD36">
        <f t="shared" si="10"/>
        <v>19.348099999999999</v>
      </c>
      <c r="BE36">
        <f t="shared" si="11"/>
        <v>0.59931320192999993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1.36398</v>
      </c>
      <c r="H37" s="22">
        <v>49.371099999999998</v>
      </c>
      <c r="I37" s="22">
        <v>-1.72455E-2</v>
      </c>
      <c r="J37" s="22">
        <v>27</v>
      </c>
      <c r="K37" s="22">
        <v>1.3638300000000001</v>
      </c>
      <c r="L37">
        <f t="shared" si="0"/>
        <v>17.2455</v>
      </c>
      <c r="M37">
        <f t="shared" si="1"/>
        <v>23.522517090000001</v>
      </c>
      <c r="N37" s="9"/>
      <c r="O37" s="22">
        <v>3.60107E-2</v>
      </c>
      <c r="P37" s="22">
        <v>98.197500000000005</v>
      </c>
      <c r="Q37" s="22">
        <v>-1.9366499999999998E-2</v>
      </c>
      <c r="R37" s="22">
        <v>27</v>
      </c>
      <c r="S37" s="22">
        <v>3.5931400000000002E-2</v>
      </c>
      <c r="T37">
        <f t="shared" si="2"/>
        <v>19.366499999999998</v>
      </c>
      <c r="U37">
        <f t="shared" si="3"/>
        <v>0.69740122154999995</v>
      </c>
      <c r="X37" s="9"/>
      <c r="Y37" s="22">
        <v>1.36398</v>
      </c>
      <c r="Z37" s="22">
        <v>147.14099999999999</v>
      </c>
      <c r="AA37" s="22">
        <v>-1.7419400000000002E-2</v>
      </c>
      <c r="AB37" s="22">
        <v>27</v>
      </c>
      <c r="AC37" s="22">
        <v>1.3632200000000001</v>
      </c>
      <c r="AD37">
        <f t="shared" si="4"/>
        <v>17.419400000000003</v>
      </c>
      <c r="AE37">
        <f t="shared" si="5"/>
        <v>23.759713212000005</v>
      </c>
      <c r="AF37" s="9"/>
      <c r="AG37" s="22">
        <v>3.60107E-2</v>
      </c>
      <c r="AH37" s="22">
        <v>195.93899999999999</v>
      </c>
      <c r="AI37" s="22">
        <v>-1.93451E-2</v>
      </c>
      <c r="AJ37" s="22">
        <v>27</v>
      </c>
      <c r="AK37" s="22">
        <v>3.5989399999999998E-2</v>
      </c>
      <c r="AL37">
        <f t="shared" si="6"/>
        <v>19.345100000000002</v>
      </c>
      <c r="AM37">
        <f t="shared" si="7"/>
        <v>0.69663059257000004</v>
      </c>
      <c r="AP37" s="9"/>
      <c r="AQ37" s="22">
        <v>1.36398</v>
      </c>
      <c r="AR37" s="22">
        <v>244.709</v>
      </c>
      <c r="AS37" s="22">
        <v>-1.74927E-2</v>
      </c>
      <c r="AT37" s="22">
        <v>27</v>
      </c>
      <c r="AU37" s="22">
        <v>1.3629199999999999</v>
      </c>
      <c r="AV37">
        <f t="shared" si="8"/>
        <v>17.492699999999999</v>
      </c>
      <c r="AW37">
        <f t="shared" si="9"/>
        <v>23.859692945999999</v>
      </c>
      <c r="AX37" s="9"/>
      <c r="AY37" s="22">
        <v>3.60107E-2</v>
      </c>
      <c r="AZ37" s="22">
        <v>293.61</v>
      </c>
      <c r="BA37" s="22">
        <v>-1.9342000000000002E-2</v>
      </c>
      <c r="BB37" s="22">
        <v>27</v>
      </c>
      <c r="BC37" s="22">
        <v>3.5568200000000001E-2</v>
      </c>
      <c r="BD37">
        <f t="shared" si="10"/>
        <v>19.342000000000002</v>
      </c>
      <c r="BE37">
        <f t="shared" si="11"/>
        <v>0.69651895940000008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1.3589500000000001</v>
      </c>
      <c r="H38" s="22">
        <v>49.381100000000004</v>
      </c>
      <c r="I38" s="22">
        <v>-1.7337000000000002E-2</v>
      </c>
      <c r="J38" s="22">
        <v>28</v>
      </c>
      <c r="K38" s="22">
        <v>1.3580300000000001</v>
      </c>
      <c r="L38">
        <f t="shared" si="0"/>
        <v>17.337000000000003</v>
      </c>
      <c r="M38">
        <f t="shared" si="1"/>
        <v>23.560116150000006</v>
      </c>
      <c r="N38" s="9"/>
      <c r="O38" s="22">
        <v>4.1046100000000002E-2</v>
      </c>
      <c r="P38" s="22">
        <v>98.207499999999996</v>
      </c>
      <c r="Q38" s="22">
        <v>-1.93604E-2</v>
      </c>
      <c r="R38" s="22">
        <v>28</v>
      </c>
      <c r="S38" s="22">
        <v>4.1128499999999998E-2</v>
      </c>
      <c r="T38">
        <f t="shared" si="2"/>
        <v>19.360399999999998</v>
      </c>
      <c r="U38">
        <f t="shared" si="3"/>
        <v>0.79466891443999998</v>
      </c>
      <c r="X38" s="9"/>
      <c r="Y38" s="22">
        <v>1.3589500000000001</v>
      </c>
      <c r="Z38" s="22">
        <v>147.15100000000001</v>
      </c>
      <c r="AA38" s="22">
        <v>-1.7501800000000001E-2</v>
      </c>
      <c r="AB38" s="22">
        <v>28</v>
      </c>
      <c r="AC38" s="22">
        <v>1.3577300000000001</v>
      </c>
      <c r="AD38">
        <f t="shared" si="4"/>
        <v>17.501800000000003</v>
      </c>
      <c r="AE38">
        <f t="shared" si="5"/>
        <v>23.784071110000006</v>
      </c>
      <c r="AF38" s="9"/>
      <c r="AG38" s="22">
        <v>4.1046100000000002E-2</v>
      </c>
      <c r="AH38" s="22">
        <v>195.94900000000001</v>
      </c>
      <c r="AI38" s="22">
        <v>-1.9342000000000002E-2</v>
      </c>
      <c r="AJ38" s="22">
        <v>28</v>
      </c>
      <c r="AK38" s="22">
        <v>4.0744000000000002E-2</v>
      </c>
      <c r="AL38">
        <f t="shared" si="6"/>
        <v>19.342000000000002</v>
      </c>
      <c r="AM38">
        <f t="shared" si="7"/>
        <v>0.79391366620000015</v>
      </c>
      <c r="AP38" s="9"/>
      <c r="AQ38" s="22">
        <v>1.3589500000000001</v>
      </c>
      <c r="AR38" s="22">
        <v>244.71899999999999</v>
      </c>
      <c r="AS38" s="22">
        <v>-1.7562899999999999E-2</v>
      </c>
      <c r="AT38" s="22">
        <v>28</v>
      </c>
      <c r="AU38" s="22">
        <v>1.3577300000000001</v>
      </c>
      <c r="AV38">
        <f t="shared" si="8"/>
        <v>17.562899999999999</v>
      </c>
      <c r="AW38">
        <f t="shared" si="9"/>
        <v>23.867102955</v>
      </c>
      <c r="AX38" s="9"/>
      <c r="AY38" s="22">
        <v>4.1046100000000002E-2</v>
      </c>
      <c r="AZ38" s="22">
        <v>293.62</v>
      </c>
      <c r="BA38" s="22">
        <v>-1.93359E-2</v>
      </c>
      <c r="BB38" s="22">
        <v>28</v>
      </c>
      <c r="BC38" s="22">
        <v>4.1265900000000001E-2</v>
      </c>
      <c r="BD38">
        <f t="shared" si="10"/>
        <v>19.335899999999999</v>
      </c>
      <c r="BE38">
        <f t="shared" si="11"/>
        <v>0.79366328498999994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1.3539099999999999</v>
      </c>
      <c r="H39" s="22">
        <v>49.391199999999998</v>
      </c>
      <c r="I39" s="22">
        <v>-1.74255E-2</v>
      </c>
      <c r="J39" s="22">
        <v>29</v>
      </c>
      <c r="K39" s="22">
        <v>1.35345</v>
      </c>
      <c r="L39">
        <f t="shared" si="0"/>
        <v>17.4255</v>
      </c>
      <c r="M39">
        <f t="shared" si="1"/>
        <v>23.592558704999998</v>
      </c>
      <c r="N39" s="9"/>
      <c r="O39" s="22">
        <v>4.6081499999999997E-2</v>
      </c>
      <c r="P39" s="22">
        <v>98.217600000000004</v>
      </c>
      <c r="Q39" s="22">
        <v>-1.9354199999999998E-2</v>
      </c>
      <c r="R39" s="22">
        <v>29</v>
      </c>
      <c r="S39" s="22">
        <v>4.5986899999999997E-2</v>
      </c>
      <c r="T39">
        <f t="shared" si="2"/>
        <v>19.354199999999999</v>
      </c>
      <c r="U39">
        <f t="shared" si="3"/>
        <v>0.89187056729999992</v>
      </c>
      <c r="X39" s="9"/>
      <c r="Y39" s="22">
        <v>1.3539099999999999</v>
      </c>
      <c r="Z39" s="22">
        <v>147.161</v>
      </c>
      <c r="AA39" s="22">
        <v>-1.7572000000000001E-2</v>
      </c>
      <c r="AB39" s="22">
        <v>29</v>
      </c>
      <c r="AC39" s="22">
        <v>1.35284</v>
      </c>
      <c r="AD39">
        <f t="shared" si="4"/>
        <v>17.571999999999999</v>
      </c>
      <c r="AE39">
        <f t="shared" si="5"/>
        <v>23.790906519999997</v>
      </c>
      <c r="AF39" s="9"/>
      <c r="AG39" s="22">
        <v>4.6081499999999997E-2</v>
      </c>
      <c r="AH39" s="22">
        <v>195.959</v>
      </c>
      <c r="AI39" s="22">
        <v>-1.93359E-2</v>
      </c>
      <c r="AJ39" s="22">
        <v>29</v>
      </c>
      <c r="AK39" s="22">
        <v>4.60297E-2</v>
      </c>
      <c r="AL39">
        <f t="shared" si="6"/>
        <v>19.335899999999999</v>
      </c>
      <c r="AM39">
        <f t="shared" si="7"/>
        <v>0.89102727584999986</v>
      </c>
      <c r="AP39" s="9"/>
      <c r="AQ39" s="22">
        <v>1.3539099999999999</v>
      </c>
      <c r="AR39" s="22">
        <v>244.72900000000001</v>
      </c>
      <c r="AS39" s="22">
        <v>-1.7627E-2</v>
      </c>
      <c r="AT39" s="22">
        <v>29</v>
      </c>
      <c r="AU39" s="22">
        <v>1.3531500000000001</v>
      </c>
      <c r="AV39">
        <f t="shared" si="8"/>
        <v>17.626999999999999</v>
      </c>
      <c r="AW39">
        <f t="shared" si="9"/>
        <v>23.865371569999997</v>
      </c>
      <c r="AX39" s="9"/>
      <c r="AY39" s="22">
        <v>4.6081499999999997E-2</v>
      </c>
      <c r="AZ39" s="22">
        <v>293.63</v>
      </c>
      <c r="BA39" s="22">
        <v>-1.93329E-2</v>
      </c>
      <c r="BB39" s="22">
        <v>29</v>
      </c>
      <c r="BC39" s="22">
        <v>4.5977799999999999E-2</v>
      </c>
      <c r="BD39">
        <f t="shared" si="10"/>
        <v>19.332899999999999</v>
      </c>
      <c r="BE39">
        <f t="shared" si="11"/>
        <v>0.89088903134999986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1.3488800000000001</v>
      </c>
      <c r="H40" s="22">
        <v>49.401299999999999</v>
      </c>
      <c r="I40" s="22">
        <v>-1.75049E-2</v>
      </c>
      <c r="J40" s="22">
        <v>30</v>
      </c>
      <c r="K40" s="22">
        <v>1.3476600000000001</v>
      </c>
      <c r="L40">
        <f t="shared" si="0"/>
        <v>17.504899999999999</v>
      </c>
      <c r="M40">
        <f t="shared" si="1"/>
        <v>23.612009512</v>
      </c>
      <c r="N40" s="9"/>
      <c r="O40" s="22">
        <v>5.11169E-2</v>
      </c>
      <c r="P40" s="22">
        <v>98.227699999999999</v>
      </c>
      <c r="Q40" s="22">
        <v>-1.9351199999999999E-2</v>
      </c>
      <c r="R40" s="22">
        <v>30</v>
      </c>
      <c r="S40" s="22">
        <v>5.1226800000000003E-2</v>
      </c>
      <c r="T40">
        <f t="shared" si="2"/>
        <v>19.351199999999999</v>
      </c>
      <c r="U40">
        <f t="shared" si="3"/>
        <v>0.98917335527999994</v>
      </c>
      <c r="X40" s="9"/>
      <c r="Y40" s="22">
        <v>1.3488800000000001</v>
      </c>
      <c r="Z40" s="22">
        <v>147.17099999999999</v>
      </c>
      <c r="AA40" s="22">
        <v>-1.7633099999999999E-2</v>
      </c>
      <c r="AB40" s="22">
        <v>30</v>
      </c>
      <c r="AC40" s="22">
        <v>1.3476600000000001</v>
      </c>
      <c r="AD40">
        <f t="shared" si="4"/>
        <v>17.633099999999999</v>
      </c>
      <c r="AE40">
        <f t="shared" si="5"/>
        <v>23.784935927999999</v>
      </c>
      <c r="AF40" s="9"/>
      <c r="AG40" s="22">
        <v>5.11169E-2</v>
      </c>
      <c r="AH40" s="22">
        <v>195.97</v>
      </c>
      <c r="AI40" s="22">
        <v>-1.93329E-2</v>
      </c>
      <c r="AJ40" s="22">
        <v>30</v>
      </c>
      <c r="AK40" s="22">
        <v>5.0958299999999998E-2</v>
      </c>
      <c r="AL40">
        <f t="shared" si="6"/>
        <v>19.332899999999999</v>
      </c>
      <c r="AM40">
        <f t="shared" si="7"/>
        <v>0.98823791600999988</v>
      </c>
      <c r="AP40" s="9"/>
      <c r="AQ40" s="22">
        <v>1.3488800000000001</v>
      </c>
      <c r="AR40" s="22">
        <v>244.739</v>
      </c>
      <c r="AS40" s="22">
        <v>-1.76849E-2</v>
      </c>
      <c r="AT40" s="22">
        <v>30</v>
      </c>
      <c r="AU40" s="22">
        <v>1.3476600000000001</v>
      </c>
      <c r="AV40">
        <f t="shared" si="8"/>
        <v>17.684899999999999</v>
      </c>
      <c r="AW40">
        <f t="shared" si="9"/>
        <v>23.854807911999998</v>
      </c>
      <c r="AX40" s="9"/>
      <c r="AY40" s="22">
        <v>5.11169E-2</v>
      </c>
      <c r="AZ40" s="22">
        <v>293.64</v>
      </c>
      <c r="BA40" s="22">
        <v>-1.93329E-2</v>
      </c>
      <c r="BB40" s="22">
        <v>30</v>
      </c>
      <c r="BC40" s="22">
        <v>5.1229900000000002E-2</v>
      </c>
      <c r="BD40">
        <f t="shared" si="10"/>
        <v>19.332899999999999</v>
      </c>
      <c r="BE40">
        <f t="shared" si="11"/>
        <v>0.98823791600999988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1.3438399999999999</v>
      </c>
      <c r="H41" s="22">
        <v>49.411299999999997</v>
      </c>
      <c r="I41" s="22">
        <v>-1.75751E-2</v>
      </c>
      <c r="J41" s="22">
        <v>31</v>
      </c>
      <c r="K41" s="22">
        <v>1.34338</v>
      </c>
      <c r="L41">
        <f t="shared" si="0"/>
        <v>17.575099999999999</v>
      </c>
      <c r="M41">
        <f t="shared" si="1"/>
        <v>23.618122383999996</v>
      </c>
      <c r="N41" s="9"/>
      <c r="O41" s="22">
        <v>5.6152300000000002E-2</v>
      </c>
      <c r="P41" s="22">
        <v>98.237799999999993</v>
      </c>
      <c r="Q41" s="22">
        <v>-1.9351199999999999E-2</v>
      </c>
      <c r="R41" s="22">
        <v>31</v>
      </c>
      <c r="S41" s="22">
        <v>5.5511499999999998E-2</v>
      </c>
      <c r="T41">
        <f t="shared" si="2"/>
        <v>19.351199999999999</v>
      </c>
      <c r="U41">
        <f t="shared" si="3"/>
        <v>1.0866143877599999</v>
      </c>
      <c r="X41" s="9"/>
      <c r="Y41" s="22">
        <v>1.3438399999999999</v>
      </c>
      <c r="Z41" s="22">
        <v>147.18100000000001</v>
      </c>
      <c r="AA41" s="22">
        <v>-1.7687999999999999E-2</v>
      </c>
      <c r="AB41" s="22">
        <v>31</v>
      </c>
      <c r="AC41" s="22">
        <v>1.3430800000000001</v>
      </c>
      <c r="AD41">
        <f t="shared" si="4"/>
        <v>17.687999999999999</v>
      </c>
      <c r="AE41">
        <f t="shared" si="5"/>
        <v>23.769841919999998</v>
      </c>
      <c r="AF41" s="9"/>
      <c r="AG41" s="22">
        <v>5.6152300000000002E-2</v>
      </c>
      <c r="AH41" s="22">
        <v>195.98</v>
      </c>
      <c r="AI41" s="22">
        <v>-1.9329800000000001E-2</v>
      </c>
      <c r="AJ41" s="22">
        <v>31</v>
      </c>
      <c r="AK41" s="22">
        <v>5.5389399999999998E-2</v>
      </c>
      <c r="AL41">
        <f t="shared" si="6"/>
        <v>19.329800000000002</v>
      </c>
      <c r="AM41">
        <f t="shared" si="7"/>
        <v>1.0854127285400001</v>
      </c>
      <c r="AP41" s="9"/>
      <c r="AQ41" s="22">
        <v>1.3438399999999999</v>
      </c>
      <c r="AR41" s="22">
        <v>244.749</v>
      </c>
      <c r="AS41" s="22">
        <v>-1.77368E-2</v>
      </c>
      <c r="AT41" s="22">
        <v>31</v>
      </c>
      <c r="AU41" s="22">
        <v>1.34277</v>
      </c>
      <c r="AV41">
        <f t="shared" si="8"/>
        <v>17.736799999999999</v>
      </c>
      <c r="AW41">
        <f t="shared" si="9"/>
        <v>23.835421311999998</v>
      </c>
      <c r="AX41" s="9"/>
      <c r="AY41" s="22">
        <v>5.6152300000000002E-2</v>
      </c>
      <c r="AZ41" s="22">
        <v>293.64999999999998</v>
      </c>
      <c r="BA41" s="22">
        <v>-1.9326800000000002E-2</v>
      </c>
      <c r="BB41" s="22">
        <v>31</v>
      </c>
      <c r="BC41" s="22">
        <v>5.5481000000000003E-2</v>
      </c>
      <c r="BD41">
        <f t="shared" si="10"/>
        <v>19.326800000000002</v>
      </c>
      <c r="BE41">
        <f t="shared" si="11"/>
        <v>1.0852442716400001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1.3388100000000001</v>
      </c>
      <c r="H42" s="22">
        <v>49.421399999999998</v>
      </c>
      <c r="I42" s="22">
        <v>-1.7639200000000001E-2</v>
      </c>
      <c r="J42" s="22">
        <v>32</v>
      </c>
      <c r="K42" s="22">
        <v>1.3375900000000001</v>
      </c>
      <c r="L42">
        <f t="shared" si="0"/>
        <v>17.639200000000002</v>
      </c>
      <c r="M42">
        <f t="shared" si="1"/>
        <v>23.615537352000004</v>
      </c>
      <c r="N42" s="9"/>
      <c r="O42" s="22">
        <v>6.1187699999999998E-2</v>
      </c>
      <c r="P42" s="22">
        <v>98.247799999999998</v>
      </c>
      <c r="Q42" s="22">
        <v>-1.93451E-2</v>
      </c>
      <c r="R42" s="22">
        <v>32</v>
      </c>
      <c r="S42" s="22">
        <v>6.0516399999999998E-2</v>
      </c>
      <c r="T42">
        <f t="shared" si="2"/>
        <v>19.345100000000002</v>
      </c>
      <c r="U42">
        <f t="shared" si="3"/>
        <v>1.1836821752700002</v>
      </c>
      <c r="X42" s="9"/>
      <c r="Y42" s="22">
        <v>1.3388100000000001</v>
      </c>
      <c r="Z42" s="22">
        <v>147.191</v>
      </c>
      <c r="AA42" s="22">
        <v>-1.7739899999999999E-2</v>
      </c>
      <c r="AB42" s="22">
        <v>32</v>
      </c>
      <c r="AC42" s="22">
        <v>1.3382000000000001</v>
      </c>
      <c r="AD42">
        <f t="shared" si="4"/>
        <v>17.739899999999999</v>
      </c>
      <c r="AE42">
        <f t="shared" si="5"/>
        <v>23.750355518999999</v>
      </c>
      <c r="AF42" s="9"/>
      <c r="AG42" s="22">
        <v>6.1187699999999998E-2</v>
      </c>
      <c r="AH42" s="22">
        <v>195.99</v>
      </c>
      <c r="AI42" s="22">
        <v>-1.9323699999999999E-2</v>
      </c>
      <c r="AJ42" s="22">
        <v>32</v>
      </c>
      <c r="AK42" s="22">
        <v>6.0394299999999998E-2</v>
      </c>
      <c r="AL42">
        <f t="shared" si="6"/>
        <v>19.323699999999999</v>
      </c>
      <c r="AM42">
        <f t="shared" si="7"/>
        <v>1.1823727584899999</v>
      </c>
      <c r="AP42" s="9"/>
      <c r="AQ42" s="22">
        <v>1.3388100000000001</v>
      </c>
      <c r="AR42" s="22">
        <v>244.75899999999999</v>
      </c>
      <c r="AS42" s="22">
        <v>-1.7785599999999999E-2</v>
      </c>
      <c r="AT42" s="22">
        <v>32</v>
      </c>
      <c r="AU42" s="22">
        <v>1.3382000000000001</v>
      </c>
      <c r="AV42">
        <f t="shared" si="8"/>
        <v>17.785599999999999</v>
      </c>
      <c r="AW42">
        <f t="shared" si="9"/>
        <v>23.811539136</v>
      </c>
      <c r="AX42" s="9"/>
      <c r="AY42" s="22">
        <v>6.1187699999999998E-2</v>
      </c>
      <c r="AZ42" s="22">
        <v>293.661</v>
      </c>
      <c r="BA42" s="22">
        <v>-1.9323699999999999E-2</v>
      </c>
      <c r="BB42" s="22">
        <v>32</v>
      </c>
      <c r="BC42" s="22">
        <v>6.0302700000000001E-2</v>
      </c>
      <c r="BD42">
        <f t="shared" si="10"/>
        <v>19.323699999999999</v>
      </c>
      <c r="BE42">
        <f t="shared" si="11"/>
        <v>1.1823727584899999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1.3337699999999999</v>
      </c>
      <c r="H43" s="22">
        <v>49.4315</v>
      </c>
      <c r="I43" s="22">
        <v>-1.76971E-2</v>
      </c>
      <c r="J43" s="22">
        <v>33</v>
      </c>
      <c r="K43" s="22">
        <v>1.33301</v>
      </c>
      <c r="L43">
        <f t="shared" si="0"/>
        <v>17.697099999999999</v>
      </c>
      <c r="M43">
        <f t="shared" si="1"/>
        <v>23.603861066999997</v>
      </c>
      <c r="N43" s="9"/>
      <c r="O43" s="22">
        <v>6.6223099999999993E-2</v>
      </c>
      <c r="P43" s="22">
        <v>98.257900000000006</v>
      </c>
      <c r="Q43" s="22">
        <v>-1.9338999999999999E-2</v>
      </c>
      <c r="R43" s="22">
        <v>33</v>
      </c>
      <c r="S43" s="22">
        <v>6.5795900000000004E-2</v>
      </c>
      <c r="T43">
        <f t="shared" si="2"/>
        <v>19.338999999999999</v>
      </c>
      <c r="U43">
        <f t="shared" si="3"/>
        <v>1.2806885308999998</v>
      </c>
      <c r="X43" s="9"/>
      <c r="Y43" s="22">
        <v>1.3337699999999999</v>
      </c>
      <c r="Z43" s="22">
        <v>147.20099999999999</v>
      </c>
      <c r="AA43" s="22">
        <v>-1.7785599999999999E-2</v>
      </c>
      <c r="AB43" s="22">
        <v>33</v>
      </c>
      <c r="AC43" s="22">
        <v>1.33331</v>
      </c>
      <c r="AD43">
        <f t="shared" si="4"/>
        <v>17.785599999999999</v>
      </c>
      <c r="AE43">
        <f t="shared" si="5"/>
        <v>23.721899711999995</v>
      </c>
      <c r="AF43" s="9"/>
      <c r="AG43" s="22">
        <v>6.6223099999999993E-2</v>
      </c>
      <c r="AH43" s="22">
        <v>196</v>
      </c>
      <c r="AI43" s="22">
        <v>-1.9317600000000001E-2</v>
      </c>
      <c r="AJ43" s="22">
        <v>33</v>
      </c>
      <c r="AK43" s="22">
        <v>6.5551799999999993E-2</v>
      </c>
      <c r="AL43">
        <f t="shared" si="6"/>
        <v>19.317600000000002</v>
      </c>
      <c r="AM43">
        <f t="shared" si="7"/>
        <v>1.27927135656</v>
      </c>
      <c r="AP43" s="9"/>
      <c r="AQ43" s="22">
        <v>1.3337699999999999</v>
      </c>
      <c r="AR43" s="22">
        <v>244.76900000000001</v>
      </c>
      <c r="AS43" s="22">
        <v>-1.7828400000000001E-2</v>
      </c>
      <c r="AT43" s="22">
        <v>33</v>
      </c>
      <c r="AU43" s="22">
        <v>1.33331</v>
      </c>
      <c r="AV43">
        <f t="shared" si="8"/>
        <v>17.828400000000002</v>
      </c>
      <c r="AW43">
        <f t="shared" si="9"/>
        <v>23.778985068000001</v>
      </c>
      <c r="AX43" s="9"/>
      <c r="AY43" s="22">
        <v>6.6223099999999993E-2</v>
      </c>
      <c r="AZ43" s="22">
        <v>293.67099999999999</v>
      </c>
      <c r="BA43" s="22">
        <v>-1.9317600000000001E-2</v>
      </c>
      <c r="BB43" s="22">
        <v>33</v>
      </c>
      <c r="BC43" s="22">
        <v>6.5643300000000002E-2</v>
      </c>
      <c r="BD43">
        <f t="shared" si="10"/>
        <v>19.317600000000002</v>
      </c>
      <c r="BE43">
        <f t="shared" si="11"/>
        <v>1.27927135656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1.32874</v>
      </c>
      <c r="H44" s="22">
        <v>49.441600000000001</v>
      </c>
      <c r="I44" s="22">
        <v>-1.77521E-2</v>
      </c>
      <c r="J44" s="22">
        <v>34</v>
      </c>
      <c r="K44" s="22">
        <v>1.32843</v>
      </c>
      <c r="L44">
        <f t="shared" si="0"/>
        <v>17.752099999999999</v>
      </c>
      <c r="M44">
        <f t="shared" si="1"/>
        <v>23.587925353999999</v>
      </c>
      <c r="N44" s="9"/>
      <c r="O44" s="22">
        <v>7.1258500000000002E-2</v>
      </c>
      <c r="P44" s="22">
        <v>98.268000000000001</v>
      </c>
      <c r="Q44" s="22">
        <v>-1.93359E-2</v>
      </c>
      <c r="R44" s="22">
        <v>34</v>
      </c>
      <c r="S44" s="22">
        <v>7.07092E-2</v>
      </c>
      <c r="T44">
        <f t="shared" si="2"/>
        <v>19.335899999999999</v>
      </c>
      <c r="U44">
        <f t="shared" si="3"/>
        <v>1.37784723015</v>
      </c>
      <c r="X44" s="9"/>
      <c r="Y44" s="22">
        <v>1.32874</v>
      </c>
      <c r="Z44" s="22">
        <v>147.21100000000001</v>
      </c>
      <c r="AA44" s="22">
        <v>-1.7825299999999999E-2</v>
      </c>
      <c r="AB44" s="22">
        <v>34</v>
      </c>
      <c r="AC44" s="22">
        <v>1.32843</v>
      </c>
      <c r="AD44">
        <f t="shared" si="4"/>
        <v>17.825299999999999</v>
      </c>
      <c r="AE44">
        <f t="shared" si="5"/>
        <v>23.685189121999997</v>
      </c>
      <c r="AF44" s="9"/>
      <c r="AG44" s="22">
        <v>7.1258500000000002E-2</v>
      </c>
      <c r="AH44" s="22">
        <v>196.01</v>
      </c>
      <c r="AI44" s="22">
        <v>-1.9317600000000001E-2</v>
      </c>
      <c r="AJ44" s="22">
        <v>34</v>
      </c>
      <c r="AK44" s="22">
        <v>7.0892300000000005E-2</v>
      </c>
      <c r="AL44">
        <f t="shared" si="6"/>
        <v>19.317600000000002</v>
      </c>
      <c r="AM44">
        <f t="shared" si="7"/>
        <v>1.3765431996000002</v>
      </c>
      <c r="AP44" s="9"/>
      <c r="AQ44" s="22">
        <v>1.32874</v>
      </c>
      <c r="AR44" s="22">
        <v>244.779</v>
      </c>
      <c r="AS44" s="22">
        <v>-1.78619E-2</v>
      </c>
      <c r="AT44" s="22">
        <v>34</v>
      </c>
      <c r="AU44" s="22">
        <v>1.32813</v>
      </c>
      <c r="AV44">
        <f t="shared" si="8"/>
        <v>17.861899999999999</v>
      </c>
      <c r="AW44">
        <f t="shared" si="9"/>
        <v>23.733821005999999</v>
      </c>
      <c r="AX44" s="9"/>
      <c r="AY44" s="22">
        <v>7.1258500000000002E-2</v>
      </c>
      <c r="AZ44" s="22">
        <v>293.68099999999998</v>
      </c>
      <c r="BA44" s="22">
        <v>-1.9314600000000001E-2</v>
      </c>
      <c r="BB44" s="22">
        <v>34</v>
      </c>
      <c r="BC44" s="22">
        <v>7.0617700000000005E-2</v>
      </c>
      <c r="BD44">
        <f t="shared" si="10"/>
        <v>19.314600000000002</v>
      </c>
      <c r="BE44">
        <f t="shared" si="11"/>
        <v>1.3763294241000001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1.3237000000000001</v>
      </c>
      <c r="H45" s="22">
        <v>49.451599999999999</v>
      </c>
      <c r="I45" s="22">
        <v>-1.7797899999999998E-2</v>
      </c>
      <c r="J45" s="22">
        <v>35</v>
      </c>
      <c r="K45" s="22">
        <v>1.32294</v>
      </c>
      <c r="L45">
        <f t="shared" si="0"/>
        <v>17.797899999999998</v>
      </c>
      <c r="M45">
        <f t="shared" si="1"/>
        <v>23.559080229999999</v>
      </c>
      <c r="N45" s="9"/>
      <c r="O45" s="22">
        <v>7.6293899999999998E-2</v>
      </c>
      <c r="P45" s="22">
        <v>98.278000000000006</v>
      </c>
      <c r="Q45" s="22">
        <v>-1.9329800000000001E-2</v>
      </c>
      <c r="R45" s="22">
        <v>35</v>
      </c>
      <c r="S45" s="22">
        <v>7.5592000000000006E-2</v>
      </c>
      <c r="T45">
        <f t="shared" si="2"/>
        <v>19.329800000000002</v>
      </c>
      <c r="U45">
        <f t="shared" si="3"/>
        <v>1.4747458282200001</v>
      </c>
      <c r="X45" s="9"/>
      <c r="Y45" s="22">
        <v>1.3237000000000001</v>
      </c>
      <c r="Z45" s="22">
        <v>147.221</v>
      </c>
      <c r="AA45" s="22">
        <v>-1.78619E-2</v>
      </c>
      <c r="AB45" s="22">
        <v>35</v>
      </c>
      <c r="AC45" s="22">
        <v>1.32324</v>
      </c>
      <c r="AD45">
        <f t="shared" si="4"/>
        <v>17.861899999999999</v>
      </c>
      <c r="AE45">
        <f t="shared" si="5"/>
        <v>23.643797029999998</v>
      </c>
      <c r="AF45" s="9"/>
      <c r="AG45" s="22">
        <v>7.6293899999999998E-2</v>
      </c>
      <c r="AH45" s="22">
        <v>196.02</v>
      </c>
      <c r="AI45" s="22">
        <v>-1.9314600000000001E-2</v>
      </c>
      <c r="AJ45" s="22">
        <v>35</v>
      </c>
      <c r="AK45" s="22">
        <v>7.5469999999999995E-2</v>
      </c>
      <c r="AL45">
        <f t="shared" si="6"/>
        <v>19.314600000000002</v>
      </c>
      <c r="AM45">
        <f t="shared" si="7"/>
        <v>1.4735861609400001</v>
      </c>
      <c r="AP45" s="9"/>
      <c r="AQ45" s="22">
        <v>1.3237000000000001</v>
      </c>
      <c r="AR45" s="22">
        <v>244.78899999999999</v>
      </c>
      <c r="AS45" s="22">
        <v>-1.7898600000000001E-2</v>
      </c>
      <c r="AT45" s="22">
        <v>35</v>
      </c>
      <c r="AU45" s="22">
        <v>1.32294</v>
      </c>
      <c r="AV45">
        <f t="shared" si="8"/>
        <v>17.898600000000002</v>
      </c>
      <c r="AW45">
        <f t="shared" si="9"/>
        <v>23.692376820000003</v>
      </c>
      <c r="AX45" s="9"/>
      <c r="AY45" s="22">
        <v>7.6293899999999998E-2</v>
      </c>
      <c r="AZ45" s="22">
        <v>293.69099999999997</v>
      </c>
      <c r="BA45" s="22">
        <v>-1.9311499999999999E-2</v>
      </c>
      <c r="BB45" s="22">
        <v>35</v>
      </c>
      <c r="BC45" s="22">
        <v>7.5775099999999998E-2</v>
      </c>
      <c r="BD45">
        <f t="shared" si="10"/>
        <v>19.311499999999999</v>
      </c>
      <c r="BE45">
        <f t="shared" si="11"/>
        <v>1.4733496498499998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1.3186599999999999</v>
      </c>
      <c r="H46" s="22">
        <v>49.4617</v>
      </c>
      <c r="I46" s="22">
        <v>-1.7843600000000001E-2</v>
      </c>
      <c r="J46" s="22">
        <v>36</v>
      </c>
      <c r="K46" s="22">
        <v>1.3180499999999999</v>
      </c>
      <c r="L46">
        <f t="shared" si="0"/>
        <v>17.843600000000002</v>
      </c>
      <c r="M46">
        <f t="shared" si="1"/>
        <v>23.529641576000003</v>
      </c>
      <c r="N46" s="9"/>
      <c r="O46" s="22">
        <v>8.1329299999999993E-2</v>
      </c>
      <c r="P46" s="22">
        <v>98.2881</v>
      </c>
      <c r="Q46" s="22">
        <v>-1.9326800000000002E-2</v>
      </c>
      <c r="R46" s="22">
        <v>36</v>
      </c>
      <c r="S46" s="22">
        <v>8.0749500000000002E-2</v>
      </c>
      <c r="T46">
        <f t="shared" si="2"/>
        <v>19.326800000000002</v>
      </c>
      <c r="U46">
        <f t="shared" si="3"/>
        <v>1.5718351152400001</v>
      </c>
      <c r="X46" s="9"/>
      <c r="Y46" s="22">
        <v>1.3186599999999999</v>
      </c>
      <c r="Z46" s="22">
        <v>147.232</v>
      </c>
      <c r="AA46" s="22">
        <v>-1.79016E-2</v>
      </c>
      <c r="AB46" s="22">
        <v>36</v>
      </c>
      <c r="AC46" s="22">
        <v>1.3180499999999999</v>
      </c>
      <c r="AD46">
        <f t="shared" si="4"/>
        <v>17.901599999999998</v>
      </c>
      <c r="AE46">
        <f t="shared" si="5"/>
        <v>23.606123855999996</v>
      </c>
      <c r="AF46" s="9"/>
      <c r="AG46" s="22">
        <v>8.1329299999999993E-2</v>
      </c>
      <c r="AH46" s="22">
        <v>196.03</v>
      </c>
      <c r="AI46" s="22">
        <v>-1.9308499999999999E-2</v>
      </c>
      <c r="AJ46" s="22">
        <v>36</v>
      </c>
      <c r="AK46" s="22">
        <v>8.0596899999999999E-2</v>
      </c>
      <c r="AL46">
        <f t="shared" si="6"/>
        <v>19.308499999999999</v>
      </c>
      <c r="AM46">
        <f t="shared" si="7"/>
        <v>1.5703467890499998</v>
      </c>
      <c r="AP46" s="9"/>
      <c r="AQ46" s="22">
        <v>1.3186599999999999</v>
      </c>
      <c r="AR46" s="22">
        <v>244.79900000000001</v>
      </c>
      <c r="AS46" s="22">
        <v>-1.79291E-2</v>
      </c>
      <c r="AT46" s="22">
        <v>36</v>
      </c>
      <c r="AU46" s="22">
        <v>1.3180499999999999</v>
      </c>
      <c r="AV46">
        <f t="shared" si="8"/>
        <v>17.929099999999998</v>
      </c>
      <c r="AW46">
        <f t="shared" si="9"/>
        <v>23.642387005999996</v>
      </c>
      <c r="AX46" s="9"/>
      <c r="AY46" s="22">
        <v>8.1329299999999993E-2</v>
      </c>
      <c r="AZ46" s="22">
        <v>293.70100000000002</v>
      </c>
      <c r="BA46" s="22">
        <v>-1.9311499999999999E-2</v>
      </c>
      <c r="BB46" s="22">
        <v>36</v>
      </c>
      <c r="BC46" s="22">
        <v>8.0841099999999999E-2</v>
      </c>
      <c r="BD46">
        <f t="shared" si="10"/>
        <v>19.311499999999999</v>
      </c>
      <c r="BE46">
        <f t="shared" si="11"/>
        <v>1.5705907769499998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1.3136300000000001</v>
      </c>
      <c r="H47" s="22">
        <v>49.471800000000002</v>
      </c>
      <c r="I47" s="22">
        <v>-1.78864E-2</v>
      </c>
      <c r="J47" s="22">
        <v>37</v>
      </c>
      <c r="K47" s="22">
        <v>1.31287</v>
      </c>
      <c r="L47">
        <f t="shared" si="0"/>
        <v>17.886400000000002</v>
      </c>
      <c r="M47">
        <f t="shared" si="1"/>
        <v>23.496111632000005</v>
      </c>
      <c r="N47" s="9"/>
      <c r="O47" s="22">
        <v>8.6364700000000003E-2</v>
      </c>
      <c r="P47" s="22">
        <v>98.298199999999994</v>
      </c>
      <c r="Q47" s="22">
        <v>-1.93207E-2</v>
      </c>
      <c r="R47" s="22">
        <v>37</v>
      </c>
      <c r="S47" s="22">
        <v>8.5784899999999997E-2</v>
      </c>
      <c r="T47">
        <f t="shared" si="2"/>
        <v>19.320699999999999</v>
      </c>
      <c r="U47">
        <f t="shared" si="3"/>
        <v>1.66862645929</v>
      </c>
      <c r="X47" s="9"/>
      <c r="Y47" s="22">
        <v>1.3136300000000001</v>
      </c>
      <c r="Z47" s="22">
        <v>147.24199999999999</v>
      </c>
      <c r="AA47" s="22">
        <v>-1.7932099999999999E-2</v>
      </c>
      <c r="AB47" s="22">
        <v>37</v>
      </c>
      <c r="AC47" s="22">
        <v>1.3131699999999999</v>
      </c>
      <c r="AD47">
        <f t="shared" si="4"/>
        <v>17.932099999999998</v>
      </c>
      <c r="AE47">
        <f t="shared" si="5"/>
        <v>23.556144523</v>
      </c>
      <c r="AF47" s="9"/>
      <c r="AG47" s="22">
        <v>8.6364700000000003E-2</v>
      </c>
      <c r="AH47" s="22">
        <v>196.04</v>
      </c>
      <c r="AI47" s="22">
        <v>-1.9302400000000001E-2</v>
      </c>
      <c r="AJ47" s="22">
        <v>37</v>
      </c>
      <c r="AK47" s="22">
        <v>8.5754399999999995E-2</v>
      </c>
      <c r="AL47">
        <f t="shared" si="6"/>
        <v>19.302400000000002</v>
      </c>
      <c r="AM47">
        <f t="shared" si="7"/>
        <v>1.6670459852800001</v>
      </c>
      <c r="AP47" s="9"/>
      <c r="AQ47" s="22">
        <v>1.3136300000000001</v>
      </c>
      <c r="AR47" s="22">
        <v>244.809</v>
      </c>
      <c r="AS47" s="22">
        <v>-1.79565E-2</v>
      </c>
      <c r="AT47" s="22">
        <v>37</v>
      </c>
      <c r="AU47" s="22">
        <v>1.31287</v>
      </c>
      <c r="AV47">
        <f t="shared" si="8"/>
        <v>17.956500000000002</v>
      </c>
      <c r="AW47">
        <f t="shared" si="9"/>
        <v>23.588197095000005</v>
      </c>
      <c r="AX47" s="9"/>
      <c r="AY47" s="22">
        <v>8.6364700000000003E-2</v>
      </c>
      <c r="AZ47" s="22">
        <v>293.71100000000001</v>
      </c>
      <c r="BA47" s="22">
        <v>-1.9308499999999999E-2</v>
      </c>
      <c r="BB47" s="22">
        <v>37</v>
      </c>
      <c r="BC47" s="22">
        <v>8.5723900000000006E-2</v>
      </c>
      <c r="BD47">
        <f t="shared" si="10"/>
        <v>19.308499999999999</v>
      </c>
      <c r="BE47">
        <f t="shared" si="11"/>
        <v>1.66757280995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1.3085899999999999</v>
      </c>
      <c r="H48" s="22">
        <v>49.4818</v>
      </c>
      <c r="I48" s="22">
        <v>-1.7919899999999999E-2</v>
      </c>
      <c r="J48" s="22">
        <v>38</v>
      </c>
      <c r="K48" s="22">
        <v>1.30829</v>
      </c>
      <c r="L48">
        <f t="shared" si="0"/>
        <v>17.919899999999998</v>
      </c>
      <c r="M48">
        <f t="shared" si="1"/>
        <v>23.449801940999997</v>
      </c>
      <c r="N48" s="9"/>
      <c r="O48" s="22">
        <v>9.1400099999999998E-2</v>
      </c>
      <c r="P48" s="22">
        <v>98.308199999999999</v>
      </c>
      <c r="Q48" s="22">
        <v>-1.9314600000000001E-2</v>
      </c>
      <c r="R48" s="22">
        <v>38</v>
      </c>
      <c r="S48" s="22">
        <v>9.0820300000000007E-2</v>
      </c>
      <c r="T48">
        <f t="shared" si="2"/>
        <v>19.314600000000002</v>
      </c>
      <c r="U48">
        <f t="shared" si="3"/>
        <v>1.7653563714600002</v>
      </c>
      <c r="X48" s="9"/>
      <c r="Y48" s="22">
        <v>1.3085899999999999</v>
      </c>
      <c r="Z48" s="22">
        <v>147.25200000000001</v>
      </c>
      <c r="AA48" s="22">
        <v>-1.7962599999999999E-2</v>
      </c>
      <c r="AB48" s="22">
        <v>38</v>
      </c>
      <c r="AC48" s="22">
        <v>1.30768</v>
      </c>
      <c r="AD48">
        <f t="shared" si="4"/>
        <v>17.962599999999998</v>
      </c>
      <c r="AE48">
        <f t="shared" si="5"/>
        <v>23.505678733999996</v>
      </c>
      <c r="AF48" s="9"/>
      <c r="AG48" s="22">
        <v>9.1400099999999998E-2</v>
      </c>
      <c r="AH48" s="22">
        <v>196.05</v>
      </c>
      <c r="AI48" s="22">
        <v>-1.9299299999999998E-2</v>
      </c>
      <c r="AJ48" s="22">
        <v>38</v>
      </c>
      <c r="AK48" s="22">
        <v>9.0545700000000007E-2</v>
      </c>
      <c r="AL48">
        <f t="shared" si="6"/>
        <v>19.299299999999999</v>
      </c>
      <c r="AM48">
        <f t="shared" si="7"/>
        <v>1.7639579499299998</v>
      </c>
      <c r="AP48" s="9"/>
      <c r="AQ48" s="22">
        <v>1.3085899999999999</v>
      </c>
      <c r="AR48" s="22">
        <v>244.81899999999999</v>
      </c>
      <c r="AS48" s="22">
        <v>-1.7984E-2</v>
      </c>
      <c r="AT48" s="22">
        <v>38</v>
      </c>
      <c r="AU48" s="22">
        <v>1.30829</v>
      </c>
      <c r="AV48">
        <f t="shared" si="8"/>
        <v>17.984000000000002</v>
      </c>
      <c r="AW48">
        <f t="shared" si="9"/>
        <v>23.533682560000003</v>
      </c>
      <c r="AX48" s="9"/>
      <c r="AY48" s="22">
        <v>9.1400099999999998E-2</v>
      </c>
      <c r="AZ48" s="22">
        <v>293.721</v>
      </c>
      <c r="BA48" s="22">
        <v>-1.93054E-2</v>
      </c>
      <c r="BB48" s="22">
        <v>38</v>
      </c>
      <c r="BC48" s="22">
        <v>9.0972899999999995E-2</v>
      </c>
      <c r="BD48">
        <f t="shared" si="10"/>
        <v>19.305399999999999</v>
      </c>
      <c r="BE48">
        <f t="shared" si="11"/>
        <v>1.7645154905399998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1.3035600000000001</v>
      </c>
      <c r="H49" s="22">
        <v>49.491900000000001</v>
      </c>
      <c r="I49" s="22">
        <v>-1.7953500000000001E-2</v>
      </c>
      <c r="J49" s="22">
        <v>39</v>
      </c>
      <c r="K49" s="22">
        <v>1.3030999999999999</v>
      </c>
      <c r="L49">
        <f t="shared" si="0"/>
        <v>17.953500000000002</v>
      </c>
      <c r="M49">
        <f t="shared" si="1"/>
        <v>23.403464460000002</v>
      </c>
      <c r="N49" s="9"/>
      <c r="O49" s="22">
        <v>9.6435499999999993E-2</v>
      </c>
      <c r="P49" s="22">
        <v>98.318299999999994</v>
      </c>
      <c r="Q49" s="22">
        <v>-1.9308499999999999E-2</v>
      </c>
      <c r="R49" s="22">
        <v>39</v>
      </c>
      <c r="S49" s="22">
        <v>9.5916699999999994E-2</v>
      </c>
      <c r="T49">
        <f t="shared" si="2"/>
        <v>19.308499999999999</v>
      </c>
      <c r="U49">
        <f t="shared" si="3"/>
        <v>1.8620248517499998</v>
      </c>
      <c r="X49" s="9"/>
      <c r="Y49" s="22">
        <v>1.3035600000000001</v>
      </c>
      <c r="Z49" s="22">
        <v>147.262</v>
      </c>
      <c r="AA49" s="22">
        <v>-1.7987099999999999E-2</v>
      </c>
      <c r="AB49" s="22">
        <v>39</v>
      </c>
      <c r="AC49" s="22">
        <v>1.3028</v>
      </c>
      <c r="AD49">
        <f t="shared" si="4"/>
        <v>17.987099999999998</v>
      </c>
      <c r="AE49">
        <f t="shared" si="5"/>
        <v>23.447264076</v>
      </c>
      <c r="AF49" s="9"/>
      <c r="AG49" s="22">
        <v>9.6435499999999993E-2</v>
      </c>
      <c r="AH49" s="22">
        <v>196.06</v>
      </c>
      <c r="AI49" s="22">
        <v>-1.92932E-2</v>
      </c>
      <c r="AJ49" s="22">
        <v>39</v>
      </c>
      <c r="AK49" s="22">
        <v>9.5825199999999999E-2</v>
      </c>
      <c r="AL49">
        <f t="shared" si="6"/>
        <v>19.293199999999999</v>
      </c>
      <c r="AM49">
        <f t="shared" si="7"/>
        <v>1.8605493885999997</v>
      </c>
      <c r="AP49" s="9"/>
      <c r="AQ49" s="22">
        <v>1.3035600000000001</v>
      </c>
      <c r="AR49" s="22">
        <v>244.83</v>
      </c>
      <c r="AS49" s="22">
        <v>-1.8008400000000001E-2</v>
      </c>
      <c r="AT49" s="22">
        <v>39</v>
      </c>
      <c r="AU49" s="22">
        <v>1.3030999999999999</v>
      </c>
      <c r="AV49">
        <f t="shared" si="8"/>
        <v>18.008400000000002</v>
      </c>
      <c r="AW49">
        <f t="shared" si="9"/>
        <v>23.475029904000003</v>
      </c>
      <c r="AX49" s="9"/>
      <c r="AY49" s="22">
        <v>9.6435499999999993E-2</v>
      </c>
      <c r="AZ49" s="22">
        <v>293.73099999999999</v>
      </c>
      <c r="BA49" s="22">
        <v>-1.9299299999999998E-2</v>
      </c>
      <c r="BB49" s="22">
        <v>39</v>
      </c>
      <c r="BC49" s="22">
        <v>9.5794699999999997E-2</v>
      </c>
      <c r="BD49">
        <f t="shared" si="10"/>
        <v>19.299299999999999</v>
      </c>
      <c r="BE49">
        <f t="shared" si="11"/>
        <v>1.8611376451499997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1.2985199999999999</v>
      </c>
      <c r="H50" s="22">
        <v>49.502000000000002</v>
      </c>
      <c r="I50" s="22">
        <v>-1.7984E-2</v>
      </c>
      <c r="J50" s="22">
        <v>40</v>
      </c>
      <c r="K50" s="22">
        <v>1.2976099999999999</v>
      </c>
      <c r="L50">
        <f t="shared" si="0"/>
        <v>17.984000000000002</v>
      </c>
      <c r="M50">
        <f t="shared" si="1"/>
        <v>23.352583680000002</v>
      </c>
      <c r="N50" s="9"/>
      <c r="O50" s="22">
        <v>0.10147100000000001</v>
      </c>
      <c r="P50" s="22">
        <v>98.328400000000002</v>
      </c>
      <c r="Q50" s="22">
        <v>-1.93054E-2</v>
      </c>
      <c r="R50" s="22">
        <v>40</v>
      </c>
      <c r="S50" s="22">
        <v>0.1008</v>
      </c>
      <c r="T50">
        <f t="shared" si="2"/>
        <v>19.305399999999999</v>
      </c>
      <c r="U50">
        <f t="shared" si="3"/>
        <v>1.9589382434</v>
      </c>
      <c r="X50" s="9"/>
      <c r="Y50" s="22">
        <v>1.2985199999999999</v>
      </c>
      <c r="Z50" s="22">
        <v>147.27199999999999</v>
      </c>
      <c r="AA50" s="22">
        <v>-1.80115E-2</v>
      </c>
      <c r="AB50" s="22">
        <v>40</v>
      </c>
      <c r="AC50" s="22">
        <v>1.2976099999999999</v>
      </c>
      <c r="AD50">
        <f t="shared" si="4"/>
        <v>18.011499999999998</v>
      </c>
      <c r="AE50">
        <f t="shared" si="5"/>
        <v>23.388292979999996</v>
      </c>
      <c r="AF50" s="9"/>
      <c r="AG50" s="22">
        <v>0.10147100000000001</v>
      </c>
      <c r="AH50" s="22">
        <v>196.07</v>
      </c>
      <c r="AI50" s="22">
        <v>-1.92902E-2</v>
      </c>
      <c r="AJ50" s="22">
        <v>40</v>
      </c>
      <c r="AK50" s="22">
        <v>0.10119599999999999</v>
      </c>
      <c r="AL50">
        <f t="shared" si="6"/>
        <v>19.290199999999999</v>
      </c>
      <c r="AM50">
        <f t="shared" si="7"/>
        <v>1.9573958841999999</v>
      </c>
      <c r="AP50" s="9"/>
      <c r="AQ50" s="22">
        <v>1.2985199999999999</v>
      </c>
      <c r="AR50" s="22">
        <v>244.84</v>
      </c>
      <c r="AS50" s="22">
        <v>-1.80237E-2</v>
      </c>
      <c r="AT50" s="22">
        <v>40</v>
      </c>
      <c r="AU50" s="22">
        <v>1.2979099999999999</v>
      </c>
      <c r="AV50">
        <f t="shared" si="8"/>
        <v>18.023700000000002</v>
      </c>
      <c r="AW50">
        <f t="shared" si="9"/>
        <v>23.404134924000001</v>
      </c>
      <c r="AX50" s="9"/>
      <c r="AY50" s="22">
        <v>0.10147100000000001</v>
      </c>
      <c r="AZ50" s="22">
        <v>293.74099999999999</v>
      </c>
      <c r="BA50" s="22">
        <v>-1.92932E-2</v>
      </c>
      <c r="BB50" s="22">
        <v>40</v>
      </c>
      <c r="BC50" s="22">
        <v>0.10058599999999999</v>
      </c>
      <c r="BD50">
        <f t="shared" si="10"/>
        <v>19.293199999999999</v>
      </c>
      <c r="BE50">
        <f t="shared" si="11"/>
        <v>1.9577002971999999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1.29349</v>
      </c>
      <c r="H51" s="22">
        <v>49.512</v>
      </c>
      <c r="I51" s="22">
        <v>-1.80115E-2</v>
      </c>
      <c r="J51" s="22">
        <v>41</v>
      </c>
      <c r="K51" s="22">
        <v>1.2927200000000001</v>
      </c>
      <c r="L51">
        <f t="shared" si="0"/>
        <v>18.011499999999998</v>
      </c>
      <c r="M51">
        <f t="shared" si="1"/>
        <v>23.297695134999998</v>
      </c>
      <c r="N51" s="9"/>
      <c r="O51" s="22">
        <v>0.106506</v>
      </c>
      <c r="P51" s="22">
        <v>98.338499999999996</v>
      </c>
      <c r="Q51" s="22">
        <v>-1.9302400000000001E-2</v>
      </c>
      <c r="R51" s="22">
        <v>41</v>
      </c>
      <c r="S51" s="22">
        <v>0.105804</v>
      </c>
      <c r="T51">
        <f t="shared" si="2"/>
        <v>19.302400000000002</v>
      </c>
      <c r="U51">
        <f t="shared" si="3"/>
        <v>2.0558214144000004</v>
      </c>
      <c r="X51" s="9"/>
      <c r="Y51" s="22">
        <v>1.29349</v>
      </c>
      <c r="Z51" s="22">
        <v>147.28200000000001</v>
      </c>
      <c r="AA51" s="22">
        <v>-1.8032800000000002E-2</v>
      </c>
      <c r="AB51" s="22">
        <v>41</v>
      </c>
      <c r="AC51" s="22">
        <v>1.2927200000000001</v>
      </c>
      <c r="AD51">
        <f t="shared" si="4"/>
        <v>18.032800000000002</v>
      </c>
      <c r="AE51">
        <f t="shared" si="5"/>
        <v>23.325246472000003</v>
      </c>
      <c r="AF51" s="9"/>
      <c r="AG51" s="22">
        <v>0.106506</v>
      </c>
      <c r="AH51" s="22">
        <v>196.08</v>
      </c>
      <c r="AI51" s="22">
        <v>-1.9287100000000001E-2</v>
      </c>
      <c r="AJ51" s="22">
        <v>41</v>
      </c>
      <c r="AK51" s="22">
        <v>0.105957</v>
      </c>
      <c r="AL51">
        <f t="shared" si="6"/>
        <v>19.287100000000002</v>
      </c>
      <c r="AM51">
        <f t="shared" si="7"/>
        <v>2.0541918726000001</v>
      </c>
      <c r="AP51" s="9"/>
      <c r="AQ51" s="22">
        <v>1.29349</v>
      </c>
      <c r="AR51" s="22">
        <v>244.85</v>
      </c>
      <c r="AS51" s="22">
        <v>-1.80389E-2</v>
      </c>
      <c r="AT51" s="22">
        <v>41</v>
      </c>
      <c r="AU51" s="22">
        <v>1.2930299999999999</v>
      </c>
      <c r="AV51">
        <f t="shared" si="8"/>
        <v>18.038900000000002</v>
      </c>
      <c r="AW51">
        <f t="shared" si="9"/>
        <v>23.333136761000002</v>
      </c>
      <c r="AX51" s="9"/>
      <c r="AY51" s="22">
        <v>0.106506</v>
      </c>
      <c r="AZ51" s="22">
        <v>293.75099999999998</v>
      </c>
      <c r="BA51" s="22">
        <v>-1.9287100000000001E-2</v>
      </c>
      <c r="BB51" s="22">
        <v>41</v>
      </c>
      <c r="BC51" s="22">
        <v>0.105713</v>
      </c>
      <c r="BD51">
        <f t="shared" si="10"/>
        <v>19.287100000000002</v>
      </c>
      <c r="BE51">
        <f t="shared" si="11"/>
        <v>2.0541918726000001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1.2884500000000001</v>
      </c>
      <c r="H52" s="22">
        <v>49.522100000000002</v>
      </c>
      <c r="I52" s="22">
        <v>-1.8032800000000002E-2</v>
      </c>
      <c r="J52" s="22">
        <v>42</v>
      </c>
      <c r="K52" s="22">
        <v>1.2884500000000001</v>
      </c>
      <c r="L52">
        <f t="shared" si="0"/>
        <v>18.032800000000002</v>
      </c>
      <c r="M52">
        <f t="shared" si="1"/>
        <v>23.234361160000002</v>
      </c>
      <c r="N52" s="9"/>
      <c r="O52" s="22">
        <v>0.111542</v>
      </c>
      <c r="P52" s="22">
        <v>98.348500000000001</v>
      </c>
      <c r="Q52" s="22">
        <v>-1.9296299999999999E-2</v>
      </c>
      <c r="R52" s="22">
        <v>42</v>
      </c>
      <c r="S52" s="22">
        <v>0.110809</v>
      </c>
      <c r="T52">
        <f t="shared" si="2"/>
        <v>19.296299999999999</v>
      </c>
      <c r="U52">
        <f t="shared" si="3"/>
        <v>2.1523478946000001</v>
      </c>
      <c r="X52" s="9"/>
      <c r="Y52" s="22">
        <v>1.2884500000000001</v>
      </c>
      <c r="Z52" s="22">
        <v>147.292</v>
      </c>
      <c r="AA52" s="22">
        <v>-1.8044999999999999E-2</v>
      </c>
      <c r="AB52" s="22">
        <v>42</v>
      </c>
      <c r="AC52" s="22">
        <v>1.2875399999999999</v>
      </c>
      <c r="AD52">
        <f t="shared" si="4"/>
        <v>18.044999999999998</v>
      </c>
      <c r="AE52">
        <f t="shared" si="5"/>
        <v>23.25008025</v>
      </c>
      <c r="AF52" s="9"/>
      <c r="AG52" s="22">
        <v>0.111542</v>
      </c>
      <c r="AH52" s="22">
        <v>196.09</v>
      </c>
      <c r="AI52" s="22">
        <v>-1.9284099999999998E-2</v>
      </c>
      <c r="AJ52" s="22">
        <v>42</v>
      </c>
      <c r="AK52" s="22">
        <v>0.11096200000000001</v>
      </c>
      <c r="AL52">
        <f t="shared" si="6"/>
        <v>19.284099999999999</v>
      </c>
      <c r="AM52">
        <f t="shared" si="7"/>
        <v>2.1509870821999999</v>
      </c>
      <c r="AP52" s="9"/>
      <c r="AQ52" s="22">
        <v>1.2884500000000001</v>
      </c>
      <c r="AR52" s="22">
        <v>244.86</v>
      </c>
      <c r="AS52" s="22">
        <v>-1.8054199999999999E-2</v>
      </c>
      <c r="AT52" s="22">
        <v>42</v>
      </c>
      <c r="AU52" s="22">
        <v>1.2875399999999999</v>
      </c>
      <c r="AV52">
        <f t="shared" si="8"/>
        <v>18.054199999999998</v>
      </c>
      <c r="AW52">
        <f t="shared" si="9"/>
        <v>23.261933989999999</v>
      </c>
      <c r="AX52" s="9"/>
      <c r="AY52" s="22">
        <v>0.111542</v>
      </c>
      <c r="AZ52" s="22">
        <v>293.76100000000002</v>
      </c>
      <c r="BA52" s="22">
        <v>-1.9281E-2</v>
      </c>
      <c r="BB52" s="22">
        <v>42</v>
      </c>
      <c r="BC52" s="22">
        <v>0.110718</v>
      </c>
      <c r="BD52">
        <f t="shared" si="10"/>
        <v>19.280999999999999</v>
      </c>
      <c r="BE52">
        <f t="shared" si="11"/>
        <v>2.1506413019999999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1.28342</v>
      </c>
      <c r="H53" s="22">
        <v>49.532200000000003</v>
      </c>
      <c r="I53" s="22">
        <v>-1.80511E-2</v>
      </c>
      <c r="J53" s="22">
        <v>43</v>
      </c>
      <c r="K53" s="22">
        <v>1.2826500000000001</v>
      </c>
      <c r="L53">
        <f t="shared" si="0"/>
        <v>18.051100000000002</v>
      </c>
      <c r="M53">
        <f t="shared" si="1"/>
        <v>23.167142762000001</v>
      </c>
      <c r="N53" s="9"/>
      <c r="O53" s="22">
        <v>0.116577</v>
      </c>
      <c r="P53" s="22">
        <v>98.358599999999996</v>
      </c>
      <c r="Q53" s="22">
        <v>-1.9296299999999999E-2</v>
      </c>
      <c r="R53" s="22">
        <v>43</v>
      </c>
      <c r="S53" s="22">
        <v>0.11587500000000001</v>
      </c>
      <c r="T53">
        <f t="shared" si="2"/>
        <v>19.296299999999999</v>
      </c>
      <c r="U53">
        <f t="shared" si="3"/>
        <v>2.2495047650999997</v>
      </c>
      <c r="X53" s="9"/>
      <c r="Y53" s="22">
        <v>1.28342</v>
      </c>
      <c r="Z53" s="22">
        <v>147.30199999999999</v>
      </c>
      <c r="AA53" s="22">
        <v>-1.80634E-2</v>
      </c>
      <c r="AB53" s="22">
        <v>43</v>
      </c>
      <c r="AC53" s="22">
        <v>1.2829600000000001</v>
      </c>
      <c r="AD53">
        <f t="shared" si="4"/>
        <v>18.063400000000001</v>
      </c>
      <c r="AE53">
        <f t="shared" si="5"/>
        <v>23.182928828000001</v>
      </c>
      <c r="AF53" s="9"/>
      <c r="AG53" s="22">
        <v>0.116577</v>
      </c>
      <c r="AH53" s="22">
        <v>196.1</v>
      </c>
      <c r="AI53" s="22">
        <v>-1.9281E-2</v>
      </c>
      <c r="AJ53" s="22">
        <v>43</v>
      </c>
      <c r="AK53" s="22">
        <v>0.11605799999999999</v>
      </c>
      <c r="AL53">
        <f t="shared" si="6"/>
        <v>19.280999999999999</v>
      </c>
      <c r="AM53">
        <f t="shared" si="7"/>
        <v>2.2477211369999996</v>
      </c>
      <c r="AP53" s="9"/>
      <c r="AQ53" s="22">
        <v>1.28342</v>
      </c>
      <c r="AR53" s="22">
        <v>244.87</v>
      </c>
      <c r="AS53" s="22">
        <v>-1.8069499999999999E-2</v>
      </c>
      <c r="AT53" s="22">
        <v>43</v>
      </c>
      <c r="AU53" s="22">
        <v>1.2823500000000001</v>
      </c>
      <c r="AV53">
        <f t="shared" si="8"/>
        <v>18.069499999999998</v>
      </c>
      <c r="AW53">
        <f t="shared" si="9"/>
        <v>23.190757689999998</v>
      </c>
      <c r="AX53" s="9"/>
      <c r="AY53" s="22">
        <v>0.116577</v>
      </c>
      <c r="AZ53" s="22">
        <v>293.77100000000002</v>
      </c>
      <c r="BA53" s="22">
        <v>-1.9274900000000001E-2</v>
      </c>
      <c r="BB53" s="22">
        <v>43</v>
      </c>
      <c r="BC53" s="22">
        <v>0.115967</v>
      </c>
      <c r="BD53">
        <f t="shared" si="10"/>
        <v>19.274900000000002</v>
      </c>
      <c r="BE53">
        <f t="shared" si="11"/>
        <v>2.2470100173000005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1.2783800000000001</v>
      </c>
      <c r="H54" s="22">
        <v>49.542299999999997</v>
      </c>
      <c r="I54" s="22">
        <v>-1.8072499999999998E-2</v>
      </c>
      <c r="J54" s="22">
        <v>44</v>
      </c>
      <c r="K54" s="22">
        <v>1.2774700000000001</v>
      </c>
      <c r="L54">
        <f t="shared" si="0"/>
        <v>18.072499999999998</v>
      </c>
      <c r="M54">
        <f t="shared" si="1"/>
        <v>23.103522549999997</v>
      </c>
      <c r="N54" s="9"/>
      <c r="O54" s="22">
        <v>0.121613</v>
      </c>
      <c r="P54" s="22">
        <v>98.368700000000004</v>
      </c>
      <c r="Q54" s="22">
        <v>-1.92902E-2</v>
      </c>
      <c r="R54" s="22">
        <v>44</v>
      </c>
      <c r="S54" s="22">
        <v>0.121124</v>
      </c>
      <c r="T54">
        <f t="shared" si="2"/>
        <v>19.290199999999999</v>
      </c>
      <c r="U54">
        <f t="shared" si="3"/>
        <v>2.3459390925999997</v>
      </c>
      <c r="X54" s="9"/>
      <c r="Y54" s="22">
        <v>1.2783800000000001</v>
      </c>
      <c r="Z54" s="22">
        <v>147.31200000000001</v>
      </c>
      <c r="AA54" s="22">
        <v>-1.80786E-2</v>
      </c>
      <c r="AB54" s="22">
        <v>44</v>
      </c>
      <c r="AC54" s="22">
        <v>1.2774700000000001</v>
      </c>
      <c r="AD54">
        <f t="shared" si="4"/>
        <v>18.078600000000002</v>
      </c>
      <c r="AE54">
        <f t="shared" si="5"/>
        <v>23.111320668000005</v>
      </c>
      <c r="AF54" s="9"/>
      <c r="AG54" s="22">
        <v>0.121613</v>
      </c>
      <c r="AH54" s="22">
        <v>196.11099999999999</v>
      </c>
      <c r="AI54" s="22">
        <v>-1.9278E-2</v>
      </c>
      <c r="AJ54" s="22">
        <v>44</v>
      </c>
      <c r="AK54" s="22">
        <v>0.121033</v>
      </c>
      <c r="AL54">
        <f t="shared" si="6"/>
        <v>19.277999999999999</v>
      </c>
      <c r="AM54">
        <f t="shared" si="7"/>
        <v>2.344455414</v>
      </c>
      <c r="AP54" s="9"/>
      <c r="AQ54" s="22">
        <v>1.2783800000000001</v>
      </c>
      <c r="AR54" s="22">
        <v>244.88</v>
      </c>
      <c r="AS54" s="22">
        <v>-1.8081699999999999E-2</v>
      </c>
      <c r="AT54" s="22">
        <v>44</v>
      </c>
      <c r="AU54" s="22">
        <v>1.2777700000000001</v>
      </c>
      <c r="AV54">
        <f t="shared" si="8"/>
        <v>18.081699999999998</v>
      </c>
      <c r="AW54">
        <f t="shared" si="9"/>
        <v>23.115283645999998</v>
      </c>
      <c r="AX54" s="9"/>
      <c r="AY54" s="22">
        <v>0.121613</v>
      </c>
      <c r="AZ54" s="22">
        <v>293.78100000000001</v>
      </c>
      <c r="BA54" s="22">
        <v>-1.9268799999999999E-2</v>
      </c>
      <c r="BB54" s="22">
        <v>44</v>
      </c>
      <c r="BC54" s="22">
        <v>0.121216</v>
      </c>
      <c r="BD54">
        <f t="shared" si="10"/>
        <v>19.268799999999999</v>
      </c>
      <c r="BE54">
        <f t="shared" si="11"/>
        <v>2.3433365743999999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1.27335</v>
      </c>
      <c r="H55" s="22">
        <v>49.552300000000002</v>
      </c>
      <c r="I55" s="22">
        <v>-1.8084699999999999E-2</v>
      </c>
      <c r="J55" s="22">
        <v>45</v>
      </c>
      <c r="K55" s="22">
        <v>1.27258</v>
      </c>
      <c r="L55">
        <f t="shared" si="0"/>
        <v>18.084699999999998</v>
      </c>
      <c r="M55">
        <f t="shared" si="1"/>
        <v>23.028152744999996</v>
      </c>
      <c r="N55" s="9"/>
      <c r="O55" s="22">
        <v>0.12664800000000001</v>
      </c>
      <c r="P55" s="22">
        <v>98.378699999999995</v>
      </c>
      <c r="Q55" s="22">
        <v>-1.9287100000000001E-2</v>
      </c>
      <c r="R55" s="22">
        <v>45</v>
      </c>
      <c r="S55" s="22">
        <v>0.126251</v>
      </c>
      <c r="T55">
        <f t="shared" si="2"/>
        <v>19.287100000000002</v>
      </c>
      <c r="U55">
        <f t="shared" si="3"/>
        <v>2.4426726408000006</v>
      </c>
      <c r="X55" s="9"/>
      <c r="Y55" s="22">
        <v>1.27335</v>
      </c>
      <c r="Z55" s="22">
        <v>147.322</v>
      </c>
      <c r="AA55" s="22">
        <v>-1.80939E-2</v>
      </c>
      <c r="AB55" s="22">
        <v>45</v>
      </c>
      <c r="AC55" s="22">
        <v>1.2728900000000001</v>
      </c>
      <c r="AD55">
        <f t="shared" si="4"/>
        <v>18.093899999999998</v>
      </c>
      <c r="AE55">
        <f t="shared" si="5"/>
        <v>23.039867564999998</v>
      </c>
      <c r="AF55" s="9"/>
      <c r="AG55" s="22">
        <v>0.12664800000000001</v>
      </c>
      <c r="AH55" s="22">
        <v>196.12100000000001</v>
      </c>
      <c r="AI55" s="22">
        <v>-1.9274900000000001E-2</v>
      </c>
      <c r="AJ55" s="22">
        <v>45</v>
      </c>
      <c r="AK55" s="22">
        <v>0.12579299999999999</v>
      </c>
      <c r="AL55">
        <f t="shared" si="6"/>
        <v>19.274900000000002</v>
      </c>
      <c r="AM55">
        <f t="shared" si="7"/>
        <v>2.4411275352000006</v>
      </c>
      <c r="AP55" s="9"/>
      <c r="AQ55" s="22">
        <v>1.27335</v>
      </c>
      <c r="AR55" s="22">
        <v>244.89</v>
      </c>
      <c r="AS55" s="22">
        <v>-1.8096899999999999E-2</v>
      </c>
      <c r="AT55" s="22">
        <v>45</v>
      </c>
      <c r="AU55" s="22">
        <v>1.27258</v>
      </c>
      <c r="AV55">
        <f t="shared" si="8"/>
        <v>18.096899999999998</v>
      </c>
      <c r="AW55">
        <f t="shared" si="9"/>
        <v>23.043687614999996</v>
      </c>
      <c r="AX55" s="9"/>
      <c r="AY55" s="22">
        <v>0.12664800000000001</v>
      </c>
      <c r="AZ55" s="22">
        <v>293.791</v>
      </c>
      <c r="BA55" s="22">
        <v>-1.92657E-2</v>
      </c>
      <c r="BB55" s="22">
        <v>45</v>
      </c>
      <c r="BC55" s="22">
        <v>0.12609899999999999</v>
      </c>
      <c r="BD55">
        <f t="shared" si="10"/>
        <v>19.265699999999999</v>
      </c>
      <c r="BE55">
        <f t="shared" si="11"/>
        <v>2.4399623736000002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1.26831</v>
      </c>
      <c r="H56" s="22">
        <v>49.562399999999997</v>
      </c>
      <c r="I56" s="22">
        <v>-1.8103000000000001E-2</v>
      </c>
      <c r="J56" s="22">
        <v>46</v>
      </c>
      <c r="K56" s="22">
        <v>1.2674000000000001</v>
      </c>
      <c r="L56">
        <f t="shared" si="0"/>
        <v>18.103000000000002</v>
      </c>
      <c r="M56">
        <f t="shared" si="1"/>
        <v>22.960215930000004</v>
      </c>
      <c r="N56" s="9"/>
      <c r="O56" s="22">
        <v>0.13168299999999999</v>
      </c>
      <c r="P56" s="22">
        <v>98.388800000000003</v>
      </c>
      <c r="Q56" s="22">
        <v>-1.9281E-2</v>
      </c>
      <c r="R56" s="22">
        <v>46</v>
      </c>
      <c r="S56" s="22">
        <v>0.131073</v>
      </c>
      <c r="T56">
        <f t="shared" si="2"/>
        <v>19.280999999999999</v>
      </c>
      <c r="U56">
        <f t="shared" si="3"/>
        <v>2.5389799229999999</v>
      </c>
      <c r="X56" s="9"/>
      <c r="Y56" s="22">
        <v>1.26831</v>
      </c>
      <c r="Z56" s="22">
        <v>147.33199999999999</v>
      </c>
      <c r="AA56" s="22">
        <v>-1.8103000000000001E-2</v>
      </c>
      <c r="AB56" s="22">
        <v>46</v>
      </c>
      <c r="AC56" s="22">
        <v>1.26709</v>
      </c>
      <c r="AD56">
        <f t="shared" si="4"/>
        <v>18.103000000000002</v>
      </c>
      <c r="AE56">
        <f t="shared" si="5"/>
        <v>22.960215930000004</v>
      </c>
      <c r="AF56" s="9"/>
      <c r="AG56" s="22">
        <v>0.13168299999999999</v>
      </c>
      <c r="AH56" s="22">
        <v>196.131</v>
      </c>
      <c r="AI56" s="22">
        <v>-1.92657E-2</v>
      </c>
      <c r="AJ56" s="22">
        <v>46</v>
      </c>
      <c r="AK56" s="22">
        <v>0.131165</v>
      </c>
      <c r="AL56">
        <f t="shared" si="6"/>
        <v>19.265699999999999</v>
      </c>
      <c r="AM56">
        <f t="shared" si="7"/>
        <v>2.5369651730999996</v>
      </c>
      <c r="AP56" s="9"/>
      <c r="AQ56" s="22">
        <v>1.26831</v>
      </c>
      <c r="AR56" s="22">
        <v>244.9</v>
      </c>
      <c r="AS56" s="22">
        <v>-1.81091E-2</v>
      </c>
      <c r="AT56" s="22">
        <v>46</v>
      </c>
      <c r="AU56" s="22">
        <v>1.2677</v>
      </c>
      <c r="AV56">
        <f t="shared" si="8"/>
        <v>18.109099999999998</v>
      </c>
      <c r="AW56">
        <f t="shared" si="9"/>
        <v>22.967952620999998</v>
      </c>
      <c r="AX56" s="9"/>
      <c r="AY56" s="22">
        <v>0.13168299999999999</v>
      </c>
      <c r="AZ56" s="22">
        <v>293.80200000000002</v>
      </c>
      <c r="BA56" s="22">
        <v>-1.9259600000000002E-2</v>
      </c>
      <c r="BB56" s="22">
        <v>46</v>
      </c>
      <c r="BC56" s="22">
        <v>0.13119500000000001</v>
      </c>
      <c r="BD56">
        <f t="shared" si="10"/>
        <v>19.259600000000002</v>
      </c>
      <c r="BE56">
        <f t="shared" si="11"/>
        <v>2.5361619068000003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1.26328</v>
      </c>
      <c r="H57" s="22">
        <v>49.572499999999998</v>
      </c>
      <c r="I57" s="22">
        <v>-1.8115200000000001E-2</v>
      </c>
      <c r="J57" s="22">
        <v>47</v>
      </c>
      <c r="K57" s="22">
        <v>1.2622100000000001</v>
      </c>
      <c r="L57">
        <f t="shared" si="0"/>
        <v>18.115200000000002</v>
      </c>
      <c r="M57">
        <f t="shared" si="1"/>
        <v>22.884569856000002</v>
      </c>
      <c r="N57" s="9"/>
      <c r="O57" s="22">
        <v>0.13671900000000001</v>
      </c>
      <c r="P57" s="22">
        <v>98.398899999999998</v>
      </c>
      <c r="Q57" s="22">
        <v>-1.9274900000000001E-2</v>
      </c>
      <c r="R57" s="22">
        <v>47</v>
      </c>
      <c r="S57" s="22">
        <v>0.13616900000000001</v>
      </c>
      <c r="T57">
        <f t="shared" si="2"/>
        <v>19.274900000000002</v>
      </c>
      <c r="U57">
        <f t="shared" si="3"/>
        <v>2.6352450531000007</v>
      </c>
      <c r="X57" s="9"/>
      <c r="Y57" s="22">
        <v>1.26328</v>
      </c>
      <c r="Z57" s="22">
        <v>147.34200000000001</v>
      </c>
      <c r="AA57" s="22">
        <v>-1.81183E-2</v>
      </c>
      <c r="AB57" s="22">
        <v>47</v>
      </c>
      <c r="AC57" s="22">
        <v>1.2628200000000001</v>
      </c>
      <c r="AD57">
        <f t="shared" si="4"/>
        <v>18.118300000000001</v>
      </c>
      <c r="AE57">
        <f t="shared" si="5"/>
        <v>22.888486024000002</v>
      </c>
      <c r="AF57" s="9"/>
      <c r="AG57" s="22">
        <v>0.13671900000000001</v>
      </c>
      <c r="AH57" s="22">
        <v>196.14099999999999</v>
      </c>
      <c r="AI57" s="22">
        <v>-1.9259600000000002E-2</v>
      </c>
      <c r="AJ57" s="22">
        <v>47</v>
      </c>
      <c r="AK57" s="22">
        <v>0.136383</v>
      </c>
      <c r="AL57">
        <f t="shared" si="6"/>
        <v>19.259600000000002</v>
      </c>
      <c r="AM57">
        <f t="shared" si="7"/>
        <v>2.6331532524000005</v>
      </c>
      <c r="AP57" s="9"/>
      <c r="AQ57" s="22">
        <v>1.26328</v>
      </c>
      <c r="AR57" s="22">
        <v>244.91</v>
      </c>
      <c r="AS57" s="22">
        <v>-1.81183E-2</v>
      </c>
      <c r="AT57" s="22">
        <v>47</v>
      </c>
      <c r="AU57" s="22">
        <v>1.2634300000000001</v>
      </c>
      <c r="AV57">
        <f t="shared" si="8"/>
        <v>18.118300000000001</v>
      </c>
      <c r="AW57">
        <f t="shared" si="9"/>
        <v>22.888486024000002</v>
      </c>
      <c r="AX57" s="9"/>
      <c r="AY57" s="22">
        <v>0.13671900000000001</v>
      </c>
      <c r="AZ57" s="22">
        <v>293.81200000000001</v>
      </c>
      <c r="BA57" s="22">
        <v>-1.9256599999999999E-2</v>
      </c>
      <c r="BB57" s="22">
        <v>47</v>
      </c>
      <c r="BC57" s="22">
        <v>0.13622999999999999</v>
      </c>
      <c r="BD57">
        <f t="shared" si="10"/>
        <v>19.256599999999999</v>
      </c>
      <c r="BE57">
        <f t="shared" si="11"/>
        <v>2.6327430954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1.25824</v>
      </c>
      <c r="H58" s="22">
        <v>49.582500000000003</v>
      </c>
      <c r="I58" s="22">
        <v>-1.8124399999999999E-2</v>
      </c>
      <c r="J58" s="22">
        <v>48</v>
      </c>
      <c r="K58" s="22">
        <v>1.25763</v>
      </c>
      <c r="L58">
        <f t="shared" si="0"/>
        <v>18.124399999999998</v>
      </c>
      <c r="M58">
        <f t="shared" si="1"/>
        <v>22.804845055999998</v>
      </c>
      <c r="N58" s="9"/>
      <c r="O58" s="22">
        <v>0.14175399999999999</v>
      </c>
      <c r="P58" s="22">
        <v>98.409000000000006</v>
      </c>
      <c r="Q58" s="22">
        <v>-1.9268799999999999E-2</v>
      </c>
      <c r="R58" s="22">
        <v>48</v>
      </c>
      <c r="S58" s="22">
        <v>0.14108299999999999</v>
      </c>
      <c r="T58">
        <f t="shared" si="2"/>
        <v>19.268799999999999</v>
      </c>
      <c r="U58">
        <f t="shared" si="3"/>
        <v>2.7314294751999997</v>
      </c>
      <c r="X58" s="9"/>
      <c r="Y58" s="22">
        <v>1.25824</v>
      </c>
      <c r="Z58" s="22">
        <v>147.352</v>
      </c>
      <c r="AA58" s="22">
        <v>-1.8130500000000001E-2</v>
      </c>
      <c r="AB58" s="22">
        <v>48</v>
      </c>
      <c r="AC58" s="22">
        <v>1.25763</v>
      </c>
      <c r="AD58">
        <f t="shared" si="4"/>
        <v>18.130500000000001</v>
      </c>
      <c r="AE58">
        <f t="shared" si="5"/>
        <v>22.812520320000001</v>
      </c>
      <c r="AF58" s="9"/>
      <c r="AG58" s="22">
        <v>0.14175399999999999</v>
      </c>
      <c r="AH58" s="22">
        <v>196.15100000000001</v>
      </c>
      <c r="AI58" s="22">
        <v>-1.92535E-2</v>
      </c>
      <c r="AJ58" s="22">
        <v>48</v>
      </c>
      <c r="AK58" s="22">
        <v>0.141266</v>
      </c>
      <c r="AL58">
        <f t="shared" si="6"/>
        <v>19.253499999999999</v>
      </c>
      <c r="AM58">
        <f t="shared" si="7"/>
        <v>2.7292606389999996</v>
      </c>
      <c r="AP58" s="9"/>
      <c r="AQ58" s="22">
        <v>1.25824</v>
      </c>
      <c r="AR58" s="22">
        <v>244.92</v>
      </c>
      <c r="AS58" s="22">
        <v>-1.8127399999999998E-2</v>
      </c>
      <c r="AT58" s="22">
        <v>48</v>
      </c>
      <c r="AU58" s="22">
        <v>1.25702</v>
      </c>
      <c r="AV58">
        <f t="shared" si="8"/>
        <v>18.127399999999998</v>
      </c>
      <c r="AW58">
        <f t="shared" si="9"/>
        <v>22.808619775999997</v>
      </c>
      <c r="AX58" s="9"/>
      <c r="AY58" s="22">
        <v>0.14175399999999999</v>
      </c>
      <c r="AZ58" s="22">
        <v>293.822</v>
      </c>
      <c r="BA58" s="22">
        <v>-1.92535E-2</v>
      </c>
      <c r="BB58" s="22">
        <v>48</v>
      </c>
      <c r="BC58" s="22">
        <v>0.14114399999999999</v>
      </c>
      <c r="BD58">
        <f t="shared" si="10"/>
        <v>19.253499999999999</v>
      </c>
      <c r="BE58">
        <f t="shared" si="11"/>
        <v>2.7292606389999996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1.2532000000000001</v>
      </c>
      <c r="H59" s="22">
        <v>49.592599999999997</v>
      </c>
      <c r="I59" s="22">
        <v>-1.8136599999999999E-2</v>
      </c>
      <c r="J59" s="22">
        <v>49</v>
      </c>
      <c r="K59" s="22">
        <v>1.25244</v>
      </c>
      <c r="L59">
        <f t="shared" si="0"/>
        <v>18.136599999999998</v>
      </c>
      <c r="M59">
        <f t="shared" si="1"/>
        <v>22.72878712</v>
      </c>
      <c r="N59" s="9"/>
      <c r="O59" s="22">
        <v>0.14679</v>
      </c>
      <c r="P59" s="22">
        <v>98.418999999999997</v>
      </c>
      <c r="Q59" s="22">
        <v>-1.92657E-2</v>
      </c>
      <c r="R59" s="22">
        <v>49</v>
      </c>
      <c r="S59" s="22">
        <v>0.146118</v>
      </c>
      <c r="T59">
        <f t="shared" si="2"/>
        <v>19.265699999999999</v>
      </c>
      <c r="U59">
        <f t="shared" si="3"/>
        <v>2.8280121029999998</v>
      </c>
      <c r="X59" s="9"/>
      <c r="Y59" s="22">
        <v>1.2532000000000001</v>
      </c>
      <c r="Z59" s="22">
        <v>147.36199999999999</v>
      </c>
      <c r="AA59" s="22">
        <v>-1.8136599999999999E-2</v>
      </c>
      <c r="AB59" s="22">
        <v>49</v>
      </c>
      <c r="AC59" s="22">
        <v>1.25275</v>
      </c>
      <c r="AD59">
        <f t="shared" si="4"/>
        <v>18.136599999999998</v>
      </c>
      <c r="AE59">
        <f t="shared" si="5"/>
        <v>22.72878712</v>
      </c>
      <c r="AF59" s="9"/>
      <c r="AG59" s="22">
        <v>0.14679</v>
      </c>
      <c r="AH59" s="22">
        <v>196.161</v>
      </c>
      <c r="AI59" s="22">
        <v>-1.92505E-2</v>
      </c>
      <c r="AJ59" s="22">
        <v>49</v>
      </c>
      <c r="AK59" s="22">
        <v>0.14630099999999999</v>
      </c>
      <c r="AL59">
        <f t="shared" si="6"/>
        <v>19.250499999999999</v>
      </c>
      <c r="AM59">
        <f t="shared" si="7"/>
        <v>2.8257808949999998</v>
      </c>
      <c r="AP59" s="9"/>
      <c r="AQ59" s="22">
        <v>1.2532000000000001</v>
      </c>
      <c r="AR59" s="22">
        <v>244.93</v>
      </c>
      <c r="AS59" s="22">
        <v>-1.8136599999999999E-2</v>
      </c>
      <c r="AT59" s="22">
        <v>49</v>
      </c>
      <c r="AU59" s="22">
        <v>1.25244</v>
      </c>
      <c r="AV59">
        <f t="shared" si="8"/>
        <v>18.136599999999998</v>
      </c>
      <c r="AW59">
        <f t="shared" si="9"/>
        <v>22.72878712</v>
      </c>
      <c r="AX59" s="9"/>
      <c r="AY59" s="22">
        <v>0.14679</v>
      </c>
      <c r="AZ59" s="22">
        <v>293.83199999999999</v>
      </c>
      <c r="BA59" s="22">
        <v>-1.92505E-2</v>
      </c>
      <c r="BB59" s="22">
        <v>49</v>
      </c>
      <c r="BC59" s="22">
        <v>0.14633199999999999</v>
      </c>
      <c r="BD59">
        <f t="shared" si="10"/>
        <v>19.250499999999999</v>
      </c>
      <c r="BE59">
        <f t="shared" si="11"/>
        <v>2.8257808949999998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1.24817</v>
      </c>
      <c r="H60" s="22">
        <v>49.602699999999999</v>
      </c>
      <c r="I60" s="22">
        <v>-1.81488E-2</v>
      </c>
      <c r="J60" s="22">
        <v>50</v>
      </c>
      <c r="K60" s="22">
        <v>1.24786</v>
      </c>
      <c r="L60">
        <f t="shared" si="0"/>
        <v>18.148800000000001</v>
      </c>
      <c r="M60">
        <f t="shared" si="1"/>
        <v>22.652787696000001</v>
      </c>
      <c r="N60" s="9"/>
      <c r="O60" s="22">
        <v>0.15182499999999999</v>
      </c>
      <c r="P60" s="22">
        <v>98.429100000000005</v>
      </c>
      <c r="Q60" s="22">
        <v>-1.9262700000000001E-2</v>
      </c>
      <c r="R60" s="22">
        <v>50</v>
      </c>
      <c r="S60" s="22">
        <v>0.15121499999999999</v>
      </c>
      <c r="T60">
        <f t="shared" si="2"/>
        <v>19.262700000000002</v>
      </c>
      <c r="U60">
        <f t="shared" si="3"/>
        <v>2.9245594275000002</v>
      </c>
      <c r="X60" s="9"/>
      <c r="Y60" s="22">
        <v>1.24817</v>
      </c>
      <c r="Z60" s="22">
        <v>147.37299999999999</v>
      </c>
      <c r="AA60" s="22">
        <v>-1.81458E-2</v>
      </c>
      <c r="AB60" s="22">
        <v>50</v>
      </c>
      <c r="AC60" s="22">
        <v>1.24756</v>
      </c>
      <c r="AD60">
        <f t="shared" si="4"/>
        <v>18.145800000000001</v>
      </c>
      <c r="AE60">
        <f t="shared" si="5"/>
        <v>22.649043186</v>
      </c>
      <c r="AF60" s="9"/>
      <c r="AG60" s="22">
        <v>0.15182499999999999</v>
      </c>
      <c r="AH60" s="22">
        <v>196.17099999999999</v>
      </c>
      <c r="AI60" s="22">
        <v>-1.92505E-2</v>
      </c>
      <c r="AJ60" s="22">
        <v>50</v>
      </c>
      <c r="AK60" s="22">
        <v>0.15115400000000001</v>
      </c>
      <c r="AL60">
        <f t="shared" si="6"/>
        <v>19.250499999999999</v>
      </c>
      <c r="AM60">
        <f t="shared" si="7"/>
        <v>2.9227071624999996</v>
      </c>
      <c r="AP60" s="9"/>
      <c r="AQ60" s="22">
        <v>1.24817</v>
      </c>
      <c r="AR60" s="22">
        <v>244.94</v>
      </c>
      <c r="AS60" s="22">
        <v>-1.8142700000000001E-2</v>
      </c>
      <c r="AT60" s="22">
        <v>50</v>
      </c>
      <c r="AU60" s="22">
        <v>1.24756</v>
      </c>
      <c r="AV60">
        <f t="shared" si="8"/>
        <v>18.142700000000001</v>
      </c>
      <c r="AW60">
        <f t="shared" si="9"/>
        <v>22.645173859000003</v>
      </c>
      <c r="AX60" s="9"/>
      <c r="AY60" s="22">
        <v>0.15182499999999999</v>
      </c>
      <c r="AZ60" s="22">
        <v>293.84199999999998</v>
      </c>
      <c r="BA60" s="22">
        <v>-1.9247400000000001E-2</v>
      </c>
      <c r="BB60" s="22">
        <v>50</v>
      </c>
      <c r="BC60" s="22">
        <v>0.15118400000000001</v>
      </c>
      <c r="BD60">
        <f t="shared" si="10"/>
        <v>19.247400000000003</v>
      </c>
      <c r="BE60">
        <f t="shared" si="11"/>
        <v>2.9222365050000003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1.2431300000000001</v>
      </c>
      <c r="H61" s="22">
        <v>49.6128</v>
      </c>
      <c r="I61" s="22">
        <v>-1.8161E-2</v>
      </c>
      <c r="J61" s="22">
        <v>51</v>
      </c>
      <c r="K61" s="22">
        <v>1.24207</v>
      </c>
      <c r="L61">
        <f t="shared" si="0"/>
        <v>18.161000000000001</v>
      </c>
      <c r="M61">
        <f t="shared" si="1"/>
        <v>22.576483930000002</v>
      </c>
      <c r="N61" s="9"/>
      <c r="O61" s="22">
        <v>0.15686</v>
      </c>
      <c r="P61" s="22">
        <v>98.4392</v>
      </c>
      <c r="Q61" s="22">
        <v>-1.9259600000000002E-2</v>
      </c>
      <c r="R61" s="22">
        <v>51</v>
      </c>
      <c r="S61" s="22">
        <v>0.155945</v>
      </c>
      <c r="T61">
        <f t="shared" si="2"/>
        <v>19.259600000000002</v>
      </c>
      <c r="U61">
        <f t="shared" si="3"/>
        <v>3.0210608560000005</v>
      </c>
      <c r="X61" s="9"/>
      <c r="Y61" s="22">
        <v>1.2431300000000001</v>
      </c>
      <c r="Z61" s="22">
        <v>147.38300000000001</v>
      </c>
      <c r="AA61" s="22">
        <v>-1.8151899999999999E-2</v>
      </c>
      <c r="AB61" s="22">
        <v>51</v>
      </c>
      <c r="AC61" s="22">
        <v>1.24207</v>
      </c>
      <c r="AD61">
        <f t="shared" si="4"/>
        <v>18.151899999999998</v>
      </c>
      <c r="AE61">
        <f t="shared" si="5"/>
        <v>22.565171446999997</v>
      </c>
      <c r="AF61" s="9"/>
      <c r="AG61" s="22">
        <v>0.15686</v>
      </c>
      <c r="AH61" s="22">
        <v>196.18100000000001</v>
      </c>
      <c r="AI61" s="22">
        <v>-1.9244399999999998E-2</v>
      </c>
      <c r="AJ61" s="22">
        <v>51</v>
      </c>
      <c r="AK61" s="22">
        <v>0.15625</v>
      </c>
      <c r="AL61">
        <f t="shared" si="6"/>
        <v>19.244399999999999</v>
      </c>
      <c r="AM61">
        <f t="shared" si="7"/>
        <v>3.0186765839999996</v>
      </c>
      <c r="AP61" s="9"/>
      <c r="AQ61" s="22">
        <v>1.2431300000000001</v>
      </c>
      <c r="AR61" s="22">
        <v>244.95</v>
      </c>
      <c r="AS61" s="22">
        <v>-1.81488E-2</v>
      </c>
      <c r="AT61" s="22">
        <v>51</v>
      </c>
      <c r="AU61" s="22">
        <v>1.24237</v>
      </c>
      <c r="AV61">
        <f t="shared" si="8"/>
        <v>18.148800000000001</v>
      </c>
      <c r="AW61">
        <f t="shared" si="9"/>
        <v>22.561317744000004</v>
      </c>
      <c r="AX61" s="9"/>
      <c r="AY61" s="22">
        <v>0.15686</v>
      </c>
      <c r="AZ61" s="22">
        <v>293.85199999999998</v>
      </c>
      <c r="BA61" s="22">
        <v>-1.9244399999999998E-2</v>
      </c>
      <c r="BB61" s="22">
        <v>51</v>
      </c>
      <c r="BC61" s="22">
        <v>0.15612799999999999</v>
      </c>
      <c r="BD61">
        <f t="shared" si="10"/>
        <v>19.244399999999999</v>
      </c>
      <c r="BE61">
        <f t="shared" si="11"/>
        <v>3.0186765839999996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1.2381</v>
      </c>
      <c r="H62" s="22">
        <v>49.622799999999998</v>
      </c>
      <c r="I62" s="22">
        <v>-1.8164099999999999E-2</v>
      </c>
      <c r="J62" s="22">
        <v>52</v>
      </c>
      <c r="K62" s="22">
        <v>1.23688</v>
      </c>
      <c r="L62">
        <f t="shared" si="0"/>
        <v>18.164099999999998</v>
      </c>
      <c r="M62">
        <f t="shared" si="1"/>
        <v>22.488972209999996</v>
      </c>
      <c r="N62" s="9"/>
      <c r="O62" s="22">
        <v>0.16189600000000001</v>
      </c>
      <c r="P62" s="22">
        <v>98.449200000000005</v>
      </c>
      <c r="Q62" s="22">
        <v>-1.92535E-2</v>
      </c>
      <c r="R62" s="22">
        <v>52</v>
      </c>
      <c r="S62" s="22">
        <v>0.16134599999999999</v>
      </c>
      <c r="T62">
        <f t="shared" si="2"/>
        <v>19.253499999999999</v>
      </c>
      <c r="U62">
        <f t="shared" si="3"/>
        <v>3.1170646360000003</v>
      </c>
      <c r="X62" s="9"/>
      <c r="Y62" s="22">
        <v>1.2381</v>
      </c>
      <c r="Z62" s="22">
        <v>147.393</v>
      </c>
      <c r="AA62" s="22">
        <v>-1.8158000000000001E-2</v>
      </c>
      <c r="AB62" s="22">
        <v>52</v>
      </c>
      <c r="AC62" s="22">
        <v>1.2371799999999999</v>
      </c>
      <c r="AD62">
        <f t="shared" si="4"/>
        <v>18.158000000000001</v>
      </c>
      <c r="AE62">
        <f t="shared" si="5"/>
        <v>22.481419800000001</v>
      </c>
      <c r="AF62" s="9"/>
      <c r="AG62" s="22">
        <v>0.16189600000000001</v>
      </c>
      <c r="AH62" s="22">
        <v>196.191</v>
      </c>
      <c r="AI62" s="22">
        <v>-1.9241299999999999E-2</v>
      </c>
      <c r="AJ62" s="22">
        <v>52</v>
      </c>
      <c r="AK62" s="22">
        <v>0.16153000000000001</v>
      </c>
      <c r="AL62">
        <f t="shared" si="6"/>
        <v>19.241299999999999</v>
      </c>
      <c r="AM62">
        <f t="shared" si="7"/>
        <v>3.1150895048000002</v>
      </c>
      <c r="AP62" s="9"/>
      <c r="AQ62" s="22">
        <v>1.2381</v>
      </c>
      <c r="AR62" s="22">
        <v>244.96</v>
      </c>
      <c r="AS62" s="22">
        <v>-1.8151899999999999E-2</v>
      </c>
      <c r="AT62" s="22">
        <v>52</v>
      </c>
      <c r="AU62" s="22">
        <v>1.23749</v>
      </c>
      <c r="AV62">
        <f t="shared" si="8"/>
        <v>18.151899999999998</v>
      </c>
      <c r="AW62">
        <f t="shared" si="9"/>
        <v>22.473867389999995</v>
      </c>
      <c r="AX62" s="9"/>
      <c r="AY62" s="22">
        <v>0.16189600000000001</v>
      </c>
      <c r="AZ62" s="22">
        <v>293.86200000000002</v>
      </c>
      <c r="BA62" s="22">
        <v>-1.92383E-2</v>
      </c>
      <c r="BB62" s="22">
        <v>52</v>
      </c>
      <c r="BC62" s="22">
        <v>0.16128500000000001</v>
      </c>
      <c r="BD62">
        <f t="shared" si="10"/>
        <v>19.238299999999999</v>
      </c>
      <c r="BE62">
        <f t="shared" si="11"/>
        <v>3.1146038167999999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1.23306</v>
      </c>
      <c r="H63" s="22">
        <v>49.632899999999999</v>
      </c>
      <c r="I63" s="22">
        <v>-1.8170200000000001E-2</v>
      </c>
      <c r="J63" s="22">
        <v>53</v>
      </c>
      <c r="K63" s="22">
        <v>1.2325999999999999</v>
      </c>
      <c r="L63">
        <f t="shared" si="0"/>
        <v>18.170200000000001</v>
      </c>
      <c r="M63">
        <f t="shared" si="1"/>
        <v>22.404946812000002</v>
      </c>
      <c r="N63" s="9"/>
      <c r="O63" s="22">
        <v>0.166931</v>
      </c>
      <c r="P63" s="22">
        <v>98.459299999999999</v>
      </c>
      <c r="Q63" s="22">
        <v>-1.92535E-2</v>
      </c>
      <c r="R63" s="22">
        <v>53</v>
      </c>
      <c r="S63" s="22">
        <v>0.16628999999999999</v>
      </c>
      <c r="T63">
        <f t="shared" si="2"/>
        <v>19.253499999999999</v>
      </c>
      <c r="U63">
        <f t="shared" si="3"/>
        <v>3.2140060084999997</v>
      </c>
      <c r="X63" s="9"/>
      <c r="Y63" s="22">
        <v>1.23306</v>
      </c>
      <c r="Z63" s="22">
        <v>147.40299999999999</v>
      </c>
      <c r="AA63" s="22">
        <v>-1.8167099999999999E-2</v>
      </c>
      <c r="AB63" s="22">
        <v>53</v>
      </c>
      <c r="AC63" s="22">
        <v>1.2325999999999999</v>
      </c>
      <c r="AD63">
        <f t="shared" si="4"/>
        <v>18.167099999999998</v>
      </c>
      <c r="AE63">
        <f t="shared" si="5"/>
        <v>22.401124325999998</v>
      </c>
      <c r="AF63" s="9"/>
      <c r="AG63" s="22">
        <v>0.166931</v>
      </c>
      <c r="AH63" s="22">
        <v>196.20099999999999</v>
      </c>
      <c r="AI63" s="22">
        <v>-1.9235200000000001E-2</v>
      </c>
      <c r="AJ63" s="22">
        <v>53</v>
      </c>
      <c r="AK63" s="22">
        <v>0.166046</v>
      </c>
      <c r="AL63">
        <f t="shared" si="6"/>
        <v>19.235200000000003</v>
      </c>
      <c r="AM63">
        <f t="shared" si="7"/>
        <v>3.2109511712000005</v>
      </c>
      <c r="AP63" s="9"/>
      <c r="AQ63" s="22">
        <v>1.23306</v>
      </c>
      <c r="AR63" s="22">
        <v>244.971</v>
      </c>
      <c r="AS63" s="22">
        <v>-1.8158000000000001E-2</v>
      </c>
      <c r="AT63" s="22">
        <v>53</v>
      </c>
      <c r="AU63" s="22">
        <v>1.2323</v>
      </c>
      <c r="AV63">
        <f t="shared" si="8"/>
        <v>18.158000000000001</v>
      </c>
      <c r="AW63">
        <f t="shared" si="9"/>
        <v>22.389903480000001</v>
      </c>
      <c r="AX63" s="9"/>
      <c r="AY63" s="22">
        <v>0.166931</v>
      </c>
      <c r="AZ63" s="22">
        <v>293.87200000000001</v>
      </c>
      <c r="BA63" s="22">
        <v>-1.9232200000000001E-2</v>
      </c>
      <c r="BB63" s="22">
        <v>53</v>
      </c>
      <c r="BC63" s="22">
        <v>0.166351</v>
      </c>
      <c r="BD63">
        <f t="shared" si="10"/>
        <v>19.232200000000002</v>
      </c>
      <c r="BE63">
        <f t="shared" si="11"/>
        <v>3.2104503782000005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1.22803</v>
      </c>
      <c r="H64" s="22">
        <v>49.643000000000001</v>
      </c>
      <c r="I64" s="22">
        <v>-1.8176299999999999E-2</v>
      </c>
      <c r="J64" s="22">
        <v>54</v>
      </c>
      <c r="K64" s="22">
        <v>1.2277199999999999</v>
      </c>
      <c r="L64">
        <f t="shared" si="0"/>
        <v>18.176299999999998</v>
      </c>
      <c r="M64">
        <f t="shared" si="1"/>
        <v>22.321041688999998</v>
      </c>
      <c r="N64" s="9"/>
      <c r="O64" s="22">
        <v>0.17196700000000001</v>
      </c>
      <c r="P64" s="22">
        <v>98.469399999999993</v>
      </c>
      <c r="Q64" s="22">
        <v>-1.9244399999999998E-2</v>
      </c>
      <c r="R64" s="22">
        <v>54</v>
      </c>
      <c r="S64" s="22">
        <v>0.17132600000000001</v>
      </c>
      <c r="T64">
        <f t="shared" si="2"/>
        <v>19.244399999999999</v>
      </c>
      <c r="U64">
        <f t="shared" si="3"/>
        <v>3.3094017347999998</v>
      </c>
      <c r="X64" s="9"/>
      <c r="Y64" s="22">
        <v>1.22803</v>
      </c>
      <c r="Z64" s="22">
        <v>147.41300000000001</v>
      </c>
      <c r="AA64" s="22">
        <v>-1.8176299999999999E-2</v>
      </c>
      <c r="AB64" s="22">
        <v>54</v>
      </c>
      <c r="AC64" s="22">
        <v>1.2264999999999999</v>
      </c>
      <c r="AD64">
        <f t="shared" si="4"/>
        <v>18.176299999999998</v>
      </c>
      <c r="AE64">
        <f t="shared" si="5"/>
        <v>22.321041688999998</v>
      </c>
      <c r="AF64" s="9"/>
      <c r="AG64" s="22">
        <v>0.17196700000000001</v>
      </c>
      <c r="AH64" s="22">
        <v>196.21100000000001</v>
      </c>
      <c r="AI64" s="22">
        <v>-1.9229099999999999E-2</v>
      </c>
      <c r="AJ64" s="22">
        <v>54</v>
      </c>
      <c r="AK64" s="22">
        <v>0.1716</v>
      </c>
      <c r="AL64">
        <f t="shared" si="6"/>
        <v>19.229099999999999</v>
      </c>
      <c r="AM64">
        <f t="shared" si="7"/>
        <v>3.3067706396999998</v>
      </c>
      <c r="AP64" s="9"/>
      <c r="AQ64" s="22">
        <v>1.22803</v>
      </c>
      <c r="AR64" s="22">
        <v>244.98099999999999</v>
      </c>
      <c r="AS64" s="22">
        <v>-1.8161E-2</v>
      </c>
      <c r="AT64" s="22">
        <v>54</v>
      </c>
      <c r="AU64" s="22">
        <v>1.2277199999999999</v>
      </c>
      <c r="AV64">
        <f t="shared" si="8"/>
        <v>18.161000000000001</v>
      </c>
      <c r="AW64">
        <f t="shared" si="9"/>
        <v>22.30225283</v>
      </c>
      <c r="AX64" s="9"/>
      <c r="AY64" s="22">
        <v>0.17196700000000001</v>
      </c>
      <c r="AZ64" s="22">
        <v>293.88200000000001</v>
      </c>
      <c r="BA64" s="22">
        <v>-1.9223000000000001E-2</v>
      </c>
      <c r="BB64" s="22">
        <v>54</v>
      </c>
      <c r="BC64" s="22">
        <v>0.1716</v>
      </c>
      <c r="BD64">
        <f t="shared" si="10"/>
        <v>19.222999999999999</v>
      </c>
      <c r="BE64">
        <f t="shared" si="11"/>
        <v>3.3057216409999999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1.22299</v>
      </c>
      <c r="H65" s="22">
        <v>49.652999999999999</v>
      </c>
      <c r="I65" s="22">
        <v>-1.81885E-2</v>
      </c>
      <c r="J65" s="22">
        <v>55</v>
      </c>
      <c r="K65" s="22">
        <v>1.2213099999999999</v>
      </c>
      <c r="L65">
        <f t="shared" si="0"/>
        <v>18.188500000000001</v>
      </c>
      <c r="M65">
        <f t="shared" si="1"/>
        <v>22.244353615000001</v>
      </c>
      <c r="N65" s="9"/>
      <c r="O65" s="22">
        <v>0.17700199999999999</v>
      </c>
      <c r="P65" s="22">
        <v>98.479500000000002</v>
      </c>
      <c r="Q65" s="22">
        <v>-1.92383E-2</v>
      </c>
      <c r="R65" s="22">
        <v>55</v>
      </c>
      <c r="S65" s="22">
        <v>0.17657500000000001</v>
      </c>
      <c r="T65">
        <f t="shared" si="2"/>
        <v>19.238299999999999</v>
      </c>
      <c r="U65">
        <f t="shared" si="3"/>
        <v>3.4052175765999997</v>
      </c>
      <c r="X65" s="9"/>
      <c r="Y65" s="22">
        <v>1.22299</v>
      </c>
      <c r="Z65" s="22">
        <v>147.423</v>
      </c>
      <c r="AA65" s="22">
        <v>-1.8185400000000001E-2</v>
      </c>
      <c r="AB65" s="22">
        <v>55</v>
      </c>
      <c r="AC65" s="22">
        <v>1.2222299999999999</v>
      </c>
      <c r="AD65">
        <f t="shared" si="4"/>
        <v>18.185400000000001</v>
      </c>
      <c r="AE65">
        <f t="shared" si="5"/>
        <v>22.240562346000001</v>
      </c>
      <c r="AF65" s="9"/>
      <c r="AG65" s="22">
        <v>0.17700199999999999</v>
      </c>
      <c r="AH65" s="22">
        <v>196.221</v>
      </c>
      <c r="AI65" s="22">
        <v>-1.9223000000000001E-2</v>
      </c>
      <c r="AJ65" s="22">
        <v>55</v>
      </c>
      <c r="AK65" s="22">
        <v>0.17602499999999999</v>
      </c>
      <c r="AL65">
        <f t="shared" si="6"/>
        <v>19.222999999999999</v>
      </c>
      <c r="AM65">
        <f t="shared" si="7"/>
        <v>3.4025094459999998</v>
      </c>
      <c r="AP65" s="9"/>
      <c r="AQ65" s="22">
        <v>1.22299</v>
      </c>
      <c r="AR65" s="22">
        <v>244.99100000000001</v>
      </c>
      <c r="AS65" s="22">
        <v>-1.8170200000000001E-2</v>
      </c>
      <c r="AT65" s="22">
        <v>55</v>
      </c>
      <c r="AU65" s="22">
        <v>1.2222299999999999</v>
      </c>
      <c r="AV65">
        <f t="shared" si="8"/>
        <v>18.170200000000001</v>
      </c>
      <c r="AW65">
        <f t="shared" si="9"/>
        <v>22.221972898000001</v>
      </c>
      <c r="AX65" s="9"/>
      <c r="AY65" s="22">
        <v>0.17700199999999999</v>
      </c>
      <c r="AZ65" s="22">
        <v>293.892</v>
      </c>
      <c r="BA65" s="22">
        <v>-1.9216899999999999E-2</v>
      </c>
      <c r="BB65" s="22">
        <v>55</v>
      </c>
      <c r="BC65" s="22">
        <v>0.17627000000000001</v>
      </c>
      <c r="BD65">
        <f t="shared" si="10"/>
        <v>19.216899999999999</v>
      </c>
      <c r="BE65">
        <f t="shared" si="11"/>
        <v>3.4014297337999997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1.2179599999999999</v>
      </c>
      <c r="H66" s="22">
        <v>49.6631</v>
      </c>
      <c r="I66" s="22">
        <v>-1.8197600000000001E-2</v>
      </c>
      <c r="J66" s="22">
        <v>56</v>
      </c>
      <c r="K66" s="22">
        <v>1.2167399999999999</v>
      </c>
      <c r="L66">
        <f t="shared" si="0"/>
        <v>18.197600000000001</v>
      </c>
      <c r="M66">
        <f t="shared" si="1"/>
        <v>22.163948896000001</v>
      </c>
      <c r="N66" s="9"/>
      <c r="O66" s="22">
        <v>0.182037</v>
      </c>
      <c r="P66" s="22">
        <v>98.489500000000007</v>
      </c>
      <c r="Q66" s="22">
        <v>-1.9235200000000001E-2</v>
      </c>
      <c r="R66" s="22">
        <v>56</v>
      </c>
      <c r="S66" s="22">
        <v>0.181396</v>
      </c>
      <c r="T66">
        <f t="shared" si="2"/>
        <v>19.235200000000003</v>
      </c>
      <c r="U66">
        <f t="shared" si="3"/>
        <v>3.5015181024000004</v>
      </c>
      <c r="X66" s="9"/>
      <c r="Y66" s="22">
        <v>1.2179599999999999</v>
      </c>
      <c r="Z66" s="22">
        <v>147.43299999999999</v>
      </c>
      <c r="AA66" s="22">
        <v>-1.8194599999999998E-2</v>
      </c>
      <c r="AB66" s="22">
        <v>56</v>
      </c>
      <c r="AC66" s="22">
        <v>1.2170399999999999</v>
      </c>
      <c r="AD66">
        <f t="shared" si="4"/>
        <v>18.194599999999998</v>
      </c>
      <c r="AE66">
        <f t="shared" si="5"/>
        <v>22.160295015999996</v>
      </c>
      <c r="AF66" s="9"/>
      <c r="AG66" s="22">
        <v>0.182037</v>
      </c>
      <c r="AH66" s="22">
        <v>196.23099999999999</v>
      </c>
      <c r="AI66" s="22">
        <v>-1.9216899999999999E-2</v>
      </c>
      <c r="AJ66" s="22">
        <v>56</v>
      </c>
      <c r="AK66" s="22">
        <v>0.18121300000000001</v>
      </c>
      <c r="AL66">
        <f t="shared" si="6"/>
        <v>19.216899999999999</v>
      </c>
      <c r="AM66">
        <f t="shared" si="7"/>
        <v>3.4981868252999999</v>
      </c>
      <c r="AP66" s="9"/>
      <c r="AQ66" s="22">
        <v>1.2179599999999999</v>
      </c>
      <c r="AR66" s="22">
        <v>245.001</v>
      </c>
      <c r="AS66" s="22">
        <v>-1.8176299999999999E-2</v>
      </c>
      <c r="AT66" s="22">
        <v>56</v>
      </c>
      <c r="AU66" s="22">
        <v>1.2173499999999999</v>
      </c>
      <c r="AV66">
        <f t="shared" si="8"/>
        <v>18.176299999999998</v>
      </c>
      <c r="AW66">
        <f t="shared" si="9"/>
        <v>22.138006347999998</v>
      </c>
      <c r="AX66" s="9"/>
      <c r="AY66" s="22">
        <v>0.182037</v>
      </c>
      <c r="AZ66" s="22">
        <v>293.90199999999999</v>
      </c>
      <c r="BA66" s="22">
        <v>-1.9213899999999999E-2</v>
      </c>
      <c r="BB66" s="22">
        <v>56</v>
      </c>
      <c r="BC66" s="22">
        <v>0.181366</v>
      </c>
      <c r="BD66">
        <f t="shared" si="10"/>
        <v>19.213899999999999</v>
      </c>
      <c r="BE66">
        <f t="shared" si="11"/>
        <v>3.4976407142999997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1.21292</v>
      </c>
      <c r="H67" s="22">
        <v>49.673200000000001</v>
      </c>
      <c r="I67" s="22">
        <v>-1.8206799999999999E-2</v>
      </c>
      <c r="J67" s="22">
        <v>57</v>
      </c>
      <c r="K67" s="22">
        <v>1.2121599999999999</v>
      </c>
      <c r="L67">
        <f t="shared" si="0"/>
        <v>18.206799999999998</v>
      </c>
      <c r="M67">
        <f t="shared" si="1"/>
        <v>22.083391855999999</v>
      </c>
      <c r="N67" s="9"/>
      <c r="O67" s="22">
        <v>0.18707299999999999</v>
      </c>
      <c r="P67" s="22">
        <v>98.499600000000001</v>
      </c>
      <c r="Q67" s="22">
        <v>-1.9229099999999999E-2</v>
      </c>
      <c r="R67" s="22">
        <v>57</v>
      </c>
      <c r="S67" s="22">
        <v>0.186005</v>
      </c>
      <c r="T67">
        <f t="shared" si="2"/>
        <v>19.229099999999999</v>
      </c>
      <c r="U67">
        <f t="shared" si="3"/>
        <v>3.5972454242999996</v>
      </c>
      <c r="X67" s="9"/>
      <c r="Y67" s="22">
        <v>1.21292</v>
      </c>
      <c r="Z67" s="22">
        <v>147.44300000000001</v>
      </c>
      <c r="AA67" s="22">
        <v>-1.82007E-2</v>
      </c>
      <c r="AB67" s="22">
        <v>57</v>
      </c>
      <c r="AC67" s="22">
        <v>1.2124600000000001</v>
      </c>
      <c r="AD67">
        <f t="shared" si="4"/>
        <v>18.200700000000001</v>
      </c>
      <c r="AE67">
        <f t="shared" si="5"/>
        <v>22.075993044000001</v>
      </c>
      <c r="AF67" s="9"/>
      <c r="AG67" s="22">
        <v>0.18707299999999999</v>
      </c>
      <c r="AH67" s="22">
        <v>196.24100000000001</v>
      </c>
      <c r="AI67" s="22">
        <v>-1.9213899999999999E-2</v>
      </c>
      <c r="AJ67" s="22">
        <v>57</v>
      </c>
      <c r="AK67" s="22">
        <v>0.18612699999999999</v>
      </c>
      <c r="AL67">
        <f t="shared" si="6"/>
        <v>19.213899999999999</v>
      </c>
      <c r="AM67">
        <f t="shared" si="7"/>
        <v>3.5944019146999997</v>
      </c>
      <c r="AP67" s="9"/>
      <c r="AQ67" s="22">
        <v>1.21292</v>
      </c>
      <c r="AR67" s="22">
        <v>245.011</v>
      </c>
      <c r="AS67" s="22">
        <v>-1.8185400000000001E-2</v>
      </c>
      <c r="AT67" s="22">
        <v>57</v>
      </c>
      <c r="AU67" s="22">
        <v>1.2118500000000001</v>
      </c>
      <c r="AV67">
        <f t="shared" si="8"/>
        <v>18.185400000000001</v>
      </c>
      <c r="AW67">
        <f t="shared" si="9"/>
        <v>22.057435368</v>
      </c>
      <c r="AX67" s="9"/>
      <c r="AY67" s="22">
        <v>0.18707299999999999</v>
      </c>
      <c r="AZ67" s="22">
        <v>293.91199999999998</v>
      </c>
      <c r="BA67" s="22">
        <v>-1.9204700000000002E-2</v>
      </c>
      <c r="BB67" s="22">
        <v>57</v>
      </c>
      <c r="BC67" s="22">
        <v>0.18646199999999999</v>
      </c>
      <c r="BD67">
        <f t="shared" si="10"/>
        <v>19.204700000000003</v>
      </c>
      <c r="BE67">
        <f t="shared" si="11"/>
        <v>3.5926808431000001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1.2078899999999999</v>
      </c>
      <c r="H68" s="22">
        <v>49.683300000000003</v>
      </c>
      <c r="I68" s="22">
        <v>-1.82159E-2</v>
      </c>
      <c r="J68" s="22">
        <v>58</v>
      </c>
      <c r="K68" s="22">
        <v>1.2072799999999999</v>
      </c>
      <c r="L68">
        <f t="shared" si="0"/>
        <v>18.215900000000001</v>
      </c>
      <c r="M68">
        <f t="shared" si="1"/>
        <v>22.002803450999998</v>
      </c>
      <c r="N68" s="9"/>
      <c r="O68" s="22">
        <v>0.192108</v>
      </c>
      <c r="P68" s="22">
        <v>98.509699999999995</v>
      </c>
      <c r="Q68" s="22">
        <v>-1.9226099999999999E-2</v>
      </c>
      <c r="R68" s="22">
        <v>58</v>
      </c>
      <c r="S68" s="22">
        <v>0.191467</v>
      </c>
      <c r="T68">
        <f t="shared" si="2"/>
        <v>19.226099999999999</v>
      </c>
      <c r="U68">
        <f t="shared" si="3"/>
        <v>3.6934876187999999</v>
      </c>
      <c r="X68" s="9"/>
      <c r="Y68" s="22">
        <v>1.2078899999999999</v>
      </c>
      <c r="Z68" s="22">
        <v>147.453</v>
      </c>
      <c r="AA68" s="22">
        <v>-1.82037E-2</v>
      </c>
      <c r="AB68" s="22">
        <v>58</v>
      </c>
      <c r="AC68" s="22">
        <v>1.2066699999999999</v>
      </c>
      <c r="AD68">
        <f t="shared" si="4"/>
        <v>18.203700000000001</v>
      </c>
      <c r="AE68">
        <f t="shared" si="5"/>
        <v>21.988067192999999</v>
      </c>
      <c r="AF68" s="9"/>
      <c r="AG68" s="22">
        <v>0.192108</v>
      </c>
      <c r="AH68" s="22">
        <v>196.25200000000001</v>
      </c>
      <c r="AI68" s="22">
        <v>-1.9213899999999999E-2</v>
      </c>
      <c r="AJ68" s="22">
        <v>58</v>
      </c>
      <c r="AK68" s="22">
        <v>0.19131500000000001</v>
      </c>
      <c r="AL68">
        <f t="shared" si="6"/>
        <v>19.213899999999999</v>
      </c>
      <c r="AM68">
        <f t="shared" si="7"/>
        <v>3.6911439011999998</v>
      </c>
      <c r="AP68" s="9"/>
      <c r="AQ68" s="22">
        <v>1.2078899999999999</v>
      </c>
      <c r="AR68" s="22">
        <v>245.02099999999999</v>
      </c>
      <c r="AS68" s="22">
        <v>-1.8194599999999998E-2</v>
      </c>
      <c r="AT68" s="22">
        <v>58</v>
      </c>
      <c r="AU68" s="22">
        <v>1.2075800000000001</v>
      </c>
      <c r="AV68">
        <f t="shared" si="8"/>
        <v>18.194599999999998</v>
      </c>
      <c r="AW68">
        <f t="shared" si="9"/>
        <v>21.977075393999996</v>
      </c>
      <c r="AX68" s="9"/>
      <c r="AY68" s="22">
        <v>0.192108</v>
      </c>
      <c r="AZ68" s="22">
        <v>293.92200000000003</v>
      </c>
      <c r="BA68" s="22">
        <v>-1.91986E-2</v>
      </c>
      <c r="BB68" s="22">
        <v>58</v>
      </c>
      <c r="BC68" s="22">
        <v>0.19131500000000001</v>
      </c>
      <c r="BD68">
        <f t="shared" si="10"/>
        <v>19.198599999999999</v>
      </c>
      <c r="BE68">
        <f t="shared" si="11"/>
        <v>3.6882046487999998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1.20285</v>
      </c>
      <c r="H69" s="22">
        <v>49.693300000000001</v>
      </c>
      <c r="I69" s="22">
        <v>-1.8221999999999999E-2</v>
      </c>
      <c r="J69" s="22">
        <v>59</v>
      </c>
      <c r="K69" s="22">
        <v>1.2017800000000001</v>
      </c>
      <c r="L69">
        <f t="shared" si="0"/>
        <v>18.221999999999998</v>
      </c>
      <c r="M69">
        <f t="shared" si="1"/>
        <v>21.918332699999997</v>
      </c>
      <c r="N69" s="9"/>
      <c r="O69" s="22">
        <v>0.19714400000000001</v>
      </c>
      <c r="P69" s="22">
        <v>98.5197</v>
      </c>
      <c r="Q69" s="22">
        <v>-1.9220000000000001E-2</v>
      </c>
      <c r="R69" s="22">
        <v>59</v>
      </c>
      <c r="S69" s="22">
        <v>0.196716</v>
      </c>
      <c r="T69">
        <f t="shared" si="2"/>
        <v>19.220000000000002</v>
      </c>
      <c r="U69">
        <f t="shared" si="3"/>
        <v>3.7891076800000008</v>
      </c>
      <c r="X69" s="9"/>
      <c r="Y69" s="22">
        <v>1.20285</v>
      </c>
      <c r="Z69" s="22">
        <v>147.46299999999999</v>
      </c>
      <c r="AA69" s="22">
        <v>-1.8209800000000002E-2</v>
      </c>
      <c r="AB69" s="22">
        <v>59</v>
      </c>
      <c r="AC69" s="22">
        <v>1.2014800000000001</v>
      </c>
      <c r="AD69">
        <f t="shared" si="4"/>
        <v>18.209800000000001</v>
      </c>
      <c r="AE69">
        <f t="shared" si="5"/>
        <v>21.903657930000001</v>
      </c>
      <c r="AF69" s="9"/>
      <c r="AG69" s="22">
        <v>0.19714400000000001</v>
      </c>
      <c r="AH69" s="22">
        <v>196.262</v>
      </c>
      <c r="AI69" s="22">
        <v>-1.92108E-2</v>
      </c>
      <c r="AJ69" s="22">
        <v>59</v>
      </c>
      <c r="AK69" s="22">
        <v>0.19659399999999999</v>
      </c>
      <c r="AL69">
        <f t="shared" si="6"/>
        <v>19.210799999999999</v>
      </c>
      <c r="AM69">
        <f t="shared" si="7"/>
        <v>3.7872939552</v>
      </c>
      <c r="AP69" s="9"/>
      <c r="AQ69" s="22">
        <v>1.20285</v>
      </c>
      <c r="AR69" s="22">
        <v>245.03100000000001</v>
      </c>
      <c r="AS69" s="22">
        <v>-1.82037E-2</v>
      </c>
      <c r="AT69" s="22">
        <v>59</v>
      </c>
      <c r="AU69" s="22">
        <v>1.2014800000000001</v>
      </c>
      <c r="AV69">
        <f t="shared" si="8"/>
        <v>18.203700000000001</v>
      </c>
      <c r="AW69">
        <f t="shared" si="9"/>
        <v>21.896320545000002</v>
      </c>
      <c r="AX69" s="9"/>
      <c r="AY69" s="22">
        <v>0.19714400000000001</v>
      </c>
      <c r="AZ69" s="22">
        <v>293.93200000000002</v>
      </c>
      <c r="BA69" s="22">
        <v>-1.91956E-2</v>
      </c>
      <c r="BB69" s="22">
        <v>59</v>
      </c>
      <c r="BC69" s="22">
        <v>0.19647200000000001</v>
      </c>
      <c r="BD69">
        <f t="shared" si="10"/>
        <v>19.195599999999999</v>
      </c>
      <c r="BE69">
        <f t="shared" si="11"/>
        <v>3.7842973664000001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1.19781</v>
      </c>
      <c r="H70" s="22">
        <v>49.703400000000002</v>
      </c>
      <c r="I70" s="22">
        <v>-1.8228100000000001E-2</v>
      </c>
      <c r="J70" s="22">
        <v>60</v>
      </c>
      <c r="K70" s="22">
        <v>1.19598</v>
      </c>
      <c r="L70">
        <f t="shared" si="0"/>
        <v>18.228100000000001</v>
      </c>
      <c r="M70">
        <f t="shared" si="1"/>
        <v>21.833800461000003</v>
      </c>
      <c r="N70" s="9"/>
      <c r="O70" s="22">
        <v>0.202179</v>
      </c>
      <c r="P70" s="22">
        <v>98.529799999999994</v>
      </c>
      <c r="Q70" s="22">
        <v>-1.9213899999999999E-2</v>
      </c>
      <c r="R70" s="22">
        <v>60</v>
      </c>
      <c r="S70" s="22">
        <v>0.20169100000000001</v>
      </c>
      <c r="T70">
        <f t="shared" si="2"/>
        <v>19.213899999999999</v>
      </c>
      <c r="U70">
        <f t="shared" si="3"/>
        <v>3.8846470880999999</v>
      </c>
      <c r="X70" s="9"/>
      <c r="Y70" s="22">
        <v>1.19781</v>
      </c>
      <c r="Z70" s="22">
        <v>147.47300000000001</v>
      </c>
      <c r="AA70" s="22">
        <v>-1.8212900000000001E-2</v>
      </c>
      <c r="AB70" s="22">
        <v>60</v>
      </c>
      <c r="AC70" s="22">
        <v>1.19659</v>
      </c>
      <c r="AD70">
        <f t="shared" si="4"/>
        <v>18.212900000000001</v>
      </c>
      <c r="AE70">
        <f t="shared" si="5"/>
        <v>21.815593749000001</v>
      </c>
      <c r="AF70" s="9"/>
      <c r="AG70" s="22">
        <v>0.202179</v>
      </c>
      <c r="AH70" s="22">
        <v>196.27199999999999</v>
      </c>
      <c r="AI70" s="22">
        <v>-1.9204700000000002E-2</v>
      </c>
      <c r="AJ70" s="22">
        <v>60</v>
      </c>
      <c r="AK70" s="22">
        <v>0.20205699999999999</v>
      </c>
      <c r="AL70">
        <f t="shared" si="6"/>
        <v>19.204700000000003</v>
      </c>
      <c r="AM70">
        <f t="shared" si="7"/>
        <v>3.8827870413000003</v>
      </c>
      <c r="AP70" s="9"/>
      <c r="AQ70" s="22">
        <v>1.19781</v>
      </c>
      <c r="AR70" s="22">
        <v>245.041</v>
      </c>
      <c r="AS70" s="22">
        <v>-1.8212900000000001E-2</v>
      </c>
      <c r="AT70" s="22">
        <v>60</v>
      </c>
      <c r="AU70" s="22">
        <v>1.1962900000000001</v>
      </c>
      <c r="AV70">
        <f t="shared" si="8"/>
        <v>18.212900000000001</v>
      </c>
      <c r="AW70">
        <f t="shared" si="9"/>
        <v>21.815593749000001</v>
      </c>
      <c r="AX70" s="9"/>
      <c r="AY70" s="22">
        <v>0.202179</v>
      </c>
      <c r="AZ70" s="22">
        <v>293.94299999999998</v>
      </c>
      <c r="BA70" s="22">
        <v>-1.9189500000000002E-2</v>
      </c>
      <c r="BB70" s="22">
        <v>60</v>
      </c>
      <c r="BC70" s="22">
        <v>0.20163</v>
      </c>
      <c r="BD70">
        <f t="shared" si="10"/>
        <v>19.189500000000002</v>
      </c>
      <c r="BE70">
        <f t="shared" si="11"/>
        <v>3.8797139205000004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1.19278</v>
      </c>
      <c r="H71" s="22">
        <v>49.713500000000003</v>
      </c>
      <c r="I71" s="22">
        <v>-1.8234299999999998E-2</v>
      </c>
      <c r="J71" s="22">
        <v>61</v>
      </c>
      <c r="K71" s="22">
        <v>1.19232</v>
      </c>
      <c r="L71">
        <f t="shared" si="0"/>
        <v>18.234299999999998</v>
      </c>
      <c r="M71">
        <f t="shared" si="1"/>
        <v>21.749508353999996</v>
      </c>
      <c r="N71" s="9"/>
      <c r="O71" s="22">
        <v>0.20721400000000001</v>
      </c>
      <c r="P71" s="22">
        <v>98.539900000000003</v>
      </c>
      <c r="Q71" s="22">
        <v>-1.92108E-2</v>
      </c>
      <c r="R71" s="22">
        <v>61</v>
      </c>
      <c r="S71" s="22">
        <v>0.20666499999999999</v>
      </c>
      <c r="T71">
        <f t="shared" si="2"/>
        <v>19.210799999999999</v>
      </c>
      <c r="U71">
        <f t="shared" si="3"/>
        <v>3.9807467112000001</v>
      </c>
      <c r="X71" s="9"/>
      <c r="Y71" s="22">
        <v>1.19278</v>
      </c>
      <c r="Z71" s="22">
        <v>147.483</v>
      </c>
      <c r="AA71" s="22">
        <v>-1.82159E-2</v>
      </c>
      <c r="AB71" s="22">
        <v>61</v>
      </c>
      <c r="AC71" s="22">
        <v>1.1920200000000001</v>
      </c>
      <c r="AD71">
        <f t="shared" si="4"/>
        <v>18.215900000000001</v>
      </c>
      <c r="AE71">
        <f t="shared" si="5"/>
        <v>21.727561202</v>
      </c>
      <c r="AF71" s="9"/>
      <c r="AG71" s="22">
        <v>0.20721400000000001</v>
      </c>
      <c r="AH71" s="22">
        <v>196.28200000000001</v>
      </c>
      <c r="AI71" s="22">
        <v>-1.91986E-2</v>
      </c>
      <c r="AJ71" s="22">
        <v>61</v>
      </c>
      <c r="AK71" s="22">
        <v>0.20657300000000001</v>
      </c>
      <c r="AL71">
        <f t="shared" si="6"/>
        <v>19.198599999999999</v>
      </c>
      <c r="AM71">
        <f t="shared" si="7"/>
        <v>3.9782187003999998</v>
      </c>
      <c r="AP71" s="9"/>
      <c r="AQ71" s="22">
        <v>1.19278</v>
      </c>
      <c r="AR71" s="22">
        <v>245.05099999999999</v>
      </c>
      <c r="AS71" s="22">
        <v>-1.82159E-2</v>
      </c>
      <c r="AT71" s="22">
        <v>61</v>
      </c>
      <c r="AU71" s="22">
        <v>1.1920200000000001</v>
      </c>
      <c r="AV71">
        <f t="shared" si="8"/>
        <v>18.215900000000001</v>
      </c>
      <c r="AW71">
        <f t="shared" si="9"/>
        <v>21.727561202</v>
      </c>
      <c r="AX71" s="9"/>
      <c r="AY71" s="22">
        <v>0.20721400000000001</v>
      </c>
      <c r="AZ71" s="22">
        <v>293.95299999999997</v>
      </c>
      <c r="BA71" s="22">
        <v>-1.9189500000000002E-2</v>
      </c>
      <c r="BB71" s="22">
        <v>61</v>
      </c>
      <c r="BC71" s="22">
        <v>0.206482</v>
      </c>
      <c r="BD71">
        <f t="shared" si="10"/>
        <v>19.189500000000002</v>
      </c>
      <c r="BE71">
        <f t="shared" si="11"/>
        <v>3.9763330530000007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1.18774</v>
      </c>
      <c r="H72" s="22">
        <v>49.723500000000001</v>
      </c>
      <c r="I72" s="22">
        <v>-1.82404E-2</v>
      </c>
      <c r="J72" s="22">
        <v>62</v>
      </c>
      <c r="K72" s="22">
        <v>1.18713</v>
      </c>
      <c r="L72">
        <f t="shared" si="0"/>
        <v>18.240400000000001</v>
      </c>
      <c r="M72">
        <f t="shared" si="1"/>
        <v>21.664852696000001</v>
      </c>
      <c r="N72" s="9"/>
      <c r="O72" s="22">
        <v>0.21224999999999999</v>
      </c>
      <c r="P72" s="22">
        <v>98.55</v>
      </c>
      <c r="Q72" s="22">
        <v>-1.9207800000000001E-2</v>
      </c>
      <c r="R72" s="22">
        <v>62</v>
      </c>
      <c r="S72" s="22">
        <v>0.21148700000000001</v>
      </c>
      <c r="T72">
        <f t="shared" si="2"/>
        <v>19.207799999999999</v>
      </c>
      <c r="U72">
        <f t="shared" si="3"/>
        <v>4.0768555499999994</v>
      </c>
      <c r="X72" s="9"/>
      <c r="Y72" s="22">
        <v>1.18774</v>
      </c>
      <c r="Z72" s="22">
        <v>147.49299999999999</v>
      </c>
      <c r="AA72" s="22">
        <v>-1.8221999999999999E-2</v>
      </c>
      <c r="AB72" s="22">
        <v>62</v>
      </c>
      <c r="AC72" s="22">
        <v>1.18652</v>
      </c>
      <c r="AD72">
        <f t="shared" si="4"/>
        <v>18.221999999999998</v>
      </c>
      <c r="AE72">
        <f t="shared" si="5"/>
        <v>21.642998279999997</v>
      </c>
      <c r="AF72" s="9"/>
      <c r="AG72" s="22">
        <v>0.21224999999999999</v>
      </c>
      <c r="AH72" s="22">
        <v>196.292</v>
      </c>
      <c r="AI72" s="22">
        <v>-1.9192500000000001E-2</v>
      </c>
      <c r="AJ72" s="22">
        <v>62</v>
      </c>
      <c r="AK72" s="22">
        <v>0.21160899999999999</v>
      </c>
      <c r="AL72">
        <f t="shared" si="6"/>
        <v>19.192500000000003</v>
      </c>
      <c r="AM72">
        <f t="shared" si="7"/>
        <v>4.0736081250000007</v>
      </c>
      <c r="AP72" s="9"/>
      <c r="AQ72" s="22">
        <v>1.18774</v>
      </c>
      <c r="AR72" s="22">
        <v>245.06100000000001</v>
      </c>
      <c r="AS72" s="22">
        <v>-1.8221999999999999E-2</v>
      </c>
      <c r="AT72" s="22">
        <v>62</v>
      </c>
      <c r="AU72" s="22">
        <v>1.1868300000000001</v>
      </c>
      <c r="AV72">
        <f t="shared" si="8"/>
        <v>18.221999999999998</v>
      </c>
      <c r="AW72">
        <f t="shared" si="9"/>
        <v>21.642998279999997</v>
      </c>
      <c r="AX72" s="9"/>
      <c r="AY72" s="22">
        <v>0.21224999999999999</v>
      </c>
      <c r="AZ72" s="22">
        <v>293.96300000000002</v>
      </c>
      <c r="BA72" s="22">
        <v>-1.91833E-2</v>
      </c>
      <c r="BB72" s="22">
        <v>62</v>
      </c>
      <c r="BC72" s="22">
        <v>0.2117</v>
      </c>
      <c r="BD72">
        <f t="shared" si="10"/>
        <v>19.183299999999999</v>
      </c>
      <c r="BE72">
        <f t="shared" si="11"/>
        <v>4.0716554249999994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1.1827099999999999</v>
      </c>
      <c r="H73" s="22">
        <v>49.733600000000003</v>
      </c>
      <c r="I73" s="22">
        <v>-1.8246499999999999E-2</v>
      </c>
      <c r="J73" s="22">
        <v>63</v>
      </c>
      <c r="K73" s="22">
        <v>1.18225</v>
      </c>
      <c r="L73">
        <f t="shared" si="0"/>
        <v>18.246499999999997</v>
      </c>
      <c r="M73">
        <f t="shared" si="1"/>
        <v>21.580318014999996</v>
      </c>
      <c r="N73" s="9"/>
      <c r="O73" s="22">
        <v>0.21728500000000001</v>
      </c>
      <c r="P73" s="22">
        <v>98.56</v>
      </c>
      <c r="Q73" s="22">
        <v>-1.9201699999999999E-2</v>
      </c>
      <c r="R73" s="22">
        <v>63</v>
      </c>
      <c r="S73" s="22">
        <v>0.216644</v>
      </c>
      <c r="T73">
        <f t="shared" si="2"/>
        <v>19.201699999999999</v>
      </c>
      <c r="U73">
        <f t="shared" si="3"/>
        <v>4.1722413844999995</v>
      </c>
      <c r="X73" s="9"/>
      <c r="Y73" s="22">
        <v>1.1827099999999999</v>
      </c>
      <c r="Z73" s="22">
        <v>147.50299999999999</v>
      </c>
      <c r="AA73" s="22">
        <v>-1.8228100000000001E-2</v>
      </c>
      <c r="AB73" s="22">
        <v>63</v>
      </c>
      <c r="AC73" s="22">
        <v>1.1819500000000001</v>
      </c>
      <c r="AD73">
        <f t="shared" si="4"/>
        <v>18.228100000000001</v>
      </c>
      <c r="AE73">
        <f t="shared" si="5"/>
        <v>21.558556151000001</v>
      </c>
      <c r="AF73" s="9"/>
      <c r="AG73" s="22">
        <v>0.21728500000000001</v>
      </c>
      <c r="AH73" s="22">
        <v>196.30199999999999</v>
      </c>
      <c r="AI73" s="22">
        <v>-1.9189500000000002E-2</v>
      </c>
      <c r="AJ73" s="22">
        <v>63</v>
      </c>
      <c r="AK73" s="22">
        <v>0.21646099999999999</v>
      </c>
      <c r="AL73">
        <f t="shared" si="6"/>
        <v>19.189500000000002</v>
      </c>
      <c r="AM73">
        <f t="shared" si="7"/>
        <v>4.1695905075000006</v>
      </c>
      <c r="AP73" s="9"/>
      <c r="AQ73" s="22">
        <v>1.1827099999999999</v>
      </c>
      <c r="AR73" s="22">
        <v>245.071</v>
      </c>
      <c r="AS73" s="22">
        <v>-1.8225100000000001E-2</v>
      </c>
      <c r="AT73" s="22">
        <v>63</v>
      </c>
      <c r="AU73" s="22">
        <v>1.18225</v>
      </c>
      <c r="AV73">
        <f t="shared" si="8"/>
        <v>18.225100000000001</v>
      </c>
      <c r="AW73">
        <f t="shared" si="9"/>
        <v>21.555008020999999</v>
      </c>
      <c r="AX73" s="9"/>
      <c r="AY73" s="22">
        <v>0.21728500000000001</v>
      </c>
      <c r="AZ73" s="22">
        <v>293.97300000000001</v>
      </c>
      <c r="BA73" s="22">
        <v>-1.91833E-2</v>
      </c>
      <c r="BB73" s="22">
        <v>63</v>
      </c>
      <c r="BC73" s="22">
        <v>0.21670500000000001</v>
      </c>
      <c r="BD73">
        <f t="shared" si="10"/>
        <v>19.183299999999999</v>
      </c>
      <c r="BE73">
        <f t="shared" si="11"/>
        <v>4.1682433405000001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1.17767</v>
      </c>
      <c r="H74" s="22">
        <v>49.743699999999997</v>
      </c>
      <c r="I74" s="22">
        <v>-1.8252600000000001E-2</v>
      </c>
      <c r="J74" s="22">
        <v>64</v>
      </c>
      <c r="K74" s="22">
        <v>1.17645</v>
      </c>
      <c r="L74">
        <f t="shared" si="0"/>
        <v>18.252600000000001</v>
      </c>
      <c r="M74">
        <f t="shared" si="1"/>
        <v>21.495539442000002</v>
      </c>
      <c r="N74" s="9"/>
      <c r="O74" s="22">
        <v>0.22232099999999999</v>
      </c>
      <c r="P74" s="22">
        <v>98.570099999999996</v>
      </c>
      <c r="Q74" s="22">
        <v>-1.91956E-2</v>
      </c>
      <c r="R74" s="22">
        <v>64</v>
      </c>
      <c r="S74" s="22">
        <v>0.22170999999999999</v>
      </c>
      <c r="T74">
        <f t="shared" si="2"/>
        <v>19.195599999999999</v>
      </c>
      <c r="U74">
        <f t="shared" si="3"/>
        <v>4.2675849875999994</v>
      </c>
      <c r="X74" s="9"/>
      <c r="Y74" s="22">
        <v>1.17767</v>
      </c>
      <c r="Z74" s="22">
        <v>147.51400000000001</v>
      </c>
      <c r="AA74" s="22">
        <v>-1.8234299999999998E-2</v>
      </c>
      <c r="AB74" s="22">
        <v>64</v>
      </c>
      <c r="AC74" s="22">
        <v>1.17645</v>
      </c>
      <c r="AD74">
        <f t="shared" si="4"/>
        <v>18.234299999999998</v>
      </c>
      <c r="AE74">
        <f t="shared" si="5"/>
        <v>21.473988080999998</v>
      </c>
      <c r="AF74" s="9"/>
      <c r="AG74" s="22">
        <v>0.22232099999999999</v>
      </c>
      <c r="AH74" s="22">
        <v>196.31200000000001</v>
      </c>
      <c r="AI74" s="22">
        <v>-1.9186399999999999E-2</v>
      </c>
      <c r="AJ74" s="22">
        <v>64</v>
      </c>
      <c r="AK74" s="22">
        <v>0.221558</v>
      </c>
      <c r="AL74">
        <f t="shared" si="6"/>
        <v>19.186399999999999</v>
      </c>
      <c r="AM74">
        <f t="shared" si="7"/>
        <v>4.2655396343999996</v>
      </c>
      <c r="AP74" s="9"/>
      <c r="AQ74" s="22">
        <v>1.17767</v>
      </c>
      <c r="AR74" s="22">
        <v>245.08099999999999</v>
      </c>
      <c r="AS74" s="22">
        <v>-1.8231199999999999E-2</v>
      </c>
      <c r="AT74" s="22">
        <v>64</v>
      </c>
      <c r="AU74" s="22">
        <v>1.17676</v>
      </c>
      <c r="AV74">
        <f t="shared" si="8"/>
        <v>18.231200000000001</v>
      </c>
      <c r="AW74">
        <f t="shared" si="9"/>
        <v>21.470337304000001</v>
      </c>
      <c r="AX74" s="9"/>
      <c r="AY74" s="22">
        <v>0.22232099999999999</v>
      </c>
      <c r="AZ74" s="22">
        <v>293.983</v>
      </c>
      <c r="BA74" s="22">
        <v>-1.9180300000000001E-2</v>
      </c>
      <c r="BB74" s="22">
        <v>64</v>
      </c>
      <c r="BC74" s="22">
        <v>0.22189300000000001</v>
      </c>
      <c r="BD74">
        <f t="shared" si="10"/>
        <v>19.180300000000003</v>
      </c>
      <c r="BE74">
        <f t="shared" si="11"/>
        <v>4.2641834763000004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1.1726399999999999</v>
      </c>
      <c r="H75" s="22">
        <v>49.753799999999998</v>
      </c>
      <c r="I75" s="22">
        <v>-1.8258699999999999E-2</v>
      </c>
      <c r="J75" s="22">
        <v>65</v>
      </c>
      <c r="K75" s="22">
        <v>1.17188</v>
      </c>
      <c r="L75">
        <f t="shared" si="0"/>
        <v>18.258699999999997</v>
      </c>
      <c r="M75">
        <f t="shared" si="1"/>
        <v>21.410881967999995</v>
      </c>
      <c r="N75" s="9"/>
      <c r="O75" s="22">
        <v>0.227356</v>
      </c>
      <c r="P75" s="22">
        <v>98.580200000000005</v>
      </c>
      <c r="Q75" s="22">
        <v>-1.9192500000000001E-2</v>
      </c>
      <c r="R75" s="22">
        <v>65</v>
      </c>
      <c r="S75" s="22">
        <v>0.22677600000000001</v>
      </c>
      <c r="T75">
        <f t="shared" si="2"/>
        <v>19.192500000000003</v>
      </c>
      <c r="U75">
        <f t="shared" si="3"/>
        <v>4.3635300300000006</v>
      </c>
      <c r="X75" s="9"/>
      <c r="Y75" s="22">
        <v>1.1726399999999999</v>
      </c>
      <c r="Z75" s="22">
        <v>147.524</v>
      </c>
      <c r="AA75" s="22">
        <v>-1.82434E-2</v>
      </c>
      <c r="AB75" s="22">
        <v>65</v>
      </c>
      <c r="AC75" s="22">
        <v>1.17188</v>
      </c>
      <c r="AD75">
        <f t="shared" si="4"/>
        <v>18.243400000000001</v>
      </c>
      <c r="AE75">
        <f t="shared" si="5"/>
        <v>21.392940576000001</v>
      </c>
      <c r="AF75" s="9"/>
      <c r="AG75" s="22">
        <v>0.227356</v>
      </c>
      <c r="AH75" s="22">
        <v>196.322</v>
      </c>
      <c r="AI75" s="22">
        <v>-1.91833E-2</v>
      </c>
      <c r="AJ75" s="22">
        <v>65</v>
      </c>
      <c r="AK75" s="22">
        <v>0.22689799999999999</v>
      </c>
      <c r="AL75">
        <f t="shared" si="6"/>
        <v>19.183299999999999</v>
      </c>
      <c r="AM75">
        <f t="shared" si="7"/>
        <v>4.3614383547999998</v>
      </c>
      <c r="AP75" s="9"/>
      <c r="AQ75" s="22">
        <v>1.1726399999999999</v>
      </c>
      <c r="AR75" s="22">
        <v>245.09100000000001</v>
      </c>
      <c r="AS75" s="22">
        <v>-1.8237300000000001E-2</v>
      </c>
      <c r="AT75" s="22">
        <v>65</v>
      </c>
      <c r="AU75" s="22">
        <v>1.17188</v>
      </c>
      <c r="AV75">
        <f t="shared" si="8"/>
        <v>18.237300000000001</v>
      </c>
      <c r="AW75">
        <f t="shared" si="9"/>
        <v>21.385787472000001</v>
      </c>
      <c r="AX75" s="9"/>
      <c r="AY75" s="22">
        <v>0.227356</v>
      </c>
      <c r="AZ75" s="22">
        <v>293.99299999999999</v>
      </c>
      <c r="BA75" s="22">
        <v>-1.9174199999999999E-2</v>
      </c>
      <c r="BB75" s="22">
        <v>65</v>
      </c>
      <c r="BC75" s="22">
        <v>0.22650100000000001</v>
      </c>
      <c r="BD75">
        <f t="shared" si="10"/>
        <v>19.174199999999999</v>
      </c>
      <c r="BE75">
        <f t="shared" si="11"/>
        <v>4.3593694151999998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1.1676</v>
      </c>
      <c r="H76" s="22">
        <v>49.763800000000003</v>
      </c>
      <c r="I76" s="22">
        <v>-1.8261699999999999E-2</v>
      </c>
      <c r="J76" s="22">
        <v>66</v>
      </c>
      <c r="K76" s="22">
        <v>1.16669</v>
      </c>
      <c r="L76">
        <f t="shared" ref="L76:L139" si="12">-I76/$F$2*1000</f>
        <v>18.261699999999998</v>
      </c>
      <c r="M76">
        <f t="shared" ref="M76:M139" si="13">L76*G76</f>
        <v>21.322360919999998</v>
      </c>
      <c r="N76" s="9"/>
      <c r="O76" s="22">
        <v>0.23239099999999999</v>
      </c>
      <c r="P76" s="22">
        <v>98.590199999999996</v>
      </c>
      <c r="Q76" s="22">
        <v>-1.9189500000000002E-2</v>
      </c>
      <c r="R76" s="22">
        <v>66</v>
      </c>
      <c r="S76" s="22">
        <v>0.23175000000000001</v>
      </c>
      <c r="T76">
        <f t="shared" ref="T76:T139" si="14">-Q76/$F$2*1000</f>
        <v>19.189500000000002</v>
      </c>
      <c r="U76">
        <f t="shared" ref="U76:U139" si="15">T76*O76</f>
        <v>4.4594670944999999</v>
      </c>
      <c r="X76" s="9"/>
      <c r="Y76" s="22">
        <v>1.1676</v>
      </c>
      <c r="Z76" s="22">
        <v>147.53399999999999</v>
      </c>
      <c r="AA76" s="22">
        <v>-1.8252600000000001E-2</v>
      </c>
      <c r="AB76" s="22">
        <v>66</v>
      </c>
      <c r="AC76" s="22">
        <v>1.16669</v>
      </c>
      <c r="AD76">
        <f t="shared" ref="AD76:AD139" si="16">-AA76/$F$2*1000</f>
        <v>18.252600000000001</v>
      </c>
      <c r="AE76">
        <f t="shared" ref="AE76:AE139" si="17">AD76*Y76</f>
        <v>21.311735760000001</v>
      </c>
      <c r="AF76" s="9"/>
      <c r="AG76" s="22">
        <v>0.23239099999999999</v>
      </c>
      <c r="AH76" s="22">
        <v>196.33199999999999</v>
      </c>
      <c r="AI76" s="22">
        <v>-1.9174199999999999E-2</v>
      </c>
      <c r="AJ76" s="22">
        <v>66</v>
      </c>
      <c r="AK76" s="22">
        <v>0.23184199999999999</v>
      </c>
      <c r="AL76">
        <f t="shared" ref="AL76:AL139" si="18">-AI76/$F$2*1000</f>
        <v>19.174199999999999</v>
      </c>
      <c r="AM76">
        <f t="shared" ref="AM76:AM139" si="19">AL76*AG76</f>
        <v>4.4559115121999993</v>
      </c>
      <c r="AP76" s="9"/>
      <c r="AQ76" s="22">
        <v>1.1676</v>
      </c>
      <c r="AR76" s="22">
        <v>245.101</v>
      </c>
      <c r="AS76" s="22">
        <v>-1.82434E-2</v>
      </c>
      <c r="AT76" s="22">
        <v>66</v>
      </c>
      <c r="AU76" s="22">
        <v>1.16669</v>
      </c>
      <c r="AV76">
        <f t="shared" ref="AV76:AV139" si="20">-AS76/$F$2*1000</f>
        <v>18.243400000000001</v>
      </c>
      <c r="AW76">
        <f t="shared" ref="AW76:AW139" si="21">AV76*AQ76</f>
        <v>21.30099384</v>
      </c>
      <c r="AX76" s="9"/>
      <c r="AY76" s="22">
        <v>0.23239099999999999</v>
      </c>
      <c r="AZ76" s="22">
        <v>294.00299999999999</v>
      </c>
      <c r="BA76" s="22">
        <v>-1.91711E-2</v>
      </c>
      <c r="BB76" s="22">
        <v>66</v>
      </c>
      <c r="BC76" s="22">
        <v>0.231873</v>
      </c>
      <c r="BD76">
        <f t="shared" ref="BD76:BD139" si="22">-BA76/$F$2*1000</f>
        <v>19.171099999999999</v>
      </c>
      <c r="BE76">
        <f t="shared" ref="BE76:BE139" si="23">BD76*AY76</f>
        <v>4.4551911000999995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1.1625700000000001</v>
      </c>
      <c r="H77" s="22">
        <v>49.773899999999998</v>
      </c>
      <c r="I77" s="22">
        <v>-1.8264800000000001E-2</v>
      </c>
      <c r="J77" s="22">
        <v>67</v>
      </c>
      <c r="K77" s="22">
        <v>1.1617999999999999</v>
      </c>
      <c r="L77">
        <f t="shared" si="12"/>
        <v>18.264800000000001</v>
      </c>
      <c r="M77">
        <f t="shared" si="13"/>
        <v>21.234108536000004</v>
      </c>
      <c r="N77" s="9"/>
      <c r="O77" s="22">
        <v>0.237427</v>
      </c>
      <c r="P77" s="22">
        <v>98.600300000000004</v>
      </c>
      <c r="Q77" s="22">
        <v>-1.91833E-2</v>
      </c>
      <c r="R77" s="22">
        <v>67</v>
      </c>
      <c r="S77" s="22">
        <v>0.236786</v>
      </c>
      <c r="T77">
        <f t="shared" si="14"/>
        <v>19.183299999999999</v>
      </c>
      <c r="U77">
        <f t="shared" si="15"/>
        <v>4.5546333690999994</v>
      </c>
      <c r="X77" s="9"/>
      <c r="Y77" s="22">
        <v>1.1625700000000001</v>
      </c>
      <c r="Z77" s="22">
        <v>147.54400000000001</v>
      </c>
      <c r="AA77" s="22">
        <v>-1.8258699999999999E-2</v>
      </c>
      <c r="AB77" s="22">
        <v>67</v>
      </c>
      <c r="AC77" s="22">
        <v>1.1615</v>
      </c>
      <c r="AD77">
        <f t="shared" si="16"/>
        <v>18.258699999999997</v>
      </c>
      <c r="AE77">
        <f t="shared" si="17"/>
        <v>21.227016858999999</v>
      </c>
      <c r="AF77" s="9"/>
      <c r="AG77" s="22">
        <v>0.237427</v>
      </c>
      <c r="AH77" s="22">
        <v>196.34200000000001</v>
      </c>
      <c r="AI77" s="22">
        <v>-1.9174199999999999E-2</v>
      </c>
      <c r="AJ77" s="22">
        <v>67</v>
      </c>
      <c r="AK77" s="22">
        <v>0.23693800000000001</v>
      </c>
      <c r="AL77">
        <f t="shared" si="18"/>
        <v>19.174199999999999</v>
      </c>
      <c r="AM77">
        <f t="shared" si="19"/>
        <v>4.5524727833999998</v>
      </c>
      <c r="AP77" s="9"/>
      <c r="AQ77" s="22">
        <v>1.1625700000000001</v>
      </c>
      <c r="AR77" s="22">
        <v>245.11199999999999</v>
      </c>
      <c r="AS77" s="22">
        <v>-1.8249499999999998E-2</v>
      </c>
      <c r="AT77" s="22">
        <v>67</v>
      </c>
      <c r="AU77" s="22">
        <v>1.16211</v>
      </c>
      <c r="AV77">
        <f t="shared" si="20"/>
        <v>18.249499999999998</v>
      </c>
      <c r="AW77">
        <f t="shared" si="21"/>
        <v>21.216321215000001</v>
      </c>
      <c r="AX77" s="9"/>
      <c r="AY77" s="22">
        <v>0.237427</v>
      </c>
      <c r="AZ77" s="22">
        <v>294.01299999999998</v>
      </c>
      <c r="BA77" s="22">
        <v>-1.9161999999999998E-2</v>
      </c>
      <c r="BB77" s="22">
        <v>67</v>
      </c>
      <c r="BC77" s="22">
        <v>0.236877</v>
      </c>
      <c r="BD77">
        <f t="shared" si="22"/>
        <v>19.161999999999999</v>
      </c>
      <c r="BE77">
        <f t="shared" si="23"/>
        <v>4.5495761739999994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1.1575299999999999</v>
      </c>
      <c r="H78" s="22">
        <v>49.783999999999999</v>
      </c>
      <c r="I78" s="22">
        <v>-1.8273899999999999E-2</v>
      </c>
      <c r="J78" s="22">
        <v>68</v>
      </c>
      <c r="K78" s="22">
        <v>1.1569199999999999</v>
      </c>
      <c r="L78">
        <f t="shared" si="12"/>
        <v>18.273899999999998</v>
      </c>
      <c r="M78">
        <f t="shared" si="13"/>
        <v>21.152587466999996</v>
      </c>
      <c r="N78" s="9"/>
      <c r="O78" s="22">
        <v>0.24246200000000001</v>
      </c>
      <c r="P78" s="22">
        <v>98.610399999999998</v>
      </c>
      <c r="Q78" s="22">
        <v>-1.9177199999999998E-2</v>
      </c>
      <c r="R78" s="22">
        <v>68</v>
      </c>
      <c r="S78" s="22">
        <v>0.242004</v>
      </c>
      <c r="T78">
        <f t="shared" si="14"/>
        <v>19.177199999999999</v>
      </c>
      <c r="U78">
        <f t="shared" si="15"/>
        <v>4.6497422663999997</v>
      </c>
      <c r="X78" s="9"/>
      <c r="Y78" s="22">
        <v>1.1575299999999999</v>
      </c>
      <c r="Z78" s="22">
        <v>147.554</v>
      </c>
      <c r="AA78" s="22">
        <v>-1.8264800000000001E-2</v>
      </c>
      <c r="AB78" s="22">
        <v>68</v>
      </c>
      <c r="AC78" s="22">
        <v>1.1575299999999999</v>
      </c>
      <c r="AD78">
        <f t="shared" si="16"/>
        <v>18.264800000000001</v>
      </c>
      <c r="AE78">
        <f t="shared" si="17"/>
        <v>21.142053944000001</v>
      </c>
      <c r="AF78" s="9"/>
      <c r="AG78" s="22">
        <v>0.24246200000000001</v>
      </c>
      <c r="AH78" s="22">
        <v>196.352</v>
      </c>
      <c r="AI78" s="22">
        <v>-1.91711E-2</v>
      </c>
      <c r="AJ78" s="22">
        <v>68</v>
      </c>
      <c r="AK78" s="22">
        <v>0.24173</v>
      </c>
      <c r="AL78">
        <f t="shared" si="18"/>
        <v>19.171099999999999</v>
      </c>
      <c r="AM78">
        <f t="shared" si="19"/>
        <v>4.6482632482000001</v>
      </c>
      <c r="AP78" s="9"/>
      <c r="AQ78" s="22">
        <v>1.1575299999999999</v>
      </c>
      <c r="AR78" s="22">
        <v>245.12200000000001</v>
      </c>
      <c r="AS78" s="22">
        <v>-1.82556E-2</v>
      </c>
      <c r="AT78" s="22">
        <v>68</v>
      </c>
      <c r="AU78" s="22">
        <v>1.1563099999999999</v>
      </c>
      <c r="AV78">
        <f t="shared" si="20"/>
        <v>18.255600000000001</v>
      </c>
      <c r="AW78">
        <f t="shared" si="21"/>
        <v>21.131404668000002</v>
      </c>
      <c r="AX78" s="9"/>
      <c r="AY78" s="22">
        <v>0.24246200000000001</v>
      </c>
      <c r="AZ78" s="22">
        <v>294.02300000000002</v>
      </c>
      <c r="BA78" s="22">
        <v>-1.91589E-2</v>
      </c>
      <c r="BB78" s="22">
        <v>68</v>
      </c>
      <c r="BC78" s="22">
        <v>0.242004</v>
      </c>
      <c r="BD78">
        <f t="shared" si="22"/>
        <v>19.158899999999999</v>
      </c>
      <c r="BE78">
        <f t="shared" si="23"/>
        <v>4.6453052118000002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1.1525000000000001</v>
      </c>
      <c r="H79" s="22">
        <v>49.793999999999997</v>
      </c>
      <c r="I79" s="22">
        <v>-1.82831E-2</v>
      </c>
      <c r="J79" s="22">
        <v>69</v>
      </c>
      <c r="K79" s="22">
        <v>1.1517299999999999</v>
      </c>
      <c r="L79">
        <f t="shared" si="12"/>
        <v>18.283100000000001</v>
      </c>
      <c r="M79">
        <f t="shared" si="13"/>
        <v>21.071272750000002</v>
      </c>
      <c r="N79" s="9"/>
      <c r="O79" s="22">
        <v>0.247498</v>
      </c>
      <c r="P79" s="22">
        <v>98.620400000000004</v>
      </c>
      <c r="Q79" s="22">
        <v>-1.9174199999999999E-2</v>
      </c>
      <c r="R79" s="22">
        <v>69</v>
      </c>
      <c r="S79" s="22">
        <v>0.246887</v>
      </c>
      <c r="T79">
        <f t="shared" si="14"/>
        <v>19.174199999999999</v>
      </c>
      <c r="U79">
        <f t="shared" si="15"/>
        <v>4.7455761515999999</v>
      </c>
      <c r="X79" s="9"/>
      <c r="Y79" s="22">
        <v>1.1525000000000001</v>
      </c>
      <c r="Z79" s="22">
        <v>147.56399999999999</v>
      </c>
      <c r="AA79" s="22">
        <v>-1.8273899999999999E-2</v>
      </c>
      <c r="AB79" s="22">
        <v>69</v>
      </c>
      <c r="AC79" s="22">
        <v>1.1517299999999999</v>
      </c>
      <c r="AD79">
        <f t="shared" si="16"/>
        <v>18.273899999999998</v>
      </c>
      <c r="AE79">
        <f t="shared" si="17"/>
        <v>21.060669749999999</v>
      </c>
      <c r="AF79" s="9"/>
      <c r="AG79" s="22">
        <v>0.247498</v>
      </c>
      <c r="AH79" s="22">
        <v>196.36199999999999</v>
      </c>
      <c r="AI79" s="22">
        <v>-1.91681E-2</v>
      </c>
      <c r="AJ79" s="22">
        <v>69</v>
      </c>
      <c r="AK79" s="22">
        <v>0.24682599999999999</v>
      </c>
      <c r="AL79">
        <f t="shared" si="18"/>
        <v>19.168099999999999</v>
      </c>
      <c r="AM79">
        <f t="shared" si="19"/>
        <v>4.7440664137999997</v>
      </c>
      <c r="AP79" s="9"/>
      <c r="AQ79" s="22">
        <v>1.1525000000000001</v>
      </c>
      <c r="AR79" s="22">
        <v>245.13200000000001</v>
      </c>
      <c r="AS79" s="22">
        <v>-1.8258699999999999E-2</v>
      </c>
      <c r="AT79" s="22">
        <v>69</v>
      </c>
      <c r="AU79" s="22">
        <v>1.1517299999999999</v>
      </c>
      <c r="AV79">
        <f t="shared" si="20"/>
        <v>18.258699999999997</v>
      </c>
      <c r="AW79">
        <f t="shared" si="21"/>
        <v>21.04315175</v>
      </c>
      <c r="AX79" s="9"/>
      <c r="AY79" s="22">
        <v>0.247498</v>
      </c>
      <c r="AZ79" s="22">
        <v>294.03300000000002</v>
      </c>
      <c r="BA79" s="22">
        <v>-1.9152800000000001E-2</v>
      </c>
      <c r="BB79" s="22">
        <v>69</v>
      </c>
      <c r="BC79" s="22">
        <v>0.24685699999999999</v>
      </c>
      <c r="BD79">
        <f t="shared" si="22"/>
        <v>19.152800000000003</v>
      </c>
      <c r="BE79">
        <f t="shared" si="23"/>
        <v>4.7402796944000007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1.1474599999999999</v>
      </c>
      <c r="H80" s="22">
        <v>49.804099999999998</v>
      </c>
      <c r="I80" s="22">
        <v>-1.82861E-2</v>
      </c>
      <c r="J80" s="22">
        <v>70</v>
      </c>
      <c r="K80" s="22">
        <v>1.14655</v>
      </c>
      <c r="L80">
        <f t="shared" si="12"/>
        <v>18.286100000000001</v>
      </c>
      <c r="M80">
        <f t="shared" si="13"/>
        <v>20.982568306000001</v>
      </c>
      <c r="N80" s="9"/>
      <c r="O80" s="22">
        <v>0.25253300000000001</v>
      </c>
      <c r="P80" s="22">
        <v>98.630499999999998</v>
      </c>
      <c r="Q80" s="22">
        <v>-1.91711E-2</v>
      </c>
      <c r="R80" s="22">
        <v>70</v>
      </c>
      <c r="S80" s="22">
        <v>0.25192300000000001</v>
      </c>
      <c r="T80">
        <f t="shared" si="14"/>
        <v>19.171099999999999</v>
      </c>
      <c r="U80">
        <f t="shared" si="15"/>
        <v>4.8413353962999999</v>
      </c>
      <c r="X80" s="9"/>
      <c r="Y80" s="22">
        <v>1.1474599999999999</v>
      </c>
      <c r="Z80" s="22">
        <v>147.57400000000001</v>
      </c>
      <c r="AA80" s="22">
        <v>-1.8277000000000002E-2</v>
      </c>
      <c r="AB80" s="22">
        <v>70</v>
      </c>
      <c r="AC80" s="22">
        <v>1.1462399999999999</v>
      </c>
      <c r="AD80">
        <f t="shared" si="16"/>
        <v>18.277000000000001</v>
      </c>
      <c r="AE80">
        <f t="shared" si="17"/>
        <v>20.972126419999999</v>
      </c>
      <c r="AF80" s="9"/>
      <c r="AG80" s="22">
        <v>0.25253300000000001</v>
      </c>
      <c r="AH80" s="22">
        <v>196.37200000000001</v>
      </c>
      <c r="AI80" s="22">
        <v>-1.9161999999999998E-2</v>
      </c>
      <c r="AJ80" s="22">
        <v>70</v>
      </c>
      <c r="AK80" s="22">
        <v>0.25201400000000002</v>
      </c>
      <c r="AL80">
        <f t="shared" si="18"/>
        <v>19.161999999999999</v>
      </c>
      <c r="AM80">
        <f t="shared" si="19"/>
        <v>4.8390373459999996</v>
      </c>
      <c r="AP80" s="9"/>
      <c r="AQ80" s="22">
        <v>1.1474599999999999</v>
      </c>
      <c r="AR80" s="22">
        <v>245.142</v>
      </c>
      <c r="AS80" s="22">
        <v>-1.8264800000000001E-2</v>
      </c>
      <c r="AT80" s="22">
        <v>70</v>
      </c>
      <c r="AU80" s="22">
        <v>1.14655</v>
      </c>
      <c r="AV80">
        <f t="shared" si="20"/>
        <v>18.264800000000001</v>
      </c>
      <c r="AW80">
        <f t="shared" si="21"/>
        <v>20.958127407999999</v>
      </c>
      <c r="AX80" s="9"/>
      <c r="AY80" s="22">
        <v>0.25253300000000001</v>
      </c>
      <c r="AZ80" s="22">
        <v>294.04300000000001</v>
      </c>
      <c r="BA80" s="22">
        <v>-1.91437E-2</v>
      </c>
      <c r="BB80" s="22">
        <v>70</v>
      </c>
      <c r="BC80" s="22">
        <v>0.25152600000000003</v>
      </c>
      <c r="BD80">
        <f t="shared" si="22"/>
        <v>19.143699999999999</v>
      </c>
      <c r="BE80">
        <f t="shared" si="23"/>
        <v>4.8344159921000003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1.1424300000000001</v>
      </c>
      <c r="H81" s="22">
        <v>49.8142</v>
      </c>
      <c r="I81" s="22">
        <v>-1.8292200000000002E-2</v>
      </c>
      <c r="J81" s="22">
        <v>71</v>
      </c>
      <c r="K81" s="22">
        <v>1.1413599999999999</v>
      </c>
      <c r="L81">
        <f t="shared" si="12"/>
        <v>18.292200000000001</v>
      </c>
      <c r="M81">
        <f t="shared" si="13"/>
        <v>20.897558046000004</v>
      </c>
      <c r="N81" s="9"/>
      <c r="O81" s="22">
        <v>0.25756800000000002</v>
      </c>
      <c r="P81" s="22">
        <v>98.640600000000006</v>
      </c>
      <c r="Q81" s="22">
        <v>-1.91681E-2</v>
      </c>
      <c r="R81" s="22">
        <v>71</v>
      </c>
      <c r="S81" s="22">
        <v>0.257019</v>
      </c>
      <c r="T81">
        <f t="shared" si="14"/>
        <v>19.168099999999999</v>
      </c>
      <c r="U81">
        <f t="shared" si="15"/>
        <v>4.9370891808000001</v>
      </c>
      <c r="X81" s="9"/>
      <c r="Y81" s="22">
        <v>1.1424300000000001</v>
      </c>
      <c r="Z81" s="22">
        <v>147.584</v>
      </c>
      <c r="AA81" s="22">
        <v>-1.8280000000000001E-2</v>
      </c>
      <c r="AB81" s="22">
        <v>71</v>
      </c>
      <c r="AC81" s="22">
        <v>1.1416599999999999</v>
      </c>
      <c r="AD81">
        <f t="shared" si="16"/>
        <v>18.28</v>
      </c>
      <c r="AE81">
        <f t="shared" si="17"/>
        <v>20.883620400000002</v>
      </c>
      <c r="AF81" s="9"/>
      <c r="AG81" s="22">
        <v>0.25756800000000002</v>
      </c>
      <c r="AH81" s="22">
        <v>196.38200000000001</v>
      </c>
      <c r="AI81" s="22">
        <v>-1.91589E-2</v>
      </c>
      <c r="AJ81" s="22">
        <v>71</v>
      </c>
      <c r="AK81" s="22">
        <v>0.25698900000000002</v>
      </c>
      <c r="AL81">
        <f t="shared" si="18"/>
        <v>19.158899999999999</v>
      </c>
      <c r="AM81">
        <f t="shared" si="19"/>
        <v>4.9347195552000001</v>
      </c>
      <c r="AP81" s="9"/>
      <c r="AQ81" s="22">
        <v>1.1424300000000001</v>
      </c>
      <c r="AR81" s="22">
        <v>245.15199999999999</v>
      </c>
      <c r="AS81" s="22">
        <v>-1.82709E-2</v>
      </c>
      <c r="AT81" s="22">
        <v>71</v>
      </c>
      <c r="AU81" s="22">
        <v>1.1413599999999999</v>
      </c>
      <c r="AV81">
        <f t="shared" si="20"/>
        <v>18.270900000000001</v>
      </c>
      <c r="AW81">
        <f t="shared" si="21"/>
        <v>20.873224287000003</v>
      </c>
      <c r="AX81" s="9"/>
      <c r="AY81" s="22">
        <v>0.25756800000000002</v>
      </c>
      <c r="AZ81" s="22">
        <v>294.053</v>
      </c>
      <c r="BA81" s="22">
        <v>-1.9137600000000001E-2</v>
      </c>
      <c r="BB81" s="22">
        <v>71</v>
      </c>
      <c r="BC81" s="22">
        <v>0.25711099999999998</v>
      </c>
      <c r="BD81">
        <f t="shared" si="22"/>
        <v>19.137600000000003</v>
      </c>
      <c r="BE81">
        <f t="shared" si="23"/>
        <v>4.9292333568000011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1.1373899999999999</v>
      </c>
      <c r="H82" s="22">
        <v>49.824199999999998</v>
      </c>
      <c r="I82" s="22">
        <v>-1.82953E-2</v>
      </c>
      <c r="J82" s="22">
        <v>72</v>
      </c>
      <c r="K82" s="22">
        <v>1.1358600000000001</v>
      </c>
      <c r="L82">
        <f t="shared" si="12"/>
        <v>18.295300000000001</v>
      </c>
      <c r="M82">
        <f t="shared" si="13"/>
        <v>20.808891267</v>
      </c>
      <c r="N82" s="9"/>
      <c r="O82" s="22">
        <v>0.262604</v>
      </c>
      <c r="P82" s="22">
        <v>98.650700000000001</v>
      </c>
      <c r="Q82" s="22">
        <v>-1.9165000000000001E-2</v>
      </c>
      <c r="R82" s="22">
        <v>72</v>
      </c>
      <c r="S82" s="22">
        <v>0.26178000000000001</v>
      </c>
      <c r="T82">
        <f t="shared" si="14"/>
        <v>19.165000000000003</v>
      </c>
      <c r="U82">
        <f t="shared" si="15"/>
        <v>5.0328056600000011</v>
      </c>
      <c r="X82" s="9"/>
      <c r="Y82" s="22">
        <v>1.1373899999999999</v>
      </c>
      <c r="Z82" s="22">
        <v>147.59399999999999</v>
      </c>
      <c r="AA82" s="22">
        <v>-1.82861E-2</v>
      </c>
      <c r="AB82" s="22">
        <v>72</v>
      </c>
      <c r="AC82" s="22">
        <v>1.1367799999999999</v>
      </c>
      <c r="AD82">
        <f t="shared" si="16"/>
        <v>18.286100000000001</v>
      </c>
      <c r="AE82">
        <f t="shared" si="17"/>
        <v>20.798427278999998</v>
      </c>
      <c r="AF82" s="9"/>
      <c r="AG82" s="22">
        <v>0.262604</v>
      </c>
      <c r="AH82" s="22">
        <v>196.392</v>
      </c>
      <c r="AI82" s="22">
        <v>-1.91559E-2</v>
      </c>
      <c r="AJ82" s="22">
        <v>72</v>
      </c>
      <c r="AK82" s="22">
        <v>0.261963</v>
      </c>
      <c r="AL82">
        <f t="shared" si="18"/>
        <v>19.155899999999999</v>
      </c>
      <c r="AM82">
        <f t="shared" si="19"/>
        <v>5.0304159635999994</v>
      </c>
      <c r="AP82" s="9"/>
      <c r="AQ82" s="22">
        <v>1.1373899999999999</v>
      </c>
      <c r="AR82" s="22">
        <v>245.16200000000001</v>
      </c>
      <c r="AS82" s="22">
        <v>-1.8277000000000002E-2</v>
      </c>
      <c r="AT82" s="22">
        <v>72</v>
      </c>
      <c r="AU82" s="22">
        <v>1.1361699999999999</v>
      </c>
      <c r="AV82">
        <f t="shared" si="20"/>
        <v>18.277000000000001</v>
      </c>
      <c r="AW82">
        <f t="shared" si="21"/>
        <v>20.78807703</v>
      </c>
      <c r="AX82" s="9"/>
      <c r="AY82" s="22">
        <v>0.262604</v>
      </c>
      <c r="AZ82" s="22">
        <v>294.06299999999999</v>
      </c>
      <c r="BA82" s="22">
        <v>-1.9131499999999999E-2</v>
      </c>
      <c r="BB82" s="22">
        <v>72</v>
      </c>
      <c r="BC82" s="22">
        <v>0.26199299999999998</v>
      </c>
      <c r="BD82">
        <f t="shared" si="22"/>
        <v>19.131499999999999</v>
      </c>
      <c r="BE82">
        <f t="shared" si="23"/>
        <v>5.024008426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1.13235</v>
      </c>
      <c r="H83" s="22">
        <v>49.834299999999999</v>
      </c>
      <c r="I83" s="22">
        <v>-1.8301399999999999E-2</v>
      </c>
      <c r="J83" s="22">
        <v>73</v>
      </c>
      <c r="K83" s="22">
        <v>1.1315900000000001</v>
      </c>
      <c r="L83">
        <f t="shared" si="12"/>
        <v>18.301399999999997</v>
      </c>
      <c r="M83">
        <f t="shared" si="13"/>
        <v>20.723590289999997</v>
      </c>
      <c r="N83" s="9"/>
      <c r="O83" s="22">
        <v>0.26763900000000002</v>
      </c>
      <c r="P83" s="22">
        <v>98.660700000000006</v>
      </c>
      <c r="Q83" s="22">
        <v>-1.91589E-2</v>
      </c>
      <c r="R83" s="22">
        <v>73</v>
      </c>
      <c r="S83" s="22">
        <v>0.26696799999999998</v>
      </c>
      <c r="T83">
        <f t="shared" si="14"/>
        <v>19.158899999999999</v>
      </c>
      <c r="U83">
        <f t="shared" si="15"/>
        <v>5.1276688370999999</v>
      </c>
      <c r="X83" s="9"/>
      <c r="Y83" s="22">
        <v>1.13235</v>
      </c>
      <c r="Z83" s="22">
        <v>147.60400000000001</v>
      </c>
      <c r="AA83" s="22">
        <v>-1.8292200000000002E-2</v>
      </c>
      <c r="AB83" s="22">
        <v>73</v>
      </c>
      <c r="AC83" s="22">
        <v>1.1315900000000001</v>
      </c>
      <c r="AD83">
        <f t="shared" si="16"/>
        <v>18.292200000000001</v>
      </c>
      <c r="AE83">
        <f t="shared" si="17"/>
        <v>20.713172670000002</v>
      </c>
      <c r="AF83" s="9"/>
      <c r="AG83" s="22">
        <v>0.26763900000000002</v>
      </c>
      <c r="AH83" s="22">
        <v>196.40299999999999</v>
      </c>
      <c r="AI83" s="22">
        <v>-1.9146699999999999E-2</v>
      </c>
      <c r="AJ83" s="22">
        <v>73</v>
      </c>
      <c r="AK83" s="22">
        <v>0.26702900000000002</v>
      </c>
      <c r="AL83">
        <f t="shared" si="18"/>
        <v>19.146699999999999</v>
      </c>
      <c r="AM83">
        <f t="shared" si="19"/>
        <v>5.1244036412999998</v>
      </c>
      <c r="AP83" s="9"/>
      <c r="AQ83" s="22">
        <v>1.13235</v>
      </c>
      <c r="AR83" s="22">
        <v>245.172</v>
      </c>
      <c r="AS83" s="22">
        <v>-1.8280000000000001E-2</v>
      </c>
      <c r="AT83" s="22">
        <v>73</v>
      </c>
      <c r="AU83" s="22">
        <v>1.1312899999999999</v>
      </c>
      <c r="AV83">
        <f t="shared" si="20"/>
        <v>18.28</v>
      </c>
      <c r="AW83">
        <f t="shared" si="21"/>
        <v>20.699358</v>
      </c>
      <c r="AX83" s="9"/>
      <c r="AY83" s="22">
        <v>0.26763900000000002</v>
      </c>
      <c r="AZ83" s="22">
        <v>294.07299999999998</v>
      </c>
      <c r="BA83" s="22">
        <v>-1.9125400000000001E-2</v>
      </c>
      <c r="BB83" s="22">
        <v>73</v>
      </c>
      <c r="BC83" s="22">
        <v>0.26678499999999999</v>
      </c>
      <c r="BD83">
        <f t="shared" si="22"/>
        <v>19.125399999999999</v>
      </c>
      <c r="BE83">
        <f t="shared" si="23"/>
        <v>5.1187029306000005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1.1273200000000001</v>
      </c>
      <c r="H84" s="22">
        <v>49.8444</v>
      </c>
      <c r="I84" s="22">
        <v>-1.8307500000000001E-2</v>
      </c>
      <c r="J84" s="22">
        <v>74</v>
      </c>
      <c r="K84" s="22">
        <v>1.1267100000000001</v>
      </c>
      <c r="L84">
        <f t="shared" si="12"/>
        <v>18.307500000000001</v>
      </c>
      <c r="M84">
        <f t="shared" si="13"/>
        <v>20.638410900000004</v>
      </c>
      <c r="N84" s="9"/>
      <c r="O84" s="22">
        <v>0.272675</v>
      </c>
      <c r="P84" s="22">
        <v>98.6708</v>
      </c>
      <c r="Q84" s="22">
        <v>-1.9152800000000001E-2</v>
      </c>
      <c r="R84" s="22">
        <v>74</v>
      </c>
      <c r="S84" s="22">
        <v>0.27178999999999998</v>
      </c>
      <c r="T84">
        <f t="shared" si="14"/>
        <v>19.152800000000003</v>
      </c>
      <c r="U84">
        <f t="shared" si="15"/>
        <v>5.2224897400000003</v>
      </c>
      <c r="X84" s="9"/>
      <c r="Y84" s="22">
        <v>1.1273200000000001</v>
      </c>
      <c r="Z84" s="22">
        <v>147.614</v>
      </c>
      <c r="AA84" s="22">
        <v>-1.82983E-2</v>
      </c>
      <c r="AB84" s="22">
        <v>74</v>
      </c>
      <c r="AC84" s="22">
        <v>1.1264000000000001</v>
      </c>
      <c r="AD84">
        <f t="shared" si="16"/>
        <v>18.298300000000001</v>
      </c>
      <c r="AE84">
        <f t="shared" si="17"/>
        <v>20.628039556000004</v>
      </c>
      <c r="AF84" s="9"/>
      <c r="AG84" s="22">
        <v>0.272675</v>
      </c>
      <c r="AH84" s="22">
        <v>196.41300000000001</v>
      </c>
      <c r="AI84" s="22">
        <v>-1.91437E-2</v>
      </c>
      <c r="AJ84" s="22">
        <v>74</v>
      </c>
      <c r="AK84" s="22">
        <v>0.27206399999999997</v>
      </c>
      <c r="AL84">
        <f t="shared" si="18"/>
        <v>19.143699999999999</v>
      </c>
      <c r="AM84">
        <f t="shared" si="19"/>
        <v>5.2200083975</v>
      </c>
      <c r="AP84" s="9"/>
      <c r="AQ84" s="22">
        <v>1.1273200000000001</v>
      </c>
      <c r="AR84" s="22">
        <v>245.18199999999999</v>
      </c>
      <c r="AS84" s="22">
        <v>-1.8289199999999999E-2</v>
      </c>
      <c r="AT84" s="22">
        <v>74</v>
      </c>
      <c r="AU84" s="22">
        <v>1.1264000000000001</v>
      </c>
      <c r="AV84">
        <f t="shared" si="20"/>
        <v>18.289199999999997</v>
      </c>
      <c r="AW84">
        <f t="shared" si="21"/>
        <v>20.617780944</v>
      </c>
      <c r="AX84" s="9"/>
      <c r="AY84" s="22">
        <v>0.272675</v>
      </c>
      <c r="AZ84" s="22">
        <v>294.084</v>
      </c>
      <c r="BA84" s="22">
        <v>-1.9125400000000001E-2</v>
      </c>
      <c r="BB84" s="22">
        <v>74</v>
      </c>
      <c r="BC84" s="22">
        <v>0.27230799999999999</v>
      </c>
      <c r="BD84">
        <f t="shared" si="22"/>
        <v>19.125399999999999</v>
      </c>
      <c r="BE84">
        <f t="shared" si="23"/>
        <v>5.2150184450000001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1.1222799999999999</v>
      </c>
      <c r="H85" s="22">
        <v>49.854500000000002</v>
      </c>
      <c r="I85" s="22">
        <v>-1.8313599999999999E-2</v>
      </c>
      <c r="J85" s="22">
        <v>75</v>
      </c>
      <c r="K85" s="22">
        <v>1.1212200000000001</v>
      </c>
      <c r="L85">
        <f t="shared" si="12"/>
        <v>18.313600000000001</v>
      </c>
      <c r="M85">
        <f t="shared" si="13"/>
        <v>20.552987007999999</v>
      </c>
      <c r="N85" s="9"/>
      <c r="O85" s="22">
        <v>0.27771000000000001</v>
      </c>
      <c r="P85" s="22">
        <v>98.680899999999994</v>
      </c>
      <c r="Q85" s="22">
        <v>-1.9146699999999999E-2</v>
      </c>
      <c r="R85" s="22">
        <v>75</v>
      </c>
      <c r="S85" s="22">
        <v>0.27712999999999999</v>
      </c>
      <c r="T85">
        <f t="shared" si="14"/>
        <v>19.146699999999999</v>
      </c>
      <c r="U85">
        <f t="shared" si="15"/>
        <v>5.3172300569999997</v>
      </c>
      <c r="X85" s="9"/>
      <c r="Y85" s="22">
        <v>1.1222799999999999</v>
      </c>
      <c r="Z85" s="22">
        <v>147.624</v>
      </c>
      <c r="AA85" s="22">
        <v>-1.8304399999999998E-2</v>
      </c>
      <c r="AB85" s="22">
        <v>75</v>
      </c>
      <c r="AC85" s="22">
        <v>1.1221300000000001</v>
      </c>
      <c r="AD85">
        <f t="shared" si="16"/>
        <v>18.304399999999998</v>
      </c>
      <c r="AE85">
        <f t="shared" si="17"/>
        <v>20.542662031999996</v>
      </c>
      <c r="AF85" s="9"/>
      <c r="AG85" s="22">
        <v>0.27771000000000001</v>
      </c>
      <c r="AH85" s="22">
        <v>196.423</v>
      </c>
      <c r="AI85" s="22">
        <v>-1.9134499999999999E-2</v>
      </c>
      <c r="AJ85" s="22">
        <v>75</v>
      </c>
      <c r="AK85" s="22">
        <v>0.27700799999999998</v>
      </c>
      <c r="AL85">
        <f t="shared" si="18"/>
        <v>19.134499999999999</v>
      </c>
      <c r="AM85">
        <f t="shared" si="19"/>
        <v>5.3138419949999998</v>
      </c>
      <c r="AP85" s="9"/>
      <c r="AQ85" s="22">
        <v>1.1222799999999999</v>
      </c>
      <c r="AR85" s="22">
        <v>245.19200000000001</v>
      </c>
      <c r="AS85" s="22">
        <v>-1.82953E-2</v>
      </c>
      <c r="AT85" s="22">
        <v>75</v>
      </c>
      <c r="AU85" s="22">
        <v>1.1212200000000001</v>
      </c>
      <c r="AV85">
        <f t="shared" si="20"/>
        <v>18.295300000000001</v>
      </c>
      <c r="AW85">
        <f t="shared" si="21"/>
        <v>20.532449283999998</v>
      </c>
      <c r="AX85" s="9"/>
      <c r="AY85" s="22">
        <v>0.27771000000000001</v>
      </c>
      <c r="AZ85" s="22">
        <v>294.09399999999999</v>
      </c>
      <c r="BA85" s="22">
        <v>-1.9122299999999998E-2</v>
      </c>
      <c r="BB85" s="22">
        <v>75</v>
      </c>
      <c r="BC85" s="22">
        <v>0.27719100000000002</v>
      </c>
      <c r="BD85">
        <f t="shared" si="22"/>
        <v>19.122299999999999</v>
      </c>
      <c r="BE85">
        <f t="shared" si="23"/>
        <v>5.3104539329999998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1.1172500000000001</v>
      </c>
      <c r="H86" s="22">
        <v>49.8645</v>
      </c>
      <c r="I86" s="22">
        <v>-1.8316700000000002E-2</v>
      </c>
      <c r="J86" s="22">
        <v>76</v>
      </c>
      <c r="K86" s="22">
        <v>1.1160300000000001</v>
      </c>
      <c r="L86">
        <f t="shared" si="12"/>
        <v>18.316700000000001</v>
      </c>
      <c r="M86">
        <f t="shared" si="13"/>
        <v>20.464333075000003</v>
      </c>
      <c r="N86" s="9"/>
      <c r="O86" s="22">
        <v>0.28274500000000002</v>
      </c>
      <c r="P86" s="22">
        <v>98.690899999999999</v>
      </c>
      <c r="Q86" s="22">
        <v>-1.91437E-2</v>
      </c>
      <c r="R86" s="22">
        <v>76</v>
      </c>
      <c r="S86" s="22">
        <v>0.28207399999999999</v>
      </c>
      <c r="T86">
        <f t="shared" si="14"/>
        <v>19.143699999999999</v>
      </c>
      <c r="U86">
        <f t="shared" si="15"/>
        <v>5.4127854565</v>
      </c>
      <c r="X86" s="9"/>
      <c r="Y86" s="22">
        <v>1.1172500000000001</v>
      </c>
      <c r="Z86" s="22">
        <v>147.63399999999999</v>
      </c>
      <c r="AA86" s="22">
        <v>-1.8304399999999998E-2</v>
      </c>
      <c r="AB86" s="22">
        <v>76</v>
      </c>
      <c r="AC86" s="22">
        <v>1.11572</v>
      </c>
      <c r="AD86">
        <f t="shared" si="16"/>
        <v>18.304399999999998</v>
      </c>
      <c r="AE86">
        <f t="shared" si="17"/>
        <v>20.450590899999998</v>
      </c>
      <c r="AF86" s="9"/>
      <c r="AG86" s="22">
        <v>0.28274500000000002</v>
      </c>
      <c r="AH86" s="22">
        <v>196.43299999999999</v>
      </c>
      <c r="AI86" s="22">
        <v>-1.9131499999999999E-2</v>
      </c>
      <c r="AJ86" s="22">
        <v>76</v>
      </c>
      <c r="AK86" s="22">
        <v>0.28213500000000002</v>
      </c>
      <c r="AL86">
        <f t="shared" si="18"/>
        <v>19.131499999999999</v>
      </c>
      <c r="AM86">
        <f t="shared" si="19"/>
        <v>5.4093359675000006</v>
      </c>
      <c r="AP86" s="9"/>
      <c r="AQ86" s="22">
        <v>1.1172500000000001</v>
      </c>
      <c r="AR86" s="22">
        <v>245.202</v>
      </c>
      <c r="AS86" s="22">
        <v>-1.82983E-2</v>
      </c>
      <c r="AT86" s="22">
        <v>76</v>
      </c>
      <c r="AU86" s="22">
        <v>1.1160300000000001</v>
      </c>
      <c r="AV86">
        <f t="shared" si="20"/>
        <v>18.298300000000001</v>
      </c>
      <c r="AW86">
        <f t="shared" si="21"/>
        <v>20.443775675000001</v>
      </c>
      <c r="AX86" s="9"/>
      <c r="AY86" s="22">
        <v>0.28274500000000002</v>
      </c>
      <c r="AZ86" s="22">
        <v>294.10399999999998</v>
      </c>
      <c r="BA86" s="22">
        <v>-1.9119299999999999E-2</v>
      </c>
      <c r="BB86" s="22">
        <v>76</v>
      </c>
      <c r="BC86" s="22">
        <v>0.28198200000000001</v>
      </c>
      <c r="BD86">
        <f t="shared" si="22"/>
        <v>19.119299999999999</v>
      </c>
      <c r="BE86">
        <f t="shared" si="23"/>
        <v>5.4058864785000003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1.1122099999999999</v>
      </c>
      <c r="H87" s="22">
        <v>49.874600000000001</v>
      </c>
      <c r="I87" s="22">
        <v>-1.83228E-2</v>
      </c>
      <c r="J87" s="22">
        <v>77</v>
      </c>
      <c r="K87" s="22">
        <v>1.1111500000000001</v>
      </c>
      <c r="L87">
        <f t="shared" si="12"/>
        <v>18.322800000000001</v>
      </c>
      <c r="M87">
        <f t="shared" si="13"/>
        <v>20.378801387999999</v>
      </c>
      <c r="N87" s="9"/>
      <c r="O87" s="22">
        <v>0.28778100000000001</v>
      </c>
      <c r="P87" s="22">
        <v>98.700999999999993</v>
      </c>
      <c r="Q87" s="22">
        <v>-1.9134499999999999E-2</v>
      </c>
      <c r="R87" s="22">
        <v>77</v>
      </c>
      <c r="S87" s="22">
        <v>0.28714000000000001</v>
      </c>
      <c r="T87">
        <f t="shared" si="14"/>
        <v>19.134499999999999</v>
      </c>
      <c r="U87">
        <f t="shared" si="15"/>
        <v>5.5065455444999998</v>
      </c>
      <c r="X87" s="9"/>
      <c r="Y87" s="22">
        <v>1.1122099999999999</v>
      </c>
      <c r="Z87" s="22">
        <v>147.64400000000001</v>
      </c>
      <c r="AA87" s="22">
        <v>-1.83105E-2</v>
      </c>
      <c r="AB87" s="22">
        <v>77</v>
      </c>
      <c r="AC87" s="22">
        <v>1.11053</v>
      </c>
      <c r="AD87">
        <f t="shared" si="16"/>
        <v>18.310500000000001</v>
      </c>
      <c r="AE87">
        <f t="shared" si="17"/>
        <v>20.365121205000001</v>
      </c>
      <c r="AF87" s="9"/>
      <c r="AG87" s="22">
        <v>0.28778100000000001</v>
      </c>
      <c r="AH87" s="22">
        <v>196.44300000000001</v>
      </c>
      <c r="AI87" s="22">
        <v>-1.91284E-2</v>
      </c>
      <c r="AJ87" s="22">
        <v>77</v>
      </c>
      <c r="AK87" s="22">
        <v>0.28716999999999998</v>
      </c>
      <c r="AL87">
        <f t="shared" si="18"/>
        <v>19.128399999999999</v>
      </c>
      <c r="AM87">
        <f t="shared" si="19"/>
        <v>5.5047900804000003</v>
      </c>
      <c r="AP87" s="9"/>
      <c r="AQ87" s="22">
        <v>1.1122099999999999</v>
      </c>
      <c r="AR87" s="22">
        <v>245.21199999999999</v>
      </c>
      <c r="AS87" s="22">
        <v>-1.8301399999999999E-2</v>
      </c>
      <c r="AT87" s="22">
        <v>77</v>
      </c>
      <c r="AU87" s="22">
        <v>1.11053</v>
      </c>
      <c r="AV87">
        <f t="shared" si="20"/>
        <v>18.301399999999997</v>
      </c>
      <c r="AW87">
        <f t="shared" si="21"/>
        <v>20.355000093999994</v>
      </c>
      <c r="AX87" s="9"/>
      <c r="AY87" s="22">
        <v>0.28778100000000001</v>
      </c>
      <c r="AZ87" s="22">
        <v>294.11399999999998</v>
      </c>
      <c r="BA87" s="22">
        <v>-1.91132E-2</v>
      </c>
      <c r="BB87" s="22">
        <v>77</v>
      </c>
      <c r="BC87" s="22">
        <v>0.28726200000000002</v>
      </c>
      <c r="BD87">
        <f t="shared" si="22"/>
        <v>19.113199999999999</v>
      </c>
      <c r="BE87">
        <f t="shared" si="23"/>
        <v>5.5004158091999997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1.1071800000000001</v>
      </c>
      <c r="H88" s="22">
        <v>49.884700000000002</v>
      </c>
      <c r="I88" s="22">
        <v>-1.8328899999999999E-2</v>
      </c>
      <c r="J88" s="22">
        <v>78</v>
      </c>
      <c r="K88" s="22">
        <v>1.1059600000000001</v>
      </c>
      <c r="L88">
        <f t="shared" si="12"/>
        <v>18.328899999999997</v>
      </c>
      <c r="M88">
        <f t="shared" si="13"/>
        <v>20.293391501999999</v>
      </c>
      <c r="N88" s="9"/>
      <c r="O88" s="22">
        <v>0.29281600000000002</v>
      </c>
      <c r="P88" s="22">
        <v>98.711100000000002</v>
      </c>
      <c r="Q88" s="22">
        <v>-1.9131499999999999E-2</v>
      </c>
      <c r="R88" s="22">
        <v>78</v>
      </c>
      <c r="S88" s="22">
        <v>0.29244999999999999</v>
      </c>
      <c r="T88">
        <f t="shared" si="14"/>
        <v>19.131499999999999</v>
      </c>
      <c r="U88">
        <f t="shared" si="15"/>
        <v>5.6020093040000001</v>
      </c>
      <c r="X88" s="9"/>
      <c r="Y88" s="22">
        <v>1.1071800000000001</v>
      </c>
      <c r="Z88" s="22">
        <v>147.654</v>
      </c>
      <c r="AA88" s="22">
        <v>-1.8313599999999999E-2</v>
      </c>
      <c r="AB88" s="22">
        <v>78</v>
      </c>
      <c r="AC88" s="22">
        <v>1.10626</v>
      </c>
      <c r="AD88">
        <f t="shared" si="16"/>
        <v>18.313600000000001</v>
      </c>
      <c r="AE88">
        <f t="shared" si="17"/>
        <v>20.276451648000002</v>
      </c>
      <c r="AF88" s="9"/>
      <c r="AG88" s="22">
        <v>0.29281600000000002</v>
      </c>
      <c r="AH88" s="22">
        <v>196.453</v>
      </c>
      <c r="AI88" s="22">
        <v>-1.91284E-2</v>
      </c>
      <c r="AJ88" s="22">
        <v>78</v>
      </c>
      <c r="AK88" s="22">
        <v>0.291962</v>
      </c>
      <c r="AL88">
        <f t="shared" si="18"/>
        <v>19.128399999999999</v>
      </c>
      <c r="AM88">
        <f t="shared" si="19"/>
        <v>5.6011015744000003</v>
      </c>
      <c r="AP88" s="9"/>
      <c r="AQ88" s="22">
        <v>1.1071800000000001</v>
      </c>
      <c r="AR88" s="22">
        <v>245.22200000000001</v>
      </c>
      <c r="AS88" s="22">
        <v>-1.8307500000000001E-2</v>
      </c>
      <c r="AT88" s="22">
        <v>78</v>
      </c>
      <c r="AU88" s="22">
        <v>1.10687</v>
      </c>
      <c r="AV88">
        <f t="shared" si="20"/>
        <v>18.307500000000001</v>
      </c>
      <c r="AW88">
        <f t="shared" si="21"/>
        <v>20.269697850000004</v>
      </c>
      <c r="AX88" s="9"/>
      <c r="AY88" s="22">
        <v>0.29281600000000002</v>
      </c>
      <c r="AZ88" s="22">
        <v>294.12400000000002</v>
      </c>
      <c r="BA88" s="22">
        <v>-1.9110100000000001E-2</v>
      </c>
      <c r="BB88" s="22">
        <v>78</v>
      </c>
      <c r="BC88" s="22">
        <v>0.29220600000000002</v>
      </c>
      <c r="BD88">
        <f t="shared" si="22"/>
        <v>19.110100000000003</v>
      </c>
      <c r="BE88">
        <f t="shared" si="23"/>
        <v>5.5957430416000014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1.1021399999999999</v>
      </c>
      <c r="H89" s="22">
        <v>49.8947</v>
      </c>
      <c r="I89" s="22">
        <v>-1.8335000000000001E-2</v>
      </c>
      <c r="J89" s="22">
        <v>79</v>
      </c>
      <c r="K89" s="22">
        <v>1.10138</v>
      </c>
      <c r="L89">
        <f t="shared" si="12"/>
        <v>18.335000000000001</v>
      </c>
      <c r="M89">
        <f t="shared" si="13"/>
        <v>20.2077369</v>
      </c>
      <c r="N89" s="9"/>
      <c r="O89" s="22">
        <v>0.29785200000000001</v>
      </c>
      <c r="P89" s="22">
        <v>98.721199999999996</v>
      </c>
      <c r="Q89" s="22">
        <v>-1.91284E-2</v>
      </c>
      <c r="R89" s="22">
        <v>79</v>
      </c>
      <c r="S89" s="22">
        <v>0.29724099999999998</v>
      </c>
      <c r="T89">
        <f t="shared" si="14"/>
        <v>19.128399999999999</v>
      </c>
      <c r="U89">
        <f t="shared" si="15"/>
        <v>5.6974321967999995</v>
      </c>
      <c r="X89" s="9"/>
      <c r="Y89" s="22">
        <v>1.1021399999999999</v>
      </c>
      <c r="Z89" s="22">
        <v>147.66499999999999</v>
      </c>
      <c r="AA89" s="22">
        <v>-1.83228E-2</v>
      </c>
      <c r="AB89" s="22">
        <v>79</v>
      </c>
      <c r="AC89" s="22">
        <v>1.10107</v>
      </c>
      <c r="AD89">
        <f t="shared" si="16"/>
        <v>18.322800000000001</v>
      </c>
      <c r="AE89">
        <f t="shared" si="17"/>
        <v>20.194290792</v>
      </c>
      <c r="AF89" s="9"/>
      <c r="AG89" s="22">
        <v>0.29785200000000001</v>
      </c>
      <c r="AH89" s="22">
        <v>196.46299999999999</v>
      </c>
      <c r="AI89" s="22">
        <v>-1.9125400000000001E-2</v>
      </c>
      <c r="AJ89" s="22">
        <v>79</v>
      </c>
      <c r="AK89" s="22">
        <v>0.29702800000000001</v>
      </c>
      <c r="AL89">
        <f t="shared" si="18"/>
        <v>19.125399999999999</v>
      </c>
      <c r="AM89">
        <f t="shared" si="19"/>
        <v>5.6965386408000001</v>
      </c>
      <c r="AP89" s="9"/>
      <c r="AQ89" s="22">
        <v>1.1021399999999999</v>
      </c>
      <c r="AR89" s="22">
        <v>245.232</v>
      </c>
      <c r="AS89" s="22">
        <v>-1.8313599999999999E-2</v>
      </c>
      <c r="AT89" s="22">
        <v>79</v>
      </c>
      <c r="AU89" s="22">
        <v>1.10107</v>
      </c>
      <c r="AV89">
        <f t="shared" si="20"/>
        <v>18.313600000000001</v>
      </c>
      <c r="AW89">
        <f t="shared" si="21"/>
        <v>20.184151103999998</v>
      </c>
      <c r="AX89" s="9"/>
      <c r="AY89" s="22">
        <v>0.29785200000000001</v>
      </c>
      <c r="AZ89" s="22">
        <v>294.13400000000001</v>
      </c>
      <c r="BA89" s="22">
        <v>-1.9103999999999999E-2</v>
      </c>
      <c r="BB89" s="22">
        <v>79</v>
      </c>
      <c r="BC89" s="22">
        <v>0.29708899999999999</v>
      </c>
      <c r="BD89">
        <f t="shared" si="22"/>
        <v>19.103999999999999</v>
      </c>
      <c r="BE89">
        <f t="shared" si="23"/>
        <v>5.6901646079999999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1.09711</v>
      </c>
      <c r="H90" s="22">
        <v>49.904800000000002</v>
      </c>
      <c r="I90" s="22">
        <v>-1.8338E-2</v>
      </c>
      <c r="J90" s="22">
        <v>80</v>
      </c>
      <c r="K90" s="22">
        <v>1.0968</v>
      </c>
      <c r="L90">
        <f t="shared" si="12"/>
        <v>18.338000000000001</v>
      </c>
      <c r="M90">
        <f t="shared" si="13"/>
        <v>20.11880318</v>
      </c>
      <c r="N90" s="9"/>
      <c r="O90" s="22">
        <v>0.30288700000000002</v>
      </c>
      <c r="P90" s="22">
        <v>98.731200000000001</v>
      </c>
      <c r="Q90" s="22">
        <v>-1.9125400000000001E-2</v>
      </c>
      <c r="R90" s="22">
        <v>80</v>
      </c>
      <c r="S90" s="22">
        <v>0.30252099999999998</v>
      </c>
      <c r="T90">
        <f t="shared" si="14"/>
        <v>19.125399999999999</v>
      </c>
      <c r="U90">
        <f t="shared" si="15"/>
        <v>5.7928350298</v>
      </c>
      <c r="X90" s="9"/>
      <c r="Y90" s="22">
        <v>1.09711</v>
      </c>
      <c r="Z90" s="22">
        <v>147.67500000000001</v>
      </c>
      <c r="AA90" s="22">
        <v>-1.8328899999999999E-2</v>
      </c>
      <c r="AB90" s="22">
        <v>80</v>
      </c>
      <c r="AC90" s="22">
        <v>1.09589</v>
      </c>
      <c r="AD90">
        <f t="shared" si="16"/>
        <v>18.328899999999997</v>
      </c>
      <c r="AE90">
        <f t="shared" si="17"/>
        <v>20.108819478999997</v>
      </c>
      <c r="AF90" s="9"/>
      <c r="AG90" s="22">
        <v>0.30288700000000002</v>
      </c>
      <c r="AH90" s="22">
        <v>196.47300000000001</v>
      </c>
      <c r="AI90" s="22">
        <v>-1.9122299999999998E-2</v>
      </c>
      <c r="AJ90" s="22">
        <v>80</v>
      </c>
      <c r="AK90" s="22">
        <v>0.30218499999999998</v>
      </c>
      <c r="AL90">
        <f t="shared" si="18"/>
        <v>19.122299999999999</v>
      </c>
      <c r="AM90">
        <f t="shared" si="19"/>
        <v>5.7918960800999999</v>
      </c>
      <c r="AP90" s="9"/>
      <c r="AQ90" s="22">
        <v>1.09711</v>
      </c>
      <c r="AR90" s="22">
        <v>245.24199999999999</v>
      </c>
      <c r="AS90" s="22">
        <v>-1.8316700000000002E-2</v>
      </c>
      <c r="AT90" s="22">
        <v>80</v>
      </c>
      <c r="AU90" s="22">
        <v>1.09619</v>
      </c>
      <c r="AV90">
        <f t="shared" si="20"/>
        <v>18.316700000000001</v>
      </c>
      <c r="AW90">
        <f t="shared" si="21"/>
        <v>20.095434737000001</v>
      </c>
      <c r="AX90" s="9"/>
      <c r="AY90" s="22">
        <v>0.30288700000000002</v>
      </c>
      <c r="AZ90" s="22">
        <v>294.14400000000001</v>
      </c>
      <c r="BA90" s="22">
        <v>-1.9101E-2</v>
      </c>
      <c r="BB90" s="22">
        <v>80</v>
      </c>
      <c r="BC90" s="22">
        <v>0.30255100000000001</v>
      </c>
      <c r="BD90">
        <f t="shared" si="22"/>
        <v>19.100999999999999</v>
      </c>
      <c r="BE90">
        <f t="shared" si="23"/>
        <v>5.7854445869999997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1.0920700000000001</v>
      </c>
      <c r="H91" s="22">
        <v>49.914900000000003</v>
      </c>
      <c r="I91" s="22">
        <v>-1.8344099999999999E-2</v>
      </c>
      <c r="J91" s="22">
        <v>81</v>
      </c>
      <c r="K91" s="22">
        <v>1.091</v>
      </c>
      <c r="L91">
        <f t="shared" si="12"/>
        <v>18.344099999999997</v>
      </c>
      <c r="M91">
        <f t="shared" si="13"/>
        <v>20.033041287</v>
      </c>
      <c r="N91" s="9"/>
      <c r="O91" s="22">
        <v>0.30792199999999997</v>
      </c>
      <c r="P91" s="22">
        <v>98.741299999999995</v>
      </c>
      <c r="Q91" s="22">
        <v>-1.9119299999999999E-2</v>
      </c>
      <c r="R91" s="22">
        <v>81</v>
      </c>
      <c r="S91" s="22">
        <v>0.30721999999999999</v>
      </c>
      <c r="T91">
        <f t="shared" si="14"/>
        <v>19.119299999999999</v>
      </c>
      <c r="U91">
        <f t="shared" si="15"/>
        <v>5.8872530945999992</v>
      </c>
      <c r="X91" s="9"/>
      <c r="Y91" s="22">
        <v>1.0920700000000001</v>
      </c>
      <c r="Z91" s="22">
        <v>147.685</v>
      </c>
      <c r="AA91" s="22">
        <v>-1.8335000000000001E-2</v>
      </c>
      <c r="AB91" s="22">
        <v>81</v>
      </c>
      <c r="AC91" s="22">
        <v>1.0907</v>
      </c>
      <c r="AD91">
        <f t="shared" si="16"/>
        <v>18.335000000000001</v>
      </c>
      <c r="AE91">
        <f t="shared" si="17"/>
        <v>20.023103450000004</v>
      </c>
      <c r="AF91" s="9"/>
      <c r="AG91" s="22">
        <v>0.30792199999999997</v>
      </c>
      <c r="AH91" s="22">
        <v>196.483</v>
      </c>
      <c r="AI91" s="22">
        <v>-1.9119299999999999E-2</v>
      </c>
      <c r="AJ91" s="22">
        <v>81</v>
      </c>
      <c r="AK91" s="22">
        <v>0.30721999999999999</v>
      </c>
      <c r="AL91">
        <f t="shared" si="18"/>
        <v>19.119299999999999</v>
      </c>
      <c r="AM91">
        <f t="shared" si="19"/>
        <v>5.8872530945999992</v>
      </c>
      <c r="AP91" s="9"/>
      <c r="AQ91" s="22">
        <v>1.0920700000000001</v>
      </c>
      <c r="AR91" s="22">
        <v>245.25299999999999</v>
      </c>
      <c r="AS91" s="22">
        <v>-1.83228E-2</v>
      </c>
      <c r="AT91" s="22">
        <v>81</v>
      </c>
      <c r="AU91" s="22">
        <v>1.09131</v>
      </c>
      <c r="AV91">
        <f t="shared" si="20"/>
        <v>18.322800000000001</v>
      </c>
      <c r="AW91">
        <f t="shared" si="21"/>
        <v>20.009780196000001</v>
      </c>
      <c r="AX91" s="9"/>
      <c r="AY91" s="22">
        <v>0.30792199999999997</v>
      </c>
      <c r="AZ91" s="22">
        <v>294.154</v>
      </c>
      <c r="BA91" s="22">
        <v>-1.9094799999999999E-2</v>
      </c>
      <c r="BB91" s="22">
        <v>81</v>
      </c>
      <c r="BC91" s="22">
        <v>0.30709799999999998</v>
      </c>
      <c r="BD91">
        <f t="shared" si="22"/>
        <v>19.094799999999999</v>
      </c>
      <c r="BE91">
        <f t="shared" si="23"/>
        <v>5.8797090055999996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1.08704</v>
      </c>
      <c r="H92" s="22">
        <v>49.924999999999997</v>
      </c>
      <c r="I92" s="22">
        <v>-1.8350200000000001E-2</v>
      </c>
      <c r="J92" s="22">
        <v>82</v>
      </c>
      <c r="K92" s="22">
        <v>1.08582</v>
      </c>
      <c r="L92">
        <f t="shared" si="12"/>
        <v>18.350200000000001</v>
      </c>
      <c r="M92">
        <f t="shared" si="13"/>
        <v>19.947401408000001</v>
      </c>
      <c r="N92" s="9"/>
      <c r="O92" s="22">
        <v>0.31295800000000001</v>
      </c>
      <c r="P92" s="22">
        <v>98.751400000000004</v>
      </c>
      <c r="Q92" s="22">
        <v>-1.91162E-2</v>
      </c>
      <c r="R92" s="22">
        <v>82</v>
      </c>
      <c r="S92" s="22">
        <v>0.31222499999999997</v>
      </c>
      <c r="T92">
        <f t="shared" si="14"/>
        <v>19.116199999999999</v>
      </c>
      <c r="U92">
        <f t="shared" si="15"/>
        <v>5.9825677196000004</v>
      </c>
      <c r="X92" s="9"/>
      <c r="Y92" s="22">
        <v>1.08704</v>
      </c>
      <c r="Z92" s="22">
        <v>147.69499999999999</v>
      </c>
      <c r="AA92" s="22">
        <v>-1.8335000000000001E-2</v>
      </c>
      <c r="AB92" s="22">
        <v>82</v>
      </c>
      <c r="AC92" s="22">
        <v>1.08643</v>
      </c>
      <c r="AD92">
        <f t="shared" si="16"/>
        <v>18.335000000000001</v>
      </c>
      <c r="AE92">
        <f t="shared" si="17"/>
        <v>19.930878400000001</v>
      </c>
      <c r="AF92" s="9"/>
      <c r="AG92" s="22">
        <v>0.31295800000000001</v>
      </c>
      <c r="AH92" s="22">
        <v>196.49299999999999</v>
      </c>
      <c r="AI92" s="22">
        <v>-1.91132E-2</v>
      </c>
      <c r="AJ92" s="22">
        <v>82</v>
      </c>
      <c r="AK92" s="22">
        <v>0.31228600000000001</v>
      </c>
      <c r="AL92">
        <f t="shared" si="18"/>
        <v>19.113199999999999</v>
      </c>
      <c r="AM92">
        <f t="shared" si="19"/>
        <v>5.9816288456000004</v>
      </c>
      <c r="AP92" s="9"/>
      <c r="AQ92" s="22">
        <v>1.08704</v>
      </c>
      <c r="AR92" s="22">
        <v>245.26300000000001</v>
      </c>
      <c r="AS92" s="22">
        <v>-1.8328899999999999E-2</v>
      </c>
      <c r="AT92" s="22">
        <v>82</v>
      </c>
      <c r="AU92" s="22">
        <v>1.08551</v>
      </c>
      <c r="AV92">
        <f t="shared" si="20"/>
        <v>18.328899999999997</v>
      </c>
      <c r="AW92">
        <f t="shared" si="21"/>
        <v>19.924247455999996</v>
      </c>
      <c r="AX92" s="9"/>
      <c r="AY92" s="22">
        <v>0.31295800000000001</v>
      </c>
      <c r="AZ92" s="22">
        <v>294.16399999999999</v>
      </c>
      <c r="BA92" s="22">
        <v>-1.9091799999999999E-2</v>
      </c>
      <c r="BB92" s="22">
        <v>82</v>
      </c>
      <c r="BC92" s="22">
        <v>0.31222499999999997</v>
      </c>
      <c r="BD92">
        <f t="shared" si="22"/>
        <v>19.091799999999999</v>
      </c>
      <c r="BE92">
        <f t="shared" si="23"/>
        <v>5.9749315444000004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1.0820000000000001</v>
      </c>
      <c r="H93" s="22">
        <v>49.935000000000002</v>
      </c>
      <c r="I93" s="22">
        <v>-1.8353299999999999E-2</v>
      </c>
      <c r="J93" s="22">
        <v>83</v>
      </c>
      <c r="K93" s="22">
        <v>1.08185</v>
      </c>
      <c r="L93">
        <f t="shared" si="12"/>
        <v>18.353300000000001</v>
      </c>
      <c r="M93">
        <f t="shared" si="13"/>
        <v>19.858270600000001</v>
      </c>
      <c r="N93" s="9"/>
      <c r="O93" s="22">
        <v>0.31799300000000003</v>
      </c>
      <c r="P93" s="22">
        <v>98.761399999999995</v>
      </c>
      <c r="Q93" s="22">
        <v>-1.9110100000000001E-2</v>
      </c>
      <c r="R93" s="22">
        <v>83</v>
      </c>
      <c r="S93" s="22">
        <v>0.31723000000000001</v>
      </c>
      <c r="T93">
        <f t="shared" si="14"/>
        <v>19.110100000000003</v>
      </c>
      <c r="U93">
        <f t="shared" si="15"/>
        <v>6.0768780293000013</v>
      </c>
      <c r="X93" s="9"/>
      <c r="Y93" s="22">
        <v>1.0820000000000001</v>
      </c>
      <c r="Z93" s="22">
        <v>147.70500000000001</v>
      </c>
      <c r="AA93" s="22">
        <v>-1.8338E-2</v>
      </c>
      <c r="AB93" s="22">
        <v>83</v>
      </c>
      <c r="AC93" s="22">
        <v>1.08124</v>
      </c>
      <c r="AD93">
        <f t="shared" si="16"/>
        <v>18.338000000000001</v>
      </c>
      <c r="AE93">
        <f t="shared" si="17"/>
        <v>19.841716000000002</v>
      </c>
      <c r="AF93" s="9"/>
      <c r="AG93" s="22">
        <v>0.31799300000000003</v>
      </c>
      <c r="AH93" s="22">
        <v>196.50299999999999</v>
      </c>
      <c r="AI93" s="22">
        <v>-1.9103999999999999E-2</v>
      </c>
      <c r="AJ93" s="22">
        <v>83</v>
      </c>
      <c r="AK93" s="22">
        <v>0.31747399999999998</v>
      </c>
      <c r="AL93">
        <f t="shared" si="18"/>
        <v>19.103999999999999</v>
      </c>
      <c r="AM93">
        <f t="shared" si="19"/>
        <v>6.0749382719999998</v>
      </c>
      <c r="AP93" s="9"/>
      <c r="AQ93" s="22">
        <v>1.0820000000000001</v>
      </c>
      <c r="AR93" s="22">
        <v>245.273</v>
      </c>
      <c r="AS93" s="22">
        <v>-1.8331900000000002E-2</v>
      </c>
      <c r="AT93" s="22">
        <v>83</v>
      </c>
      <c r="AU93" s="22">
        <v>1.08063</v>
      </c>
      <c r="AV93">
        <f t="shared" si="20"/>
        <v>18.331900000000001</v>
      </c>
      <c r="AW93">
        <f t="shared" si="21"/>
        <v>19.835115800000004</v>
      </c>
      <c r="AX93" s="9"/>
      <c r="AY93" s="22">
        <v>0.31799300000000003</v>
      </c>
      <c r="AZ93" s="22">
        <v>294.17399999999998</v>
      </c>
      <c r="BA93" s="22">
        <v>-1.9085700000000001E-2</v>
      </c>
      <c r="BB93" s="22">
        <v>83</v>
      </c>
      <c r="BC93" s="22">
        <v>0.31723000000000001</v>
      </c>
      <c r="BD93">
        <f t="shared" si="22"/>
        <v>19.085699999999999</v>
      </c>
      <c r="BE93">
        <f t="shared" si="23"/>
        <v>6.0691190001000006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1.07697</v>
      </c>
      <c r="H94" s="22">
        <v>49.945099999999996</v>
      </c>
      <c r="I94" s="22">
        <v>-1.8359400000000001E-2</v>
      </c>
      <c r="J94" s="22">
        <v>84</v>
      </c>
      <c r="K94" s="22">
        <v>1.07605</v>
      </c>
      <c r="L94">
        <f t="shared" si="12"/>
        <v>18.359400000000001</v>
      </c>
      <c r="M94">
        <f t="shared" si="13"/>
        <v>19.772523018000001</v>
      </c>
      <c r="N94" s="9"/>
      <c r="O94" s="22">
        <v>0.32302900000000001</v>
      </c>
      <c r="P94" s="22">
        <v>98.771500000000003</v>
      </c>
      <c r="Q94" s="22">
        <v>-1.9107099999999998E-2</v>
      </c>
      <c r="R94" s="22">
        <v>84</v>
      </c>
      <c r="S94" s="22">
        <v>0.32247900000000002</v>
      </c>
      <c r="T94">
        <f t="shared" si="14"/>
        <v>19.107099999999999</v>
      </c>
      <c r="U94">
        <f t="shared" si="15"/>
        <v>6.1721474058999997</v>
      </c>
      <c r="X94" s="9"/>
      <c r="Y94" s="22">
        <v>1.07697</v>
      </c>
      <c r="Z94" s="22">
        <v>147.715</v>
      </c>
      <c r="AA94" s="22">
        <v>-1.8341099999999999E-2</v>
      </c>
      <c r="AB94" s="22">
        <v>84</v>
      </c>
      <c r="AC94" s="22">
        <v>1.0757399999999999</v>
      </c>
      <c r="AD94">
        <f t="shared" si="16"/>
        <v>18.341099999999997</v>
      </c>
      <c r="AE94">
        <f t="shared" si="17"/>
        <v>19.752814466999997</v>
      </c>
      <c r="AF94" s="9"/>
      <c r="AG94" s="22">
        <v>0.32302900000000001</v>
      </c>
      <c r="AH94" s="22">
        <v>196.51300000000001</v>
      </c>
      <c r="AI94" s="22">
        <v>-1.9097900000000001E-2</v>
      </c>
      <c r="AJ94" s="22">
        <v>84</v>
      </c>
      <c r="AK94" s="22">
        <v>0.32223499999999999</v>
      </c>
      <c r="AL94">
        <f t="shared" si="18"/>
        <v>19.097900000000003</v>
      </c>
      <c r="AM94">
        <f t="shared" si="19"/>
        <v>6.1691755391000012</v>
      </c>
      <c r="AP94" s="9"/>
      <c r="AQ94" s="22">
        <v>1.07697</v>
      </c>
      <c r="AR94" s="22">
        <v>245.28299999999999</v>
      </c>
      <c r="AS94" s="22">
        <v>-1.8338E-2</v>
      </c>
      <c r="AT94" s="22">
        <v>84</v>
      </c>
      <c r="AU94" s="22">
        <v>1.0763499999999999</v>
      </c>
      <c r="AV94">
        <f t="shared" si="20"/>
        <v>18.338000000000001</v>
      </c>
      <c r="AW94">
        <f t="shared" si="21"/>
        <v>19.74947586</v>
      </c>
      <c r="AX94" s="9"/>
      <c r="AY94" s="22">
        <v>0.32302900000000001</v>
      </c>
      <c r="AZ94" s="22">
        <v>294.18400000000003</v>
      </c>
      <c r="BA94" s="22">
        <v>-1.9079599999999999E-2</v>
      </c>
      <c r="BB94" s="22">
        <v>84</v>
      </c>
      <c r="BC94" s="22">
        <v>0.322266</v>
      </c>
      <c r="BD94">
        <f t="shared" si="22"/>
        <v>19.079599999999999</v>
      </c>
      <c r="BE94">
        <f t="shared" si="23"/>
        <v>6.1632641083999999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1.07193</v>
      </c>
      <c r="H95" s="22">
        <v>49.955199999999998</v>
      </c>
      <c r="I95" s="22">
        <v>-1.83655E-2</v>
      </c>
      <c r="J95" s="22">
        <v>85</v>
      </c>
      <c r="K95" s="22">
        <v>1.0702499999999999</v>
      </c>
      <c r="L95">
        <f t="shared" si="12"/>
        <v>18.365500000000001</v>
      </c>
      <c r="M95">
        <f t="shared" si="13"/>
        <v>19.686530415000004</v>
      </c>
      <c r="N95" s="9"/>
      <c r="O95" s="22">
        <v>0.32806400000000002</v>
      </c>
      <c r="P95" s="22">
        <v>98.781599999999997</v>
      </c>
      <c r="Q95" s="22">
        <v>-1.9103999999999999E-2</v>
      </c>
      <c r="R95" s="22">
        <v>85</v>
      </c>
      <c r="S95" s="22">
        <v>0.32754499999999998</v>
      </c>
      <c r="T95">
        <f t="shared" si="14"/>
        <v>19.103999999999999</v>
      </c>
      <c r="U95">
        <f t="shared" si="15"/>
        <v>6.2673346560000001</v>
      </c>
      <c r="X95" s="9"/>
      <c r="Y95" s="22">
        <v>1.07193</v>
      </c>
      <c r="Z95" s="22">
        <v>147.72499999999999</v>
      </c>
      <c r="AA95" s="22">
        <v>-1.8347200000000001E-2</v>
      </c>
      <c r="AB95" s="22">
        <v>85</v>
      </c>
      <c r="AC95" s="22">
        <v>1.07117</v>
      </c>
      <c r="AD95">
        <f t="shared" si="16"/>
        <v>18.347200000000001</v>
      </c>
      <c r="AE95">
        <f t="shared" si="17"/>
        <v>19.666914096000003</v>
      </c>
      <c r="AF95" s="9"/>
      <c r="AG95" s="22">
        <v>0.32806400000000002</v>
      </c>
      <c r="AH95" s="22">
        <v>196.523</v>
      </c>
      <c r="AI95" s="22">
        <v>-1.90887E-2</v>
      </c>
      <c r="AJ95" s="22">
        <v>85</v>
      </c>
      <c r="AK95" s="22">
        <v>0.32763700000000001</v>
      </c>
      <c r="AL95">
        <f t="shared" si="18"/>
        <v>19.088699999999999</v>
      </c>
      <c r="AM95">
        <f t="shared" si="19"/>
        <v>6.2623152767999999</v>
      </c>
      <c r="AP95" s="9"/>
      <c r="AQ95" s="22">
        <v>1.07193</v>
      </c>
      <c r="AR95" s="22">
        <v>245.29300000000001</v>
      </c>
      <c r="AS95" s="22">
        <v>-1.8344099999999999E-2</v>
      </c>
      <c r="AT95" s="22">
        <v>85</v>
      </c>
      <c r="AU95" s="22">
        <v>1.0702499999999999</v>
      </c>
      <c r="AV95">
        <f t="shared" si="20"/>
        <v>18.344099999999997</v>
      </c>
      <c r="AW95">
        <f t="shared" si="21"/>
        <v>19.663591112999999</v>
      </c>
      <c r="AX95" s="9"/>
      <c r="AY95" s="22">
        <v>0.32806400000000002</v>
      </c>
      <c r="AZ95" s="22">
        <v>294.19400000000002</v>
      </c>
      <c r="BA95" s="22">
        <v>-1.90765E-2</v>
      </c>
      <c r="BB95" s="22">
        <v>85</v>
      </c>
      <c r="BC95" s="22">
        <v>0.32739299999999999</v>
      </c>
      <c r="BD95">
        <f t="shared" si="22"/>
        <v>19.076499999999999</v>
      </c>
      <c r="BE95">
        <f t="shared" si="23"/>
        <v>6.2583128960000005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1.0668899999999999</v>
      </c>
      <c r="H96" s="22">
        <v>49.965200000000003</v>
      </c>
      <c r="I96" s="22">
        <v>-1.8371599999999998E-2</v>
      </c>
      <c r="J96" s="22">
        <v>86</v>
      </c>
      <c r="K96" s="22">
        <v>1.0656699999999999</v>
      </c>
      <c r="L96">
        <f t="shared" si="12"/>
        <v>18.371599999999997</v>
      </c>
      <c r="M96">
        <f t="shared" si="13"/>
        <v>19.600476323999995</v>
      </c>
      <c r="N96" s="9"/>
      <c r="O96" s="22">
        <v>0.33309899999999998</v>
      </c>
      <c r="P96" s="22">
        <v>98.791700000000006</v>
      </c>
      <c r="Q96" s="22">
        <v>-1.9097900000000001E-2</v>
      </c>
      <c r="R96" s="22">
        <v>86</v>
      </c>
      <c r="S96" s="22">
        <v>0.33230599999999999</v>
      </c>
      <c r="T96">
        <f t="shared" si="14"/>
        <v>19.097900000000003</v>
      </c>
      <c r="U96">
        <f t="shared" si="15"/>
        <v>6.3614913921000005</v>
      </c>
      <c r="X96" s="9"/>
      <c r="Y96" s="22">
        <v>1.0668899999999999</v>
      </c>
      <c r="Z96" s="22">
        <v>147.73500000000001</v>
      </c>
      <c r="AA96" s="22">
        <v>-1.8353299999999999E-2</v>
      </c>
      <c r="AB96" s="22">
        <v>86</v>
      </c>
      <c r="AC96" s="22">
        <v>1.0656699999999999</v>
      </c>
      <c r="AD96">
        <f t="shared" si="16"/>
        <v>18.353300000000001</v>
      </c>
      <c r="AE96">
        <f t="shared" si="17"/>
        <v>19.580952236999998</v>
      </c>
      <c r="AF96" s="9"/>
      <c r="AG96" s="22">
        <v>0.33309899999999998</v>
      </c>
      <c r="AH96" s="22">
        <v>196.53299999999999</v>
      </c>
      <c r="AI96" s="22">
        <v>-1.9085700000000001E-2</v>
      </c>
      <c r="AJ96" s="22">
        <v>86</v>
      </c>
      <c r="AK96" s="22">
        <v>0.33251999999999998</v>
      </c>
      <c r="AL96">
        <f t="shared" si="18"/>
        <v>19.085699999999999</v>
      </c>
      <c r="AM96">
        <f t="shared" si="19"/>
        <v>6.357427584299999</v>
      </c>
      <c r="AP96" s="9"/>
      <c r="AQ96" s="22">
        <v>1.0668899999999999</v>
      </c>
      <c r="AR96" s="22">
        <v>245.303</v>
      </c>
      <c r="AS96" s="22">
        <v>-1.8353299999999999E-2</v>
      </c>
      <c r="AT96" s="22">
        <v>86</v>
      </c>
      <c r="AU96" s="22">
        <v>1.0650599999999999</v>
      </c>
      <c r="AV96">
        <f t="shared" si="20"/>
        <v>18.353300000000001</v>
      </c>
      <c r="AW96">
        <f t="shared" si="21"/>
        <v>19.580952236999998</v>
      </c>
      <c r="AX96" s="9"/>
      <c r="AY96" s="22">
        <v>0.33309899999999998</v>
      </c>
      <c r="AZ96" s="22">
        <v>294.20400000000001</v>
      </c>
      <c r="BA96" s="22">
        <v>-1.90735E-2</v>
      </c>
      <c r="BB96" s="22">
        <v>86</v>
      </c>
      <c r="BC96" s="22">
        <v>0.33236700000000002</v>
      </c>
      <c r="BD96">
        <f t="shared" si="22"/>
        <v>19.073499999999999</v>
      </c>
      <c r="BE96">
        <f t="shared" si="23"/>
        <v>6.3533637764999993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1.06186</v>
      </c>
      <c r="H97" s="22">
        <v>49.975299999999997</v>
      </c>
      <c r="I97" s="22">
        <v>-1.83777E-2</v>
      </c>
      <c r="J97" s="22">
        <v>87</v>
      </c>
      <c r="K97" s="22">
        <v>1.0607899999999999</v>
      </c>
      <c r="L97">
        <f t="shared" si="12"/>
        <v>18.377700000000001</v>
      </c>
      <c r="M97">
        <f t="shared" si="13"/>
        <v>19.514544522000001</v>
      </c>
      <c r="N97" s="9"/>
      <c r="O97" s="22">
        <v>0.33813500000000002</v>
      </c>
      <c r="P97" s="22">
        <v>98.801699999999997</v>
      </c>
      <c r="Q97" s="22">
        <v>-1.9094799999999999E-2</v>
      </c>
      <c r="R97" s="22">
        <v>87</v>
      </c>
      <c r="S97" s="22">
        <v>0.33746300000000001</v>
      </c>
      <c r="T97">
        <f t="shared" si="14"/>
        <v>19.094799999999999</v>
      </c>
      <c r="U97">
        <f t="shared" si="15"/>
        <v>6.4566201980000004</v>
      </c>
      <c r="X97" s="9"/>
      <c r="Y97" s="22">
        <v>1.06186</v>
      </c>
      <c r="Z97" s="22">
        <v>147.745</v>
      </c>
      <c r="AA97" s="22">
        <v>-1.8359400000000001E-2</v>
      </c>
      <c r="AB97" s="22">
        <v>87</v>
      </c>
      <c r="AC97" s="22">
        <v>1.0607899999999999</v>
      </c>
      <c r="AD97">
        <f t="shared" si="16"/>
        <v>18.359400000000001</v>
      </c>
      <c r="AE97">
        <f t="shared" si="17"/>
        <v>19.495112484</v>
      </c>
      <c r="AF97" s="9"/>
      <c r="AG97" s="22">
        <v>0.33813500000000002</v>
      </c>
      <c r="AH97" s="22">
        <v>196.54400000000001</v>
      </c>
      <c r="AI97" s="22">
        <v>-1.9082600000000002E-2</v>
      </c>
      <c r="AJ97" s="22">
        <v>87</v>
      </c>
      <c r="AK97" s="22">
        <v>0.33728000000000002</v>
      </c>
      <c r="AL97">
        <f t="shared" si="18"/>
        <v>19.082600000000003</v>
      </c>
      <c r="AM97">
        <f t="shared" si="19"/>
        <v>6.4524949510000011</v>
      </c>
      <c r="AP97" s="9"/>
      <c r="AQ97" s="22">
        <v>1.06186</v>
      </c>
      <c r="AR97" s="22">
        <v>245.31299999999999</v>
      </c>
      <c r="AS97" s="22">
        <v>-1.8359400000000001E-2</v>
      </c>
      <c r="AT97" s="22">
        <v>87</v>
      </c>
      <c r="AU97" s="22">
        <v>1.0598799999999999</v>
      </c>
      <c r="AV97">
        <f t="shared" si="20"/>
        <v>18.359400000000001</v>
      </c>
      <c r="AW97">
        <f t="shared" si="21"/>
        <v>19.495112484</v>
      </c>
      <c r="AX97" s="9"/>
      <c r="AY97" s="22">
        <v>0.33813500000000002</v>
      </c>
      <c r="AZ97" s="22">
        <v>294.214</v>
      </c>
      <c r="BA97" s="22">
        <v>-1.9070400000000001E-2</v>
      </c>
      <c r="BB97" s="22">
        <v>87</v>
      </c>
      <c r="BC97" s="22">
        <v>0.33740199999999998</v>
      </c>
      <c r="BD97">
        <f t="shared" si="22"/>
        <v>19.070400000000003</v>
      </c>
      <c r="BE97">
        <f t="shared" si="23"/>
        <v>6.448369704000001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1.0568200000000001</v>
      </c>
      <c r="H98" s="22">
        <v>49.985399999999998</v>
      </c>
      <c r="I98" s="22">
        <v>-1.83807E-2</v>
      </c>
      <c r="J98" s="22">
        <v>88</v>
      </c>
      <c r="K98" s="22">
        <v>1.0556000000000001</v>
      </c>
      <c r="L98">
        <f t="shared" si="12"/>
        <v>18.380700000000001</v>
      </c>
      <c r="M98">
        <f t="shared" si="13"/>
        <v>19.425091374000004</v>
      </c>
      <c r="N98" s="9"/>
      <c r="O98" s="22">
        <v>0.34316999999999998</v>
      </c>
      <c r="P98" s="22">
        <v>98.811800000000005</v>
      </c>
      <c r="Q98" s="22">
        <v>-1.90887E-2</v>
      </c>
      <c r="R98" s="22">
        <v>88</v>
      </c>
      <c r="S98" s="22">
        <v>0.34237699999999999</v>
      </c>
      <c r="T98">
        <f t="shared" si="14"/>
        <v>19.088699999999999</v>
      </c>
      <c r="U98">
        <f t="shared" si="15"/>
        <v>6.5506691789999989</v>
      </c>
      <c r="X98" s="9"/>
      <c r="Y98" s="22">
        <v>1.0568200000000001</v>
      </c>
      <c r="Z98" s="22">
        <v>147.755</v>
      </c>
      <c r="AA98" s="22">
        <v>-1.8362400000000001E-2</v>
      </c>
      <c r="AB98" s="22">
        <v>88</v>
      </c>
      <c r="AC98" s="22">
        <v>1.0562100000000001</v>
      </c>
      <c r="AD98">
        <f t="shared" si="16"/>
        <v>18.362400000000001</v>
      </c>
      <c r="AE98">
        <f t="shared" si="17"/>
        <v>19.405751568000003</v>
      </c>
      <c r="AF98" s="9"/>
      <c r="AG98" s="22">
        <v>0.34316999999999998</v>
      </c>
      <c r="AH98" s="22">
        <v>196.554</v>
      </c>
      <c r="AI98" s="22">
        <v>-1.9079599999999999E-2</v>
      </c>
      <c r="AJ98" s="22">
        <v>88</v>
      </c>
      <c r="AK98" s="22">
        <v>0.34216299999999999</v>
      </c>
      <c r="AL98">
        <f t="shared" si="18"/>
        <v>19.079599999999999</v>
      </c>
      <c r="AM98">
        <f t="shared" si="19"/>
        <v>6.5475463319999996</v>
      </c>
      <c r="AP98" s="9"/>
      <c r="AQ98" s="22">
        <v>1.0568200000000001</v>
      </c>
      <c r="AR98" s="22">
        <v>245.32300000000001</v>
      </c>
      <c r="AS98" s="22">
        <v>-1.83655E-2</v>
      </c>
      <c r="AT98" s="22">
        <v>88</v>
      </c>
      <c r="AU98" s="22">
        <v>1.0556000000000001</v>
      </c>
      <c r="AV98">
        <f t="shared" si="20"/>
        <v>18.365500000000001</v>
      </c>
      <c r="AW98">
        <f t="shared" si="21"/>
        <v>19.409027710000004</v>
      </c>
      <c r="AX98" s="9"/>
      <c r="AY98" s="22">
        <v>0.34316999999999998</v>
      </c>
      <c r="AZ98" s="22">
        <v>294.22399999999999</v>
      </c>
      <c r="BA98" s="22">
        <v>-1.9067400000000002E-2</v>
      </c>
      <c r="BB98" s="22">
        <v>88</v>
      </c>
      <c r="BC98" s="22">
        <v>0.34237699999999999</v>
      </c>
      <c r="BD98">
        <f t="shared" si="22"/>
        <v>19.067400000000003</v>
      </c>
      <c r="BE98">
        <f t="shared" si="23"/>
        <v>6.5433596580000009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1.05179</v>
      </c>
      <c r="H99" s="22">
        <v>49.9955</v>
      </c>
      <c r="I99" s="22">
        <v>-1.8383799999999999E-2</v>
      </c>
      <c r="J99" s="22">
        <v>89</v>
      </c>
      <c r="K99" s="22">
        <v>1.0507200000000001</v>
      </c>
      <c r="L99">
        <f t="shared" si="12"/>
        <v>18.383799999999997</v>
      </c>
      <c r="M99">
        <f t="shared" si="13"/>
        <v>19.335897001999996</v>
      </c>
      <c r="N99" s="9"/>
      <c r="O99" s="22">
        <v>0.34820600000000002</v>
      </c>
      <c r="P99" s="22">
        <v>98.821899999999999</v>
      </c>
      <c r="Q99" s="22">
        <v>-1.9082600000000002E-2</v>
      </c>
      <c r="R99" s="22">
        <v>89</v>
      </c>
      <c r="S99" s="22">
        <v>0.34747299999999998</v>
      </c>
      <c r="T99">
        <f t="shared" si="14"/>
        <v>19.082600000000003</v>
      </c>
      <c r="U99">
        <f t="shared" si="15"/>
        <v>6.6446758156000012</v>
      </c>
      <c r="X99" s="9"/>
      <c r="Y99" s="22">
        <v>1.05179</v>
      </c>
      <c r="Z99" s="22">
        <v>147.76499999999999</v>
      </c>
      <c r="AA99" s="22">
        <v>-1.8368499999999999E-2</v>
      </c>
      <c r="AB99" s="22">
        <v>89</v>
      </c>
      <c r="AC99" s="22">
        <v>1.0501100000000001</v>
      </c>
      <c r="AD99">
        <f t="shared" si="16"/>
        <v>18.368500000000001</v>
      </c>
      <c r="AE99">
        <f t="shared" si="17"/>
        <v>19.319804615000002</v>
      </c>
      <c r="AF99" s="9"/>
      <c r="AG99" s="22">
        <v>0.34820600000000002</v>
      </c>
      <c r="AH99" s="22">
        <v>196.56399999999999</v>
      </c>
      <c r="AI99" s="22">
        <v>-1.90765E-2</v>
      </c>
      <c r="AJ99" s="22">
        <v>89</v>
      </c>
      <c r="AK99" s="22">
        <v>0.348022</v>
      </c>
      <c r="AL99">
        <f t="shared" si="18"/>
        <v>19.076499999999999</v>
      </c>
      <c r="AM99">
        <f t="shared" si="19"/>
        <v>6.6425517589999998</v>
      </c>
      <c r="AP99" s="9"/>
      <c r="AQ99" s="22">
        <v>1.05179</v>
      </c>
      <c r="AR99" s="22">
        <v>245.333</v>
      </c>
      <c r="AS99" s="22">
        <v>-1.8368499999999999E-2</v>
      </c>
      <c r="AT99" s="22">
        <v>89</v>
      </c>
      <c r="AU99" s="22">
        <v>1.0513300000000001</v>
      </c>
      <c r="AV99">
        <f t="shared" si="20"/>
        <v>18.368500000000001</v>
      </c>
      <c r="AW99">
        <f t="shared" si="21"/>
        <v>19.319804615000002</v>
      </c>
      <c r="AX99" s="9"/>
      <c r="AY99" s="22">
        <v>0.34820600000000002</v>
      </c>
      <c r="AZ99" s="22">
        <v>294.23500000000001</v>
      </c>
      <c r="BA99" s="22">
        <v>-1.90613E-2</v>
      </c>
      <c r="BB99" s="22">
        <v>89</v>
      </c>
      <c r="BC99" s="22">
        <v>0.34777799999999998</v>
      </c>
      <c r="BD99">
        <f t="shared" si="22"/>
        <v>19.061299999999999</v>
      </c>
      <c r="BE99">
        <f t="shared" si="23"/>
        <v>6.6372590277999999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1.0467500000000001</v>
      </c>
      <c r="H100" s="22">
        <v>50.005499999999998</v>
      </c>
      <c r="I100" s="22">
        <v>-1.8386799999999998E-2</v>
      </c>
      <c r="J100" s="22">
        <v>90</v>
      </c>
      <c r="K100" s="22">
        <v>1.0455300000000001</v>
      </c>
      <c r="L100">
        <f t="shared" si="12"/>
        <v>18.386799999999997</v>
      </c>
      <c r="M100">
        <f t="shared" si="13"/>
        <v>19.246382899999997</v>
      </c>
      <c r="N100" s="9"/>
      <c r="O100" s="22">
        <v>0.35324100000000003</v>
      </c>
      <c r="P100" s="22">
        <v>98.831900000000005</v>
      </c>
      <c r="Q100" s="22">
        <v>-1.9079599999999999E-2</v>
      </c>
      <c r="R100" s="22">
        <v>90</v>
      </c>
      <c r="S100" s="22">
        <v>0.35263100000000003</v>
      </c>
      <c r="T100">
        <f t="shared" si="14"/>
        <v>19.079599999999999</v>
      </c>
      <c r="U100">
        <f t="shared" si="15"/>
        <v>6.7396969836</v>
      </c>
      <c r="X100" s="9"/>
      <c r="Y100" s="22">
        <v>1.0467500000000001</v>
      </c>
      <c r="Z100" s="22">
        <v>147.77500000000001</v>
      </c>
      <c r="AA100" s="22">
        <v>-1.8374600000000001E-2</v>
      </c>
      <c r="AB100" s="22">
        <v>90</v>
      </c>
      <c r="AC100" s="22">
        <v>1.0455300000000001</v>
      </c>
      <c r="AD100">
        <f t="shared" si="16"/>
        <v>18.374600000000001</v>
      </c>
      <c r="AE100">
        <f t="shared" si="17"/>
        <v>19.233612550000004</v>
      </c>
      <c r="AF100" s="9"/>
      <c r="AG100" s="22">
        <v>0.35324100000000003</v>
      </c>
      <c r="AH100" s="22">
        <v>196.57400000000001</v>
      </c>
      <c r="AI100" s="22">
        <v>-1.9070400000000001E-2</v>
      </c>
      <c r="AJ100" s="22">
        <v>90</v>
      </c>
      <c r="AK100" s="22">
        <v>0.35256999999999999</v>
      </c>
      <c r="AL100">
        <f t="shared" si="18"/>
        <v>19.070400000000003</v>
      </c>
      <c r="AM100">
        <f t="shared" si="19"/>
        <v>6.7364471664000014</v>
      </c>
      <c r="AP100" s="9"/>
      <c r="AQ100" s="22">
        <v>1.0467500000000001</v>
      </c>
      <c r="AR100" s="22">
        <v>245.34299999999999</v>
      </c>
      <c r="AS100" s="22">
        <v>-1.8371599999999998E-2</v>
      </c>
      <c r="AT100" s="22">
        <v>90</v>
      </c>
      <c r="AU100" s="22">
        <v>1.0458400000000001</v>
      </c>
      <c r="AV100">
        <f t="shared" si="20"/>
        <v>18.371599999999997</v>
      </c>
      <c r="AW100">
        <f t="shared" si="21"/>
        <v>19.230472299999999</v>
      </c>
      <c r="AX100" s="9"/>
      <c r="AY100" s="22">
        <v>0.35324100000000003</v>
      </c>
      <c r="AZ100" s="22">
        <v>294.245</v>
      </c>
      <c r="BA100" s="22">
        <v>-1.9058200000000001E-2</v>
      </c>
      <c r="BB100" s="22">
        <v>90</v>
      </c>
      <c r="BC100" s="22">
        <v>0.35247800000000001</v>
      </c>
      <c r="BD100">
        <f t="shared" si="22"/>
        <v>19.058199999999999</v>
      </c>
      <c r="BE100">
        <f t="shared" si="23"/>
        <v>6.7321376262000001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1.04172</v>
      </c>
      <c r="H101" s="22">
        <v>50.015599999999999</v>
      </c>
      <c r="I101" s="22">
        <v>-1.83929E-2</v>
      </c>
      <c r="J101" s="22">
        <v>91</v>
      </c>
      <c r="K101" s="22">
        <v>1.0400400000000001</v>
      </c>
      <c r="L101">
        <f t="shared" si="12"/>
        <v>18.392900000000001</v>
      </c>
      <c r="M101">
        <f t="shared" si="13"/>
        <v>19.160251788</v>
      </c>
      <c r="N101" s="9"/>
      <c r="O101" s="22">
        <v>0.35827599999999998</v>
      </c>
      <c r="P101" s="22">
        <v>98.841999999999999</v>
      </c>
      <c r="Q101" s="22">
        <v>-1.90765E-2</v>
      </c>
      <c r="R101" s="22">
        <v>91</v>
      </c>
      <c r="S101" s="22">
        <v>0.35736099999999998</v>
      </c>
      <c r="T101">
        <f t="shared" si="14"/>
        <v>19.076499999999999</v>
      </c>
      <c r="U101">
        <f t="shared" si="15"/>
        <v>6.8346521139999998</v>
      </c>
      <c r="X101" s="9"/>
      <c r="Y101" s="22">
        <v>1.04172</v>
      </c>
      <c r="Z101" s="22">
        <v>147.785</v>
      </c>
      <c r="AA101" s="22">
        <v>-1.83807E-2</v>
      </c>
      <c r="AB101" s="22">
        <v>91</v>
      </c>
      <c r="AC101" s="22">
        <v>1.0406500000000001</v>
      </c>
      <c r="AD101">
        <f t="shared" si="16"/>
        <v>18.380700000000001</v>
      </c>
      <c r="AE101">
        <f t="shared" si="17"/>
        <v>19.147542804</v>
      </c>
      <c r="AF101" s="9"/>
      <c r="AG101" s="22">
        <v>0.35827599999999998</v>
      </c>
      <c r="AH101" s="22">
        <v>196.584</v>
      </c>
      <c r="AI101" s="22">
        <v>-1.9064299999999999E-2</v>
      </c>
      <c r="AJ101" s="22">
        <v>91</v>
      </c>
      <c r="AK101" s="22">
        <v>0.35760500000000001</v>
      </c>
      <c r="AL101">
        <f t="shared" si="18"/>
        <v>19.064299999999999</v>
      </c>
      <c r="AM101">
        <f t="shared" si="19"/>
        <v>6.8302811467999991</v>
      </c>
      <c r="AP101" s="9"/>
      <c r="AQ101" s="22">
        <v>1.04172</v>
      </c>
      <c r="AR101" s="22">
        <v>245.35300000000001</v>
      </c>
      <c r="AS101" s="22">
        <v>-1.8374600000000001E-2</v>
      </c>
      <c r="AT101" s="22">
        <v>91</v>
      </c>
      <c r="AU101" s="22">
        <v>1.04095</v>
      </c>
      <c r="AV101">
        <f t="shared" si="20"/>
        <v>18.374600000000001</v>
      </c>
      <c r="AW101">
        <f t="shared" si="21"/>
        <v>19.141188312000001</v>
      </c>
      <c r="AX101" s="9"/>
      <c r="AY101" s="22">
        <v>0.35827599999999998</v>
      </c>
      <c r="AZ101" s="22">
        <v>294.255</v>
      </c>
      <c r="BA101" s="22">
        <v>-1.9049099999999999E-2</v>
      </c>
      <c r="BB101" s="22">
        <v>91</v>
      </c>
      <c r="BC101" s="22">
        <v>0.35763499999999998</v>
      </c>
      <c r="BD101">
        <f t="shared" si="22"/>
        <v>19.049099999999999</v>
      </c>
      <c r="BE101">
        <f t="shared" si="23"/>
        <v>6.8248353515999991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1.03668</v>
      </c>
      <c r="H102" s="22">
        <v>50.025700000000001</v>
      </c>
      <c r="I102" s="22">
        <v>-1.8398999999999999E-2</v>
      </c>
      <c r="J102" s="22">
        <v>92</v>
      </c>
      <c r="K102" s="22">
        <v>1.0357700000000001</v>
      </c>
      <c r="L102">
        <f t="shared" si="12"/>
        <v>18.398999999999997</v>
      </c>
      <c r="M102">
        <f t="shared" si="13"/>
        <v>19.073875319999999</v>
      </c>
      <c r="N102" s="9"/>
      <c r="O102" s="22">
        <v>0.36331200000000002</v>
      </c>
      <c r="P102" s="22">
        <v>98.852099999999993</v>
      </c>
      <c r="Q102" s="22">
        <v>-1.90735E-2</v>
      </c>
      <c r="R102" s="22">
        <v>92</v>
      </c>
      <c r="S102" s="22">
        <v>0.36279299999999998</v>
      </c>
      <c r="T102">
        <f t="shared" si="14"/>
        <v>19.073499999999999</v>
      </c>
      <c r="U102">
        <f t="shared" si="15"/>
        <v>6.9296314319999999</v>
      </c>
      <c r="X102" s="9"/>
      <c r="Y102" s="22">
        <v>1.03668</v>
      </c>
      <c r="Z102" s="22">
        <v>147.79499999999999</v>
      </c>
      <c r="AA102" s="22">
        <v>-1.8383799999999999E-2</v>
      </c>
      <c r="AB102" s="22">
        <v>92</v>
      </c>
      <c r="AC102" s="22">
        <v>1.0357700000000001</v>
      </c>
      <c r="AD102">
        <f t="shared" si="16"/>
        <v>18.383799999999997</v>
      </c>
      <c r="AE102">
        <f t="shared" si="17"/>
        <v>19.058117783999997</v>
      </c>
      <c r="AF102" s="9"/>
      <c r="AG102" s="22">
        <v>0.36331200000000002</v>
      </c>
      <c r="AH102" s="22">
        <v>196.59399999999999</v>
      </c>
      <c r="AI102" s="22">
        <v>-1.9058200000000001E-2</v>
      </c>
      <c r="AJ102" s="22">
        <v>92</v>
      </c>
      <c r="AK102" s="22">
        <v>0.36276199999999997</v>
      </c>
      <c r="AL102">
        <f t="shared" si="18"/>
        <v>19.058199999999999</v>
      </c>
      <c r="AM102">
        <f t="shared" si="19"/>
        <v>6.9240727584000004</v>
      </c>
      <c r="AP102" s="9"/>
      <c r="AQ102" s="22">
        <v>1.03668</v>
      </c>
      <c r="AR102" s="22">
        <v>245.363</v>
      </c>
      <c r="AS102" s="22">
        <v>-1.83777E-2</v>
      </c>
      <c r="AT102" s="22">
        <v>92</v>
      </c>
      <c r="AU102" s="22">
        <v>1.03485</v>
      </c>
      <c r="AV102">
        <f t="shared" si="20"/>
        <v>18.377700000000001</v>
      </c>
      <c r="AW102">
        <f t="shared" si="21"/>
        <v>19.051794036</v>
      </c>
      <c r="AX102" s="9"/>
      <c r="AY102" s="22">
        <v>0.36331200000000002</v>
      </c>
      <c r="AZ102" s="22">
        <v>294.26499999999999</v>
      </c>
      <c r="BA102" s="22">
        <v>-1.9043000000000001E-2</v>
      </c>
      <c r="BB102" s="22">
        <v>92</v>
      </c>
      <c r="BC102" s="22">
        <v>0.36267100000000002</v>
      </c>
      <c r="BD102">
        <f t="shared" si="22"/>
        <v>19.042999999999999</v>
      </c>
      <c r="BE102">
        <f t="shared" si="23"/>
        <v>6.9185504160000004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1.03165</v>
      </c>
      <c r="H103" s="22">
        <v>50.035699999999999</v>
      </c>
      <c r="I103" s="22">
        <v>-1.84052E-2</v>
      </c>
      <c r="J103" s="22">
        <v>93</v>
      </c>
      <c r="K103" s="22">
        <v>1.03088</v>
      </c>
      <c r="L103">
        <f t="shared" si="12"/>
        <v>18.405200000000001</v>
      </c>
      <c r="M103">
        <f t="shared" si="13"/>
        <v>18.987724579999998</v>
      </c>
      <c r="N103" s="9"/>
      <c r="O103" s="22">
        <v>0.36834699999999998</v>
      </c>
      <c r="P103" s="22">
        <v>98.862200000000001</v>
      </c>
      <c r="Q103" s="22">
        <v>-1.9067400000000002E-2</v>
      </c>
      <c r="R103" s="22">
        <v>93</v>
      </c>
      <c r="S103" s="22">
        <v>0.36749300000000001</v>
      </c>
      <c r="T103">
        <f t="shared" si="14"/>
        <v>19.067400000000003</v>
      </c>
      <c r="U103">
        <f t="shared" si="15"/>
        <v>7.0234195878000003</v>
      </c>
      <c r="X103" s="9"/>
      <c r="Y103" s="22">
        <v>1.03165</v>
      </c>
      <c r="Z103" s="22">
        <v>147.80600000000001</v>
      </c>
      <c r="AA103" s="22">
        <v>-1.8386799999999998E-2</v>
      </c>
      <c r="AB103" s="22">
        <v>93</v>
      </c>
      <c r="AC103" s="22">
        <v>1.02966</v>
      </c>
      <c r="AD103">
        <f t="shared" si="16"/>
        <v>18.386799999999997</v>
      </c>
      <c r="AE103">
        <f t="shared" si="17"/>
        <v>18.968742219999996</v>
      </c>
      <c r="AF103" s="9"/>
      <c r="AG103" s="22">
        <v>0.36834699999999998</v>
      </c>
      <c r="AH103" s="22">
        <v>196.60400000000001</v>
      </c>
      <c r="AI103" s="22">
        <v>-1.9052099999999999E-2</v>
      </c>
      <c r="AJ103" s="22">
        <v>93</v>
      </c>
      <c r="AK103" s="22">
        <v>0.36792000000000002</v>
      </c>
      <c r="AL103">
        <f t="shared" si="18"/>
        <v>19.052099999999999</v>
      </c>
      <c r="AM103">
        <f t="shared" si="19"/>
        <v>7.0177838786999995</v>
      </c>
      <c r="AP103" s="9"/>
      <c r="AQ103" s="22">
        <v>1.03165</v>
      </c>
      <c r="AR103" s="22">
        <v>245.37299999999999</v>
      </c>
      <c r="AS103" s="22">
        <v>-1.83807E-2</v>
      </c>
      <c r="AT103" s="22">
        <v>93</v>
      </c>
      <c r="AU103" s="22">
        <v>1.03027</v>
      </c>
      <c r="AV103">
        <f t="shared" si="20"/>
        <v>18.380700000000001</v>
      </c>
      <c r="AW103">
        <f t="shared" si="21"/>
        <v>18.962449155000002</v>
      </c>
      <c r="AX103" s="9"/>
      <c r="AY103" s="22">
        <v>0.36834699999999998</v>
      </c>
      <c r="AZ103" s="22">
        <v>294.27499999999998</v>
      </c>
      <c r="BA103" s="22">
        <v>-1.9036899999999999E-2</v>
      </c>
      <c r="BB103" s="22">
        <v>93</v>
      </c>
      <c r="BC103" s="22">
        <v>0.36770599999999998</v>
      </c>
      <c r="BD103">
        <f t="shared" si="22"/>
        <v>19.036899999999999</v>
      </c>
      <c r="BE103">
        <f t="shared" si="23"/>
        <v>7.0121850042999991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1.02661</v>
      </c>
      <c r="H104" s="22">
        <v>50.0458</v>
      </c>
      <c r="I104" s="22">
        <v>-1.84082E-2</v>
      </c>
      <c r="J104" s="22">
        <v>94</v>
      </c>
      <c r="K104" s="22">
        <v>1.02539</v>
      </c>
      <c r="L104">
        <f t="shared" si="12"/>
        <v>18.408200000000001</v>
      </c>
      <c r="M104">
        <f t="shared" si="13"/>
        <v>18.898042202000003</v>
      </c>
      <c r="N104" s="9"/>
      <c r="O104" s="22">
        <v>0.37338300000000002</v>
      </c>
      <c r="P104" s="22">
        <v>98.872200000000007</v>
      </c>
      <c r="Q104" s="22">
        <v>-1.90613E-2</v>
      </c>
      <c r="R104" s="22">
        <v>94</v>
      </c>
      <c r="S104" s="22">
        <v>0.37274200000000002</v>
      </c>
      <c r="T104">
        <f t="shared" si="14"/>
        <v>19.061299999999999</v>
      </c>
      <c r="U104">
        <f t="shared" si="15"/>
        <v>7.1171653779000001</v>
      </c>
      <c r="X104" s="9"/>
      <c r="Y104" s="22">
        <v>1.02661</v>
      </c>
      <c r="Z104" s="22">
        <v>147.816</v>
      </c>
      <c r="AA104" s="22">
        <v>-1.83929E-2</v>
      </c>
      <c r="AB104" s="22">
        <v>94</v>
      </c>
      <c r="AC104" s="22">
        <v>1.0257000000000001</v>
      </c>
      <c r="AD104">
        <f t="shared" si="16"/>
        <v>18.392900000000001</v>
      </c>
      <c r="AE104">
        <f t="shared" si="17"/>
        <v>18.882335069</v>
      </c>
      <c r="AF104" s="9"/>
      <c r="AG104" s="22">
        <v>0.37338300000000002</v>
      </c>
      <c r="AH104" s="22">
        <v>196.614</v>
      </c>
      <c r="AI104" s="22">
        <v>-1.9046E-2</v>
      </c>
      <c r="AJ104" s="22">
        <v>94</v>
      </c>
      <c r="AK104" s="22">
        <v>0.37277199999999999</v>
      </c>
      <c r="AL104">
        <f t="shared" si="18"/>
        <v>19.045999999999999</v>
      </c>
      <c r="AM104">
        <f t="shared" si="19"/>
        <v>7.1114526180000004</v>
      </c>
      <c r="AP104" s="9"/>
      <c r="AQ104" s="22">
        <v>1.02661</v>
      </c>
      <c r="AR104" s="22">
        <v>245.38300000000001</v>
      </c>
      <c r="AS104" s="22">
        <v>-1.8383799999999999E-2</v>
      </c>
      <c r="AT104" s="22">
        <v>94</v>
      </c>
      <c r="AU104" s="22">
        <v>1.0263100000000001</v>
      </c>
      <c r="AV104">
        <f t="shared" si="20"/>
        <v>18.383799999999997</v>
      </c>
      <c r="AW104">
        <f t="shared" si="21"/>
        <v>18.872992917999998</v>
      </c>
      <c r="AX104" s="9"/>
      <c r="AY104" s="22">
        <v>0.37338300000000002</v>
      </c>
      <c r="AZ104" s="22">
        <v>294.28500000000003</v>
      </c>
      <c r="BA104" s="22">
        <v>-1.9027700000000002E-2</v>
      </c>
      <c r="BB104" s="22">
        <v>94</v>
      </c>
      <c r="BC104" s="22">
        <v>0.37271100000000001</v>
      </c>
      <c r="BD104">
        <f t="shared" si="22"/>
        <v>19.027700000000003</v>
      </c>
      <c r="BE104">
        <f t="shared" si="23"/>
        <v>7.1046197091000014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1.0215799999999999</v>
      </c>
      <c r="H105" s="22">
        <v>50.055900000000001</v>
      </c>
      <c r="I105" s="22">
        <v>-1.8411299999999999E-2</v>
      </c>
      <c r="J105" s="22">
        <v>95</v>
      </c>
      <c r="K105" s="22">
        <v>1.0202</v>
      </c>
      <c r="L105">
        <f t="shared" si="12"/>
        <v>18.411299999999997</v>
      </c>
      <c r="M105">
        <f t="shared" si="13"/>
        <v>18.808615853999996</v>
      </c>
      <c r="N105" s="9"/>
      <c r="O105" s="22">
        <v>0.37841799999999998</v>
      </c>
      <c r="P105" s="22">
        <v>98.882300000000001</v>
      </c>
      <c r="Q105" s="22">
        <v>-1.9055200000000001E-2</v>
      </c>
      <c r="R105" s="22">
        <v>95</v>
      </c>
      <c r="S105" s="22">
        <v>0.37780799999999998</v>
      </c>
      <c r="T105">
        <f t="shared" si="14"/>
        <v>19.055200000000003</v>
      </c>
      <c r="U105">
        <f t="shared" si="15"/>
        <v>7.2108306736000003</v>
      </c>
      <c r="X105" s="9"/>
      <c r="Y105" s="22">
        <v>1.0215799999999999</v>
      </c>
      <c r="Z105" s="22">
        <v>147.82599999999999</v>
      </c>
      <c r="AA105" s="22">
        <v>-1.8398999999999999E-2</v>
      </c>
      <c r="AB105" s="22">
        <v>95</v>
      </c>
      <c r="AC105" s="22">
        <v>1.02112</v>
      </c>
      <c r="AD105">
        <f t="shared" si="16"/>
        <v>18.398999999999997</v>
      </c>
      <c r="AE105">
        <f t="shared" si="17"/>
        <v>18.796050419999997</v>
      </c>
      <c r="AF105" s="9"/>
      <c r="AG105" s="22">
        <v>0.37841799999999998</v>
      </c>
      <c r="AH105" s="22">
        <v>196.624</v>
      </c>
      <c r="AI105" s="22">
        <v>-1.9046E-2</v>
      </c>
      <c r="AJ105" s="22">
        <v>95</v>
      </c>
      <c r="AK105" s="22">
        <v>0.37786900000000001</v>
      </c>
      <c r="AL105">
        <f t="shared" si="18"/>
        <v>19.045999999999999</v>
      </c>
      <c r="AM105">
        <f t="shared" si="19"/>
        <v>7.2073492279999991</v>
      </c>
      <c r="AP105" s="9"/>
      <c r="AQ105" s="22">
        <v>1.0215799999999999</v>
      </c>
      <c r="AR105" s="22">
        <v>245.39400000000001</v>
      </c>
      <c r="AS105" s="22">
        <v>-1.8383799999999999E-2</v>
      </c>
      <c r="AT105" s="22">
        <v>95</v>
      </c>
      <c r="AU105" s="22">
        <v>1.0202</v>
      </c>
      <c r="AV105">
        <f t="shared" si="20"/>
        <v>18.383799999999997</v>
      </c>
      <c r="AW105">
        <f t="shared" si="21"/>
        <v>18.780522403999996</v>
      </c>
      <c r="AX105" s="9"/>
      <c r="AY105" s="22">
        <v>0.37841799999999998</v>
      </c>
      <c r="AZ105" s="22">
        <v>294.29500000000002</v>
      </c>
      <c r="BA105" s="22">
        <v>-1.9024699999999999E-2</v>
      </c>
      <c r="BB105" s="22">
        <v>95</v>
      </c>
      <c r="BC105" s="22">
        <v>0.378021</v>
      </c>
      <c r="BD105">
        <f t="shared" si="22"/>
        <v>19.024699999999999</v>
      </c>
      <c r="BE105">
        <f t="shared" si="23"/>
        <v>7.1992889245999994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1.01654</v>
      </c>
      <c r="H106" s="22">
        <v>50.066000000000003</v>
      </c>
      <c r="I106" s="22">
        <v>-1.8414300000000002E-2</v>
      </c>
      <c r="J106" s="22">
        <v>96</v>
      </c>
      <c r="K106" s="22">
        <v>1.01563</v>
      </c>
      <c r="L106">
        <f t="shared" si="12"/>
        <v>18.414300000000001</v>
      </c>
      <c r="M106">
        <f t="shared" si="13"/>
        <v>18.718872522000002</v>
      </c>
      <c r="N106" s="9"/>
      <c r="O106" s="22">
        <v>0.38345299999999999</v>
      </c>
      <c r="P106" s="22">
        <v>98.892399999999995</v>
      </c>
      <c r="Q106" s="22">
        <v>-1.9052099999999999E-2</v>
      </c>
      <c r="R106" s="22">
        <v>96</v>
      </c>
      <c r="S106" s="22">
        <v>0.382965</v>
      </c>
      <c r="T106">
        <f t="shared" si="14"/>
        <v>19.052099999999999</v>
      </c>
      <c r="U106">
        <f t="shared" si="15"/>
        <v>7.3055849012999996</v>
      </c>
      <c r="X106" s="9"/>
      <c r="Y106" s="22">
        <v>1.01654</v>
      </c>
      <c r="Z106" s="22">
        <v>147.83600000000001</v>
      </c>
      <c r="AA106" s="22">
        <v>-1.84082E-2</v>
      </c>
      <c r="AB106" s="22">
        <v>96</v>
      </c>
      <c r="AC106" s="22">
        <v>1.01532</v>
      </c>
      <c r="AD106">
        <f t="shared" si="16"/>
        <v>18.408200000000001</v>
      </c>
      <c r="AE106">
        <f t="shared" si="17"/>
        <v>18.712671628000002</v>
      </c>
      <c r="AF106" s="9"/>
      <c r="AG106" s="22">
        <v>0.38345299999999999</v>
      </c>
      <c r="AH106" s="22">
        <v>196.63399999999999</v>
      </c>
      <c r="AI106" s="22">
        <v>-1.9039899999999998E-2</v>
      </c>
      <c r="AJ106" s="22">
        <v>96</v>
      </c>
      <c r="AK106" s="22">
        <v>0.382629</v>
      </c>
      <c r="AL106">
        <f t="shared" si="18"/>
        <v>19.039899999999999</v>
      </c>
      <c r="AM106">
        <f t="shared" si="19"/>
        <v>7.3009067746999996</v>
      </c>
      <c r="AP106" s="9"/>
      <c r="AQ106" s="22">
        <v>1.01654</v>
      </c>
      <c r="AR106" s="22">
        <v>245.404</v>
      </c>
      <c r="AS106" s="22">
        <v>-1.8389900000000001E-2</v>
      </c>
      <c r="AT106" s="22">
        <v>96</v>
      </c>
      <c r="AU106" s="22">
        <v>1.01563</v>
      </c>
      <c r="AV106">
        <f t="shared" si="20"/>
        <v>18.389900000000001</v>
      </c>
      <c r="AW106">
        <f t="shared" si="21"/>
        <v>18.694068946000002</v>
      </c>
      <c r="AX106" s="9"/>
      <c r="AY106" s="22">
        <v>0.38345299999999999</v>
      </c>
      <c r="AZ106" s="22">
        <v>294.30500000000001</v>
      </c>
      <c r="BA106" s="22">
        <v>-1.90186E-2</v>
      </c>
      <c r="BB106" s="22">
        <v>96</v>
      </c>
      <c r="BC106" s="22">
        <v>0.382996</v>
      </c>
      <c r="BD106">
        <f t="shared" si="22"/>
        <v>19.018599999999999</v>
      </c>
      <c r="BE106">
        <f t="shared" si="23"/>
        <v>7.2927392257999992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1.0115099999999999</v>
      </c>
      <c r="H107" s="22">
        <v>50.076000000000001</v>
      </c>
      <c r="I107" s="22">
        <v>-1.84174E-2</v>
      </c>
      <c r="J107" s="22">
        <v>97</v>
      </c>
      <c r="K107" s="22">
        <v>1.01044</v>
      </c>
      <c r="L107">
        <f t="shared" si="12"/>
        <v>18.417400000000001</v>
      </c>
      <c r="M107">
        <f t="shared" si="13"/>
        <v>18.629384274</v>
      </c>
      <c r="N107" s="9"/>
      <c r="O107" s="22">
        <v>0.38848899999999997</v>
      </c>
      <c r="P107" s="22">
        <v>98.9024</v>
      </c>
      <c r="Q107" s="22">
        <v>-1.9046E-2</v>
      </c>
      <c r="R107" s="22">
        <v>97</v>
      </c>
      <c r="S107" s="22">
        <v>0.38781700000000002</v>
      </c>
      <c r="T107">
        <f t="shared" si="14"/>
        <v>19.045999999999999</v>
      </c>
      <c r="U107">
        <f t="shared" si="15"/>
        <v>7.3991614939999995</v>
      </c>
      <c r="X107" s="9"/>
      <c r="Y107" s="22">
        <v>1.0115099999999999</v>
      </c>
      <c r="Z107" s="22">
        <v>147.846</v>
      </c>
      <c r="AA107" s="22">
        <v>-1.8414300000000002E-2</v>
      </c>
      <c r="AB107" s="22">
        <v>97</v>
      </c>
      <c r="AC107" s="22">
        <v>1.01105</v>
      </c>
      <c r="AD107">
        <f t="shared" si="16"/>
        <v>18.414300000000001</v>
      </c>
      <c r="AE107">
        <f t="shared" si="17"/>
        <v>18.626248593</v>
      </c>
      <c r="AF107" s="9"/>
      <c r="AG107" s="22">
        <v>0.38848899999999997</v>
      </c>
      <c r="AH107" s="22">
        <v>196.64400000000001</v>
      </c>
      <c r="AI107" s="22">
        <v>-1.9036899999999999E-2</v>
      </c>
      <c r="AJ107" s="22">
        <v>97</v>
      </c>
      <c r="AK107" s="22">
        <v>0.38800000000000001</v>
      </c>
      <c r="AL107">
        <f t="shared" si="18"/>
        <v>19.036899999999999</v>
      </c>
      <c r="AM107">
        <f t="shared" si="19"/>
        <v>7.3956262440999989</v>
      </c>
      <c r="AP107" s="9"/>
      <c r="AQ107" s="22">
        <v>1.0115099999999999</v>
      </c>
      <c r="AR107" s="22">
        <v>245.41399999999999</v>
      </c>
      <c r="AS107" s="22">
        <v>-1.8395999999999999E-2</v>
      </c>
      <c r="AT107" s="22">
        <v>97</v>
      </c>
      <c r="AU107" s="22">
        <v>1.01074</v>
      </c>
      <c r="AV107">
        <f t="shared" si="20"/>
        <v>18.396000000000001</v>
      </c>
      <c r="AW107">
        <f t="shared" si="21"/>
        <v>18.607737959999998</v>
      </c>
      <c r="AX107" s="9"/>
      <c r="AY107" s="22">
        <v>0.38848899999999997</v>
      </c>
      <c r="AZ107" s="22">
        <v>294.315</v>
      </c>
      <c r="BA107" s="22">
        <v>-1.9015500000000001E-2</v>
      </c>
      <c r="BB107" s="22">
        <v>97</v>
      </c>
      <c r="BC107" s="22">
        <v>0.38772600000000002</v>
      </c>
      <c r="BD107">
        <f t="shared" si="22"/>
        <v>19.015499999999999</v>
      </c>
      <c r="BE107">
        <f t="shared" si="23"/>
        <v>7.3873125794999996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1.00647</v>
      </c>
      <c r="H108" s="22">
        <v>50.086100000000002</v>
      </c>
      <c r="I108" s="22">
        <v>-1.8423499999999999E-2</v>
      </c>
      <c r="J108" s="22">
        <v>98</v>
      </c>
      <c r="K108" s="22">
        <v>1.0055499999999999</v>
      </c>
      <c r="L108">
        <f t="shared" si="12"/>
        <v>18.423500000000001</v>
      </c>
      <c r="M108">
        <f t="shared" si="13"/>
        <v>18.542700045</v>
      </c>
      <c r="N108" s="9"/>
      <c r="O108" s="22">
        <v>0.39352399999999998</v>
      </c>
      <c r="P108" s="22">
        <v>98.912499999999994</v>
      </c>
      <c r="Q108" s="22">
        <v>-1.9039899999999998E-2</v>
      </c>
      <c r="R108" s="22">
        <v>98</v>
      </c>
      <c r="S108" s="22">
        <v>0.39288299999999998</v>
      </c>
      <c r="T108">
        <f t="shared" si="14"/>
        <v>19.039899999999999</v>
      </c>
      <c r="U108">
        <f t="shared" si="15"/>
        <v>7.4926576075999991</v>
      </c>
      <c r="X108" s="9"/>
      <c r="Y108" s="22">
        <v>1.00647</v>
      </c>
      <c r="Z108" s="22">
        <v>147.85599999999999</v>
      </c>
      <c r="AA108" s="22">
        <v>-1.84174E-2</v>
      </c>
      <c r="AB108" s="22">
        <v>98</v>
      </c>
      <c r="AC108" s="22">
        <v>1.00586</v>
      </c>
      <c r="AD108">
        <f t="shared" si="16"/>
        <v>18.417400000000001</v>
      </c>
      <c r="AE108">
        <f t="shared" si="17"/>
        <v>18.536560578</v>
      </c>
      <c r="AF108" s="9"/>
      <c r="AG108" s="22">
        <v>0.39352399999999998</v>
      </c>
      <c r="AH108" s="22">
        <v>196.654</v>
      </c>
      <c r="AI108" s="22">
        <v>-1.90308E-2</v>
      </c>
      <c r="AJ108" s="22">
        <v>98</v>
      </c>
      <c r="AK108" s="22">
        <v>0.392822</v>
      </c>
      <c r="AL108">
        <f t="shared" si="18"/>
        <v>19.030799999999999</v>
      </c>
      <c r="AM108">
        <f t="shared" si="19"/>
        <v>7.4890765391999992</v>
      </c>
      <c r="AP108" s="9"/>
      <c r="AQ108" s="22">
        <v>1.00647</v>
      </c>
      <c r="AR108" s="22">
        <v>245.42400000000001</v>
      </c>
      <c r="AS108" s="22">
        <v>-1.84052E-2</v>
      </c>
      <c r="AT108" s="22">
        <v>98</v>
      </c>
      <c r="AU108" s="22">
        <v>1.00586</v>
      </c>
      <c r="AV108">
        <f t="shared" si="20"/>
        <v>18.405200000000001</v>
      </c>
      <c r="AW108">
        <f t="shared" si="21"/>
        <v>18.524281644000002</v>
      </c>
      <c r="AX108" s="9"/>
      <c r="AY108" s="22">
        <v>0.39352399999999998</v>
      </c>
      <c r="AZ108" s="22">
        <v>294.32499999999999</v>
      </c>
      <c r="BA108" s="22">
        <v>-1.9009399999999999E-2</v>
      </c>
      <c r="BB108" s="22">
        <v>98</v>
      </c>
      <c r="BC108" s="22">
        <v>0.392731</v>
      </c>
      <c r="BD108">
        <f t="shared" si="22"/>
        <v>19.009399999999999</v>
      </c>
      <c r="BE108">
        <f t="shared" si="23"/>
        <v>7.4806551255999993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1.00143</v>
      </c>
      <c r="H109" s="22">
        <v>50.096200000000003</v>
      </c>
      <c r="I109" s="22">
        <v>-1.8429600000000001E-2</v>
      </c>
      <c r="J109" s="22">
        <v>99</v>
      </c>
      <c r="K109" s="22">
        <v>1.00098</v>
      </c>
      <c r="L109">
        <f t="shared" si="12"/>
        <v>18.429600000000001</v>
      </c>
      <c r="M109">
        <f t="shared" si="13"/>
        <v>18.455954328000001</v>
      </c>
      <c r="N109" s="9"/>
      <c r="O109" s="22">
        <v>0.39856000000000003</v>
      </c>
      <c r="P109" s="22">
        <v>98.922600000000003</v>
      </c>
      <c r="Q109" s="22">
        <v>-1.9036899999999999E-2</v>
      </c>
      <c r="R109" s="22">
        <v>99</v>
      </c>
      <c r="S109" s="22">
        <v>0.39773599999999998</v>
      </c>
      <c r="T109">
        <f t="shared" si="14"/>
        <v>19.036899999999999</v>
      </c>
      <c r="U109">
        <f t="shared" si="15"/>
        <v>7.5873468640000006</v>
      </c>
      <c r="X109" s="9"/>
      <c r="Y109" s="22">
        <v>1.00143</v>
      </c>
      <c r="Z109" s="22">
        <v>147.86600000000001</v>
      </c>
      <c r="AA109" s="22">
        <v>-1.8426499999999998E-2</v>
      </c>
      <c r="AB109" s="22">
        <v>99</v>
      </c>
      <c r="AC109" s="22">
        <v>1.00037</v>
      </c>
      <c r="AD109">
        <f t="shared" si="16"/>
        <v>18.426499999999997</v>
      </c>
      <c r="AE109">
        <f t="shared" si="17"/>
        <v>18.452849894999996</v>
      </c>
      <c r="AF109" s="9"/>
      <c r="AG109" s="22">
        <v>0.39856000000000003</v>
      </c>
      <c r="AH109" s="22">
        <v>196.66399999999999</v>
      </c>
      <c r="AI109" s="22">
        <v>-1.9024699999999999E-2</v>
      </c>
      <c r="AJ109" s="22">
        <v>99</v>
      </c>
      <c r="AK109" s="22">
        <v>0.397675</v>
      </c>
      <c r="AL109">
        <f t="shared" si="18"/>
        <v>19.024699999999999</v>
      </c>
      <c r="AM109">
        <f t="shared" si="19"/>
        <v>7.5824844320000002</v>
      </c>
      <c r="AP109" s="9"/>
      <c r="AQ109" s="22">
        <v>1.00143</v>
      </c>
      <c r="AR109" s="22">
        <v>245.434</v>
      </c>
      <c r="AS109" s="22">
        <v>-1.8411299999999999E-2</v>
      </c>
      <c r="AT109" s="22">
        <v>99</v>
      </c>
      <c r="AU109" s="22">
        <v>1.0000599999999999</v>
      </c>
      <c r="AV109">
        <f t="shared" si="20"/>
        <v>18.411299999999997</v>
      </c>
      <c r="AW109">
        <f t="shared" si="21"/>
        <v>18.437628158999999</v>
      </c>
      <c r="AX109" s="9"/>
      <c r="AY109" s="22">
        <v>0.39856000000000003</v>
      </c>
      <c r="AZ109" s="22">
        <v>294.33499999999998</v>
      </c>
      <c r="BA109" s="22">
        <v>-1.9003300000000001E-2</v>
      </c>
      <c r="BB109" s="22">
        <v>99</v>
      </c>
      <c r="BC109" s="22">
        <v>0.39788800000000002</v>
      </c>
      <c r="BD109">
        <f t="shared" si="22"/>
        <v>19.003299999999999</v>
      </c>
      <c r="BE109">
        <f t="shared" si="23"/>
        <v>7.5739552479999999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0.99639900000000003</v>
      </c>
      <c r="H110" s="22">
        <v>50.106200000000001</v>
      </c>
      <c r="I110" s="22">
        <v>-1.8435699999999999E-2</v>
      </c>
      <c r="J110" s="22">
        <v>100</v>
      </c>
      <c r="K110" s="22">
        <v>0.99517800000000001</v>
      </c>
      <c r="L110">
        <f t="shared" si="12"/>
        <v>18.435700000000001</v>
      </c>
      <c r="M110">
        <f t="shared" si="13"/>
        <v>18.3693130443</v>
      </c>
      <c r="N110" s="9"/>
      <c r="O110" s="22">
        <v>0.40359499999999998</v>
      </c>
      <c r="P110" s="22">
        <v>98.932699999999997</v>
      </c>
      <c r="Q110" s="22">
        <v>-1.9027700000000002E-2</v>
      </c>
      <c r="R110" s="22">
        <v>100</v>
      </c>
      <c r="S110" s="22">
        <v>0.40332000000000001</v>
      </c>
      <c r="T110">
        <f t="shared" si="14"/>
        <v>19.027700000000003</v>
      </c>
      <c r="U110">
        <f t="shared" si="15"/>
        <v>7.6794845815000006</v>
      </c>
      <c r="X110" s="9"/>
      <c r="Y110" s="22">
        <v>0.99639900000000003</v>
      </c>
      <c r="Z110" s="22">
        <v>147.876</v>
      </c>
      <c r="AA110" s="22">
        <v>-1.8429600000000001E-2</v>
      </c>
      <c r="AB110" s="22">
        <v>100</v>
      </c>
      <c r="AC110" s="22">
        <v>0.99517800000000001</v>
      </c>
      <c r="AD110">
        <f t="shared" si="16"/>
        <v>18.429600000000001</v>
      </c>
      <c r="AE110">
        <f t="shared" si="17"/>
        <v>18.3632350104</v>
      </c>
      <c r="AF110" s="9"/>
      <c r="AG110" s="22">
        <v>0.40359499999999998</v>
      </c>
      <c r="AH110" s="22">
        <v>196.67400000000001</v>
      </c>
      <c r="AI110" s="22">
        <v>-1.90216E-2</v>
      </c>
      <c r="AJ110" s="22">
        <v>100</v>
      </c>
      <c r="AK110" s="22">
        <v>0.40298499999999998</v>
      </c>
      <c r="AL110">
        <f t="shared" si="18"/>
        <v>19.021599999999999</v>
      </c>
      <c r="AM110">
        <f t="shared" si="19"/>
        <v>7.6770226519999998</v>
      </c>
      <c r="AP110" s="9"/>
      <c r="AQ110" s="22">
        <v>0.99639900000000003</v>
      </c>
      <c r="AR110" s="22">
        <v>245.44399999999999</v>
      </c>
      <c r="AS110" s="22">
        <v>-1.84174E-2</v>
      </c>
      <c r="AT110" s="22">
        <v>100</v>
      </c>
      <c r="AU110" s="22">
        <v>0.99548300000000001</v>
      </c>
      <c r="AV110">
        <f t="shared" si="20"/>
        <v>18.417400000000001</v>
      </c>
      <c r="AW110">
        <f t="shared" si="21"/>
        <v>18.351078942600001</v>
      </c>
      <c r="AX110" s="9"/>
      <c r="AY110" s="22">
        <v>0.40359499999999998</v>
      </c>
      <c r="AZ110" s="22">
        <v>294.34500000000003</v>
      </c>
      <c r="BA110" s="22">
        <v>-1.9000199999999998E-2</v>
      </c>
      <c r="BB110" s="22">
        <v>100</v>
      </c>
      <c r="BC110" s="22">
        <v>0.40316800000000003</v>
      </c>
      <c r="BD110">
        <f t="shared" si="22"/>
        <v>19.0002</v>
      </c>
      <c r="BE110">
        <f t="shared" si="23"/>
        <v>7.6683857189999998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0.99136400000000002</v>
      </c>
      <c r="H111" s="22">
        <v>50.116300000000003</v>
      </c>
      <c r="I111" s="22">
        <v>-1.8441800000000001E-2</v>
      </c>
      <c r="J111" s="22">
        <v>101</v>
      </c>
      <c r="K111" s="22">
        <v>0.99029500000000004</v>
      </c>
      <c r="L111">
        <f t="shared" si="12"/>
        <v>18.441800000000001</v>
      </c>
      <c r="M111">
        <f t="shared" si="13"/>
        <v>18.282536615200002</v>
      </c>
      <c r="N111" s="9"/>
      <c r="O111" s="22">
        <v>0.40862999999999999</v>
      </c>
      <c r="P111" s="22">
        <v>98.942700000000002</v>
      </c>
      <c r="Q111" s="22">
        <v>-1.90216E-2</v>
      </c>
      <c r="R111" s="22">
        <v>101</v>
      </c>
      <c r="S111" s="22">
        <v>0.407806</v>
      </c>
      <c r="T111">
        <f t="shared" si="14"/>
        <v>19.021599999999999</v>
      </c>
      <c r="U111">
        <f t="shared" si="15"/>
        <v>7.7727964079999996</v>
      </c>
      <c r="X111" s="9"/>
      <c r="Y111" s="22">
        <v>0.99136400000000002</v>
      </c>
      <c r="Z111" s="22">
        <v>147.886</v>
      </c>
      <c r="AA111" s="22">
        <v>-1.84326E-2</v>
      </c>
      <c r="AB111" s="22">
        <v>101</v>
      </c>
      <c r="AC111" s="22">
        <v>0.99029500000000004</v>
      </c>
      <c r="AD111">
        <f t="shared" si="16"/>
        <v>18.432600000000001</v>
      </c>
      <c r="AE111">
        <f t="shared" si="17"/>
        <v>18.273416066400003</v>
      </c>
      <c r="AF111" s="9"/>
      <c r="AG111" s="22">
        <v>0.40862999999999999</v>
      </c>
      <c r="AH111" s="22">
        <v>196.685</v>
      </c>
      <c r="AI111" s="22">
        <v>-1.9015500000000001E-2</v>
      </c>
      <c r="AJ111" s="22">
        <v>101</v>
      </c>
      <c r="AK111" s="22">
        <v>0.40792800000000001</v>
      </c>
      <c r="AL111">
        <f t="shared" si="18"/>
        <v>19.015499999999999</v>
      </c>
      <c r="AM111">
        <f t="shared" si="19"/>
        <v>7.7703037649999995</v>
      </c>
      <c r="AP111" s="9"/>
      <c r="AQ111" s="22">
        <v>0.99136400000000002</v>
      </c>
      <c r="AR111" s="22">
        <v>245.45400000000001</v>
      </c>
      <c r="AS111" s="22">
        <v>-1.8423499999999999E-2</v>
      </c>
      <c r="AT111" s="22">
        <v>101</v>
      </c>
      <c r="AU111" s="22">
        <v>0.99060099999999995</v>
      </c>
      <c r="AV111">
        <f t="shared" si="20"/>
        <v>18.423500000000001</v>
      </c>
      <c r="AW111">
        <f t="shared" si="21"/>
        <v>18.264394654</v>
      </c>
      <c r="AX111" s="9"/>
      <c r="AY111" s="22">
        <v>0.40862999999999999</v>
      </c>
      <c r="AZ111" s="22">
        <v>294.35500000000002</v>
      </c>
      <c r="BA111" s="22">
        <v>-1.8997199999999999E-2</v>
      </c>
      <c r="BB111" s="22">
        <v>101</v>
      </c>
      <c r="BC111" s="22">
        <v>0.40786699999999998</v>
      </c>
      <c r="BD111">
        <f t="shared" si="22"/>
        <v>18.997199999999999</v>
      </c>
      <c r="BE111">
        <f t="shared" si="23"/>
        <v>7.7628258359999993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0.98632799999999998</v>
      </c>
      <c r="H112" s="22">
        <v>50.126399999999997</v>
      </c>
      <c r="I112" s="22">
        <v>-1.8450899999999999E-2</v>
      </c>
      <c r="J112" s="22">
        <v>102</v>
      </c>
      <c r="K112" s="22">
        <v>0.98510699999999995</v>
      </c>
      <c r="L112">
        <f t="shared" si="12"/>
        <v>18.450900000000001</v>
      </c>
      <c r="M112">
        <f t="shared" si="13"/>
        <v>18.1986392952</v>
      </c>
      <c r="N112" s="9"/>
      <c r="O112" s="22">
        <v>0.41366599999999998</v>
      </c>
      <c r="P112" s="22">
        <v>98.952799999999996</v>
      </c>
      <c r="Q112" s="22">
        <v>-1.9015500000000001E-2</v>
      </c>
      <c r="R112" s="22">
        <v>102</v>
      </c>
      <c r="S112" s="22">
        <v>0.41293299999999999</v>
      </c>
      <c r="T112">
        <f t="shared" si="14"/>
        <v>19.015499999999999</v>
      </c>
      <c r="U112">
        <f t="shared" si="15"/>
        <v>7.8660658229999996</v>
      </c>
      <c r="X112" s="9"/>
      <c r="Y112" s="22">
        <v>0.98632799999999998</v>
      </c>
      <c r="Z112" s="22">
        <v>147.89599999999999</v>
      </c>
      <c r="AA112" s="22">
        <v>-1.8435699999999999E-2</v>
      </c>
      <c r="AB112" s="22">
        <v>102</v>
      </c>
      <c r="AC112" s="22">
        <v>0.98541299999999998</v>
      </c>
      <c r="AD112">
        <f t="shared" si="16"/>
        <v>18.435700000000001</v>
      </c>
      <c r="AE112">
        <f t="shared" si="17"/>
        <v>18.183647109599999</v>
      </c>
      <c r="AF112" s="9"/>
      <c r="AG112" s="22">
        <v>0.41366599999999998</v>
      </c>
      <c r="AH112" s="22">
        <v>196.69499999999999</v>
      </c>
      <c r="AI112" s="22">
        <v>-1.9012500000000002E-2</v>
      </c>
      <c r="AJ112" s="22">
        <v>102</v>
      </c>
      <c r="AK112" s="22">
        <v>0.41302499999999998</v>
      </c>
      <c r="AL112">
        <f t="shared" si="18"/>
        <v>19.012500000000003</v>
      </c>
      <c r="AM112">
        <f t="shared" si="19"/>
        <v>7.8648248250000004</v>
      </c>
      <c r="AP112" s="9"/>
      <c r="AQ112" s="22">
        <v>0.98632799999999998</v>
      </c>
      <c r="AR112" s="22">
        <v>245.464</v>
      </c>
      <c r="AS112" s="22">
        <v>-1.8426499999999998E-2</v>
      </c>
      <c r="AT112" s="22">
        <v>102</v>
      </c>
      <c r="AU112" s="22">
        <v>0.98510699999999995</v>
      </c>
      <c r="AV112">
        <f t="shared" si="20"/>
        <v>18.426499999999997</v>
      </c>
      <c r="AW112">
        <f t="shared" si="21"/>
        <v>18.174572891999997</v>
      </c>
      <c r="AX112" s="9"/>
      <c r="AY112" s="22">
        <v>0.41366599999999998</v>
      </c>
      <c r="AZ112" s="22">
        <v>294.36500000000001</v>
      </c>
      <c r="BA112" s="22">
        <v>-1.89941E-2</v>
      </c>
      <c r="BB112" s="22">
        <v>102</v>
      </c>
      <c r="BC112" s="22">
        <v>0.41290300000000002</v>
      </c>
      <c r="BD112">
        <f t="shared" si="22"/>
        <v>18.9941</v>
      </c>
      <c r="BE112">
        <f t="shared" si="23"/>
        <v>7.8572133705999994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0.98129299999999997</v>
      </c>
      <c r="H113" s="22">
        <v>50.136400000000002</v>
      </c>
      <c r="I113" s="22">
        <v>-1.8454000000000002E-2</v>
      </c>
      <c r="J113" s="22">
        <v>103</v>
      </c>
      <c r="K113" s="22">
        <v>0.98053000000000001</v>
      </c>
      <c r="L113">
        <f t="shared" si="12"/>
        <v>18.454000000000001</v>
      </c>
      <c r="M113">
        <f t="shared" si="13"/>
        <v>18.108781021999999</v>
      </c>
      <c r="N113" s="9"/>
      <c r="O113" s="22">
        <v>0.41870099999999999</v>
      </c>
      <c r="P113" s="22">
        <v>98.962900000000005</v>
      </c>
      <c r="Q113" s="22">
        <v>-1.9009399999999999E-2</v>
      </c>
      <c r="R113" s="22">
        <v>103</v>
      </c>
      <c r="S113" s="22">
        <v>0.41833500000000001</v>
      </c>
      <c r="T113">
        <f t="shared" si="14"/>
        <v>19.009399999999999</v>
      </c>
      <c r="U113">
        <f t="shared" si="15"/>
        <v>7.9592547893999992</v>
      </c>
      <c r="X113" s="9"/>
      <c r="Y113" s="22">
        <v>0.98129299999999997</v>
      </c>
      <c r="Z113" s="22">
        <v>147.90600000000001</v>
      </c>
      <c r="AA113" s="22">
        <v>-1.8441800000000001E-2</v>
      </c>
      <c r="AB113" s="22">
        <v>103</v>
      </c>
      <c r="AC113" s="22">
        <v>0.98053000000000001</v>
      </c>
      <c r="AD113">
        <f t="shared" si="16"/>
        <v>18.441800000000001</v>
      </c>
      <c r="AE113">
        <f t="shared" si="17"/>
        <v>18.0968092474</v>
      </c>
      <c r="AF113" s="9"/>
      <c r="AG113" s="22">
        <v>0.41870099999999999</v>
      </c>
      <c r="AH113" s="22">
        <v>196.70500000000001</v>
      </c>
      <c r="AI113" s="22">
        <v>-1.90063E-2</v>
      </c>
      <c r="AJ113" s="22">
        <v>103</v>
      </c>
      <c r="AK113" s="22">
        <v>0.41796899999999998</v>
      </c>
      <c r="AL113">
        <f t="shared" si="18"/>
        <v>19.0063</v>
      </c>
      <c r="AM113">
        <f t="shared" si="19"/>
        <v>7.9579568162999994</v>
      </c>
      <c r="AP113" s="9"/>
      <c r="AQ113" s="22">
        <v>0.98129299999999997</v>
      </c>
      <c r="AR113" s="22">
        <v>245.47399999999999</v>
      </c>
      <c r="AS113" s="22">
        <v>-1.8435699999999999E-2</v>
      </c>
      <c r="AT113" s="22">
        <v>103</v>
      </c>
      <c r="AU113" s="22">
        <v>0.98053000000000001</v>
      </c>
      <c r="AV113">
        <f t="shared" si="20"/>
        <v>18.435700000000001</v>
      </c>
      <c r="AW113">
        <f t="shared" si="21"/>
        <v>18.0908233601</v>
      </c>
      <c r="AX113" s="9"/>
      <c r="AY113" s="22">
        <v>0.41870099999999999</v>
      </c>
      <c r="AZ113" s="22">
        <v>294.37599999999998</v>
      </c>
      <c r="BA113" s="22">
        <v>-1.8988000000000001E-2</v>
      </c>
      <c r="BB113" s="22">
        <v>103</v>
      </c>
      <c r="BC113" s="22">
        <v>0.417908</v>
      </c>
      <c r="BD113">
        <f t="shared" si="22"/>
        <v>18.988000000000003</v>
      </c>
      <c r="BE113">
        <f t="shared" si="23"/>
        <v>7.9502945880000011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0.97625700000000004</v>
      </c>
      <c r="H114" s="22">
        <v>50.146500000000003</v>
      </c>
      <c r="I114" s="22">
        <v>-1.84631E-2</v>
      </c>
      <c r="J114" s="22">
        <v>104</v>
      </c>
      <c r="K114" s="22">
        <v>0.97534200000000004</v>
      </c>
      <c r="L114">
        <f t="shared" si="12"/>
        <v>18.463100000000001</v>
      </c>
      <c r="M114">
        <f t="shared" si="13"/>
        <v>18.024730616700001</v>
      </c>
      <c r="N114" s="9"/>
      <c r="O114" s="22">
        <v>0.42373699999999997</v>
      </c>
      <c r="P114" s="22">
        <v>98.972899999999996</v>
      </c>
      <c r="Q114" s="22">
        <v>-1.9009399999999999E-2</v>
      </c>
      <c r="R114" s="22">
        <v>104</v>
      </c>
      <c r="S114" s="22">
        <v>0.42330899999999999</v>
      </c>
      <c r="T114">
        <f t="shared" si="14"/>
        <v>19.009399999999999</v>
      </c>
      <c r="U114">
        <f t="shared" si="15"/>
        <v>8.0549861277999995</v>
      </c>
      <c r="X114" s="9"/>
      <c r="Y114" s="22">
        <v>0.97625700000000004</v>
      </c>
      <c r="Z114" s="22">
        <v>147.916</v>
      </c>
      <c r="AA114" s="22">
        <v>-1.8444800000000001E-2</v>
      </c>
      <c r="AB114" s="22">
        <v>104</v>
      </c>
      <c r="AC114" s="22">
        <v>0.97503700000000004</v>
      </c>
      <c r="AD114">
        <f t="shared" si="16"/>
        <v>18.444800000000001</v>
      </c>
      <c r="AE114">
        <f t="shared" si="17"/>
        <v>18.0068651136</v>
      </c>
      <c r="AF114" s="9"/>
      <c r="AG114" s="22">
        <v>0.42373699999999997</v>
      </c>
      <c r="AH114" s="22">
        <v>196.715</v>
      </c>
      <c r="AI114" s="22">
        <v>-1.9000199999999998E-2</v>
      </c>
      <c r="AJ114" s="22">
        <v>104</v>
      </c>
      <c r="AK114" s="22">
        <v>0.42276000000000002</v>
      </c>
      <c r="AL114">
        <f t="shared" si="18"/>
        <v>19.0002</v>
      </c>
      <c r="AM114">
        <f t="shared" si="19"/>
        <v>8.0510877473999987</v>
      </c>
      <c r="AP114" s="9"/>
      <c r="AQ114" s="22">
        <v>0.97625700000000004</v>
      </c>
      <c r="AR114" s="22">
        <v>245.48400000000001</v>
      </c>
      <c r="AS114" s="22">
        <v>-1.8438699999999999E-2</v>
      </c>
      <c r="AT114" s="22">
        <v>104</v>
      </c>
      <c r="AU114" s="22">
        <v>0.97473100000000001</v>
      </c>
      <c r="AV114">
        <f t="shared" si="20"/>
        <v>18.438699999999997</v>
      </c>
      <c r="AW114">
        <f t="shared" si="21"/>
        <v>18.000909945899998</v>
      </c>
      <c r="AX114" s="9"/>
      <c r="AY114" s="22">
        <v>0.42373699999999997</v>
      </c>
      <c r="AZ114" s="22">
        <v>294.38600000000002</v>
      </c>
      <c r="BA114" s="22">
        <v>-1.8981899999999999E-2</v>
      </c>
      <c r="BB114" s="22">
        <v>104</v>
      </c>
      <c r="BC114" s="22">
        <v>0.42303499999999999</v>
      </c>
      <c r="BD114">
        <f t="shared" si="22"/>
        <v>18.9819</v>
      </c>
      <c r="BE114">
        <f t="shared" si="23"/>
        <v>8.0433333603000001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0.97122200000000003</v>
      </c>
      <c r="H115" s="22">
        <v>50.156599999999997</v>
      </c>
      <c r="I115" s="22">
        <v>-1.8466199999999999E-2</v>
      </c>
      <c r="J115" s="22">
        <v>105</v>
      </c>
      <c r="K115" s="22">
        <v>0.97015399999999996</v>
      </c>
      <c r="L115">
        <f t="shared" si="12"/>
        <v>18.466199999999997</v>
      </c>
      <c r="M115">
        <f t="shared" si="13"/>
        <v>17.934779696399996</v>
      </c>
      <c r="N115" s="9"/>
      <c r="O115" s="22">
        <v>0.42877199999999999</v>
      </c>
      <c r="P115" s="22">
        <v>98.983000000000004</v>
      </c>
      <c r="Q115" s="22">
        <v>-1.9000199999999998E-2</v>
      </c>
      <c r="R115" s="22">
        <v>105</v>
      </c>
      <c r="S115" s="22">
        <v>0.42846699999999999</v>
      </c>
      <c r="T115">
        <f t="shared" si="14"/>
        <v>19.0002</v>
      </c>
      <c r="U115">
        <f t="shared" si="15"/>
        <v>8.1467537543999988</v>
      </c>
      <c r="X115" s="9"/>
      <c r="Y115" s="22">
        <v>0.97122200000000003</v>
      </c>
      <c r="Z115" s="22">
        <v>147.92599999999999</v>
      </c>
      <c r="AA115" s="22">
        <v>-1.84479E-2</v>
      </c>
      <c r="AB115" s="22">
        <v>105</v>
      </c>
      <c r="AC115" s="22">
        <v>0.97076399999999996</v>
      </c>
      <c r="AD115">
        <f t="shared" si="16"/>
        <v>18.447900000000001</v>
      </c>
      <c r="AE115">
        <f t="shared" si="17"/>
        <v>17.9170063338</v>
      </c>
      <c r="AF115" s="9"/>
      <c r="AG115" s="22">
        <v>0.42877199999999999</v>
      </c>
      <c r="AH115" s="22">
        <v>196.72499999999999</v>
      </c>
      <c r="AI115" s="22">
        <v>-1.8997199999999999E-2</v>
      </c>
      <c r="AJ115" s="22">
        <v>105</v>
      </c>
      <c r="AK115" s="22">
        <v>0.42779499999999998</v>
      </c>
      <c r="AL115">
        <f t="shared" si="18"/>
        <v>18.997199999999999</v>
      </c>
      <c r="AM115">
        <f t="shared" si="19"/>
        <v>8.145467438399999</v>
      </c>
      <c r="AP115" s="9"/>
      <c r="AQ115" s="22">
        <v>0.97122200000000003</v>
      </c>
      <c r="AR115" s="22">
        <v>245.494</v>
      </c>
      <c r="AS115" s="22">
        <v>-1.8441800000000001E-2</v>
      </c>
      <c r="AT115" s="22">
        <v>105</v>
      </c>
      <c r="AU115" s="22">
        <v>0.96984899999999996</v>
      </c>
      <c r="AV115">
        <f t="shared" si="20"/>
        <v>18.441800000000001</v>
      </c>
      <c r="AW115">
        <f t="shared" si="21"/>
        <v>17.911081879600001</v>
      </c>
      <c r="AX115" s="9"/>
      <c r="AY115" s="22">
        <v>0.42877199999999999</v>
      </c>
      <c r="AZ115" s="22">
        <v>294.39600000000002</v>
      </c>
      <c r="BA115" s="22">
        <v>-1.89789E-2</v>
      </c>
      <c r="BB115" s="22">
        <v>105</v>
      </c>
      <c r="BC115" s="22">
        <v>0.42791699999999999</v>
      </c>
      <c r="BD115">
        <f t="shared" si="22"/>
        <v>18.978899999999999</v>
      </c>
      <c r="BE115">
        <f t="shared" si="23"/>
        <v>8.1376209107999991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0.96618700000000002</v>
      </c>
      <c r="H116" s="22">
        <v>50.166699999999999</v>
      </c>
      <c r="I116" s="22">
        <v>-1.8469200000000002E-2</v>
      </c>
      <c r="J116" s="22">
        <v>106</v>
      </c>
      <c r="K116" s="22">
        <v>0.96588099999999999</v>
      </c>
      <c r="L116">
        <f t="shared" si="12"/>
        <v>18.469200000000001</v>
      </c>
      <c r="M116">
        <f t="shared" si="13"/>
        <v>17.844700940400003</v>
      </c>
      <c r="N116" s="9"/>
      <c r="O116" s="22">
        <v>0.433807</v>
      </c>
      <c r="P116" s="22">
        <v>98.993099999999998</v>
      </c>
      <c r="Q116" s="22">
        <v>-1.8997199999999999E-2</v>
      </c>
      <c r="R116" s="22">
        <v>106</v>
      </c>
      <c r="S116" s="22">
        <v>0.43325799999999998</v>
      </c>
      <c r="T116">
        <f t="shared" si="14"/>
        <v>18.997199999999999</v>
      </c>
      <c r="U116">
        <f t="shared" si="15"/>
        <v>8.2411183403999999</v>
      </c>
      <c r="X116" s="9"/>
      <c r="Y116" s="22">
        <v>0.96618700000000002</v>
      </c>
      <c r="Z116" s="22">
        <v>147.93600000000001</v>
      </c>
      <c r="AA116" s="22">
        <v>-1.8454000000000002E-2</v>
      </c>
      <c r="AB116" s="22">
        <v>106</v>
      </c>
      <c r="AC116" s="22">
        <v>0.96527099999999999</v>
      </c>
      <c r="AD116">
        <f t="shared" si="16"/>
        <v>18.454000000000001</v>
      </c>
      <c r="AE116">
        <f t="shared" si="17"/>
        <v>17.830014898000002</v>
      </c>
      <c r="AF116" s="9"/>
      <c r="AG116" s="22">
        <v>0.433807</v>
      </c>
      <c r="AH116" s="22">
        <v>196.73500000000001</v>
      </c>
      <c r="AI116" s="22">
        <v>-1.89911E-2</v>
      </c>
      <c r="AJ116" s="22">
        <v>106</v>
      </c>
      <c r="AK116" s="22">
        <v>0.43307499999999999</v>
      </c>
      <c r="AL116">
        <f t="shared" si="18"/>
        <v>18.991099999999999</v>
      </c>
      <c r="AM116">
        <f t="shared" si="19"/>
        <v>8.2384721176999989</v>
      </c>
      <c r="AP116" s="9"/>
      <c r="AQ116" s="22">
        <v>0.96618700000000002</v>
      </c>
      <c r="AR116" s="22">
        <v>245.50399999999999</v>
      </c>
      <c r="AS116" s="22">
        <v>-1.84479E-2</v>
      </c>
      <c r="AT116" s="22">
        <v>106</v>
      </c>
      <c r="AU116" s="22">
        <v>0.96618700000000002</v>
      </c>
      <c r="AV116">
        <f t="shared" si="20"/>
        <v>18.447900000000001</v>
      </c>
      <c r="AW116">
        <f t="shared" si="21"/>
        <v>17.824121157300002</v>
      </c>
      <c r="AX116" s="9"/>
      <c r="AY116" s="22">
        <v>0.433807</v>
      </c>
      <c r="AZ116" s="22">
        <v>294.40600000000001</v>
      </c>
      <c r="BA116" s="22">
        <v>-1.8972800000000001E-2</v>
      </c>
      <c r="BB116" s="22">
        <v>106</v>
      </c>
      <c r="BC116" s="22">
        <v>0.43310500000000002</v>
      </c>
      <c r="BD116">
        <f t="shared" si="22"/>
        <v>18.972800000000003</v>
      </c>
      <c r="BE116">
        <f t="shared" si="23"/>
        <v>8.2305334496000011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0.96115099999999998</v>
      </c>
      <c r="H117" s="22">
        <v>50.176699999999997</v>
      </c>
      <c r="I117" s="22">
        <v>-1.8472300000000001E-2</v>
      </c>
      <c r="J117" s="22">
        <v>107</v>
      </c>
      <c r="K117" s="22">
        <v>0.96008300000000002</v>
      </c>
      <c r="L117">
        <f t="shared" si="12"/>
        <v>18.472300000000001</v>
      </c>
      <c r="M117">
        <f t="shared" si="13"/>
        <v>17.754669617299999</v>
      </c>
      <c r="N117" s="9"/>
      <c r="O117" s="22">
        <v>0.43884299999999998</v>
      </c>
      <c r="P117" s="22">
        <v>99.003100000000003</v>
      </c>
      <c r="Q117" s="22">
        <v>-1.89941E-2</v>
      </c>
      <c r="R117" s="22">
        <v>107</v>
      </c>
      <c r="S117" s="22">
        <v>0.43811</v>
      </c>
      <c r="T117">
        <f t="shared" si="14"/>
        <v>18.9941</v>
      </c>
      <c r="U117">
        <f t="shared" si="15"/>
        <v>8.3354278263000001</v>
      </c>
      <c r="X117" s="9"/>
      <c r="Y117" s="22">
        <v>0.96115099999999998</v>
      </c>
      <c r="Z117" s="22">
        <v>147.947</v>
      </c>
      <c r="AA117" s="22">
        <v>-1.84601E-2</v>
      </c>
      <c r="AB117" s="22">
        <v>107</v>
      </c>
      <c r="AC117" s="22">
        <v>0.95977800000000002</v>
      </c>
      <c r="AD117">
        <f t="shared" si="16"/>
        <v>18.460100000000001</v>
      </c>
      <c r="AE117">
        <f t="shared" si="17"/>
        <v>17.7429435751</v>
      </c>
      <c r="AF117" s="9"/>
      <c r="AG117" s="22">
        <v>0.43884299999999998</v>
      </c>
      <c r="AH117" s="22">
        <v>196.745</v>
      </c>
      <c r="AI117" s="22">
        <v>-1.8984999999999998E-2</v>
      </c>
      <c r="AJ117" s="22">
        <v>107</v>
      </c>
      <c r="AK117" s="22">
        <v>0.43835400000000002</v>
      </c>
      <c r="AL117">
        <f t="shared" si="18"/>
        <v>18.984999999999999</v>
      </c>
      <c r="AM117">
        <f t="shared" si="19"/>
        <v>8.331434354999999</v>
      </c>
      <c r="AP117" s="9"/>
      <c r="AQ117" s="22">
        <v>0.96115099999999998</v>
      </c>
      <c r="AR117" s="22">
        <v>245.51400000000001</v>
      </c>
      <c r="AS117" s="22">
        <v>-1.8450899999999999E-2</v>
      </c>
      <c r="AT117" s="22">
        <v>107</v>
      </c>
      <c r="AU117" s="22">
        <v>0.96038800000000002</v>
      </c>
      <c r="AV117">
        <f t="shared" si="20"/>
        <v>18.450900000000001</v>
      </c>
      <c r="AW117">
        <f t="shared" si="21"/>
        <v>17.7341009859</v>
      </c>
      <c r="AX117" s="9"/>
      <c r="AY117" s="22">
        <v>0.43884299999999998</v>
      </c>
      <c r="AZ117" s="22">
        <v>294.416</v>
      </c>
      <c r="BA117" s="22">
        <v>-1.8969699999999999E-2</v>
      </c>
      <c r="BB117" s="22">
        <v>107</v>
      </c>
      <c r="BC117" s="22">
        <v>0.43832399999999999</v>
      </c>
      <c r="BD117">
        <f t="shared" si="22"/>
        <v>18.9697</v>
      </c>
      <c r="BE117">
        <f t="shared" si="23"/>
        <v>8.3247200570999986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0.95611599999999997</v>
      </c>
      <c r="H118" s="22">
        <v>50.186799999999998</v>
      </c>
      <c r="I118" s="22">
        <v>-1.84753E-2</v>
      </c>
      <c r="J118" s="22">
        <v>108</v>
      </c>
      <c r="K118" s="22">
        <v>0.95550500000000005</v>
      </c>
      <c r="L118">
        <f t="shared" si="12"/>
        <v>18.475300000000001</v>
      </c>
      <c r="M118">
        <f t="shared" si="13"/>
        <v>17.664529934800001</v>
      </c>
      <c r="N118" s="9"/>
      <c r="O118" s="22">
        <v>0.44387799999999999</v>
      </c>
      <c r="P118" s="22">
        <v>99.013199999999998</v>
      </c>
      <c r="Q118" s="22">
        <v>-1.89911E-2</v>
      </c>
      <c r="R118" s="22">
        <v>108</v>
      </c>
      <c r="S118" s="22">
        <v>0.44348100000000001</v>
      </c>
      <c r="T118">
        <f t="shared" si="14"/>
        <v>18.991099999999999</v>
      </c>
      <c r="U118">
        <f t="shared" si="15"/>
        <v>8.4297314857999996</v>
      </c>
      <c r="X118" s="9"/>
      <c r="Y118" s="22">
        <v>0.95611599999999997</v>
      </c>
      <c r="Z118" s="22">
        <v>147.95699999999999</v>
      </c>
      <c r="AA118" s="22">
        <v>-1.8466199999999999E-2</v>
      </c>
      <c r="AB118" s="22">
        <v>108</v>
      </c>
      <c r="AC118" s="22">
        <v>0.95489500000000005</v>
      </c>
      <c r="AD118">
        <f t="shared" si="16"/>
        <v>18.466199999999997</v>
      </c>
      <c r="AE118">
        <f t="shared" si="17"/>
        <v>17.655829279199995</v>
      </c>
      <c r="AF118" s="9"/>
      <c r="AG118" s="22">
        <v>0.44387799999999999</v>
      </c>
      <c r="AH118" s="22">
        <v>196.755</v>
      </c>
      <c r="AI118" s="22">
        <v>-1.89789E-2</v>
      </c>
      <c r="AJ118" s="22">
        <v>108</v>
      </c>
      <c r="AK118" s="22">
        <v>0.443054</v>
      </c>
      <c r="AL118">
        <f t="shared" si="18"/>
        <v>18.978899999999999</v>
      </c>
      <c r="AM118">
        <f t="shared" si="19"/>
        <v>8.4243161741999995</v>
      </c>
      <c r="AP118" s="9"/>
      <c r="AQ118" s="22">
        <v>0.95611599999999997</v>
      </c>
      <c r="AR118" s="22">
        <v>245.524</v>
      </c>
      <c r="AS118" s="22">
        <v>-1.8457000000000001E-2</v>
      </c>
      <c r="AT118" s="22">
        <v>108</v>
      </c>
      <c r="AU118" s="22">
        <v>0.95581099999999997</v>
      </c>
      <c r="AV118">
        <f t="shared" si="20"/>
        <v>18.457000000000001</v>
      </c>
      <c r="AW118">
        <f t="shared" si="21"/>
        <v>17.647033012000001</v>
      </c>
      <c r="AX118" s="9"/>
      <c r="AY118" s="22">
        <v>0.44387799999999999</v>
      </c>
      <c r="AZ118" s="22">
        <v>294.42599999999999</v>
      </c>
      <c r="BA118" s="22">
        <v>-1.89667E-2</v>
      </c>
      <c r="BB118" s="22">
        <v>108</v>
      </c>
      <c r="BC118" s="22">
        <v>0.44311499999999998</v>
      </c>
      <c r="BD118">
        <f t="shared" si="22"/>
        <v>18.966699999999999</v>
      </c>
      <c r="BE118">
        <f t="shared" si="23"/>
        <v>8.4189008625999993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0.95108000000000004</v>
      </c>
      <c r="H119" s="22">
        <v>50.196899999999999</v>
      </c>
      <c r="I119" s="22">
        <v>-1.84753E-2</v>
      </c>
      <c r="J119" s="22">
        <v>109</v>
      </c>
      <c r="K119" s="22">
        <v>0.950623</v>
      </c>
      <c r="L119">
        <f t="shared" si="12"/>
        <v>18.475300000000001</v>
      </c>
      <c r="M119">
        <f t="shared" si="13"/>
        <v>17.571488324000001</v>
      </c>
      <c r="N119" s="9"/>
      <c r="O119" s="22">
        <v>0.44891399999999998</v>
      </c>
      <c r="P119" s="22">
        <v>99.023300000000006</v>
      </c>
      <c r="Q119" s="22">
        <v>-1.8984999999999998E-2</v>
      </c>
      <c r="R119" s="22">
        <v>109</v>
      </c>
      <c r="S119" s="22">
        <v>0.44793699999999997</v>
      </c>
      <c r="T119">
        <f t="shared" si="14"/>
        <v>18.984999999999999</v>
      </c>
      <c r="U119">
        <f t="shared" si="15"/>
        <v>8.5226322899999989</v>
      </c>
      <c r="X119" s="9"/>
      <c r="Y119" s="22">
        <v>0.95108000000000004</v>
      </c>
      <c r="Z119" s="22">
        <v>147.96700000000001</v>
      </c>
      <c r="AA119" s="22">
        <v>-1.8466199999999999E-2</v>
      </c>
      <c r="AB119" s="22">
        <v>109</v>
      </c>
      <c r="AC119" s="22">
        <v>0.95031699999999997</v>
      </c>
      <c r="AD119">
        <f t="shared" si="16"/>
        <v>18.466199999999997</v>
      </c>
      <c r="AE119">
        <f t="shared" si="17"/>
        <v>17.562833495999996</v>
      </c>
      <c r="AF119" s="9"/>
      <c r="AG119" s="22">
        <v>0.44891399999999998</v>
      </c>
      <c r="AH119" s="22">
        <v>196.76499999999999</v>
      </c>
      <c r="AI119" s="22">
        <v>-1.8972800000000001E-2</v>
      </c>
      <c r="AJ119" s="22">
        <v>109</v>
      </c>
      <c r="AK119" s="22">
        <v>0.44815100000000002</v>
      </c>
      <c r="AL119">
        <f t="shared" si="18"/>
        <v>18.972800000000003</v>
      </c>
      <c r="AM119">
        <f t="shared" si="19"/>
        <v>8.5171555392000009</v>
      </c>
      <c r="AP119" s="9"/>
      <c r="AQ119" s="22">
        <v>0.95108000000000004</v>
      </c>
      <c r="AR119" s="22">
        <v>245.535</v>
      </c>
      <c r="AS119" s="22">
        <v>-1.8457000000000001E-2</v>
      </c>
      <c r="AT119" s="22">
        <v>109</v>
      </c>
      <c r="AU119" s="22">
        <v>0.95001199999999997</v>
      </c>
      <c r="AV119">
        <f t="shared" si="20"/>
        <v>18.457000000000001</v>
      </c>
      <c r="AW119">
        <f t="shared" si="21"/>
        <v>17.554083560000002</v>
      </c>
      <c r="AX119" s="9"/>
      <c r="AY119" s="22">
        <v>0.44891399999999998</v>
      </c>
      <c r="AZ119" s="22">
        <v>294.43599999999998</v>
      </c>
      <c r="BA119" s="22">
        <v>-1.8963600000000001E-2</v>
      </c>
      <c r="BB119" s="22">
        <v>109</v>
      </c>
      <c r="BC119" s="22">
        <v>0.44845600000000002</v>
      </c>
      <c r="BD119">
        <f t="shared" si="22"/>
        <v>18.9636</v>
      </c>
      <c r="BE119">
        <f t="shared" si="23"/>
        <v>8.5130255304000002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0.94604500000000002</v>
      </c>
      <c r="H120" s="22">
        <v>50.206899999999997</v>
      </c>
      <c r="I120" s="22">
        <v>-1.8478399999999999E-2</v>
      </c>
      <c r="J120" s="22">
        <v>110</v>
      </c>
      <c r="K120" s="22">
        <v>0.944824</v>
      </c>
      <c r="L120">
        <f t="shared" si="12"/>
        <v>18.478400000000001</v>
      </c>
      <c r="M120">
        <f t="shared" si="13"/>
        <v>17.481397928</v>
      </c>
      <c r="N120" s="9"/>
      <c r="O120" s="22">
        <v>0.45394899999999999</v>
      </c>
      <c r="P120" s="22">
        <v>99.0334</v>
      </c>
      <c r="Q120" s="22">
        <v>-1.89789E-2</v>
      </c>
      <c r="R120" s="22">
        <v>110</v>
      </c>
      <c r="S120" s="22">
        <v>0.45327800000000001</v>
      </c>
      <c r="T120">
        <f t="shared" si="14"/>
        <v>18.978899999999999</v>
      </c>
      <c r="U120">
        <f t="shared" si="15"/>
        <v>8.6154526761000003</v>
      </c>
      <c r="X120" s="9"/>
      <c r="Y120" s="22">
        <v>0.94604500000000002</v>
      </c>
      <c r="Z120" s="22">
        <v>147.977</v>
      </c>
      <c r="AA120" s="22">
        <v>-1.8472300000000001E-2</v>
      </c>
      <c r="AB120" s="22">
        <v>110</v>
      </c>
      <c r="AC120" s="22">
        <v>0.945129</v>
      </c>
      <c r="AD120">
        <f t="shared" si="16"/>
        <v>18.472300000000001</v>
      </c>
      <c r="AE120">
        <f t="shared" si="17"/>
        <v>17.475627053500002</v>
      </c>
      <c r="AF120" s="9"/>
      <c r="AG120" s="22">
        <v>0.45394899999999999</v>
      </c>
      <c r="AH120" s="22">
        <v>196.77500000000001</v>
      </c>
      <c r="AI120" s="22">
        <v>-1.8972800000000001E-2</v>
      </c>
      <c r="AJ120" s="22">
        <v>110</v>
      </c>
      <c r="AK120" s="22">
        <v>0.45333899999999999</v>
      </c>
      <c r="AL120">
        <f t="shared" si="18"/>
        <v>18.972800000000003</v>
      </c>
      <c r="AM120">
        <f t="shared" si="19"/>
        <v>8.6126835872000012</v>
      </c>
      <c r="AP120" s="9"/>
      <c r="AQ120" s="22">
        <v>0.94604500000000002</v>
      </c>
      <c r="AR120" s="22">
        <v>245.54499999999999</v>
      </c>
      <c r="AS120" s="22">
        <v>-1.84601E-2</v>
      </c>
      <c r="AT120" s="22">
        <v>110</v>
      </c>
      <c r="AU120" s="22">
        <v>0.945129</v>
      </c>
      <c r="AV120">
        <f t="shared" si="20"/>
        <v>18.460100000000001</v>
      </c>
      <c r="AW120">
        <f t="shared" si="21"/>
        <v>17.464085304499999</v>
      </c>
      <c r="AX120" s="9"/>
      <c r="AY120" s="22">
        <v>0.45394899999999999</v>
      </c>
      <c r="AZ120" s="22">
        <v>294.44600000000003</v>
      </c>
      <c r="BA120" s="22">
        <v>-1.8954499999999999E-2</v>
      </c>
      <c r="BB120" s="22">
        <v>110</v>
      </c>
      <c r="BC120" s="22">
        <v>0.45340000000000003</v>
      </c>
      <c r="BD120">
        <f t="shared" si="22"/>
        <v>18.954499999999999</v>
      </c>
      <c r="BE120">
        <f t="shared" si="23"/>
        <v>8.6043763205000001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0.94101000000000001</v>
      </c>
      <c r="H121" s="22">
        <v>50.216999999999999</v>
      </c>
      <c r="I121" s="22">
        <v>-1.84875E-2</v>
      </c>
      <c r="J121" s="22">
        <v>111</v>
      </c>
      <c r="K121" s="22">
        <v>0.94055200000000005</v>
      </c>
      <c r="L121">
        <f t="shared" si="12"/>
        <v>18.487500000000001</v>
      </c>
      <c r="M121">
        <f t="shared" si="13"/>
        <v>17.396922375000003</v>
      </c>
      <c r="N121" s="9"/>
      <c r="O121" s="22">
        <v>0.458984</v>
      </c>
      <c r="P121" s="22">
        <v>99.043400000000005</v>
      </c>
      <c r="Q121" s="22">
        <v>-1.8975800000000001E-2</v>
      </c>
      <c r="R121" s="22">
        <v>111</v>
      </c>
      <c r="S121" s="22">
        <v>0.45871000000000001</v>
      </c>
      <c r="T121">
        <f t="shared" si="14"/>
        <v>18.9758</v>
      </c>
      <c r="U121">
        <f t="shared" si="15"/>
        <v>8.7095885872000007</v>
      </c>
      <c r="X121" s="9"/>
      <c r="Y121" s="22">
        <v>0.94101000000000001</v>
      </c>
      <c r="Z121" s="22">
        <v>147.98699999999999</v>
      </c>
      <c r="AA121" s="22">
        <v>-1.84753E-2</v>
      </c>
      <c r="AB121" s="22">
        <v>111</v>
      </c>
      <c r="AC121" s="22">
        <v>0.93963600000000003</v>
      </c>
      <c r="AD121">
        <f t="shared" si="16"/>
        <v>18.475300000000001</v>
      </c>
      <c r="AE121">
        <f t="shared" si="17"/>
        <v>17.385442053000002</v>
      </c>
      <c r="AF121" s="9"/>
      <c r="AG121" s="22">
        <v>0.458984</v>
      </c>
      <c r="AH121" s="22">
        <v>196.785</v>
      </c>
      <c r="AI121" s="22">
        <v>-1.89667E-2</v>
      </c>
      <c r="AJ121" s="22">
        <v>111</v>
      </c>
      <c r="AK121" s="22">
        <v>0.45831300000000003</v>
      </c>
      <c r="AL121">
        <f t="shared" si="18"/>
        <v>18.966699999999999</v>
      </c>
      <c r="AM121">
        <f t="shared" si="19"/>
        <v>8.7054118327999994</v>
      </c>
      <c r="AP121" s="9"/>
      <c r="AQ121" s="22">
        <v>0.94101000000000001</v>
      </c>
      <c r="AR121" s="22">
        <v>245.55500000000001</v>
      </c>
      <c r="AS121" s="22">
        <v>-1.8466199999999999E-2</v>
      </c>
      <c r="AT121" s="22">
        <v>111</v>
      </c>
      <c r="AU121" s="22">
        <v>0.94024700000000005</v>
      </c>
      <c r="AV121">
        <f t="shared" si="20"/>
        <v>18.466199999999997</v>
      </c>
      <c r="AW121">
        <f t="shared" si="21"/>
        <v>17.376878861999998</v>
      </c>
      <c r="AX121" s="9"/>
      <c r="AY121" s="22">
        <v>0.458984</v>
      </c>
      <c r="AZ121" s="22">
        <v>294.45600000000002</v>
      </c>
      <c r="BA121" s="22">
        <v>-1.8948400000000001E-2</v>
      </c>
      <c r="BB121" s="22">
        <v>111</v>
      </c>
      <c r="BC121" s="22">
        <v>0.45819100000000001</v>
      </c>
      <c r="BD121">
        <f t="shared" si="22"/>
        <v>18.948399999999999</v>
      </c>
      <c r="BE121">
        <f t="shared" si="23"/>
        <v>8.6970124256000005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0.93597399999999997</v>
      </c>
      <c r="H122" s="22">
        <v>50.2271</v>
      </c>
      <c r="I122" s="22">
        <v>-1.8493699999999998E-2</v>
      </c>
      <c r="J122" s="22">
        <v>112</v>
      </c>
      <c r="K122" s="22">
        <v>0.93505899999999997</v>
      </c>
      <c r="L122">
        <f t="shared" si="12"/>
        <v>18.493699999999997</v>
      </c>
      <c r="M122">
        <f t="shared" si="13"/>
        <v>17.309622363799996</v>
      </c>
      <c r="N122" s="9"/>
      <c r="O122" s="22">
        <v>0.46401999999999999</v>
      </c>
      <c r="P122" s="22">
        <v>99.0535</v>
      </c>
      <c r="Q122" s="22">
        <v>-1.8972800000000001E-2</v>
      </c>
      <c r="R122" s="22">
        <v>112</v>
      </c>
      <c r="S122" s="22">
        <v>0.463196</v>
      </c>
      <c r="T122">
        <f t="shared" si="14"/>
        <v>18.972800000000003</v>
      </c>
      <c r="U122">
        <f t="shared" si="15"/>
        <v>8.8037586560000012</v>
      </c>
      <c r="X122" s="9"/>
      <c r="Y122" s="22">
        <v>0.93597399999999997</v>
      </c>
      <c r="Z122" s="22">
        <v>147.99700000000001</v>
      </c>
      <c r="AA122" s="22">
        <v>-1.8484500000000001E-2</v>
      </c>
      <c r="AB122" s="22">
        <v>112</v>
      </c>
      <c r="AC122" s="22">
        <v>0.93475299999999995</v>
      </c>
      <c r="AD122">
        <f t="shared" si="16"/>
        <v>18.484500000000001</v>
      </c>
      <c r="AE122">
        <f t="shared" si="17"/>
        <v>17.301011403</v>
      </c>
      <c r="AF122" s="9"/>
      <c r="AG122" s="22">
        <v>0.46401999999999999</v>
      </c>
      <c r="AH122" s="22">
        <v>196.79499999999999</v>
      </c>
      <c r="AI122" s="22">
        <v>-1.89667E-2</v>
      </c>
      <c r="AJ122" s="22">
        <v>112</v>
      </c>
      <c r="AK122" s="22">
        <v>0.46331800000000001</v>
      </c>
      <c r="AL122">
        <f t="shared" si="18"/>
        <v>18.966699999999999</v>
      </c>
      <c r="AM122">
        <f t="shared" si="19"/>
        <v>8.8009281339999994</v>
      </c>
      <c r="AP122" s="9"/>
      <c r="AQ122" s="22">
        <v>0.93597399999999997</v>
      </c>
      <c r="AR122" s="22">
        <v>245.565</v>
      </c>
      <c r="AS122" s="22">
        <v>-1.8469200000000002E-2</v>
      </c>
      <c r="AT122" s="22">
        <v>112</v>
      </c>
      <c r="AU122" s="22">
        <v>0.93505899999999997</v>
      </c>
      <c r="AV122">
        <f t="shared" si="20"/>
        <v>18.469200000000001</v>
      </c>
      <c r="AW122">
        <f t="shared" si="21"/>
        <v>17.286691000800001</v>
      </c>
      <c r="AX122" s="9"/>
      <c r="AY122" s="22">
        <v>0.46401999999999999</v>
      </c>
      <c r="AZ122" s="22">
        <v>294.46600000000001</v>
      </c>
      <c r="BA122" s="22">
        <v>-1.8945300000000002E-2</v>
      </c>
      <c r="BB122" s="22">
        <v>112</v>
      </c>
      <c r="BC122" s="22">
        <v>0.463287</v>
      </c>
      <c r="BD122">
        <f t="shared" si="22"/>
        <v>18.945300000000003</v>
      </c>
      <c r="BE122">
        <f t="shared" si="23"/>
        <v>8.7909981060000018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0.93093899999999996</v>
      </c>
      <c r="H123" s="22">
        <v>50.237200000000001</v>
      </c>
      <c r="I123" s="22">
        <v>-1.85028E-2</v>
      </c>
      <c r="J123" s="22">
        <v>113</v>
      </c>
      <c r="K123" s="22">
        <v>0.929871</v>
      </c>
      <c r="L123">
        <f t="shared" si="12"/>
        <v>18.502800000000001</v>
      </c>
      <c r="M123">
        <f t="shared" si="13"/>
        <v>17.2249781292</v>
      </c>
      <c r="N123" s="9"/>
      <c r="O123" s="22">
        <v>0.469055</v>
      </c>
      <c r="P123" s="22">
        <v>99.063599999999994</v>
      </c>
      <c r="Q123" s="22">
        <v>-1.8969699999999999E-2</v>
      </c>
      <c r="R123" s="22">
        <v>113</v>
      </c>
      <c r="S123" s="22">
        <v>0.468445</v>
      </c>
      <c r="T123">
        <f t="shared" si="14"/>
        <v>18.9697</v>
      </c>
      <c r="U123">
        <f t="shared" si="15"/>
        <v>8.8978326335000002</v>
      </c>
      <c r="X123" s="9"/>
      <c r="Y123" s="22">
        <v>0.93093899999999996</v>
      </c>
      <c r="Z123" s="22">
        <v>148.00700000000001</v>
      </c>
      <c r="AA123" s="22">
        <v>-1.8490599999999999E-2</v>
      </c>
      <c r="AB123" s="22">
        <v>113</v>
      </c>
      <c r="AC123" s="22">
        <v>0.930176</v>
      </c>
      <c r="AD123">
        <f t="shared" si="16"/>
        <v>18.490600000000001</v>
      </c>
      <c r="AE123">
        <f t="shared" si="17"/>
        <v>17.213620673400001</v>
      </c>
      <c r="AF123" s="9"/>
      <c r="AG123" s="22">
        <v>0.469055</v>
      </c>
      <c r="AH123" s="22">
        <v>196.80500000000001</v>
      </c>
      <c r="AI123" s="22">
        <v>-1.8963600000000001E-2</v>
      </c>
      <c r="AJ123" s="22">
        <v>113</v>
      </c>
      <c r="AK123" s="22">
        <v>0.46847499999999997</v>
      </c>
      <c r="AL123">
        <f t="shared" si="18"/>
        <v>18.9636</v>
      </c>
      <c r="AM123">
        <f t="shared" si="19"/>
        <v>8.8949713979999991</v>
      </c>
      <c r="AP123" s="9"/>
      <c r="AQ123" s="22">
        <v>0.93093899999999996</v>
      </c>
      <c r="AR123" s="22">
        <v>245.57499999999999</v>
      </c>
      <c r="AS123" s="22">
        <v>-1.8472300000000001E-2</v>
      </c>
      <c r="AT123" s="22">
        <v>113</v>
      </c>
      <c r="AU123" s="22">
        <v>0.930176</v>
      </c>
      <c r="AV123">
        <f t="shared" si="20"/>
        <v>18.472300000000001</v>
      </c>
      <c r="AW123">
        <f t="shared" si="21"/>
        <v>17.196584489700001</v>
      </c>
      <c r="AX123" s="9"/>
      <c r="AY123" s="22">
        <v>0.469055</v>
      </c>
      <c r="AZ123" s="22">
        <v>294.476</v>
      </c>
      <c r="BA123" s="22">
        <v>-1.8942299999999999E-2</v>
      </c>
      <c r="BB123" s="22">
        <v>113</v>
      </c>
      <c r="BC123" s="22">
        <v>0.46816999999999998</v>
      </c>
      <c r="BD123">
        <f t="shared" si="22"/>
        <v>18.942299999999999</v>
      </c>
      <c r="BE123">
        <f t="shared" si="23"/>
        <v>8.8849805264999997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0.92590300000000003</v>
      </c>
      <c r="H124" s="22">
        <v>50.247199999999999</v>
      </c>
      <c r="I124" s="22">
        <v>-1.8508899999999998E-2</v>
      </c>
      <c r="J124" s="22">
        <v>114</v>
      </c>
      <c r="K124" s="22">
        <v>0.92498800000000003</v>
      </c>
      <c r="L124">
        <f t="shared" si="12"/>
        <v>18.508899999999997</v>
      </c>
      <c r="M124">
        <f t="shared" si="13"/>
        <v>17.137446036699998</v>
      </c>
      <c r="N124" s="9"/>
      <c r="O124" s="22">
        <v>0.47409099999999998</v>
      </c>
      <c r="P124" s="22">
        <v>99.073599999999999</v>
      </c>
      <c r="Q124" s="22">
        <v>-1.8963600000000001E-2</v>
      </c>
      <c r="R124" s="22">
        <v>114</v>
      </c>
      <c r="S124" s="22">
        <v>0.47308299999999998</v>
      </c>
      <c r="T124">
        <f t="shared" si="14"/>
        <v>18.9636</v>
      </c>
      <c r="U124">
        <f t="shared" si="15"/>
        <v>8.9904720875999988</v>
      </c>
      <c r="X124" s="9"/>
      <c r="Y124" s="22">
        <v>0.92590300000000003</v>
      </c>
      <c r="Z124" s="22">
        <v>148.017</v>
      </c>
      <c r="AA124" s="22">
        <v>-1.8496700000000001E-2</v>
      </c>
      <c r="AB124" s="22">
        <v>114</v>
      </c>
      <c r="AC124" s="22">
        <v>0.92468300000000003</v>
      </c>
      <c r="AD124">
        <f t="shared" si="16"/>
        <v>18.496700000000001</v>
      </c>
      <c r="AE124">
        <f t="shared" si="17"/>
        <v>17.126150020100003</v>
      </c>
      <c r="AF124" s="9"/>
      <c r="AG124" s="22">
        <v>0.47409099999999998</v>
      </c>
      <c r="AH124" s="22">
        <v>196.815</v>
      </c>
      <c r="AI124" s="22">
        <v>-1.8954499999999999E-2</v>
      </c>
      <c r="AJ124" s="22">
        <v>114</v>
      </c>
      <c r="AK124" s="22">
        <v>0.47360200000000002</v>
      </c>
      <c r="AL124">
        <f t="shared" si="18"/>
        <v>18.954499999999999</v>
      </c>
      <c r="AM124">
        <f t="shared" si="19"/>
        <v>8.9861578594999987</v>
      </c>
      <c r="AP124" s="9"/>
      <c r="AQ124" s="22">
        <v>0.92590300000000003</v>
      </c>
      <c r="AR124" s="22">
        <v>245.58500000000001</v>
      </c>
      <c r="AS124" s="22">
        <v>-1.8478399999999999E-2</v>
      </c>
      <c r="AT124" s="22">
        <v>114</v>
      </c>
      <c r="AU124" s="22">
        <v>0.92468300000000003</v>
      </c>
      <c r="AV124">
        <f t="shared" si="20"/>
        <v>18.478400000000001</v>
      </c>
      <c r="AW124">
        <f t="shared" si="21"/>
        <v>17.1092059952</v>
      </c>
      <c r="AX124" s="9"/>
      <c r="AY124" s="22">
        <v>0.47409099999999998</v>
      </c>
      <c r="AZ124" s="22">
        <v>294.48599999999999</v>
      </c>
      <c r="BA124" s="22">
        <v>-1.89392E-2</v>
      </c>
      <c r="BB124" s="22">
        <v>114</v>
      </c>
      <c r="BC124" s="22">
        <v>0.47351100000000002</v>
      </c>
      <c r="BD124">
        <f t="shared" si="22"/>
        <v>18.9392</v>
      </c>
      <c r="BE124">
        <f t="shared" si="23"/>
        <v>8.978904267199999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0.92086800000000002</v>
      </c>
      <c r="H125" s="22">
        <v>50.257300000000001</v>
      </c>
      <c r="I125" s="22">
        <v>-1.8512000000000001E-2</v>
      </c>
      <c r="J125" s="22">
        <v>115</v>
      </c>
      <c r="K125" s="22">
        <v>0.92010499999999995</v>
      </c>
      <c r="L125">
        <f t="shared" si="12"/>
        <v>18.512</v>
      </c>
      <c r="M125">
        <f t="shared" si="13"/>
        <v>17.047108416</v>
      </c>
      <c r="N125" s="9"/>
      <c r="O125" s="22">
        <v>0.479126</v>
      </c>
      <c r="P125" s="22">
        <v>99.083699999999993</v>
      </c>
      <c r="Q125" s="22">
        <v>-1.8960600000000001E-2</v>
      </c>
      <c r="R125" s="22">
        <v>115</v>
      </c>
      <c r="S125" s="22">
        <v>0.47845500000000002</v>
      </c>
      <c r="T125">
        <f t="shared" si="14"/>
        <v>18.960599999999999</v>
      </c>
      <c r="U125">
        <f t="shared" si="15"/>
        <v>9.0845164355999994</v>
      </c>
      <c r="X125" s="9"/>
      <c r="Y125" s="22">
        <v>0.92086800000000002</v>
      </c>
      <c r="Z125" s="22">
        <v>148.02699999999999</v>
      </c>
      <c r="AA125" s="22">
        <v>-1.8505899999999999E-2</v>
      </c>
      <c r="AB125" s="22">
        <v>115</v>
      </c>
      <c r="AC125" s="22">
        <v>0.92010499999999995</v>
      </c>
      <c r="AD125">
        <f t="shared" si="16"/>
        <v>18.5059</v>
      </c>
      <c r="AE125">
        <f t="shared" si="17"/>
        <v>17.0414911212</v>
      </c>
      <c r="AF125" s="9"/>
      <c r="AG125" s="22">
        <v>0.479126</v>
      </c>
      <c r="AH125" s="22">
        <v>196.82599999999999</v>
      </c>
      <c r="AI125" s="22">
        <v>-1.8948400000000001E-2</v>
      </c>
      <c r="AJ125" s="22">
        <v>115</v>
      </c>
      <c r="AK125" s="22">
        <v>0.47842400000000002</v>
      </c>
      <c r="AL125">
        <f t="shared" si="18"/>
        <v>18.948399999999999</v>
      </c>
      <c r="AM125">
        <f t="shared" si="19"/>
        <v>9.0786710983999992</v>
      </c>
      <c r="AP125" s="9"/>
      <c r="AQ125" s="22">
        <v>0.92086800000000002</v>
      </c>
      <c r="AR125" s="22">
        <v>245.595</v>
      </c>
      <c r="AS125" s="22">
        <v>-1.8481399999999999E-2</v>
      </c>
      <c r="AT125" s="22">
        <v>115</v>
      </c>
      <c r="AU125" s="22">
        <v>0.92010499999999995</v>
      </c>
      <c r="AV125">
        <f t="shared" si="20"/>
        <v>18.481399999999997</v>
      </c>
      <c r="AW125">
        <f t="shared" si="21"/>
        <v>17.018929855199996</v>
      </c>
      <c r="AX125" s="9"/>
      <c r="AY125" s="22">
        <v>0.479126</v>
      </c>
      <c r="AZ125" s="22">
        <v>294.49599999999998</v>
      </c>
      <c r="BA125" s="22">
        <v>-1.8933100000000001E-2</v>
      </c>
      <c r="BB125" s="22">
        <v>115</v>
      </c>
      <c r="BC125" s="22">
        <v>0.478821</v>
      </c>
      <c r="BD125">
        <f t="shared" si="22"/>
        <v>18.9331</v>
      </c>
      <c r="BE125">
        <f t="shared" si="23"/>
        <v>9.0713404705999992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0.91583300000000001</v>
      </c>
      <c r="H126" s="22">
        <v>50.267400000000002</v>
      </c>
      <c r="I126" s="22">
        <v>-1.8518099999999999E-2</v>
      </c>
      <c r="J126" s="22">
        <v>116</v>
      </c>
      <c r="K126" s="22">
        <v>0.91461199999999998</v>
      </c>
      <c r="L126">
        <f t="shared" si="12"/>
        <v>18.5181</v>
      </c>
      <c r="M126">
        <f t="shared" si="13"/>
        <v>16.9594870773</v>
      </c>
      <c r="N126" s="9"/>
      <c r="O126" s="22">
        <v>0.48416100000000001</v>
      </c>
      <c r="P126" s="22">
        <v>99.093800000000002</v>
      </c>
      <c r="Q126" s="22">
        <v>-1.89514E-2</v>
      </c>
      <c r="R126" s="22">
        <v>116</v>
      </c>
      <c r="S126" s="22">
        <v>0.48345900000000003</v>
      </c>
      <c r="T126">
        <f t="shared" si="14"/>
        <v>18.9514</v>
      </c>
      <c r="U126">
        <f t="shared" si="15"/>
        <v>9.1755287754000001</v>
      </c>
      <c r="X126" s="9"/>
      <c r="Y126" s="22">
        <v>0.91583300000000001</v>
      </c>
      <c r="Z126" s="22">
        <v>148.03700000000001</v>
      </c>
      <c r="AA126" s="22">
        <v>-1.8512000000000001E-2</v>
      </c>
      <c r="AB126" s="22">
        <v>116</v>
      </c>
      <c r="AC126" s="22">
        <v>0.91491699999999998</v>
      </c>
      <c r="AD126">
        <f t="shared" si="16"/>
        <v>18.512</v>
      </c>
      <c r="AE126">
        <f t="shared" si="17"/>
        <v>16.953900495999999</v>
      </c>
      <c r="AF126" s="9"/>
      <c r="AG126" s="22">
        <v>0.48416100000000001</v>
      </c>
      <c r="AH126" s="22">
        <v>196.83600000000001</v>
      </c>
      <c r="AI126" s="22">
        <v>-1.89392E-2</v>
      </c>
      <c r="AJ126" s="22">
        <v>116</v>
      </c>
      <c r="AK126" s="22">
        <v>0.48352099999999998</v>
      </c>
      <c r="AL126">
        <f t="shared" si="18"/>
        <v>18.9392</v>
      </c>
      <c r="AM126">
        <f t="shared" si="19"/>
        <v>9.1696220111999995</v>
      </c>
      <c r="AP126" s="9"/>
      <c r="AQ126" s="22">
        <v>0.91583300000000001</v>
      </c>
      <c r="AR126" s="22">
        <v>245.60499999999999</v>
      </c>
      <c r="AS126" s="22">
        <v>-1.8490599999999999E-2</v>
      </c>
      <c r="AT126" s="22">
        <v>116</v>
      </c>
      <c r="AU126" s="22">
        <v>0.91491699999999998</v>
      </c>
      <c r="AV126">
        <f t="shared" si="20"/>
        <v>18.490600000000001</v>
      </c>
      <c r="AW126">
        <f t="shared" si="21"/>
        <v>16.9343016698</v>
      </c>
      <c r="AX126" s="9"/>
      <c r="AY126" s="22">
        <v>0.48416100000000001</v>
      </c>
      <c r="AZ126" s="22">
        <v>294.50599999999997</v>
      </c>
      <c r="BA126" s="22">
        <v>-1.8930099999999998E-2</v>
      </c>
      <c r="BB126" s="22">
        <v>116</v>
      </c>
      <c r="BC126" s="22">
        <v>0.48348999999999998</v>
      </c>
      <c r="BD126">
        <f t="shared" si="22"/>
        <v>18.930099999999999</v>
      </c>
      <c r="BE126">
        <f t="shared" si="23"/>
        <v>9.1652161461000006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0.91079699999999997</v>
      </c>
      <c r="H127" s="22">
        <v>50.2774</v>
      </c>
      <c r="I127" s="22">
        <v>-1.8524200000000001E-2</v>
      </c>
      <c r="J127" s="22">
        <v>117</v>
      </c>
      <c r="K127" s="22">
        <v>0.91033900000000001</v>
      </c>
      <c r="L127">
        <f t="shared" si="12"/>
        <v>18.5242</v>
      </c>
      <c r="M127">
        <f t="shared" si="13"/>
        <v>16.8717857874</v>
      </c>
      <c r="N127" s="9"/>
      <c r="O127" s="22">
        <v>0.48919699999999999</v>
      </c>
      <c r="P127" s="22">
        <v>99.103899999999996</v>
      </c>
      <c r="Q127" s="22">
        <v>-1.8945300000000002E-2</v>
      </c>
      <c r="R127" s="22">
        <v>117</v>
      </c>
      <c r="S127" s="22">
        <v>0.488647</v>
      </c>
      <c r="T127">
        <f t="shared" si="14"/>
        <v>18.945300000000003</v>
      </c>
      <c r="U127">
        <f t="shared" si="15"/>
        <v>9.267983924100001</v>
      </c>
      <c r="X127" s="9"/>
      <c r="Y127" s="22">
        <v>0.91079699999999997</v>
      </c>
      <c r="Z127" s="22">
        <v>148.047</v>
      </c>
      <c r="AA127" s="22">
        <v>-1.8518099999999999E-2</v>
      </c>
      <c r="AB127" s="22">
        <v>117</v>
      </c>
      <c r="AC127" s="22">
        <v>0.91003400000000001</v>
      </c>
      <c r="AD127">
        <f t="shared" si="16"/>
        <v>18.5181</v>
      </c>
      <c r="AE127">
        <f t="shared" si="17"/>
        <v>16.866229925700001</v>
      </c>
      <c r="AF127" s="9"/>
      <c r="AG127" s="22">
        <v>0.48919699999999999</v>
      </c>
      <c r="AH127" s="22">
        <v>196.846</v>
      </c>
      <c r="AI127" s="22">
        <v>-1.89362E-2</v>
      </c>
      <c r="AJ127" s="22">
        <v>117</v>
      </c>
      <c r="AK127" s="22">
        <v>0.48873899999999998</v>
      </c>
      <c r="AL127">
        <f t="shared" si="18"/>
        <v>18.936199999999999</v>
      </c>
      <c r="AM127">
        <f t="shared" si="19"/>
        <v>9.2635322313999993</v>
      </c>
      <c r="AP127" s="9"/>
      <c r="AQ127" s="22">
        <v>0.91079699999999997</v>
      </c>
      <c r="AR127" s="22">
        <v>245.61500000000001</v>
      </c>
      <c r="AS127" s="22">
        <v>-1.8496700000000001E-2</v>
      </c>
      <c r="AT127" s="22">
        <v>117</v>
      </c>
      <c r="AU127" s="22">
        <v>0.90942400000000001</v>
      </c>
      <c r="AV127">
        <f t="shared" si="20"/>
        <v>18.496700000000001</v>
      </c>
      <c r="AW127">
        <f t="shared" si="21"/>
        <v>16.846738869900001</v>
      </c>
      <c r="AX127" s="9"/>
      <c r="AY127" s="22">
        <v>0.48919699999999999</v>
      </c>
      <c r="AZ127" s="22">
        <v>294.517</v>
      </c>
      <c r="BA127" s="22">
        <v>-1.8926999999999999E-2</v>
      </c>
      <c r="BB127" s="22">
        <v>117</v>
      </c>
      <c r="BC127" s="22">
        <v>0.48886099999999999</v>
      </c>
      <c r="BD127">
        <f t="shared" si="22"/>
        <v>18.927</v>
      </c>
      <c r="BE127">
        <f t="shared" si="23"/>
        <v>9.2590316189999999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0.90576199999999996</v>
      </c>
      <c r="H128" s="22">
        <v>50.287500000000001</v>
      </c>
      <c r="I128" s="22">
        <v>-1.8527200000000001E-2</v>
      </c>
      <c r="J128" s="22">
        <v>118</v>
      </c>
      <c r="K128" s="22">
        <v>0.90423600000000004</v>
      </c>
      <c r="L128">
        <f t="shared" si="12"/>
        <v>18.527200000000001</v>
      </c>
      <c r="M128">
        <f t="shared" si="13"/>
        <v>16.7812337264</v>
      </c>
      <c r="N128" s="9"/>
      <c r="O128" s="22">
        <v>0.494232</v>
      </c>
      <c r="P128" s="22">
        <v>99.113900000000001</v>
      </c>
      <c r="Q128" s="22">
        <v>-1.8942299999999999E-2</v>
      </c>
      <c r="R128" s="22">
        <v>118</v>
      </c>
      <c r="S128" s="22">
        <v>0.49337799999999998</v>
      </c>
      <c r="T128">
        <f t="shared" si="14"/>
        <v>18.942299999999999</v>
      </c>
      <c r="U128">
        <f t="shared" si="15"/>
        <v>9.3618908136000005</v>
      </c>
      <c r="X128" s="9"/>
      <c r="Y128" s="22">
        <v>0.90576199999999996</v>
      </c>
      <c r="Z128" s="22">
        <v>148.05699999999999</v>
      </c>
      <c r="AA128" s="22">
        <v>-1.8524200000000001E-2</v>
      </c>
      <c r="AB128" s="22">
        <v>118</v>
      </c>
      <c r="AC128" s="22">
        <v>0.90484600000000004</v>
      </c>
      <c r="AD128">
        <f t="shared" si="16"/>
        <v>18.5242</v>
      </c>
      <c r="AE128">
        <f t="shared" si="17"/>
        <v>16.778516440400001</v>
      </c>
      <c r="AF128" s="9"/>
      <c r="AG128" s="22">
        <v>0.494232</v>
      </c>
      <c r="AH128" s="22">
        <v>196.85599999999999</v>
      </c>
      <c r="AI128" s="22">
        <v>-1.8926999999999999E-2</v>
      </c>
      <c r="AJ128" s="22">
        <v>118</v>
      </c>
      <c r="AK128" s="22">
        <v>0.49337799999999998</v>
      </c>
      <c r="AL128">
        <f t="shared" si="18"/>
        <v>18.927</v>
      </c>
      <c r="AM128">
        <f t="shared" si="19"/>
        <v>9.3543290639999999</v>
      </c>
      <c r="AP128" s="9"/>
      <c r="AQ128" s="22">
        <v>0.90576199999999996</v>
      </c>
      <c r="AR128" s="22">
        <v>245.625</v>
      </c>
      <c r="AS128" s="22">
        <v>-1.85028E-2</v>
      </c>
      <c r="AT128" s="22">
        <v>118</v>
      </c>
      <c r="AU128" s="22">
        <v>0.90484600000000004</v>
      </c>
      <c r="AV128">
        <f t="shared" si="20"/>
        <v>18.502800000000001</v>
      </c>
      <c r="AW128">
        <f t="shared" si="21"/>
        <v>16.759133133599999</v>
      </c>
      <c r="AX128" s="9"/>
      <c r="AY128" s="22">
        <v>0.494232</v>
      </c>
      <c r="AZ128" s="22">
        <v>294.52699999999999</v>
      </c>
      <c r="BA128" s="22">
        <v>-1.8924E-2</v>
      </c>
      <c r="BB128" s="22">
        <v>118</v>
      </c>
      <c r="BC128" s="22">
        <v>0.49356100000000003</v>
      </c>
      <c r="BD128">
        <f t="shared" si="22"/>
        <v>18.923999999999999</v>
      </c>
      <c r="BE128">
        <f t="shared" si="23"/>
        <v>9.3528463679999998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0.90072600000000003</v>
      </c>
      <c r="H129" s="22">
        <v>50.297600000000003</v>
      </c>
      <c r="I129" s="22">
        <v>-1.8533299999999999E-2</v>
      </c>
      <c r="J129" s="22">
        <v>119</v>
      </c>
      <c r="K129" s="22">
        <v>0.89935299999999996</v>
      </c>
      <c r="L129">
        <f t="shared" si="12"/>
        <v>18.533300000000001</v>
      </c>
      <c r="M129">
        <f t="shared" si="13"/>
        <v>16.693425175800002</v>
      </c>
      <c r="N129" s="9"/>
      <c r="O129" s="22">
        <v>0.49926799999999999</v>
      </c>
      <c r="P129" s="22">
        <v>99.123999999999995</v>
      </c>
      <c r="Q129" s="22">
        <v>-1.89362E-2</v>
      </c>
      <c r="R129" s="22">
        <v>119</v>
      </c>
      <c r="S129" s="22">
        <v>0.49865700000000002</v>
      </c>
      <c r="T129">
        <f t="shared" si="14"/>
        <v>18.936199999999999</v>
      </c>
      <c r="U129">
        <f t="shared" si="15"/>
        <v>9.4542387015999996</v>
      </c>
      <c r="X129" s="9"/>
      <c r="Y129" s="22">
        <v>0.90072600000000003</v>
      </c>
      <c r="Z129" s="22">
        <v>148.06700000000001</v>
      </c>
      <c r="AA129" s="22">
        <v>-1.8524200000000001E-2</v>
      </c>
      <c r="AB129" s="22">
        <v>119</v>
      </c>
      <c r="AC129" s="22">
        <v>0.90057399999999999</v>
      </c>
      <c r="AD129">
        <f t="shared" si="16"/>
        <v>18.5242</v>
      </c>
      <c r="AE129">
        <f t="shared" si="17"/>
        <v>16.6852285692</v>
      </c>
      <c r="AF129" s="9"/>
      <c r="AG129" s="22">
        <v>0.49926799999999999</v>
      </c>
      <c r="AH129" s="22">
        <v>196.86600000000001</v>
      </c>
      <c r="AI129" s="22">
        <v>-1.8924E-2</v>
      </c>
      <c r="AJ129" s="22">
        <v>119</v>
      </c>
      <c r="AK129" s="22">
        <v>0.49850499999999998</v>
      </c>
      <c r="AL129">
        <f t="shared" si="18"/>
        <v>18.923999999999999</v>
      </c>
      <c r="AM129">
        <f t="shared" si="19"/>
        <v>9.4481476319999995</v>
      </c>
      <c r="AP129" s="9"/>
      <c r="AQ129" s="22">
        <v>0.90072600000000003</v>
      </c>
      <c r="AR129" s="22">
        <v>245.63499999999999</v>
      </c>
      <c r="AS129" s="22">
        <v>-1.8508899999999998E-2</v>
      </c>
      <c r="AT129" s="22">
        <v>119</v>
      </c>
      <c r="AU129" s="22">
        <v>0.89935299999999996</v>
      </c>
      <c r="AV129">
        <f t="shared" si="20"/>
        <v>18.508899999999997</v>
      </c>
      <c r="AW129">
        <f t="shared" si="21"/>
        <v>16.671447461399996</v>
      </c>
      <c r="AX129" s="9"/>
      <c r="AY129" s="22">
        <v>0.49926799999999999</v>
      </c>
      <c r="AZ129" s="22">
        <v>294.53699999999998</v>
      </c>
      <c r="BA129" s="22">
        <v>-1.8917799999999999E-2</v>
      </c>
      <c r="BB129" s="22">
        <v>119</v>
      </c>
      <c r="BC129" s="22">
        <v>0.49856600000000001</v>
      </c>
      <c r="BD129">
        <f t="shared" si="22"/>
        <v>18.9178</v>
      </c>
      <c r="BE129">
        <f t="shared" si="23"/>
        <v>9.4450521704000003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0.89569100000000001</v>
      </c>
      <c r="H130" s="22">
        <v>50.307699999999997</v>
      </c>
      <c r="I130" s="22">
        <v>-1.8539400000000001E-2</v>
      </c>
      <c r="J130" s="22">
        <v>120</v>
      </c>
      <c r="K130" s="22">
        <v>0.89508100000000002</v>
      </c>
      <c r="L130">
        <f t="shared" si="12"/>
        <v>18.539400000000001</v>
      </c>
      <c r="M130">
        <f t="shared" si="13"/>
        <v>16.605573725399999</v>
      </c>
      <c r="N130" s="9"/>
      <c r="O130" s="22">
        <v>0.50430299999999995</v>
      </c>
      <c r="P130" s="22">
        <v>99.134100000000004</v>
      </c>
      <c r="Q130" s="22">
        <v>-1.8933100000000001E-2</v>
      </c>
      <c r="R130" s="22">
        <v>120</v>
      </c>
      <c r="S130" s="22">
        <v>0.50363199999999997</v>
      </c>
      <c r="T130">
        <f t="shared" si="14"/>
        <v>18.9331</v>
      </c>
      <c r="U130">
        <f t="shared" si="15"/>
        <v>9.5480191292999983</v>
      </c>
      <c r="X130" s="9"/>
      <c r="Y130" s="22">
        <v>0.89569100000000001</v>
      </c>
      <c r="Z130" s="22">
        <v>148.077</v>
      </c>
      <c r="AA130" s="22">
        <v>-1.8527200000000001E-2</v>
      </c>
      <c r="AB130" s="22">
        <v>120</v>
      </c>
      <c r="AC130" s="22">
        <v>0.89416499999999999</v>
      </c>
      <c r="AD130">
        <f t="shared" si="16"/>
        <v>18.527200000000001</v>
      </c>
      <c r="AE130">
        <f t="shared" si="17"/>
        <v>16.5946462952</v>
      </c>
      <c r="AF130" s="9"/>
      <c r="AG130" s="22">
        <v>0.50430299999999995</v>
      </c>
      <c r="AH130" s="22">
        <v>196.876</v>
      </c>
      <c r="AI130" s="22">
        <v>-1.8920900000000001E-2</v>
      </c>
      <c r="AJ130" s="22">
        <v>120</v>
      </c>
      <c r="AK130" s="22">
        <v>0.50335700000000005</v>
      </c>
      <c r="AL130">
        <f t="shared" si="18"/>
        <v>18.9209</v>
      </c>
      <c r="AM130">
        <f t="shared" si="19"/>
        <v>9.5418666326999979</v>
      </c>
      <c r="AP130" s="9"/>
      <c r="AQ130" s="22">
        <v>0.89569100000000001</v>
      </c>
      <c r="AR130" s="22">
        <v>245.64500000000001</v>
      </c>
      <c r="AS130" s="22">
        <v>-1.8515E-2</v>
      </c>
      <c r="AT130" s="22">
        <v>120</v>
      </c>
      <c r="AU130" s="22">
        <v>0.89508100000000002</v>
      </c>
      <c r="AV130">
        <f t="shared" si="20"/>
        <v>18.515000000000001</v>
      </c>
      <c r="AW130">
        <f t="shared" si="21"/>
        <v>16.583718865000002</v>
      </c>
      <c r="AX130" s="9"/>
      <c r="AY130" s="22">
        <v>0.50430299999999995</v>
      </c>
      <c r="AZ130" s="22">
        <v>294.54700000000003</v>
      </c>
      <c r="BA130" s="22">
        <v>-1.89117E-2</v>
      </c>
      <c r="BB130" s="22">
        <v>120</v>
      </c>
      <c r="BC130" s="22">
        <v>0.50372300000000003</v>
      </c>
      <c r="BD130">
        <f t="shared" si="22"/>
        <v>18.9117</v>
      </c>
      <c r="BE130">
        <f t="shared" si="23"/>
        <v>9.5372270450999981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0.890656</v>
      </c>
      <c r="H131" s="22">
        <v>50.317700000000002</v>
      </c>
      <c r="I131" s="22">
        <v>-1.8545499999999999E-2</v>
      </c>
      <c r="J131" s="22">
        <v>121</v>
      </c>
      <c r="K131" s="22">
        <v>0.88958700000000002</v>
      </c>
      <c r="L131">
        <f t="shared" si="12"/>
        <v>18.545500000000001</v>
      </c>
      <c r="M131">
        <f t="shared" si="13"/>
        <v>16.517660848000002</v>
      </c>
      <c r="N131" s="9"/>
      <c r="O131" s="22">
        <v>0.50933799999999996</v>
      </c>
      <c r="P131" s="22">
        <v>99.144099999999995</v>
      </c>
      <c r="Q131" s="22">
        <v>-1.8930099999999998E-2</v>
      </c>
      <c r="R131" s="22">
        <v>121</v>
      </c>
      <c r="S131" s="22">
        <v>0.50863599999999998</v>
      </c>
      <c r="T131">
        <f t="shared" si="14"/>
        <v>18.930099999999999</v>
      </c>
      <c r="U131">
        <f t="shared" si="15"/>
        <v>9.6418192737999995</v>
      </c>
      <c r="X131" s="9"/>
      <c r="Y131" s="22">
        <v>0.890656</v>
      </c>
      <c r="Z131" s="22">
        <v>148.08799999999999</v>
      </c>
      <c r="AA131" s="22">
        <v>-1.85303E-2</v>
      </c>
      <c r="AB131" s="22">
        <v>121</v>
      </c>
      <c r="AC131" s="22">
        <v>0.88928200000000002</v>
      </c>
      <c r="AD131">
        <f t="shared" si="16"/>
        <v>18.5303</v>
      </c>
      <c r="AE131">
        <f t="shared" si="17"/>
        <v>16.5041228768</v>
      </c>
      <c r="AF131" s="9"/>
      <c r="AG131" s="22">
        <v>0.50933799999999996</v>
      </c>
      <c r="AH131" s="22">
        <v>196.886</v>
      </c>
      <c r="AI131" s="22">
        <v>-1.8914799999999999E-2</v>
      </c>
      <c r="AJ131" s="22">
        <v>121</v>
      </c>
      <c r="AK131" s="22">
        <v>0.508575</v>
      </c>
      <c r="AL131">
        <f t="shared" si="18"/>
        <v>18.9148</v>
      </c>
      <c r="AM131">
        <f t="shared" si="19"/>
        <v>9.6340264023999982</v>
      </c>
      <c r="AP131" s="9"/>
      <c r="AQ131" s="22">
        <v>0.890656</v>
      </c>
      <c r="AR131" s="22">
        <v>245.655</v>
      </c>
      <c r="AS131" s="22">
        <v>-1.8521099999999999E-2</v>
      </c>
      <c r="AT131" s="22">
        <v>121</v>
      </c>
      <c r="AU131" s="22">
        <v>0.89019800000000004</v>
      </c>
      <c r="AV131">
        <f t="shared" si="20"/>
        <v>18.521099999999997</v>
      </c>
      <c r="AW131">
        <f t="shared" si="21"/>
        <v>16.495928841599998</v>
      </c>
      <c r="AX131" s="9"/>
      <c r="AY131" s="22">
        <v>0.50933799999999996</v>
      </c>
      <c r="AZ131" s="22">
        <v>294.55700000000002</v>
      </c>
      <c r="BA131" s="22">
        <v>-1.8905600000000002E-2</v>
      </c>
      <c r="BB131" s="22">
        <v>121</v>
      </c>
      <c r="BC131" s="22">
        <v>0.50872799999999996</v>
      </c>
      <c r="BD131">
        <f t="shared" si="22"/>
        <v>18.905600000000003</v>
      </c>
      <c r="BE131">
        <f t="shared" si="23"/>
        <v>9.6293404928000008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0.88561999999999996</v>
      </c>
      <c r="H132" s="22">
        <v>50.327800000000003</v>
      </c>
      <c r="I132" s="22">
        <v>-1.85547E-2</v>
      </c>
      <c r="J132" s="22">
        <v>122</v>
      </c>
      <c r="K132" s="22">
        <v>0.88409400000000005</v>
      </c>
      <c r="L132">
        <f t="shared" si="12"/>
        <v>18.5547</v>
      </c>
      <c r="M132">
        <f t="shared" si="13"/>
        <v>16.432413413999999</v>
      </c>
      <c r="N132" s="9"/>
      <c r="O132" s="22">
        <v>0.514374</v>
      </c>
      <c r="P132" s="22">
        <v>99.154200000000003</v>
      </c>
      <c r="Q132" s="22">
        <v>-1.8920900000000001E-2</v>
      </c>
      <c r="R132" s="22">
        <v>122</v>
      </c>
      <c r="S132" s="22">
        <v>0.51348899999999997</v>
      </c>
      <c r="T132">
        <f t="shared" si="14"/>
        <v>18.9209</v>
      </c>
      <c r="U132">
        <f t="shared" si="15"/>
        <v>9.7324190165999998</v>
      </c>
      <c r="X132" s="9"/>
      <c r="Y132" s="22">
        <v>0.88561999999999996</v>
      </c>
      <c r="Z132" s="22">
        <v>148.09800000000001</v>
      </c>
      <c r="AA132" s="22">
        <v>-1.8539400000000001E-2</v>
      </c>
      <c r="AB132" s="22">
        <v>122</v>
      </c>
      <c r="AC132" s="22">
        <v>0.88470499999999996</v>
      </c>
      <c r="AD132">
        <f t="shared" si="16"/>
        <v>18.539400000000001</v>
      </c>
      <c r="AE132">
        <f t="shared" si="17"/>
        <v>16.418863427999998</v>
      </c>
      <c r="AF132" s="9"/>
      <c r="AG132" s="22">
        <v>0.514374</v>
      </c>
      <c r="AH132" s="22">
        <v>196.89599999999999</v>
      </c>
      <c r="AI132" s="22">
        <v>-1.8908700000000001E-2</v>
      </c>
      <c r="AJ132" s="22">
        <v>122</v>
      </c>
      <c r="AK132" s="22">
        <v>0.51339699999999999</v>
      </c>
      <c r="AL132">
        <f t="shared" si="18"/>
        <v>18.9087</v>
      </c>
      <c r="AM132">
        <f t="shared" si="19"/>
        <v>9.7261436537999995</v>
      </c>
      <c r="AP132" s="9"/>
      <c r="AQ132" s="22">
        <v>0.88561999999999996</v>
      </c>
      <c r="AR132" s="22">
        <v>245.66499999999999</v>
      </c>
      <c r="AS132" s="22">
        <v>-1.8524200000000001E-2</v>
      </c>
      <c r="AT132" s="22">
        <v>122</v>
      </c>
      <c r="AU132" s="22">
        <v>0.88500999999999996</v>
      </c>
      <c r="AV132">
        <f t="shared" si="20"/>
        <v>18.5242</v>
      </c>
      <c r="AW132">
        <f t="shared" si="21"/>
        <v>16.405402003999999</v>
      </c>
      <c r="AX132" s="9"/>
      <c r="AY132" s="22">
        <v>0.514374</v>
      </c>
      <c r="AZ132" s="22">
        <v>294.56700000000001</v>
      </c>
      <c r="BA132" s="22">
        <v>-1.8902599999999999E-2</v>
      </c>
      <c r="BB132" s="22">
        <v>122</v>
      </c>
      <c r="BC132" s="22">
        <v>0.513733</v>
      </c>
      <c r="BD132">
        <f t="shared" si="22"/>
        <v>18.9026</v>
      </c>
      <c r="BE132">
        <f t="shared" si="23"/>
        <v>9.7230059723999993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0.88058499999999995</v>
      </c>
      <c r="H133" s="22">
        <v>50.337899999999998</v>
      </c>
      <c r="I133" s="22">
        <v>-1.8560799999999999E-2</v>
      </c>
      <c r="J133" s="22">
        <v>123</v>
      </c>
      <c r="K133" s="22">
        <v>0.87951699999999999</v>
      </c>
      <c r="L133">
        <f t="shared" si="12"/>
        <v>18.5608</v>
      </c>
      <c r="M133">
        <f t="shared" si="13"/>
        <v>16.344362067999999</v>
      </c>
      <c r="N133" s="9"/>
      <c r="O133" s="22">
        <v>0.51940900000000001</v>
      </c>
      <c r="P133" s="22">
        <v>99.164299999999997</v>
      </c>
      <c r="Q133" s="22">
        <v>-1.8914799999999999E-2</v>
      </c>
      <c r="R133" s="22">
        <v>123</v>
      </c>
      <c r="S133" s="22">
        <v>0.51855499999999999</v>
      </c>
      <c r="T133">
        <f t="shared" si="14"/>
        <v>18.9148</v>
      </c>
      <c r="U133">
        <f t="shared" si="15"/>
        <v>9.8245173531999992</v>
      </c>
      <c r="X133" s="9"/>
      <c r="Y133" s="22">
        <v>0.88058499999999995</v>
      </c>
      <c r="Z133" s="22">
        <v>148.108</v>
      </c>
      <c r="AA133" s="22">
        <v>-1.8545499999999999E-2</v>
      </c>
      <c r="AB133" s="22">
        <v>123</v>
      </c>
      <c r="AC133" s="22">
        <v>0.87921099999999996</v>
      </c>
      <c r="AD133">
        <f t="shared" si="16"/>
        <v>18.545500000000001</v>
      </c>
      <c r="AE133">
        <f t="shared" si="17"/>
        <v>16.3308891175</v>
      </c>
      <c r="AF133" s="9"/>
      <c r="AG133" s="22">
        <v>0.51940900000000001</v>
      </c>
      <c r="AH133" s="22">
        <v>196.90600000000001</v>
      </c>
      <c r="AI133" s="22">
        <v>-1.8905600000000002E-2</v>
      </c>
      <c r="AJ133" s="22">
        <v>123</v>
      </c>
      <c r="AK133" s="22">
        <v>0.51870700000000003</v>
      </c>
      <c r="AL133">
        <f t="shared" si="18"/>
        <v>18.905600000000003</v>
      </c>
      <c r="AM133">
        <f t="shared" si="19"/>
        <v>9.8197387904000024</v>
      </c>
      <c r="AP133" s="9"/>
      <c r="AQ133" s="22">
        <v>0.88058499999999995</v>
      </c>
      <c r="AR133" s="22">
        <v>245.67599999999999</v>
      </c>
      <c r="AS133" s="22">
        <v>-1.85303E-2</v>
      </c>
      <c r="AT133" s="22">
        <v>123</v>
      </c>
      <c r="AU133" s="22">
        <v>0.87890599999999997</v>
      </c>
      <c r="AV133">
        <f t="shared" si="20"/>
        <v>18.5303</v>
      </c>
      <c r="AW133">
        <f t="shared" si="21"/>
        <v>16.317504225499999</v>
      </c>
      <c r="AX133" s="9"/>
      <c r="AY133" s="22">
        <v>0.51940900000000001</v>
      </c>
      <c r="AZ133" s="22">
        <v>294.577</v>
      </c>
      <c r="BA133" s="22">
        <v>-1.8893400000000001E-2</v>
      </c>
      <c r="BB133" s="22">
        <v>123</v>
      </c>
      <c r="BC133" s="22">
        <v>0.51864600000000005</v>
      </c>
      <c r="BD133">
        <f t="shared" si="22"/>
        <v>18.8934</v>
      </c>
      <c r="BE133">
        <f t="shared" si="23"/>
        <v>9.8134020006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0.87554900000000002</v>
      </c>
      <c r="H134" s="22">
        <v>50.347900000000003</v>
      </c>
      <c r="I134" s="22">
        <v>-1.8560799999999999E-2</v>
      </c>
      <c r="J134" s="22">
        <v>124</v>
      </c>
      <c r="K134" s="22">
        <v>0.87432900000000002</v>
      </c>
      <c r="L134">
        <f t="shared" si="12"/>
        <v>18.5608</v>
      </c>
      <c r="M134">
        <f t="shared" si="13"/>
        <v>16.250889879200002</v>
      </c>
      <c r="N134" s="9"/>
      <c r="O134" s="22">
        <v>0.52444500000000005</v>
      </c>
      <c r="P134" s="22">
        <v>99.174400000000006</v>
      </c>
      <c r="Q134" s="22">
        <v>-1.89117E-2</v>
      </c>
      <c r="R134" s="22">
        <v>124</v>
      </c>
      <c r="S134" s="22">
        <v>0.52374299999999996</v>
      </c>
      <c r="T134">
        <f t="shared" si="14"/>
        <v>18.9117</v>
      </c>
      <c r="U134">
        <f t="shared" si="15"/>
        <v>9.9181465065000012</v>
      </c>
      <c r="X134" s="9"/>
      <c r="Y134" s="22">
        <v>0.87554900000000002</v>
      </c>
      <c r="Z134" s="22">
        <v>148.11799999999999</v>
      </c>
      <c r="AA134" s="22">
        <v>-1.8551600000000001E-2</v>
      </c>
      <c r="AB134" s="22">
        <v>124</v>
      </c>
      <c r="AC134" s="22">
        <v>0.87463400000000002</v>
      </c>
      <c r="AD134">
        <f t="shared" si="16"/>
        <v>18.551600000000001</v>
      </c>
      <c r="AE134">
        <f t="shared" si="17"/>
        <v>16.242834828399999</v>
      </c>
      <c r="AF134" s="9"/>
      <c r="AG134" s="22">
        <v>0.52444500000000005</v>
      </c>
      <c r="AH134" s="22">
        <v>196.916</v>
      </c>
      <c r="AI134" s="22">
        <v>-1.8902599999999999E-2</v>
      </c>
      <c r="AJ134" s="22">
        <v>124</v>
      </c>
      <c r="AK134" s="22">
        <v>0.52371199999999996</v>
      </c>
      <c r="AL134">
        <f t="shared" si="18"/>
        <v>18.9026</v>
      </c>
      <c r="AM134">
        <f t="shared" si="19"/>
        <v>9.9133740570000004</v>
      </c>
      <c r="AP134" s="9"/>
      <c r="AQ134" s="22">
        <v>0.87554900000000002</v>
      </c>
      <c r="AR134" s="22">
        <v>245.68600000000001</v>
      </c>
      <c r="AS134" s="22">
        <v>-1.8536400000000001E-2</v>
      </c>
      <c r="AT134" s="22">
        <v>124</v>
      </c>
      <c r="AU134" s="22">
        <v>0.87463400000000002</v>
      </c>
      <c r="AV134">
        <f t="shared" si="20"/>
        <v>18.5364</v>
      </c>
      <c r="AW134">
        <f t="shared" si="21"/>
        <v>16.229526483600001</v>
      </c>
      <c r="AX134" s="9"/>
      <c r="AY134" s="22">
        <v>0.52444500000000005</v>
      </c>
      <c r="AZ134" s="22">
        <v>294.58699999999999</v>
      </c>
      <c r="BA134" s="22">
        <v>-1.8890400000000002E-2</v>
      </c>
      <c r="BB134" s="22">
        <v>124</v>
      </c>
      <c r="BC134" s="22">
        <v>0.523621</v>
      </c>
      <c r="BD134">
        <f t="shared" si="22"/>
        <v>18.890400000000003</v>
      </c>
      <c r="BE134">
        <f t="shared" si="23"/>
        <v>9.906975828000002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0.87051400000000001</v>
      </c>
      <c r="H135" s="22">
        <v>50.357999999999997</v>
      </c>
      <c r="I135" s="22">
        <v>-1.8563799999999998E-2</v>
      </c>
      <c r="J135" s="22">
        <v>125</v>
      </c>
      <c r="K135" s="22">
        <v>0.86944600000000005</v>
      </c>
      <c r="L135">
        <f t="shared" si="12"/>
        <v>18.563799999999997</v>
      </c>
      <c r="M135">
        <f t="shared" si="13"/>
        <v>16.160047793199997</v>
      </c>
      <c r="N135" s="9"/>
      <c r="O135" s="22">
        <v>0.52947999999999995</v>
      </c>
      <c r="P135" s="22">
        <v>99.184399999999997</v>
      </c>
      <c r="Q135" s="22">
        <v>-1.8908700000000001E-2</v>
      </c>
      <c r="R135" s="22">
        <v>125</v>
      </c>
      <c r="S135" s="22">
        <v>0.52871699999999999</v>
      </c>
      <c r="T135">
        <f t="shared" si="14"/>
        <v>18.9087</v>
      </c>
      <c r="U135">
        <f t="shared" si="15"/>
        <v>10.011778475999998</v>
      </c>
      <c r="X135" s="9"/>
      <c r="Y135" s="22">
        <v>0.87051400000000001</v>
      </c>
      <c r="Z135" s="22">
        <v>148.12799999999999</v>
      </c>
      <c r="AA135" s="22">
        <v>-1.85547E-2</v>
      </c>
      <c r="AB135" s="22">
        <v>125</v>
      </c>
      <c r="AC135" s="22">
        <v>0.86944600000000005</v>
      </c>
      <c r="AD135">
        <f t="shared" si="16"/>
        <v>18.5547</v>
      </c>
      <c r="AE135">
        <f t="shared" si="17"/>
        <v>16.152126115800002</v>
      </c>
      <c r="AF135" s="9"/>
      <c r="AG135" s="22">
        <v>0.52947999999999995</v>
      </c>
      <c r="AH135" s="22">
        <v>196.92599999999999</v>
      </c>
      <c r="AI135" s="22">
        <v>-1.88995E-2</v>
      </c>
      <c r="AJ135" s="22">
        <v>125</v>
      </c>
      <c r="AK135" s="22">
        <v>0.52853399999999995</v>
      </c>
      <c r="AL135">
        <f t="shared" si="18"/>
        <v>18.8995</v>
      </c>
      <c r="AM135">
        <f t="shared" si="19"/>
        <v>10.006907259999998</v>
      </c>
      <c r="AP135" s="9"/>
      <c r="AQ135" s="22">
        <v>0.87051400000000001</v>
      </c>
      <c r="AR135" s="22">
        <v>245.696</v>
      </c>
      <c r="AS135" s="22">
        <v>-1.85425E-2</v>
      </c>
      <c r="AT135" s="22">
        <v>125</v>
      </c>
      <c r="AU135" s="22">
        <v>0.86975100000000005</v>
      </c>
      <c r="AV135">
        <f t="shared" si="20"/>
        <v>18.5425</v>
      </c>
      <c r="AW135">
        <f t="shared" si="21"/>
        <v>16.141505845000001</v>
      </c>
      <c r="AX135" s="9"/>
      <c r="AY135" s="22">
        <v>0.52947999999999995</v>
      </c>
      <c r="AZ135" s="22">
        <v>294.59699999999998</v>
      </c>
      <c r="BA135" s="22">
        <v>-1.8887299999999999E-2</v>
      </c>
      <c r="BB135" s="22">
        <v>125</v>
      </c>
      <c r="BC135" s="22">
        <v>0.52868700000000002</v>
      </c>
      <c r="BD135">
        <f t="shared" si="22"/>
        <v>18.8873</v>
      </c>
      <c r="BE135">
        <f t="shared" si="23"/>
        <v>10.000447604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0.865479</v>
      </c>
      <c r="H136" s="22">
        <v>50.368099999999998</v>
      </c>
      <c r="I136" s="22">
        <v>-1.8572999999999999E-2</v>
      </c>
      <c r="J136" s="22">
        <v>126</v>
      </c>
      <c r="K136" s="22">
        <v>0.86486799999999997</v>
      </c>
      <c r="L136">
        <f t="shared" si="12"/>
        <v>18.573</v>
      </c>
      <c r="M136">
        <f t="shared" si="13"/>
        <v>16.074541467</v>
      </c>
      <c r="N136" s="9"/>
      <c r="O136" s="22">
        <v>0.53451499999999996</v>
      </c>
      <c r="P136" s="22">
        <v>99.194500000000005</v>
      </c>
      <c r="Q136" s="22">
        <v>-1.8902599999999999E-2</v>
      </c>
      <c r="R136" s="22">
        <v>126</v>
      </c>
      <c r="S136" s="22">
        <v>0.53363000000000005</v>
      </c>
      <c r="T136">
        <f t="shared" si="14"/>
        <v>18.9026</v>
      </c>
      <c r="U136">
        <f t="shared" si="15"/>
        <v>10.103723238999999</v>
      </c>
      <c r="X136" s="9"/>
      <c r="Y136" s="22">
        <v>0.865479</v>
      </c>
      <c r="Z136" s="22">
        <v>148.13800000000001</v>
      </c>
      <c r="AA136" s="22">
        <v>-1.85577E-2</v>
      </c>
      <c r="AB136" s="22">
        <v>126</v>
      </c>
      <c r="AC136" s="22">
        <v>0.86456299999999997</v>
      </c>
      <c r="AD136">
        <f t="shared" si="16"/>
        <v>18.557700000000001</v>
      </c>
      <c r="AE136">
        <f t="shared" si="17"/>
        <v>16.0612996383</v>
      </c>
      <c r="AF136" s="9"/>
      <c r="AG136" s="22">
        <v>0.53451499999999996</v>
      </c>
      <c r="AH136" s="22">
        <v>196.93600000000001</v>
      </c>
      <c r="AI136" s="22">
        <v>-1.8893400000000001E-2</v>
      </c>
      <c r="AJ136" s="22">
        <v>126</v>
      </c>
      <c r="AK136" s="22">
        <v>0.53372200000000003</v>
      </c>
      <c r="AL136">
        <f t="shared" si="18"/>
        <v>18.8934</v>
      </c>
      <c r="AM136">
        <f t="shared" si="19"/>
        <v>10.098805701</v>
      </c>
      <c r="AP136" s="9"/>
      <c r="AQ136" s="22">
        <v>0.865479</v>
      </c>
      <c r="AR136" s="22">
        <v>245.70599999999999</v>
      </c>
      <c r="AS136" s="22">
        <v>-1.8548599999999998E-2</v>
      </c>
      <c r="AT136" s="22">
        <v>126</v>
      </c>
      <c r="AU136" s="22">
        <v>0.86425799999999997</v>
      </c>
      <c r="AV136">
        <f t="shared" si="20"/>
        <v>18.548599999999997</v>
      </c>
      <c r="AW136">
        <f t="shared" si="21"/>
        <v>16.053423779399996</v>
      </c>
      <c r="AX136" s="9"/>
      <c r="AY136" s="22">
        <v>0.53451499999999996</v>
      </c>
      <c r="AZ136" s="22">
        <v>294.60700000000003</v>
      </c>
      <c r="BA136" s="22">
        <v>-1.8881200000000001E-2</v>
      </c>
      <c r="BB136" s="22">
        <v>126</v>
      </c>
      <c r="BC136" s="22">
        <v>0.53393599999999997</v>
      </c>
      <c r="BD136">
        <f t="shared" si="22"/>
        <v>18.8812</v>
      </c>
      <c r="BE136">
        <f t="shared" si="23"/>
        <v>10.092284617999999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0.86044299999999996</v>
      </c>
      <c r="H137" s="22">
        <v>50.3782</v>
      </c>
      <c r="I137" s="22">
        <v>-1.8579100000000001E-2</v>
      </c>
      <c r="J137" s="22">
        <v>127</v>
      </c>
      <c r="K137" s="22">
        <v>0.859375</v>
      </c>
      <c r="L137">
        <f t="shared" si="12"/>
        <v>18.5791</v>
      </c>
      <c r="M137">
        <f t="shared" si="13"/>
        <v>15.9862565413</v>
      </c>
      <c r="N137" s="9"/>
      <c r="O137" s="22">
        <v>0.539551</v>
      </c>
      <c r="P137" s="22">
        <v>99.204599999999999</v>
      </c>
      <c r="Q137" s="22">
        <v>-1.88995E-2</v>
      </c>
      <c r="R137" s="22">
        <v>127</v>
      </c>
      <c r="S137" s="22">
        <v>0.53878800000000004</v>
      </c>
      <c r="T137">
        <f t="shared" si="14"/>
        <v>18.8995</v>
      </c>
      <c r="U137">
        <f t="shared" si="15"/>
        <v>10.197244124499999</v>
      </c>
      <c r="X137" s="9"/>
      <c r="Y137" s="22">
        <v>0.86044299999999996</v>
      </c>
      <c r="Z137" s="22">
        <v>148.148</v>
      </c>
      <c r="AA137" s="22">
        <v>-1.8563799999999998E-2</v>
      </c>
      <c r="AB137" s="22">
        <v>127</v>
      </c>
      <c r="AC137" s="22">
        <v>0.859375</v>
      </c>
      <c r="AD137">
        <f t="shared" si="16"/>
        <v>18.563799999999997</v>
      </c>
      <c r="AE137">
        <f t="shared" si="17"/>
        <v>15.973091763399996</v>
      </c>
      <c r="AF137" s="9"/>
      <c r="AG137" s="22">
        <v>0.539551</v>
      </c>
      <c r="AH137" s="22">
        <v>196.946</v>
      </c>
      <c r="AI137" s="22">
        <v>-1.8890400000000002E-2</v>
      </c>
      <c r="AJ137" s="22">
        <v>127</v>
      </c>
      <c r="AK137" s="22">
        <v>0.53875700000000004</v>
      </c>
      <c r="AL137">
        <f t="shared" si="18"/>
        <v>18.890400000000003</v>
      </c>
      <c r="AM137">
        <f t="shared" si="19"/>
        <v>10.192334210400002</v>
      </c>
      <c r="AP137" s="9"/>
      <c r="AQ137" s="22">
        <v>0.86044299999999996</v>
      </c>
      <c r="AR137" s="22">
        <v>245.71600000000001</v>
      </c>
      <c r="AS137" s="22">
        <v>-1.85547E-2</v>
      </c>
      <c r="AT137" s="22">
        <v>127</v>
      </c>
      <c r="AU137" s="22">
        <v>0.859375</v>
      </c>
      <c r="AV137">
        <f t="shared" si="20"/>
        <v>18.5547</v>
      </c>
      <c r="AW137">
        <f t="shared" si="21"/>
        <v>15.9652617321</v>
      </c>
      <c r="AX137" s="9"/>
      <c r="AY137" s="22">
        <v>0.539551</v>
      </c>
      <c r="AZ137" s="22">
        <v>294.61700000000002</v>
      </c>
      <c r="BA137" s="22">
        <v>-1.8875099999999999E-2</v>
      </c>
      <c r="BB137" s="22">
        <v>127</v>
      </c>
      <c r="BC137" s="22">
        <v>0.53820800000000002</v>
      </c>
      <c r="BD137">
        <f t="shared" si="22"/>
        <v>18.8751</v>
      </c>
      <c r="BE137">
        <f t="shared" si="23"/>
        <v>10.1840790801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0.85540799999999995</v>
      </c>
      <c r="H138" s="22">
        <v>50.388199999999998</v>
      </c>
      <c r="I138" s="22">
        <v>-1.85852E-2</v>
      </c>
      <c r="J138" s="22">
        <v>128</v>
      </c>
      <c r="K138" s="22">
        <v>0.85418700000000003</v>
      </c>
      <c r="L138">
        <f t="shared" si="12"/>
        <v>18.5852</v>
      </c>
      <c r="M138">
        <f t="shared" si="13"/>
        <v>15.897928761599999</v>
      </c>
      <c r="N138" s="9"/>
      <c r="O138" s="22">
        <v>0.54458600000000001</v>
      </c>
      <c r="P138" s="22">
        <v>99.214600000000004</v>
      </c>
      <c r="Q138" s="22">
        <v>-1.8893400000000001E-2</v>
      </c>
      <c r="R138" s="22">
        <v>128</v>
      </c>
      <c r="S138" s="22">
        <v>0.54397600000000002</v>
      </c>
      <c r="T138">
        <f t="shared" si="14"/>
        <v>18.8934</v>
      </c>
      <c r="U138">
        <f t="shared" si="15"/>
        <v>10.2890811324</v>
      </c>
      <c r="X138" s="9"/>
      <c r="Y138" s="22">
        <v>0.85540799999999995</v>
      </c>
      <c r="Z138" s="22">
        <v>148.15799999999999</v>
      </c>
      <c r="AA138" s="22">
        <v>-1.85699E-2</v>
      </c>
      <c r="AB138" s="22">
        <v>128</v>
      </c>
      <c r="AC138" s="22">
        <v>0.85449200000000003</v>
      </c>
      <c r="AD138">
        <f t="shared" si="16"/>
        <v>18.569900000000001</v>
      </c>
      <c r="AE138">
        <f t="shared" si="17"/>
        <v>15.8848410192</v>
      </c>
      <c r="AF138" s="9"/>
      <c r="AG138" s="22">
        <v>0.54458600000000001</v>
      </c>
      <c r="AH138" s="22">
        <v>196.95599999999999</v>
      </c>
      <c r="AI138" s="22">
        <v>-1.8890400000000002E-2</v>
      </c>
      <c r="AJ138" s="22">
        <v>128</v>
      </c>
      <c r="AK138" s="22">
        <v>0.54394500000000001</v>
      </c>
      <c r="AL138">
        <f t="shared" si="18"/>
        <v>18.890400000000003</v>
      </c>
      <c r="AM138">
        <f t="shared" si="19"/>
        <v>10.287447374400003</v>
      </c>
      <c r="AP138" s="9"/>
      <c r="AQ138" s="22">
        <v>0.85540799999999995</v>
      </c>
      <c r="AR138" s="22">
        <v>245.726</v>
      </c>
      <c r="AS138" s="22">
        <v>-1.85577E-2</v>
      </c>
      <c r="AT138" s="22">
        <v>128</v>
      </c>
      <c r="AU138" s="22">
        <v>0.85418700000000003</v>
      </c>
      <c r="AV138">
        <f t="shared" si="20"/>
        <v>18.557700000000001</v>
      </c>
      <c r="AW138">
        <f t="shared" si="21"/>
        <v>15.874405041599999</v>
      </c>
      <c r="AX138" s="9"/>
      <c r="AY138" s="22">
        <v>0.54458600000000001</v>
      </c>
      <c r="AZ138" s="22">
        <v>294.62700000000001</v>
      </c>
      <c r="BA138" s="22">
        <v>-1.8869E-2</v>
      </c>
      <c r="BB138" s="22">
        <v>128</v>
      </c>
      <c r="BC138" s="22">
        <v>0.54391500000000004</v>
      </c>
      <c r="BD138">
        <f t="shared" si="22"/>
        <v>18.869</v>
      </c>
      <c r="BE138">
        <f t="shared" si="23"/>
        <v>10.275793234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0.85037200000000002</v>
      </c>
      <c r="H139" s="22">
        <v>50.398299999999999</v>
      </c>
      <c r="I139" s="22">
        <v>-1.8588299999999999E-2</v>
      </c>
      <c r="J139" s="22">
        <v>129</v>
      </c>
      <c r="K139" s="22">
        <v>0.84991499999999998</v>
      </c>
      <c r="L139">
        <f t="shared" si="12"/>
        <v>18.5883</v>
      </c>
      <c r="M139">
        <f t="shared" si="13"/>
        <v>15.806969847600001</v>
      </c>
      <c r="N139" s="9"/>
      <c r="O139" s="22">
        <v>0.54962200000000005</v>
      </c>
      <c r="P139" s="22">
        <v>99.224699999999999</v>
      </c>
      <c r="Q139" s="22">
        <v>-1.8887299999999999E-2</v>
      </c>
      <c r="R139" s="22">
        <v>129</v>
      </c>
      <c r="S139" s="22">
        <v>0.54891999999999996</v>
      </c>
      <c r="T139">
        <f t="shared" si="14"/>
        <v>18.8873</v>
      </c>
      <c r="U139">
        <f t="shared" si="15"/>
        <v>10.380875600600001</v>
      </c>
      <c r="X139" s="9"/>
      <c r="Y139" s="22">
        <v>0.85037200000000002</v>
      </c>
      <c r="Z139" s="22">
        <v>148.16800000000001</v>
      </c>
      <c r="AA139" s="22">
        <v>-1.8572999999999999E-2</v>
      </c>
      <c r="AB139" s="22">
        <v>129</v>
      </c>
      <c r="AC139" s="22">
        <v>0.84991499999999998</v>
      </c>
      <c r="AD139">
        <f t="shared" si="16"/>
        <v>18.573</v>
      </c>
      <c r="AE139">
        <f t="shared" si="17"/>
        <v>15.793959156000001</v>
      </c>
      <c r="AF139" s="9"/>
      <c r="AG139" s="22">
        <v>0.54962200000000005</v>
      </c>
      <c r="AH139" s="22">
        <v>196.96700000000001</v>
      </c>
      <c r="AI139" s="22">
        <v>-1.8887299999999999E-2</v>
      </c>
      <c r="AJ139" s="22">
        <v>129</v>
      </c>
      <c r="AK139" s="22">
        <v>0.548767</v>
      </c>
      <c r="AL139">
        <f t="shared" si="18"/>
        <v>18.8873</v>
      </c>
      <c r="AM139">
        <f t="shared" si="19"/>
        <v>10.380875600600001</v>
      </c>
      <c r="AP139" s="9"/>
      <c r="AQ139" s="22">
        <v>0.85037200000000002</v>
      </c>
      <c r="AR139" s="22">
        <v>245.73599999999999</v>
      </c>
      <c r="AS139" s="22">
        <v>-1.8560799999999999E-2</v>
      </c>
      <c r="AT139" s="22">
        <v>129</v>
      </c>
      <c r="AU139" s="22">
        <v>0.84991499999999998</v>
      </c>
      <c r="AV139">
        <f t="shared" si="20"/>
        <v>18.5608</v>
      </c>
      <c r="AW139">
        <f t="shared" si="21"/>
        <v>15.783584617600001</v>
      </c>
      <c r="AX139" s="9"/>
      <c r="AY139" s="22">
        <v>0.54962200000000005</v>
      </c>
      <c r="AZ139" s="22">
        <v>294.637</v>
      </c>
      <c r="BA139" s="22">
        <v>-1.88568E-2</v>
      </c>
      <c r="BB139" s="22">
        <v>129</v>
      </c>
      <c r="BC139" s="22">
        <v>0.54885899999999999</v>
      </c>
      <c r="BD139">
        <f t="shared" si="22"/>
        <v>18.8568</v>
      </c>
      <c r="BE139">
        <f t="shared" si="23"/>
        <v>10.364112129600001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0.84533700000000001</v>
      </c>
      <c r="H140" s="22">
        <v>50.4084</v>
      </c>
      <c r="I140" s="22">
        <v>-1.85974E-2</v>
      </c>
      <c r="J140" s="22">
        <v>130</v>
      </c>
      <c r="K140" s="22">
        <v>0.84442099999999998</v>
      </c>
      <c r="L140">
        <f t="shared" ref="L140:L203" si="24">-I140/$F$2*1000</f>
        <v>18.5974</v>
      </c>
      <c r="M140">
        <f t="shared" ref="M140:M203" si="25">L140*G140</f>
        <v>15.721070323800001</v>
      </c>
      <c r="N140" s="9"/>
      <c r="O140" s="22">
        <v>0.55465699999999996</v>
      </c>
      <c r="P140" s="22">
        <v>99.234800000000007</v>
      </c>
      <c r="Q140" s="22">
        <v>-1.88843E-2</v>
      </c>
      <c r="R140" s="22">
        <v>130</v>
      </c>
      <c r="S140" s="22">
        <v>0.55380200000000002</v>
      </c>
      <c r="T140">
        <f t="shared" ref="T140:T203" si="26">-Q140/$F$2*1000</f>
        <v>18.8843</v>
      </c>
      <c r="U140">
        <f t="shared" ref="U140:U203" si="27">T140*O140</f>
        <v>10.474309185099999</v>
      </c>
      <c r="X140" s="9"/>
      <c r="Y140" s="22">
        <v>0.84533700000000001</v>
      </c>
      <c r="Z140" s="22">
        <v>148.178</v>
      </c>
      <c r="AA140" s="22">
        <v>-1.85822E-2</v>
      </c>
      <c r="AB140" s="22">
        <v>130</v>
      </c>
      <c r="AC140" s="22">
        <v>0.84472700000000001</v>
      </c>
      <c r="AD140">
        <f t="shared" ref="AD140:AD203" si="28">-AA140/$F$2*1000</f>
        <v>18.5822</v>
      </c>
      <c r="AE140">
        <f t="shared" ref="AE140:AE203" si="29">AD140*Y140</f>
        <v>15.708221201400001</v>
      </c>
      <c r="AF140" s="9"/>
      <c r="AG140" s="22">
        <v>0.55465699999999996</v>
      </c>
      <c r="AH140" s="22">
        <v>196.977</v>
      </c>
      <c r="AI140" s="22">
        <v>-1.8881200000000001E-2</v>
      </c>
      <c r="AJ140" s="22">
        <v>130</v>
      </c>
      <c r="AK140" s="22">
        <v>0.55404699999999996</v>
      </c>
      <c r="AL140">
        <f t="shared" ref="AL140:AL203" si="30">-AI140/$F$2*1000</f>
        <v>18.8812</v>
      </c>
      <c r="AM140">
        <f t="shared" ref="AM140:AM203" si="31">AL140*AG140</f>
        <v>10.472589748399999</v>
      </c>
      <c r="AP140" s="9"/>
      <c r="AQ140" s="22">
        <v>0.84533700000000001</v>
      </c>
      <c r="AR140" s="22">
        <v>245.74600000000001</v>
      </c>
      <c r="AS140" s="22">
        <v>-1.8566900000000001E-2</v>
      </c>
      <c r="AT140" s="22">
        <v>130</v>
      </c>
      <c r="AU140" s="22">
        <v>0.84472700000000001</v>
      </c>
      <c r="AV140">
        <f t="shared" ref="AV140:AV203" si="32">-AS140/$F$2*1000</f>
        <v>18.5669</v>
      </c>
      <c r="AW140">
        <f t="shared" ref="AW140:AW203" si="33">AV140*AQ140</f>
        <v>15.695287545300001</v>
      </c>
      <c r="AX140" s="9"/>
      <c r="AY140" s="22">
        <v>0.55465699999999996</v>
      </c>
      <c r="AZ140" s="22">
        <v>294.64699999999999</v>
      </c>
      <c r="BA140" s="22">
        <v>-1.8850700000000001E-2</v>
      </c>
      <c r="BB140" s="22">
        <v>130</v>
      </c>
      <c r="BC140" s="22">
        <v>0.553894</v>
      </c>
      <c r="BD140">
        <f t="shared" ref="BD140:BD203" si="34">-BA140/$F$2*1000</f>
        <v>18.8507</v>
      </c>
      <c r="BE140">
        <f t="shared" ref="BE140:BE203" si="35">BD140*AY140</f>
        <v>10.455672709899998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0.84030199999999999</v>
      </c>
      <c r="H141" s="22">
        <v>50.418399999999998</v>
      </c>
      <c r="I141" s="22">
        <v>-1.8600499999999999E-2</v>
      </c>
      <c r="J141" s="22">
        <v>131</v>
      </c>
      <c r="K141" s="22">
        <v>0.83923300000000001</v>
      </c>
      <c r="L141">
        <f t="shared" si="24"/>
        <v>18.6005</v>
      </c>
      <c r="M141">
        <f t="shared" si="25"/>
        <v>15.630037351</v>
      </c>
      <c r="N141" s="9"/>
      <c r="O141" s="22">
        <v>0.55969199999999997</v>
      </c>
      <c r="P141" s="22">
        <v>99.244900000000001</v>
      </c>
      <c r="Q141" s="22">
        <v>-1.8878200000000001E-2</v>
      </c>
      <c r="R141" s="22">
        <v>131</v>
      </c>
      <c r="S141" s="22">
        <v>0.55898999999999999</v>
      </c>
      <c r="T141">
        <f t="shared" si="26"/>
        <v>18.8782</v>
      </c>
      <c r="U141">
        <f t="shared" si="27"/>
        <v>10.565977514399998</v>
      </c>
      <c r="X141" s="9"/>
      <c r="Y141" s="22">
        <v>0.84030199999999999</v>
      </c>
      <c r="Z141" s="22">
        <v>148.18799999999999</v>
      </c>
      <c r="AA141" s="22">
        <v>-1.8588299999999999E-2</v>
      </c>
      <c r="AB141" s="22">
        <v>131</v>
      </c>
      <c r="AC141" s="22">
        <v>0.83953900000000004</v>
      </c>
      <c r="AD141">
        <f t="shared" si="28"/>
        <v>18.5883</v>
      </c>
      <c r="AE141">
        <f t="shared" si="29"/>
        <v>15.6197856666</v>
      </c>
      <c r="AF141" s="9"/>
      <c r="AG141" s="22">
        <v>0.55969199999999997</v>
      </c>
      <c r="AH141" s="22">
        <v>196.98699999999999</v>
      </c>
      <c r="AI141" s="22">
        <v>-1.8878200000000001E-2</v>
      </c>
      <c r="AJ141" s="22">
        <v>131</v>
      </c>
      <c r="AK141" s="22">
        <v>0.55889900000000003</v>
      </c>
      <c r="AL141">
        <f t="shared" si="30"/>
        <v>18.8782</v>
      </c>
      <c r="AM141">
        <f t="shared" si="31"/>
        <v>10.565977514399998</v>
      </c>
      <c r="AP141" s="9"/>
      <c r="AQ141" s="22">
        <v>0.84030199999999999</v>
      </c>
      <c r="AR141" s="22">
        <v>245.756</v>
      </c>
      <c r="AS141" s="22">
        <v>-1.85699E-2</v>
      </c>
      <c r="AT141" s="22">
        <v>131</v>
      </c>
      <c r="AU141" s="22">
        <v>0.83862300000000001</v>
      </c>
      <c r="AV141">
        <f t="shared" si="32"/>
        <v>18.569900000000001</v>
      </c>
      <c r="AW141">
        <f t="shared" si="33"/>
        <v>15.6043241098</v>
      </c>
      <c r="AX141" s="9"/>
      <c r="AY141" s="22">
        <v>0.55969199999999997</v>
      </c>
      <c r="AZ141" s="22">
        <v>294.65800000000002</v>
      </c>
      <c r="BA141" s="22">
        <v>-1.88446E-2</v>
      </c>
      <c r="BB141" s="22">
        <v>131</v>
      </c>
      <c r="BC141" s="22">
        <v>0.55908199999999997</v>
      </c>
      <c r="BD141">
        <f t="shared" si="34"/>
        <v>18.8446</v>
      </c>
      <c r="BE141">
        <f t="shared" si="35"/>
        <v>10.547171863199999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0.83526599999999995</v>
      </c>
      <c r="H142" s="22">
        <v>50.4285</v>
      </c>
      <c r="I142" s="22">
        <v>-1.8606600000000001E-2</v>
      </c>
      <c r="J142" s="22">
        <v>132</v>
      </c>
      <c r="K142" s="22">
        <v>0.83496099999999995</v>
      </c>
      <c r="L142">
        <f t="shared" si="24"/>
        <v>18.6066</v>
      </c>
      <c r="M142">
        <f t="shared" si="25"/>
        <v>15.5414603556</v>
      </c>
      <c r="N142" s="9"/>
      <c r="O142" s="22">
        <v>0.56472800000000001</v>
      </c>
      <c r="P142" s="22">
        <v>99.254900000000006</v>
      </c>
      <c r="Q142" s="22">
        <v>-1.8875099999999999E-2</v>
      </c>
      <c r="R142" s="22">
        <v>132</v>
      </c>
      <c r="S142" s="22">
        <v>0.56390399999999996</v>
      </c>
      <c r="T142">
        <f t="shared" si="26"/>
        <v>18.8751</v>
      </c>
      <c r="U142">
        <f t="shared" si="27"/>
        <v>10.659297472800001</v>
      </c>
      <c r="X142" s="9"/>
      <c r="Y142" s="22">
        <v>0.83526599999999995</v>
      </c>
      <c r="Z142" s="22">
        <v>148.19800000000001</v>
      </c>
      <c r="AA142" s="22">
        <v>-1.85974E-2</v>
      </c>
      <c r="AB142" s="22">
        <v>132</v>
      </c>
      <c r="AC142" s="22">
        <v>0.83465599999999995</v>
      </c>
      <c r="AD142">
        <f t="shared" si="28"/>
        <v>18.5974</v>
      </c>
      <c r="AE142">
        <f t="shared" si="29"/>
        <v>15.533775908399999</v>
      </c>
      <c r="AF142" s="9"/>
      <c r="AG142" s="22">
        <v>0.56472800000000001</v>
      </c>
      <c r="AH142" s="22">
        <v>196.99700000000001</v>
      </c>
      <c r="AI142" s="22">
        <v>-1.8872099999999999E-2</v>
      </c>
      <c r="AJ142" s="22">
        <v>132</v>
      </c>
      <c r="AK142" s="22">
        <v>0.56420899999999996</v>
      </c>
      <c r="AL142">
        <f t="shared" si="30"/>
        <v>18.8721</v>
      </c>
      <c r="AM142">
        <f t="shared" si="31"/>
        <v>10.657603288800001</v>
      </c>
      <c r="AP142" s="9"/>
      <c r="AQ142" s="22">
        <v>0.83526599999999995</v>
      </c>
      <c r="AR142" s="22">
        <v>245.76599999999999</v>
      </c>
      <c r="AS142" s="22">
        <v>-1.8575999999999999E-2</v>
      </c>
      <c r="AT142" s="22">
        <v>132</v>
      </c>
      <c r="AU142" s="22">
        <v>0.83435099999999995</v>
      </c>
      <c r="AV142">
        <f t="shared" si="32"/>
        <v>18.576000000000001</v>
      </c>
      <c r="AW142">
        <f t="shared" si="33"/>
        <v>15.515901216</v>
      </c>
      <c r="AX142" s="9"/>
      <c r="AY142" s="22">
        <v>0.56472800000000001</v>
      </c>
      <c r="AZ142" s="22">
        <v>294.66800000000001</v>
      </c>
      <c r="BA142" s="22">
        <v>-1.88416E-2</v>
      </c>
      <c r="BB142" s="22">
        <v>132</v>
      </c>
      <c r="BC142" s="22">
        <v>0.56396500000000005</v>
      </c>
      <c r="BD142">
        <f t="shared" si="34"/>
        <v>18.8416</v>
      </c>
      <c r="BE142">
        <f t="shared" si="35"/>
        <v>10.640379084799999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0.83023100000000005</v>
      </c>
      <c r="H143" s="22">
        <v>50.438600000000001</v>
      </c>
      <c r="I143" s="22">
        <v>-1.86096E-2</v>
      </c>
      <c r="J143" s="22">
        <v>133</v>
      </c>
      <c r="K143" s="22">
        <v>0.82946799999999998</v>
      </c>
      <c r="L143">
        <f t="shared" si="24"/>
        <v>18.6096</v>
      </c>
      <c r="M143">
        <f t="shared" si="25"/>
        <v>15.450266817600001</v>
      </c>
      <c r="N143" s="9"/>
      <c r="O143" s="22">
        <v>0.56976300000000002</v>
      </c>
      <c r="P143" s="22">
        <v>99.265000000000001</v>
      </c>
      <c r="Q143" s="22">
        <v>-1.8872099999999999E-2</v>
      </c>
      <c r="R143" s="22">
        <v>133</v>
      </c>
      <c r="S143" s="22">
        <v>0.56896999999999998</v>
      </c>
      <c r="T143">
        <f t="shared" si="26"/>
        <v>18.8721</v>
      </c>
      <c r="U143">
        <f t="shared" si="27"/>
        <v>10.7526243123</v>
      </c>
      <c r="X143" s="9"/>
      <c r="Y143" s="22">
        <v>0.83023100000000005</v>
      </c>
      <c r="Z143" s="22">
        <v>148.208</v>
      </c>
      <c r="AA143" s="22">
        <v>-1.8603499999999999E-2</v>
      </c>
      <c r="AB143" s="22">
        <v>133</v>
      </c>
      <c r="AC143" s="22">
        <v>0.82977299999999998</v>
      </c>
      <c r="AD143">
        <f t="shared" si="28"/>
        <v>18.603499999999997</v>
      </c>
      <c r="AE143">
        <f t="shared" si="29"/>
        <v>15.445202408499998</v>
      </c>
      <c r="AF143" s="9"/>
      <c r="AG143" s="22">
        <v>0.56976300000000002</v>
      </c>
      <c r="AH143" s="22">
        <v>197.00700000000001</v>
      </c>
      <c r="AI143" s="22">
        <v>-1.8869E-2</v>
      </c>
      <c r="AJ143" s="22">
        <v>133</v>
      </c>
      <c r="AK143" s="22">
        <v>0.56915300000000002</v>
      </c>
      <c r="AL143">
        <f t="shared" si="30"/>
        <v>18.869</v>
      </c>
      <c r="AM143">
        <f t="shared" si="31"/>
        <v>10.750858046999999</v>
      </c>
      <c r="AP143" s="9"/>
      <c r="AQ143" s="22">
        <v>0.83023100000000005</v>
      </c>
      <c r="AR143" s="22">
        <v>245.77600000000001</v>
      </c>
      <c r="AS143" s="22">
        <v>-1.85822E-2</v>
      </c>
      <c r="AT143" s="22">
        <v>133</v>
      </c>
      <c r="AU143" s="22">
        <v>0.82977299999999998</v>
      </c>
      <c r="AV143">
        <f t="shared" si="32"/>
        <v>18.5822</v>
      </c>
      <c r="AW143">
        <f t="shared" si="33"/>
        <v>15.4275184882</v>
      </c>
      <c r="AX143" s="9"/>
      <c r="AY143" s="22">
        <v>0.56976300000000002</v>
      </c>
      <c r="AZ143" s="22">
        <v>294.678</v>
      </c>
      <c r="BA143" s="22">
        <v>-1.8835399999999999E-2</v>
      </c>
      <c r="BB143" s="22">
        <v>133</v>
      </c>
      <c r="BC143" s="22">
        <v>0.56854199999999999</v>
      </c>
      <c r="BD143">
        <f t="shared" si="34"/>
        <v>18.8354</v>
      </c>
      <c r="BE143">
        <f t="shared" si="35"/>
        <v>10.731714010200001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0.82519500000000001</v>
      </c>
      <c r="H144" s="22">
        <v>50.448700000000002</v>
      </c>
      <c r="I144" s="22">
        <v>-1.86096E-2</v>
      </c>
      <c r="J144" s="22">
        <v>134</v>
      </c>
      <c r="K144" s="22">
        <v>0.82458500000000001</v>
      </c>
      <c r="L144">
        <f t="shared" si="24"/>
        <v>18.6096</v>
      </c>
      <c r="M144">
        <f t="shared" si="25"/>
        <v>15.356548872000001</v>
      </c>
      <c r="N144" s="9"/>
      <c r="O144" s="22">
        <v>0.57479899999999995</v>
      </c>
      <c r="P144" s="22">
        <v>99.275099999999995</v>
      </c>
      <c r="Q144" s="22">
        <v>-1.8866000000000001E-2</v>
      </c>
      <c r="R144" s="22">
        <v>134</v>
      </c>
      <c r="S144" s="22">
        <v>0.57388300000000003</v>
      </c>
      <c r="T144">
        <f t="shared" si="26"/>
        <v>18.866</v>
      </c>
      <c r="U144">
        <f t="shared" si="27"/>
        <v>10.844157933999998</v>
      </c>
      <c r="X144" s="9"/>
      <c r="Y144" s="22">
        <v>0.82519500000000001</v>
      </c>
      <c r="Z144" s="22">
        <v>148.21799999999999</v>
      </c>
      <c r="AA144" s="22">
        <v>-1.8606600000000001E-2</v>
      </c>
      <c r="AB144" s="22">
        <v>134</v>
      </c>
      <c r="AC144" s="22">
        <v>0.82458500000000001</v>
      </c>
      <c r="AD144">
        <f t="shared" si="28"/>
        <v>18.6066</v>
      </c>
      <c r="AE144">
        <f t="shared" si="29"/>
        <v>15.354073287</v>
      </c>
      <c r="AF144" s="9"/>
      <c r="AG144" s="22">
        <v>0.57479899999999995</v>
      </c>
      <c r="AH144" s="22">
        <v>197.017</v>
      </c>
      <c r="AI144" s="22">
        <v>-1.8862899999999998E-2</v>
      </c>
      <c r="AJ144" s="22">
        <v>134</v>
      </c>
      <c r="AK144" s="22">
        <v>0.57406599999999997</v>
      </c>
      <c r="AL144">
        <f t="shared" si="30"/>
        <v>18.8629</v>
      </c>
      <c r="AM144">
        <f t="shared" si="31"/>
        <v>10.842376057099999</v>
      </c>
      <c r="AP144" s="9"/>
      <c r="AQ144" s="22">
        <v>0.82519500000000001</v>
      </c>
      <c r="AR144" s="22">
        <v>245.786</v>
      </c>
      <c r="AS144" s="22">
        <v>-1.85852E-2</v>
      </c>
      <c r="AT144" s="22">
        <v>134</v>
      </c>
      <c r="AU144" s="22">
        <v>0.82458500000000001</v>
      </c>
      <c r="AV144">
        <f t="shared" si="32"/>
        <v>18.5852</v>
      </c>
      <c r="AW144">
        <f t="shared" si="33"/>
        <v>15.336414114</v>
      </c>
      <c r="AX144" s="9"/>
      <c r="AY144" s="22">
        <v>0.57479899999999995</v>
      </c>
      <c r="AZ144" s="22">
        <v>294.68799999999999</v>
      </c>
      <c r="BA144" s="22">
        <v>-1.88293E-2</v>
      </c>
      <c r="BB144" s="22">
        <v>134</v>
      </c>
      <c r="BC144" s="22">
        <v>0.57449300000000003</v>
      </c>
      <c r="BD144">
        <f t="shared" si="34"/>
        <v>18.8293</v>
      </c>
      <c r="BE144">
        <f t="shared" si="35"/>
        <v>10.8230628107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0.82016</v>
      </c>
      <c r="H145" s="22">
        <v>50.4587</v>
      </c>
      <c r="I145" s="22">
        <v>-1.8615699999999999E-2</v>
      </c>
      <c r="J145" s="22">
        <v>135</v>
      </c>
      <c r="K145" s="22">
        <v>0.81878700000000004</v>
      </c>
      <c r="L145">
        <f t="shared" si="24"/>
        <v>18.6157</v>
      </c>
      <c r="M145">
        <f t="shared" si="25"/>
        <v>15.267852512000001</v>
      </c>
      <c r="N145" s="9"/>
      <c r="O145" s="22">
        <v>0.57983399999999996</v>
      </c>
      <c r="P145" s="22">
        <v>99.2851</v>
      </c>
      <c r="Q145" s="22">
        <v>-1.8859899999999999E-2</v>
      </c>
      <c r="R145" s="22">
        <v>135</v>
      </c>
      <c r="S145" s="22">
        <v>0.57888799999999996</v>
      </c>
      <c r="T145">
        <f t="shared" si="26"/>
        <v>18.8599</v>
      </c>
      <c r="U145">
        <f t="shared" si="27"/>
        <v>10.9356112566</v>
      </c>
      <c r="X145" s="9"/>
      <c r="Y145" s="22">
        <v>0.82016</v>
      </c>
      <c r="Z145" s="22">
        <v>148.22900000000001</v>
      </c>
      <c r="AA145" s="22">
        <v>-1.8606600000000001E-2</v>
      </c>
      <c r="AB145" s="22">
        <v>135</v>
      </c>
      <c r="AC145" s="22">
        <v>0.81909200000000004</v>
      </c>
      <c r="AD145">
        <f t="shared" si="28"/>
        <v>18.6066</v>
      </c>
      <c r="AE145">
        <f t="shared" si="29"/>
        <v>15.260389056000001</v>
      </c>
      <c r="AF145" s="9"/>
      <c r="AG145" s="22">
        <v>0.57983399999999996</v>
      </c>
      <c r="AH145" s="22">
        <v>197.02699999999999</v>
      </c>
      <c r="AI145" s="22">
        <v>-1.88538E-2</v>
      </c>
      <c r="AJ145" s="22">
        <v>135</v>
      </c>
      <c r="AK145" s="22">
        <v>0.57943699999999998</v>
      </c>
      <c r="AL145">
        <f t="shared" si="30"/>
        <v>18.8538</v>
      </c>
      <c r="AM145">
        <f t="shared" si="31"/>
        <v>10.932074269199999</v>
      </c>
      <c r="AP145" s="9"/>
      <c r="AQ145" s="22">
        <v>0.82016</v>
      </c>
      <c r="AR145" s="22">
        <v>245.79599999999999</v>
      </c>
      <c r="AS145" s="22">
        <v>-1.8594400000000001E-2</v>
      </c>
      <c r="AT145" s="22">
        <v>135</v>
      </c>
      <c r="AU145" s="22">
        <v>0.81939700000000004</v>
      </c>
      <c r="AV145">
        <f t="shared" si="32"/>
        <v>18.5944</v>
      </c>
      <c r="AW145">
        <f t="shared" si="33"/>
        <v>15.250383104000001</v>
      </c>
      <c r="AX145" s="9"/>
      <c r="AY145" s="22">
        <v>0.57983399999999996</v>
      </c>
      <c r="AZ145" s="22">
        <v>294.69799999999998</v>
      </c>
      <c r="BA145" s="22">
        <v>-1.88293E-2</v>
      </c>
      <c r="BB145" s="22">
        <v>135</v>
      </c>
      <c r="BC145" s="22">
        <v>0.57885699999999995</v>
      </c>
      <c r="BD145">
        <f t="shared" si="34"/>
        <v>18.8293</v>
      </c>
      <c r="BE145">
        <f t="shared" si="35"/>
        <v>10.9178683362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0.81512499999999999</v>
      </c>
      <c r="H146" s="22">
        <v>50.468800000000002</v>
      </c>
      <c r="I146" s="22">
        <v>-1.8618800000000001E-2</v>
      </c>
      <c r="J146" s="22">
        <v>136</v>
      </c>
      <c r="K146" s="22">
        <v>0.81451399999999996</v>
      </c>
      <c r="L146">
        <f t="shared" si="24"/>
        <v>18.6188</v>
      </c>
      <c r="M146">
        <f t="shared" si="25"/>
        <v>15.17664935</v>
      </c>
      <c r="N146" s="9"/>
      <c r="O146" s="22">
        <v>0.58486899999999997</v>
      </c>
      <c r="P146" s="22">
        <v>99.295199999999994</v>
      </c>
      <c r="Q146" s="22">
        <v>-1.88568E-2</v>
      </c>
      <c r="R146" s="22">
        <v>136</v>
      </c>
      <c r="S146" s="22">
        <v>0.58413700000000002</v>
      </c>
      <c r="T146">
        <f t="shared" si="26"/>
        <v>18.8568</v>
      </c>
      <c r="U146">
        <f t="shared" si="27"/>
        <v>11.028757759199999</v>
      </c>
      <c r="X146" s="9"/>
      <c r="Y146" s="22">
        <v>0.81512499999999999</v>
      </c>
      <c r="Z146" s="22">
        <v>148.239</v>
      </c>
      <c r="AA146" s="22">
        <v>-1.8612699999999999E-2</v>
      </c>
      <c r="AB146" s="22">
        <v>136</v>
      </c>
      <c r="AC146" s="22">
        <v>0.81451399999999996</v>
      </c>
      <c r="AD146">
        <f t="shared" si="28"/>
        <v>18.6127</v>
      </c>
      <c r="AE146">
        <f t="shared" si="29"/>
        <v>15.171677087499999</v>
      </c>
      <c r="AF146" s="9"/>
      <c r="AG146" s="22">
        <v>0.58486899999999997</v>
      </c>
      <c r="AH146" s="22">
        <v>197.03700000000001</v>
      </c>
      <c r="AI146" s="22">
        <v>-1.88446E-2</v>
      </c>
      <c r="AJ146" s="22">
        <v>136</v>
      </c>
      <c r="AK146" s="22">
        <v>0.58410600000000001</v>
      </c>
      <c r="AL146">
        <f t="shared" si="30"/>
        <v>18.8446</v>
      </c>
      <c r="AM146">
        <f t="shared" si="31"/>
        <v>11.0216223574</v>
      </c>
      <c r="AP146" s="9"/>
      <c r="AQ146" s="22">
        <v>0.81512499999999999</v>
      </c>
      <c r="AR146" s="22">
        <v>245.80600000000001</v>
      </c>
      <c r="AS146" s="22">
        <v>-1.85974E-2</v>
      </c>
      <c r="AT146" s="22">
        <v>136</v>
      </c>
      <c r="AU146" s="22">
        <v>0.81451399999999996</v>
      </c>
      <c r="AV146">
        <f t="shared" si="32"/>
        <v>18.5974</v>
      </c>
      <c r="AW146">
        <f t="shared" si="33"/>
        <v>15.159205675000001</v>
      </c>
      <c r="AX146" s="9"/>
      <c r="AY146" s="22">
        <v>0.58486899999999997</v>
      </c>
      <c r="AZ146" s="22">
        <v>294.70800000000003</v>
      </c>
      <c r="BA146" s="22">
        <v>-1.8823199999999998E-2</v>
      </c>
      <c r="BB146" s="22">
        <v>136</v>
      </c>
      <c r="BC146" s="22">
        <v>0.58395399999999997</v>
      </c>
      <c r="BD146">
        <f t="shared" si="34"/>
        <v>18.8232</v>
      </c>
      <c r="BE146">
        <f t="shared" si="35"/>
        <v>11.0091061608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0.81008899999999995</v>
      </c>
      <c r="H147" s="22">
        <v>50.478900000000003</v>
      </c>
      <c r="I147" s="22">
        <v>-1.8621800000000001E-2</v>
      </c>
      <c r="J147" s="22">
        <v>137</v>
      </c>
      <c r="K147" s="22">
        <v>0.80871599999999999</v>
      </c>
      <c r="L147">
        <f t="shared" si="24"/>
        <v>18.6218</v>
      </c>
      <c r="M147">
        <f t="shared" si="25"/>
        <v>15.085315340199999</v>
      </c>
      <c r="N147" s="9"/>
      <c r="O147" s="22">
        <v>0.58990500000000001</v>
      </c>
      <c r="P147" s="22">
        <v>99.305300000000003</v>
      </c>
      <c r="Q147" s="22">
        <v>-1.8847699999999998E-2</v>
      </c>
      <c r="R147" s="22">
        <v>137</v>
      </c>
      <c r="S147" s="22">
        <v>0.58923300000000001</v>
      </c>
      <c r="T147">
        <f t="shared" si="26"/>
        <v>18.8477</v>
      </c>
      <c r="U147">
        <f t="shared" si="27"/>
        <v>11.118352468499999</v>
      </c>
      <c r="X147" s="9"/>
      <c r="Y147" s="22">
        <v>0.81008899999999995</v>
      </c>
      <c r="Z147" s="22">
        <v>148.249</v>
      </c>
      <c r="AA147" s="22">
        <v>-1.8612699999999999E-2</v>
      </c>
      <c r="AB147" s="22">
        <v>137</v>
      </c>
      <c r="AC147" s="22">
        <v>0.80902099999999999</v>
      </c>
      <c r="AD147">
        <f t="shared" si="28"/>
        <v>18.6127</v>
      </c>
      <c r="AE147">
        <f t="shared" si="29"/>
        <v>15.077943530299999</v>
      </c>
      <c r="AF147" s="9"/>
      <c r="AG147" s="22">
        <v>0.58990500000000001</v>
      </c>
      <c r="AH147" s="22">
        <v>197.047</v>
      </c>
      <c r="AI147" s="22">
        <v>-1.8838500000000001E-2</v>
      </c>
      <c r="AJ147" s="22">
        <v>137</v>
      </c>
      <c r="AK147" s="22">
        <v>0.58917200000000003</v>
      </c>
      <c r="AL147">
        <f t="shared" si="30"/>
        <v>18.8385</v>
      </c>
      <c r="AM147">
        <f t="shared" si="31"/>
        <v>11.112925342500001</v>
      </c>
      <c r="AP147" s="9"/>
      <c r="AQ147" s="22">
        <v>0.81008899999999995</v>
      </c>
      <c r="AR147" s="22">
        <v>245.81700000000001</v>
      </c>
      <c r="AS147" s="22">
        <v>-1.8600499999999999E-2</v>
      </c>
      <c r="AT147" s="22">
        <v>137</v>
      </c>
      <c r="AU147" s="22">
        <v>0.80963099999999999</v>
      </c>
      <c r="AV147">
        <f t="shared" si="32"/>
        <v>18.6005</v>
      </c>
      <c r="AW147">
        <f t="shared" si="33"/>
        <v>15.068060444499999</v>
      </c>
      <c r="AX147" s="9"/>
      <c r="AY147" s="22">
        <v>0.58990500000000001</v>
      </c>
      <c r="AZ147" s="22">
        <v>294.71800000000002</v>
      </c>
      <c r="BA147" s="22">
        <v>-1.8820199999999999E-2</v>
      </c>
      <c r="BB147" s="22">
        <v>137</v>
      </c>
      <c r="BC147" s="22">
        <v>0.58929399999999998</v>
      </c>
      <c r="BD147">
        <f t="shared" si="34"/>
        <v>18.8202</v>
      </c>
      <c r="BE147">
        <f t="shared" si="35"/>
        <v>11.102130081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0.80505400000000005</v>
      </c>
      <c r="H148" s="22">
        <v>50.488900000000001</v>
      </c>
      <c r="I148" s="22">
        <v>-1.86249E-2</v>
      </c>
      <c r="J148" s="22">
        <v>138</v>
      </c>
      <c r="K148" s="22">
        <v>0.80413800000000002</v>
      </c>
      <c r="L148">
        <f t="shared" si="24"/>
        <v>18.6249</v>
      </c>
      <c r="M148">
        <f t="shared" si="25"/>
        <v>14.9940502446</v>
      </c>
      <c r="N148" s="9"/>
      <c r="O148" s="22">
        <v>0.59494000000000002</v>
      </c>
      <c r="P148" s="22">
        <v>99.315299999999993</v>
      </c>
      <c r="Q148" s="22">
        <v>-1.88446E-2</v>
      </c>
      <c r="R148" s="22">
        <v>138</v>
      </c>
      <c r="S148" s="22">
        <v>0.59396400000000005</v>
      </c>
      <c r="T148">
        <f t="shared" si="26"/>
        <v>18.8446</v>
      </c>
      <c r="U148">
        <f t="shared" si="27"/>
        <v>11.211406324</v>
      </c>
      <c r="X148" s="9"/>
      <c r="Y148" s="22">
        <v>0.80505400000000005</v>
      </c>
      <c r="Z148" s="22">
        <v>148.25899999999999</v>
      </c>
      <c r="AA148" s="22">
        <v>-1.8618800000000001E-2</v>
      </c>
      <c r="AB148" s="22">
        <v>138</v>
      </c>
      <c r="AC148" s="22">
        <v>0.80383300000000002</v>
      </c>
      <c r="AD148">
        <f t="shared" si="28"/>
        <v>18.6188</v>
      </c>
      <c r="AE148">
        <f t="shared" si="29"/>
        <v>14.9891394152</v>
      </c>
      <c r="AF148" s="9"/>
      <c r="AG148" s="22">
        <v>0.59494000000000002</v>
      </c>
      <c r="AH148" s="22">
        <v>197.05699999999999</v>
      </c>
      <c r="AI148" s="22">
        <v>-1.8832399999999999E-2</v>
      </c>
      <c r="AJ148" s="22">
        <v>138</v>
      </c>
      <c r="AK148" s="22">
        <v>0.59433000000000002</v>
      </c>
      <c r="AL148">
        <f t="shared" si="30"/>
        <v>18.8324</v>
      </c>
      <c r="AM148">
        <f t="shared" si="31"/>
        <v>11.204148056000001</v>
      </c>
      <c r="AP148" s="9"/>
      <c r="AQ148" s="22">
        <v>0.80505400000000005</v>
      </c>
      <c r="AR148" s="22">
        <v>245.827</v>
      </c>
      <c r="AS148" s="22">
        <v>-1.8600499999999999E-2</v>
      </c>
      <c r="AT148" s="22">
        <v>138</v>
      </c>
      <c r="AU148" s="22">
        <v>0.80474900000000005</v>
      </c>
      <c r="AV148">
        <f t="shared" si="32"/>
        <v>18.6005</v>
      </c>
      <c r="AW148">
        <f t="shared" si="33"/>
        <v>14.974406927</v>
      </c>
      <c r="AX148" s="9"/>
      <c r="AY148" s="22">
        <v>0.59494000000000002</v>
      </c>
      <c r="AZ148" s="22">
        <v>294.72800000000001</v>
      </c>
      <c r="BA148" s="22">
        <v>-1.88141E-2</v>
      </c>
      <c r="BB148" s="22">
        <v>138</v>
      </c>
      <c r="BC148" s="22">
        <v>0.59396400000000005</v>
      </c>
      <c r="BD148">
        <f t="shared" si="34"/>
        <v>18.8141</v>
      </c>
      <c r="BE148">
        <f t="shared" si="35"/>
        <v>11.193260653999999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0.80001800000000001</v>
      </c>
      <c r="H149" s="22">
        <v>50.499000000000002</v>
      </c>
      <c r="I149" s="22">
        <v>-1.8631000000000002E-2</v>
      </c>
      <c r="J149" s="22">
        <v>139</v>
      </c>
      <c r="K149" s="22">
        <v>0.79925500000000005</v>
      </c>
      <c r="L149">
        <f t="shared" si="24"/>
        <v>18.631</v>
      </c>
      <c r="M149">
        <f t="shared" si="25"/>
        <v>14.905135358000001</v>
      </c>
      <c r="N149" s="9"/>
      <c r="O149" s="22">
        <v>0.59997599999999995</v>
      </c>
      <c r="P149" s="22">
        <v>99.325400000000002</v>
      </c>
      <c r="Q149" s="22">
        <v>-1.8838500000000001E-2</v>
      </c>
      <c r="R149" s="22">
        <v>139</v>
      </c>
      <c r="S149" s="22">
        <v>0.59927399999999997</v>
      </c>
      <c r="T149">
        <f t="shared" si="26"/>
        <v>18.8385</v>
      </c>
      <c r="U149">
        <f t="shared" si="27"/>
        <v>11.302647875999998</v>
      </c>
      <c r="X149" s="9"/>
      <c r="Y149" s="22">
        <v>0.80001800000000001</v>
      </c>
      <c r="Z149" s="22">
        <v>148.26900000000001</v>
      </c>
      <c r="AA149" s="22">
        <v>-1.8627899999999999E-2</v>
      </c>
      <c r="AB149" s="22">
        <v>139</v>
      </c>
      <c r="AC149" s="22">
        <v>0.79864500000000005</v>
      </c>
      <c r="AD149">
        <f t="shared" si="28"/>
        <v>18.6279</v>
      </c>
      <c r="AE149">
        <f t="shared" si="29"/>
        <v>14.902655302200001</v>
      </c>
      <c r="AF149" s="9"/>
      <c r="AG149" s="22">
        <v>0.59997599999999995</v>
      </c>
      <c r="AH149" s="22">
        <v>197.06700000000001</v>
      </c>
      <c r="AI149" s="22">
        <v>-1.8826300000000001E-2</v>
      </c>
      <c r="AJ149" s="22">
        <v>139</v>
      </c>
      <c r="AK149" s="22">
        <v>0.59924299999999997</v>
      </c>
      <c r="AL149">
        <f t="shared" si="30"/>
        <v>18.8263</v>
      </c>
      <c r="AM149">
        <f t="shared" si="31"/>
        <v>11.295328168799999</v>
      </c>
      <c r="AP149" s="9"/>
      <c r="AQ149" s="22">
        <v>0.80001800000000001</v>
      </c>
      <c r="AR149" s="22">
        <v>245.83699999999999</v>
      </c>
      <c r="AS149" s="22">
        <v>-1.8606600000000001E-2</v>
      </c>
      <c r="AT149" s="22">
        <v>139</v>
      </c>
      <c r="AU149" s="22">
        <v>0.79864500000000005</v>
      </c>
      <c r="AV149">
        <f t="shared" si="32"/>
        <v>18.6066</v>
      </c>
      <c r="AW149">
        <f t="shared" si="33"/>
        <v>14.8856149188</v>
      </c>
      <c r="AX149" s="9"/>
      <c r="AY149" s="22">
        <v>0.59997599999999995</v>
      </c>
      <c r="AZ149" s="22">
        <v>294.738</v>
      </c>
      <c r="BA149" s="22">
        <v>-1.8811000000000001E-2</v>
      </c>
      <c r="BB149" s="22">
        <v>139</v>
      </c>
      <c r="BC149" s="22">
        <v>0.59967000000000004</v>
      </c>
      <c r="BD149">
        <f t="shared" si="34"/>
        <v>18.811</v>
      </c>
      <c r="BE149">
        <f t="shared" si="35"/>
        <v>11.286148535999999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0.794983</v>
      </c>
      <c r="H150" s="22">
        <v>50.509099999999997</v>
      </c>
      <c r="I150" s="22">
        <v>-1.8634000000000001E-2</v>
      </c>
      <c r="J150" s="22">
        <v>140</v>
      </c>
      <c r="K150" s="22">
        <v>0.794373</v>
      </c>
      <c r="L150">
        <f t="shared" si="24"/>
        <v>18.634</v>
      </c>
      <c r="M150">
        <f t="shared" si="25"/>
        <v>14.813713222000001</v>
      </c>
      <c r="N150" s="9"/>
      <c r="O150" s="22">
        <v>0.60501099999999997</v>
      </c>
      <c r="P150" s="22">
        <v>99.335499999999996</v>
      </c>
      <c r="Q150" s="22">
        <v>-1.8832399999999999E-2</v>
      </c>
      <c r="R150" s="22">
        <v>140</v>
      </c>
      <c r="S150" s="22">
        <v>0.60412600000000005</v>
      </c>
      <c r="T150">
        <f t="shared" si="26"/>
        <v>18.8324</v>
      </c>
      <c r="U150">
        <f t="shared" si="27"/>
        <v>11.3938091564</v>
      </c>
      <c r="X150" s="9"/>
      <c r="Y150" s="22">
        <v>0.794983</v>
      </c>
      <c r="Z150" s="22">
        <v>148.279</v>
      </c>
      <c r="AA150" s="22">
        <v>-1.8631000000000002E-2</v>
      </c>
      <c r="AB150" s="22">
        <v>140</v>
      </c>
      <c r="AC150" s="22">
        <v>0.794373</v>
      </c>
      <c r="AD150">
        <f t="shared" si="28"/>
        <v>18.631</v>
      </c>
      <c r="AE150">
        <f t="shared" si="29"/>
        <v>14.811328273000001</v>
      </c>
      <c r="AF150" s="9"/>
      <c r="AG150" s="22">
        <v>0.60501099999999997</v>
      </c>
      <c r="AH150" s="22">
        <v>197.077</v>
      </c>
      <c r="AI150" s="22">
        <v>-1.8820199999999999E-2</v>
      </c>
      <c r="AJ150" s="22">
        <v>140</v>
      </c>
      <c r="AK150" s="22">
        <v>0.60470599999999997</v>
      </c>
      <c r="AL150">
        <f t="shared" si="30"/>
        <v>18.8202</v>
      </c>
      <c r="AM150">
        <f t="shared" si="31"/>
        <v>11.386428022199999</v>
      </c>
      <c r="AP150" s="9"/>
      <c r="AQ150" s="22">
        <v>0.794983</v>
      </c>
      <c r="AR150" s="22">
        <v>245.84700000000001</v>
      </c>
      <c r="AS150" s="22">
        <v>-1.8612699999999999E-2</v>
      </c>
      <c r="AT150" s="22">
        <v>140</v>
      </c>
      <c r="AU150" s="22">
        <v>0.79406699999999997</v>
      </c>
      <c r="AV150">
        <f t="shared" si="32"/>
        <v>18.6127</v>
      </c>
      <c r="AW150">
        <f t="shared" si="33"/>
        <v>14.7967800841</v>
      </c>
      <c r="AX150" s="9"/>
      <c r="AY150" s="22">
        <v>0.60501099999999997</v>
      </c>
      <c r="AZ150" s="22">
        <v>294.74799999999999</v>
      </c>
      <c r="BA150" s="22">
        <v>-1.8804899999999999E-2</v>
      </c>
      <c r="BB150" s="22">
        <v>140</v>
      </c>
      <c r="BC150" s="22">
        <v>0.60452300000000003</v>
      </c>
      <c r="BD150">
        <f t="shared" si="34"/>
        <v>18.8049</v>
      </c>
      <c r="BE150">
        <f t="shared" si="35"/>
        <v>11.3771713539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0.78994799999999998</v>
      </c>
      <c r="H151" s="22">
        <v>50.519100000000002</v>
      </c>
      <c r="I151" s="22">
        <v>-1.86401E-2</v>
      </c>
      <c r="J151" s="22">
        <v>141</v>
      </c>
      <c r="K151" s="22">
        <v>0.787964</v>
      </c>
      <c r="L151">
        <f t="shared" si="24"/>
        <v>18.6401</v>
      </c>
      <c r="M151">
        <f t="shared" si="25"/>
        <v>14.724709714799999</v>
      </c>
      <c r="N151" s="9"/>
      <c r="O151" s="22">
        <v>0.61004599999999998</v>
      </c>
      <c r="P151" s="22">
        <v>99.345600000000005</v>
      </c>
      <c r="Q151" s="22">
        <v>-1.8826300000000001E-2</v>
      </c>
      <c r="R151" s="22">
        <v>141</v>
      </c>
      <c r="S151" s="22">
        <v>0.609344</v>
      </c>
      <c r="T151">
        <f t="shared" si="26"/>
        <v>18.8263</v>
      </c>
      <c r="U151">
        <f t="shared" si="27"/>
        <v>11.484909009799999</v>
      </c>
      <c r="X151" s="9"/>
      <c r="Y151" s="22">
        <v>0.78994799999999998</v>
      </c>
      <c r="Z151" s="22">
        <v>148.28899999999999</v>
      </c>
      <c r="AA151" s="22">
        <v>-1.86371E-2</v>
      </c>
      <c r="AB151" s="22">
        <v>141</v>
      </c>
      <c r="AC151" s="22">
        <v>0.78918500000000003</v>
      </c>
      <c r="AD151">
        <f t="shared" si="28"/>
        <v>18.6371</v>
      </c>
      <c r="AE151">
        <f t="shared" si="29"/>
        <v>14.722339870799999</v>
      </c>
      <c r="AF151" s="9"/>
      <c r="AG151" s="22">
        <v>0.61004599999999998</v>
      </c>
      <c r="AH151" s="22">
        <v>197.08699999999999</v>
      </c>
      <c r="AI151" s="22">
        <v>-1.88141E-2</v>
      </c>
      <c r="AJ151" s="22">
        <v>141</v>
      </c>
      <c r="AK151" s="22">
        <v>0.60931400000000002</v>
      </c>
      <c r="AL151">
        <f t="shared" si="30"/>
        <v>18.8141</v>
      </c>
      <c r="AM151">
        <f t="shared" si="31"/>
        <v>11.4774664486</v>
      </c>
      <c r="AP151" s="9"/>
      <c r="AQ151" s="22">
        <v>0.78994799999999998</v>
      </c>
      <c r="AR151" s="22">
        <v>245.857</v>
      </c>
      <c r="AS151" s="22">
        <v>-1.8618800000000001E-2</v>
      </c>
      <c r="AT151" s="22">
        <v>141</v>
      </c>
      <c r="AU151" s="22">
        <v>0.788879</v>
      </c>
      <c r="AV151">
        <f t="shared" si="32"/>
        <v>18.6188</v>
      </c>
      <c r="AW151">
        <f t="shared" si="33"/>
        <v>14.707883822399999</v>
      </c>
      <c r="AX151" s="9"/>
      <c r="AY151" s="22">
        <v>0.61004599999999998</v>
      </c>
      <c r="AZ151" s="22">
        <v>294.75799999999998</v>
      </c>
      <c r="BA151" s="22">
        <v>-1.8798800000000001E-2</v>
      </c>
      <c r="BB151" s="22">
        <v>141</v>
      </c>
      <c r="BC151" s="22">
        <v>0.60922200000000004</v>
      </c>
      <c r="BD151">
        <f t="shared" si="34"/>
        <v>18.7988</v>
      </c>
      <c r="BE151">
        <f t="shared" si="35"/>
        <v>11.4681327448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0.78491200000000005</v>
      </c>
      <c r="H152" s="22">
        <v>50.529200000000003</v>
      </c>
      <c r="I152" s="22">
        <v>-1.8649300000000001E-2</v>
      </c>
      <c r="J152" s="22">
        <v>142</v>
      </c>
      <c r="K152" s="22">
        <v>0.78460700000000005</v>
      </c>
      <c r="L152">
        <f t="shared" si="24"/>
        <v>18.6493</v>
      </c>
      <c r="M152">
        <f t="shared" si="25"/>
        <v>14.638059361600002</v>
      </c>
      <c r="N152" s="9"/>
      <c r="O152" s="22">
        <v>0.61508200000000002</v>
      </c>
      <c r="P152" s="22">
        <v>99.355599999999995</v>
      </c>
      <c r="Q152" s="22">
        <v>-1.8826300000000001E-2</v>
      </c>
      <c r="R152" s="22">
        <v>142</v>
      </c>
      <c r="S152" s="22">
        <v>0.61410500000000001</v>
      </c>
      <c r="T152">
        <f t="shared" si="26"/>
        <v>18.8263</v>
      </c>
      <c r="U152">
        <f t="shared" si="27"/>
        <v>11.5797182566</v>
      </c>
      <c r="X152" s="9"/>
      <c r="Y152" s="22">
        <v>0.78491200000000005</v>
      </c>
      <c r="Z152" s="22">
        <v>148.29900000000001</v>
      </c>
      <c r="AA152" s="22">
        <v>-1.8646200000000002E-2</v>
      </c>
      <c r="AB152" s="22">
        <v>142</v>
      </c>
      <c r="AC152" s="22">
        <v>0.78338600000000003</v>
      </c>
      <c r="AD152">
        <f t="shared" si="28"/>
        <v>18.6462</v>
      </c>
      <c r="AE152">
        <f t="shared" si="29"/>
        <v>14.635626134400001</v>
      </c>
      <c r="AF152" s="9"/>
      <c r="AG152" s="22">
        <v>0.61508200000000002</v>
      </c>
      <c r="AH152" s="22">
        <v>197.09700000000001</v>
      </c>
      <c r="AI152" s="22">
        <v>-1.8811000000000001E-2</v>
      </c>
      <c r="AJ152" s="22">
        <v>142</v>
      </c>
      <c r="AK152" s="22">
        <v>0.61459399999999997</v>
      </c>
      <c r="AL152">
        <f t="shared" si="30"/>
        <v>18.811</v>
      </c>
      <c r="AM152">
        <f t="shared" si="31"/>
        <v>11.570307502</v>
      </c>
      <c r="AP152" s="9"/>
      <c r="AQ152" s="22">
        <v>0.78491200000000005</v>
      </c>
      <c r="AR152" s="22">
        <v>245.86699999999999</v>
      </c>
      <c r="AS152" s="22">
        <v>-1.86249E-2</v>
      </c>
      <c r="AT152" s="22">
        <v>142</v>
      </c>
      <c r="AU152" s="22">
        <v>0.78430200000000005</v>
      </c>
      <c r="AV152">
        <f t="shared" si="32"/>
        <v>18.6249</v>
      </c>
      <c r="AW152">
        <f t="shared" si="33"/>
        <v>14.618907508800001</v>
      </c>
      <c r="AX152" s="9"/>
      <c r="AY152" s="22">
        <v>0.61508200000000002</v>
      </c>
      <c r="AZ152" s="22">
        <v>294.76799999999997</v>
      </c>
      <c r="BA152" s="22">
        <v>-1.8795800000000001E-2</v>
      </c>
      <c r="BB152" s="22">
        <v>142</v>
      </c>
      <c r="BC152" s="22">
        <v>0.61434900000000003</v>
      </c>
      <c r="BD152">
        <f t="shared" si="34"/>
        <v>18.7958</v>
      </c>
      <c r="BE152">
        <f t="shared" si="35"/>
        <v>11.560958255600001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0.77987700000000004</v>
      </c>
      <c r="H153" s="22">
        <v>50.539299999999997</v>
      </c>
      <c r="I153" s="22">
        <v>-1.8661500000000001E-2</v>
      </c>
      <c r="J153" s="22">
        <v>143</v>
      </c>
      <c r="K153" s="22">
        <v>0.77850299999999995</v>
      </c>
      <c r="L153">
        <f t="shared" si="24"/>
        <v>18.6615</v>
      </c>
      <c r="M153">
        <f t="shared" si="25"/>
        <v>14.5536746355</v>
      </c>
      <c r="N153" s="9"/>
      <c r="O153" s="22">
        <v>0.62011700000000003</v>
      </c>
      <c r="P153" s="22">
        <v>99.365700000000004</v>
      </c>
      <c r="Q153" s="22">
        <v>-1.8820199999999999E-2</v>
      </c>
      <c r="R153" s="22">
        <v>143</v>
      </c>
      <c r="S153" s="22">
        <v>0.61929299999999998</v>
      </c>
      <c r="T153">
        <f t="shared" si="26"/>
        <v>18.8202</v>
      </c>
      <c r="U153">
        <f t="shared" si="27"/>
        <v>11.670725963400001</v>
      </c>
      <c r="X153" s="9"/>
      <c r="Y153" s="22">
        <v>0.77987700000000004</v>
      </c>
      <c r="Z153" s="22">
        <v>148.309</v>
      </c>
      <c r="AA153" s="22">
        <v>-1.86523E-2</v>
      </c>
      <c r="AB153" s="22">
        <v>143</v>
      </c>
      <c r="AC153" s="22">
        <v>0.77850299999999995</v>
      </c>
      <c r="AD153">
        <f t="shared" si="28"/>
        <v>18.6523</v>
      </c>
      <c r="AE153">
        <f t="shared" si="29"/>
        <v>14.5464997671</v>
      </c>
      <c r="AF153" s="9"/>
      <c r="AG153" s="22">
        <v>0.62011700000000003</v>
      </c>
      <c r="AH153" s="22">
        <v>197.108</v>
      </c>
      <c r="AI153" s="22">
        <v>-1.88019E-2</v>
      </c>
      <c r="AJ153" s="22">
        <v>143</v>
      </c>
      <c r="AK153" s="22">
        <v>0.61935399999999996</v>
      </c>
      <c r="AL153">
        <f t="shared" si="30"/>
        <v>18.8019</v>
      </c>
      <c r="AM153">
        <f t="shared" si="31"/>
        <v>11.6593778223</v>
      </c>
      <c r="AP153" s="9"/>
      <c r="AQ153" s="22">
        <v>0.77987700000000004</v>
      </c>
      <c r="AR153" s="22">
        <v>245.87700000000001</v>
      </c>
      <c r="AS153" s="22">
        <v>-1.8634000000000001E-2</v>
      </c>
      <c r="AT153" s="22">
        <v>143</v>
      </c>
      <c r="AU153" s="22">
        <v>0.77850299999999995</v>
      </c>
      <c r="AV153">
        <f t="shared" si="32"/>
        <v>18.634</v>
      </c>
      <c r="AW153">
        <f t="shared" si="33"/>
        <v>14.532228018000001</v>
      </c>
      <c r="AX153" s="9"/>
      <c r="AY153" s="22">
        <v>0.62011700000000003</v>
      </c>
      <c r="AZ153" s="22">
        <v>294.77800000000002</v>
      </c>
      <c r="BA153" s="22">
        <v>-1.8792699999999999E-2</v>
      </c>
      <c r="BB153" s="22">
        <v>143</v>
      </c>
      <c r="BC153" s="22">
        <v>0.61941500000000005</v>
      </c>
      <c r="BD153">
        <f t="shared" si="34"/>
        <v>18.7927</v>
      </c>
      <c r="BE153">
        <f t="shared" si="35"/>
        <v>11.6536727459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0.774841</v>
      </c>
      <c r="H154" s="22">
        <v>50.549399999999999</v>
      </c>
      <c r="I154" s="22">
        <v>-1.8661500000000001E-2</v>
      </c>
      <c r="J154" s="22">
        <v>144</v>
      </c>
      <c r="K154" s="22">
        <v>0.773926</v>
      </c>
      <c r="L154">
        <f t="shared" si="24"/>
        <v>18.6615</v>
      </c>
      <c r="M154">
        <f t="shared" si="25"/>
        <v>14.4596953215</v>
      </c>
      <c r="N154" s="9"/>
      <c r="O154" s="22">
        <v>0.62515299999999996</v>
      </c>
      <c r="P154" s="22">
        <v>99.375799999999998</v>
      </c>
      <c r="Q154" s="22">
        <v>-1.88141E-2</v>
      </c>
      <c r="R154" s="22">
        <v>144</v>
      </c>
      <c r="S154" s="22">
        <v>0.62441999999999998</v>
      </c>
      <c r="T154">
        <f t="shared" si="26"/>
        <v>18.8141</v>
      </c>
      <c r="U154">
        <f t="shared" si="27"/>
        <v>11.761691057299998</v>
      </c>
      <c r="X154" s="9"/>
      <c r="Y154" s="22">
        <v>0.774841</v>
      </c>
      <c r="Z154" s="22">
        <v>148.31899999999999</v>
      </c>
      <c r="AA154" s="22">
        <v>-1.8655399999999999E-2</v>
      </c>
      <c r="AB154" s="22">
        <v>144</v>
      </c>
      <c r="AC154" s="22">
        <v>0.77331499999999997</v>
      </c>
      <c r="AD154">
        <f t="shared" si="28"/>
        <v>18.6554</v>
      </c>
      <c r="AE154">
        <f t="shared" si="29"/>
        <v>14.454968791400001</v>
      </c>
      <c r="AF154" s="9"/>
      <c r="AG154" s="22">
        <v>0.62515299999999996</v>
      </c>
      <c r="AH154" s="22">
        <v>197.11799999999999</v>
      </c>
      <c r="AI154" s="22">
        <v>-1.8798800000000001E-2</v>
      </c>
      <c r="AJ154" s="22">
        <v>144</v>
      </c>
      <c r="AK154" s="22">
        <v>0.62432900000000002</v>
      </c>
      <c r="AL154">
        <f t="shared" si="30"/>
        <v>18.7988</v>
      </c>
      <c r="AM154">
        <f t="shared" si="31"/>
        <v>11.752126216399999</v>
      </c>
      <c r="AP154" s="9"/>
      <c r="AQ154" s="22">
        <v>0.774841</v>
      </c>
      <c r="AR154" s="22">
        <v>245.887</v>
      </c>
      <c r="AS154" s="22">
        <v>-1.86401E-2</v>
      </c>
      <c r="AT154" s="22">
        <v>144</v>
      </c>
      <c r="AU154" s="22">
        <v>0.773621</v>
      </c>
      <c r="AV154">
        <f t="shared" si="32"/>
        <v>18.6401</v>
      </c>
      <c r="AW154">
        <f t="shared" si="33"/>
        <v>14.4431137241</v>
      </c>
      <c r="AX154" s="9"/>
      <c r="AY154" s="22">
        <v>0.62515299999999996</v>
      </c>
      <c r="AZ154" s="22">
        <v>294.78800000000001</v>
      </c>
      <c r="BA154" s="22">
        <v>-1.8789699999999999E-2</v>
      </c>
      <c r="BB154" s="22">
        <v>144</v>
      </c>
      <c r="BC154" s="22">
        <v>0.62432900000000002</v>
      </c>
      <c r="BD154">
        <f t="shared" si="34"/>
        <v>18.7897</v>
      </c>
      <c r="BE154">
        <f t="shared" si="35"/>
        <v>11.746437324099999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0.76980599999999999</v>
      </c>
      <c r="H155" s="22">
        <v>50.559399999999997</v>
      </c>
      <c r="I155" s="22">
        <v>-1.8667599999999999E-2</v>
      </c>
      <c r="J155" s="22">
        <v>145</v>
      </c>
      <c r="K155" s="22">
        <v>0.76873800000000003</v>
      </c>
      <c r="L155">
        <f t="shared" si="24"/>
        <v>18.6676</v>
      </c>
      <c r="M155">
        <f t="shared" si="25"/>
        <v>14.3704304856</v>
      </c>
      <c r="N155" s="9"/>
      <c r="O155" s="22">
        <v>0.63018799999999997</v>
      </c>
      <c r="P155" s="22">
        <v>99.385800000000003</v>
      </c>
      <c r="Q155" s="22">
        <v>-1.8807999999999998E-2</v>
      </c>
      <c r="R155" s="22">
        <v>145</v>
      </c>
      <c r="S155" s="22">
        <v>0.62960799999999995</v>
      </c>
      <c r="T155">
        <f t="shared" si="26"/>
        <v>18.808</v>
      </c>
      <c r="U155">
        <f t="shared" si="27"/>
        <v>11.852575904</v>
      </c>
      <c r="X155" s="9"/>
      <c r="Y155" s="22">
        <v>0.76980599999999999</v>
      </c>
      <c r="Z155" s="22">
        <v>148.32900000000001</v>
      </c>
      <c r="AA155" s="22">
        <v>-1.8658399999999999E-2</v>
      </c>
      <c r="AB155" s="22">
        <v>145</v>
      </c>
      <c r="AC155" s="22">
        <v>0.76873800000000003</v>
      </c>
      <c r="AD155">
        <f t="shared" si="28"/>
        <v>18.6584</v>
      </c>
      <c r="AE155">
        <f t="shared" si="29"/>
        <v>14.3633482704</v>
      </c>
      <c r="AF155" s="9"/>
      <c r="AG155" s="22">
        <v>0.63018799999999997</v>
      </c>
      <c r="AH155" s="22">
        <v>197.12799999999999</v>
      </c>
      <c r="AI155" s="22">
        <v>-1.8795800000000001E-2</v>
      </c>
      <c r="AJ155" s="22">
        <v>145</v>
      </c>
      <c r="AK155" s="22">
        <v>0.62954699999999997</v>
      </c>
      <c r="AL155">
        <f t="shared" si="30"/>
        <v>18.7958</v>
      </c>
      <c r="AM155">
        <f t="shared" si="31"/>
        <v>11.844887610399999</v>
      </c>
      <c r="AP155" s="9"/>
      <c r="AQ155" s="22">
        <v>0.76980599999999999</v>
      </c>
      <c r="AR155" s="22">
        <v>245.89699999999999</v>
      </c>
      <c r="AS155" s="22">
        <v>-1.8649300000000001E-2</v>
      </c>
      <c r="AT155" s="22">
        <v>145</v>
      </c>
      <c r="AU155" s="22">
        <v>0.76904300000000003</v>
      </c>
      <c r="AV155">
        <f t="shared" si="32"/>
        <v>18.6493</v>
      </c>
      <c r="AW155">
        <f t="shared" si="33"/>
        <v>14.3563430358</v>
      </c>
      <c r="AX155" s="9"/>
      <c r="AY155" s="22">
        <v>0.63018799999999997</v>
      </c>
      <c r="AZ155" s="22">
        <v>294.79899999999998</v>
      </c>
      <c r="BA155" s="22">
        <v>-1.8786600000000001E-2</v>
      </c>
      <c r="BB155" s="22">
        <v>145</v>
      </c>
      <c r="BC155" s="22">
        <v>0.62957799999999997</v>
      </c>
      <c r="BD155">
        <f t="shared" si="34"/>
        <v>18.7866</v>
      </c>
      <c r="BE155">
        <f t="shared" si="35"/>
        <v>11.8390898808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0.76477099999999998</v>
      </c>
      <c r="H156" s="22">
        <v>50.569499999999998</v>
      </c>
      <c r="I156" s="22">
        <v>-1.8673700000000001E-2</v>
      </c>
      <c r="J156" s="22">
        <v>146</v>
      </c>
      <c r="K156" s="22">
        <v>0.76385499999999995</v>
      </c>
      <c r="L156">
        <f t="shared" si="24"/>
        <v>18.6737</v>
      </c>
      <c r="M156">
        <f t="shared" si="25"/>
        <v>14.2811042227</v>
      </c>
      <c r="N156" s="9"/>
      <c r="O156" s="22">
        <v>0.63522299999999998</v>
      </c>
      <c r="P156" s="22">
        <v>99.395899999999997</v>
      </c>
      <c r="Q156" s="22">
        <v>-1.8798800000000001E-2</v>
      </c>
      <c r="R156" s="22">
        <v>146</v>
      </c>
      <c r="S156" s="22">
        <v>0.63479600000000003</v>
      </c>
      <c r="T156">
        <f t="shared" si="26"/>
        <v>18.7988</v>
      </c>
      <c r="U156">
        <f t="shared" si="27"/>
        <v>11.941430132399999</v>
      </c>
      <c r="X156" s="9"/>
      <c r="Y156" s="22">
        <v>0.76477099999999998</v>
      </c>
      <c r="Z156" s="22">
        <v>148.339</v>
      </c>
      <c r="AA156" s="22">
        <v>-1.8661500000000001E-2</v>
      </c>
      <c r="AB156" s="22">
        <v>146</v>
      </c>
      <c r="AC156" s="22">
        <v>0.76385499999999995</v>
      </c>
      <c r="AD156">
        <f t="shared" si="28"/>
        <v>18.6615</v>
      </c>
      <c r="AE156">
        <f t="shared" si="29"/>
        <v>14.2717740165</v>
      </c>
      <c r="AF156" s="9"/>
      <c r="AG156" s="22">
        <v>0.63522299999999998</v>
      </c>
      <c r="AH156" s="22">
        <v>197.13800000000001</v>
      </c>
      <c r="AI156" s="22">
        <v>-1.8792699999999999E-2</v>
      </c>
      <c r="AJ156" s="22">
        <v>146</v>
      </c>
      <c r="AK156" s="22">
        <v>0.63439900000000005</v>
      </c>
      <c r="AL156">
        <f t="shared" si="30"/>
        <v>18.7927</v>
      </c>
      <c r="AM156">
        <f t="shared" si="31"/>
        <v>11.937555272099999</v>
      </c>
      <c r="AP156" s="9"/>
      <c r="AQ156" s="22">
        <v>0.76477099999999998</v>
      </c>
      <c r="AR156" s="22">
        <v>245.90700000000001</v>
      </c>
      <c r="AS156" s="22">
        <v>-1.8655399999999999E-2</v>
      </c>
      <c r="AT156" s="22">
        <v>146</v>
      </c>
      <c r="AU156" s="22">
        <v>0.76385499999999995</v>
      </c>
      <c r="AV156">
        <f t="shared" si="32"/>
        <v>18.6554</v>
      </c>
      <c r="AW156">
        <f t="shared" si="33"/>
        <v>14.2671089134</v>
      </c>
      <c r="AX156" s="9"/>
      <c r="AY156" s="22">
        <v>0.63522299999999998</v>
      </c>
      <c r="AZ156" s="22">
        <v>294.80900000000003</v>
      </c>
      <c r="BA156" s="22">
        <v>-1.8780499999999999E-2</v>
      </c>
      <c r="BB156" s="22">
        <v>146</v>
      </c>
      <c r="BC156" s="22">
        <v>0.634521</v>
      </c>
      <c r="BD156">
        <f t="shared" si="34"/>
        <v>18.7805</v>
      </c>
      <c r="BE156">
        <f t="shared" si="35"/>
        <v>11.929805551499999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0.75973500000000005</v>
      </c>
      <c r="H157" s="22">
        <v>50.579599999999999</v>
      </c>
      <c r="I157" s="22">
        <v>-1.86798E-2</v>
      </c>
      <c r="J157" s="22">
        <v>147</v>
      </c>
      <c r="K157" s="22">
        <v>0.75836199999999998</v>
      </c>
      <c r="L157">
        <f t="shared" si="24"/>
        <v>18.6798</v>
      </c>
      <c r="M157">
        <f t="shared" si="25"/>
        <v>14.191697853000001</v>
      </c>
      <c r="N157" s="9"/>
      <c r="O157" s="22">
        <v>0.64025900000000002</v>
      </c>
      <c r="P157" s="22">
        <v>99.406000000000006</v>
      </c>
      <c r="Q157" s="22">
        <v>-1.8795800000000001E-2</v>
      </c>
      <c r="R157" s="22">
        <v>147</v>
      </c>
      <c r="S157" s="22">
        <v>0.63958700000000002</v>
      </c>
      <c r="T157">
        <f t="shared" si="26"/>
        <v>18.7958</v>
      </c>
      <c r="U157">
        <f t="shared" si="27"/>
        <v>12.0341801122</v>
      </c>
      <c r="X157" s="9"/>
      <c r="Y157" s="22">
        <v>0.75973500000000005</v>
      </c>
      <c r="Z157" s="22">
        <v>148.34899999999999</v>
      </c>
      <c r="AA157" s="22">
        <v>-1.86646E-2</v>
      </c>
      <c r="AB157" s="22">
        <v>147</v>
      </c>
      <c r="AC157" s="22">
        <v>0.75927699999999998</v>
      </c>
      <c r="AD157">
        <f t="shared" si="28"/>
        <v>18.6646</v>
      </c>
      <c r="AE157">
        <f t="shared" si="29"/>
        <v>14.180149881</v>
      </c>
      <c r="AF157" s="9"/>
      <c r="AG157" s="22">
        <v>0.64025900000000002</v>
      </c>
      <c r="AH157" s="22">
        <v>197.148</v>
      </c>
      <c r="AI157" s="22">
        <v>-1.8789699999999999E-2</v>
      </c>
      <c r="AJ157" s="22">
        <v>147</v>
      </c>
      <c r="AK157" s="22">
        <v>0.63943499999999998</v>
      </c>
      <c r="AL157">
        <f t="shared" si="30"/>
        <v>18.7897</v>
      </c>
      <c r="AM157">
        <f t="shared" si="31"/>
        <v>12.0302745323</v>
      </c>
      <c r="AP157" s="9"/>
      <c r="AQ157" s="22">
        <v>0.75973500000000005</v>
      </c>
      <c r="AR157" s="22">
        <v>245.917</v>
      </c>
      <c r="AS157" s="22">
        <v>-1.86646E-2</v>
      </c>
      <c r="AT157" s="22">
        <v>147</v>
      </c>
      <c r="AU157" s="22">
        <v>0.75897199999999998</v>
      </c>
      <c r="AV157">
        <f t="shared" si="32"/>
        <v>18.6646</v>
      </c>
      <c r="AW157">
        <f t="shared" si="33"/>
        <v>14.180149881</v>
      </c>
      <c r="AX157" s="9"/>
      <c r="AY157" s="22">
        <v>0.64025900000000002</v>
      </c>
      <c r="AZ157" s="22">
        <v>294.81900000000002</v>
      </c>
      <c r="BA157" s="22">
        <v>-1.87744E-2</v>
      </c>
      <c r="BB157" s="22">
        <v>147</v>
      </c>
      <c r="BC157" s="22">
        <v>0.63970899999999997</v>
      </c>
      <c r="BD157">
        <f t="shared" si="34"/>
        <v>18.7744</v>
      </c>
      <c r="BE157">
        <f t="shared" si="35"/>
        <v>12.0204785696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0.75470000000000004</v>
      </c>
      <c r="H158" s="22">
        <v>50.589599999999997</v>
      </c>
      <c r="I158" s="22">
        <v>-1.8682899999999999E-2</v>
      </c>
      <c r="J158" s="22">
        <v>148</v>
      </c>
      <c r="K158" s="22">
        <v>0.75347900000000001</v>
      </c>
      <c r="L158">
        <f t="shared" si="24"/>
        <v>18.6829</v>
      </c>
      <c r="M158">
        <f t="shared" si="25"/>
        <v>14.099984630000002</v>
      </c>
      <c r="N158" s="9"/>
      <c r="O158" s="22">
        <v>0.64529400000000003</v>
      </c>
      <c r="P158" s="22">
        <v>99.4161</v>
      </c>
      <c r="Q158" s="22">
        <v>-1.8792699999999999E-2</v>
      </c>
      <c r="R158" s="22">
        <v>148</v>
      </c>
      <c r="S158" s="22">
        <v>0.64471400000000001</v>
      </c>
      <c r="T158">
        <f t="shared" si="26"/>
        <v>18.7927</v>
      </c>
      <c r="U158">
        <f t="shared" si="27"/>
        <v>12.126816553800001</v>
      </c>
      <c r="X158" s="9"/>
      <c r="Y158" s="22">
        <v>0.75470000000000004</v>
      </c>
      <c r="Z158" s="22">
        <v>148.35900000000001</v>
      </c>
      <c r="AA158" s="22">
        <v>-1.8670699999999998E-2</v>
      </c>
      <c r="AB158" s="22">
        <v>148</v>
      </c>
      <c r="AC158" s="22">
        <v>0.75408900000000001</v>
      </c>
      <c r="AD158">
        <f t="shared" si="28"/>
        <v>18.6707</v>
      </c>
      <c r="AE158">
        <f t="shared" si="29"/>
        <v>14.09077729</v>
      </c>
      <c r="AF158" s="9"/>
      <c r="AG158" s="22">
        <v>0.64529400000000003</v>
      </c>
      <c r="AH158" s="22">
        <v>197.15799999999999</v>
      </c>
      <c r="AI158" s="22">
        <v>-1.8786600000000001E-2</v>
      </c>
      <c r="AJ158" s="22">
        <v>148</v>
      </c>
      <c r="AK158" s="22">
        <v>0.64453099999999997</v>
      </c>
      <c r="AL158">
        <f t="shared" si="30"/>
        <v>18.7866</v>
      </c>
      <c r="AM158">
        <f t="shared" si="31"/>
        <v>12.122880260400001</v>
      </c>
      <c r="AP158" s="9"/>
      <c r="AQ158" s="22">
        <v>0.75470000000000004</v>
      </c>
      <c r="AR158" s="22">
        <v>245.92699999999999</v>
      </c>
      <c r="AS158" s="22">
        <v>-1.8667599999999999E-2</v>
      </c>
      <c r="AT158" s="22">
        <v>148</v>
      </c>
      <c r="AU158" s="22">
        <v>0.75408900000000001</v>
      </c>
      <c r="AV158">
        <f t="shared" si="32"/>
        <v>18.6676</v>
      </c>
      <c r="AW158">
        <f t="shared" si="33"/>
        <v>14.088437720000002</v>
      </c>
      <c r="AX158" s="9"/>
      <c r="AY158" s="22">
        <v>0.64529400000000003</v>
      </c>
      <c r="AZ158" s="22">
        <v>294.82900000000001</v>
      </c>
      <c r="BA158" s="22">
        <v>-1.8771400000000001E-2</v>
      </c>
      <c r="BB158" s="22">
        <v>148</v>
      </c>
      <c r="BC158" s="22">
        <v>0.64462299999999995</v>
      </c>
      <c r="BD158">
        <f t="shared" si="34"/>
        <v>18.7714</v>
      </c>
      <c r="BE158">
        <f t="shared" si="35"/>
        <v>12.113071791600001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0.749664</v>
      </c>
      <c r="H159" s="22">
        <v>50.599699999999999</v>
      </c>
      <c r="I159" s="22">
        <v>-1.8685899999999998E-2</v>
      </c>
      <c r="J159" s="22">
        <v>149</v>
      </c>
      <c r="K159" s="22">
        <v>0.74883999999999995</v>
      </c>
      <c r="L159">
        <f t="shared" si="24"/>
        <v>18.685899999999997</v>
      </c>
      <c r="M159">
        <f t="shared" si="25"/>
        <v>14.008146537599998</v>
      </c>
      <c r="N159" s="9"/>
      <c r="O159" s="22">
        <v>0.65032999999999996</v>
      </c>
      <c r="P159" s="22">
        <v>99.426100000000005</v>
      </c>
      <c r="Q159" s="22">
        <v>-1.8786600000000001E-2</v>
      </c>
      <c r="R159" s="22">
        <v>149</v>
      </c>
      <c r="S159" s="22">
        <v>0.64959699999999998</v>
      </c>
      <c r="T159">
        <f t="shared" si="26"/>
        <v>18.7866</v>
      </c>
      <c r="U159">
        <f t="shared" si="27"/>
        <v>12.217489577999999</v>
      </c>
      <c r="X159" s="9"/>
      <c r="Y159" s="22">
        <v>0.749664</v>
      </c>
      <c r="Z159" s="22">
        <v>148.37</v>
      </c>
      <c r="AA159" s="22">
        <v>-1.86768E-2</v>
      </c>
      <c r="AB159" s="22">
        <v>149</v>
      </c>
      <c r="AC159" s="22">
        <v>0.74908399999999997</v>
      </c>
      <c r="AD159">
        <f t="shared" si="28"/>
        <v>18.6768</v>
      </c>
      <c r="AE159">
        <f t="shared" si="29"/>
        <v>14.0013245952</v>
      </c>
      <c r="AF159" s="9"/>
      <c r="AG159" s="22">
        <v>0.65032999999999996</v>
      </c>
      <c r="AH159" s="22">
        <v>197.16800000000001</v>
      </c>
      <c r="AI159" s="22">
        <v>-1.8780499999999999E-2</v>
      </c>
      <c r="AJ159" s="22">
        <v>149</v>
      </c>
      <c r="AK159" s="22">
        <v>0.64971900000000005</v>
      </c>
      <c r="AL159">
        <f t="shared" si="30"/>
        <v>18.7805</v>
      </c>
      <c r="AM159">
        <f t="shared" si="31"/>
        <v>12.213522565</v>
      </c>
      <c r="AP159" s="9"/>
      <c r="AQ159" s="22">
        <v>0.749664</v>
      </c>
      <c r="AR159" s="22">
        <v>245.93700000000001</v>
      </c>
      <c r="AS159" s="22">
        <v>-1.8673700000000001E-2</v>
      </c>
      <c r="AT159" s="22">
        <v>149</v>
      </c>
      <c r="AU159" s="22">
        <v>0.74896200000000002</v>
      </c>
      <c r="AV159">
        <f t="shared" si="32"/>
        <v>18.6737</v>
      </c>
      <c r="AW159">
        <f t="shared" si="33"/>
        <v>13.9990006368</v>
      </c>
      <c r="AX159" s="9"/>
      <c r="AY159" s="22">
        <v>0.65032999999999996</v>
      </c>
      <c r="AZ159" s="22">
        <v>294.839</v>
      </c>
      <c r="BA159" s="22">
        <v>-1.8768300000000002E-2</v>
      </c>
      <c r="BB159" s="22">
        <v>149</v>
      </c>
      <c r="BC159" s="22">
        <v>0.649536</v>
      </c>
      <c r="BD159">
        <f t="shared" si="34"/>
        <v>18.7683</v>
      </c>
      <c r="BE159">
        <f t="shared" si="35"/>
        <v>12.205588538999999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0.74462899999999999</v>
      </c>
      <c r="H160" s="22">
        <v>50.6098</v>
      </c>
      <c r="I160" s="22">
        <v>-1.8695099999999999E-2</v>
      </c>
      <c r="J160" s="22">
        <v>150</v>
      </c>
      <c r="K160" s="22">
        <v>0.743927</v>
      </c>
      <c r="L160">
        <f t="shared" si="24"/>
        <v>18.6951</v>
      </c>
      <c r="M160">
        <f t="shared" si="25"/>
        <v>13.9209136179</v>
      </c>
      <c r="N160" s="9"/>
      <c r="O160" s="22">
        <v>0.65536499999999998</v>
      </c>
      <c r="P160" s="22">
        <v>99.436199999999999</v>
      </c>
      <c r="Q160" s="22">
        <v>-1.8783600000000001E-2</v>
      </c>
      <c r="R160" s="22">
        <v>150</v>
      </c>
      <c r="S160" s="22">
        <v>0.65423600000000004</v>
      </c>
      <c r="T160">
        <f t="shared" si="26"/>
        <v>18.7836</v>
      </c>
      <c r="U160">
        <f t="shared" si="27"/>
        <v>12.310114014</v>
      </c>
      <c r="X160" s="9"/>
      <c r="Y160" s="22">
        <v>0.74462899999999999</v>
      </c>
      <c r="Z160" s="22">
        <v>148.38</v>
      </c>
      <c r="AA160" s="22">
        <v>-1.8682899999999999E-2</v>
      </c>
      <c r="AB160" s="22">
        <v>150</v>
      </c>
      <c r="AC160" s="22">
        <v>0.743927</v>
      </c>
      <c r="AD160">
        <f t="shared" si="28"/>
        <v>18.6829</v>
      </c>
      <c r="AE160">
        <f t="shared" si="29"/>
        <v>13.9118291441</v>
      </c>
      <c r="AF160" s="9"/>
      <c r="AG160" s="22">
        <v>0.65536499999999998</v>
      </c>
      <c r="AH160" s="22">
        <v>197.178</v>
      </c>
      <c r="AI160" s="22">
        <v>-1.8771400000000001E-2</v>
      </c>
      <c r="AJ160" s="22">
        <v>150</v>
      </c>
      <c r="AK160" s="22">
        <v>0.65447999999999995</v>
      </c>
      <c r="AL160">
        <f t="shared" si="30"/>
        <v>18.7714</v>
      </c>
      <c r="AM160">
        <f t="shared" si="31"/>
        <v>12.302118560999999</v>
      </c>
      <c r="AP160" s="9"/>
      <c r="AQ160" s="22">
        <v>0.74462899999999999</v>
      </c>
      <c r="AR160" s="22">
        <v>245.947</v>
      </c>
      <c r="AS160" s="22">
        <v>-1.86768E-2</v>
      </c>
      <c r="AT160" s="22">
        <v>150</v>
      </c>
      <c r="AU160" s="22">
        <v>0.743896</v>
      </c>
      <c r="AV160">
        <f t="shared" si="32"/>
        <v>18.6768</v>
      </c>
      <c r="AW160">
        <f t="shared" si="33"/>
        <v>13.9072869072</v>
      </c>
      <c r="AX160" s="9"/>
      <c r="AY160" s="22">
        <v>0.65536499999999998</v>
      </c>
      <c r="AZ160" s="22">
        <v>294.84899999999999</v>
      </c>
      <c r="BA160" s="22">
        <v>-1.8765299999999999E-2</v>
      </c>
      <c r="BB160" s="22">
        <v>150</v>
      </c>
      <c r="BC160" s="22">
        <v>0.65460200000000002</v>
      </c>
      <c r="BD160">
        <f t="shared" si="34"/>
        <v>18.7653</v>
      </c>
      <c r="BE160">
        <f t="shared" si="35"/>
        <v>12.298120834499999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0.73959399999999997</v>
      </c>
      <c r="H161" s="22">
        <v>50.619900000000001</v>
      </c>
      <c r="I161" s="22">
        <v>-1.8698099999999999E-2</v>
      </c>
      <c r="J161" s="22">
        <v>151</v>
      </c>
      <c r="K161" s="22">
        <v>0.73892199999999997</v>
      </c>
      <c r="L161">
        <f t="shared" si="24"/>
        <v>18.6981</v>
      </c>
      <c r="M161">
        <f t="shared" si="25"/>
        <v>13.8290025714</v>
      </c>
      <c r="N161" s="9"/>
      <c r="O161" s="22">
        <v>0.66039999999999999</v>
      </c>
      <c r="P161" s="22">
        <v>99.446299999999994</v>
      </c>
      <c r="Q161" s="22">
        <v>-1.8777499999999999E-2</v>
      </c>
      <c r="R161" s="22">
        <v>151</v>
      </c>
      <c r="S161" s="22">
        <v>0.66000400000000004</v>
      </c>
      <c r="T161">
        <f t="shared" si="26"/>
        <v>18.7775</v>
      </c>
      <c r="U161">
        <f t="shared" si="27"/>
        <v>12.400660999999999</v>
      </c>
      <c r="X161" s="9"/>
      <c r="Y161" s="22">
        <v>0.73959399999999997</v>
      </c>
      <c r="Z161" s="22">
        <v>148.38999999999999</v>
      </c>
      <c r="AA161" s="22">
        <v>-1.8689000000000001E-2</v>
      </c>
      <c r="AB161" s="22">
        <v>151</v>
      </c>
      <c r="AC161" s="22">
        <v>0.73898299999999995</v>
      </c>
      <c r="AD161">
        <f t="shared" si="28"/>
        <v>18.689</v>
      </c>
      <c r="AE161">
        <f t="shared" si="29"/>
        <v>13.822272265999999</v>
      </c>
      <c r="AF161" s="9"/>
      <c r="AG161" s="22">
        <v>0.66039999999999999</v>
      </c>
      <c r="AH161" s="22">
        <v>197.18799999999999</v>
      </c>
      <c r="AI161" s="22">
        <v>-1.8765299999999999E-2</v>
      </c>
      <c r="AJ161" s="22">
        <v>151</v>
      </c>
      <c r="AK161" s="22">
        <v>0.65972900000000001</v>
      </c>
      <c r="AL161">
        <f t="shared" si="30"/>
        <v>18.7653</v>
      </c>
      <c r="AM161">
        <f t="shared" si="31"/>
        <v>12.39260412</v>
      </c>
      <c r="AP161" s="9"/>
      <c r="AQ161" s="22">
        <v>0.73959399999999997</v>
      </c>
      <c r="AR161" s="22">
        <v>245.958</v>
      </c>
      <c r="AS161" s="22">
        <v>-1.8682899999999999E-2</v>
      </c>
      <c r="AT161" s="22">
        <v>151</v>
      </c>
      <c r="AU161" s="22">
        <v>0.73907500000000004</v>
      </c>
      <c r="AV161">
        <f t="shared" si="32"/>
        <v>18.6829</v>
      </c>
      <c r="AW161">
        <f t="shared" si="33"/>
        <v>13.817760742599999</v>
      </c>
      <c r="AX161" s="9"/>
      <c r="AY161" s="22">
        <v>0.66039999999999999</v>
      </c>
      <c r="AZ161" s="22">
        <v>294.85899999999998</v>
      </c>
      <c r="BA161" s="22">
        <v>-1.87622E-2</v>
      </c>
      <c r="BB161" s="22">
        <v>151</v>
      </c>
      <c r="BC161" s="22">
        <v>0.65988199999999997</v>
      </c>
      <c r="BD161">
        <f t="shared" si="34"/>
        <v>18.7622</v>
      </c>
      <c r="BE161">
        <f t="shared" si="35"/>
        <v>12.39055688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0.73455800000000004</v>
      </c>
      <c r="H162" s="22">
        <v>50.629899999999999</v>
      </c>
      <c r="I162" s="22">
        <v>-1.8704200000000001E-2</v>
      </c>
      <c r="J162" s="22">
        <v>152</v>
      </c>
      <c r="K162" s="22">
        <v>0.73388699999999996</v>
      </c>
      <c r="L162">
        <f t="shared" si="24"/>
        <v>18.7042</v>
      </c>
      <c r="M162">
        <f t="shared" si="25"/>
        <v>13.739319743600001</v>
      </c>
      <c r="N162" s="9"/>
      <c r="O162" s="22">
        <v>0.66543600000000003</v>
      </c>
      <c r="P162" s="22">
        <v>99.456299999999999</v>
      </c>
      <c r="Q162" s="22">
        <v>-1.87744E-2</v>
      </c>
      <c r="R162" s="22">
        <v>152</v>
      </c>
      <c r="S162" s="22">
        <v>0.66473400000000005</v>
      </c>
      <c r="T162">
        <f t="shared" si="26"/>
        <v>18.7744</v>
      </c>
      <c r="U162">
        <f t="shared" si="27"/>
        <v>12.4931616384</v>
      </c>
      <c r="X162" s="9"/>
      <c r="Y162" s="22">
        <v>0.73455800000000004</v>
      </c>
      <c r="Z162" s="22">
        <v>148.4</v>
      </c>
      <c r="AA162" s="22">
        <v>-1.8695099999999999E-2</v>
      </c>
      <c r="AB162" s="22">
        <v>152</v>
      </c>
      <c r="AC162" s="22">
        <v>0.734039</v>
      </c>
      <c r="AD162">
        <f t="shared" si="28"/>
        <v>18.6951</v>
      </c>
      <c r="AE162">
        <f t="shared" si="29"/>
        <v>13.732635265800001</v>
      </c>
      <c r="AF162" s="9"/>
      <c r="AG162" s="22">
        <v>0.66543600000000003</v>
      </c>
      <c r="AH162" s="22">
        <v>197.19800000000001</v>
      </c>
      <c r="AI162" s="22">
        <v>-1.87592E-2</v>
      </c>
      <c r="AJ162" s="22">
        <v>152</v>
      </c>
      <c r="AK162" s="22">
        <v>0.66473400000000005</v>
      </c>
      <c r="AL162">
        <f t="shared" si="30"/>
        <v>18.7592</v>
      </c>
      <c r="AM162">
        <f t="shared" si="31"/>
        <v>12.4830470112</v>
      </c>
      <c r="AP162" s="9"/>
      <c r="AQ162" s="22">
        <v>0.73455800000000004</v>
      </c>
      <c r="AR162" s="22">
        <v>245.96799999999999</v>
      </c>
      <c r="AS162" s="22">
        <v>-1.8685899999999998E-2</v>
      </c>
      <c r="AT162" s="22">
        <v>152</v>
      </c>
      <c r="AU162" s="22">
        <v>0.73400900000000002</v>
      </c>
      <c r="AV162">
        <f t="shared" si="32"/>
        <v>18.685899999999997</v>
      </c>
      <c r="AW162">
        <f t="shared" si="33"/>
        <v>13.725877332199998</v>
      </c>
      <c r="AX162" s="9"/>
      <c r="AY162" s="22">
        <v>0.66543600000000003</v>
      </c>
      <c r="AZ162" s="22">
        <v>294.86900000000003</v>
      </c>
      <c r="BA162" s="22">
        <v>-1.8756100000000001E-2</v>
      </c>
      <c r="BB162" s="22">
        <v>152</v>
      </c>
      <c r="BC162" s="22">
        <v>0.66473400000000005</v>
      </c>
      <c r="BD162">
        <f t="shared" si="34"/>
        <v>18.7561</v>
      </c>
      <c r="BE162">
        <f t="shared" si="35"/>
        <v>12.4809841596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0.72952300000000003</v>
      </c>
      <c r="H163" s="22">
        <v>50.64</v>
      </c>
      <c r="I163" s="22">
        <v>-1.87073E-2</v>
      </c>
      <c r="J163" s="22">
        <v>153</v>
      </c>
      <c r="K163" s="22">
        <v>0.72872899999999996</v>
      </c>
      <c r="L163">
        <f t="shared" si="24"/>
        <v>18.7073</v>
      </c>
      <c r="M163">
        <f t="shared" si="25"/>
        <v>13.647405617900001</v>
      </c>
      <c r="N163" s="9"/>
      <c r="O163" s="22">
        <v>0.67047100000000004</v>
      </c>
      <c r="P163" s="22">
        <v>99.466399999999993</v>
      </c>
      <c r="Q163" s="22">
        <v>-1.8768300000000002E-2</v>
      </c>
      <c r="R163" s="22">
        <v>153</v>
      </c>
      <c r="S163" s="22">
        <v>0.669678</v>
      </c>
      <c r="T163">
        <f t="shared" si="26"/>
        <v>18.7683</v>
      </c>
      <c r="U163">
        <f t="shared" si="27"/>
        <v>12.583600869300001</v>
      </c>
      <c r="X163" s="9"/>
      <c r="Y163" s="22">
        <v>0.72952300000000003</v>
      </c>
      <c r="Z163" s="22">
        <v>148.41</v>
      </c>
      <c r="AA163" s="22">
        <v>-1.8701200000000001E-2</v>
      </c>
      <c r="AB163" s="22">
        <v>153</v>
      </c>
      <c r="AC163" s="22">
        <v>0.72915600000000003</v>
      </c>
      <c r="AD163">
        <f t="shared" si="28"/>
        <v>18.7012</v>
      </c>
      <c r="AE163">
        <f t="shared" si="29"/>
        <v>13.6429555276</v>
      </c>
      <c r="AF163" s="9"/>
      <c r="AG163" s="22">
        <v>0.67047100000000004</v>
      </c>
      <c r="AH163" s="22">
        <v>197.208</v>
      </c>
      <c r="AI163" s="22">
        <v>-1.8756100000000001E-2</v>
      </c>
      <c r="AJ163" s="22">
        <v>153</v>
      </c>
      <c r="AK163" s="22">
        <v>0.66979999999999995</v>
      </c>
      <c r="AL163">
        <f t="shared" si="30"/>
        <v>18.7561</v>
      </c>
      <c r="AM163">
        <f t="shared" si="31"/>
        <v>12.5754211231</v>
      </c>
      <c r="AP163" s="9"/>
      <c r="AQ163" s="22">
        <v>0.72952300000000003</v>
      </c>
      <c r="AR163" s="22">
        <v>245.97800000000001</v>
      </c>
      <c r="AS163" s="22">
        <v>-1.8689000000000001E-2</v>
      </c>
      <c r="AT163" s="22">
        <v>153</v>
      </c>
      <c r="AU163" s="22">
        <v>0.72882100000000005</v>
      </c>
      <c r="AV163">
        <f t="shared" si="32"/>
        <v>18.689</v>
      </c>
      <c r="AW163">
        <f t="shared" si="33"/>
        <v>13.634055347</v>
      </c>
      <c r="AX163" s="9"/>
      <c r="AY163" s="22">
        <v>0.67047100000000004</v>
      </c>
      <c r="AZ163" s="22">
        <v>294.87900000000002</v>
      </c>
      <c r="BA163" s="22">
        <v>-1.87469E-2</v>
      </c>
      <c r="BB163" s="22">
        <v>153</v>
      </c>
      <c r="BC163" s="22">
        <v>0.66983000000000004</v>
      </c>
      <c r="BD163">
        <f t="shared" si="34"/>
        <v>18.7469</v>
      </c>
      <c r="BE163">
        <f t="shared" si="35"/>
        <v>12.5692527899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0.72448699999999999</v>
      </c>
      <c r="H164" s="22">
        <v>50.650100000000002</v>
      </c>
      <c r="I164" s="22">
        <v>-1.8713400000000002E-2</v>
      </c>
      <c r="J164" s="22">
        <v>154</v>
      </c>
      <c r="K164" s="22">
        <v>0.72348000000000001</v>
      </c>
      <c r="L164">
        <f t="shared" si="24"/>
        <v>18.7134</v>
      </c>
      <c r="M164">
        <f t="shared" si="25"/>
        <v>13.557615025800001</v>
      </c>
      <c r="N164" s="9"/>
      <c r="O164" s="22">
        <v>0.67550699999999997</v>
      </c>
      <c r="P164" s="22">
        <v>99.476500000000001</v>
      </c>
      <c r="Q164" s="22">
        <v>-1.8765299999999999E-2</v>
      </c>
      <c r="R164" s="22">
        <v>154</v>
      </c>
      <c r="S164" s="22">
        <v>0.67474400000000001</v>
      </c>
      <c r="T164">
        <f t="shared" si="26"/>
        <v>18.7653</v>
      </c>
      <c r="U164">
        <f t="shared" si="27"/>
        <v>12.676091507099999</v>
      </c>
      <c r="X164" s="9"/>
      <c r="Y164" s="22">
        <v>0.72448699999999999</v>
      </c>
      <c r="Z164" s="22">
        <v>148.41999999999999</v>
      </c>
      <c r="AA164" s="22">
        <v>-1.87073E-2</v>
      </c>
      <c r="AB164" s="22">
        <v>154</v>
      </c>
      <c r="AC164" s="22">
        <v>0.72372400000000003</v>
      </c>
      <c r="AD164">
        <f t="shared" si="28"/>
        <v>18.7073</v>
      </c>
      <c r="AE164">
        <f t="shared" si="29"/>
        <v>13.5531956551</v>
      </c>
      <c r="AF164" s="9"/>
      <c r="AG164" s="22">
        <v>0.67550699999999997</v>
      </c>
      <c r="AH164" s="22">
        <v>197.21799999999999</v>
      </c>
      <c r="AI164" s="22">
        <v>-1.87469E-2</v>
      </c>
      <c r="AJ164" s="22">
        <v>154</v>
      </c>
      <c r="AK164" s="22">
        <v>0.67489600000000005</v>
      </c>
      <c r="AL164">
        <f t="shared" si="30"/>
        <v>18.7469</v>
      </c>
      <c r="AM164">
        <f t="shared" si="31"/>
        <v>12.663662178299999</v>
      </c>
      <c r="AP164" s="9"/>
      <c r="AQ164" s="22">
        <v>0.72448699999999999</v>
      </c>
      <c r="AR164" s="22">
        <v>245.988</v>
      </c>
      <c r="AS164" s="22">
        <v>-1.8695099999999999E-2</v>
      </c>
      <c r="AT164" s="22">
        <v>154</v>
      </c>
      <c r="AU164" s="22">
        <v>0.72375500000000004</v>
      </c>
      <c r="AV164">
        <f t="shared" si="32"/>
        <v>18.6951</v>
      </c>
      <c r="AW164">
        <f t="shared" si="33"/>
        <v>13.5443569137</v>
      </c>
      <c r="AX164" s="9"/>
      <c r="AY164" s="22">
        <v>0.67550699999999997</v>
      </c>
      <c r="AZ164" s="22">
        <v>294.88900000000001</v>
      </c>
      <c r="BA164" s="22">
        <v>-1.8740799999999998E-2</v>
      </c>
      <c r="BB164" s="22">
        <v>154</v>
      </c>
      <c r="BC164" s="22">
        <v>0.67456099999999997</v>
      </c>
      <c r="BD164">
        <f t="shared" si="34"/>
        <v>18.7408</v>
      </c>
      <c r="BE164">
        <f t="shared" si="35"/>
        <v>12.6595415856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0.71945199999999998</v>
      </c>
      <c r="H165" s="22">
        <v>50.6601</v>
      </c>
      <c r="I165" s="22">
        <v>-1.87195E-2</v>
      </c>
      <c r="J165" s="22">
        <v>155</v>
      </c>
      <c r="K165" s="22">
        <v>0.71853599999999995</v>
      </c>
      <c r="L165">
        <f t="shared" si="24"/>
        <v>18.7195</v>
      </c>
      <c r="M165">
        <f t="shared" si="25"/>
        <v>13.467781713999999</v>
      </c>
      <c r="N165" s="9"/>
      <c r="O165" s="22">
        <v>0.68054199999999998</v>
      </c>
      <c r="P165" s="22">
        <v>99.486599999999996</v>
      </c>
      <c r="Q165" s="22">
        <v>-1.8756100000000001E-2</v>
      </c>
      <c r="R165" s="22">
        <v>155</v>
      </c>
      <c r="S165" s="22">
        <v>0.67981000000000003</v>
      </c>
      <c r="T165">
        <f t="shared" si="26"/>
        <v>18.7561</v>
      </c>
      <c r="U165">
        <f t="shared" si="27"/>
        <v>12.764313806199999</v>
      </c>
      <c r="X165" s="9"/>
      <c r="Y165" s="22">
        <v>0.71945199999999998</v>
      </c>
      <c r="Z165" s="22">
        <v>148.43</v>
      </c>
      <c r="AA165" s="22">
        <v>-1.8710299999999999E-2</v>
      </c>
      <c r="AB165" s="22">
        <v>155</v>
      </c>
      <c r="AC165" s="22">
        <v>0.71868900000000002</v>
      </c>
      <c r="AD165">
        <f t="shared" si="28"/>
        <v>18.7103</v>
      </c>
      <c r="AE165">
        <f t="shared" si="29"/>
        <v>13.4611627556</v>
      </c>
      <c r="AF165" s="9"/>
      <c r="AG165" s="22">
        <v>0.68054199999999998</v>
      </c>
      <c r="AH165" s="22">
        <v>197.22800000000001</v>
      </c>
      <c r="AI165" s="22">
        <v>-1.8740799999999998E-2</v>
      </c>
      <c r="AJ165" s="22">
        <v>155</v>
      </c>
      <c r="AK165" s="22">
        <v>0.67977900000000002</v>
      </c>
      <c r="AL165">
        <f t="shared" si="30"/>
        <v>18.7408</v>
      </c>
      <c r="AM165">
        <f t="shared" si="31"/>
        <v>12.753901513599999</v>
      </c>
      <c r="AP165" s="9"/>
      <c r="AQ165" s="22">
        <v>0.71945199999999998</v>
      </c>
      <c r="AR165" s="22">
        <v>245.99799999999999</v>
      </c>
      <c r="AS165" s="22">
        <v>-1.8701200000000001E-2</v>
      </c>
      <c r="AT165" s="22">
        <v>155</v>
      </c>
      <c r="AU165" s="22">
        <v>0.71875</v>
      </c>
      <c r="AV165">
        <f t="shared" si="32"/>
        <v>18.7012</v>
      </c>
      <c r="AW165">
        <f t="shared" si="33"/>
        <v>13.4546157424</v>
      </c>
      <c r="AX165" s="9"/>
      <c r="AY165" s="22">
        <v>0.68054199999999998</v>
      </c>
      <c r="AZ165" s="22">
        <v>294.899</v>
      </c>
      <c r="BA165" s="22">
        <v>-1.8737799999999999E-2</v>
      </c>
      <c r="BB165" s="22">
        <v>155</v>
      </c>
      <c r="BC165" s="22">
        <v>0.67956499999999997</v>
      </c>
      <c r="BD165">
        <f t="shared" si="34"/>
        <v>18.7378</v>
      </c>
      <c r="BE165">
        <f t="shared" si="35"/>
        <v>12.7518598876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0.71441699999999997</v>
      </c>
      <c r="H166" s="22">
        <v>50.670200000000001</v>
      </c>
      <c r="I166" s="22">
        <v>-1.87225E-2</v>
      </c>
      <c r="J166" s="22">
        <v>156</v>
      </c>
      <c r="K166" s="22">
        <v>0.71347000000000005</v>
      </c>
      <c r="L166">
        <f t="shared" si="24"/>
        <v>18.7225</v>
      </c>
      <c r="M166">
        <f t="shared" si="25"/>
        <v>13.3756722825</v>
      </c>
      <c r="N166" s="9"/>
      <c r="O166" s="22">
        <v>0.68557699999999999</v>
      </c>
      <c r="P166" s="22">
        <v>99.496600000000001</v>
      </c>
      <c r="Q166" s="22">
        <v>-1.8753100000000002E-2</v>
      </c>
      <c r="R166" s="22">
        <v>156</v>
      </c>
      <c r="S166" s="22">
        <v>0.68493700000000002</v>
      </c>
      <c r="T166">
        <f t="shared" si="26"/>
        <v>18.753100000000003</v>
      </c>
      <c r="U166">
        <f t="shared" si="27"/>
        <v>12.856694038700002</v>
      </c>
      <c r="X166" s="9"/>
      <c r="Y166" s="22">
        <v>0.71441699999999997</v>
      </c>
      <c r="Z166" s="22">
        <v>148.44</v>
      </c>
      <c r="AA166" s="22">
        <v>-1.8716400000000001E-2</v>
      </c>
      <c r="AB166" s="22">
        <v>156</v>
      </c>
      <c r="AC166" s="22">
        <v>0.71365400000000001</v>
      </c>
      <c r="AD166">
        <f t="shared" si="28"/>
        <v>18.7164</v>
      </c>
      <c r="AE166">
        <f t="shared" si="29"/>
        <v>13.3713143388</v>
      </c>
      <c r="AF166" s="9"/>
      <c r="AG166" s="22">
        <v>0.68557699999999999</v>
      </c>
      <c r="AH166" s="22">
        <v>197.238</v>
      </c>
      <c r="AI166" s="22">
        <v>-1.8737799999999999E-2</v>
      </c>
      <c r="AJ166" s="22">
        <v>156</v>
      </c>
      <c r="AK166" s="22">
        <v>0.68481400000000003</v>
      </c>
      <c r="AL166">
        <f t="shared" si="30"/>
        <v>18.7378</v>
      </c>
      <c r="AM166">
        <f t="shared" si="31"/>
        <v>12.8462047106</v>
      </c>
      <c r="AP166" s="9"/>
      <c r="AQ166" s="22">
        <v>0.71441699999999997</v>
      </c>
      <c r="AR166" s="22">
        <v>246.00800000000001</v>
      </c>
      <c r="AS166" s="22">
        <v>-1.87073E-2</v>
      </c>
      <c r="AT166" s="22">
        <v>156</v>
      </c>
      <c r="AU166" s="22">
        <v>0.71365400000000001</v>
      </c>
      <c r="AV166">
        <f t="shared" si="32"/>
        <v>18.7073</v>
      </c>
      <c r="AW166">
        <f t="shared" si="33"/>
        <v>13.364813144099999</v>
      </c>
      <c r="AX166" s="9"/>
      <c r="AY166" s="22">
        <v>0.68557699999999999</v>
      </c>
      <c r="AZ166" s="22">
        <v>294.90899999999999</v>
      </c>
      <c r="BA166" s="22">
        <v>-1.87347E-2</v>
      </c>
      <c r="BB166" s="22">
        <v>156</v>
      </c>
      <c r="BC166" s="22">
        <v>0.68478399999999995</v>
      </c>
      <c r="BD166">
        <f t="shared" si="34"/>
        <v>18.7347</v>
      </c>
      <c r="BE166">
        <f t="shared" si="35"/>
        <v>12.8440794219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0.70938100000000004</v>
      </c>
      <c r="H167" s="22">
        <v>50.680300000000003</v>
      </c>
      <c r="I167" s="22">
        <v>-1.8728600000000001E-2</v>
      </c>
      <c r="J167" s="22">
        <v>157</v>
      </c>
      <c r="K167" s="22">
        <v>0.70867899999999995</v>
      </c>
      <c r="L167">
        <f t="shared" si="24"/>
        <v>18.7286</v>
      </c>
      <c r="M167">
        <f t="shared" si="25"/>
        <v>13.285712996600001</v>
      </c>
      <c r="N167" s="9"/>
      <c r="O167" s="22">
        <v>0.69061300000000003</v>
      </c>
      <c r="P167" s="22">
        <v>99.506699999999995</v>
      </c>
      <c r="Q167" s="22">
        <v>-1.87469E-2</v>
      </c>
      <c r="R167" s="22">
        <v>157</v>
      </c>
      <c r="S167" s="22">
        <v>0.68981899999999996</v>
      </c>
      <c r="T167">
        <f t="shared" si="26"/>
        <v>18.7469</v>
      </c>
      <c r="U167">
        <f t="shared" si="27"/>
        <v>12.946852849700001</v>
      </c>
      <c r="X167" s="9"/>
      <c r="Y167" s="22">
        <v>0.70938100000000004</v>
      </c>
      <c r="Z167" s="22">
        <v>148.44999999999999</v>
      </c>
      <c r="AA167" s="22">
        <v>-1.87195E-2</v>
      </c>
      <c r="AB167" s="22">
        <v>157</v>
      </c>
      <c r="AC167" s="22">
        <v>0.70870999999999995</v>
      </c>
      <c r="AD167">
        <f t="shared" si="28"/>
        <v>18.7195</v>
      </c>
      <c r="AE167">
        <f t="shared" si="29"/>
        <v>13.2792576295</v>
      </c>
      <c r="AF167" s="9"/>
      <c r="AG167" s="22">
        <v>0.69061300000000003</v>
      </c>
      <c r="AH167" s="22">
        <v>197.249</v>
      </c>
      <c r="AI167" s="22">
        <v>-1.87347E-2</v>
      </c>
      <c r="AJ167" s="22">
        <v>157</v>
      </c>
      <c r="AK167" s="22">
        <v>0.68975799999999998</v>
      </c>
      <c r="AL167">
        <f t="shared" si="30"/>
        <v>18.7347</v>
      </c>
      <c r="AM167">
        <f t="shared" si="31"/>
        <v>12.938427371100001</v>
      </c>
      <c r="AP167" s="9"/>
      <c r="AQ167" s="22">
        <v>0.70938100000000004</v>
      </c>
      <c r="AR167" s="22">
        <v>246.018</v>
      </c>
      <c r="AS167" s="22">
        <v>-1.8710299999999999E-2</v>
      </c>
      <c r="AT167" s="22">
        <v>157</v>
      </c>
      <c r="AU167" s="22">
        <v>0.70883200000000002</v>
      </c>
      <c r="AV167">
        <f t="shared" si="32"/>
        <v>18.7103</v>
      </c>
      <c r="AW167">
        <f t="shared" si="33"/>
        <v>13.2727313243</v>
      </c>
      <c r="AX167" s="9"/>
      <c r="AY167" s="22">
        <v>0.69061300000000003</v>
      </c>
      <c r="AZ167" s="22">
        <v>294.91899999999998</v>
      </c>
      <c r="BA167" s="22">
        <v>-1.8728600000000001E-2</v>
      </c>
      <c r="BB167" s="22">
        <v>157</v>
      </c>
      <c r="BC167" s="22">
        <v>0.689697</v>
      </c>
      <c r="BD167">
        <f t="shared" si="34"/>
        <v>18.7286</v>
      </c>
      <c r="BE167">
        <f t="shared" si="35"/>
        <v>12.934214631800002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0.70434600000000003</v>
      </c>
      <c r="H168" s="22">
        <v>50.690399999999997</v>
      </c>
      <c r="I168" s="22">
        <v>-1.87347E-2</v>
      </c>
      <c r="J168" s="22">
        <v>158</v>
      </c>
      <c r="K168" s="22">
        <v>0.70358299999999996</v>
      </c>
      <c r="L168">
        <f t="shared" si="24"/>
        <v>18.7347</v>
      </c>
      <c r="M168">
        <f t="shared" si="25"/>
        <v>13.1957110062</v>
      </c>
      <c r="N168" s="9"/>
      <c r="O168" s="22">
        <v>0.69564800000000004</v>
      </c>
      <c r="P168" s="22">
        <v>99.516800000000003</v>
      </c>
      <c r="Q168" s="22">
        <v>-1.8743900000000001E-2</v>
      </c>
      <c r="R168" s="22">
        <v>158</v>
      </c>
      <c r="S168" s="22">
        <v>0.69497699999999996</v>
      </c>
      <c r="T168">
        <f t="shared" si="26"/>
        <v>18.7439</v>
      </c>
      <c r="U168">
        <f t="shared" si="27"/>
        <v>13.039156547200001</v>
      </c>
      <c r="X168" s="9"/>
      <c r="Y168" s="22">
        <v>0.70434600000000003</v>
      </c>
      <c r="Z168" s="22">
        <v>148.46</v>
      </c>
      <c r="AA168" s="22">
        <v>-1.8725599999999998E-2</v>
      </c>
      <c r="AB168" s="22">
        <v>158</v>
      </c>
      <c r="AC168" s="22">
        <v>0.70358299999999996</v>
      </c>
      <c r="AD168">
        <f t="shared" si="28"/>
        <v>18.7256</v>
      </c>
      <c r="AE168">
        <f t="shared" si="29"/>
        <v>13.189301457600001</v>
      </c>
      <c r="AF168" s="9"/>
      <c r="AG168" s="22">
        <v>0.69564800000000004</v>
      </c>
      <c r="AH168" s="22">
        <v>197.25899999999999</v>
      </c>
      <c r="AI168" s="22">
        <v>-1.87317E-2</v>
      </c>
      <c r="AJ168" s="22">
        <v>158</v>
      </c>
      <c r="AK168" s="22">
        <v>0.69467199999999996</v>
      </c>
      <c r="AL168">
        <f t="shared" si="30"/>
        <v>18.7317</v>
      </c>
      <c r="AM168">
        <f t="shared" si="31"/>
        <v>13.030669641600001</v>
      </c>
      <c r="AP168" s="9"/>
      <c r="AQ168" s="22">
        <v>0.70434600000000003</v>
      </c>
      <c r="AR168" s="22">
        <v>246.02799999999999</v>
      </c>
      <c r="AS168" s="22">
        <v>-1.8716400000000001E-2</v>
      </c>
      <c r="AT168" s="22">
        <v>158</v>
      </c>
      <c r="AU168" s="22">
        <v>0.70391800000000004</v>
      </c>
      <c r="AV168">
        <f t="shared" si="32"/>
        <v>18.7164</v>
      </c>
      <c r="AW168">
        <f t="shared" si="33"/>
        <v>13.182821474400001</v>
      </c>
      <c r="AX168" s="9"/>
      <c r="AY168" s="22">
        <v>0.69564800000000004</v>
      </c>
      <c r="AZ168" s="22">
        <v>294.92899999999997</v>
      </c>
      <c r="BA168" s="22">
        <v>-1.87225E-2</v>
      </c>
      <c r="BB168" s="22">
        <v>158</v>
      </c>
      <c r="BC168" s="22">
        <v>0.69509900000000002</v>
      </c>
      <c r="BD168">
        <f t="shared" si="34"/>
        <v>18.7225</v>
      </c>
      <c r="BE168">
        <f t="shared" si="35"/>
        <v>13.024269680000002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0.69930999999999999</v>
      </c>
      <c r="H169" s="22">
        <v>50.700400000000002</v>
      </c>
      <c r="I169" s="22">
        <v>-1.8737799999999999E-2</v>
      </c>
      <c r="J169" s="22">
        <v>159</v>
      </c>
      <c r="K169" s="22">
        <v>0.69833400000000001</v>
      </c>
      <c r="L169">
        <f t="shared" si="24"/>
        <v>18.7378</v>
      </c>
      <c r="M169">
        <f t="shared" si="25"/>
        <v>13.103530918000001</v>
      </c>
      <c r="N169" s="9"/>
      <c r="O169" s="22">
        <v>0.70068399999999997</v>
      </c>
      <c r="P169" s="22">
        <v>99.526799999999994</v>
      </c>
      <c r="Q169" s="22">
        <v>-1.8737799999999999E-2</v>
      </c>
      <c r="R169" s="22">
        <v>159</v>
      </c>
      <c r="S169" s="22">
        <v>0.70007299999999995</v>
      </c>
      <c r="T169">
        <f t="shared" si="26"/>
        <v>18.7378</v>
      </c>
      <c r="U169">
        <f t="shared" si="27"/>
        <v>13.1292766552</v>
      </c>
      <c r="X169" s="9"/>
      <c r="Y169" s="22">
        <v>0.69930999999999999</v>
      </c>
      <c r="Z169" s="22">
        <v>148.47</v>
      </c>
      <c r="AA169" s="22">
        <v>-1.87317E-2</v>
      </c>
      <c r="AB169" s="22">
        <v>159</v>
      </c>
      <c r="AC169" s="22">
        <v>0.69833400000000001</v>
      </c>
      <c r="AD169">
        <f t="shared" si="28"/>
        <v>18.7317</v>
      </c>
      <c r="AE169">
        <f t="shared" si="29"/>
        <v>13.099265126999999</v>
      </c>
      <c r="AF169" s="9"/>
      <c r="AG169" s="22">
        <v>0.70068399999999997</v>
      </c>
      <c r="AH169" s="22">
        <v>197.26900000000001</v>
      </c>
      <c r="AI169" s="22">
        <v>-1.87317E-2</v>
      </c>
      <c r="AJ169" s="22">
        <v>159</v>
      </c>
      <c r="AK169" s="22">
        <v>0.70007299999999995</v>
      </c>
      <c r="AL169">
        <f t="shared" si="30"/>
        <v>18.7317</v>
      </c>
      <c r="AM169">
        <f t="shared" si="31"/>
        <v>13.125002482799999</v>
      </c>
      <c r="AP169" s="9"/>
      <c r="AQ169" s="22">
        <v>0.69930999999999999</v>
      </c>
      <c r="AR169" s="22">
        <v>246.03800000000001</v>
      </c>
      <c r="AS169" s="22">
        <v>-1.87195E-2</v>
      </c>
      <c r="AT169" s="22">
        <v>159</v>
      </c>
      <c r="AU169" s="22">
        <v>0.69845599999999997</v>
      </c>
      <c r="AV169">
        <f t="shared" si="32"/>
        <v>18.7195</v>
      </c>
      <c r="AW169">
        <f t="shared" si="33"/>
        <v>13.090733544999999</v>
      </c>
      <c r="AX169" s="9"/>
      <c r="AY169" s="22">
        <v>0.70068399999999997</v>
      </c>
      <c r="AZ169" s="22">
        <v>294.94</v>
      </c>
      <c r="BA169" s="22">
        <v>-1.87225E-2</v>
      </c>
      <c r="BB169" s="22">
        <v>159</v>
      </c>
      <c r="BC169" s="22">
        <v>0.69998199999999999</v>
      </c>
      <c r="BD169">
        <f t="shared" si="34"/>
        <v>18.7225</v>
      </c>
      <c r="BE169">
        <f t="shared" si="35"/>
        <v>13.11855619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0.69427499999999998</v>
      </c>
      <c r="H170" s="22">
        <v>50.710500000000003</v>
      </c>
      <c r="I170" s="22">
        <v>-1.87469E-2</v>
      </c>
      <c r="J170" s="22">
        <v>160</v>
      </c>
      <c r="K170" s="22">
        <v>0.69384800000000002</v>
      </c>
      <c r="L170">
        <f t="shared" si="24"/>
        <v>18.7469</v>
      </c>
      <c r="M170">
        <f t="shared" si="25"/>
        <v>13.0155039975</v>
      </c>
      <c r="N170" s="9"/>
      <c r="O170" s="22">
        <v>0.70571899999999999</v>
      </c>
      <c r="P170" s="22">
        <v>99.536900000000003</v>
      </c>
      <c r="Q170" s="22">
        <v>-1.87317E-2</v>
      </c>
      <c r="R170" s="22">
        <v>160</v>
      </c>
      <c r="S170" s="22">
        <v>0.70486499999999996</v>
      </c>
      <c r="T170">
        <f t="shared" si="26"/>
        <v>18.7317</v>
      </c>
      <c r="U170">
        <f t="shared" si="27"/>
        <v>13.2193165923</v>
      </c>
      <c r="X170" s="9"/>
      <c r="Y170" s="22">
        <v>0.69427499999999998</v>
      </c>
      <c r="Z170" s="22">
        <v>148.47999999999999</v>
      </c>
      <c r="AA170" s="22">
        <v>-1.8737799999999999E-2</v>
      </c>
      <c r="AB170" s="22">
        <v>160</v>
      </c>
      <c r="AC170" s="22">
        <v>0.69348100000000001</v>
      </c>
      <c r="AD170">
        <f t="shared" si="28"/>
        <v>18.7378</v>
      </c>
      <c r="AE170">
        <f t="shared" si="29"/>
        <v>13.009186094999999</v>
      </c>
      <c r="AF170" s="9"/>
      <c r="AG170" s="22">
        <v>0.70571899999999999</v>
      </c>
      <c r="AH170" s="22">
        <v>197.279</v>
      </c>
      <c r="AI170" s="22">
        <v>-1.8725599999999998E-2</v>
      </c>
      <c r="AJ170" s="22">
        <v>160</v>
      </c>
      <c r="AK170" s="22">
        <v>0.70492600000000005</v>
      </c>
      <c r="AL170">
        <f t="shared" si="30"/>
        <v>18.7256</v>
      </c>
      <c r="AM170">
        <f t="shared" si="31"/>
        <v>13.2150117064</v>
      </c>
      <c r="AP170" s="9"/>
      <c r="AQ170" s="22">
        <v>0.69427499999999998</v>
      </c>
      <c r="AR170" s="22">
        <v>246.048</v>
      </c>
      <c r="AS170" s="22">
        <v>-1.87195E-2</v>
      </c>
      <c r="AT170" s="22">
        <v>160</v>
      </c>
      <c r="AU170" s="22">
        <v>0.69351200000000002</v>
      </c>
      <c r="AV170">
        <f t="shared" si="32"/>
        <v>18.7195</v>
      </c>
      <c r="AW170">
        <f t="shared" si="33"/>
        <v>12.9964808625</v>
      </c>
      <c r="AX170" s="9"/>
      <c r="AY170" s="22">
        <v>0.70571899999999999</v>
      </c>
      <c r="AZ170" s="22">
        <v>294.95</v>
      </c>
      <c r="BA170" s="22">
        <v>-1.8716400000000001E-2</v>
      </c>
      <c r="BB170" s="22">
        <v>160</v>
      </c>
      <c r="BC170" s="22">
        <v>0.70510899999999999</v>
      </c>
      <c r="BD170">
        <f t="shared" si="34"/>
        <v>18.7164</v>
      </c>
      <c r="BE170">
        <f t="shared" si="35"/>
        <v>13.208519091599999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0.68923999999999996</v>
      </c>
      <c r="H171" s="22">
        <v>50.720599999999997</v>
      </c>
      <c r="I171" s="22">
        <v>-1.8753100000000002E-2</v>
      </c>
      <c r="J171" s="22">
        <v>161</v>
      </c>
      <c r="K171" s="22">
        <v>0.688446</v>
      </c>
      <c r="L171">
        <f t="shared" si="24"/>
        <v>18.753100000000003</v>
      </c>
      <c r="M171">
        <f t="shared" si="25"/>
        <v>12.925386644000001</v>
      </c>
      <c r="N171" s="9"/>
      <c r="O171" s="22">
        <v>0.710754</v>
      </c>
      <c r="P171" s="22">
        <v>99.546999999999997</v>
      </c>
      <c r="Q171" s="22">
        <v>-1.8725599999999998E-2</v>
      </c>
      <c r="R171" s="22">
        <v>161</v>
      </c>
      <c r="S171" s="22">
        <v>0.70999100000000004</v>
      </c>
      <c r="T171">
        <f t="shared" si="26"/>
        <v>18.7256</v>
      </c>
      <c r="U171">
        <f t="shared" si="27"/>
        <v>13.3092951024</v>
      </c>
      <c r="X171" s="9"/>
      <c r="Y171" s="22">
        <v>0.68923999999999996</v>
      </c>
      <c r="Z171" s="22">
        <v>148.49</v>
      </c>
      <c r="AA171" s="22">
        <v>-1.8740799999999998E-2</v>
      </c>
      <c r="AB171" s="22">
        <v>161</v>
      </c>
      <c r="AC171" s="22">
        <v>0.68856799999999996</v>
      </c>
      <c r="AD171">
        <f t="shared" si="28"/>
        <v>18.7408</v>
      </c>
      <c r="AE171">
        <f t="shared" si="29"/>
        <v>12.916908992</v>
      </c>
      <c r="AF171" s="9"/>
      <c r="AG171" s="22">
        <v>0.710754</v>
      </c>
      <c r="AH171" s="22">
        <v>197.28899999999999</v>
      </c>
      <c r="AI171" s="22">
        <v>-1.87195E-2</v>
      </c>
      <c r="AJ171" s="22">
        <v>161</v>
      </c>
      <c r="AK171" s="22">
        <v>0.710144</v>
      </c>
      <c r="AL171">
        <f t="shared" si="30"/>
        <v>18.7195</v>
      </c>
      <c r="AM171">
        <f t="shared" si="31"/>
        <v>13.304959502999999</v>
      </c>
      <c r="AP171" s="9"/>
      <c r="AQ171" s="22">
        <v>0.68923999999999996</v>
      </c>
      <c r="AR171" s="22">
        <v>246.05799999999999</v>
      </c>
      <c r="AS171" s="22">
        <v>-1.8725599999999998E-2</v>
      </c>
      <c r="AT171" s="22">
        <v>161</v>
      </c>
      <c r="AU171" s="22">
        <v>0.68838500000000002</v>
      </c>
      <c r="AV171">
        <f t="shared" si="32"/>
        <v>18.7256</v>
      </c>
      <c r="AW171">
        <f t="shared" si="33"/>
        <v>12.906432543999999</v>
      </c>
      <c r="AX171" s="9"/>
      <c r="AY171" s="22">
        <v>0.710754</v>
      </c>
      <c r="AZ171" s="22">
        <v>294.95999999999998</v>
      </c>
      <c r="BA171" s="22">
        <v>-1.8713400000000002E-2</v>
      </c>
      <c r="BB171" s="22">
        <v>161</v>
      </c>
      <c r="BC171" s="22">
        <v>0.71005200000000002</v>
      </c>
      <c r="BD171">
        <f t="shared" si="34"/>
        <v>18.7134</v>
      </c>
      <c r="BE171">
        <f t="shared" si="35"/>
        <v>13.3006239036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0.68420400000000003</v>
      </c>
      <c r="H172" s="22">
        <v>50.730600000000003</v>
      </c>
      <c r="I172" s="22">
        <v>-1.87622E-2</v>
      </c>
      <c r="J172" s="22">
        <v>162</v>
      </c>
      <c r="K172" s="22">
        <v>0.68307499999999999</v>
      </c>
      <c r="L172">
        <f t="shared" si="24"/>
        <v>18.7622</v>
      </c>
      <c r="M172">
        <f t="shared" si="25"/>
        <v>12.837172288800001</v>
      </c>
      <c r="N172" s="9"/>
      <c r="O172" s="22">
        <v>0.71579000000000004</v>
      </c>
      <c r="P172" s="22">
        <v>99.557100000000005</v>
      </c>
      <c r="Q172" s="22">
        <v>-1.87195E-2</v>
      </c>
      <c r="R172" s="22">
        <v>162</v>
      </c>
      <c r="S172" s="22">
        <v>0.71502699999999997</v>
      </c>
      <c r="T172">
        <f t="shared" si="26"/>
        <v>18.7195</v>
      </c>
      <c r="U172">
        <f t="shared" si="27"/>
        <v>13.399230905000001</v>
      </c>
      <c r="X172" s="9"/>
      <c r="Y172" s="22">
        <v>0.68420400000000003</v>
      </c>
      <c r="Z172" s="22">
        <v>148.5</v>
      </c>
      <c r="AA172" s="22">
        <v>-1.8743900000000001E-2</v>
      </c>
      <c r="AB172" s="22">
        <v>162</v>
      </c>
      <c r="AC172" s="22">
        <v>0.68353299999999995</v>
      </c>
      <c r="AD172">
        <f t="shared" si="28"/>
        <v>18.7439</v>
      </c>
      <c r="AE172">
        <f t="shared" si="29"/>
        <v>12.8246513556</v>
      </c>
      <c r="AF172" s="9"/>
      <c r="AG172" s="22">
        <v>0.71579000000000004</v>
      </c>
      <c r="AH172" s="22">
        <v>197.29900000000001</v>
      </c>
      <c r="AI172" s="22">
        <v>-1.8716400000000001E-2</v>
      </c>
      <c r="AJ172" s="22">
        <v>162</v>
      </c>
      <c r="AK172" s="22">
        <v>0.71511800000000003</v>
      </c>
      <c r="AL172">
        <f t="shared" si="30"/>
        <v>18.7164</v>
      </c>
      <c r="AM172">
        <f t="shared" si="31"/>
        <v>13.397011956</v>
      </c>
      <c r="AP172" s="9"/>
      <c r="AQ172" s="22">
        <v>0.68420400000000003</v>
      </c>
      <c r="AR172" s="22">
        <v>246.06800000000001</v>
      </c>
      <c r="AS172" s="22">
        <v>-1.8728600000000001E-2</v>
      </c>
      <c r="AT172" s="22">
        <v>162</v>
      </c>
      <c r="AU172" s="22">
        <v>0.68335000000000001</v>
      </c>
      <c r="AV172">
        <f t="shared" si="32"/>
        <v>18.7286</v>
      </c>
      <c r="AW172">
        <f t="shared" si="33"/>
        <v>12.814183034400001</v>
      </c>
      <c r="AX172" s="9"/>
      <c r="AY172" s="22">
        <v>0.71579000000000004</v>
      </c>
      <c r="AZ172" s="22">
        <v>294.97000000000003</v>
      </c>
      <c r="BA172" s="22">
        <v>-1.87073E-2</v>
      </c>
      <c r="BB172" s="22">
        <v>162</v>
      </c>
      <c r="BC172" s="22">
        <v>0.71496599999999999</v>
      </c>
      <c r="BD172">
        <f t="shared" si="34"/>
        <v>18.7073</v>
      </c>
      <c r="BE172">
        <f t="shared" si="35"/>
        <v>13.390498267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0.67916900000000002</v>
      </c>
      <c r="H173" s="22">
        <v>50.740699999999997</v>
      </c>
      <c r="I173" s="22">
        <v>-1.8768300000000002E-2</v>
      </c>
      <c r="J173" s="22">
        <v>163</v>
      </c>
      <c r="K173" s="22">
        <v>0.67831399999999997</v>
      </c>
      <c r="L173">
        <f t="shared" si="24"/>
        <v>18.7683</v>
      </c>
      <c r="M173">
        <f t="shared" si="25"/>
        <v>12.746847542700001</v>
      </c>
      <c r="N173" s="9"/>
      <c r="O173" s="22">
        <v>0.72082500000000005</v>
      </c>
      <c r="P173" s="22">
        <v>99.567099999999996</v>
      </c>
      <c r="Q173" s="22">
        <v>-1.8716400000000001E-2</v>
      </c>
      <c r="R173" s="22">
        <v>163</v>
      </c>
      <c r="S173" s="22">
        <v>0.71981799999999996</v>
      </c>
      <c r="T173">
        <f t="shared" si="26"/>
        <v>18.7164</v>
      </c>
      <c r="U173">
        <f t="shared" si="27"/>
        <v>13.491249030000001</v>
      </c>
      <c r="X173" s="9"/>
      <c r="Y173" s="22">
        <v>0.67916900000000002</v>
      </c>
      <c r="Z173" s="22">
        <v>148.511</v>
      </c>
      <c r="AA173" s="22">
        <v>-1.8749999999999999E-2</v>
      </c>
      <c r="AB173" s="22">
        <v>163</v>
      </c>
      <c r="AC173" s="22">
        <v>0.67843600000000004</v>
      </c>
      <c r="AD173">
        <f t="shared" si="28"/>
        <v>18.75</v>
      </c>
      <c r="AE173">
        <f t="shared" si="29"/>
        <v>12.73441875</v>
      </c>
      <c r="AF173" s="9"/>
      <c r="AG173" s="22">
        <v>0.72082500000000005</v>
      </c>
      <c r="AH173" s="22">
        <v>197.309</v>
      </c>
      <c r="AI173" s="22">
        <v>-1.8710299999999999E-2</v>
      </c>
      <c r="AJ173" s="22">
        <v>163</v>
      </c>
      <c r="AK173" s="22">
        <v>0.72015399999999996</v>
      </c>
      <c r="AL173">
        <f t="shared" si="30"/>
        <v>18.7103</v>
      </c>
      <c r="AM173">
        <f t="shared" si="31"/>
        <v>13.486851997500001</v>
      </c>
      <c r="AP173" s="9"/>
      <c r="AQ173" s="22">
        <v>0.67916900000000002</v>
      </c>
      <c r="AR173" s="22">
        <v>246.078</v>
      </c>
      <c r="AS173" s="22">
        <v>-1.8737799999999999E-2</v>
      </c>
      <c r="AT173" s="22">
        <v>163</v>
      </c>
      <c r="AU173" s="22">
        <v>0.67849700000000002</v>
      </c>
      <c r="AV173">
        <f t="shared" si="32"/>
        <v>18.7378</v>
      </c>
      <c r="AW173">
        <f t="shared" si="33"/>
        <v>12.7261328882</v>
      </c>
      <c r="AX173" s="9"/>
      <c r="AY173" s="22">
        <v>0.72082500000000005</v>
      </c>
      <c r="AZ173" s="22">
        <v>294.98</v>
      </c>
      <c r="BA173" s="22">
        <v>-1.8701200000000001E-2</v>
      </c>
      <c r="BB173" s="22">
        <v>163</v>
      </c>
      <c r="BC173" s="22">
        <v>0.71984899999999996</v>
      </c>
      <c r="BD173">
        <f t="shared" si="34"/>
        <v>18.7012</v>
      </c>
      <c r="BE173">
        <f t="shared" si="35"/>
        <v>13.48029249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0.67413299999999998</v>
      </c>
      <c r="H174" s="22">
        <v>50.750799999999998</v>
      </c>
      <c r="I174" s="22">
        <v>-1.87744E-2</v>
      </c>
      <c r="J174" s="22">
        <v>164</v>
      </c>
      <c r="K174" s="22">
        <v>0.67337000000000002</v>
      </c>
      <c r="L174">
        <f t="shared" si="24"/>
        <v>18.7744</v>
      </c>
      <c r="M174">
        <f t="shared" si="25"/>
        <v>12.6564425952</v>
      </c>
      <c r="N174" s="9"/>
      <c r="O174" s="22">
        <v>0.72586099999999998</v>
      </c>
      <c r="P174" s="22">
        <v>99.577200000000005</v>
      </c>
      <c r="Q174" s="22">
        <v>-1.8710299999999999E-2</v>
      </c>
      <c r="R174" s="22">
        <v>164</v>
      </c>
      <c r="S174" s="22">
        <v>0.72512799999999999</v>
      </c>
      <c r="T174">
        <f t="shared" si="26"/>
        <v>18.7103</v>
      </c>
      <c r="U174">
        <f t="shared" si="27"/>
        <v>13.581077068299999</v>
      </c>
      <c r="X174" s="9"/>
      <c r="Y174" s="22">
        <v>0.67413299999999998</v>
      </c>
      <c r="Z174" s="22">
        <v>148.52099999999999</v>
      </c>
      <c r="AA174" s="22">
        <v>-1.8753100000000002E-2</v>
      </c>
      <c r="AB174" s="22">
        <v>164</v>
      </c>
      <c r="AC174" s="22">
        <v>0.673431</v>
      </c>
      <c r="AD174">
        <f t="shared" si="28"/>
        <v>18.753100000000003</v>
      </c>
      <c r="AE174">
        <f t="shared" si="29"/>
        <v>12.642083562300002</v>
      </c>
      <c r="AF174" s="9"/>
      <c r="AG174" s="22">
        <v>0.72586099999999998</v>
      </c>
      <c r="AH174" s="22">
        <v>197.31899999999999</v>
      </c>
      <c r="AI174" s="22">
        <v>-1.8701200000000001E-2</v>
      </c>
      <c r="AJ174" s="22">
        <v>164</v>
      </c>
      <c r="AK174" s="22">
        <v>0.72558599999999995</v>
      </c>
      <c r="AL174">
        <f t="shared" si="30"/>
        <v>18.7012</v>
      </c>
      <c r="AM174">
        <f t="shared" si="31"/>
        <v>13.574471733199999</v>
      </c>
      <c r="AP174" s="9"/>
      <c r="AQ174" s="22">
        <v>0.67413299999999998</v>
      </c>
      <c r="AR174" s="22">
        <v>246.08799999999999</v>
      </c>
      <c r="AS174" s="22">
        <v>-1.8749999999999999E-2</v>
      </c>
      <c r="AT174" s="22">
        <v>164</v>
      </c>
      <c r="AU174" s="22">
        <v>0.67349199999999998</v>
      </c>
      <c r="AV174">
        <f t="shared" si="32"/>
        <v>18.75</v>
      </c>
      <c r="AW174">
        <f t="shared" si="33"/>
        <v>12.63999375</v>
      </c>
      <c r="AX174" s="9"/>
      <c r="AY174" s="22">
        <v>0.72586099999999998</v>
      </c>
      <c r="AZ174" s="22">
        <v>294.99</v>
      </c>
      <c r="BA174" s="22">
        <v>-1.8692E-2</v>
      </c>
      <c r="BB174" s="22">
        <v>164</v>
      </c>
      <c r="BC174" s="22">
        <v>0.72549399999999997</v>
      </c>
      <c r="BD174">
        <f t="shared" si="34"/>
        <v>18.692</v>
      </c>
      <c r="BE174">
        <f t="shared" si="35"/>
        <v>13.567793812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0.66909799999999997</v>
      </c>
      <c r="H175" s="22">
        <v>50.760899999999999</v>
      </c>
      <c r="I175" s="22">
        <v>-1.8780499999999999E-2</v>
      </c>
      <c r="J175" s="22">
        <v>165</v>
      </c>
      <c r="K175" s="22">
        <v>0.66845699999999997</v>
      </c>
      <c r="L175">
        <f t="shared" si="24"/>
        <v>18.7805</v>
      </c>
      <c r="M175">
        <f t="shared" si="25"/>
        <v>12.565994989</v>
      </c>
      <c r="N175" s="9"/>
      <c r="O175" s="22">
        <v>0.73089599999999999</v>
      </c>
      <c r="P175" s="22">
        <v>99.587299999999999</v>
      </c>
      <c r="Q175" s="22">
        <v>-1.8701200000000001E-2</v>
      </c>
      <c r="R175" s="22">
        <v>165</v>
      </c>
      <c r="S175" s="22">
        <v>0.73062099999999996</v>
      </c>
      <c r="T175">
        <f t="shared" si="26"/>
        <v>18.7012</v>
      </c>
      <c r="U175">
        <f t="shared" si="27"/>
        <v>13.6686322752</v>
      </c>
      <c r="X175" s="9"/>
      <c r="Y175" s="22">
        <v>0.66909799999999997</v>
      </c>
      <c r="Z175" s="22">
        <v>148.53100000000001</v>
      </c>
      <c r="AA175" s="22">
        <v>-1.87592E-2</v>
      </c>
      <c r="AB175" s="22">
        <v>165</v>
      </c>
      <c r="AC175" s="22">
        <v>0.66830400000000001</v>
      </c>
      <c r="AD175">
        <f t="shared" si="28"/>
        <v>18.7592</v>
      </c>
      <c r="AE175">
        <f t="shared" si="29"/>
        <v>12.551743201599999</v>
      </c>
      <c r="AF175" s="9"/>
      <c r="AG175" s="22">
        <v>0.73089599999999999</v>
      </c>
      <c r="AH175" s="22">
        <v>197.32900000000001</v>
      </c>
      <c r="AI175" s="22">
        <v>-1.8695099999999999E-2</v>
      </c>
      <c r="AJ175" s="22">
        <v>165</v>
      </c>
      <c r="AK175" s="22">
        <v>0.73019400000000001</v>
      </c>
      <c r="AL175">
        <f t="shared" si="30"/>
        <v>18.6951</v>
      </c>
      <c r="AM175">
        <f t="shared" si="31"/>
        <v>13.664173809599999</v>
      </c>
      <c r="AP175" s="9"/>
      <c r="AQ175" s="22">
        <v>0.66909799999999997</v>
      </c>
      <c r="AR175" s="22">
        <v>246.09800000000001</v>
      </c>
      <c r="AS175" s="22">
        <v>-1.8753100000000002E-2</v>
      </c>
      <c r="AT175" s="22">
        <v>165</v>
      </c>
      <c r="AU175" s="22">
        <v>0.66827400000000003</v>
      </c>
      <c r="AV175">
        <f t="shared" si="32"/>
        <v>18.753100000000003</v>
      </c>
      <c r="AW175">
        <f t="shared" si="33"/>
        <v>12.547661703800001</v>
      </c>
      <c r="AX175" s="9"/>
      <c r="AY175" s="22">
        <v>0.73089599999999999</v>
      </c>
      <c r="AZ175" s="22">
        <v>295</v>
      </c>
      <c r="BA175" s="22">
        <v>-1.8685899999999998E-2</v>
      </c>
      <c r="BB175" s="22">
        <v>165</v>
      </c>
      <c r="BC175" s="22">
        <v>0.73028599999999999</v>
      </c>
      <c r="BD175">
        <f t="shared" si="34"/>
        <v>18.685899999999997</v>
      </c>
      <c r="BE175">
        <f t="shared" si="35"/>
        <v>13.657449566399997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0.66406299999999996</v>
      </c>
      <c r="H176" s="22">
        <v>50.770899999999997</v>
      </c>
      <c r="I176" s="22">
        <v>-1.8783600000000001E-2</v>
      </c>
      <c r="J176" s="22">
        <v>166</v>
      </c>
      <c r="K176" s="22">
        <v>0.66320800000000002</v>
      </c>
      <c r="L176">
        <f t="shared" si="24"/>
        <v>18.7836</v>
      </c>
      <c r="M176">
        <f t="shared" si="25"/>
        <v>12.473493766799999</v>
      </c>
      <c r="N176" s="9"/>
      <c r="O176" s="22">
        <v>0.735931</v>
      </c>
      <c r="P176" s="22">
        <v>99.597300000000004</v>
      </c>
      <c r="Q176" s="22">
        <v>-1.8698099999999999E-2</v>
      </c>
      <c r="R176" s="22">
        <v>166</v>
      </c>
      <c r="S176" s="22">
        <v>0.735016</v>
      </c>
      <c r="T176">
        <f t="shared" si="26"/>
        <v>18.6981</v>
      </c>
      <c r="U176">
        <f t="shared" si="27"/>
        <v>13.760511431099999</v>
      </c>
      <c r="X176" s="9"/>
      <c r="Y176" s="22">
        <v>0.66406299999999996</v>
      </c>
      <c r="Z176" s="22">
        <v>148.541</v>
      </c>
      <c r="AA176" s="22">
        <v>-1.8765299999999999E-2</v>
      </c>
      <c r="AB176" s="22">
        <v>166</v>
      </c>
      <c r="AC176" s="22">
        <v>0.66332999999999998</v>
      </c>
      <c r="AD176">
        <f t="shared" si="28"/>
        <v>18.7653</v>
      </c>
      <c r="AE176">
        <f t="shared" si="29"/>
        <v>12.4613414139</v>
      </c>
      <c r="AF176" s="9"/>
      <c r="AG176" s="22">
        <v>0.735931</v>
      </c>
      <c r="AH176" s="22">
        <v>197.339</v>
      </c>
      <c r="AI176" s="22">
        <v>-1.8692E-2</v>
      </c>
      <c r="AJ176" s="22">
        <v>166</v>
      </c>
      <c r="AK176" s="22">
        <v>0.73513799999999996</v>
      </c>
      <c r="AL176">
        <f t="shared" si="30"/>
        <v>18.692</v>
      </c>
      <c r="AM176">
        <f t="shared" si="31"/>
        <v>13.756022251999999</v>
      </c>
      <c r="AP176" s="9"/>
      <c r="AQ176" s="22">
        <v>0.66406299999999996</v>
      </c>
      <c r="AR176" s="22">
        <v>246.10900000000001</v>
      </c>
      <c r="AS176" s="22">
        <v>-1.8756100000000001E-2</v>
      </c>
      <c r="AT176" s="22">
        <v>166</v>
      </c>
      <c r="AU176" s="22">
        <v>0.66317700000000002</v>
      </c>
      <c r="AV176">
        <f t="shared" si="32"/>
        <v>18.7561</v>
      </c>
      <c r="AW176">
        <f t="shared" si="33"/>
        <v>12.4552320343</v>
      </c>
      <c r="AX176" s="9"/>
      <c r="AY176" s="22">
        <v>0.735931</v>
      </c>
      <c r="AZ176" s="22">
        <v>295.01</v>
      </c>
      <c r="BA176" s="22">
        <v>-1.86768E-2</v>
      </c>
      <c r="BB176" s="22">
        <v>166</v>
      </c>
      <c r="BC176" s="22">
        <v>0.73495500000000002</v>
      </c>
      <c r="BD176">
        <f t="shared" si="34"/>
        <v>18.6768</v>
      </c>
      <c r="BE176">
        <f t="shared" si="35"/>
        <v>13.744836100800001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0.65902700000000003</v>
      </c>
      <c r="H177" s="22">
        <v>50.780999999999999</v>
      </c>
      <c r="I177" s="22">
        <v>-1.8783600000000001E-2</v>
      </c>
      <c r="J177" s="22">
        <v>167</v>
      </c>
      <c r="K177" s="22">
        <v>0.65829499999999996</v>
      </c>
      <c r="L177">
        <f t="shared" si="24"/>
        <v>18.7836</v>
      </c>
      <c r="M177">
        <f t="shared" si="25"/>
        <v>12.3788995572</v>
      </c>
      <c r="N177" s="9"/>
      <c r="O177" s="22">
        <v>0.74096700000000004</v>
      </c>
      <c r="P177" s="22">
        <v>99.607399999999998</v>
      </c>
      <c r="Q177" s="22">
        <v>-1.8692E-2</v>
      </c>
      <c r="R177" s="22">
        <v>167</v>
      </c>
      <c r="S177" s="22">
        <v>0.74053999999999998</v>
      </c>
      <c r="T177">
        <f t="shared" si="26"/>
        <v>18.692</v>
      </c>
      <c r="U177">
        <f t="shared" si="27"/>
        <v>13.850155164</v>
      </c>
      <c r="X177" s="9"/>
      <c r="Y177" s="22">
        <v>0.65902700000000003</v>
      </c>
      <c r="Z177" s="22">
        <v>148.55099999999999</v>
      </c>
      <c r="AA177" s="22">
        <v>-1.8771400000000001E-2</v>
      </c>
      <c r="AB177" s="22">
        <v>167</v>
      </c>
      <c r="AC177" s="22">
        <v>0.65823399999999999</v>
      </c>
      <c r="AD177">
        <f t="shared" si="28"/>
        <v>18.7714</v>
      </c>
      <c r="AE177">
        <f t="shared" si="29"/>
        <v>12.370859427800001</v>
      </c>
      <c r="AF177" s="9"/>
      <c r="AG177" s="22">
        <v>0.74096700000000004</v>
      </c>
      <c r="AH177" s="22">
        <v>197.34899999999999</v>
      </c>
      <c r="AI177" s="22">
        <v>-1.8689000000000001E-2</v>
      </c>
      <c r="AJ177" s="22">
        <v>167</v>
      </c>
      <c r="AK177" s="22">
        <v>0.74035600000000001</v>
      </c>
      <c r="AL177">
        <f t="shared" si="30"/>
        <v>18.689</v>
      </c>
      <c r="AM177">
        <f t="shared" si="31"/>
        <v>13.847932263000001</v>
      </c>
      <c r="AP177" s="9"/>
      <c r="AQ177" s="22">
        <v>0.65902700000000003</v>
      </c>
      <c r="AR177" s="22">
        <v>246.119</v>
      </c>
      <c r="AS177" s="22">
        <v>-1.87592E-2</v>
      </c>
      <c r="AT177" s="22">
        <v>167</v>
      </c>
      <c r="AU177" s="22">
        <v>0.65847800000000001</v>
      </c>
      <c r="AV177">
        <f t="shared" si="32"/>
        <v>18.7592</v>
      </c>
      <c r="AW177">
        <f t="shared" si="33"/>
        <v>12.3628192984</v>
      </c>
      <c r="AX177" s="9"/>
      <c r="AY177" s="22">
        <v>0.74096700000000004</v>
      </c>
      <c r="AZ177" s="22">
        <v>295.02</v>
      </c>
      <c r="BA177" s="22">
        <v>-1.8673700000000001E-2</v>
      </c>
      <c r="BB177" s="22">
        <v>167</v>
      </c>
      <c r="BC177" s="22">
        <v>0.74020399999999997</v>
      </c>
      <c r="BD177">
        <f t="shared" si="34"/>
        <v>18.6737</v>
      </c>
      <c r="BE177">
        <f t="shared" si="35"/>
        <v>13.836595467900001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0.65399200000000002</v>
      </c>
      <c r="H178" s="22">
        <v>50.7911</v>
      </c>
      <c r="I178" s="22">
        <v>-1.8786600000000001E-2</v>
      </c>
      <c r="J178" s="22">
        <v>168</v>
      </c>
      <c r="K178" s="22">
        <v>0.65329000000000004</v>
      </c>
      <c r="L178">
        <f t="shared" si="24"/>
        <v>18.7866</v>
      </c>
      <c r="M178">
        <f t="shared" si="25"/>
        <v>12.2862861072</v>
      </c>
      <c r="N178" s="9"/>
      <c r="O178" s="22">
        <v>0.74600200000000005</v>
      </c>
      <c r="P178" s="22">
        <v>99.617500000000007</v>
      </c>
      <c r="Q178" s="22">
        <v>-1.8685899999999998E-2</v>
      </c>
      <c r="R178" s="22">
        <v>168</v>
      </c>
      <c r="S178" s="22">
        <v>0.74529999999999996</v>
      </c>
      <c r="T178">
        <f t="shared" si="26"/>
        <v>18.685899999999997</v>
      </c>
      <c r="U178">
        <f t="shared" si="27"/>
        <v>13.939718771799999</v>
      </c>
      <c r="X178" s="9"/>
      <c r="Y178" s="22">
        <v>0.65399200000000002</v>
      </c>
      <c r="Z178" s="22">
        <v>148.56100000000001</v>
      </c>
      <c r="AA178" s="22">
        <v>-1.8777499999999999E-2</v>
      </c>
      <c r="AB178" s="22">
        <v>168</v>
      </c>
      <c r="AC178" s="22">
        <v>0.65322899999999995</v>
      </c>
      <c r="AD178">
        <f t="shared" si="28"/>
        <v>18.7775</v>
      </c>
      <c r="AE178">
        <f t="shared" si="29"/>
        <v>12.28033478</v>
      </c>
      <c r="AF178" s="9"/>
      <c r="AG178" s="22">
        <v>0.74600200000000005</v>
      </c>
      <c r="AH178" s="22">
        <v>197.35900000000001</v>
      </c>
      <c r="AI178" s="22">
        <v>-1.8685899999999998E-2</v>
      </c>
      <c r="AJ178" s="22">
        <v>168</v>
      </c>
      <c r="AK178" s="22">
        <v>0.74520900000000001</v>
      </c>
      <c r="AL178">
        <f t="shared" si="30"/>
        <v>18.685899999999997</v>
      </c>
      <c r="AM178">
        <f t="shared" si="31"/>
        <v>13.939718771799999</v>
      </c>
      <c r="AP178" s="9"/>
      <c r="AQ178" s="22">
        <v>0.65399200000000002</v>
      </c>
      <c r="AR178" s="22">
        <v>246.12899999999999</v>
      </c>
      <c r="AS178" s="22">
        <v>-1.8765299999999999E-2</v>
      </c>
      <c r="AT178" s="22">
        <v>168</v>
      </c>
      <c r="AU178" s="22">
        <v>0.65307599999999999</v>
      </c>
      <c r="AV178">
        <f t="shared" si="32"/>
        <v>18.7653</v>
      </c>
      <c r="AW178">
        <f t="shared" si="33"/>
        <v>12.2723560776</v>
      </c>
      <c r="AX178" s="9"/>
      <c r="AY178" s="22">
        <v>0.74600200000000005</v>
      </c>
      <c r="AZ178" s="22">
        <v>295.02999999999997</v>
      </c>
      <c r="BA178" s="22">
        <v>-1.8667599999999999E-2</v>
      </c>
      <c r="BB178" s="22">
        <v>168</v>
      </c>
      <c r="BC178" s="22">
        <v>0.74536100000000005</v>
      </c>
      <c r="BD178">
        <f t="shared" si="34"/>
        <v>18.6676</v>
      </c>
      <c r="BE178">
        <f t="shared" si="35"/>
        <v>13.926066935200001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0.64895599999999998</v>
      </c>
      <c r="H179" s="22">
        <v>50.801099999999998</v>
      </c>
      <c r="I179" s="22">
        <v>-1.8795800000000001E-2</v>
      </c>
      <c r="J179" s="22">
        <v>169</v>
      </c>
      <c r="K179" s="22">
        <v>0.648285</v>
      </c>
      <c r="L179">
        <f t="shared" si="24"/>
        <v>18.7958</v>
      </c>
      <c r="M179">
        <f t="shared" si="25"/>
        <v>12.197647184799999</v>
      </c>
      <c r="N179" s="9"/>
      <c r="O179" s="22">
        <v>0.75103799999999998</v>
      </c>
      <c r="P179" s="22">
        <v>99.627499999999998</v>
      </c>
      <c r="Q179" s="22">
        <v>-1.8682899999999999E-2</v>
      </c>
      <c r="R179" s="22">
        <v>169</v>
      </c>
      <c r="S179" s="22">
        <v>0.75039699999999998</v>
      </c>
      <c r="T179">
        <f t="shared" si="26"/>
        <v>18.6829</v>
      </c>
      <c r="U179">
        <f t="shared" si="27"/>
        <v>14.0315678502</v>
      </c>
      <c r="X179" s="9"/>
      <c r="Y179" s="22">
        <v>0.64895599999999998</v>
      </c>
      <c r="Z179" s="22">
        <v>148.571</v>
      </c>
      <c r="AA179" s="22">
        <v>-1.8780499999999999E-2</v>
      </c>
      <c r="AB179" s="22">
        <v>169</v>
      </c>
      <c r="AC179" s="22">
        <v>0.64813200000000004</v>
      </c>
      <c r="AD179">
        <f t="shared" si="28"/>
        <v>18.7805</v>
      </c>
      <c r="AE179">
        <f t="shared" si="29"/>
        <v>12.187718157999999</v>
      </c>
      <c r="AF179" s="9"/>
      <c r="AG179" s="22">
        <v>0.75103799999999998</v>
      </c>
      <c r="AH179" s="22">
        <v>197.369</v>
      </c>
      <c r="AI179" s="22">
        <v>-1.86798E-2</v>
      </c>
      <c r="AJ179" s="22">
        <v>169</v>
      </c>
      <c r="AK179" s="22">
        <v>0.75024400000000002</v>
      </c>
      <c r="AL179">
        <f t="shared" si="30"/>
        <v>18.6798</v>
      </c>
      <c r="AM179">
        <f t="shared" si="31"/>
        <v>14.029239632399999</v>
      </c>
      <c r="AP179" s="9"/>
      <c r="AQ179" s="22">
        <v>0.64895599999999998</v>
      </c>
      <c r="AR179" s="22">
        <v>246.13900000000001</v>
      </c>
      <c r="AS179" s="22">
        <v>-1.8771400000000001E-2</v>
      </c>
      <c r="AT179" s="22">
        <v>169</v>
      </c>
      <c r="AU179" s="22">
        <v>0.64831499999999997</v>
      </c>
      <c r="AV179">
        <f t="shared" si="32"/>
        <v>18.7714</v>
      </c>
      <c r="AW179">
        <f t="shared" si="33"/>
        <v>12.1818126584</v>
      </c>
      <c r="AX179" s="9"/>
      <c r="AY179" s="22">
        <v>0.75103799999999998</v>
      </c>
      <c r="AZ179" s="22">
        <v>295.04000000000002</v>
      </c>
      <c r="BA179" s="22">
        <v>-1.8661500000000001E-2</v>
      </c>
      <c r="BB179" s="22">
        <v>169</v>
      </c>
      <c r="BC179" s="22">
        <v>0.75015299999999996</v>
      </c>
      <c r="BD179">
        <f t="shared" si="34"/>
        <v>18.6615</v>
      </c>
      <c r="BE179">
        <f t="shared" si="35"/>
        <v>14.015495636999999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0.64392099999999997</v>
      </c>
      <c r="H180" s="22">
        <v>50.811199999999999</v>
      </c>
      <c r="I180" s="22">
        <v>-1.8795800000000001E-2</v>
      </c>
      <c r="J180" s="22">
        <v>170</v>
      </c>
      <c r="K180" s="22">
        <v>0.64324999999999999</v>
      </c>
      <c r="L180">
        <f t="shared" si="24"/>
        <v>18.7958</v>
      </c>
      <c r="M180">
        <f t="shared" si="25"/>
        <v>12.103010331799998</v>
      </c>
      <c r="N180" s="9"/>
      <c r="O180" s="22">
        <v>0.756073</v>
      </c>
      <c r="P180" s="22">
        <v>99.637600000000006</v>
      </c>
      <c r="Q180" s="22">
        <v>-1.86768E-2</v>
      </c>
      <c r="R180" s="22">
        <v>170</v>
      </c>
      <c r="S180" s="22">
        <v>0.75470000000000004</v>
      </c>
      <c r="T180">
        <f t="shared" si="26"/>
        <v>18.6768</v>
      </c>
      <c r="U180">
        <f t="shared" si="27"/>
        <v>14.1210242064</v>
      </c>
      <c r="X180" s="9"/>
      <c r="Y180" s="22">
        <v>0.64392099999999997</v>
      </c>
      <c r="Z180" s="22">
        <v>148.58099999999999</v>
      </c>
      <c r="AA180" s="22">
        <v>-1.8783600000000001E-2</v>
      </c>
      <c r="AB180" s="22">
        <v>170</v>
      </c>
      <c r="AC180" s="22">
        <v>0.64346300000000001</v>
      </c>
      <c r="AD180">
        <f t="shared" si="28"/>
        <v>18.7836</v>
      </c>
      <c r="AE180">
        <f t="shared" si="29"/>
        <v>12.095154495599999</v>
      </c>
      <c r="AF180" s="9"/>
      <c r="AG180" s="22">
        <v>0.756073</v>
      </c>
      <c r="AH180" s="22">
        <v>197.37899999999999</v>
      </c>
      <c r="AI180" s="22">
        <v>-1.86768E-2</v>
      </c>
      <c r="AJ180" s="22">
        <v>170</v>
      </c>
      <c r="AK180" s="22">
        <v>0.75561500000000004</v>
      </c>
      <c r="AL180">
        <f t="shared" si="30"/>
        <v>18.6768</v>
      </c>
      <c r="AM180">
        <f t="shared" si="31"/>
        <v>14.1210242064</v>
      </c>
      <c r="AP180" s="9"/>
      <c r="AQ180" s="22">
        <v>0.64392099999999997</v>
      </c>
      <c r="AR180" s="22">
        <v>246.149</v>
      </c>
      <c r="AS180" s="22">
        <v>-1.8777499999999999E-2</v>
      </c>
      <c r="AT180" s="22">
        <v>170</v>
      </c>
      <c r="AU180" s="22">
        <v>0.64300500000000005</v>
      </c>
      <c r="AV180">
        <f t="shared" si="32"/>
        <v>18.7775</v>
      </c>
      <c r="AW180">
        <f t="shared" si="33"/>
        <v>12.091226577499999</v>
      </c>
      <c r="AX180" s="9"/>
      <c r="AY180" s="22">
        <v>0.756073</v>
      </c>
      <c r="AZ180" s="22">
        <v>295.05</v>
      </c>
      <c r="BA180" s="22">
        <v>-1.8655399999999999E-2</v>
      </c>
      <c r="BB180" s="22">
        <v>170</v>
      </c>
      <c r="BC180" s="22">
        <v>0.75500500000000004</v>
      </c>
      <c r="BD180">
        <f t="shared" si="34"/>
        <v>18.6554</v>
      </c>
      <c r="BE180">
        <f t="shared" si="35"/>
        <v>14.104844244200001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0.63888500000000004</v>
      </c>
      <c r="H181" s="22">
        <v>50.821300000000001</v>
      </c>
      <c r="I181" s="22">
        <v>-1.88019E-2</v>
      </c>
      <c r="J181" s="22">
        <v>171</v>
      </c>
      <c r="K181" s="22">
        <v>0.63845799999999997</v>
      </c>
      <c r="L181">
        <f t="shared" si="24"/>
        <v>18.8019</v>
      </c>
      <c r="M181">
        <f t="shared" si="25"/>
        <v>12.012251881500001</v>
      </c>
      <c r="N181" s="9"/>
      <c r="O181" s="22">
        <v>0.76110800000000001</v>
      </c>
      <c r="P181" s="22">
        <v>99.6477</v>
      </c>
      <c r="Q181" s="22">
        <v>-1.8673700000000001E-2</v>
      </c>
      <c r="R181" s="22">
        <v>171</v>
      </c>
      <c r="S181" s="22">
        <v>0.76019300000000001</v>
      </c>
      <c r="T181">
        <f t="shared" si="26"/>
        <v>18.6737</v>
      </c>
      <c r="U181">
        <f t="shared" si="27"/>
        <v>14.212702459600001</v>
      </c>
      <c r="X181" s="9"/>
      <c r="Y181" s="22">
        <v>0.63888500000000004</v>
      </c>
      <c r="Z181" s="22">
        <v>148.59100000000001</v>
      </c>
      <c r="AA181" s="22">
        <v>-1.8786600000000001E-2</v>
      </c>
      <c r="AB181" s="22">
        <v>171</v>
      </c>
      <c r="AC181" s="22">
        <v>0.63806200000000002</v>
      </c>
      <c r="AD181">
        <f t="shared" si="28"/>
        <v>18.7866</v>
      </c>
      <c r="AE181">
        <f t="shared" si="29"/>
        <v>12.002476941000001</v>
      </c>
      <c r="AF181" s="9"/>
      <c r="AG181" s="22">
        <v>0.76110800000000001</v>
      </c>
      <c r="AH181" s="22">
        <v>197.39</v>
      </c>
      <c r="AI181" s="22">
        <v>-1.8670699999999998E-2</v>
      </c>
      <c r="AJ181" s="22">
        <v>171</v>
      </c>
      <c r="AK181" s="22">
        <v>0.76019300000000001</v>
      </c>
      <c r="AL181">
        <f t="shared" si="30"/>
        <v>18.6707</v>
      </c>
      <c r="AM181">
        <f t="shared" si="31"/>
        <v>14.2104191356</v>
      </c>
      <c r="AP181" s="9"/>
      <c r="AQ181" s="22">
        <v>0.63888500000000004</v>
      </c>
      <c r="AR181" s="22">
        <v>246.15899999999999</v>
      </c>
      <c r="AS181" s="22">
        <v>-1.8780499999999999E-2</v>
      </c>
      <c r="AT181" s="22">
        <v>171</v>
      </c>
      <c r="AU181" s="22">
        <v>0.63833600000000001</v>
      </c>
      <c r="AV181">
        <f t="shared" si="32"/>
        <v>18.7805</v>
      </c>
      <c r="AW181">
        <f t="shared" si="33"/>
        <v>11.9985797425</v>
      </c>
      <c r="AX181" s="9"/>
      <c r="AY181" s="22">
        <v>0.76110800000000001</v>
      </c>
      <c r="AZ181" s="22">
        <v>295.06</v>
      </c>
      <c r="BA181" s="22">
        <v>-1.8649300000000001E-2</v>
      </c>
      <c r="BB181" s="22">
        <v>171</v>
      </c>
      <c r="BC181" s="22">
        <v>0.76110800000000001</v>
      </c>
      <c r="BD181">
        <f t="shared" si="34"/>
        <v>18.6493</v>
      </c>
      <c r="BE181">
        <f t="shared" si="35"/>
        <v>14.1941314244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0.63385000000000002</v>
      </c>
      <c r="H182" s="22">
        <v>50.831299999999999</v>
      </c>
      <c r="I182" s="22">
        <v>-1.8804899999999999E-2</v>
      </c>
      <c r="J182" s="22">
        <v>172</v>
      </c>
      <c r="K182" s="22">
        <v>0.63314800000000004</v>
      </c>
      <c r="L182">
        <f t="shared" si="24"/>
        <v>18.8049</v>
      </c>
      <c r="M182">
        <f t="shared" si="25"/>
        <v>11.919485865</v>
      </c>
      <c r="N182" s="9"/>
      <c r="O182" s="22">
        <v>0.76614400000000005</v>
      </c>
      <c r="P182" s="22">
        <v>99.657799999999995</v>
      </c>
      <c r="Q182" s="22">
        <v>-1.8670699999999998E-2</v>
      </c>
      <c r="R182" s="22">
        <v>172</v>
      </c>
      <c r="S182" s="22">
        <v>0.76538099999999998</v>
      </c>
      <c r="T182">
        <f t="shared" si="26"/>
        <v>18.6707</v>
      </c>
      <c r="U182">
        <f t="shared" si="27"/>
        <v>14.304444780800001</v>
      </c>
      <c r="X182" s="9"/>
      <c r="Y182" s="22">
        <v>0.63385000000000002</v>
      </c>
      <c r="Z182" s="22">
        <v>148.601</v>
      </c>
      <c r="AA182" s="22">
        <v>-1.8789699999999999E-2</v>
      </c>
      <c r="AB182" s="22">
        <v>172</v>
      </c>
      <c r="AC182" s="22">
        <v>0.63327</v>
      </c>
      <c r="AD182">
        <f t="shared" si="28"/>
        <v>18.7897</v>
      </c>
      <c r="AE182">
        <f t="shared" si="29"/>
        <v>11.909851345</v>
      </c>
      <c r="AF182" s="9"/>
      <c r="AG182" s="22">
        <v>0.76614400000000005</v>
      </c>
      <c r="AH182" s="22">
        <v>197.4</v>
      </c>
      <c r="AI182" s="22">
        <v>-1.86646E-2</v>
      </c>
      <c r="AJ182" s="22">
        <v>172</v>
      </c>
      <c r="AK182" s="22">
        <v>0.76507599999999998</v>
      </c>
      <c r="AL182">
        <f t="shared" si="30"/>
        <v>18.6646</v>
      </c>
      <c r="AM182">
        <f t="shared" si="31"/>
        <v>14.299771302400002</v>
      </c>
      <c r="AP182" s="9"/>
      <c r="AQ182" s="22">
        <v>0.63385000000000002</v>
      </c>
      <c r="AR182" s="22">
        <v>246.16900000000001</v>
      </c>
      <c r="AS182" s="22">
        <v>-1.8783600000000001E-2</v>
      </c>
      <c r="AT182" s="22">
        <v>172</v>
      </c>
      <c r="AU182" s="22">
        <v>0.63293500000000003</v>
      </c>
      <c r="AV182">
        <f t="shared" si="32"/>
        <v>18.7836</v>
      </c>
      <c r="AW182">
        <f t="shared" si="33"/>
        <v>11.90598486</v>
      </c>
      <c r="AX182" s="9"/>
      <c r="AY182" s="22">
        <v>0.76614400000000005</v>
      </c>
      <c r="AZ182" s="22">
        <v>295.07</v>
      </c>
      <c r="BA182" s="22">
        <v>-1.8646200000000002E-2</v>
      </c>
      <c r="BB182" s="22">
        <v>172</v>
      </c>
      <c r="BC182" s="22">
        <v>0.76477099999999998</v>
      </c>
      <c r="BD182">
        <f t="shared" si="34"/>
        <v>18.6462</v>
      </c>
      <c r="BE182">
        <f t="shared" si="35"/>
        <v>14.285674252800002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0.62881500000000001</v>
      </c>
      <c r="H183" s="22">
        <v>50.8414</v>
      </c>
      <c r="I183" s="22">
        <v>-1.8811000000000001E-2</v>
      </c>
      <c r="J183" s="22">
        <v>173</v>
      </c>
      <c r="K183" s="22">
        <v>0.62795999999999996</v>
      </c>
      <c r="L183">
        <f t="shared" si="24"/>
        <v>18.811</v>
      </c>
      <c r="M183">
        <f t="shared" si="25"/>
        <v>11.828638965</v>
      </c>
      <c r="N183" s="9"/>
      <c r="O183" s="22">
        <v>0.77117899999999995</v>
      </c>
      <c r="P183" s="22">
        <v>99.6678</v>
      </c>
      <c r="Q183" s="22">
        <v>-1.8667599999999999E-2</v>
      </c>
      <c r="R183" s="22">
        <v>173</v>
      </c>
      <c r="S183" s="22">
        <v>0.77056899999999995</v>
      </c>
      <c r="T183">
        <f t="shared" si="26"/>
        <v>18.6676</v>
      </c>
      <c r="U183">
        <f t="shared" si="27"/>
        <v>14.396061100399999</v>
      </c>
      <c r="X183" s="9"/>
      <c r="Y183" s="22">
        <v>0.62881500000000001</v>
      </c>
      <c r="Z183" s="22">
        <v>148.61099999999999</v>
      </c>
      <c r="AA183" s="22">
        <v>-1.8792699999999999E-2</v>
      </c>
      <c r="AB183" s="22">
        <v>173</v>
      </c>
      <c r="AC183" s="22">
        <v>0.62832600000000005</v>
      </c>
      <c r="AD183">
        <f t="shared" si="28"/>
        <v>18.7927</v>
      </c>
      <c r="AE183">
        <f t="shared" si="29"/>
        <v>11.8171316505</v>
      </c>
      <c r="AF183" s="9"/>
      <c r="AG183" s="22">
        <v>0.77117899999999995</v>
      </c>
      <c r="AH183" s="22">
        <v>197.41</v>
      </c>
      <c r="AI183" s="22">
        <v>-1.8661500000000001E-2</v>
      </c>
      <c r="AJ183" s="22">
        <v>173</v>
      </c>
      <c r="AK183" s="22">
        <v>0.77056899999999995</v>
      </c>
      <c r="AL183">
        <f t="shared" si="30"/>
        <v>18.6615</v>
      </c>
      <c r="AM183">
        <f t="shared" si="31"/>
        <v>14.391356908499999</v>
      </c>
      <c r="AP183" s="9"/>
      <c r="AQ183" s="22">
        <v>0.62881500000000001</v>
      </c>
      <c r="AR183" s="22">
        <v>246.179</v>
      </c>
      <c r="AS183" s="22">
        <v>-1.8792699999999999E-2</v>
      </c>
      <c r="AT183" s="22">
        <v>173</v>
      </c>
      <c r="AU183" s="22">
        <v>0.62835700000000005</v>
      </c>
      <c r="AV183">
        <f t="shared" si="32"/>
        <v>18.7927</v>
      </c>
      <c r="AW183">
        <f t="shared" si="33"/>
        <v>11.8171316505</v>
      </c>
      <c r="AX183" s="9"/>
      <c r="AY183" s="22">
        <v>0.77117899999999995</v>
      </c>
      <c r="AZ183" s="22">
        <v>295.08100000000002</v>
      </c>
      <c r="BA183" s="22">
        <v>-1.86371E-2</v>
      </c>
      <c r="BB183" s="22">
        <v>173</v>
      </c>
      <c r="BC183" s="22">
        <v>0.76995800000000003</v>
      </c>
      <c r="BD183">
        <f t="shared" si="34"/>
        <v>18.6371</v>
      </c>
      <c r="BE183">
        <f t="shared" si="35"/>
        <v>14.3725401409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0.62377899999999997</v>
      </c>
      <c r="H184" s="22">
        <v>50.851500000000001</v>
      </c>
      <c r="I184" s="22">
        <v>-1.88171E-2</v>
      </c>
      <c r="J184" s="22">
        <v>174</v>
      </c>
      <c r="K184" s="22">
        <v>0.623108</v>
      </c>
      <c r="L184">
        <f t="shared" si="24"/>
        <v>18.8171</v>
      </c>
      <c r="M184">
        <f t="shared" si="25"/>
        <v>11.7377118209</v>
      </c>
      <c r="N184" s="9"/>
      <c r="O184" s="22">
        <v>0.77621499999999999</v>
      </c>
      <c r="P184" s="22">
        <v>99.677899999999994</v>
      </c>
      <c r="Q184" s="22">
        <v>-1.86646E-2</v>
      </c>
      <c r="R184" s="22">
        <v>174</v>
      </c>
      <c r="S184" s="22">
        <v>0.774536</v>
      </c>
      <c r="T184">
        <f t="shared" si="26"/>
        <v>18.6646</v>
      </c>
      <c r="U184">
        <f t="shared" si="27"/>
        <v>14.487742489</v>
      </c>
      <c r="X184" s="9"/>
      <c r="Y184" s="22">
        <v>0.62377899999999997</v>
      </c>
      <c r="Z184" s="22">
        <v>148.62100000000001</v>
      </c>
      <c r="AA184" s="22">
        <v>-1.8798800000000001E-2</v>
      </c>
      <c r="AB184" s="22">
        <v>174</v>
      </c>
      <c r="AC184" s="22">
        <v>0.62289399999999995</v>
      </c>
      <c r="AD184">
        <f t="shared" si="28"/>
        <v>18.7988</v>
      </c>
      <c r="AE184">
        <f t="shared" si="29"/>
        <v>11.7262966652</v>
      </c>
      <c r="AF184" s="9"/>
      <c r="AG184" s="22">
        <v>0.77621499999999999</v>
      </c>
      <c r="AH184" s="22">
        <v>197.42</v>
      </c>
      <c r="AI184" s="22">
        <v>-1.8655399999999999E-2</v>
      </c>
      <c r="AJ184" s="22">
        <v>174</v>
      </c>
      <c r="AK184" s="22">
        <v>0.775146</v>
      </c>
      <c r="AL184">
        <f t="shared" si="30"/>
        <v>18.6554</v>
      </c>
      <c r="AM184">
        <f t="shared" si="31"/>
        <v>14.480601310999999</v>
      </c>
      <c r="AP184" s="9"/>
      <c r="AQ184" s="22">
        <v>0.62377899999999997</v>
      </c>
      <c r="AR184" s="22">
        <v>246.18899999999999</v>
      </c>
      <c r="AS184" s="22">
        <v>-1.8795800000000001E-2</v>
      </c>
      <c r="AT184" s="22">
        <v>174</v>
      </c>
      <c r="AU184" s="22">
        <v>0.62301600000000001</v>
      </c>
      <c r="AV184">
        <f t="shared" si="32"/>
        <v>18.7958</v>
      </c>
      <c r="AW184">
        <f t="shared" si="33"/>
        <v>11.724425328199999</v>
      </c>
      <c r="AX184" s="9"/>
      <c r="AY184" s="22">
        <v>0.77621499999999999</v>
      </c>
      <c r="AZ184" s="22">
        <v>295.09100000000001</v>
      </c>
      <c r="BA184" s="22">
        <v>-1.86401E-2</v>
      </c>
      <c r="BB184" s="22">
        <v>174</v>
      </c>
      <c r="BC184" s="22">
        <v>0.77545200000000003</v>
      </c>
      <c r="BD184">
        <f t="shared" si="34"/>
        <v>18.6401</v>
      </c>
      <c r="BE184">
        <f t="shared" si="35"/>
        <v>14.4687252215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0.61874399999999996</v>
      </c>
      <c r="H185" s="22">
        <v>50.861600000000003</v>
      </c>
      <c r="I185" s="22">
        <v>-1.8826300000000001E-2</v>
      </c>
      <c r="J185" s="22">
        <v>175</v>
      </c>
      <c r="K185" s="22">
        <v>0.61837799999999998</v>
      </c>
      <c r="L185">
        <f t="shared" si="24"/>
        <v>18.8263</v>
      </c>
      <c r="M185">
        <f t="shared" si="25"/>
        <v>11.648660167199999</v>
      </c>
      <c r="N185" s="9"/>
      <c r="O185" s="22">
        <v>0.78125</v>
      </c>
      <c r="P185" s="22">
        <v>99.688000000000002</v>
      </c>
      <c r="Q185" s="22">
        <v>-1.8658399999999999E-2</v>
      </c>
      <c r="R185" s="22">
        <v>175</v>
      </c>
      <c r="S185" s="22">
        <v>0.780945</v>
      </c>
      <c r="T185">
        <f t="shared" si="26"/>
        <v>18.6584</v>
      </c>
      <c r="U185">
        <f t="shared" si="27"/>
        <v>14.576875000000001</v>
      </c>
      <c r="X185" s="9"/>
      <c r="Y185" s="22">
        <v>0.61874399999999996</v>
      </c>
      <c r="Z185" s="22">
        <v>148.631</v>
      </c>
      <c r="AA185" s="22">
        <v>-1.8804899999999999E-2</v>
      </c>
      <c r="AB185" s="22">
        <v>175</v>
      </c>
      <c r="AC185" s="22">
        <v>0.61792000000000002</v>
      </c>
      <c r="AD185">
        <f t="shared" si="28"/>
        <v>18.8049</v>
      </c>
      <c r="AE185">
        <f t="shared" si="29"/>
        <v>11.635419045599999</v>
      </c>
      <c r="AF185" s="9"/>
      <c r="AG185" s="22">
        <v>0.78125</v>
      </c>
      <c r="AH185" s="22">
        <v>197.43</v>
      </c>
      <c r="AI185" s="22">
        <v>-1.86523E-2</v>
      </c>
      <c r="AJ185" s="22">
        <v>175</v>
      </c>
      <c r="AK185" s="22">
        <v>0.78064</v>
      </c>
      <c r="AL185">
        <f t="shared" si="30"/>
        <v>18.6523</v>
      </c>
      <c r="AM185">
        <f t="shared" si="31"/>
        <v>14.572109375</v>
      </c>
      <c r="AP185" s="9"/>
      <c r="AQ185" s="22">
        <v>0.61874399999999996</v>
      </c>
      <c r="AR185" s="22">
        <v>246.19900000000001</v>
      </c>
      <c r="AS185" s="22">
        <v>-1.88019E-2</v>
      </c>
      <c r="AT185" s="22">
        <v>175</v>
      </c>
      <c r="AU185" s="22">
        <v>0.61813399999999996</v>
      </c>
      <c r="AV185">
        <f t="shared" si="32"/>
        <v>18.8019</v>
      </c>
      <c r="AW185">
        <f t="shared" si="33"/>
        <v>11.633562813599999</v>
      </c>
      <c r="AX185" s="9"/>
      <c r="AY185" s="22">
        <v>0.78125</v>
      </c>
      <c r="AZ185" s="22">
        <v>295.101</v>
      </c>
      <c r="BA185" s="22">
        <v>-1.86371E-2</v>
      </c>
      <c r="BB185" s="22">
        <v>175</v>
      </c>
      <c r="BC185" s="22">
        <v>0.780945</v>
      </c>
      <c r="BD185">
        <f t="shared" si="34"/>
        <v>18.6371</v>
      </c>
      <c r="BE185">
        <f t="shared" si="35"/>
        <v>14.560234375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0.61370800000000003</v>
      </c>
      <c r="H186" s="22">
        <v>50.871600000000001</v>
      </c>
      <c r="I186" s="22">
        <v>-1.8832399999999999E-2</v>
      </c>
      <c r="J186" s="22">
        <v>176</v>
      </c>
      <c r="K186" s="22">
        <v>0.61297599999999997</v>
      </c>
      <c r="L186">
        <f t="shared" si="24"/>
        <v>18.8324</v>
      </c>
      <c r="M186">
        <f t="shared" si="25"/>
        <v>11.5575945392</v>
      </c>
      <c r="N186" s="9"/>
      <c r="O186" s="22">
        <v>0.78628500000000001</v>
      </c>
      <c r="P186" s="22">
        <v>99.697999999999993</v>
      </c>
      <c r="Q186" s="22">
        <v>-1.8655399999999999E-2</v>
      </c>
      <c r="R186" s="22">
        <v>176</v>
      </c>
      <c r="S186" s="22">
        <v>0.78582799999999997</v>
      </c>
      <c r="T186">
        <f t="shared" si="26"/>
        <v>18.6554</v>
      </c>
      <c r="U186">
        <f t="shared" si="27"/>
        <v>14.668461189</v>
      </c>
      <c r="X186" s="9"/>
      <c r="Y186" s="22">
        <v>0.61370800000000003</v>
      </c>
      <c r="Z186" s="22">
        <v>148.64099999999999</v>
      </c>
      <c r="AA186" s="22">
        <v>-1.8811000000000001E-2</v>
      </c>
      <c r="AB186" s="22">
        <v>176</v>
      </c>
      <c r="AC186" s="22">
        <v>0.61267099999999997</v>
      </c>
      <c r="AD186">
        <f t="shared" si="28"/>
        <v>18.811</v>
      </c>
      <c r="AE186">
        <f t="shared" si="29"/>
        <v>11.544461188000001</v>
      </c>
      <c r="AF186" s="9"/>
      <c r="AG186" s="22">
        <v>0.78628500000000001</v>
      </c>
      <c r="AH186" s="22">
        <v>197.44</v>
      </c>
      <c r="AI186" s="22">
        <v>-1.8643199999999999E-2</v>
      </c>
      <c r="AJ186" s="22">
        <v>176</v>
      </c>
      <c r="AK186" s="22">
        <v>0.78521700000000005</v>
      </c>
      <c r="AL186">
        <f t="shared" si="30"/>
        <v>18.6432</v>
      </c>
      <c r="AM186">
        <f t="shared" si="31"/>
        <v>14.658868512</v>
      </c>
      <c r="AP186" s="9"/>
      <c r="AQ186" s="22">
        <v>0.61370800000000003</v>
      </c>
      <c r="AR186" s="22">
        <v>246.209</v>
      </c>
      <c r="AS186" s="22">
        <v>-1.8807999999999998E-2</v>
      </c>
      <c r="AT186" s="22">
        <v>176</v>
      </c>
      <c r="AU186" s="22">
        <v>0.61267099999999997</v>
      </c>
      <c r="AV186">
        <f t="shared" si="32"/>
        <v>18.808</v>
      </c>
      <c r="AW186">
        <f t="shared" si="33"/>
        <v>11.542620064000001</v>
      </c>
      <c r="AX186" s="9"/>
      <c r="AY186" s="22">
        <v>0.78628500000000001</v>
      </c>
      <c r="AZ186" s="22">
        <v>295.11099999999999</v>
      </c>
      <c r="BA186" s="22">
        <v>-1.8631000000000002E-2</v>
      </c>
      <c r="BB186" s="22">
        <v>176</v>
      </c>
      <c r="BC186" s="22">
        <v>0.78582799999999997</v>
      </c>
      <c r="BD186">
        <f t="shared" si="34"/>
        <v>18.631</v>
      </c>
      <c r="BE186">
        <f t="shared" si="35"/>
        <v>14.649275835000001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0.60867300000000002</v>
      </c>
      <c r="H187" s="22">
        <v>50.881700000000002</v>
      </c>
      <c r="I187" s="22">
        <v>-1.88416E-2</v>
      </c>
      <c r="J187" s="22">
        <v>177</v>
      </c>
      <c r="K187" s="22">
        <v>0.60778799999999999</v>
      </c>
      <c r="L187">
        <f t="shared" si="24"/>
        <v>18.8416</v>
      </c>
      <c r="M187">
        <f t="shared" si="25"/>
        <v>11.4683731968</v>
      </c>
      <c r="N187" s="9"/>
      <c r="O187" s="22">
        <v>0.79132100000000005</v>
      </c>
      <c r="P187" s="22">
        <v>99.708100000000002</v>
      </c>
      <c r="Q187" s="22">
        <v>-1.86523E-2</v>
      </c>
      <c r="R187" s="22">
        <v>177</v>
      </c>
      <c r="S187" s="22">
        <v>0.79010000000000002</v>
      </c>
      <c r="T187">
        <f t="shared" si="26"/>
        <v>18.6523</v>
      </c>
      <c r="U187">
        <f t="shared" si="27"/>
        <v>14.759956688300001</v>
      </c>
      <c r="X187" s="9"/>
      <c r="Y187" s="22">
        <v>0.60867300000000002</v>
      </c>
      <c r="Z187" s="22">
        <v>148.65199999999999</v>
      </c>
      <c r="AA187" s="22">
        <v>-1.8820199999999999E-2</v>
      </c>
      <c r="AB187" s="22">
        <v>177</v>
      </c>
      <c r="AC187" s="22">
        <v>0.60809299999999999</v>
      </c>
      <c r="AD187">
        <f t="shared" si="28"/>
        <v>18.8202</v>
      </c>
      <c r="AE187">
        <f t="shared" si="29"/>
        <v>11.455347594600001</v>
      </c>
      <c r="AF187" s="9"/>
      <c r="AG187" s="22">
        <v>0.79132100000000005</v>
      </c>
      <c r="AH187" s="22">
        <v>197.45</v>
      </c>
      <c r="AI187" s="22">
        <v>-1.86401E-2</v>
      </c>
      <c r="AJ187" s="22">
        <v>177</v>
      </c>
      <c r="AK187" s="22">
        <v>0.79010000000000002</v>
      </c>
      <c r="AL187">
        <f t="shared" si="30"/>
        <v>18.6401</v>
      </c>
      <c r="AM187">
        <f t="shared" si="31"/>
        <v>14.750302572100001</v>
      </c>
      <c r="AP187" s="9"/>
      <c r="AQ187" s="22">
        <v>0.60867300000000002</v>
      </c>
      <c r="AR187" s="22">
        <v>246.21899999999999</v>
      </c>
      <c r="AS187" s="22">
        <v>-1.8811000000000001E-2</v>
      </c>
      <c r="AT187" s="22">
        <v>177</v>
      </c>
      <c r="AU187" s="22">
        <v>0.60790999999999995</v>
      </c>
      <c r="AV187">
        <f t="shared" si="32"/>
        <v>18.811</v>
      </c>
      <c r="AW187">
        <f t="shared" si="33"/>
        <v>11.449747803000001</v>
      </c>
      <c r="AX187" s="9"/>
      <c r="AY187" s="22">
        <v>0.79132100000000005</v>
      </c>
      <c r="AZ187" s="22">
        <v>295.12099999999998</v>
      </c>
      <c r="BA187" s="22">
        <v>-1.86249E-2</v>
      </c>
      <c r="BB187" s="22">
        <v>177</v>
      </c>
      <c r="BC187" s="22">
        <v>0.79071000000000002</v>
      </c>
      <c r="BD187">
        <f t="shared" si="34"/>
        <v>18.6249</v>
      </c>
      <c r="BE187">
        <f t="shared" si="35"/>
        <v>14.7382744929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0.60363800000000001</v>
      </c>
      <c r="H188" s="22">
        <v>50.891800000000003</v>
      </c>
      <c r="I188" s="22">
        <v>-1.8847699999999998E-2</v>
      </c>
      <c r="J188" s="22">
        <v>178</v>
      </c>
      <c r="K188" s="22">
        <v>0.60290500000000002</v>
      </c>
      <c r="L188">
        <f t="shared" si="24"/>
        <v>18.8477</v>
      </c>
      <c r="M188">
        <f t="shared" si="25"/>
        <v>11.3771879326</v>
      </c>
      <c r="N188" s="9"/>
      <c r="O188" s="22">
        <v>0.79635599999999995</v>
      </c>
      <c r="P188" s="22">
        <v>99.718199999999996</v>
      </c>
      <c r="Q188" s="22">
        <v>-1.8649300000000001E-2</v>
      </c>
      <c r="R188" s="22">
        <v>178</v>
      </c>
      <c r="S188" s="22">
        <v>0.79528799999999999</v>
      </c>
      <c r="T188">
        <f t="shared" si="26"/>
        <v>18.6493</v>
      </c>
      <c r="U188">
        <f t="shared" si="27"/>
        <v>14.851481950799998</v>
      </c>
      <c r="X188" s="9"/>
      <c r="Y188" s="22">
        <v>0.60363800000000001</v>
      </c>
      <c r="Z188" s="22">
        <v>148.66200000000001</v>
      </c>
      <c r="AA188" s="22">
        <v>-1.8826300000000001E-2</v>
      </c>
      <c r="AB188" s="22">
        <v>178</v>
      </c>
      <c r="AC188" s="22">
        <v>0.60284400000000005</v>
      </c>
      <c r="AD188">
        <f t="shared" si="28"/>
        <v>18.8263</v>
      </c>
      <c r="AE188">
        <f t="shared" si="29"/>
        <v>11.364270079400001</v>
      </c>
      <c r="AF188" s="9"/>
      <c r="AG188" s="22">
        <v>0.79635599999999995</v>
      </c>
      <c r="AH188" s="22">
        <v>197.46</v>
      </c>
      <c r="AI188" s="22">
        <v>-1.8634000000000001E-2</v>
      </c>
      <c r="AJ188" s="22">
        <v>178</v>
      </c>
      <c r="AK188" s="22">
        <v>0.79589799999999999</v>
      </c>
      <c r="AL188">
        <f t="shared" si="30"/>
        <v>18.634</v>
      </c>
      <c r="AM188">
        <f t="shared" si="31"/>
        <v>14.839297704</v>
      </c>
      <c r="AP188" s="9"/>
      <c r="AQ188" s="22">
        <v>0.60363800000000001</v>
      </c>
      <c r="AR188" s="22">
        <v>246.22900000000001</v>
      </c>
      <c r="AS188" s="22">
        <v>-1.88171E-2</v>
      </c>
      <c r="AT188" s="22">
        <v>178</v>
      </c>
      <c r="AU188" s="22">
        <v>0.60299700000000001</v>
      </c>
      <c r="AV188">
        <f t="shared" si="32"/>
        <v>18.8171</v>
      </c>
      <c r="AW188">
        <f t="shared" si="33"/>
        <v>11.3587166098</v>
      </c>
      <c r="AX188" s="9"/>
      <c r="AY188" s="22">
        <v>0.79635599999999995</v>
      </c>
      <c r="AZ188" s="22">
        <v>295.13099999999997</v>
      </c>
      <c r="BA188" s="22">
        <v>-1.8621800000000001E-2</v>
      </c>
      <c r="BB188" s="22">
        <v>178</v>
      </c>
      <c r="BC188" s="22">
        <v>0.79559299999999999</v>
      </c>
      <c r="BD188">
        <f t="shared" si="34"/>
        <v>18.6218</v>
      </c>
      <c r="BE188">
        <f t="shared" si="35"/>
        <v>14.829582160799999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0.59860199999999997</v>
      </c>
      <c r="H189" s="22">
        <v>50.901800000000001</v>
      </c>
      <c r="I189" s="22">
        <v>-1.8850700000000001E-2</v>
      </c>
      <c r="J189" s="22">
        <v>179</v>
      </c>
      <c r="K189" s="22">
        <v>0.59780900000000003</v>
      </c>
      <c r="L189">
        <f t="shared" si="24"/>
        <v>18.8507</v>
      </c>
      <c r="M189">
        <f t="shared" si="25"/>
        <v>11.284066721399999</v>
      </c>
      <c r="N189" s="9"/>
      <c r="O189" s="22">
        <v>0.80139199999999999</v>
      </c>
      <c r="P189" s="22">
        <v>99.728300000000004</v>
      </c>
      <c r="Q189" s="22">
        <v>-1.8643199999999999E-2</v>
      </c>
      <c r="R189" s="22">
        <v>179</v>
      </c>
      <c r="S189" s="22">
        <v>0.80108599999999996</v>
      </c>
      <c r="T189">
        <f t="shared" si="26"/>
        <v>18.6432</v>
      </c>
      <c r="U189">
        <f t="shared" si="27"/>
        <v>14.9405113344</v>
      </c>
      <c r="X189" s="9"/>
      <c r="Y189" s="22">
        <v>0.59860199999999997</v>
      </c>
      <c r="Z189" s="22">
        <v>148.672</v>
      </c>
      <c r="AA189" s="22">
        <v>-1.8832399999999999E-2</v>
      </c>
      <c r="AB189" s="22">
        <v>179</v>
      </c>
      <c r="AC189" s="22">
        <v>0.59774799999999995</v>
      </c>
      <c r="AD189">
        <f t="shared" si="28"/>
        <v>18.8324</v>
      </c>
      <c r="AE189">
        <f t="shared" si="29"/>
        <v>11.2731123048</v>
      </c>
      <c r="AF189" s="9"/>
      <c r="AG189" s="22">
        <v>0.80139199999999999</v>
      </c>
      <c r="AH189" s="22">
        <v>197.47</v>
      </c>
      <c r="AI189" s="22">
        <v>-1.8627899999999999E-2</v>
      </c>
      <c r="AJ189" s="22">
        <v>179</v>
      </c>
      <c r="AK189" s="22">
        <v>0.80078099999999997</v>
      </c>
      <c r="AL189">
        <f t="shared" si="30"/>
        <v>18.6279</v>
      </c>
      <c r="AM189">
        <f t="shared" si="31"/>
        <v>14.9282500368</v>
      </c>
      <c r="AP189" s="9"/>
      <c r="AQ189" s="22">
        <v>0.59860199999999997</v>
      </c>
      <c r="AR189" s="22">
        <v>246.239</v>
      </c>
      <c r="AS189" s="22">
        <v>-1.8823199999999998E-2</v>
      </c>
      <c r="AT189" s="22">
        <v>179</v>
      </c>
      <c r="AU189" s="22">
        <v>0.59789999999999999</v>
      </c>
      <c r="AV189">
        <f t="shared" si="32"/>
        <v>18.8232</v>
      </c>
      <c r="AW189">
        <f t="shared" si="33"/>
        <v>11.267605166399999</v>
      </c>
      <c r="AX189" s="9"/>
      <c r="AY189" s="22">
        <v>0.80139199999999999</v>
      </c>
      <c r="AZ189" s="22">
        <v>295.14100000000002</v>
      </c>
      <c r="BA189" s="22">
        <v>-1.8618800000000001E-2</v>
      </c>
      <c r="BB189" s="22">
        <v>179</v>
      </c>
      <c r="BC189" s="22">
        <v>0.79986599999999997</v>
      </c>
      <c r="BD189">
        <f t="shared" si="34"/>
        <v>18.6188</v>
      </c>
      <c r="BE189">
        <f t="shared" si="35"/>
        <v>14.9209573696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0.59356699999999996</v>
      </c>
      <c r="H190" s="22">
        <v>50.911900000000003</v>
      </c>
      <c r="I190" s="22">
        <v>-1.8850700000000001E-2</v>
      </c>
      <c r="J190" s="22">
        <v>180</v>
      </c>
      <c r="K190" s="22">
        <v>0.59274300000000002</v>
      </c>
      <c r="L190">
        <f t="shared" si="24"/>
        <v>18.8507</v>
      </c>
      <c r="M190">
        <f t="shared" si="25"/>
        <v>11.189153446899999</v>
      </c>
      <c r="N190" s="9"/>
      <c r="O190" s="22">
        <v>0.806427</v>
      </c>
      <c r="P190" s="22">
        <v>99.738299999999995</v>
      </c>
      <c r="Q190" s="22">
        <v>-1.86371E-2</v>
      </c>
      <c r="R190" s="22">
        <v>180</v>
      </c>
      <c r="S190" s="22">
        <v>0.80566400000000005</v>
      </c>
      <c r="T190">
        <f t="shared" si="26"/>
        <v>18.6371</v>
      </c>
      <c r="U190">
        <f t="shared" si="27"/>
        <v>15.0294606417</v>
      </c>
      <c r="X190" s="9"/>
      <c r="Y190" s="22">
        <v>0.59356699999999996</v>
      </c>
      <c r="Z190" s="22">
        <v>148.68199999999999</v>
      </c>
      <c r="AA190" s="22">
        <v>-1.8835399999999999E-2</v>
      </c>
      <c r="AB190" s="22">
        <v>180</v>
      </c>
      <c r="AC190" s="22">
        <v>0.59295699999999996</v>
      </c>
      <c r="AD190">
        <f t="shared" si="28"/>
        <v>18.8354</v>
      </c>
      <c r="AE190">
        <f t="shared" si="29"/>
        <v>11.180071871799999</v>
      </c>
      <c r="AF190" s="9"/>
      <c r="AG190" s="22">
        <v>0.806427</v>
      </c>
      <c r="AH190" s="22">
        <v>197.48</v>
      </c>
      <c r="AI190" s="22">
        <v>-1.86249E-2</v>
      </c>
      <c r="AJ190" s="22">
        <v>180</v>
      </c>
      <c r="AK190" s="22">
        <v>0.80596900000000005</v>
      </c>
      <c r="AL190">
        <f t="shared" si="30"/>
        <v>18.6249</v>
      </c>
      <c r="AM190">
        <f t="shared" si="31"/>
        <v>15.0196222323</v>
      </c>
      <c r="AP190" s="9"/>
      <c r="AQ190" s="22">
        <v>0.59356699999999996</v>
      </c>
      <c r="AR190" s="22">
        <v>246.25</v>
      </c>
      <c r="AS190" s="22">
        <v>-1.8823199999999998E-2</v>
      </c>
      <c r="AT190" s="22">
        <v>180</v>
      </c>
      <c r="AU190" s="22">
        <v>0.59274300000000002</v>
      </c>
      <c r="AV190">
        <f t="shared" si="32"/>
        <v>18.8232</v>
      </c>
      <c r="AW190">
        <f t="shared" si="33"/>
        <v>11.172830354399998</v>
      </c>
      <c r="AX190" s="9"/>
      <c r="AY190" s="22">
        <v>0.806427</v>
      </c>
      <c r="AZ190" s="22">
        <v>295.15100000000001</v>
      </c>
      <c r="BA190" s="22">
        <v>-1.86096E-2</v>
      </c>
      <c r="BB190" s="22">
        <v>180</v>
      </c>
      <c r="BC190" s="22">
        <v>0.80596900000000005</v>
      </c>
      <c r="BD190">
        <f t="shared" si="34"/>
        <v>18.6096</v>
      </c>
      <c r="BE190">
        <f t="shared" si="35"/>
        <v>15.007283899200001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0.58853100000000003</v>
      </c>
      <c r="H191" s="22">
        <v>50.921999999999997</v>
      </c>
      <c r="I191" s="22">
        <v>-1.88568E-2</v>
      </c>
      <c r="J191" s="22">
        <v>181</v>
      </c>
      <c r="K191" s="22">
        <v>0.58847000000000005</v>
      </c>
      <c r="L191">
        <f t="shared" si="24"/>
        <v>18.8568</v>
      </c>
      <c r="M191">
        <f t="shared" si="25"/>
        <v>11.0978113608</v>
      </c>
      <c r="N191" s="9"/>
      <c r="O191" s="22">
        <v>0.81146200000000002</v>
      </c>
      <c r="P191" s="22">
        <v>99.748400000000004</v>
      </c>
      <c r="Q191" s="22">
        <v>-1.8627899999999999E-2</v>
      </c>
      <c r="R191" s="22">
        <v>181</v>
      </c>
      <c r="S191" s="22">
        <v>0.81085200000000002</v>
      </c>
      <c r="T191">
        <f t="shared" si="26"/>
        <v>18.6279</v>
      </c>
      <c r="U191">
        <f t="shared" si="27"/>
        <v>15.115832989800001</v>
      </c>
      <c r="X191" s="9"/>
      <c r="Y191" s="22">
        <v>0.58853100000000003</v>
      </c>
      <c r="Z191" s="22">
        <v>148.69200000000001</v>
      </c>
      <c r="AA191" s="22">
        <v>-1.8838500000000001E-2</v>
      </c>
      <c r="AB191" s="22">
        <v>181</v>
      </c>
      <c r="AC191" s="22">
        <v>0.58807399999999999</v>
      </c>
      <c r="AD191">
        <f t="shared" si="28"/>
        <v>18.8385</v>
      </c>
      <c r="AE191">
        <f t="shared" si="29"/>
        <v>11.0870412435</v>
      </c>
      <c r="AF191" s="9"/>
      <c r="AG191" s="22">
        <v>0.81146200000000002</v>
      </c>
      <c r="AH191" s="22">
        <v>197.49</v>
      </c>
      <c r="AI191" s="22">
        <v>-1.8621800000000001E-2</v>
      </c>
      <c r="AJ191" s="22">
        <v>181</v>
      </c>
      <c r="AK191" s="22">
        <v>0.81024200000000002</v>
      </c>
      <c r="AL191">
        <f t="shared" si="30"/>
        <v>18.6218</v>
      </c>
      <c r="AM191">
        <f t="shared" si="31"/>
        <v>15.1108830716</v>
      </c>
      <c r="AP191" s="9"/>
      <c r="AQ191" s="22">
        <v>0.58853100000000003</v>
      </c>
      <c r="AR191" s="22">
        <v>246.26</v>
      </c>
      <c r="AS191" s="22">
        <v>-1.88293E-2</v>
      </c>
      <c r="AT191" s="22">
        <v>181</v>
      </c>
      <c r="AU191" s="22">
        <v>0.58782999999999996</v>
      </c>
      <c r="AV191">
        <f t="shared" si="32"/>
        <v>18.8293</v>
      </c>
      <c r="AW191">
        <f t="shared" si="33"/>
        <v>11.081626758300001</v>
      </c>
      <c r="AX191" s="9"/>
      <c r="AY191" s="22">
        <v>0.81146200000000002</v>
      </c>
      <c r="AZ191" s="22">
        <v>295.161</v>
      </c>
      <c r="BA191" s="22">
        <v>-1.8606600000000001E-2</v>
      </c>
      <c r="BB191" s="22">
        <v>181</v>
      </c>
      <c r="BC191" s="22">
        <v>0.81054700000000002</v>
      </c>
      <c r="BD191">
        <f t="shared" si="34"/>
        <v>18.6066</v>
      </c>
      <c r="BE191">
        <f t="shared" si="35"/>
        <v>15.0985488492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0.58349600000000001</v>
      </c>
      <c r="H192" s="22">
        <v>50.932099999999998</v>
      </c>
      <c r="I192" s="22">
        <v>-1.8859899999999999E-2</v>
      </c>
      <c r="J192" s="22">
        <v>182</v>
      </c>
      <c r="K192" s="22">
        <v>0.58309900000000003</v>
      </c>
      <c r="L192">
        <f t="shared" si="24"/>
        <v>18.8599</v>
      </c>
      <c r="M192">
        <f t="shared" si="25"/>
        <v>11.0046762104</v>
      </c>
      <c r="N192" s="9"/>
      <c r="O192" s="22">
        <v>0.81649799999999995</v>
      </c>
      <c r="P192" s="22">
        <v>99.758499999999998</v>
      </c>
      <c r="Q192" s="22">
        <v>-1.8621800000000001E-2</v>
      </c>
      <c r="R192" s="22">
        <v>182</v>
      </c>
      <c r="S192" s="22">
        <v>0.81573499999999999</v>
      </c>
      <c r="T192">
        <f t="shared" si="26"/>
        <v>18.6218</v>
      </c>
      <c r="U192">
        <f t="shared" si="27"/>
        <v>15.204662456399999</v>
      </c>
      <c r="X192" s="9"/>
      <c r="Y192" s="22">
        <v>0.58349600000000001</v>
      </c>
      <c r="Z192" s="22">
        <v>148.702</v>
      </c>
      <c r="AA192" s="22">
        <v>-1.88446E-2</v>
      </c>
      <c r="AB192" s="22">
        <v>182</v>
      </c>
      <c r="AC192" s="22">
        <v>0.58273299999999995</v>
      </c>
      <c r="AD192">
        <f t="shared" si="28"/>
        <v>18.8446</v>
      </c>
      <c r="AE192">
        <f t="shared" si="29"/>
        <v>10.9957487216</v>
      </c>
      <c r="AF192" s="9"/>
      <c r="AG192" s="22">
        <v>0.81649799999999995</v>
      </c>
      <c r="AH192" s="22">
        <v>197.5</v>
      </c>
      <c r="AI192" s="22">
        <v>-1.8618800000000001E-2</v>
      </c>
      <c r="AJ192" s="22">
        <v>182</v>
      </c>
      <c r="AK192" s="22">
        <v>0.81542999999999999</v>
      </c>
      <c r="AL192">
        <f t="shared" si="30"/>
        <v>18.6188</v>
      </c>
      <c r="AM192">
        <f t="shared" si="31"/>
        <v>15.202212962399999</v>
      </c>
      <c r="AP192" s="9"/>
      <c r="AQ192" s="22">
        <v>0.58349600000000001</v>
      </c>
      <c r="AR192" s="22">
        <v>246.27</v>
      </c>
      <c r="AS192" s="22">
        <v>-1.8832399999999999E-2</v>
      </c>
      <c r="AT192" s="22">
        <v>182</v>
      </c>
      <c r="AU192" s="22">
        <v>0.58248900000000003</v>
      </c>
      <c r="AV192">
        <f t="shared" si="32"/>
        <v>18.8324</v>
      </c>
      <c r="AW192">
        <f t="shared" si="33"/>
        <v>10.988630070399999</v>
      </c>
      <c r="AX192" s="9"/>
      <c r="AY192" s="22">
        <v>0.81649799999999995</v>
      </c>
      <c r="AZ192" s="22">
        <v>295.17099999999999</v>
      </c>
      <c r="BA192" s="22">
        <v>-1.8603499999999999E-2</v>
      </c>
      <c r="BB192" s="22">
        <v>182</v>
      </c>
      <c r="BC192" s="22">
        <v>0.81542999999999999</v>
      </c>
      <c r="BD192">
        <f t="shared" si="34"/>
        <v>18.603499999999997</v>
      </c>
      <c r="BE192">
        <f t="shared" si="35"/>
        <v>15.189720542999996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0.578461</v>
      </c>
      <c r="H193" s="22">
        <v>50.942100000000003</v>
      </c>
      <c r="I193" s="22">
        <v>-1.8859899999999999E-2</v>
      </c>
      <c r="J193" s="22">
        <v>183</v>
      </c>
      <c r="K193" s="22">
        <v>0.57784999999999997</v>
      </c>
      <c r="L193">
        <f t="shared" si="24"/>
        <v>18.8599</v>
      </c>
      <c r="M193">
        <f t="shared" si="25"/>
        <v>10.909716613900001</v>
      </c>
      <c r="N193" s="9"/>
      <c r="O193" s="22">
        <v>0.82153299999999996</v>
      </c>
      <c r="P193" s="22">
        <v>99.768500000000003</v>
      </c>
      <c r="Q193" s="22">
        <v>-1.8618800000000001E-2</v>
      </c>
      <c r="R193" s="22">
        <v>183</v>
      </c>
      <c r="S193" s="22">
        <v>0.82122799999999996</v>
      </c>
      <c r="T193">
        <f t="shared" si="26"/>
        <v>18.6188</v>
      </c>
      <c r="U193">
        <f t="shared" si="27"/>
        <v>15.295958620399999</v>
      </c>
      <c r="X193" s="9"/>
      <c r="Y193" s="22">
        <v>0.578461</v>
      </c>
      <c r="Z193" s="22">
        <v>148.71199999999999</v>
      </c>
      <c r="AA193" s="22">
        <v>-1.8847699999999998E-2</v>
      </c>
      <c r="AB193" s="22">
        <v>183</v>
      </c>
      <c r="AC193" s="22">
        <v>0.57784999999999997</v>
      </c>
      <c r="AD193">
        <f t="shared" si="28"/>
        <v>18.8477</v>
      </c>
      <c r="AE193">
        <f t="shared" si="29"/>
        <v>10.9026593897</v>
      </c>
      <c r="AF193" s="9"/>
      <c r="AG193" s="22">
        <v>0.82153299999999996</v>
      </c>
      <c r="AH193" s="22">
        <v>197.51</v>
      </c>
      <c r="AI193" s="22">
        <v>-1.8612699999999999E-2</v>
      </c>
      <c r="AJ193" s="22">
        <v>183</v>
      </c>
      <c r="AK193" s="22">
        <v>0.82092299999999996</v>
      </c>
      <c r="AL193">
        <f t="shared" si="30"/>
        <v>18.6127</v>
      </c>
      <c r="AM193">
        <f t="shared" si="31"/>
        <v>15.2909472691</v>
      </c>
      <c r="AP193" s="9"/>
      <c r="AQ193" s="22">
        <v>0.578461</v>
      </c>
      <c r="AR193" s="22">
        <v>246.28</v>
      </c>
      <c r="AS193" s="22">
        <v>-1.8838500000000001E-2</v>
      </c>
      <c r="AT193" s="22">
        <v>183</v>
      </c>
      <c r="AU193" s="22">
        <v>0.57763699999999996</v>
      </c>
      <c r="AV193">
        <f t="shared" si="32"/>
        <v>18.8385</v>
      </c>
      <c r="AW193">
        <f t="shared" si="33"/>
        <v>10.897337548499999</v>
      </c>
      <c r="AX193" s="9"/>
      <c r="AY193" s="22">
        <v>0.82153299999999996</v>
      </c>
      <c r="AZ193" s="22">
        <v>295.18099999999998</v>
      </c>
      <c r="BA193" s="22">
        <v>-1.85974E-2</v>
      </c>
      <c r="BB193" s="22">
        <v>183</v>
      </c>
      <c r="BC193" s="22">
        <v>0.82061799999999996</v>
      </c>
      <c r="BD193">
        <f t="shared" si="34"/>
        <v>18.5974</v>
      </c>
      <c r="BE193">
        <f t="shared" si="35"/>
        <v>15.278377814199999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0.57342499999999996</v>
      </c>
      <c r="H194" s="22">
        <v>50.952199999999998</v>
      </c>
      <c r="I194" s="22">
        <v>-1.8866000000000001E-2</v>
      </c>
      <c r="J194" s="22">
        <v>184</v>
      </c>
      <c r="K194" s="22">
        <v>0.57293700000000003</v>
      </c>
      <c r="L194">
        <f t="shared" si="24"/>
        <v>18.866</v>
      </c>
      <c r="M194">
        <f t="shared" si="25"/>
        <v>10.818236049999999</v>
      </c>
      <c r="N194" s="9"/>
      <c r="O194" s="22">
        <v>0.826569</v>
      </c>
      <c r="P194" s="22">
        <v>99.778599999999997</v>
      </c>
      <c r="Q194" s="22">
        <v>-1.86096E-2</v>
      </c>
      <c r="R194" s="22">
        <v>184</v>
      </c>
      <c r="S194" s="22">
        <v>0.82550000000000001</v>
      </c>
      <c r="T194">
        <f t="shared" si="26"/>
        <v>18.6096</v>
      </c>
      <c r="U194">
        <f t="shared" si="27"/>
        <v>15.382118462400001</v>
      </c>
      <c r="X194" s="9"/>
      <c r="Y194" s="22">
        <v>0.57342499999999996</v>
      </c>
      <c r="Z194" s="22">
        <v>148.72200000000001</v>
      </c>
      <c r="AA194" s="22">
        <v>-1.8850700000000001E-2</v>
      </c>
      <c r="AB194" s="22">
        <v>184</v>
      </c>
      <c r="AC194" s="22">
        <v>0.57269300000000001</v>
      </c>
      <c r="AD194">
        <f t="shared" si="28"/>
        <v>18.8507</v>
      </c>
      <c r="AE194">
        <f t="shared" si="29"/>
        <v>10.809462647499998</v>
      </c>
      <c r="AF194" s="9"/>
      <c r="AG194" s="22">
        <v>0.826569</v>
      </c>
      <c r="AH194" s="22">
        <v>197.52</v>
      </c>
      <c r="AI194" s="22">
        <v>-1.8606600000000001E-2</v>
      </c>
      <c r="AJ194" s="22">
        <v>184</v>
      </c>
      <c r="AK194" s="22">
        <v>0.82611100000000004</v>
      </c>
      <c r="AL194">
        <f t="shared" si="30"/>
        <v>18.6066</v>
      </c>
      <c r="AM194">
        <f t="shared" si="31"/>
        <v>15.3796387554</v>
      </c>
      <c r="AP194" s="9"/>
      <c r="AQ194" s="22">
        <v>0.57342499999999996</v>
      </c>
      <c r="AR194" s="22">
        <v>246.29</v>
      </c>
      <c r="AS194" s="22">
        <v>-1.88446E-2</v>
      </c>
      <c r="AT194" s="22">
        <v>184</v>
      </c>
      <c r="AU194" s="22">
        <v>0.57269300000000001</v>
      </c>
      <c r="AV194">
        <f t="shared" si="32"/>
        <v>18.8446</v>
      </c>
      <c r="AW194">
        <f t="shared" si="33"/>
        <v>10.805964755</v>
      </c>
      <c r="AX194" s="9"/>
      <c r="AY194" s="22">
        <v>0.826569</v>
      </c>
      <c r="AZ194" s="22">
        <v>295.19099999999997</v>
      </c>
      <c r="BA194" s="22">
        <v>-1.8591300000000002E-2</v>
      </c>
      <c r="BB194" s="22">
        <v>184</v>
      </c>
      <c r="BC194" s="22">
        <v>0.82580600000000004</v>
      </c>
      <c r="BD194">
        <f t="shared" si="34"/>
        <v>18.5913</v>
      </c>
      <c r="BE194">
        <f t="shared" si="35"/>
        <v>15.366992249700001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0.56838999999999995</v>
      </c>
      <c r="H195" s="22">
        <v>50.962299999999999</v>
      </c>
      <c r="I195" s="22">
        <v>-1.8869E-2</v>
      </c>
      <c r="J195" s="22">
        <v>185</v>
      </c>
      <c r="K195" s="22">
        <v>0.56808499999999995</v>
      </c>
      <c r="L195">
        <f t="shared" si="24"/>
        <v>18.869</v>
      </c>
      <c r="M195">
        <f t="shared" si="25"/>
        <v>10.724950909999999</v>
      </c>
      <c r="N195" s="9"/>
      <c r="O195" s="22">
        <v>0.83160400000000001</v>
      </c>
      <c r="P195" s="22">
        <v>99.788700000000006</v>
      </c>
      <c r="Q195" s="22">
        <v>-1.8606600000000001E-2</v>
      </c>
      <c r="R195" s="22">
        <v>185</v>
      </c>
      <c r="S195" s="22">
        <v>0.83160400000000001</v>
      </c>
      <c r="T195">
        <f t="shared" si="26"/>
        <v>18.6066</v>
      </c>
      <c r="U195">
        <f t="shared" si="27"/>
        <v>15.473322986400001</v>
      </c>
      <c r="X195" s="9"/>
      <c r="Y195" s="22">
        <v>0.56838999999999995</v>
      </c>
      <c r="Z195" s="22">
        <v>148.732</v>
      </c>
      <c r="AA195" s="22">
        <v>-1.88568E-2</v>
      </c>
      <c r="AB195" s="22">
        <v>185</v>
      </c>
      <c r="AC195" s="22">
        <v>0.56771899999999997</v>
      </c>
      <c r="AD195">
        <f t="shared" si="28"/>
        <v>18.8568</v>
      </c>
      <c r="AE195">
        <f t="shared" si="29"/>
        <v>10.718016551999998</v>
      </c>
      <c r="AF195" s="9"/>
      <c r="AG195" s="22">
        <v>0.83160400000000001</v>
      </c>
      <c r="AH195" s="22">
        <v>197.53100000000001</v>
      </c>
      <c r="AI195" s="22">
        <v>-1.8600499999999999E-2</v>
      </c>
      <c r="AJ195" s="22">
        <v>185</v>
      </c>
      <c r="AK195" s="22">
        <v>0.83068799999999998</v>
      </c>
      <c r="AL195">
        <f t="shared" si="30"/>
        <v>18.6005</v>
      </c>
      <c r="AM195">
        <f t="shared" si="31"/>
        <v>15.468250202</v>
      </c>
      <c r="AP195" s="9"/>
      <c r="AQ195" s="22">
        <v>0.56838999999999995</v>
      </c>
      <c r="AR195" s="22">
        <v>246.3</v>
      </c>
      <c r="AS195" s="22">
        <v>-1.88538E-2</v>
      </c>
      <c r="AT195" s="22">
        <v>185</v>
      </c>
      <c r="AU195" s="22">
        <v>0.56747400000000003</v>
      </c>
      <c r="AV195">
        <f t="shared" si="32"/>
        <v>18.8538</v>
      </c>
      <c r="AW195">
        <f t="shared" si="33"/>
        <v>10.716311381999999</v>
      </c>
      <c r="AX195" s="9"/>
      <c r="AY195" s="22">
        <v>0.83160400000000001</v>
      </c>
      <c r="AZ195" s="22">
        <v>295.20100000000002</v>
      </c>
      <c r="BA195" s="22">
        <v>-1.85852E-2</v>
      </c>
      <c r="BB195" s="22">
        <v>185</v>
      </c>
      <c r="BC195" s="22">
        <v>0.83038299999999998</v>
      </c>
      <c r="BD195">
        <f t="shared" si="34"/>
        <v>18.5852</v>
      </c>
      <c r="BE195">
        <f t="shared" si="35"/>
        <v>15.4555266608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0.56335400000000002</v>
      </c>
      <c r="H196" s="22">
        <v>50.972299999999997</v>
      </c>
      <c r="I196" s="22">
        <v>-1.8875099999999999E-2</v>
      </c>
      <c r="J196" s="22">
        <v>186</v>
      </c>
      <c r="K196" s="22">
        <v>0.56262199999999996</v>
      </c>
      <c r="L196">
        <f t="shared" si="24"/>
        <v>18.8751</v>
      </c>
      <c r="M196">
        <f t="shared" si="25"/>
        <v>10.633363085400001</v>
      </c>
      <c r="N196" s="9"/>
      <c r="O196" s="22">
        <v>0.83663900000000002</v>
      </c>
      <c r="P196" s="22">
        <v>99.7988</v>
      </c>
      <c r="Q196" s="22">
        <v>-1.8600499999999999E-2</v>
      </c>
      <c r="R196" s="22">
        <v>186</v>
      </c>
      <c r="S196" s="22">
        <v>0.83526599999999995</v>
      </c>
      <c r="T196">
        <f t="shared" si="26"/>
        <v>18.6005</v>
      </c>
      <c r="U196">
        <f t="shared" si="27"/>
        <v>15.5619037195</v>
      </c>
      <c r="X196" s="9"/>
      <c r="Y196" s="22">
        <v>0.56335400000000002</v>
      </c>
      <c r="Z196" s="22">
        <v>148.74199999999999</v>
      </c>
      <c r="AA196" s="22">
        <v>-1.8862899999999998E-2</v>
      </c>
      <c r="AB196" s="22">
        <v>186</v>
      </c>
      <c r="AC196" s="22">
        <v>0.56271400000000005</v>
      </c>
      <c r="AD196">
        <f t="shared" si="28"/>
        <v>18.8629</v>
      </c>
      <c r="AE196">
        <f t="shared" si="29"/>
        <v>10.6264901666</v>
      </c>
      <c r="AF196" s="9"/>
      <c r="AG196" s="22">
        <v>0.83663900000000002</v>
      </c>
      <c r="AH196" s="22">
        <v>197.541</v>
      </c>
      <c r="AI196" s="22">
        <v>-1.85974E-2</v>
      </c>
      <c r="AJ196" s="22">
        <v>186</v>
      </c>
      <c r="AK196" s="22">
        <v>0.83587599999999995</v>
      </c>
      <c r="AL196">
        <f t="shared" si="30"/>
        <v>18.5974</v>
      </c>
      <c r="AM196">
        <f t="shared" si="31"/>
        <v>15.559310138600001</v>
      </c>
      <c r="AP196" s="9"/>
      <c r="AQ196" s="22">
        <v>0.56335400000000002</v>
      </c>
      <c r="AR196" s="22">
        <v>246.31</v>
      </c>
      <c r="AS196" s="22">
        <v>-1.88568E-2</v>
      </c>
      <c r="AT196" s="22">
        <v>186</v>
      </c>
      <c r="AU196" s="22">
        <v>0.56268300000000004</v>
      </c>
      <c r="AV196">
        <f t="shared" si="32"/>
        <v>18.8568</v>
      </c>
      <c r="AW196">
        <f t="shared" si="33"/>
        <v>10.6230537072</v>
      </c>
      <c r="AX196" s="9"/>
      <c r="AY196" s="22">
        <v>0.83663900000000002</v>
      </c>
      <c r="AZ196" s="22">
        <v>295.21100000000001</v>
      </c>
      <c r="BA196" s="22">
        <v>-1.85822E-2</v>
      </c>
      <c r="BB196" s="22">
        <v>186</v>
      </c>
      <c r="BC196" s="22">
        <v>0.83557099999999995</v>
      </c>
      <c r="BD196">
        <f t="shared" si="34"/>
        <v>18.5822</v>
      </c>
      <c r="BE196">
        <f t="shared" si="35"/>
        <v>15.546593225800001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0.55831900000000001</v>
      </c>
      <c r="H197" s="22">
        <v>50.982399999999998</v>
      </c>
      <c r="I197" s="22">
        <v>-1.8878200000000001E-2</v>
      </c>
      <c r="J197" s="22">
        <v>187</v>
      </c>
      <c r="K197" s="22">
        <v>0.55776999999999999</v>
      </c>
      <c r="L197">
        <f t="shared" si="24"/>
        <v>18.8782</v>
      </c>
      <c r="M197">
        <f t="shared" si="25"/>
        <v>10.5400577458</v>
      </c>
      <c r="N197" s="9"/>
      <c r="O197" s="22">
        <v>0.84167499999999995</v>
      </c>
      <c r="P197" s="22">
        <v>99.808800000000005</v>
      </c>
      <c r="Q197" s="22">
        <v>-1.8594400000000001E-2</v>
      </c>
      <c r="R197" s="22">
        <v>187</v>
      </c>
      <c r="S197" s="22">
        <v>0.84075900000000003</v>
      </c>
      <c r="T197">
        <f t="shared" si="26"/>
        <v>18.5944</v>
      </c>
      <c r="U197">
        <f t="shared" si="27"/>
        <v>15.650441619999999</v>
      </c>
      <c r="X197" s="9"/>
      <c r="Y197" s="22">
        <v>0.55831900000000001</v>
      </c>
      <c r="Z197" s="22">
        <v>148.75200000000001</v>
      </c>
      <c r="AA197" s="22">
        <v>-1.8869E-2</v>
      </c>
      <c r="AB197" s="22">
        <v>187</v>
      </c>
      <c r="AC197" s="22">
        <v>0.55752599999999997</v>
      </c>
      <c r="AD197">
        <f t="shared" si="28"/>
        <v>18.869</v>
      </c>
      <c r="AE197">
        <f t="shared" si="29"/>
        <v>10.534921211</v>
      </c>
      <c r="AF197" s="9"/>
      <c r="AG197" s="22">
        <v>0.84167499999999995</v>
      </c>
      <c r="AH197" s="22">
        <v>197.55099999999999</v>
      </c>
      <c r="AI197" s="22">
        <v>-1.8591300000000002E-2</v>
      </c>
      <c r="AJ197" s="22">
        <v>187</v>
      </c>
      <c r="AK197" s="22">
        <v>0.84075900000000003</v>
      </c>
      <c r="AL197">
        <f t="shared" si="30"/>
        <v>18.5913</v>
      </c>
      <c r="AM197">
        <f t="shared" si="31"/>
        <v>15.647832427499999</v>
      </c>
      <c r="AP197" s="9"/>
      <c r="AQ197" s="22">
        <v>0.55831900000000001</v>
      </c>
      <c r="AR197" s="22">
        <v>246.32</v>
      </c>
      <c r="AS197" s="22">
        <v>-1.8859899999999999E-2</v>
      </c>
      <c r="AT197" s="22">
        <v>187</v>
      </c>
      <c r="AU197" s="22">
        <v>0.55737300000000001</v>
      </c>
      <c r="AV197">
        <f t="shared" si="32"/>
        <v>18.8599</v>
      </c>
      <c r="AW197">
        <f t="shared" si="33"/>
        <v>10.529840508099999</v>
      </c>
      <c r="AX197" s="9"/>
      <c r="AY197" s="22">
        <v>0.84167499999999995</v>
      </c>
      <c r="AZ197" s="22">
        <v>295.22199999999998</v>
      </c>
      <c r="BA197" s="22">
        <v>-1.8572999999999999E-2</v>
      </c>
      <c r="BB197" s="22">
        <v>187</v>
      </c>
      <c r="BC197" s="22">
        <v>0.84106400000000003</v>
      </c>
      <c r="BD197">
        <f t="shared" si="34"/>
        <v>18.573</v>
      </c>
      <c r="BE197">
        <f t="shared" si="35"/>
        <v>15.632429775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0.553284</v>
      </c>
      <c r="H198" s="22">
        <v>50.9925</v>
      </c>
      <c r="I198" s="22">
        <v>-1.8887299999999999E-2</v>
      </c>
      <c r="J198" s="22">
        <v>188</v>
      </c>
      <c r="K198" s="22">
        <v>0.552643</v>
      </c>
      <c r="L198">
        <f t="shared" si="24"/>
        <v>18.8873</v>
      </c>
      <c r="M198">
        <f t="shared" si="25"/>
        <v>10.450040893200001</v>
      </c>
      <c r="N198" s="9"/>
      <c r="O198" s="22">
        <v>0.84670999999999996</v>
      </c>
      <c r="P198" s="22">
        <v>99.818899999999999</v>
      </c>
      <c r="Q198" s="22">
        <v>-1.85852E-2</v>
      </c>
      <c r="R198" s="22">
        <v>188</v>
      </c>
      <c r="S198" s="22">
        <v>0.845642</v>
      </c>
      <c r="T198">
        <f t="shared" si="26"/>
        <v>18.5852</v>
      </c>
      <c r="U198">
        <f t="shared" si="27"/>
        <v>15.736274692</v>
      </c>
      <c r="X198" s="9"/>
      <c r="Y198" s="22">
        <v>0.553284</v>
      </c>
      <c r="Z198" s="22">
        <v>148.762</v>
      </c>
      <c r="AA198" s="22">
        <v>-1.8872099999999999E-2</v>
      </c>
      <c r="AB198" s="22">
        <v>188</v>
      </c>
      <c r="AC198" s="22">
        <v>0.55261199999999999</v>
      </c>
      <c r="AD198">
        <f t="shared" si="28"/>
        <v>18.8721</v>
      </c>
      <c r="AE198">
        <f t="shared" si="29"/>
        <v>10.441630976399999</v>
      </c>
      <c r="AF198" s="9"/>
      <c r="AG198" s="22">
        <v>0.84670999999999996</v>
      </c>
      <c r="AH198" s="22">
        <v>197.56100000000001</v>
      </c>
      <c r="AI198" s="22">
        <v>-1.8591300000000002E-2</v>
      </c>
      <c r="AJ198" s="22">
        <v>188</v>
      </c>
      <c r="AK198" s="22">
        <v>0.84533700000000001</v>
      </c>
      <c r="AL198">
        <f t="shared" si="30"/>
        <v>18.5913</v>
      </c>
      <c r="AM198">
        <f t="shared" si="31"/>
        <v>15.741439623</v>
      </c>
      <c r="AP198" s="9"/>
      <c r="AQ198" s="22">
        <v>0.553284</v>
      </c>
      <c r="AR198" s="22">
        <v>246.33</v>
      </c>
      <c r="AS198" s="22">
        <v>-1.8869E-2</v>
      </c>
      <c r="AT198" s="22">
        <v>188</v>
      </c>
      <c r="AU198" s="22">
        <v>0.55245999999999995</v>
      </c>
      <c r="AV198">
        <f t="shared" si="32"/>
        <v>18.869</v>
      </c>
      <c r="AW198">
        <f t="shared" si="33"/>
        <v>10.439915795999999</v>
      </c>
      <c r="AX198" s="9"/>
      <c r="AY198" s="22">
        <v>0.84670999999999996</v>
      </c>
      <c r="AZ198" s="22">
        <v>295.23200000000003</v>
      </c>
      <c r="BA198" s="22">
        <v>-1.8566900000000001E-2</v>
      </c>
      <c r="BB198" s="22">
        <v>188</v>
      </c>
      <c r="BC198" s="22">
        <v>0.84533700000000001</v>
      </c>
      <c r="BD198">
        <f t="shared" si="34"/>
        <v>18.5669</v>
      </c>
      <c r="BE198">
        <f t="shared" si="35"/>
        <v>15.720779899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0.54824799999999996</v>
      </c>
      <c r="H199" s="22">
        <v>51.002600000000001</v>
      </c>
      <c r="I199" s="22">
        <v>-1.8893400000000001E-2</v>
      </c>
      <c r="J199" s="22">
        <v>189</v>
      </c>
      <c r="K199" s="22">
        <v>0.54742400000000002</v>
      </c>
      <c r="L199">
        <f t="shared" si="24"/>
        <v>18.8934</v>
      </c>
      <c r="M199">
        <f t="shared" si="25"/>
        <v>10.3582687632</v>
      </c>
      <c r="N199" s="9"/>
      <c r="O199" s="22">
        <v>0.851746</v>
      </c>
      <c r="P199" s="22">
        <v>99.828999999999994</v>
      </c>
      <c r="Q199" s="22">
        <v>-1.85822E-2</v>
      </c>
      <c r="R199" s="22">
        <v>189</v>
      </c>
      <c r="S199" s="22">
        <v>0.85052499999999998</v>
      </c>
      <c r="T199">
        <f t="shared" si="26"/>
        <v>18.5822</v>
      </c>
      <c r="U199">
        <f t="shared" si="27"/>
        <v>15.8273145212</v>
      </c>
      <c r="X199" s="9"/>
      <c r="Y199" s="22">
        <v>0.54824799999999996</v>
      </c>
      <c r="Z199" s="22">
        <v>148.77199999999999</v>
      </c>
      <c r="AA199" s="22">
        <v>-1.8878200000000001E-2</v>
      </c>
      <c r="AB199" s="22">
        <v>189</v>
      </c>
      <c r="AC199" s="22">
        <v>0.54769900000000005</v>
      </c>
      <c r="AD199">
        <f t="shared" si="28"/>
        <v>18.8782</v>
      </c>
      <c r="AE199">
        <f t="shared" si="29"/>
        <v>10.349935393599999</v>
      </c>
      <c r="AF199" s="9"/>
      <c r="AG199" s="22">
        <v>0.851746</v>
      </c>
      <c r="AH199" s="22">
        <v>197.571</v>
      </c>
      <c r="AI199" s="22">
        <v>-1.8588299999999999E-2</v>
      </c>
      <c r="AJ199" s="22">
        <v>189</v>
      </c>
      <c r="AK199" s="22">
        <v>0.85113499999999997</v>
      </c>
      <c r="AL199">
        <f t="shared" si="30"/>
        <v>18.5883</v>
      </c>
      <c r="AM199">
        <f t="shared" si="31"/>
        <v>15.832510171800001</v>
      </c>
      <c r="AP199" s="9"/>
      <c r="AQ199" s="22">
        <v>0.54824799999999996</v>
      </c>
      <c r="AR199" s="22">
        <v>246.34</v>
      </c>
      <c r="AS199" s="22">
        <v>-1.8875099999999999E-2</v>
      </c>
      <c r="AT199" s="22">
        <v>189</v>
      </c>
      <c r="AU199" s="22">
        <v>0.54760699999999995</v>
      </c>
      <c r="AV199">
        <f t="shared" si="32"/>
        <v>18.8751</v>
      </c>
      <c r="AW199">
        <f t="shared" si="33"/>
        <v>10.3482358248</v>
      </c>
      <c r="AX199" s="9"/>
      <c r="AY199" s="22">
        <v>0.851746</v>
      </c>
      <c r="AZ199" s="22">
        <v>295.24200000000002</v>
      </c>
      <c r="BA199" s="22">
        <v>-1.8560799999999999E-2</v>
      </c>
      <c r="BB199" s="22">
        <v>189</v>
      </c>
      <c r="BC199" s="22">
        <v>0.85082999999999998</v>
      </c>
      <c r="BD199">
        <f t="shared" si="34"/>
        <v>18.5608</v>
      </c>
      <c r="BE199">
        <f t="shared" si="35"/>
        <v>15.8090871568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0.54321299999999995</v>
      </c>
      <c r="H200" s="22">
        <v>51.012599999999999</v>
      </c>
      <c r="I200" s="22">
        <v>-1.8902599999999999E-2</v>
      </c>
      <c r="J200" s="22">
        <v>190</v>
      </c>
      <c r="K200" s="22">
        <v>0.54251099999999997</v>
      </c>
      <c r="L200">
        <f t="shared" si="24"/>
        <v>18.9026</v>
      </c>
      <c r="M200">
        <f t="shared" si="25"/>
        <v>10.2681380538</v>
      </c>
      <c r="N200" s="9"/>
      <c r="O200" s="22">
        <v>0.85678100000000001</v>
      </c>
      <c r="P200" s="22">
        <v>99.838999999999999</v>
      </c>
      <c r="Q200" s="22">
        <v>-1.8579100000000001E-2</v>
      </c>
      <c r="R200" s="22">
        <v>190</v>
      </c>
      <c r="S200" s="22">
        <v>0.85601799999999995</v>
      </c>
      <c r="T200">
        <f t="shared" si="26"/>
        <v>18.5791</v>
      </c>
      <c r="U200">
        <f t="shared" si="27"/>
        <v>15.9182198771</v>
      </c>
      <c r="X200" s="9"/>
      <c r="Y200" s="22">
        <v>0.54321299999999995</v>
      </c>
      <c r="Z200" s="22">
        <v>148.78200000000001</v>
      </c>
      <c r="AA200" s="22">
        <v>-1.88843E-2</v>
      </c>
      <c r="AB200" s="22">
        <v>190</v>
      </c>
      <c r="AC200" s="22">
        <v>0.54254199999999997</v>
      </c>
      <c r="AD200">
        <f t="shared" si="28"/>
        <v>18.8843</v>
      </c>
      <c r="AE200">
        <f t="shared" si="29"/>
        <v>10.258197255899999</v>
      </c>
      <c r="AF200" s="9"/>
      <c r="AG200" s="22">
        <v>0.85678100000000001</v>
      </c>
      <c r="AH200" s="22">
        <v>197.58099999999999</v>
      </c>
      <c r="AI200" s="22">
        <v>-1.85822E-2</v>
      </c>
      <c r="AJ200" s="22">
        <v>190</v>
      </c>
      <c r="AK200" s="22">
        <v>0.85571299999999995</v>
      </c>
      <c r="AL200">
        <f t="shared" si="30"/>
        <v>18.5822</v>
      </c>
      <c r="AM200">
        <f t="shared" si="31"/>
        <v>15.9208758982</v>
      </c>
      <c r="AP200" s="9"/>
      <c r="AQ200" s="22">
        <v>0.54321299999999995</v>
      </c>
      <c r="AR200" s="22">
        <v>246.35</v>
      </c>
      <c r="AS200" s="22">
        <v>-1.88843E-2</v>
      </c>
      <c r="AT200" s="22">
        <v>190</v>
      </c>
      <c r="AU200" s="22">
        <v>0.54229700000000003</v>
      </c>
      <c r="AV200">
        <f t="shared" si="32"/>
        <v>18.8843</v>
      </c>
      <c r="AW200">
        <f t="shared" si="33"/>
        <v>10.258197255899999</v>
      </c>
      <c r="AX200" s="9"/>
      <c r="AY200" s="22">
        <v>0.85678100000000001</v>
      </c>
      <c r="AZ200" s="22">
        <v>295.25200000000001</v>
      </c>
      <c r="BA200" s="22">
        <v>-1.85577E-2</v>
      </c>
      <c r="BB200" s="22">
        <v>190</v>
      </c>
      <c r="BC200" s="22">
        <v>0.85571299999999995</v>
      </c>
      <c r="BD200">
        <f t="shared" si="34"/>
        <v>18.557700000000001</v>
      </c>
      <c r="BE200">
        <f t="shared" si="35"/>
        <v>15.899884763700001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0.53817700000000002</v>
      </c>
      <c r="H201" s="22">
        <v>51.0227</v>
      </c>
      <c r="I201" s="22">
        <v>-1.8908700000000001E-2</v>
      </c>
      <c r="J201" s="22">
        <v>191</v>
      </c>
      <c r="K201" s="22">
        <v>0.53744499999999995</v>
      </c>
      <c r="L201">
        <f t="shared" si="24"/>
        <v>18.9087</v>
      </c>
      <c r="M201">
        <f t="shared" si="25"/>
        <v>10.1762274399</v>
      </c>
      <c r="N201" s="9"/>
      <c r="O201" s="22">
        <v>0.86181600000000003</v>
      </c>
      <c r="P201" s="22">
        <v>99.849100000000007</v>
      </c>
      <c r="Q201" s="22">
        <v>-1.8575999999999999E-2</v>
      </c>
      <c r="R201" s="22">
        <v>191</v>
      </c>
      <c r="S201" s="22">
        <v>0.859985</v>
      </c>
      <c r="T201">
        <f t="shared" si="26"/>
        <v>18.576000000000001</v>
      </c>
      <c r="U201">
        <f t="shared" si="27"/>
        <v>16.009094016000002</v>
      </c>
      <c r="X201" s="9"/>
      <c r="Y201" s="22">
        <v>0.53817700000000002</v>
      </c>
      <c r="Z201" s="22">
        <v>148.79300000000001</v>
      </c>
      <c r="AA201" s="22">
        <v>-1.8890400000000002E-2</v>
      </c>
      <c r="AB201" s="22">
        <v>191</v>
      </c>
      <c r="AC201" s="22">
        <v>0.53768899999999997</v>
      </c>
      <c r="AD201">
        <f t="shared" si="28"/>
        <v>18.890400000000003</v>
      </c>
      <c r="AE201">
        <f t="shared" si="29"/>
        <v>10.166378800800002</v>
      </c>
      <c r="AF201" s="9"/>
      <c r="AG201" s="22">
        <v>0.86181600000000003</v>
      </c>
      <c r="AH201" s="22">
        <v>197.59100000000001</v>
      </c>
      <c r="AI201" s="22">
        <v>-1.8575999999999999E-2</v>
      </c>
      <c r="AJ201" s="22">
        <v>191</v>
      </c>
      <c r="AK201" s="22">
        <v>0.86059600000000003</v>
      </c>
      <c r="AL201">
        <f t="shared" si="30"/>
        <v>18.576000000000001</v>
      </c>
      <c r="AM201">
        <f t="shared" si="31"/>
        <v>16.009094016000002</v>
      </c>
      <c r="AP201" s="9"/>
      <c r="AQ201" s="22">
        <v>0.53817700000000002</v>
      </c>
      <c r="AR201" s="22">
        <v>246.36</v>
      </c>
      <c r="AS201" s="22">
        <v>-1.8887299999999999E-2</v>
      </c>
      <c r="AT201" s="22">
        <v>191</v>
      </c>
      <c r="AU201" s="22">
        <v>0.537659</v>
      </c>
      <c r="AV201">
        <f t="shared" si="32"/>
        <v>18.8873</v>
      </c>
      <c r="AW201">
        <f t="shared" si="33"/>
        <v>10.1647104521</v>
      </c>
      <c r="AX201" s="9"/>
      <c r="AY201" s="22">
        <v>0.86181600000000003</v>
      </c>
      <c r="AZ201" s="22">
        <v>295.262</v>
      </c>
      <c r="BA201" s="22">
        <v>-1.8551600000000001E-2</v>
      </c>
      <c r="BB201" s="22">
        <v>191</v>
      </c>
      <c r="BC201" s="22">
        <v>0.86151100000000003</v>
      </c>
      <c r="BD201">
        <f t="shared" si="34"/>
        <v>18.551600000000001</v>
      </c>
      <c r="BE201">
        <f t="shared" si="35"/>
        <v>15.9880657056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0.533142</v>
      </c>
      <c r="H202" s="22">
        <v>51.032800000000002</v>
      </c>
      <c r="I202" s="22">
        <v>-1.89117E-2</v>
      </c>
      <c r="J202" s="22">
        <v>192</v>
      </c>
      <c r="K202" s="22">
        <v>0.53213500000000002</v>
      </c>
      <c r="L202">
        <f t="shared" si="24"/>
        <v>18.9117</v>
      </c>
      <c r="M202">
        <f t="shared" si="25"/>
        <v>10.0826215614</v>
      </c>
      <c r="N202" s="9"/>
      <c r="O202" s="22">
        <v>0.86685199999999996</v>
      </c>
      <c r="P202" s="22">
        <v>99.859200000000001</v>
      </c>
      <c r="Q202" s="22">
        <v>-1.8572999999999999E-2</v>
      </c>
      <c r="R202" s="22">
        <v>192</v>
      </c>
      <c r="S202" s="22">
        <v>0.866089</v>
      </c>
      <c r="T202">
        <f t="shared" si="26"/>
        <v>18.573</v>
      </c>
      <c r="U202">
        <f t="shared" si="27"/>
        <v>16.100042196</v>
      </c>
      <c r="X202" s="9"/>
      <c r="Y202" s="22">
        <v>0.533142</v>
      </c>
      <c r="Z202" s="22">
        <v>148.803</v>
      </c>
      <c r="AA202" s="22">
        <v>-1.8893400000000001E-2</v>
      </c>
      <c r="AB202" s="22">
        <v>192</v>
      </c>
      <c r="AC202" s="22">
        <v>0.53259299999999998</v>
      </c>
      <c r="AD202">
        <f t="shared" si="28"/>
        <v>18.8934</v>
      </c>
      <c r="AE202">
        <f t="shared" si="29"/>
        <v>10.0728650628</v>
      </c>
      <c r="AF202" s="9"/>
      <c r="AG202" s="22">
        <v>0.86685199999999996</v>
      </c>
      <c r="AH202" s="22">
        <v>197.601</v>
      </c>
      <c r="AI202" s="22">
        <v>-1.8563799999999998E-2</v>
      </c>
      <c r="AJ202" s="22">
        <v>192</v>
      </c>
      <c r="AK202" s="22">
        <v>0.865784</v>
      </c>
      <c r="AL202">
        <f t="shared" si="30"/>
        <v>18.563799999999997</v>
      </c>
      <c r="AM202">
        <f t="shared" si="31"/>
        <v>16.092067157599995</v>
      </c>
      <c r="AP202" s="9"/>
      <c r="AQ202" s="22">
        <v>0.533142</v>
      </c>
      <c r="AR202" s="22">
        <v>246.37</v>
      </c>
      <c r="AS202" s="22">
        <v>-1.8890400000000002E-2</v>
      </c>
      <c r="AT202" s="22">
        <v>192</v>
      </c>
      <c r="AU202" s="22">
        <v>0.53225699999999998</v>
      </c>
      <c r="AV202">
        <f t="shared" si="32"/>
        <v>18.890400000000003</v>
      </c>
      <c r="AW202">
        <f t="shared" si="33"/>
        <v>10.071265636800002</v>
      </c>
      <c r="AX202" s="9"/>
      <c r="AY202" s="22">
        <v>0.86685199999999996</v>
      </c>
      <c r="AZ202" s="22">
        <v>295.27199999999999</v>
      </c>
      <c r="BA202" s="22">
        <v>-1.8545499999999999E-2</v>
      </c>
      <c r="BB202" s="22">
        <v>192</v>
      </c>
      <c r="BC202" s="22">
        <v>0.866089</v>
      </c>
      <c r="BD202">
        <f t="shared" si="34"/>
        <v>18.545500000000001</v>
      </c>
      <c r="BE202">
        <f t="shared" si="35"/>
        <v>16.076203765999999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0.52810699999999999</v>
      </c>
      <c r="H203" s="22">
        <v>51.0428</v>
      </c>
      <c r="I203" s="22">
        <v>-1.8917799999999999E-2</v>
      </c>
      <c r="J203" s="22">
        <v>193</v>
      </c>
      <c r="K203" s="22">
        <v>0.52755700000000005</v>
      </c>
      <c r="L203">
        <f t="shared" si="24"/>
        <v>18.9178</v>
      </c>
      <c r="M203">
        <f t="shared" si="25"/>
        <v>9.9906226046000004</v>
      </c>
      <c r="N203" s="9"/>
      <c r="O203" s="22">
        <v>0.87188699999999997</v>
      </c>
      <c r="P203" s="22">
        <v>99.869299999999996</v>
      </c>
      <c r="Q203" s="22">
        <v>-1.8563799999999998E-2</v>
      </c>
      <c r="R203" s="22">
        <v>193</v>
      </c>
      <c r="S203" s="22">
        <v>0.87127699999999997</v>
      </c>
      <c r="T203">
        <f t="shared" si="26"/>
        <v>18.563799999999997</v>
      </c>
      <c r="U203">
        <f t="shared" si="27"/>
        <v>16.185535890599997</v>
      </c>
      <c r="X203" s="9"/>
      <c r="Y203" s="22">
        <v>0.52810699999999999</v>
      </c>
      <c r="Z203" s="22">
        <v>148.81299999999999</v>
      </c>
      <c r="AA203" s="22">
        <v>-1.88995E-2</v>
      </c>
      <c r="AB203" s="22">
        <v>193</v>
      </c>
      <c r="AC203" s="22">
        <v>0.52771000000000001</v>
      </c>
      <c r="AD203">
        <f t="shared" si="28"/>
        <v>18.8995</v>
      </c>
      <c r="AE203">
        <f t="shared" si="29"/>
        <v>9.9809582465000002</v>
      </c>
      <c r="AF203" s="9"/>
      <c r="AG203" s="22">
        <v>0.87188699999999997</v>
      </c>
      <c r="AH203" s="22">
        <v>197.61099999999999</v>
      </c>
      <c r="AI203" s="22">
        <v>-1.85577E-2</v>
      </c>
      <c r="AJ203" s="22">
        <v>193</v>
      </c>
      <c r="AK203" s="22">
        <v>0.87036100000000005</v>
      </c>
      <c r="AL203">
        <f t="shared" si="30"/>
        <v>18.557700000000001</v>
      </c>
      <c r="AM203">
        <f t="shared" si="31"/>
        <v>16.1802173799</v>
      </c>
      <c r="AP203" s="9"/>
      <c r="AQ203" s="22">
        <v>0.52810699999999999</v>
      </c>
      <c r="AR203" s="22">
        <v>246.38</v>
      </c>
      <c r="AS203" s="22">
        <v>-1.88965E-2</v>
      </c>
      <c r="AT203" s="22">
        <v>193</v>
      </c>
      <c r="AU203" s="22">
        <v>0.52761800000000003</v>
      </c>
      <c r="AV203">
        <f t="shared" si="32"/>
        <v>18.8965</v>
      </c>
      <c r="AW203">
        <f t="shared" si="33"/>
        <v>9.9793739254999991</v>
      </c>
      <c r="AX203" s="9"/>
      <c r="AY203" s="22">
        <v>0.87188699999999997</v>
      </c>
      <c r="AZ203" s="22">
        <v>295.28199999999998</v>
      </c>
      <c r="BA203" s="22">
        <v>-1.8539400000000001E-2</v>
      </c>
      <c r="BB203" s="22">
        <v>193</v>
      </c>
      <c r="BC203" s="22">
        <v>0.87127699999999997</v>
      </c>
      <c r="BD203">
        <f t="shared" si="34"/>
        <v>18.539400000000001</v>
      </c>
      <c r="BE203">
        <f t="shared" si="35"/>
        <v>16.164261847799999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0.52307099999999995</v>
      </c>
      <c r="H204" s="22">
        <v>51.052900000000001</v>
      </c>
      <c r="I204" s="22">
        <v>-1.8920900000000001E-2</v>
      </c>
      <c r="J204" s="22">
        <v>194</v>
      </c>
      <c r="K204" s="22">
        <v>0.522339</v>
      </c>
      <c r="L204">
        <f t="shared" ref="L204:L267" si="36">-I204/$F$2*1000</f>
        <v>18.9209</v>
      </c>
      <c r="M204">
        <f t="shared" ref="M204:M267" si="37">L204*G204</f>
        <v>9.8969740838999982</v>
      </c>
      <c r="N204" s="9"/>
      <c r="O204" s="22">
        <v>0.87692300000000001</v>
      </c>
      <c r="P204" s="22">
        <v>99.879300000000001</v>
      </c>
      <c r="Q204" s="22">
        <v>-1.8560799999999999E-2</v>
      </c>
      <c r="R204" s="22">
        <v>194</v>
      </c>
      <c r="S204" s="22">
        <v>0.87646500000000005</v>
      </c>
      <c r="T204">
        <f t="shared" ref="T204:T267" si="38">-Q204/$F$2*1000</f>
        <v>18.5608</v>
      </c>
      <c r="U204">
        <f t="shared" ref="U204:U267" si="39">T204*O204</f>
        <v>16.2763924184</v>
      </c>
      <c r="X204" s="9"/>
      <c r="Y204" s="22">
        <v>0.52307099999999995</v>
      </c>
      <c r="Z204" s="22">
        <v>148.82300000000001</v>
      </c>
      <c r="AA204" s="22">
        <v>-1.8905600000000002E-2</v>
      </c>
      <c r="AB204" s="22">
        <v>194</v>
      </c>
      <c r="AC204" s="22">
        <v>0.52227800000000002</v>
      </c>
      <c r="AD204">
        <f t="shared" ref="AD204:AD267" si="40">-AA204/$F$2*1000</f>
        <v>18.905600000000003</v>
      </c>
      <c r="AE204">
        <f t="shared" ref="AE204:AE267" si="41">AD204*Y204</f>
        <v>9.8889710976000007</v>
      </c>
      <c r="AF204" s="9"/>
      <c r="AG204" s="22">
        <v>0.87692300000000001</v>
      </c>
      <c r="AH204" s="22">
        <v>197.62100000000001</v>
      </c>
      <c r="AI204" s="22">
        <v>-1.8548599999999998E-2</v>
      </c>
      <c r="AJ204" s="22">
        <v>194</v>
      </c>
      <c r="AK204" s="22">
        <v>0.87616000000000005</v>
      </c>
      <c r="AL204">
        <f t="shared" ref="AL204:AL267" si="42">-AI204/$F$2*1000</f>
        <v>18.548599999999997</v>
      </c>
      <c r="AM204">
        <f t="shared" ref="AM204:AM267" si="43">AL204*AG204</f>
        <v>16.265693957799996</v>
      </c>
      <c r="AP204" s="9"/>
      <c r="AQ204" s="22">
        <v>0.52307099999999995</v>
      </c>
      <c r="AR204" s="22">
        <v>246.39099999999999</v>
      </c>
      <c r="AS204" s="22">
        <v>-1.8902599999999999E-2</v>
      </c>
      <c r="AT204" s="22">
        <v>194</v>
      </c>
      <c r="AU204" s="22">
        <v>0.52227800000000002</v>
      </c>
      <c r="AV204">
        <f t="shared" ref="AV204:AV267" si="44">-AS204/$F$2*1000</f>
        <v>18.9026</v>
      </c>
      <c r="AW204">
        <f t="shared" ref="AW204:AW267" si="45">AV204*AQ204</f>
        <v>9.8874018845999991</v>
      </c>
      <c r="AX204" s="9"/>
      <c r="AY204" s="22">
        <v>0.87692300000000001</v>
      </c>
      <c r="AZ204" s="22">
        <v>295.29199999999997</v>
      </c>
      <c r="BA204" s="22">
        <v>-1.8533299999999999E-2</v>
      </c>
      <c r="BB204" s="22">
        <v>194</v>
      </c>
      <c r="BC204" s="22">
        <v>0.87585400000000002</v>
      </c>
      <c r="BD204">
        <f t="shared" ref="BD204:BD267" si="46">-BA204/$F$2*1000</f>
        <v>18.533300000000001</v>
      </c>
      <c r="BE204">
        <f t="shared" ref="BE204:BE267" si="47">BD204*AY204</f>
        <v>16.252277035900001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0.51803600000000005</v>
      </c>
      <c r="H205" s="22">
        <v>51.063000000000002</v>
      </c>
      <c r="I205" s="22">
        <v>-1.8924E-2</v>
      </c>
      <c r="J205" s="22">
        <v>195</v>
      </c>
      <c r="K205" s="22">
        <v>0.51754800000000001</v>
      </c>
      <c r="L205">
        <f t="shared" si="36"/>
        <v>18.923999999999999</v>
      </c>
      <c r="M205">
        <f t="shared" si="37"/>
        <v>9.8033132640000016</v>
      </c>
      <c r="N205" s="9"/>
      <c r="O205" s="22">
        <v>0.88195800000000002</v>
      </c>
      <c r="P205" s="22">
        <v>99.889399999999995</v>
      </c>
      <c r="Q205" s="22">
        <v>-1.85577E-2</v>
      </c>
      <c r="R205" s="22">
        <v>195</v>
      </c>
      <c r="S205" s="22">
        <v>0.88104199999999999</v>
      </c>
      <c r="T205">
        <f t="shared" si="38"/>
        <v>18.557700000000001</v>
      </c>
      <c r="U205">
        <f t="shared" si="39"/>
        <v>16.3671119766</v>
      </c>
      <c r="X205" s="9"/>
      <c r="Y205" s="22">
        <v>0.51803600000000005</v>
      </c>
      <c r="Z205" s="22">
        <v>148.833</v>
      </c>
      <c r="AA205" s="22">
        <v>-1.8905600000000002E-2</v>
      </c>
      <c r="AB205" s="22">
        <v>195</v>
      </c>
      <c r="AC205" s="22">
        <v>0.51742600000000005</v>
      </c>
      <c r="AD205">
        <f t="shared" si="40"/>
        <v>18.905600000000003</v>
      </c>
      <c r="AE205">
        <f t="shared" si="41"/>
        <v>9.7937814016000022</v>
      </c>
      <c r="AF205" s="9"/>
      <c r="AG205" s="22">
        <v>0.88195800000000002</v>
      </c>
      <c r="AH205" s="22">
        <v>197.631</v>
      </c>
      <c r="AI205" s="22">
        <v>-1.8545499999999999E-2</v>
      </c>
      <c r="AJ205" s="22">
        <v>195</v>
      </c>
      <c r="AK205" s="22">
        <v>0.88134800000000002</v>
      </c>
      <c r="AL205">
        <f t="shared" si="42"/>
        <v>18.545500000000001</v>
      </c>
      <c r="AM205">
        <f t="shared" si="43"/>
        <v>16.356352089000001</v>
      </c>
      <c r="AP205" s="9"/>
      <c r="AQ205" s="22">
        <v>0.51803600000000005</v>
      </c>
      <c r="AR205" s="22">
        <v>246.40100000000001</v>
      </c>
      <c r="AS205" s="22">
        <v>-1.8902599999999999E-2</v>
      </c>
      <c r="AT205" s="22">
        <v>195</v>
      </c>
      <c r="AU205" s="22">
        <v>0.51736499999999996</v>
      </c>
      <c r="AV205">
        <f t="shared" si="44"/>
        <v>18.9026</v>
      </c>
      <c r="AW205">
        <f t="shared" si="45"/>
        <v>9.7922272936000017</v>
      </c>
      <c r="AX205" s="9"/>
      <c r="AY205" s="22">
        <v>0.88195800000000002</v>
      </c>
      <c r="AZ205" s="22">
        <v>295.30200000000002</v>
      </c>
      <c r="BA205" s="22">
        <v>-1.8527200000000001E-2</v>
      </c>
      <c r="BB205" s="22">
        <v>195</v>
      </c>
      <c r="BC205" s="22">
        <v>0.88134800000000002</v>
      </c>
      <c r="BD205">
        <f t="shared" si="46"/>
        <v>18.527200000000001</v>
      </c>
      <c r="BE205">
        <f t="shared" si="47"/>
        <v>16.340212257600001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0.51300000000000001</v>
      </c>
      <c r="H206" s="22">
        <v>51.073099999999997</v>
      </c>
      <c r="I206" s="22">
        <v>-1.8930099999999998E-2</v>
      </c>
      <c r="J206" s="22">
        <v>196</v>
      </c>
      <c r="K206" s="22">
        <v>0.51226799999999995</v>
      </c>
      <c r="L206">
        <f t="shared" si="36"/>
        <v>18.930099999999999</v>
      </c>
      <c r="M206">
        <f t="shared" si="37"/>
        <v>9.7111412999999995</v>
      </c>
      <c r="N206" s="9"/>
      <c r="O206" s="22">
        <v>0.88699300000000003</v>
      </c>
      <c r="P206" s="22">
        <v>99.899500000000003</v>
      </c>
      <c r="Q206" s="22">
        <v>-1.8551600000000001E-2</v>
      </c>
      <c r="R206" s="22">
        <v>196</v>
      </c>
      <c r="S206" s="22">
        <v>0.88561999999999996</v>
      </c>
      <c r="T206">
        <f t="shared" si="38"/>
        <v>18.551600000000001</v>
      </c>
      <c r="U206">
        <f t="shared" si="39"/>
        <v>16.455139338800002</v>
      </c>
      <c r="X206" s="9"/>
      <c r="Y206" s="22">
        <v>0.51300000000000001</v>
      </c>
      <c r="Z206" s="22">
        <v>148.84299999999999</v>
      </c>
      <c r="AA206" s="22">
        <v>-1.89117E-2</v>
      </c>
      <c r="AB206" s="22">
        <v>196</v>
      </c>
      <c r="AC206" s="22">
        <v>0.51211499999999999</v>
      </c>
      <c r="AD206">
        <f t="shared" si="40"/>
        <v>18.9117</v>
      </c>
      <c r="AE206">
        <f t="shared" si="41"/>
        <v>9.7017021000000003</v>
      </c>
      <c r="AF206" s="9"/>
      <c r="AG206" s="22">
        <v>0.88699300000000003</v>
      </c>
      <c r="AH206" s="22">
        <v>197.64099999999999</v>
      </c>
      <c r="AI206" s="22">
        <v>-1.8539400000000001E-2</v>
      </c>
      <c r="AJ206" s="22">
        <v>196</v>
      </c>
      <c r="AK206" s="22">
        <v>0.88622999999999996</v>
      </c>
      <c r="AL206">
        <f t="shared" si="42"/>
        <v>18.539400000000001</v>
      </c>
      <c r="AM206">
        <f t="shared" si="43"/>
        <v>16.444318024200001</v>
      </c>
      <c r="AP206" s="9"/>
      <c r="AQ206" s="22">
        <v>0.51300000000000001</v>
      </c>
      <c r="AR206" s="22">
        <v>246.411</v>
      </c>
      <c r="AS206" s="22">
        <v>-1.8905600000000002E-2</v>
      </c>
      <c r="AT206" s="22">
        <v>196</v>
      </c>
      <c r="AU206" s="22">
        <v>0.51245099999999999</v>
      </c>
      <c r="AV206">
        <f t="shared" si="44"/>
        <v>18.905600000000003</v>
      </c>
      <c r="AW206">
        <f t="shared" si="45"/>
        <v>9.6985728000000027</v>
      </c>
      <c r="AX206" s="9"/>
      <c r="AY206" s="22">
        <v>0.88699300000000003</v>
      </c>
      <c r="AZ206" s="22">
        <v>295.31200000000001</v>
      </c>
      <c r="BA206" s="22">
        <v>-1.8524200000000001E-2</v>
      </c>
      <c r="BB206" s="22">
        <v>196</v>
      </c>
      <c r="BC206" s="22">
        <v>0.88592499999999996</v>
      </c>
      <c r="BD206">
        <f t="shared" si="46"/>
        <v>18.5242</v>
      </c>
      <c r="BE206">
        <f t="shared" si="47"/>
        <v>16.430835730600002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0.507965</v>
      </c>
      <c r="H207" s="22">
        <v>51.083100000000002</v>
      </c>
      <c r="I207" s="22">
        <v>-1.8933100000000001E-2</v>
      </c>
      <c r="J207" s="22">
        <v>197</v>
      </c>
      <c r="K207" s="22">
        <v>0.50720200000000004</v>
      </c>
      <c r="L207">
        <f t="shared" si="36"/>
        <v>18.9331</v>
      </c>
      <c r="M207">
        <f t="shared" si="37"/>
        <v>9.6173521414999996</v>
      </c>
      <c r="N207" s="9"/>
      <c r="O207" s="22">
        <v>0.89202899999999996</v>
      </c>
      <c r="P207" s="22">
        <v>99.909499999999994</v>
      </c>
      <c r="Q207" s="22">
        <v>-1.8545499999999999E-2</v>
      </c>
      <c r="R207" s="22">
        <v>197</v>
      </c>
      <c r="S207" s="22">
        <v>0.89111300000000004</v>
      </c>
      <c r="T207">
        <f t="shared" si="38"/>
        <v>18.545500000000001</v>
      </c>
      <c r="U207">
        <f t="shared" si="39"/>
        <v>16.5431238195</v>
      </c>
      <c r="X207" s="9"/>
      <c r="Y207" s="22">
        <v>0.507965</v>
      </c>
      <c r="Z207" s="22">
        <v>148.85300000000001</v>
      </c>
      <c r="AA207" s="22">
        <v>-1.8917799999999999E-2</v>
      </c>
      <c r="AB207" s="22">
        <v>197</v>
      </c>
      <c r="AC207" s="22">
        <v>0.50756800000000002</v>
      </c>
      <c r="AD207">
        <f t="shared" si="40"/>
        <v>18.9178</v>
      </c>
      <c r="AE207">
        <f t="shared" si="41"/>
        <v>9.6095802769999992</v>
      </c>
      <c r="AF207" s="9"/>
      <c r="AG207" s="22">
        <v>0.89202899999999996</v>
      </c>
      <c r="AH207" s="22">
        <v>197.65100000000001</v>
      </c>
      <c r="AI207" s="22">
        <v>-1.8533299999999999E-2</v>
      </c>
      <c r="AJ207" s="22">
        <v>197</v>
      </c>
      <c r="AK207" s="22">
        <v>0.89111300000000004</v>
      </c>
      <c r="AL207">
        <f t="shared" si="42"/>
        <v>18.533300000000001</v>
      </c>
      <c r="AM207">
        <f t="shared" si="43"/>
        <v>16.532241065699999</v>
      </c>
      <c r="AP207" s="9"/>
      <c r="AQ207" s="22">
        <v>0.507965</v>
      </c>
      <c r="AR207" s="22">
        <v>246.42099999999999</v>
      </c>
      <c r="AS207" s="22">
        <v>-1.89117E-2</v>
      </c>
      <c r="AT207" s="22">
        <v>197</v>
      </c>
      <c r="AU207" s="22">
        <v>0.50744599999999995</v>
      </c>
      <c r="AV207">
        <f t="shared" si="44"/>
        <v>18.9117</v>
      </c>
      <c r="AW207">
        <f t="shared" si="45"/>
        <v>9.606481690499999</v>
      </c>
      <c r="AX207" s="9"/>
      <c r="AY207" s="22">
        <v>0.89202899999999996</v>
      </c>
      <c r="AZ207" s="22">
        <v>295.322</v>
      </c>
      <c r="BA207" s="22">
        <v>-1.8521099999999999E-2</v>
      </c>
      <c r="BB207" s="22">
        <v>197</v>
      </c>
      <c r="BC207" s="22">
        <v>0.89111300000000004</v>
      </c>
      <c r="BD207">
        <f t="shared" si="46"/>
        <v>18.521099999999997</v>
      </c>
      <c r="BE207">
        <f t="shared" si="47"/>
        <v>16.521358311899995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0.50292999999999999</v>
      </c>
      <c r="H208" s="22">
        <v>51.093200000000003</v>
      </c>
      <c r="I208" s="22">
        <v>-1.89362E-2</v>
      </c>
      <c r="J208" s="22">
        <v>198</v>
      </c>
      <c r="K208" s="22">
        <v>0.502197</v>
      </c>
      <c r="L208">
        <f t="shared" si="36"/>
        <v>18.936199999999999</v>
      </c>
      <c r="M208">
        <f t="shared" si="37"/>
        <v>9.5235830659999987</v>
      </c>
      <c r="N208" s="9"/>
      <c r="O208" s="22">
        <v>0.89706399999999997</v>
      </c>
      <c r="P208" s="22">
        <v>99.919600000000003</v>
      </c>
      <c r="Q208" s="22">
        <v>-1.8539400000000001E-2</v>
      </c>
      <c r="R208" s="22">
        <v>198</v>
      </c>
      <c r="S208" s="22">
        <v>0.89599600000000001</v>
      </c>
      <c r="T208">
        <f t="shared" si="38"/>
        <v>18.539400000000001</v>
      </c>
      <c r="U208">
        <f t="shared" si="39"/>
        <v>16.631028321599999</v>
      </c>
      <c r="X208" s="9"/>
      <c r="Y208" s="22">
        <v>0.50292999999999999</v>
      </c>
      <c r="Z208" s="22">
        <v>148.863</v>
      </c>
      <c r="AA208" s="22">
        <v>-1.8924E-2</v>
      </c>
      <c r="AB208" s="22">
        <v>198</v>
      </c>
      <c r="AC208" s="22">
        <v>0.50238000000000005</v>
      </c>
      <c r="AD208">
        <f t="shared" si="40"/>
        <v>18.923999999999999</v>
      </c>
      <c r="AE208">
        <f t="shared" si="41"/>
        <v>9.5174473199999987</v>
      </c>
      <c r="AF208" s="9"/>
      <c r="AG208" s="22">
        <v>0.89706399999999997</v>
      </c>
      <c r="AH208" s="22">
        <v>197.661</v>
      </c>
      <c r="AI208" s="22">
        <v>-1.8527200000000001E-2</v>
      </c>
      <c r="AJ208" s="22">
        <v>198</v>
      </c>
      <c r="AK208" s="22">
        <v>0.89569100000000001</v>
      </c>
      <c r="AL208">
        <f t="shared" si="42"/>
        <v>18.527200000000001</v>
      </c>
      <c r="AM208">
        <f t="shared" si="43"/>
        <v>16.6200841408</v>
      </c>
      <c r="AP208" s="9"/>
      <c r="AQ208" s="22">
        <v>0.50292999999999999</v>
      </c>
      <c r="AR208" s="22">
        <v>246.43100000000001</v>
      </c>
      <c r="AS208" s="22">
        <v>-1.8914799999999999E-2</v>
      </c>
      <c r="AT208" s="22">
        <v>198</v>
      </c>
      <c r="AU208" s="22">
        <v>0.50231899999999996</v>
      </c>
      <c r="AV208">
        <f t="shared" si="44"/>
        <v>18.9148</v>
      </c>
      <c r="AW208">
        <f t="shared" si="45"/>
        <v>9.5128203639999995</v>
      </c>
      <c r="AX208" s="9"/>
      <c r="AY208" s="22">
        <v>0.89706399999999997</v>
      </c>
      <c r="AZ208" s="22">
        <v>295.33199999999999</v>
      </c>
      <c r="BA208" s="22">
        <v>-1.8512000000000001E-2</v>
      </c>
      <c r="BB208" s="22">
        <v>198</v>
      </c>
      <c r="BC208" s="22">
        <v>0.89599600000000001</v>
      </c>
      <c r="BD208">
        <f t="shared" si="46"/>
        <v>18.512</v>
      </c>
      <c r="BE208">
        <f t="shared" si="47"/>
        <v>16.606448768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0.497894</v>
      </c>
      <c r="H209" s="22">
        <v>51.103299999999997</v>
      </c>
      <c r="I209" s="22">
        <v>-1.8942299999999999E-2</v>
      </c>
      <c r="J209" s="22">
        <v>199</v>
      </c>
      <c r="K209" s="22">
        <v>0.49716199999999999</v>
      </c>
      <c r="L209">
        <f t="shared" si="36"/>
        <v>18.942299999999999</v>
      </c>
      <c r="M209">
        <f t="shared" si="37"/>
        <v>9.4312575162000005</v>
      </c>
      <c r="N209" s="9"/>
      <c r="O209" s="22">
        <v>0.90210000000000001</v>
      </c>
      <c r="P209" s="22">
        <v>99.929699999999997</v>
      </c>
      <c r="Q209" s="22">
        <v>-1.8533299999999999E-2</v>
      </c>
      <c r="R209" s="22">
        <v>199</v>
      </c>
      <c r="S209" s="22">
        <v>0.90148899999999998</v>
      </c>
      <c r="T209">
        <f t="shared" si="38"/>
        <v>18.533300000000001</v>
      </c>
      <c r="U209">
        <f t="shared" si="39"/>
        <v>16.71888993</v>
      </c>
      <c r="X209" s="9"/>
      <c r="Y209" s="22">
        <v>0.497894</v>
      </c>
      <c r="Z209" s="22">
        <v>148.87299999999999</v>
      </c>
      <c r="AA209" s="22">
        <v>-1.8933100000000001E-2</v>
      </c>
      <c r="AB209" s="22">
        <v>199</v>
      </c>
      <c r="AC209" s="22">
        <v>0.49710100000000002</v>
      </c>
      <c r="AD209">
        <f t="shared" si="40"/>
        <v>18.9331</v>
      </c>
      <c r="AE209">
        <f t="shared" si="41"/>
        <v>9.4266768913999996</v>
      </c>
      <c r="AF209" s="9"/>
      <c r="AG209" s="22">
        <v>0.90210000000000001</v>
      </c>
      <c r="AH209" s="22">
        <v>197.672</v>
      </c>
      <c r="AI209" s="22">
        <v>-1.8521099999999999E-2</v>
      </c>
      <c r="AJ209" s="22">
        <v>199</v>
      </c>
      <c r="AK209" s="22">
        <v>0.90148899999999998</v>
      </c>
      <c r="AL209">
        <f t="shared" si="42"/>
        <v>18.521099999999997</v>
      </c>
      <c r="AM209">
        <f t="shared" si="43"/>
        <v>16.707884309999997</v>
      </c>
      <c r="AP209" s="9"/>
      <c r="AQ209" s="22">
        <v>0.497894</v>
      </c>
      <c r="AR209" s="22">
        <v>246.441</v>
      </c>
      <c r="AS209" s="22">
        <v>-1.8917799999999999E-2</v>
      </c>
      <c r="AT209" s="22">
        <v>199</v>
      </c>
      <c r="AU209" s="22">
        <v>0.49707000000000001</v>
      </c>
      <c r="AV209">
        <f t="shared" si="44"/>
        <v>18.9178</v>
      </c>
      <c r="AW209">
        <f t="shared" si="45"/>
        <v>9.4190591131999994</v>
      </c>
      <c r="AX209" s="9"/>
      <c r="AY209" s="22">
        <v>0.90210000000000001</v>
      </c>
      <c r="AZ209" s="22">
        <v>295.34199999999998</v>
      </c>
      <c r="BA209" s="22">
        <v>-1.8512000000000001E-2</v>
      </c>
      <c r="BB209" s="22">
        <v>199</v>
      </c>
      <c r="BC209" s="22">
        <v>0.90118399999999999</v>
      </c>
      <c r="BD209">
        <f t="shared" si="46"/>
        <v>18.512</v>
      </c>
      <c r="BE209">
        <f t="shared" si="47"/>
        <v>16.699675200000001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0.49285899999999999</v>
      </c>
      <c r="H210" s="22">
        <v>51.113300000000002</v>
      </c>
      <c r="I210" s="22">
        <v>-1.8948400000000001E-2</v>
      </c>
      <c r="J210" s="22">
        <v>200</v>
      </c>
      <c r="K210" s="22">
        <v>0.49218800000000001</v>
      </c>
      <c r="L210">
        <f t="shared" si="36"/>
        <v>18.948399999999999</v>
      </c>
      <c r="M210">
        <f t="shared" si="37"/>
        <v>9.3388894756000003</v>
      </c>
      <c r="N210" s="9"/>
      <c r="O210" s="22">
        <v>0.90713500000000002</v>
      </c>
      <c r="P210" s="22">
        <v>99.939800000000005</v>
      </c>
      <c r="Q210" s="22">
        <v>-1.85303E-2</v>
      </c>
      <c r="R210" s="22">
        <v>200</v>
      </c>
      <c r="S210" s="22">
        <v>0.90606699999999996</v>
      </c>
      <c r="T210">
        <f t="shared" si="38"/>
        <v>18.5303</v>
      </c>
      <c r="U210">
        <f t="shared" si="39"/>
        <v>16.809483690500002</v>
      </c>
      <c r="X210" s="9"/>
      <c r="Y210" s="22">
        <v>0.49285899999999999</v>
      </c>
      <c r="Z210" s="22">
        <v>148.88300000000001</v>
      </c>
      <c r="AA210" s="22">
        <v>-1.89392E-2</v>
      </c>
      <c r="AB210" s="22">
        <v>200</v>
      </c>
      <c r="AC210" s="22">
        <v>0.49234</v>
      </c>
      <c r="AD210">
        <f t="shared" si="40"/>
        <v>18.9392</v>
      </c>
      <c r="AE210">
        <f t="shared" si="41"/>
        <v>9.3343551728000005</v>
      </c>
      <c r="AF210" s="9"/>
      <c r="AG210" s="22">
        <v>0.90713500000000002</v>
      </c>
      <c r="AH210" s="22">
        <v>197.68199999999999</v>
      </c>
      <c r="AI210" s="22">
        <v>-1.8518099999999999E-2</v>
      </c>
      <c r="AJ210" s="22">
        <v>200</v>
      </c>
      <c r="AK210" s="22">
        <v>0.90606699999999996</v>
      </c>
      <c r="AL210">
        <f t="shared" si="42"/>
        <v>18.5181</v>
      </c>
      <c r="AM210">
        <f t="shared" si="43"/>
        <v>16.798416643500001</v>
      </c>
      <c r="AP210" s="9"/>
      <c r="AQ210" s="22">
        <v>0.49285899999999999</v>
      </c>
      <c r="AR210" s="22">
        <v>246.45099999999999</v>
      </c>
      <c r="AS210" s="22">
        <v>-1.8920900000000001E-2</v>
      </c>
      <c r="AT210" s="22">
        <v>200</v>
      </c>
      <c r="AU210" s="22">
        <v>0.49212600000000001</v>
      </c>
      <c r="AV210">
        <f t="shared" si="44"/>
        <v>18.9209</v>
      </c>
      <c r="AW210">
        <f t="shared" si="45"/>
        <v>9.3253358531000003</v>
      </c>
      <c r="AX210" s="9"/>
      <c r="AY210" s="22">
        <v>0.90713500000000002</v>
      </c>
      <c r="AZ210" s="22">
        <v>295.35199999999998</v>
      </c>
      <c r="BA210" s="22">
        <v>-1.8505899999999999E-2</v>
      </c>
      <c r="BB210" s="22">
        <v>200</v>
      </c>
      <c r="BC210" s="22">
        <v>0.90576199999999996</v>
      </c>
      <c r="BD210">
        <f t="shared" si="46"/>
        <v>18.5059</v>
      </c>
      <c r="BE210">
        <f t="shared" si="47"/>
        <v>16.7873495965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0.48782300000000001</v>
      </c>
      <c r="H211" s="22">
        <v>51.123399999999997</v>
      </c>
      <c r="I211" s="22">
        <v>-1.8954499999999999E-2</v>
      </c>
      <c r="J211" s="22">
        <v>201</v>
      </c>
      <c r="K211" s="22">
        <v>0.48715199999999997</v>
      </c>
      <c r="L211">
        <f t="shared" si="36"/>
        <v>18.954499999999999</v>
      </c>
      <c r="M211">
        <f t="shared" si="37"/>
        <v>9.2464410534999999</v>
      </c>
      <c r="N211" s="9"/>
      <c r="O211" s="22">
        <v>0.91217000000000004</v>
      </c>
      <c r="P211" s="22">
        <v>99.949799999999996</v>
      </c>
      <c r="Q211" s="22">
        <v>-1.8524200000000001E-2</v>
      </c>
      <c r="R211" s="22">
        <v>201</v>
      </c>
      <c r="S211" s="22">
        <v>0.91125500000000004</v>
      </c>
      <c r="T211">
        <f t="shared" si="38"/>
        <v>18.5242</v>
      </c>
      <c r="U211">
        <f t="shared" si="39"/>
        <v>16.897219514</v>
      </c>
      <c r="X211" s="9"/>
      <c r="Y211" s="22">
        <v>0.48782300000000001</v>
      </c>
      <c r="Z211" s="22">
        <v>148.893</v>
      </c>
      <c r="AA211" s="22">
        <v>-1.89392E-2</v>
      </c>
      <c r="AB211" s="22">
        <v>201</v>
      </c>
      <c r="AC211" s="22">
        <v>0.487122</v>
      </c>
      <c r="AD211">
        <f t="shared" si="40"/>
        <v>18.9392</v>
      </c>
      <c r="AE211">
        <f t="shared" si="41"/>
        <v>9.2389773615999999</v>
      </c>
      <c r="AF211" s="9"/>
      <c r="AG211" s="22">
        <v>0.91217000000000004</v>
      </c>
      <c r="AH211" s="22">
        <v>197.69200000000001</v>
      </c>
      <c r="AI211" s="22">
        <v>-1.8518099999999999E-2</v>
      </c>
      <c r="AJ211" s="22">
        <v>201</v>
      </c>
      <c r="AK211" s="22">
        <v>0.91095000000000004</v>
      </c>
      <c r="AL211">
        <f t="shared" si="42"/>
        <v>18.5181</v>
      </c>
      <c r="AM211">
        <f t="shared" si="43"/>
        <v>16.891655277000002</v>
      </c>
      <c r="AP211" s="9"/>
      <c r="AQ211" s="22">
        <v>0.48782300000000001</v>
      </c>
      <c r="AR211" s="22">
        <v>246.46100000000001</v>
      </c>
      <c r="AS211" s="22">
        <v>-1.8926999999999999E-2</v>
      </c>
      <c r="AT211" s="22">
        <v>201</v>
      </c>
      <c r="AU211" s="22">
        <v>0.486786</v>
      </c>
      <c r="AV211">
        <f t="shared" si="44"/>
        <v>18.927</v>
      </c>
      <c r="AW211">
        <f t="shared" si="45"/>
        <v>9.2330259209999994</v>
      </c>
      <c r="AX211" s="9"/>
      <c r="AY211" s="22">
        <v>0.91217000000000004</v>
      </c>
      <c r="AZ211" s="22">
        <v>295.363</v>
      </c>
      <c r="BA211" s="22">
        <v>-1.84998E-2</v>
      </c>
      <c r="BB211" s="22">
        <v>201</v>
      </c>
      <c r="BC211" s="22">
        <v>0.91186500000000004</v>
      </c>
      <c r="BD211">
        <f t="shared" si="46"/>
        <v>18.4998</v>
      </c>
      <c r="BE211">
        <f t="shared" si="47"/>
        <v>16.874962566000001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0.48278799999999999</v>
      </c>
      <c r="H212" s="22">
        <v>51.133499999999998</v>
      </c>
      <c r="I212" s="22">
        <v>-1.8957499999999999E-2</v>
      </c>
      <c r="J212" s="22">
        <v>202</v>
      </c>
      <c r="K212" s="22">
        <v>0.48211700000000002</v>
      </c>
      <c r="L212">
        <f t="shared" si="36"/>
        <v>18.9575</v>
      </c>
      <c r="M212">
        <f t="shared" si="37"/>
        <v>9.1524535099999991</v>
      </c>
      <c r="N212" s="9"/>
      <c r="O212" s="22">
        <v>0.91720599999999997</v>
      </c>
      <c r="P212" s="22">
        <v>99.959900000000005</v>
      </c>
      <c r="Q212" s="22">
        <v>-1.8521099999999999E-2</v>
      </c>
      <c r="R212" s="22">
        <v>202</v>
      </c>
      <c r="S212" s="22">
        <v>0.91644300000000001</v>
      </c>
      <c r="T212">
        <f t="shared" si="38"/>
        <v>18.521099999999997</v>
      </c>
      <c r="U212">
        <f t="shared" si="39"/>
        <v>16.987664046599996</v>
      </c>
      <c r="X212" s="9"/>
      <c r="Y212" s="22">
        <v>0.48278799999999999</v>
      </c>
      <c r="Z212" s="22">
        <v>148.90299999999999</v>
      </c>
      <c r="AA212" s="22">
        <v>-1.8945300000000002E-2</v>
      </c>
      <c r="AB212" s="22">
        <v>202</v>
      </c>
      <c r="AC212" s="22">
        <v>0.48223899999999997</v>
      </c>
      <c r="AD212">
        <f t="shared" si="40"/>
        <v>18.945300000000003</v>
      </c>
      <c r="AE212">
        <f t="shared" si="41"/>
        <v>9.1465634964000007</v>
      </c>
      <c r="AF212" s="9"/>
      <c r="AG212" s="22">
        <v>0.91720599999999997</v>
      </c>
      <c r="AH212" s="22">
        <v>197.702</v>
      </c>
      <c r="AI212" s="22">
        <v>-1.8512000000000001E-2</v>
      </c>
      <c r="AJ212" s="22">
        <v>202</v>
      </c>
      <c r="AK212" s="22">
        <v>0.91613800000000001</v>
      </c>
      <c r="AL212">
        <f t="shared" si="42"/>
        <v>18.512</v>
      </c>
      <c r="AM212">
        <f t="shared" si="43"/>
        <v>16.979317471999998</v>
      </c>
      <c r="AP212" s="9"/>
      <c r="AQ212" s="22">
        <v>0.48278799999999999</v>
      </c>
      <c r="AR212" s="22">
        <v>246.471</v>
      </c>
      <c r="AS212" s="22">
        <v>-1.89362E-2</v>
      </c>
      <c r="AT212" s="22">
        <v>202</v>
      </c>
      <c r="AU212" s="22">
        <v>0.482269</v>
      </c>
      <c r="AV212">
        <f t="shared" si="44"/>
        <v>18.936199999999999</v>
      </c>
      <c r="AW212">
        <f t="shared" si="45"/>
        <v>9.1421701255999999</v>
      </c>
      <c r="AX212" s="9"/>
      <c r="AY212" s="22">
        <v>0.91720599999999997</v>
      </c>
      <c r="AZ212" s="22">
        <v>295.37299999999999</v>
      </c>
      <c r="BA212" s="22">
        <v>-1.8490599999999999E-2</v>
      </c>
      <c r="BB212" s="22">
        <v>202</v>
      </c>
      <c r="BC212" s="22">
        <v>0.91613800000000001</v>
      </c>
      <c r="BD212">
        <f t="shared" si="46"/>
        <v>18.490600000000001</v>
      </c>
      <c r="BE212">
        <f t="shared" si="47"/>
        <v>16.959689263600001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0.47775299999999998</v>
      </c>
      <c r="H213" s="22">
        <v>51.143500000000003</v>
      </c>
      <c r="I213" s="22">
        <v>-1.8960600000000001E-2</v>
      </c>
      <c r="J213" s="22">
        <v>203</v>
      </c>
      <c r="K213" s="22">
        <v>0.47692899999999999</v>
      </c>
      <c r="L213">
        <f t="shared" si="36"/>
        <v>18.960599999999999</v>
      </c>
      <c r="M213">
        <f t="shared" si="37"/>
        <v>9.0584835317999985</v>
      </c>
      <c r="N213" s="9"/>
      <c r="O213" s="22">
        <v>0.92224099999999998</v>
      </c>
      <c r="P213" s="22">
        <v>99.97</v>
      </c>
      <c r="Q213" s="22">
        <v>-1.8515E-2</v>
      </c>
      <c r="R213" s="22">
        <v>203</v>
      </c>
      <c r="S213" s="22">
        <v>0.92193599999999998</v>
      </c>
      <c r="T213">
        <f t="shared" si="38"/>
        <v>18.515000000000001</v>
      </c>
      <c r="U213">
        <f t="shared" si="39"/>
        <v>17.075292115</v>
      </c>
      <c r="X213" s="9"/>
      <c r="Y213" s="22">
        <v>0.47775299999999998</v>
      </c>
      <c r="Z213" s="22">
        <v>148.91300000000001</v>
      </c>
      <c r="AA213" s="22">
        <v>-1.8945300000000002E-2</v>
      </c>
      <c r="AB213" s="22">
        <v>203</v>
      </c>
      <c r="AC213" s="22">
        <v>0.47702</v>
      </c>
      <c r="AD213">
        <f t="shared" si="40"/>
        <v>18.945300000000003</v>
      </c>
      <c r="AE213">
        <f t="shared" si="41"/>
        <v>9.0511739109000011</v>
      </c>
      <c r="AF213" s="9"/>
      <c r="AG213" s="22">
        <v>0.92224099999999998</v>
      </c>
      <c r="AH213" s="22">
        <v>197.71199999999999</v>
      </c>
      <c r="AI213" s="22">
        <v>-1.8508899999999998E-2</v>
      </c>
      <c r="AJ213" s="22">
        <v>203</v>
      </c>
      <c r="AK213" s="22">
        <v>0.92102099999999998</v>
      </c>
      <c r="AL213">
        <f t="shared" si="42"/>
        <v>18.508899999999997</v>
      </c>
      <c r="AM213">
        <f t="shared" si="43"/>
        <v>17.069666444899998</v>
      </c>
      <c r="AP213" s="9"/>
      <c r="AQ213" s="22">
        <v>0.47775299999999998</v>
      </c>
      <c r="AR213" s="22">
        <v>246.48099999999999</v>
      </c>
      <c r="AS213" s="22">
        <v>-1.8945300000000002E-2</v>
      </c>
      <c r="AT213" s="22">
        <v>203</v>
      </c>
      <c r="AU213" s="22">
        <v>0.47699000000000003</v>
      </c>
      <c r="AV213">
        <f t="shared" si="44"/>
        <v>18.945300000000003</v>
      </c>
      <c r="AW213">
        <f t="shared" si="45"/>
        <v>9.0511739109000011</v>
      </c>
      <c r="AX213" s="9"/>
      <c r="AY213" s="22">
        <v>0.92224099999999998</v>
      </c>
      <c r="AZ213" s="22">
        <v>295.38299999999998</v>
      </c>
      <c r="BA213" s="22">
        <v>-1.8484500000000001E-2</v>
      </c>
      <c r="BB213" s="22">
        <v>203</v>
      </c>
      <c r="BC213" s="22">
        <v>0.92132599999999998</v>
      </c>
      <c r="BD213">
        <f t="shared" si="46"/>
        <v>18.484500000000001</v>
      </c>
      <c r="BE213">
        <f t="shared" si="47"/>
        <v>17.047163764499999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0.472717</v>
      </c>
      <c r="H214" s="22">
        <v>51.153599999999997</v>
      </c>
      <c r="I214" s="22">
        <v>-1.89667E-2</v>
      </c>
      <c r="J214" s="22">
        <v>204</v>
      </c>
      <c r="K214" s="22">
        <v>0.47228999999999999</v>
      </c>
      <c r="L214">
        <f t="shared" si="36"/>
        <v>18.966699999999999</v>
      </c>
      <c r="M214">
        <f t="shared" si="37"/>
        <v>8.9658815239000003</v>
      </c>
      <c r="N214" s="9"/>
      <c r="O214" s="22">
        <v>0.92727700000000002</v>
      </c>
      <c r="P214" s="22">
        <v>99.98</v>
      </c>
      <c r="Q214" s="22">
        <v>-1.8508899999999998E-2</v>
      </c>
      <c r="R214" s="22">
        <v>204</v>
      </c>
      <c r="S214" s="22">
        <v>0.92651399999999995</v>
      </c>
      <c r="T214">
        <f t="shared" si="38"/>
        <v>18.508899999999997</v>
      </c>
      <c r="U214">
        <f t="shared" si="39"/>
        <v>17.162877265299997</v>
      </c>
      <c r="X214" s="9"/>
      <c r="Y214" s="22">
        <v>0.472717</v>
      </c>
      <c r="Z214" s="22">
        <v>148.923</v>
      </c>
      <c r="AA214" s="22">
        <v>-1.89514E-2</v>
      </c>
      <c r="AB214" s="22">
        <v>204</v>
      </c>
      <c r="AC214" s="22">
        <v>0.47201500000000002</v>
      </c>
      <c r="AD214">
        <f t="shared" si="40"/>
        <v>18.9514</v>
      </c>
      <c r="AE214">
        <f t="shared" si="41"/>
        <v>8.9586489537999991</v>
      </c>
      <c r="AF214" s="9"/>
      <c r="AG214" s="22">
        <v>0.92727700000000002</v>
      </c>
      <c r="AH214" s="22">
        <v>197.72200000000001</v>
      </c>
      <c r="AI214" s="22">
        <v>-1.85028E-2</v>
      </c>
      <c r="AJ214" s="22">
        <v>204</v>
      </c>
      <c r="AK214" s="22">
        <v>0.92620800000000003</v>
      </c>
      <c r="AL214">
        <f t="shared" si="42"/>
        <v>18.502800000000001</v>
      </c>
      <c r="AM214">
        <f t="shared" si="43"/>
        <v>17.1572208756</v>
      </c>
      <c r="AP214" s="9"/>
      <c r="AQ214" s="22">
        <v>0.472717</v>
      </c>
      <c r="AR214" s="22">
        <v>246.49100000000001</v>
      </c>
      <c r="AS214" s="22">
        <v>-1.89514E-2</v>
      </c>
      <c r="AT214" s="22">
        <v>204</v>
      </c>
      <c r="AU214" s="22">
        <v>0.47195399999999998</v>
      </c>
      <c r="AV214">
        <f t="shared" si="44"/>
        <v>18.9514</v>
      </c>
      <c r="AW214">
        <f t="shared" si="45"/>
        <v>8.9586489537999991</v>
      </c>
      <c r="AX214" s="9"/>
      <c r="AY214" s="22">
        <v>0.92727700000000002</v>
      </c>
      <c r="AZ214" s="22">
        <v>295.39299999999997</v>
      </c>
      <c r="BA214" s="22">
        <v>-1.8484500000000001E-2</v>
      </c>
      <c r="BB214" s="22">
        <v>204</v>
      </c>
      <c r="BC214" s="22">
        <v>0.92590300000000003</v>
      </c>
      <c r="BD214">
        <f t="shared" si="46"/>
        <v>18.484500000000001</v>
      </c>
      <c r="BE214">
        <f t="shared" si="47"/>
        <v>17.140251706500003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0.46768199999999999</v>
      </c>
      <c r="H215" s="22">
        <v>51.163699999999999</v>
      </c>
      <c r="I215" s="22">
        <v>-1.8969699999999999E-2</v>
      </c>
      <c r="J215" s="22">
        <v>205</v>
      </c>
      <c r="K215" s="22">
        <v>0.46716299999999999</v>
      </c>
      <c r="L215">
        <f t="shared" si="36"/>
        <v>18.9697</v>
      </c>
      <c r="M215">
        <f t="shared" si="37"/>
        <v>8.8717872353999994</v>
      </c>
      <c r="N215" s="9"/>
      <c r="O215" s="22">
        <v>0.93231200000000003</v>
      </c>
      <c r="P215" s="22">
        <v>99.990099999999998</v>
      </c>
      <c r="Q215" s="22">
        <v>-1.8505899999999999E-2</v>
      </c>
      <c r="R215" s="22">
        <v>205</v>
      </c>
      <c r="S215" s="22">
        <v>0.931091</v>
      </c>
      <c r="T215">
        <f t="shared" si="38"/>
        <v>18.5059</v>
      </c>
      <c r="U215">
        <f t="shared" si="39"/>
        <v>17.253272640800002</v>
      </c>
      <c r="X215" s="9"/>
      <c r="Y215" s="22">
        <v>0.46768199999999999</v>
      </c>
      <c r="Z215" s="22">
        <v>148.934</v>
      </c>
      <c r="AA215" s="22">
        <v>-1.8957499999999999E-2</v>
      </c>
      <c r="AB215" s="22">
        <v>205</v>
      </c>
      <c r="AC215" s="22">
        <v>0.46700999999999998</v>
      </c>
      <c r="AD215">
        <f t="shared" si="40"/>
        <v>18.9575</v>
      </c>
      <c r="AE215">
        <f t="shared" si="41"/>
        <v>8.8660815149999994</v>
      </c>
      <c r="AF215" s="9"/>
      <c r="AG215" s="22">
        <v>0.93231200000000003</v>
      </c>
      <c r="AH215" s="22">
        <v>197.732</v>
      </c>
      <c r="AI215" s="22">
        <v>-1.85028E-2</v>
      </c>
      <c r="AJ215" s="22">
        <v>205</v>
      </c>
      <c r="AK215" s="22">
        <v>0.930786</v>
      </c>
      <c r="AL215">
        <f t="shared" si="42"/>
        <v>18.502800000000001</v>
      </c>
      <c r="AM215">
        <f t="shared" si="43"/>
        <v>17.250382473600002</v>
      </c>
      <c r="AP215" s="9"/>
      <c r="AQ215" s="22">
        <v>0.46768199999999999</v>
      </c>
      <c r="AR215" s="22">
        <v>246.501</v>
      </c>
      <c r="AS215" s="22">
        <v>-1.8954499999999999E-2</v>
      </c>
      <c r="AT215" s="22">
        <v>205</v>
      </c>
      <c r="AU215" s="22">
        <v>0.46710200000000002</v>
      </c>
      <c r="AV215">
        <f t="shared" si="44"/>
        <v>18.954499999999999</v>
      </c>
      <c r="AW215">
        <f t="shared" si="45"/>
        <v>8.8646784689999993</v>
      </c>
      <c r="AX215" s="9"/>
      <c r="AY215" s="22">
        <v>0.93231200000000003</v>
      </c>
      <c r="AZ215" s="22">
        <v>295.40300000000002</v>
      </c>
      <c r="BA215" s="22">
        <v>-1.8478399999999999E-2</v>
      </c>
      <c r="BB215" s="22">
        <v>205</v>
      </c>
      <c r="BC215" s="22">
        <v>0.931396</v>
      </c>
      <c r="BD215">
        <f t="shared" si="46"/>
        <v>18.478400000000001</v>
      </c>
      <c r="BE215">
        <f t="shared" si="47"/>
        <v>17.2276340608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0.462646</v>
      </c>
      <c r="H216" s="22">
        <v>51.1738</v>
      </c>
      <c r="I216" s="22">
        <v>-1.8975800000000001E-2</v>
      </c>
      <c r="J216" s="22">
        <v>206</v>
      </c>
      <c r="K216" s="22">
        <v>0.46191399999999999</v>
      </c>
      <c r="L216">
        <f t="shared" si="36"/>
        <v>18.9758</v>
      </c>
      <c r="M216">
        <f t="shared" si="37"/>
        <v>8.7790779667999992</v>
      </c>
      <c r="N216" s="9"/>
      <c r="O216" s="22">
        <v>0.93734700000000004</v>
      </c>
      <c r="P216" s="22">
        <v>100</v>
      </c>
      <c r="Q216" s="22">
        <v>-1.84998E-2</v>
      </c>
      <c r="R216" s="22">
        <v>206</v>
      </c>
      <c r="S216" s="22">
        <v>0.93658399999999997</v>
      </c>
      <c r="T216">
        <f t="shared" si="38"/>
        <v>18.4998</v>
      </c>
      <c r="U216">
        <f t="shared" si="39"/>
        <v>17.340732030600002</v>
      </c>
      <c r="X216" s="9"/>
      <c r="Y216" s="22">
        <v>0.462646</v>
      </c>
      <c r="Z216" s="22">
        <v>148.94399999999999</v>
      </c>
      <c r="AA216" s="22">
        <v>-1.8960600000000001E-2</v>
      </c>
      <c r="AB216" s="22">
        <v>206</v>
      </c>
      <c r="AC216" s="22">
        <v>0.46194499999999999</v>
      </c>
      <c r="AD216">
        <f t="shared" si="40"/>
        <v>18.960599999999999</v>
      </c>
      <c r="AE216">
        <f t="shared" si="41"/>
        <v>8.7720457476</v>
      </c>
      <c r="AF216" s="9"/>
      <c r="AG216" s="22">
        <v>0.93734700000000004</v>
      </c>
      <c r="AH216" s="22">
        <v>197.74199999999999</v>
      </c>
      <c r="AI216" s="22">
        <v>-1.84998E-2</v>
      </c>
      <c r="AJ216" s="22">
        <v>206</v>
      </c>
      <c r="AK216" s="22">
        <v>0.93597399999999997</v>
      </c>
      <c r="AL216">
        <f t="shared" si="42"/>
        <v>18.4998</v>
      </c>
      <c r="AM216">
        <f t="shared" si="43"/>
        <v>17.340732030600002</v>
      </c>
      <c r="AP216" s="9"/>
      <c r="AQ216" s="22">
        <v>0.462646</v>
      </c>
      <c r="AR216" s="22">
        <v>246.511</v>
      </c>
      <c r="AS216" s="22">
        <v>-1.8960600000000001E-2</v>
      </c>
      <c r="AT216" s="22">
        <v>206</v>
      </c>
      <c r="AU216" s="22">
        <v>0.46209699999999998</v>
      </c>
      <c r="AV216">
        <f t="shared" si="44"/>
        <v>18.960599999999999</v>
      </c>
      <c r="AW216">
        <f t="shared" si="45"/>
        <v>8.7720457476</v>
      </c>
      <c r="AX216" s="9"/>
      <c r="AY216" s="22">
        <v>0.93734700000000004</v>
      </c>
      <c r="AZ216" s="22">
        <v>295.41300000000001</v>
      </c>
      <c r="BA216" s="22">
        <v>-1.84753E-2</v>
      </c>
      <c r="BB216" s="22">
        <v>206</v>
      </c>
      <c r="BC216" s="22">
        <v>0.93597399999999997</v>
      </c>
      <c r="BD216">
        <f t="shared" si="46"/>
        <v>18.475300000000001</v>
      </c>
      <c r="BE216">
        <f t="shared" si="47"/>
        <v>17.317767029100001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0.45761099999999999</v>
      </c>
      <c r="H217" s="22">
        <v>51.183799999999998</v>
      </c>
      <c r="I217" s="22">
        <v>-1.89789E-2</v>
      </c>
      <c r="J217" s="22">
        <v>207</v>
      </c>
      <c r="K217" s="22">
        <v>0.45675700000000002</v>
      </c>
      <c r="L217">
        <f t="shared" si="36"/>
        <v>18.978899999999999</v>
      </c>
      <c r="M217">
        <f t="shared" si="37"/>
        <v>8.6849534079000001</v>
      </c>
      <c r="N217" s="9"/>
      <c r="O217" s="22">
        <v>0.94238299999999997</v>
      </c>
      <c r="P217" s="22">
        <v>100.01</v>
      </c>
      <c r="Q217" s="22">
        <v>-1.84998E-2</v>
      </c>
      <c r="R217" s="22">
        <v>207</v>
      </c>
      <c r="S217" s="22">
        <v>0.94238299999999997</v>
      </c>
      <c r="T217">
        <f t="shared" si="38"/>
        <v>18.4998</v>
      </c>
      <c r="U217">
        <f t="shared" si="39"/>
        <v>17.4338970234</v>
      </c>
      <c r="X217" s="9"/>
      <c r="Y217" s="22">
        <v>0.45761099999999999</v>
      </c>
      <c r="Z217" s="22">
        <v>148.95400000000001</v>
      </c>
      <c r="AA217" s="22">
        <v>-1.8963600000000001E-2</v>
      </c>
      <c r="AB217" s="22">
        <v>207</v>
      </c>
      <c r="AC217" s="22">
        <v>0.45690900000000001</v>
      </c>
      <c r="AD217">
        <f t="shared" si="40"/>
        <v>18.9636</v>
      </c>
      <c r="AE217">
        <f t="shared" si="41"/>
        <v>8.6779519595999997</v>
      </c>
      <c r="AF217" s="9"/>
      <c r="AG217" s="22">
        <v>0.94238299999999997</v>
      </c>
      <c r="AH217" s="22">
        <v>197.75200000000001</v>
      </c>
      <c r="AI217" s="22">
        <v>-1.8493699999999998E-2</v>
      </c>
      <c r="AJ217" s="22">
        <v>207</v>
      </c>
      <c r="AK217" s="22">
        <v>0.94116200000000005</v>
      </c>
      <c r="AL217">
        <f t="shared" si="42"/>
        <v>18.493699999999997</v>
      </c>
      <c r="AM217">
        <f t="shared" si="43"/>
        <v>17.428148487099996</v>
      </c>
      <c r="AP217" s="9"/>
      <c r="AQ217" s="22">
        <v>0.45761099999999999</v>
      </c>
      <c r="AR217" s="22">
        <v>246.52099999999999</v>
      </c>
      <c r="AS217" s="22">
        <v>-1.8963600000000001E-2</v>
      </c>
      <c r="AT217" s="22">
        <v>207</v>
      </c>
      <c r="AU217" s="22">
        <v>0.456818</v>
      </c>
      <c r="AV217">
        <f t="shared" si="44"/>
        <v>18.9636</v>
      </c>
      <c r="AW217">
        <f t="shared" si="45"/>
        <v>8.6779519595999997</v>
      </c>
      <c r="AX217" s="9"/>
      <c r="AY217" s="22">
        <v>0.94238299999999997</v>
      </c>
      <c r="AZ217" s="22">
        <v>295.423</v>
      </c>
      <c r="BA217" s="22">
        <v>-1.8472300000000001E-2</v>
      </c>
      <c r="BB217" s="22">
        <v>207</v>
      </c>
      <c r="BC217" s="22">
        <v>0.94177200000000005</v>
      </c>
      <c r="BD217">
        <f t="shared" si="46"/>
        <v>18.472300000000001</v>
      </c>
      <c r="BE217">
        <f t="shared" si="47"/>
        <v>17.407981490899999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0.45257599999999998</v>
      </c>
      <c r="H218" s="22">
        <v>51.193899999999999</v>
      </c>
      <c r="I218" s="22">
        <v>-1.8981899999999999E-2</v>
      </c>
      <c r="J218" s="22">
        <v>208</v>
      </c>
      <c r="K218" s="22">
        <v>0.45184299999999999</v>
      </c>
      <c r="L218">
        <f t="shared" si="36"/>
        <v>18.9819</v>
      </c>
      <c r="M218">
        <f t="shared" si="37"/>
        <v>8.5907523743999992</v>
      </c>
      <c r="N218" s="9"/>
      <c r="O218" s="22">
        <v>0.94741799999999998</v>
      </c>
      <c r="P218" s="22">
        <v>100.02</v>
      </c>
      <c r="Q218" s="22">
        <v>-1.8493699999999998E-2</v>
      </c>
      <c r="R218" s="22">
        <v>208</v>
      </c>
      <c r="S218" s="22">
        <v>0.94604500000000002</v>
      </c>
      <c r="T218">
        <f t="shared" si="38"/>
        <v>18.493699999999997</v>
      </c>
      <c r="U218">
        <f t="shared" si="39"/>
        <v>17.521264266599996</v>
      </c>
      <c r="X218" s="9"/>
      <c r="Y218" s="22">
        <v>0.45257599999999998</v>
      </c>
      <c r="Z218" s="22">
        <v>148.964</v>
      </c>
      <c r="AA218" s="22">
        <v>-1.8969699999999999E-2</v>
      </c>
      <c r="AB218" s="22">
        <v>208</v>
      </c>
      <c r="AC218" s="22">
        <v>0.45211800000000002</v>
      </c>
      <c r="AD218">
        <f t="shared" si="40"/>
        <v>18.9697</v>
      </c>
      <c r="AE218">
        <f t="shared" si="41"/>
        <v>8.5852309471999995</v>
      </c>
      <c r="AF218" s="9"/>
      <c r="AG218" s="22">
        <v>0.94741799999999998</v>
      </c>
      <c r="AH218" s="22">
        <v>197.762</v>
      </c>
      <c r="AI218" s="22">
        <v>-1.84875E-2</v>
      </c>
      <c r="AJ218" s="22">
        <v>208</v>
      </c>
      <c r="AK218" s="22">
        <v>0.94635000000000002</v>
      </c>
      <c r="AL218">
        <f t="shared" si="42"/>
        <v>18.487500000000001</v>
      </c>
      <c r="AM218">
        <f t="shared" si="43"/>
        <v>17.515390275000001</v>
      </c>
      <c r="AP218" s="9"/>
      <c r="AQ218" s="22">
        <v>0.45257599999999998</v>
      </c>
      <c r="AR218" s="22">
        <v>246.53200000000001</v>
      </c>
      <c r="AS218" s="22">
        <v>-1.89667E-2</v>
      </c>
      <c r="AT218" s="22">
        <v>208</v>
      </c>
      <c r="AU218" s="22">
        <v>0.45196500000000001</v>
      </c>
      <c r="AV218">
        <f t="shared" si="44"/>
        <v>18.966699999999999</v>
      </c>
      <c r="AW218">
        <f t="shared" si="45"/>
        <v>8.5838732191999991</v>
      </c>
      <c r="AX218" s="9"/>
      <c r="AY218" s="22">
        <v>0.94741799999999998</v>
      </c>
      <c r="AZ218" s="22">
        <v>295.43299999999999</v>
      </c>
      <c r="BA218" s="22">
        <v>-1.8466199999999999E-2</v>
      </c>
      <c r="BB218" s="22">
        <v>208</v>
      </c>
      <c r="BC218" s="22">
        <v>0.94726600000000005</v>
      </c>
      <c r="BD218">
        <f t="shared" si="46"/>
        <v>18.466199999999997</v>
      </c>
      <c r="BE218">
        <f t="shared" si="47"/>
        <v>17.495210271599998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0.44753999999999999</v>
      </c>
      <c r="H219" s="22">
        <v>51.204000000000001</v>
      </c>
      <c r="I219" s="22">
        <v>-1.8988000000000001E-2</v>
      </c>
      <c r="J219" s="22">
        <v>209</v>
      </c>
      <c r="K219" s="22">
        <v>0.44696000000000002</v>
      </c>
      <c r="L219">
        <f t="shared" si="36"/>
        <v>18.988000000000003</v>
      </c>
      <c r="M219">
        <f t="shared" si="37"/>
        <v>8.4978895200000011</v>
      </c>
      <c r="N219" s="9"/>
      <c r="O219" s="22">
        <v>0.95245400000000002</v>
      </c>
      <c r="P219" s="22">
        <v>100.03</v>
      </c>
      <c r="Q219" s="22">
        <v>-1.84875E-2</v>
      </c>
      <c r="R219" s="22">
        <v>209</v>
      </c>
      <c r="S219" s="22">
        <v>0.95153799999999999</v>
      </c>
      <c r="T219">
        <f t="shared" si="38"/>
        <v>18.487500000000001</v>
      </c>
      <c r="U219">
        <f t="shared" si="39"/>
        <v>17.608493325000001</v>
      </c>
      <c r="X219" s="9"/>
      <c r="Y219" s="22">
        <v>0.44753999999999999</v>
      </c>
      <c r="Z219" s="22">
        <v>148.97399999999999</v>
      </c>
      <c r="AA219" s="22">
        <v>-1.8975800000000001E-2</v>
      </c>
      <c r="AB219" s="22">
        <v>209</v>
      </c>
      <c r="AC219" s="22">
        <v>0.44686900000000002</v>
      </c>
      <c r="AD219">
        <f t="shared" si="40"/>
        <v>18.9758</v>
      </c>
      <c r="AE219">
        <f t="shared" si="41"/>
        <v>8.4924295319999992</v>
      </c>
      <c r="AF219" s="9"/>
      <c r="AG219" s="22">
        <v>0.95245400000000002</v>
      </c>
      <c r="AH219" s="22">
        <v>197.77199999999999</v>
      </c>
      <c r="AI219" s="22">
        <v>-1.8484500000000001E-2</v>
      </c>
      <c r="AJ219" s="22">
        <v>209</v>
      </c>
      <c r="AK219" s="22">
        <v>0.95153799999999999</v>
      </c>
      <c r="AL219">
        <f t="shared" si="42"/>
        <v>18.484500000000001</v>
      </c>
      <c r="AM219">
        <f t="shared" si="43"/>
        <v>17.605635963000001</v>
      </c>
      <c r="AP219" s="9"/>
      <c r="AQ219" s="22">
        <v>0.44753999999999999</v>
      </c>
      <c r="AR219" s="22">
        <v>246.542</v>
      </c>
      <c r="AS219" s="22">
        <v>-1.8972800000000001E-2</v>
      </c>
      <c r="AT219" s="22">
        <v>209</v>
      </c>
      <c r="AU219" s="22">
        <v>0.44686900000000002</v>
      </c>
      <c r="AV219">
        <f t="shared" si="44"/>
        <v>18.972800000000003</v>
      </c>
      <c r="AW219">
        <f t="shared" si="45"/>
        <v>8.4910869120000019</v>
      </c>
      <c r="AX219" s="9"/>
      <c r="AY219" s="22">
        <v>0.95245400000000002</v>
      </c>
      <c r="AZ219" s="22">
        <v>295.44299999999998</v>
      </c>
      <c r="BA219" s="22">
        <v>-1.84601E-2</v>
      </c>
      <c r="BB219" s="22">
        <v>209</v>
      </c>
      <c r="BC219" s="22">
        <v>0.951233</v>
      </c>
      <c r="BD219">
        <f t="shared" si="46"/>
        <v>18.460100000000001</v>
      </c>
      <c r="BE219">
        <f t="shared" si="47"/>
        <v>17.582396085400003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0.44250499999999998</v>
      </c>
      <c r="H220" s="22">
        <v>51.213999999999999</v>
      </c>
      <c r="I220" s="22">
        <v>-1.89941E-2</v>
      </c>
      <c r="J220" s="22">
        <v>210</v>
      </c>
      <c r="K220" s="22">
        <v>0.44183299999999998</v>
      </c>
      <c r="L220">
        <f t="shared" si="36"/>
        <v>18.9941</v>
      </c>
      <c r="M220">
        <f t="shared" si="37"/>
        <v>8.4049842204999994</v>
      </c>
      <c r="N220" s="9"/>
      <c r="O220" s="22">
        <v>0.95748900000000003</v>
      </c>
      <c r="P220" s="22">
        <v>100.04</v>
      </c>
      <c r="Q220" s="22">
        <v>-1.8484500000000001E-2</v>
      </c>
      <c r="R220" s="22">
        <v>210</v>
      </c>
      <c r="S220" s="22">
        <v>0.95642099999999997</v>
      </c>
      <c r="T220">
        <f t="shared" si="38"/>
        <v>18.484500000000001</v>
      </c>
      <c r="U220">
        <f t="shared" si="39"/>
        <v>17.698705420500001</v>
      </c>
      <c r="X220" s="9"/>
      <c r="Y220" s="22">
        <v>0.44250499999999998</v>
      </c>
      <c r="Z220" s="22">
        <v>148.98400000000001</v>
      </c>
      <c r="AA220" s="22">
        <v>-1.8981899999999999E-2</v>
      </c>
      <c r="AB220" s="22">
        <v>210</v>
      </c>
      <c r="AC220" s="22">
        <v>0.44183299999999998</v>
      </c>
      <c r="AD220">
        <f t="shared" si="40"/>
        <v>18.9819</v>
      </c>
      <c r="AE220">
        <f t="shared" si="41"/>
        <v>8.3995856594999996</v>
      </c>
      <c r="AF220" s="9"/>
      <c r="AG220" s="22">
        <v>0.95748900000000003</v>
      </c>
      <c r="AH220" s="22">
        <v>197.78200000000001</v>
      </c>
      <c r="AI220" s="22">
        <v>-1.8478399999999999E-2</v>
      </c>
      <c r="AJ220" s="22">
        <v>210</v>
      </c>
      <c r="AK220" s="22">
        <v>0.95672599999999997</v>
      </c>
      <c r="AL220">
        <f t="shared" si="42"/>
        <v>18.478400000000001</v>
      </c>
      <c r="AM220">
        <f t="shared" si="43"/>
        <v>17.692864737600001</v>
      </c>
      <c r="AP220" s="9"/>
      <c r="AQ220" s="22">
        <v>0.44250499999999998</v>
      </c>
      <c r="AR220" s="22">
        <v>246.55199999999999</v>
      </c>
      <c r="AS220" s="22">
        <v>-1.89789E-2</v>
      </c>
      <c r="AT220" s="22">
        <v>210</v>
      </c>
      <c r="AU220" s="22">
        <v>0.44171100000000002</v>
      </c>
      <c r="AV220">
        <f t="shared" si="44"/>
        <v>18.978899999999999</v>
      </c>
      <c r="AW220">
        <f t="shared" si="45"/>
        <v>8.3982581444999997</v>
      </c>
      <c r="AX220" s="9"/>
      <c r="AY220" s="22">
        <v>0.95748900000000003</v>
      </c>
      <c r="AZ220" s="22">
        <v>295.45299999999997</v>
      </c>
      <c r="BA220" s="22">
        <v>-1.8454000000000002E-2</v>
      </c>
      <c r="BB220" s="22">
        <v>210</v>
      </c>
      <c r="BC220" s="22">
        <v>0.95703099999999997</v>
      </c>
      <c r="BD220">
        <f t="shared" si="46"/>
        <v>18.454000000000001</v>
      </c>
      <c r="BE220">
        <f t="shared" si="47"/>
        <v>17.669502006000002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0.437469</v>
      </c>
      <c r="H221" s="22">
        <v>51.2241</v>
      </c>
      <c r="I221" s="22">
        <v>-1.9000199999999998E-2</v>
      </c>
      <c r="J221" s="22">
        <v>211</v>
      </c>
      <c r="K221" s="22">
        <v>0.43695099999999998</v>
      </c>
      <c r="L221">
        <f t="shared" si="36"/>
        <v>19.0002</v>
      </c>
      <c r="M221">
        <f t="shared" si="37"/>
        <v>8.3119984937999991</v>
      </c>
      <c r="N221" s="9"/>
      <c r="O221" s="22">
        <v>0.96252400000000005</v>
      </c>
      <c r="P221" s="22">
        <v>100.051</v>
      </c>
      <c r="Q221" s="22">
        <v>-1.8481399999999999E-2</v>
      </c>
      <c r="R221" s="22">
        <v>211</v>
      </c>
      <c r="S221" s="22">
        <v>0.96130400000000005</v>
      </c>
      <c r="T221">
        <f t="shared" si="38"/>
        <v>18.481399999999997</v>
      </c>
      <c r="U221">
        <f t="shared" si="39"/>
        <v>17.788791053599997</v>
      </c>
      <c r="X221" s="9"/>
      <c r="Y221" s="22">
        <v>0.437469</v>
      </c>
      <c r="Z221" s="22">
        <v>148.994</v>
      </c>
      <c r="AA221" s="22">
        <v>-1.89911E-2</v>
      </c>
      <c r="AB221" s="22">
        <v>211</v>
      </c>
      <c r="AC221" s="22">
        <v>0.43643199999999999</v>
      </c>
      <c r="AD221">
        <f t="shared" si="40"/>
        <v>18.991099999999999</v>
      </c>
      <c r="AE221">
        <f t="shared" si="41"/>
        <v>8.3080175259000004</v>
      </c>
      <c r="AF221" s="9"/>
      <c r="AG221" s="22">
        <v>0.96252400000000005</v>
      </c>
      <c r="AH221" s="22">
        <v>197.792</v>
      </c>
      <c r="AI221" s="22">
        <v>-1.8472300000000001E-2</v>
      </c>
      <c r="AJ221" s="22">
        <v>211</v>
      </c>
      <c r="AK221" s="22">
        <v>0.96191400000000005</v>
      </c>
      <c r="AL221">
        <f t="shared" si="42"/>
        <v>18.472300000000001</v>
      </c>
      <c r="AM221">
        <f t="shared" si="43"/>
        <v>17.780032085200002</v>
      </c>
      <c r="AP221" s="9"/>
      <c r="AQ221" s="22">
        <v>0.437469</v>
      </c>
      <c r="AR221" s="22">
        <v>246.56200000000001</v>
      </c>
      <c r="AS221" s="22">
        <v>-1.8984999999999998E-2</v>
      </c>
      <c r="AT221" s="22">
        <v>211</v>
      </c>
      <c r="AU221" s="22">
        <v>0.43673699999999999</v>
      </c>
      <c r="AV221">
        <f t="shared" si="44"/>
        <v>18.984999999999999</v>
      </c>
      <c r="AW221">
        <f t="shared" si="45"/>
        <v>8.3053489650000003</v>
      </c>
      <c r="AX221" s="9"/>
      <c r="AY221" s="22">
        <v>0.96252400000000005</v>
      </c>
      <c r="AZ221" s="22">
        <v>295.46300000000002</v>
      </c>
      <c r="BA221" s="22">
        <v>-1.8450899999999999E-2</v>
      </c>
      <c r="BB221" s="22">
        <v>211</v>
      </c>
      <c r="BC221" s="22">
        <v>0.96191400000000005</v>
      </c>
      <c r="BD221">
        <f t="shared" si="46"/>
        <v>18.450900000000001</v>
      </c>
      <c r="BE221">
        <f t="shared" si="47"/>
        <v>17.759434071600001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0.43243399999999999</v>
      </c>
      <c r="H222" s="22">
        <v>51.234200000000001</v>
      </c>
      <c r="I222" s="22">
        <v>-1.90063E-2</v>
      </c>
      <c r="J222" s="22">
        <v>212</v>
      </c>
      <c r="K222" s="22">
        <v>0.43179299999999998</v>
      </c>
      <c r="L222">
        <f t="shared" si="36"/>
        <v>19.0063</v>
      </c>
      <c r="M222">
        <f t="shared" si="37"/>
        <v>8.2189703341999998</v>
      </c>
      <c r="N222" s="9"/>
      <c r="O222" s="22">
        <v>0.96755999999999998</v>
      </c>
      <c r="P222" s="22">
        <v>100.06100000000001</v>
      </c>
      <c r="Q222" s="22">
        <v>-1.8478399999999999E-2</v>
      </c>
      <c r="R222" s="22">
        <v>212</v>
      </c>
      <c r="S222" s="22">
        <v>0.96679700000000002</v>
      </c>
      <c r="T222">
        <f t="shared" si="38"/>
        <v>18.478400000000001</v>
      </c>
      <c r="U222">
        <f t="shared" si="39"/>
        <v>17.878960704000001</v>
      </c>
      <c r="X222" s="9"/>
      <c r="Y222" s="22">
        <v>0.43243399999999999</v>
      </c>
      <c r="Z222" s="22">
        <v>149.00399999999999</v>
      </c>
      <c r="AA222" s="22">
        <v>-1.89911E-2</v>
      </c>
      <c r="AB222" s="22">
        <v>212</v>
      </c>
      <c r="AC222" s="22">
        <v>0.431946</v>
      </c>
      <c r="AD222">
        <f t="shared" si="40"/>
        <v>18.991099999999999</v>
      </c>
      <c r="AE222">
        <f t="shared" si="41"/>
        <v>8.2123973373999988</v>
      </c>
      <c r="AF222" s="9"/>
      <c r="AG222" s="22">
        <v>0.96755999999999998</v>
      </c>
      <c r="AH222" s="22">
        <v>197.80199999999999</v>
      </c>
      <c r="AI222" s="22">
        <v>-1.8466199999999999E-2</v>
      </c>
      <c r="AJ222" s="22">
        <v>212</v>
      </c>
      <c r="AK222" s="22">
        <v>0.96710200000000002</v>
      </c>
      <c r="AL222">
        <f t="shared" si="42"/>
        <v>18.466199999999997</v>
      </c>
      <c r="AM222">
        <f t="shared" si="43"/>
        <v>17.867156471999998</v>
      </c>
      <c r="AP222" s="9"/>
      <c r="AQ222" s="22">
        <v>0.43243399999999999</v>
      </c>
      <c r="AR222" s="22">
        <v>246.572</v>
      </c>
      <c r="AS222" s="22">
        <v>-1.8988000000000001E-2</v>
      </c>
      <c r="AT222" s="22">
        <v>212</v>
      </c>
      <c r="AU222" s="22">
        <v>0.43160999999999999</v>
      </c>
      <c r="AV222">
        <f t="shared" si="44"/>
        <v>18.988000000000003</v>
      </c>
      <c r="AW222">
        <f t="shared" si="45"/>
        <v>8.2110567920000008</v>
      </c>
      <c r="AX222" s="9"/>
      <c r="AY222" s="22">
        <v>0.96755999999999998</v>
      </c>
      <c r="AZ222" s="22">
        <v>295.47300000000001</v>
      </c>
      <c r="BA222" s="22">
        <v>-1.84479E-2</v>
      </c>
      <c r="BB222" s="22">
        <v>212</v>
      </c>
      <c r="BC222" s="22">
        <v>0.96649200000000002</v>
      </c>
      <c r="BD222">
        <f t="shared" si="46"/>
        <v>18.447900000000001</v>
      </c>
      <c r="BE222">
        <f t="shared" si="47"/>
        <v>17.849450124000001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0.42739899999999997</v>
      </c>
      <c r="H223" s="22">
        <v>51.244300000000003</v>
      </c>
      <c r="I223" s="22">
        <v>-1.9012500000000002E-2</v>
      </c>
      <c r="J223" s="22">
        <v>213</v>
      </c>
      <c r="K223" s="22">
        <v>0.42666599999999999</v>
      </c>
      <c r="L223">
        <f t="shared" si="36"/>
        <v>19.012500000000003</v>
      </c>
      <c r="M223">
        <f t="shared" si="37"/>
        <v>8.1259234875000015</v>
      </c>
      <c r="N223" s="9"/>
      <c r="O223" s="22">
        <v>0.97259499999999999</v>
      </c>
      <c r="P223" s="22">
        <v>100.071</v>
      </c>
      <c r="Q223" s="22">
        <v>-1.8472300000000001E-2</v>
      </c>
      <c r="R223" s="22">
        <v>213</v>
      </c>
      <c r="S223" s="22">
        <v>0.97137499999999999</v>
      </c>
      <c r="T223">
        <f t="shared" si="38"/>
        <v>18.472300000000001</v>
      </c>
      <c r="U223">
        <f t="shared" si="39"/>
        <v>17.966066618500001</v>
      </c>
      <c r="X223" s="9"/>
      <c r="Y223" s="22">
        <v>0.42739899999999997</v>
      </c>
      <c r="Z223" s="22">
        <v>149.01400000000001</v>
      </c>
      <c r="AA223" s="22">
        <v>-1.89941E-2</v>
      </c>
      <c r="AB223" s="22">
        <v>213</v>
      </c>
      <c r="AC223" s="22">
        <v>0.42675800000000003</v>
      </c>
      <c r="AD223">
        <f t="shared" si="40"/>
        <v>18.9941</v>
      </c>
      <c r="AE223">
        <f t="shared" si="41"/>
        <v>8.118059345899999</v>
      </c>
      <c r="AF223" s="9"/>
      <c r="AG223" s="22">
        <v>0.97259499999999999</v>
      </c>
      <c r="AH223" s="22">
        <v>197.81299999999999</v>
      </c>
      <c r="AI223" s="22">
        <v>-1.8457000000000001E-2</v>
      </c>
      <c r="AJ223" s="22">
        <v>213</v>
      </c>
      <c r="AK223" s="22">
        <v>0.97137499999999999</v>
      </c>
      <c r="AL223">
        <f t="shared" si="42"/>
        <v>18.457000000000001</v>
      </c>
      <c r="AM223">
        <f t="shared" si="43"/>
        <v>17.951185915</v>
      </c>
      <c r="AP223" s="9"/>
      <c r="AQ223" s="22">
        <v>0.42739899999999997</v>
      </c>
      <c r="AR223" s="22">
        <v>246.58199999999999</v>
      </c>
      <c r="AS223" s="22">
        <v>-1.89941E-2</v>
      </c>
      <c r="AT223" s="22">
        <v>213</v>
      </c>
      <c r="AU223" s="22">
        <v>0.42672700000000002</v>
      </c>
      <c r="AV223">
        <f t="shared" si="44"/>
        <v>18.9941</v>
      </c>
      <c r="AW223">
        <f t="shared" si="45"/>
        <v>8.118059345899999</v>
      </c>
      <c r="AX223" s="9"/>
      <c r="AY223" s="22">
        <v>0.97259499999999999</v>
      </c>
      <c r="AZ223" s="22">
        <v>295.483</v>
      </c>
      <c r="BA223" s="22">
        <v>-1.8444800000000001E-2</v>
      </c>
      <c r="BB223" s="22">
        <v>213</v>
      </c>
      <c r="BC223" s="22">
        <v>0.97137499999999999</v>
      </c>
      <c r="BD223">
        <f t="shared" si="46"/>
        <v>18.444800000000001</v>
      </c>
      <c r="BE223">
        <f t="shared" si="47"/>
        <v>17.939320256000002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0.42236299999999999</v>
      </c>
      <c r="H224" s="22">
        <v>51.254300000000001</v>
      </c>
      <c r="I224" s="22">
        <v>-1.90186E-2</v>
      </c>
      <c r="J224" s="22">
        <v>214</v>
      </c>
      <c r="K224" s="22">
        <v>0.42172199999999999</v>
      </c>
      <c r="L224">
        <f t="shared" si="36"/>
        <v>19.018599999999999</v>
      </c>
      <c r="M224">
        <f t="shared" si="37"/>
        <v>8.0327529517999992</v>
      </c>
      <c r="N224" s="9"/>
      <c r="O224" s="22">
        <v>0.97763100000000003</v>
      </c>
      <c r="P224" s="22">
        <v>100.081</v>
      </c>
      <c r="Q224" s="22">
        <v>-1.8469200000000002E-2</v>
      </c>
      <c r="R224" s="22">
        <v>214</v>
      </c>
      <c r="S224" s="22">
        <v>0.97625700000000004</v>
      </c>
      <c r="T224">
        <f t="shared" si="38"/>
        <v>18.469200000000001</v>
      </c>
      <c r="U224">
        <f t="shared" si="39"/>
        <v>18.0560624652</v>
      </c>
      <c r="X224" s="9"/>
      <c r="Y224" s="22">
        <v>0.42236299999999999</v>
      </c>
      <c r="Z224" s="22">
        <v>149.024</v>
      </c>
      <c r="AA224" s="22">
        <v>-1.9000199999999998E-2</v>
      </c>
      <c r="AB224" s="22">
        <v>214</v>
      </c>
      <c r="AC224" s="22">
        <v>0.421844</v>
      </c>
      <c r="AD224">
        <f t="shared" si="40"/>
        <v>19.0002</v>
      </c>
      <c r="AE224">
        <f t="shared" si="41"/>
        <v>8.0249814726000004</v>
      </c>
      <c r="AF224" s="9"/>
      <c r="AG224" s="22">
        <v>0.97763100000000003</v>
      </c>
      <c r="AH224" s="22">
        <v>197.82300000000001</v>
      </c>
      <c r="AI224" s="22">
        <v>-1.8450899999999999E-2</v>
      </c>
      <c r="AJ224" s="22">
        <v>214</v>
      </c>
      <c r="AK224" s="22">
        <v>0.97595200000000004</v>
      </c>
      <c r="AL224">
        <f t="shared" si="42"/>
        <v>18.450900000000001</v>
      </c>
      <c r="AM224">
        <f t="shared" si="43"/>
        <v>18.0381718179</v>
      </c>
      <c r="AP224" s="9"/>
      <c r="AQ224" s="22">
        <v>0.42236299999999999</v>
      </c>
      <c r="AR224" s="22">
        <v>246.59200000000001</v>
      </c>
      <c r="AS224" s="22">
        <v>-1.9000199999999998E-2</v>
      </c>
      <c r="AT224" s="22">
        <v>214</v>
      </c>
      <c r="AU224" s="22">
        <v>0.42172199999999999</v>
      </c>
      <c r="AV224">
        <f t="shared" si="44"/>
        <v>19.0002</v>
      </c>
      <c r="AW224">
        <f t="shared" si="45"/>
        <v>8.0249814726000004</v>
      </c>
      <c r="AX224" s="9"/>
      <c r="AY224" s="22">
        <v>0.97763100000000003</v>
      </c>
      <c r="AZ224" s="22">
        <v>295.49299999999999</v>
      </c>
      <c r="BA224" s="22">
        <v>-1.8438699999999999E-2</v>
      </c>
      <c r="BB224" s="22">
        <v>214</v>
      </c>
      <c r="BC224" s="22">
        <v>0.97717299999999996</v>
      </c>
      <c r="BD224">
        <f t="shared" si="46"/>
        <v>18.438699999999997</v>
      </c>
      <c r="BE224">
        <f t="shared" si="47"/>
        <v>18.026244719699999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0.41732799999999998</v>
      </c>
      <c r="H225" s="22">
        <v>51.264400000000002</v>
      </c>
      <c r="I225" s="22">
        <v>-1.9027700000000002E-2</v>
      </c>
      <c r="J225" s="22">
        <v>215</v>
      </c>
      <c r="K225" s="22">
        <v>0.41677900000000001</v>
      </c>
      <c r="L225">
        <f t="shared" si="36"/>
        <v>19.027700000000003</v>
      </c>
      <c r="M225">
        <f t="shared" si="37"/>
        <v>7.9407919856000007</v>
      </c>
      <c r="N225" s="9"/>
      <c r="O225" s="22">
        <v>0.98266600000000004</v>
      </c>
      <c r="P225" s="22">
        <v>100.09099999999999</v>
      </c>
      <c r="Q225" s="22">
        <v>-1.84631E-2</v>
      </c>
      <c r="R225" s="22">
        <v>215</v>
      </c>
      <c r="S225" s="22">
        <v>0.98205600000000004</v>
      </c>
      <c r="T225">
        <f t="shared" si="38"/>
        <v>18.463100000000001</v>
      </c>
      <c r="U225">
        <f t="shared" si="39"/>
        <v>18.1430606246</v>
      </c>
      <c r="X225" s="9"/>
      <c r="Y225" s="22">
        <v>0.41732799999999998</v>
      </c>
      <c r="Z225" s="22">
        <v>149.03399999999999</v>
      </c>
      <c r="AA225" s="22">
        <v>-1.90063E-2</v>
      </c>
      <c r="AB225" s="22">
        <v>215</v>
      </c>
      <c r="AC225" s="22">
        <v>0.41690100000000002</v>
      </c>
      <c r="AD225">
        <f t="shared" si="40"/>
        <v>19.0063</v>
      </c>
      <c r="AE225">
        <f t="shared" si="41"/>
        <v>7.9318611663999992</v>
      </c>
      <c r="AF225" s="9"/>
      <c r="AG225" s="22">
        <v>0.98266600000000004</v>
      </c>
      <c r="AH225" s="22">
        <v>197.833</v>
      </c>
      <c r="AI225" s="22">
        <v>-1.84479E-2</v>
      </c>
      <c r="AJ225" s="22">
        <v>215</v>
      </c>
      <c r="AK225" s="22">
        <v>0.98205600000000004</v>
      </c>
      <c r="AL225">
        <f t="shared" si="42"/>
        <v>18.447900000000001</v>
      </c>
      <c r="AM225">
        <f t="shared" si="43"/>
        <v>18.128124101400001</v>
      </c>
      <c r="AP225" s="9"/>
      <c r="AQ225" s="22">
        <v>0.41732799999999998</v>
      </c>
      <c r="AR225" s="22">
        <v>246.602</v>
      </c>
      <c r="AS225" s="22">
        <v>-1.90063E-2</v>
      </c>
      <c r="AT225" s="22">
        <v>215</v>
      </c>
      <c r="AU225" s="22">
        <v>0.416962</v>
      </c>
      <c r="AV225">
        <f t="shared" si="44"/>
        <v>19.0063</v>
      </c>
      <c r="AW225">
        <f t="shared" si="45"/>
        <v>7.9318611663999992</v>
      </c>
      <c r="AX225" s="9"/>
      <c r="AY225" s="22">
        <v>0.98266600000000004</v>
      </c>
      <c r="AZ225" s="22">
        <v>295.50400000000002</v>
      </c>
      <c r="BA225" s="22">
        <v>-1.84326E-2</v>
      </c>
      <c r="BB225" s="22">
        <v>215</v>
      </c>
      <c r="BC225" s="22">
        <v>0.98205600000000004</v>
      </c>
      <c r="BD225">
        <f t="shared" si="46"/>
        <v>18.432600000000001</v>
      </c>
      <c r="BE225">
        <f t="shared" si="47"/>
        <v>18.113089311600003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0.41229199999999999</v>
      </c>
      <c r="H226" s="22">
        <v>51.274500000000003</v>
      </c>
      <c r="I226" s="22">
        <v>-1.90338E-2</v>
      </c>
      <c r="J226" s="22">
        <v>216</v>
      </c>
      <c r="K226" s="22">
        <v>0.411713</v>
      </c>
      <c r="L226">
        <f t="shared" si="36"/>
        <v>19.033799999999999</v>
      </c>
      <c r="M226">
        <f t="shared" si="37"/>
        <v>7.8474834695999993</v>
      </c>
      <c r="N226" s="9"/>
      <c r="O226" s="22">
        <v>0.98770100000000005</v>
      </c>
      <c r="P226" s="22">
        <v>100.101</v>
      </c>
      <c r="Q226" s="22">
        <v>-1.8457000000000001E-2</v>
      </c>
      <c r="R226" s="22">
        <v>216</v>
      </c>
      <c r="S226" s="22">
        <v>0.98663299999999998</v>
      </c>
      <c r="T226">
        <f t="shared" si="38"/>
        <v>18.457000000000001</v>
      </c>
      <c r="U226">
        <f t="shared" si="39"/>
        <v>18.229997357000002</v>
      </c>
      <c r="X226" s="9"/>
      <c r="Y226" s="22">
        <v>0.41229199999999999</v>
      </c>
      <c r="Z226" s="22">
        <v>149.04400000000001</v>
      </c>
      <c r="AA226" s="22">
        <v>-1.9012500000000002E-2</v>
      </c>
      <c r="AB226" s="22">
        <v>216</v>
      </c>
      <c r="AC226" s="22">
        <v>0.41189599999999998</v>
      </c>
      <c r="AD226">
        <f t="shared" si="40"/>
        <v>19.012500000000003</v>
      </c>
      <c r="AE226">
        <f t="shared" si="41"/>
        <v>7.8387016500000009</v>
      </c>
      <c r="AF226" s="9"/>
      <c r="AG226" s="22">
        <v>0.98770100000000005</v>
      </c>
      <c r="AH226" s="22">
        <v>197.84299999999999</v>
      </c>
      <c r="AI226" s="22">
        <v>-1.8444800000000001E-2</v>
      </c>
      <c r="AJ226" s="22">
        <v>216</v>
      </c>
      <c r="AK226" s="22">
        <v>0.98693799999999998</v>
      </c>
      <c r="AL226">
        <f t="shared" si="42"/>
        <v>18.444800000000001</v>
      </c>
      <c r="AM226">
        <f t="shared" si="43"/>
        <v>18.2179474048</v>
      </c>
      <c r="AP226" s="9"/>
      <c r="AQ226" s="22">
        <v>0.41229199999999999</v>
      </c>
      <c r="AR226" s="22">
        <v>246.61199999999999</v>
      </c>
      <c r="AS226" s="22">
        <v>-1.9012500000000002E-2</v>
      </c>
      <c r="AT226" s="22">
        <v>216</v>
      </c>
      <c r="AU226" s="22">
        <v>0.41168199999999999</v>
      </c>
      <c r="AV226">
        <f t="shared" si="44"/>
        <v>19.012500000000003</v>
      </c>
      <c r="AW226">
        <f t="shared" si="45"/>
        <v>7.8387016500000009</v>
      </c>
      <c r="AX226" s="9"/>
      <c r="AY226" s="22">
        <v>0.98770100000000005</v>
      </c>
      <c r="AZ226" s="22">
        <v>295.51400000000001</v>
      </c>
      <c r="BA226" s="22">
        <v>-1.8429600000000001E-2</v>
      </c>
      <c r="BB226" s="22">
        <v>216</v>
      </c>
      <c r="BC226" s="22">
        <v>0.98693799999999998</v>
      </c>
      <c r="BD226">
        <f t="shared" si="46"/>
        <v>18.429600000000001</v>
      </c>
      <c r="BE226">
        <f t="shared" si="47"/>
        <v>18.202934349600003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0.40725699999999998</v>
      </c>
      <c r="H227" s="22">
        <v>51.284500000000001</v>
      </c>
      <c r="I227" s="22">
        <v>-1.9036899999999999E-2</v>
      </c>
      <c r="J227" s="22">
        <v>217</v>
      </c>
      <c r="K227" s="22">
        <v>0.40664699999999998</v>
      </c>
      <c r="L227">
        <f t="shared" si="36"/>
        <v>19.036899999999999</v>
      </c>
      <c r="M227">
        <f t="shared" si="37"/>
        <v>7.7529107832999991</v>
      </c>
      <c r="N227" s="9"/>
      <c r="O227" s="22">
        <v>0.99273699999999998</v>
      </c>
      <c r="P227" s="22">
        <v>100.111</v>
      </c>
      <c r="Q227" s="22">
        <v>-1.8450899999999999E-2</v>
      </c>
      <c r="R227" s="22">
        <v>217</v>
      </c>
      <c r="S227" s="22">
        <v>0.99212599999999995</v>
      </c>
      <c r="T227">
        <f t="shared" si="38"/>
        <v>18.450900000000001</v>
      </c>
      <c r="U227">
        <f t="shared" si="39"/>
        <v>18.316891113299999</v>
      </c>
      <c r="X227" s="9"/>
      <c r="Y227" s="22">
        <v>0.40725699999999998</v>
      </c>
      <c r="Z227" s="22">
        <v>149.054</v>
      </c>
      <c r="AA227" s="22">
        <v>-1.90186E-2</v>
      </c>
      <c r="AB227" s="22">
        <v>217</v>
      </c>
      <c r="AC227" s="22">
        <v>0.40683000000000002</v>
      </c>
      <c r="AD227">
        <f t="shared" si="40"/>
        <v>19.018599999999999</v>
      </c>
      <c r="AE227">
        <f t="shared" si="41"/>
        <v>7.7454579801999994</v>
      </c>
      <c r="AF227" s="9"/>
      <c r="AG227" s="22">
        <v>0.99273699999999998</v>
      </c>
      <c r="AH227" s="22">
        <v>197.85300000000001</v>
      </c>
      <c r="AI227" s="22">
        <v>-1.8438699999999999E-2</v>
      </c>
      <c r="AJ227" s="22">
        <v>217</v>
      </c>
      <c r="AK227" s="22">
        <v>0.99212599999999995</v>
      </c>
      <c r="AL227">
        <f t="shared" si="42"/>
        <v>18.438699999999997</v>
      </c>
      <c r="AM227">
        <f t="shared" si="43"/>
        <v>18.304779721899997</v>
      </c>
      <c r="AP227" s="9"/>
      <c r="AQ227" s="22">
        <v>0.40725699999999998</v>
      </c>
      <c r="AR227" s="22">
        <v>246.62200000000001</v>
      </c>
      <c r="AS227" s="22">
        <v>-1.90186E-2</v>
      </c>
      <c r="AT227" s="22">
        <v>217</v>
      </c>
      <c r="AU227" s="22">
        <v>0.40646399999999999</v>
      </c>
      <c r="AV227">
        <f t="shared" si="44"/>
        <v>19.018599999999999</v>
      </c>
      <c r="AW227">
        <f t="shared" si="45"/>
        <v>7.7454579801999994</v>
      </c>
      <c r="AX227" s="9"/>
      <c r="AY227" s="22">
        <v>0.99273699999999998</v>
      </c>
      <c r="AZ227" s="22">
        <v>295.524</v>
      </c>
      <c r="BA227" s="22">
        <v>-1.8426499999999998E-2</v>
      </c>
      <c r="BB227" s="22">
        <v>217</v>
      </c>
      <c r="BC227" s="22">
        <v>0.99212599999999995</v>
      </c>
      <c r="BD227">
        <f t="shared" si="46"/>
        <v>18.426499999999997</v>
      </c>
      <c r="BE227">
        <f t="shared" si="47"/>
        <v>18.292668330499996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0.40222200000000002</v>
      </c>
      <c r="H228" s="22">
        <v>51.294600000000003</v>
      </c>
      <c r="I228" s="22">
        <v>-1.9046E-2</v>
      </c>
      <c r="J228" s="22">
        <v>218</v>
      </c>
      <c r="K228" s="22">
        <v>0.40145900000000001</v>
      </c>
      <c r="L228">
        <f t="shared" si="36"/>
        <v>19.045999999999999</v>
      </c>
      <c r="M228">
        <f t="shared" si="37"/>
        <v>7.6607202120000002</v>
      </c>
      <c r="N228" s="9"/>
      <c r="O228" s="22">
        <v>0.99777199999999999</v>
      </c>
      <c r="P228" s="22">
        <v>100.121</v>
      </c>
      <c r="Q228" s="22">
        <v>-1.8444800000000001E-2</v>
      </c>
      <c r="R228" s="22">
        <v>218</v>
      </c>
      <c r="S228" s="22">
        <v>0.99700900000000003</v>
      </c>
      <c r="T228">
        <f t="shared" si="38"/>
        <v>18.444800000000001</v>
      </c>
      <c r="U228">
        <f t="shared" si="39"/>
        <v>18.403704985600001</v>
      </c>
      <c r="X228" s="9"/>
      <c r="Y228" s="22">
        <v>0.40222200000000002</v>
      </c>
      <c r="Z228" s="22">
        <v>149.06399999999999</v>
      </c>
      <c r="AA228" s="22">
        <v>-1.90216E-2</v>
      </c>
      <c r="AB228" s="22">
        <v>218</v>
      </c>
      <c r="AC228" s="22">
        <v>0.40151999999999999</v>
      </c>
      <c r="AD228">
        <f t="shared" si="40"/>
        <v>19.021599999999999</v>
      </c>
      <c r="AE228">
        <f t="shared" si="41"/>
        <v>7.6509059952000005</v>
      </c>
      <c r="AF228" s="9"/>
      <c r="AG228" s="22">
        <v>0.99777199999999999</v>
      </c>
      <c r="AH228" s="22">
        <v>197.863</v>
      </c>
      <c r="AI228" s="22">
        <v>-1.8435699999999999E-2</v>
      </c>
      <c r="AJ228" s="22">
        <v>218</v>
      </c>
      <c r="AK228" s="22">
        <v>0.99700900000000003</v>
      </c>
      <c r="AL228">
        <f t="shared" si="42"/>
        <v>18.435700000000001</v>
      </c>
      <c r="AM228">
        <f t="shared" si="43"/>
        <v>18.394625260400002</v>
      </c>
      <c r="AP228" s="9"/>
      <c r="AQ228" s="22">
        <v>0.40222200000000002</v>
      </c>
      <c r="AR228" s="22">
        <v>246.63200000000001</v>
      </c>
      <c r="AS228" s="22">
        <v>-1.90186E-2</v>
      </c>
      <c r="AT228" s="22">
        <v>218</v>
      </c>
      <c r="AU228" s="22">
        <v>0.40167199999999997</v>
      </c>
      <c r="AV228">
        <f t="shared" si="44"/>
        <v>19.018599999999999</v>
      </c>
      <c r="AW228">
        <f t="shared" si="45"/>
        <v>7.6496993291999997</v>
      </c>
      <c r="AX228" s="9"/>
      <c r="AY228" s="22">
        <v>0.99777199999999999</v>
      </c>
      <c r="AZ228" s="22">
        <v>295.53399999999999</v>
      </c>
      <c r="BA228" s="22">
        <v>-1.84204E-2</v>
      </c>
      <c r="BB228" s="22">
        <v>218</v>
      </c>
      <c r="BC228" s="22">
        <v>0.99639900000000003</v>
      </c>
      <c r="BD228">
        <f t="shared" si="46"/>
        <v>18.420400000000001</v>
      </c>
      <c r="BE228">
        <f t="shared" si="47"/>
        <v>18.379359348800001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0.39718599999999998</v>
      </c>
      <c r="H229" s="22">
        <v>51.304699999999997</v>
      </c>
      <c r="I229" s="22">
        <v>-1.9049099999999999E-2</v>
      </c>
      <c r="J229" s="22">
        <v>219</v>
      </c>
      <c r="K229" s="22">
        <v>0.39657599999999998</v>
      </c>
      <c r="L229">
        <f t="shared" si="36"/>
        <v>19.049099999999999</v>
      </c>
      <c r="M229">
        <f t="shared" si="37"/>
        <v>7.566035832599999</v>
      </c>
      <c r="N229" s="9"/>
      <c r="O229" s="22">
        <v>1.00281</v>
      </c>
      <c r="P229" s="22">
        <v>100.131</v>
      </c>
      <c r="Q229" s="22">
        <v>-1.8441800000000001E-2</v>
      </c>
      <c r="R229" s="22">
        <v>219</v>
      </c>
      <c r="S229" s="22">
        <v>1.00159</v>
      </c>
      <c r="T229">
        <f t="shared" si="38"/>
        <v>18.441800000000001</v>
      </c>
      <c r="U229">
        <f t="shared" si="39"/>
        <v>18.493621458</v>
      </c>
      <c r="X229" s="9"/>
      <c r="Y229" s="22">
        <v>0.39718599999999998</v>
      </c>
      <c r="Z229" s="22">
        <v>149.07499999999999</v>
      </c>
      <c r="AA229" s="22">
        <v>-1.9027700000000002E-2</v>
      </c>
      <c r="AB229" s="22">
        <v>219</v>
      </c>
      <c r="AC229" s="22">
        <v>0.396179</v>
      </c>
      <c r="AD229">
        <f t="shared" si="40"/>
        <v>19.027700000000003</v>
      </c>
      <c r="AE229">
        <f t="shared" si="41"/>
        <v>7.5575360522000006</v>
      </c>
      <c r="AF229" s="9"/>
      <c r="AG229" s="22">
        <v>1.00281</v>
      </c>
      <c r="AH229" s="22">
        <v>197.87299999999999</v>
      </c>
      <c r="AI229" s="22">
        <v>-1.8429600000000001E-2</v>
      </c>
      <c r="AJ229" s="22">
        <v>219</v>
      </c>
      <c r="AK229" s="22">
        <v>1.0018899999999999</v>
      </c>
      <c r="AL229">
        <f t="shared" si="42"/>
        <v>18.429600000000001</v>
      </c>
      <c r="AM229">
        <f t="shared" si="43"/>
        <v>18.481387176000002</v>
      </c>
      <c r="AP229" s="9"/>
      <c r="AQ229" s="22">
        <v>0.39718599999999998</v>
      </c>
      <c r="AR229" s="22">
        <v>246.642</v>
      </c>
      <c r="AS229" s="22">
        <v>-1.9024699999999999E-2</v>
      </c>
      <c r="AT229" s="22">
        <v>219</v>
      </c>
      <c r="AU229" s="22">
        <v>0.39636199999999999</v>
      </c>
      <c r="AV229">
        <f t="shared" si="44"/>
        <v>19.024699999999999</v>
      </c>
      <c r="AW229">
        <f t="shared" si="45"/>
        <v>7.5563444941999993</v>
      </c>
      <c r="AX229" s="9"/>
      <c r="AY229" s="22">
        <v>1.00281</v>
      </c>
      <c r="AZ229" s="22">
        <v>295.54399999999998</v>
      </c>
      <c r="BA229" s="22">
        <v>-1.84174E-2</v>
      </c>
      <c r="BB229" s="22">
        <v>219</v>
      </c>
      <c r="BC229" s="22">
        <v>1.0018899999999999</v>
      </c>
      <c r="BD229">
        <f t="shared" si="46"/>
        <v>18.417400000000001</v>
      </c>
      <c r="BE229">
        <f t="shared" si="47"/>
        <v>18.469152894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0.39215100000000003</v>
      </c>
      <c r="H230" s="22">
        <v>51.314799999999998</v>
      </c>
      <c r="I230" s="22">
        <v>-1.9049099999999999E-2</v>
      </c>
      <c r="J230" s="22">
        <v>220</v>
      </c>
      <c r="K230" s="22">
        <v>0.39147900000000002</v>
      </c>
      <c r="L230">
        <f t="shared" si="36"/>
        <v>19.049099999999999</v>
      </c>
      <c r="M230">
        <f t="shared" si="37"/>
        <v>7.4701236141000003</v>
      </c>
      <c r="N230" s="9"/>
      <c r="O230" s="22">
        <v>1.0078400000000001</v>
      </c>
      <c r="P230" s="22">
        <v>100.14100000000001</v>
      </c>
      <c r="Q230" s="22">
        <v>-1.84326E-2</v>
      </c>
      <c r="R230" s="22">
        <v>220</v>
      </c>
      <c r="S230" s="22">
        <v>1.00708</v>
      </c>
      <c r="T230">
        <f t="shared" si="38"/>
        <v>18.432600000000001</v>
      </c>
      <c r="U230">
        <f t="shared" si="39"/>
        <v>18.577111584000001</v>
      </c>
      <c r="X230" s="9"/>
      <c r="Y230" s="22">
        <v>0.39215100000000003</v>
      </c>
      <c r="Z230" s="22">
        <v>149.08500000000001</v>
      </c>
      <c r="AA230" s="22">
        <v>-1.90338E-2</v>
      </c>
      <c r="AB230" s="22">
        <v>220</v>
      </c>
      <c r="AC230" s="22">
        <v>0.39135700000000001</v>
      </c>
      <c r="AD230">
        <f t="shared" si="40"/>
        <v>19.033799999999999</v>
      </c>
      <c r="AE230">
        <f t="shared" si="41"/>
        <v>7.4641237038000003</v>
      </c>
      <c r="AF230" s="9"/>
      <c r="AG230" s="22">
        <v>1.0078400000000001</v>
      </c>
      <c r="AH230" s="22">
        <v>197.88300000000001</v>
      </c>
      <c r="AI230" s="22">
        <v>-1.8426499999999998E-2</v>
      </c>
      <c r="AJ230" s="22">
        <v>220</v>
      </c>
      <c r="AK230" s="22">
        <v>1.00739</v>
      </c>
      <c r="AL230">
        <f t="shared" si="42"/>
        <v>18.426499999999997</v>
      </c>
      <c r="AM230">
        <f t="shared" si="43"/>
        <v>18.570963759999998</v>
      </c>
      <c r="AP230" s="9"/>
      <c r="AQ230" s="22">
        <v>0.39215100000000003</v>
      </c>
      <c r="AR230" s="22">
        <v>246.65199999999999</v>
      </c>
      <c r="AS230" s="22">
        <v>-1.9027700000000002E-2</v>
      </c>
      <c r="AT230" s="22">
        <v>220</v>
      </c>
      <c r="AU230" s="22">
        <v>0.391571</v>
      </c>
      <c r="AV230">
        <f t="shared" si="44"/>
        <v>19.027700000000003</v>
      </c>
      <c r="AW230">
        <f t="shared" si="45"/>
        <v>7.4617315827000015</v>
      </c>
      <c r="AX230" s="9"/>
      <c r="AY230" s="22">
        <v>1.0078400000000001</v>
      </c>
      <c r="AZ230" s="22">
        <v>295.55399999999997</v>
      </c>
      <c r="BA230" s="22">
        <v>-1.8411299999999999E-2</v>
      </c>
      <c r="BB230" s="22">
        <v>220</v>
      </c>
      <c r="BC230" s="22">
        <v>1.00739</v>
      </c>
      <c r="BD230">
        <f t="shared" si="46"/>
        <v>18.411299999999997</v>
      </c>
      <c r="BE230">
        <f t="shared" si="47"/>
        <v>18.555644591999997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0.38711499999999999</v>
      </c>
      <c r="H231" s="22">
        <v>51.324800000000003</v>
      </c>
      <c r="I231" s="22">
        <v>-1.9049099999999999E-2</v>
      </c>
      <c r="J231" s="22">
        <v>221</v>
      </c>
      <c r="K231" s="22">
        <v>0.38650499999999999</v>
      </c>
      <c r="L231">
        <f t="shared" si="36"/>
        <v>19.049099999999999</v>
      </c>
      <c r="M231">
        <f t="shared" si="37"/>
        <v>7.3741923464999992</v>
      </c>
      <c r="N231" s="9"/>
      <c r="O231" s="22">
        <v>1.01288</v>
      </c>
      <c r="P231" s="22">
        <v>100.151</v>
      </c>
      <c r="Q231" s="22">
        <v>-1.8429600000000001E-2</v>
      </c>
      <c r="R231" s="22">
        <v>221</v>
      </c>
      <c r="S231" s="22">
        <v>1.01196</v>
      </c>
      <c r="T231">
        <f t="shared" si="38"/>
        <v>18.429600000000001</v>
      </c>
      <c r="U231">
        <f t="shared" si="39"/>
        <v>18.666973248000001</v>
      </c>
      <c r="X231" s="9"/>
      <c r="Y231" s="22">
        <v>0.38711499999999999</v>
      </c>
      <c r="Z231" s="22">
        <v>149.095</v>
      </c>
      <c r="AA231" s="22">
        <v>-1.9043000000000001E-2</v>
      </c>
      <c r="AB231" s="22">
        <v>221</v>
      </c>
      <c r="AC231" s="22">
        <v>0.38647500000000001</v>
      </c>
      <c r="AD231">
        <f t="shared" si="40"/>
        <v>19.042999999999999</v>
      </c>
      <c r="AE231">
        <f t="shared" si="41"/>
        <v>7.3718309449999992</v>
      </c>
      <c r="AF231" s="9"/>
      <c r="AG231" s="22">
        <v>1.01288</v>
      </c>
      <c r="AH231" s="22">
        <v>197.893</v>
      </c>
      <c r="AI231" s="22">
        <v>-1.84204E-2</v>
      </c>
      <c r="AJ231" s="22">
        <v>221</v>
      </c>
      <c r="AK231" s="22">
        <v>1.01196</v>
      </c>
      <c r="AL231">
        <f t="shared" si="42"/>
        <v>18.420400000000001</v>
      </c>
      <c r="AM231">
        <f t="shared" si="43"/>
        <v>18.657654751999999</v>
      </c>
      <c r="AP231" s="9"/>
      <c r="AQ231" s="22">
        <v>0.38711499999999999</v>
      </c>
      <c r="AR231" s="22">
        <v>246.66200000000001</v>
      </c>
      <c r="AS231" s="22">
        <v>-1.90338E-2</v>
      </c>
      <c r="AT231" s="22">
        <v>221</v>
      </c>
      <c r="AU231" s="22">
        <v>0.38674900000000001</v>
      </c>
      <c r="AV231">
        <f t="shared" si="44"/>
        <v>19.033799999999999</v>
      </c>
      <c r="AW231">
        <f t="shared" si="45"/>
        <v>7.3682694869999992</v>
      </c>
      <c r="AX231" s="9"/>
      <c r="AY231" s="22">
        <v>1.01288</v>
      </c>
      <c r="AZ231" s="22">
        <v>295.56400000000002</v>
      </c>
      <c r="BA231" s="22">
        <v>-1.84052E-2</v>
      </c>
      <c r="BB231" s="22">
        <v>221</v>
      </c>
      <c r="BC231" s="22">
        <v>1.01135</v>
      </c>
      <c r="BD231">
        <f t="shared" si="46"/>
        <v>18.405200000000001</v>
      </c>
      <c r="BE231">
        <f t="shared" si="47"/>
        <v>18.642258976000001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0.38207999999999998</v>
      </c>
      <c r="H232" s="22">
        <v>51.334899999999998</v>
      </c>
      <c r="I232" s="22">
        <v>-1.9055200000000001E-2</v>
      </c>
      <c r="J232" s="22">
        <v>222</v>
      </c>
      <c r="K232" s="22">
        <v>0.38137799999999999</v>
      </c>
      <c r="L232">
        <f t="shared" si="36"/>
        <v>19.055200000000003</v>
      </c>
      <c r="M232">
        <f t="shared" si="37"/>
        <v>7.2806108160000003</v>
      </c>
      <c r="N232" s="9"/>
      <c r="O232" s="22">
        <v>1.0179100000000001</v>
      </c>
      <c r="P232" s="22">
        <v>100.161</v>
      </c>
      <c r="Q232" s="22">
        <v>-1.8426499999999998E-2</v>
      </c>
      <c r="R232" s="22">
        <v>222</v>
      </c>
      <c r="S232" s="22">
        <v>1.01654</v>
      </c>
      <c r="T232">
        <f t="shared" si="38"/>
        <v>18.426499999999997</v>
      </c>
      <c r="U232">
        <f t="shared" si="39"/>
        <v>18.756518614999997</v>
      </c>
      <c r="X232" s="9"/>
      <c r="Y232" s="22">
        <v>0.38207999999999998</v>
      </c>
      <c r="Z232" s="22">
        <v>149.10499999999999</v>
      </c>
      <c r="AA232" s="22">
        <v>-1.9049099999999999E-2</v>
      </c>
      <c r="AB232" s="22">
        <v>222</v>
      </c>
      <c r="AC232" s="22">
        <v>0.38137799999999999</v>
      </c>
      <c r="AD232">
        <f t="shared" si="40"/>
        <v>19.049099999999999</v>
      </c>
      <c r="AE232">
        <f t="shared" si="41"/>
        <v>7.2782801279999996</v>
      </c>
      <c r="AF232" s="9"/>
      <c r="AG232" s="22">
        <v>1.0179100000000001</v>
      </c>
      <c r="AH232" s="22">
        <v>197.90299999999999</v>
      </c>
      <c r="AI232" s="22">
        <v>-1.8414300000000002E-2</v>
      </c>
      <c r="AJ232" s="22">
        <v>222</v>
      </c>
      <c r="AK232" s="22">
        <v>1.01685</v>
      </c>
      <c r="AL232">
        <f t="shared" si="42"/>
        <v>18.414300000000001</v>
      </c>
      <c r="AM232">
        <f t="shared" si="43"/>
        <v>18.744100113000002</v>
      </c>
      <c r="AP232" s="9"/>
      <c r="AQ232" s="22">
        <v>0.38207999999999998</v>
      </c>
      <c r="AR232" s="22">
        <v>246.673</v>
      </c>
      <c r="AS232" s="22">
        <v>-1.9036899999999999E-2</v>
      </c>
      <c r="AT232" s="22">
        <v>222</v>
      </c>
      <c r="AU232" s="22">
        <v>0.38146999999999998</v>
      </c>
      <c r="AV232">
        <f t="shared" si="44"/>
        <v>19.036899999999999</v>
      </c>
      <c r="AW232">
        <f t="shared" si="45"/>
        <v>7.2736187519999991</v>
      </c>
      <c r="AX232" s="9"/>
      <c r="AY232" s="22">
        <v>1.0179100000000001</v>
      </c>
      <c r="AZ232" s="22">
        <v>295.57400000000001</v>
      </c>
      <c r="BA232" s="22">
        <v>-1.8402100000000001E-2</v>
      </c>
      <c r="BB232" s="22">
        <v>222</v>
      </c>
      <c r="BC232" s="22">
        <v>1.01685</v>
      </c>
      <c r="BD232">
        <f t="shared" si="46"/>
        <v>18.402100000000001</v>
      </c>
      <c r="BE232">
        <f t="shared" si="47"/>
        <v>18.731681611000003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0.37704500000000002</v>
      </c>
      <c r="H233" s="22">
        <v>51.344999999999999</v>
      </c>
      <c r="I233" s="22">
        <v>-1.9058200000000001E-2</v>
      </c>
      <c r="J233" s="22">
        <v>223</v>
      </c>
      <c r="K233" s="22">
        <v>0.37615999999999999</v>
      </c>
      <c r="L233">
        <f t="shared" si="36"/>
        <v>19.058199999999999</v>
      </c>
      <c r="M233">
        <f t="shared" si="37"/>
        <v>7.1857990190000001</v>
      </c>
      <c r="N233" s="9"/>
      <c r="O233" s="22">
        <v>1.02295</v>
      </c>
      <c r="P233" s="22">
        <v>100.17100000000001</v>
      </c>
      <c r="Q233" s="22">
        <v>-1.8423499999999999E-2</v>
      </c>
      <c r="R233" s="22">
        <v>223</v>
      </c>
      <c r="S233" s="22">
        <v>1.02203</v>
      </c>
      <c r="T233">
        <f t="shared" si="38"/>
        <v>18.423500000000001</v>
      </c>
      <c r="U233">
        <f t="shared" si="39"/>
        <v>18.846319325</v>
      </c>
      <c r="X233" s="9"/>
      <c r="Y233" s="22">
        <v>0.37704500000000002</v>
      </c>
      <c r="Z233" s="22">
        <v>149.11500000000001</v>
      </c>
      <c r="AA233" s="22">
        <v>-1.9055200000000001E-2</v>
      </c>
      <c r="AB233" s="22">
        <v>223</v>
      </c>
      <c r="AC233" s="22">
        <v>0.37646499999999999</v>
      </c>
      <c r="AD233">
        <f t="shared" si="40"/>
        <v>19.055200000000003</v>
      </c>
      <c r="AE233">
        <f t="shared" si="41"/>
        <v>7.1846678840000013</v>
      </c>
      <c r="AF233" s="9"/>
      <c r="AG233" s="22">
        <v>1.02295</v>
      </c>
      <c r="AH233" s="22">
        <v>197.91300000000001</v>
      </c>
      <c r="AI233" s="22">
        <v>-1.84082E-2</v>
      </c>
      <c r="AJ233" s="22">
        <v>223</v>
      </c>
      <c r="AK233" s="22">
        <v>1.02203</v>
      </c>
      <c r="AL233">
        <f t="shared" si="42"/>
        <v>18.408200000000001</v>
      </c>
      <c r="AM233">
        <f t="shared" si="43"/>
        <v>18.830668190000001</v>
      </c>
      <c r="AP233" s="9"/>
      <c r="AQ233" s="22">
        <v>0.37704500000000002</v>
      </c>
      <c r="AR233" s="22">
        <v>246.68299999999999</v>
      </c>
      <c r="AS233" s="22">
        <v>-1.9043000000000001E-2</v>
      </c>
      <c r="AT233" s="22">
        <v>223</v>
      </c>
      <c r="AU233" s="22">
        <v>0.37612899999999999</v>
      </c>
      <c r="AV233">
        <f t="shared" si="44"/>
        <v>19.042999999999999</v>
      </c>
      <c r="AW233">
        <f t="shared" si="45"/>
        <v>7.1800679350000003</v>
      </c>
      <c r="AX233" s="9"/>
      <c r="AY233" s="22">
        <v>1.02295</v>
      </c>
      <c r="AZ233" s="22">
        <v>295.584</v>
      </c>
      <c r="BA233" s="22">
        <v>-1.8395999999999999E-2</v>
      </c>
      <c r="BB233" s="22">
        <v>223</v>
      </c>
      <c r="BC233" s="22">
        <v>1.02234</v>
      </c>
      <c r="BD233">
        <f t="shared" si="46"/>
        <v>18.396000000000001</v>
      </c>
      <c r="BE233">
        <f t="shared" si="47"/>
        <v>18.818188200000002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0.37200899999999998</v>
      </c>
      <c r="H234" s="22">
        <v>51.354999999999997</v>
      </c>
      <c r="I234" s="22">
        <v>-1.90613E-2</v>
      </c>
      <c r="J234" s="22">
        <v>224</v>
      </c>
      <c r="K234" s="22">
        <v>0.37121599999999999</v>
      </c>
      <c r="L234">
        <f t="shared" si="36"/>
        <v>19.061299999999999</v>
      </c>
      <c r="M234">
        <f t="shared" si="37"/>
        <v>7.0909751516999995</v>
      </c>
      <c r="N234" s="9"/>
      <c r="O234" s="22">
        <v>1.0279799999999999</v>
      </c>
      <c r="P234" s="22">
        <v>100.181</v>
      </c>
      <c r="Q234" s="22">
        <v>-1.84204E-2</v>
      </c>
      <c r="R234" s="22">
        <v>224</v>
      </c>
      <c r="S234" s="22">
        <v>1.0275300000000001</v>
      </c>
      <c r="T234">
        <f t="shared" si="38"/>
        <v>18.420400000000001</v>
      </c>
      <c r="U234">
        <f t="shared" si="39"/>
        <v>18.935802792</v>
      </c>
      <c r="X234" s="9"/>
      <c r="Y234" s="22">
        <v>0.37200899999999998</v>
      </c>
      <c r="Z234" s="22">
        <v>149.125</v>
      </c>
      <c r="AA234" s="22">
        <v>-1.90613E-2</v>
      </c>
      <c r="AB234" s="22">
        <v>224</v>
      </c>
      <c r="AC234" s="22">
        <v>0.37152099999999999</v>
      </c>
      <c r="AD234">
        <f t="shared" si="40"/>
        <v>19.061299999999999</v>
      </c>
      <c r="AE234">
        <f t="shared" si="41"/>
        <v>7.0909751516999995</v>
      </c>
      <c r="AF234" s="9"/>
      <c r="AG234" s="22">
        <v>1.0279799999999999</v>
      </c>
      <c r="AH234" s="22">
        <v>197.923</v>
      </c>
      <c r="AI234" s="22">
        <v>-1.8402100000000001E-2</v>
      </c>
      <c r="AJ234" s="22">
        <v>224</v>
      </c>
      <c r="AK234" s="22">
        <v>1.02722</v>
      </c>
      <c r="AL234">
        <f t="shared" si="42"/>
        <v>18.402100000000001</v>
      </c>
      <c r="AM234">
        <f t="shared" si="43"/>
        <v>18.916990757999997</v>
      </c>
      <c r="AP234" s="9"/>
      <c r="AQ234" s="22">
        <v>0.37200899999999998</v>
      </c>
      <c r="AR234" s="22">
        <v>246.69300000000001</v>
      </c>
      <c r="AS234" s="22">
        <v>-1.9049099999999999E-2</v>
      </c>
      <c r="AT234" s="22">
        <v>224</v>
      </c>
      <c r="AU234" s="22">
        <v>0.37118499999999999</v>
      </c>
      <c r="AV234">
        <f t="shared" si="44"/>
        <v>19.049099999999999</v>
      </c>
      <c r="AW234">
        <f t="shared" si="45"/>
        <v>7.0864366418999989</v>
      </c>
      <c r="AX234" s="9"/>
      <c r="AY234" s="22">
        <v>1.0279799999999999</v>
      </c>
      <c r="AZ234" s="22">
        <v>295.59399999999999</v>
      </c>
      <c r="BA234" s="22">
        <v>-1.8389900000000001E-2</v>
      </c>
      <c r="BB234" s="22">
        <v>224</v>
      </c>
      <c r="BC234" s="22">
        <v>1.02722</v>
      </c>
      <c r="BD234">
        <f t="shared" si="46"/>
        <v>18.389900000000001</v>
      </c>
      <c r="BE234">
        <f t="shared" si="47"/>
        <v>18.904449401999997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0.36697400000000002</v>
      </c>
      <c r="H235" s="22">
        <v>51.365099999999998</v>
      </c>
      <c r="I235" s="22">
        <v>-1.9064299999999999E-2</v>
      </c>
      <c r="J235" s="22">
        <v>225</v>
      </c>
      <c r="K235" s="22">
        <v>0.36630200000000002</v>
      </c>
      <c r="L235">
        <f t="shared" si="36"/>
        <v>19.064299999999999</v>
      </c>
      <c r="M235">
        <f t="shared" si="37"/>
        <v>6.9961024282000004</v>
      </c>
      <c r="N235" s="9"/>
      <c r="O235" s="22">
        <v>1.03302</v>
      </c>
      <c r="P235" s="22">
        <v>100.19199999999999</v>
      </c>
      <c r="Q235" s="22">
        <v>-1.8414300000000002E-2</v>
      </c>
      <c r="R235" s="22">
        <v>225</v>
      </c>
      <c r="S235" s="22">
        <v>1.0321</v>
      </c>
      <c r="T235">
        <f t="shared" si="38"/>
        <v>18.414300000000001</v>
      </c>
      <c r="U235">
        <f t="shared" si="39"/>
        <v>19.022340186000001</v>
      </c>
      <c r="X235" s="9"/>
      <c r="Y235" s="22">
        <v>0.36697400000000002</v>
      </c>
      <c r="Z235" s="22">
        <v>149.13499999999999</v>
      </c>
      <c r="AA235" s="22">
        <v>-1.9067400000000002E-2</v>
      </c>
      <c r="AB235" s="22">
        <v>225</v>
      </c>
      <c r="AC235" s="22">
        <v>0.36621100000000001</v>
      </c>
      <c r="AD235">
        <f t="shared" si="40"/>
        <v>19.067400000000003</v>
      </c>
      <c r="AE235">
        <f t="shared" si="41"/>
        <v>6.9972400476000018</v>
      </c>
      <c r="AF235" s="9"/>
      <c r="AG235" s="22">
        <v>1.03302</v>
      </c>
      <c r="AH235" s="22">
        <v>197.93299999999999</v>
      </c>
      <c r="AI235" s="22">
        <v>-1.8398999999999999E-2</v>
      </c>
      <c r="AJ235" s="22">
        <v>225</v>
      </c>
      <c r="AK235" s="22">
        <v>1.03149</v>
      </c>
      <c r="AL235">
        <f t="shared" si="42"/>
        <v>18.398999999999997</v>
      </c>
      <c r="AM235">
        <f t="shared" si="43"/>
        <v>19.006534979999998</v>
      </c>
      <c r="AP235" s="9"/>
      <c r="AQ235" s="22">
        <v>0.36697400000000002</v>
      </c>
      <c r="AR235" s="22">
        <v>246.703</v>
      </c>
      <c r="AS235" s="22">
        <v>-1.9052099999999999E-2</v>
      </c>
      <c r="AT235" s="22">
        <v>225</v>
      </c>
      <c r="AU235" s="22">
        <v>0.36624099999999998</v>
      </c>
      <c r="AV235">
        <f t="shared" si="44"/>
        <v>19.052099999999999</v>
      </c>
      <c r="AW235">
        <f t="shared" si="45"/>
        <v>6.9916253454000001</v>
      </c>
      <c r="AX235" s="9"/>
      <c r="AY235" s="22">
        <v>1.03302</v>
      </c>
      <c r="AZ235" s="22">
        <v>295.60399999999998</v>
      </c>
      <c r="BA235" s="22">
        <v>-1.8386799999999998E-2</v>
      </c>
      <c r="BB235" s="22">
        <v>225</v>
      </c>
      <c r="BC235" s="22">
        <v>1.0321</v>
      </c>
      <c r="BD235">
        <f t="shared" si="46"/>
        <v>18.386799999999997</v>
      </c>
      <c r="BE235">
        <f t="shared" si="47"/>
        <v>18.993932135999998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0.36193799999999998</v>
      </c>
      <c r="H236" s="22">
        <v>51.3752</v>
      </c>
      <c r="I236" s="22">
        <v>-1.90735E-2</v>
      </c>
      <c r="J236" s="22">
        <v>226</v>
      </c>
      <c r="K236" s="22">
        <v>0.36123699999999997</v>
      </c>
      <c r="L236">
        <f t="shared" si="36"/>
        <v>19.073499999999999</v>
      </c>
      <c r="M236">
        <f t="shared" si="37"/>
        <v>6.9034244429999996</v>
      </c>
      <c r="N236" s="9"/>
      <c r="O236" s="22">
        <v>1.03806</v>
      </c>
      <c r="P236" s="22">
        <v>100.202</v>
      </c>
      <c r="Q236" s="22">
        <v>-1.8411299999999999E-2</v>
      </c>
      <c r="R236" s="22">
        <v>226</v>
      </c>
      <c r="S236" s="22">
        <v>1.0369900000000001</v>
      </c>
      <c r="T236">
        <f t="shared" si="38"/>
        <v>18.411299999999997</v>
      </c>
      <c r="U236">
        <f t="shared" si="39"/>
        <v>19.112034077999997</v>
      </c>
      <c r="X236" s="9"/>
      <c r="Y236" s="22">
        <v>0.36193799999999998</v>
      </c>
      <c r="Z236" s="22">
        <v>149.14500000000001</v>
      </c>
      <c r="AA236" s="22">
        <v>-1.90735E-2</v>
      </c>
      <c r="AB236" s="22">
        <v>226</v>
      </c>
      <c r="AC236" s="22">
        <v>0.361176</v>
      </c>
      <c r="AD236">
        <f t="shared" si="40"/>
        <v>19.073499999999999</v>
      </c>
      <c r="AE236">
        <f t="shared" si="41"/>
        <v>6.9034244429999996</v>
      </c>
      <c r="AF236" s="9"/>
      <c r="AG236" s="22">
        <v>1.03806</v>
      </c>
      <c r="AH236" s="22">
        <v>197.94300000000001</v>
      </c>
      <c r="AI236" s="22">
        <v>-1.8398999999999999E-2</v>
      </c>
      <c r="AJ236" s="22">
        <v>226</v>
      </c>
      <c r="AK236" s="22">
        <v>1.0369900000000001</v>
      </c>
      <c r="AL236">
        <f t="shared" si="42"/>
        <v>18.398999999999997</v>
      </c>
      <c r="AM236">
        <f t="shared" si="43"/>
        <v>19.099265939999999</v>
      </c>
      <c r="AP236" s="9"/>
      <c r="AQ236" s="22">
        <v>0.36193799999999998</v>
      </c>
      <c r="AR236" s="22">
        <v>246.71299999999999</v>
      </c>
      <c r="AS236" s="22">
        <v>-1.9058200000000001E-2</v>
      </c>
      <c r="AT236" s="22">
        <v>226</v>
      </c>
      <c r="AU236" s="22">
        <v>0.36120600000000003</v>
      </c>
      <c r="AV236">
        <f t="shared" si="44"/>
        <v>19.058199999999999</v>
      </c>
      <c r="AW236">
        <f t="shared" si="45"/>
        <v>6.8978867915999995</v>
      </c>
      <c r="AX236" s="9"/>
      <c r="AY236" s="22">
        <v>1.03806</v>
      </c>
      <c r="AZ236" s="22">
        <v>295.61399999999998</v>
      </c>
      <c r="BA236" s="22">
        <v>-1.83807E-2</v>
      </c>
      <c r="BB236" s="22">
        <v>226</v>
      </c>
      <c r="BC236" s="22">
        <v>1.03729</v>
      </c>
      <c r="BD236">
        <f t="shared" si="46"/>
        <v>18.380700000000001</v>
      </c>
      <c r="BE236">
        <f t="shared" si="47"/>
        <v>19.080269442000002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0.35690300000000003</v>
      </c>
      <c r="H237" s="22">
        <v>51.385300000000001</v>
      </c>
      <c r="I237" s="22">
        <v>-1.90765E-2</v>
      </c>
      <c r="J237" s="22">
        <v>227</v>
      </c>
      <c r="K237" s="22">
        <v>0.356659</v>
      </c>
      <c r="L237">
        <f t="shared" si="36"/>
        <v>19.076499999999999</v>
      </c>
      <c r="M237">
        <f t="shared" si="37"/>
        <v>6.8084600795000005</v>
      </c>
      <c r="N237" s="9"/>
      <c r="O237" s="22">
        <v>1.0430900000000001</v>
      </c>
      <c r="P237" s="22">
        <v>100.212</v>
      </c>
      <c r="Q237" s="22">
        <v>-1.84082E-2</v>
      </c>
      <c r="R237" s="22">
        <v>227</v>
      </c>
      <c r="S237" s="22">
        <v>1.0421800000000001</v>
      </c>
      <c r="T237">
        <f t="shared" si="38"/>
        <v>18.408200000000001</v>
      </c>
      <c r="U237">
        <f t="shared" si="39"/>
        <v>19.201409338000001</v>
      </c>
      <c r="X237" s="9"/>
      <c r="Y237" s="22">
        <v>0.35690300000000003</v>
      </c>
      <c r="Z237" s="22">
        <v>149.155</v>
      </c>
      <c r="AA237" s="22">
        <v>-1.90765E-2</v>
      </c>
      <c r="AB237" s="22">
        <v>227</v>
      </c>
      <c r="AC237" s="22">
        <v>0.35614000000000001</v>
      </c>
      <c r="AD237">
        <f t="shared" si="40"/>
        <v>19.076499999999999</v>
      </c>
      <c r="AE237">
        <f t="shared" si="41"/>
        <v>6.8084600795000005</v>
      </c>
      <c r="AF237" s="9"/>
      <c r="AG237" s="22">
        <v>1.0430900000000001</v>
      </c>
      <c r="AH237" s="22">
        <v>197.95400000000001</v>
      </c>
      <c r="AI237" s="22">
        <v>-1.8389900000000001E-2</v>
      </c>
      <c r="AJ237" s="22">
        <v>227</v>
      </c>
      <c r="AK237" s="22">
        <v>1.0418700000000001</v>
      </c>
      <c r="AL237">
        <f t="shared" si="42"/>
        <v>18.389900000000001</v>
      </c>
      <c r="AM237">
        <f t="shared" si="43"/>
        <v>19.182320791000002</v>
      </c>
      <c r="AP237" s="9"/>
      <c r="AQ237" s="22">
        <v>0.35690300000000003</v>
      </c>
      <c r="AR237" s="22">
        <v>246.72300000000001</v>
      </c>
      <c r="AS237" s="22">
        <v>-1.90613E-2</v>
      </c>
      <c r="AT237" s="22">
        <v>227</v>
      </c>
      <c r="AU237" s="22">
        <v>0.35623199999999999</v>
      </c>
      <c r="AV237">
        <f t="shared" si="44"/>
        <v>19.061299999999999</v>
      </c>
      <c r="AW237">
        <f t="shared" si="45"/>
        <v>6.8030351538999998</v>
      </c>
      <c r="AX237" s="9"/>
      <c r="AY237" s="22">
        <v>1.0430900000000001</v>
      </c>
      <c r="AZ237" s="22">
        <v>295.62400000000002</v>
      </c>
      <c r="BA237" s="22">
        <v>-1.8374600000000001E-2</v>
      </c>
      <c r="BB237" s="22">
        <v>227</v>
      </c>
      <c r="BC237" s="22">
        <v>1.0418700000000001</v>
      </c>
      <c r="BD237">
        <f t="shared" si="46"/>
        <v>18.374600000000001</v>
      </c>
      <c r="BE237">
        <f t="shared" si="47"/>
        <v>19.166361514000002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0.35186800000000001</v>
      </c>
      <c r="H238" s="22">
        <v>51.395299999999999</v>
      </c>
      <c r="I238" s="22">
        <v>-1.9082600000000002E-2</v>
      </c>
      <c r="J238" s="22">
        <v>228</v>
      </c>
      <c r="K238" s="22">
        <v>0.351379</v>
      </c>
      <c r="L238">
        <f t="shared" si="36"/>
        <v>19.082600000000003</v>
      </c>
      <c r="M238">
        <f t="shared" si="37"/>
        <v>6.7145562968000014</v>
      </c>
      <c r="N238" s="9"/>
      <c r="O238" s="22">
        <v>1.04813</v>
      </c>
      <c r="P238" s="22">
        <v>100.22199999999999</v>
      </c>
      <c r="Q238" s="22">
        <v>-1.84082E-2</v>
      </c>
      <c r="R238" s="22">
        <v>228</v>
      </c>
      <c r="S238" s="22">
        <v>1.0464500000000001</v>
      </c>
      <c r="T238">
        <f t="shared" si="38"/>
        <v>18.408200000000001</v>
      </c>
      <c r="U238">
        <f t="shared" si="39"/>
        <v>19.294186666000002</v>
      </c>
      <c r="X238" s="9"/>
      <c r="Y238" s="22">
        <v>0.35186800000000001</v>
      </c>
      <c r="Z238" s="22">
        <v>149.16499999999999</v>
      </c>
      <c r="AA238" s="22">
        <v>-1.9082600000000002E-2</v>
      </c>
      <c r="AB238" s="22">
        <v>228</v>
      </c>
      <c r="AC238" s="22">
        <v>0.35128799999999999</v>
      </c>
      <c r="AD238">
        <f t="shared" si="40"/>
        <v>19.082600000000003</v>
      </c>
      <c r="AE238">
        <f t="shared" si="41"/>
        <v>6.7145562968000014</v>
      </c>
      <c r="AF238" s="9"/>
      <c r="AG238" s="22">
        <v>1.04813</v>
      </c>
      <c r="AH238" s="22">
        <v>197.964</v>
      </c>
      <c r="AI238" s="22">
        <v>-1.8383799999999999E-2</v>
      </c>
      <c r="AJ238" s="22">
        <v>228</v>
      </c>
      <c r="AK238" s="22">
        <v>1.0470600000000001</v>
      </c>
      <c r="AL238">
        <f t="shared" si="42"/>
        <v>18.383799999999997</v>
      </c>
      <c r="AM238">
        <f t="shared" si="43"/>
        <v>19.268612293999997</v>
      </c>
      <c r="AP238" s="9"/>
      <c r="AQ238" s="22">
        <v>0.35186800000000001</v>
      </c>
      <c r="AR238" s="22">
        <v>246.733</v>
      </c>
      <c r="AS238" s="22">
        <v>-1.9067400000000002E-2</v>
      </c>
      <c r="AT238" s="22">
        <v>228</v>
      </c>
      <c r="AU238" s="22">
        <v>0.35122700000000001</v>
      </c>
      <c r="AV238">
        <f t="shared" si="44"/>
        <v>19.067400000000003</v>
      </c>
      <c r="AW238">
        <f t="shared" si="45"/>
        <v>6.7092079032000012</v>
      </c>
      <c r="AX238" s="9"/>
      <c r="AY238" s="22">
        <v>1.04813</v>
      </c>
      <c r="AZ238" s="22">
        <v>295.63400000000001</v>
      </c>
      <c r="BA238" s="22">
        <v>-1.8368499999999999E-2</v>
      </c>
      <c r="BB238" s="22">
        <v>228</v>
      </c>
      <c r="BC238" s="22">
        <v>1.0470600000000001</v>
      </c>
      <c r="BD238">
        <f t="shared" si="46"/>
        <v>18.368500000000001</v>
      </c>
      <c r="BE238">
        <f t="shared" si="47"/>
        <v>19.252575905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0.34683199999999997</v>
      </c>
      <c r="H239" s="22">
        <v>51.4054</v>
      </c>
      <c r="I239" s="22">
        <v>-1.90887E-2</v>
      </c>
      <c r="J239" s="22">
        <v>229</v>
      </c>
      <c r="K239" s="22">
        <v>0.34628300000000001</v>
      </c>
      <c r="L239">
        <f t="shared" si="36"/>
        <v>19.088699999999999</v>
      </c>
      <c r="M239">
        <f t="shared" si="37"/>
        <v>6.6205719983999991</v>
      </c>
      <c r="N239" s="9"/>
      <c r="O239" s="22">
        <v>1.0531600000000001</v>
      </c>
      <c r="P239" s="22">
        <v>100.232</v>
      </c>
      <c r="Q239" s="22">
        <v>-1.8398999999999999E-2</v>
      </c>
      <c r="R239" s="22">
        <v>229</v>
      </c>
      <c r="S239" s="22">
        <v>1.0525500000000001</v>
      </c>
      <c r="T239">
        <f t="shared" si="38"/>
        <v>18.398999999999997</v>
      </c>
      <c r="U239">
        <f t="shared" si="39"/>
        <v>19.377090839999997</v>
      </c>
      <c r="X239" s="9"/>
      <c r="Y239" s="22">
        <v>0.34683199999999997</v>
      </c>
      <c r="Z239" s="22">
        <v>149.17500000000001</v>
      </c>
      <c r="AA239" s="22">
        <v>-1.9085700000000001E-2</v>
      </c>
      <c r="AB239" s="22">
        <v>229</v>
      </c>
      <c r="AC239" s="22">
        <v>0.34655799999999998</v>
      </c>
      <c r="AD239">
        <f t="shared" si="40"/>
        <v>19.085699999999999</v>
      </c>
      <c r="AE239">
        <f t="shared" si="41"/>
        <v>6.6195315023999992</v>
      </c>
      <c r="AF239" s="9"/>
      <c r="AG239" s="22">
        <v>1.0531600000000001</v>
      </c>
      <c r="AH239" s="22">
        <v>197.97399999999999</v>
      </c>
      <c r="AI239" s="22">
        <v>-1.8374600000000001E-2</v>
      </c>
      <c r="AJ239" s="22">
        <v>229</v>
      </c>
      <c r="AK239" s="22">
        <v>1.0525500000000001</v>
      </c>
      <c r="AL239">
        <f t="shared" si="42"/>
        <v>18.374600000000001</v>
      </c>
      <c r="AM239">
        <f t="shared" si="43"/>
        <v>19.351393736000002</v>
      </c>
      <c r="AP239" s="9"/>
      <c r="AQ239" s="22">
        <v>0.34683199999999997</v>
      </c>
      <c r="AR239" s="22">
        <v>246.74299999999999</v>
      </c>
      <c r="AS239" s="22">
        <v>-1.9070400000000001E-2</v>
      </c>
      <c r="AT239" s="22">
        <v>229</v>
      </c>
      <c r="AU239" s="22">
        <v>0.34612999999999999</v>
      </c>
      <c r="AV239">
        <f t="shared" si="44"/>
        <v>19.070400000000003</v>
      </c>
      <c r="AW239">
        <f t="shared" si="45"/>
        <v>6.6142249728000007</v>
      </c>
      <c r="AX239" s="9"/>
      <c r="AY239" s="22">
        <v>1.0531600000000001</v>
      </c>
      <c r="AZ239" s="22">
        <v>295.64499999999998</v>
      </c>
      <c r="BA239" s="22">
        <v>-1.8362400000000001E-2</v>
      </c>
      <c r="BB239" s="22">
        <v>229</v>
      </c>
      <c r="BC239" s="22">
        <v>1.0525500000000001</v>
      </c>
      <c r="BD239">
        <f t="shared" si="46"/>
        <v>18.362400000000001</v>
      </c>
      <c r="BE239">
        <f t="shared" si="47"/>
        <v>19.338545184000004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0.34179700000000002</v>
      </c>
      <c r="H240" s="22">
        <v>51.415500000000002</v>
      </c>
      <c r="I240" s="22">
        <v>-1.9094799999999999E-2</v>
      </c>
      <c r="J240" s="22">
        <v>230</v>
      </c>
      <c r="K240" s="22">
        <v>0.34112500000000001</v>
      </c>
      <c r="L240">
        <f t="shared" si="36"/>
        <v>19.094799999999999</v>
      </c>
      <c r="M240">
        <f t="shared" si="37"/>
        <v>6.5265453555999997</v>
      </c>
      <c r="N240" s="9"/>
      <c r="O240" s="22">
        <v>1.0582</v>
      </c>
      <c r="P240" s="22">
        <v>100.242</v>
      </c>
      <c r="Q240" s="22">
        <v>-1.83929E-2</v>
      </c>
      <c r="R240" s="22">
        <v>230</v>
      </c>
      <c r="S240" s="22">
        <v>1.0574300000000001</v>
      </c>
      <c r="T240">
        <f t="shared" si="38"/>
        <v>18.392900000000001</v>
      </c>
      <c r="U240">
        <f t="shared" si="39"/>
        <v>19.463366780000001</v>
      </c>
      <c r="X240" s="9"/>
      <c r="Y240" s="22">
        <v>0.34179700000000002</v>
      </c>
      <c r="Z240" s="22">
        <v>149.185</v>
      </c>
      <c r="AA240" s="22">
        <v>-1.90887E-2</v>
      </c>
      <c r="AB240" s="22">
        <v>230</v>
      </c>
      <c r="AC240" s="22">
        <v>0.34121699999999999</v>
      </c>
      <c r="AD240">
        <f t="shared" si="40"/>
        <v>19.088699999999999</v>
      </c>
      <c r="AE240">
        <f t="shared" si="41"/>
        <v>6.5244603939000001</v>
      </c>
      <c r="AF240" s="9"/>
      <c r="AG240" s="22">
        <v>1.0582</v>
      </c>
      <c r="AH240" s="22">
        <v>197.98400000000001</v>
      </c>
      <c r="AI240" s="22">
        <v>-1.8368499999999999E-2</v>
      </c>
      <c r="AJ240" s="22">
        <v>230</v>
      </c>
      <c r="AK240" s="22">
        <v>1.0577399999999999</v>
      </c>
      <c r="AL240">
        <f t="shared" si="42"/>
        <v>18.368500000000001</v>
      </c>
      <c r="AM240">
        <f t="shared" si="43"/>
        <v>19.437546700000002</v>
      </c>
      <c r="AP240" s="9"/>
      <c r="AQ240" s="22">
        <v>0.34179700000000002</v>
      </c>
      <c r="AR240" s="22">
        <v>246.75299999999999</v>
      </c>
      <c r="AS240" s="22">
        <v>-1.90735E-2</v>
      </c>
      <c r="AT240" s="22">
        <v>230</v>
      </c>
      <c r="AU240" s="22">
        <v>0.34115600000000001</v>
      </c>
      <c r="AV240">
        <f t="shared" si="44"/>
        <v>19.073499999999999</v>
      </c>
      <c r="AW240">
        <f t="shared" si="45"/>
        <v>6.5192650795000002</v>
      </c>
      <c r="AX240" s="9"/>
      <c r="AY240" s="22">
        <v>1.0582</v>
      </c>
      <c r="AZ240" s="22">
        <v>295.65499999999997</v>
      </c>
      <c r="BA240" s="22">
        <v>-1.8356299999999999E-2</v>
      </c>
      <c r="BB240" s="22">
        <v>230</v>
      </c>
      <c r="BC240" s="22">
        <v>1.0571299999999999</v>
      </c>
      <c r="BD240">
        <f t="shared" si="46"/>
        <v>18.356299999999997</v>
      </c>
      <c r="BE240">
        <f t="shared" si="47"/>
        <v>19.424636659999997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0.33676099999999998</v>
      </c>
      <c r="H241" s="22">
        <v>51.4255</v>
      </c>
      <c r="I241" s="22">
        <v>-1.9101E-2</v>
      </c>
      <c r="J241" s="22">
        <v>231</v>
      </c>
      <c r="K241" s="22">
        <v>0.33602900000000002</v>
      </c>
      <c r="L241">
        <f t="shared" si="36"/>
        <v>19.100999999999999</v>
      </c>
      <c r="M241">
        <f t="shared" si="37"/>
        <v>6.4324718609999989</v>
      </c>
      <c r="N241" s="9"/>
      <c r="O241" s="22">
        <v>1.0632299999999999</v>
      </c>
      <c r="P241" s="22">
        <v>100.252</v>
      </c>
      <c r="Q241" s="22">
        <v>-1.8386799999999998E-2</v>
      </c>
      <c r="R241" s="22">
        <v>231</v>
      </c>
      <c r="S241" s="22">
        <v>1.0623199999999999</v>
      </c>
      <c r="T241">
        <f t="shared" si="38"/>
        <v>18.386799999999997</v>
      </c>
      <c r="U241">
        <f t="shared" si="39"/>
        <v>19.549397363999994</v>
      </c>
      <c r="X241" s="9"/>
      <c r="Y241" s="22">
        <v>0.33676099999999998</v>
      </c>
      <c r="Z241" s="22">
        <v>149.19499999999999</v>
      </c>
      <c r="AA241" s="22">
        <v>-1.9091799999999999E-2</v>
      </c>
      <c r="AB241" s="22">
        <v>231</v>
      </c>
      <c r="AC241" s="22">
        <v>0.33587600000000001</v>
      </c>
      <c r="AD241">
        <f t="shared" si="40"/>
        <v>19.091799999999999</v>
      </c>
      <c r="AE241">
        <f t="shared" si="41"/>
        <v>6.4293736597999995</v>
      </c>
      <c r="AF241" s="9"/>
      <c r="AG241" s="22">
        <v>1.0632299999999999</v>
      </c>
      <c r="AH241" s="22">
        <v>197.994</v>
      </c>
      <c r="AI241" s="22">
        <v>-1.8362400000000001E-2</v>
      </c>
      <c r="AJ241" s="22">
        <v>231</v>
      </c>
      <c r="AK241" s="22">
        <v>1.0623199999999999</v>
      </c>
      <c r="AL241">
        <f t="shared" si="42"/>
        <v>18.362400000000001</v>
      </c>
      <c r="AM241">
        <f t="shared" si="43"/>
        <v>19.523454552</v>
      </c>
      <c r="AP241" s="9"/>
      <c r="AQ241" s="22">
        <v>0.33676099999999998</v>
      </c>
      <c r="AR241" s="22">
        <v>246.76300000000001</v>
      </c>
      <c r="AS241" s="22">
        <v>-1.90735E-2</v>
      </c>
      <c r="AT241" s="22">
        <v>231</v>
      </c>
      <c r="AU241" s="22">
        <v>0.33621200000000001</v>
      </c>
      <c r="AV241">
        <f t="shared" si="44"/>
        <v>19.073499999999999</v>
      </c>
      <c r="AW241">
        <f t="shared" si="45"/>
        <v>6.4232109334999992</v>
      </c>
      <c r="AX241" s="9"/>
      <c r="AY241" s="22">
        <v>1.0632299999999999</v>
      </c>
      <c r="AZ241" s="22">
        <v>295.66500000000002</v>
      </c>
      <c r="BA241" s="22">
        <v>-1.8350200000000001E-2</v>
      </c>
      <c r="BB241" s="22">
        <v>231</v>
      </c>
      <c r="BC241" s="22">
        <v>1.0623199999999999</v>
      </c>
      <c r="BD241">
        <f t="shared" si="46"/>
        <v>18.350200000000001</v>
      </c>
      <c r="BE241">
        <f t="shared" si="47"/>
        <v>19.510483145999999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0.33172600000000002</v>
      </c>
      <c r="H242" s="22">
        <v>51.435600000000001</v>
      </c>
      <c r="I242" s="22">
        <v>-1.9107099999999998E-2</v>
      </c>
      <c r="J242" s="22">
        <v>232</v>
      </c>
      <c r="K242" s="22">
        <v>0.331146</v>
      </c>
      <c r="L242">
        <f t="shared" si="36"/>
        <v>19.107099999999999</v>
      </c>
      <c r="M242">
        <f t="shared" si="37"/>
        <v>6.3383218546000002</v>
      </c>
      <c r="N242" s="9"/>
      <c r="O242" s="22">
        <v>1.0682700000000001</v>
      </c>
      <c r="P242" s="22">
        <v>100.262</v>
      </c>
      <c r="Q242" s="22">
        <v>-1.83807E-2</v>
      </c>
      <c r="R242" s="22">
        <v>232</v>
      </c>
      <c r="S242" s="22">
        <v>1.0671999999999999</v>
      </c>
      <c r="T242">
        <f t="shared" si="38"/>
        <v>18.380700000000001</v>
      </c>
      <c r="U242">
        <f t="shared" si="39"/>
        <v>19.635550389000002</v>
      </c>
      <c r="X242" s="9"/>
      <c r="Y242" s="22">
        <v>0.33172600000000002</v>
      </c>
      <c r="Z242" s="22">
        <v>149.20500000000001</v>
      </c>
      <c r="AA242" s="22">
        <v>-1.9094799999999999E-2</v>
      </c>
      <c r="AB242" s="22">
        <v>232</v>
      </c>
      <c r="AC242" s="22">
        <v>0.331177</v>
      </c>
      <c r="AD242">
        <f t="shared" si="40"/>
        <v>19.094799999999999</v>
      </c>
      <c r="AE242">
        <f t="shared" si="41"/>
        <v>6.3342416247999997</v>
      </c>
      <c r="AF242" s="9"/>
      <c r="AG242" s="22">
        <v>1.0682700000000001</v>
      </c>
      <c r="AH242" s="22">
        <v>198.00399999999999</v>
      </c>
      <c r="AI242" s="22">
        <v>-1.8359400000000001E-2</v>
      </c>
      <c r="AJ242" s="22">
        <v>232</v>
      </c>
      <c r="AK242" s="22">
        <v>1.0668899999999999</v>
      </c>
      <c r="AL242">
        <f t="shared" si="42"/>
        <v>18.359400000000001</v>
      </c>
      <c r="AM242">
        <f t="shared" si="43"/>
        <v>19.612796238000001</v>
      </c>
      <c r="AP242" s="9"/>
      <c r="AQ242" s="22">
        <v>0.33172600000000002</v>
      </c>
      <c r="AR242" s="22">
        <v>246.773</v>
      </c>
      <c r="AS242" s="22">
        <v>-1.9079599999999999E-2</v>
      </c>
      <c r="AT242" s="22">
        <v>232</v>
      </c>
      <c r="AU242" s="22">
        <v>0.331177</v>
      </c>
      <c r="AV242">
        <f t="shared" si="44"/>
        <v>19.079599999999999</v>
      </c>
      <c r="AW242">
        <f t="shared" si="45"/>
        <v>6.3291993896000003</v>
      </c>
      <c r="AX242" s="9"/>
      <c r="AY242" s="22">
        <v>1.0682700000000001</v>
      </c>
      <c r="AZ242" s="22">
        <v>295.67500000000001</v>
      </c>
      <c r="BA242" s="22">
        <v>-1.8347200000000001E-2</v>
      </c>
      <c r="BB242" s="22">
        <v>232</v>
      </c>
      <c r="BC242" s="22">
        <v>1.0678099999999999</v>
      </c>
      <c r="BD242">
        <f t="shared" si="46"/>
        <v>18.347200000000001</v>
      </c>
      <c r="BE242">
        <f t="shared" si="47"/>
        <v>19.599763344000003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0.32669100000000001</v>
      </c>
      <c r="H243" s="22">
        <v>51.445700000000002</v>
      </c>
      <c r="I243" s="22">
        <v>-1.9110100000000001E-2</v>
      </c>
      <c r="J243" s="22">
        <v>233</v>
      </c>
      <c r="K243" s="22">
        <v>0.32607999999999998</v>
      </c>
      <c r="L243">
        <f t="shared" si="36"/>
        <v>19.110100000000003</v>
      </c>
      <c r="M243">
        <f t="shared" si="37"/>
        <v>6.2430976791000008</v>
      </c>
      <c r="N243" s="9"/>
      <c r="O243" s="22">
        <v>1.0732999999999999</v>
      </c>
      <c r="P243" s="22">
        <v>100.27200000000001</v>
      </c>
      <c r="Q243" s="22">
        <v>-1.83777E-2</v>
      </c>
      <c r="R243" s="22">
        <v>233</v>
      </c>
      <c r="S243" s="22">
        <v>1.0726899999999999</v>
      </c>
      <c r="T243">
        <f t="shared" si="38"/>
        <v>18.377700000000001</v>
      </c>
      <c r="U243">
        <f t="shared" si="39"/>
        <v>19.724785409999999</v>
      </c>
      <c r="X243" s="9"/>
      <c r="Y243" s="22">
        <v>0.32669100000000001</v>
      </c>
      <c r="Z243" s="22">
        <v>149.21600000000001</v>
      </c>
      <c r="AA243" s="22">
        <v>-1.9097900000000001E-2</v>
      </c>
      <c r="AB243" s="22">
        <v>233</v>
      </c>
      <c r="AC243" s="22">
        <v>0.32605000000000001</v>
      </c>
      <c r="AD243">
        <f t="shared" si="40"/>
        <v>19.097900000000003</v>
      </c>
      <c r="AE243">
        <f t="shared" si="41"/>
        <v>6.2391120489000009</v>
      </c>
      <c r="AF243" s="9"/>
      <c r="AG243" s="22">
        <v>1.0732999999999999</v>
      </c>
      <c r="AH243" s="22">
        <v>198.01400000000001</v>
      </c>
      <c r="AI243" s="22">
        <v>-1.8359400000000001E-2</v>
      </c>
      <c r="AJ243" s="22">
        <v>233</v>
      </c>
      <c r="AK243" s="22">
        <v>1.073</v>
      </c>
      <c r="AL243">
        <f t="shared" si="42"/>
        <v>18.359400000000001</v>
      </c>
      <c r="AM243">
        <f t="shared" si="43"/>
        <v>19.705144019999999</v>
      </c>
      <c r="AP243" s="9"/>
      <c r="AQ243" s="22">
        <v>0.32669100000000001</v>
      </c>
      <c r="AR243" s="22">
        <v>246.78299999999999</v>
      </c>
      <c r="AS243" s="22">
        <v>-1.9085700000000001E-2</v>
      </c>
      <c r="AT243" s="22">
        <v>233</v>
      </c>
      <c r="AU243" s="22">
        <v>0.32614100000000001</v>
      </c>
      <c r="AV243">
        <f t="shared" si="44"/>
        <v>19.085699999999999</v>
      </c>
      <c r="AW243">
        <f t="shared" si="45"/>
        <v>6.2351264187000002</v>
      </c>
      <c r="AX243" s="9"/>
      <c r="AY243" s="22">
        <v>1.0732999999999999</v>
      </c>
      <c r="AZ243" s="22">
        <v>295.685</v>
      </c>
      <c r="BA243" s="22">
        <v>-1.8341099999999999E-2</v>
      </c>
      <c r="BB243" s="22">
        <v>233</v>
      </c>
      <c r="BC243" s="22">
        <v>1.07239</v>
      </c>
      <c r="BD243">
        <f t="shared" si="46"/>
        <v>18.341099999999997</v>
      </c>
      <c r="BE243">
        <f t="shared" si="47"/>
        <v>19.685502629999995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0.32165500000000002</v>
      </c>
      <c r="H244" s="22">
        <v>51.455800000000004</v>
      </c>
      <c r="I244" s="22">
        <v>-1.91162E-2</v>
      </c>
      <c r="J244" s="22">
        <v>234</v>
      </c>
      <c r="K244" s="22">
        <v>0.320801</v>
      </c>
      <c r="L244">
        <f t="shared" si="36"/>
        <v>19.116199999999999</v>
      </c>
      <c r="M244">
        <f t="shared" si="37"/>
        <v>6.1488213109999998</v>
      </c>
      <c r="N244" s="9"/>
      <c r="O244" s="22">
        <v>1.0783400000000001</v>
      </c>
      <c r="P244" s="22">
        <v>100.282</v>
      </c>
      <c r="Q244" s="22">
        <v>-1.8371599999999998E-2</v>
      </c>
      <c r="R244" s="22">
        <v>234</v>
      </c>
      <c r="S244" s="22">
        <v>1.0772699999999999</v>
      </c>
      <c r="T244">
        <f t="shared" si="38"/>
        <v>18.371599999999997</v>
      </c>
      <c r="U244">
        <f t="shared" si="39"/>
        <v>19.810831143999998</v>
      </c>
      <c r="X244" s="9"/>
      <c r="Y244" s="22">
        <v>0.32165500000000002</v>
      </c>
      <c r="Z244" s="22">
        <v>149.226</v>
      </c>
      <c r="AA244" s="22">
        <v>-1.9101E-2</v>
      </c>
      <c r="AB244" s="22">
        <v>234</v>
      </c>
      <c r="AC244" s="22">
        <v>0.32101400000000002</v>
      </c>
      <c r="AD244">
        <f t="shared" si="40"/>
        <v>19.100999999999999</v>
      </c>
      <c r="AE244">
        <f t="shared" si="41"/>
        <v>6.1439321549999999</v>
      </c>
      <c r="AF244" s="9"/>
      <c r="AG244" s="22">
        <v>1.0783400000000001</v>
      </c>
      <c r="AH244" s="22">
        <v>198.024</v>
      </c>
      <c r="AI244" s="22">
        <v>-1.8356299999999999E-2</v>
      </c>
      <c r="AJ244" s="22">
        <v>234</v>
      </c>
      <c r="AK244" s="22">
        <v>1.07758</v>
      </c>
      <c r="AL244">
        <f t="shared" si="42"/>
        <v>18.356299999999997</v>
      </c>
      <c r="AM244">
        <f t="shared" si="43"/>
        <v>19.794332541999999</v>
      </c>
      <c r="AP244" s="9"/>
      <c r="AQ244" s="22">
        <v>0.32165500000000002</v>
      </c>
      <c r="AR244" s="22">
        <v>246.79300000000001</v>
      </c>
      <c r="AS244" s="22">
        <v>-1.90887E-2</v>
      </c>
      <c r="AT244" s="22">
        <v>234</v>
      </c>
      <c r="AU244" s="22">
        <v>0.32092300000000001</v>
      </c>
      <c r="AV244">
        <f t="shared" si="44"/>
        <v>19.088699999999999</v>
      </c>
      <c r="AW244">
        <f t="shared" si="45"/>
        <v>6.1399757985000001</v>
      </c>
      <c r="AX244" s="9"/>
      <c r="AY244" s="22">
        <v>1.0783400000000001</v>
      </c>
      <c r="AZ244" s="22">
        <v>295.69499999999999</v>
      </c>
      <c r="BA244" s="22">
        <v>-1.8338E-2</v>
      </c>
      <c r="BB244" s="22">
        <v>234</v>
      </c>
      <c r="BC244" s="22">
        <v>1.0778799999999999</v>
      </c>
      <c r="BD244">
        <f t="shared" si="46"/>
        <v>18.338000000000001</v>
      </c>
      <c r="BE244">
        <f t="shared" si="47"/>
        <v>19.774598920000003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0.31662000000000001</v>
      </c>
      <c r="H245" s="22">
        <v>51.465800000000002</v>
      </c>
      <c r="I245" s="22">
        <v>-1.9119299999999999E-2</v>
      </c>
      <c r="J245" s="22">
        <v>235</v>
      </c>
      <c r="K245" s="22">
        <v>0.31594800000000001</v>
      </c>
      <c r="L245">
        <f t="shared" si="36"/>
        <v>19.119299999999999</v>
      </c>
      <c r="M245">
        <f t="shared" si="37"/>
        <v>6.0535527660000001</v>
      </c>
      <c r="N245" s="9"/>
      <c r="O245" s="22">
        <v>1.0833699999999999</v>
      </c>
      <c r="P245" s="22">
        <v>100.292</v>
      </c>
      <c r="Q245" s="22">
        <v>-1.8368499999999999E-2</v>
      </c>
      <c r="R245" s="22">
        <v>235</v>
      </c>
      <c r="S245" s="22">
        <v>1.0827599999999999</v>
      </c>
      <c r="T245">
        <f t="shared" si="38"/>
        <v>18.368500000000001</v>
      </c>
      <c r="U245">
        <f t="shared" si="39"/>
        <v>19.899881844999999</v>
      </c>
      <c r="X245" s="9"/>
      <c r="Y245" s="22">
        <v>0.31662000000000001</v>
      </c>
      <c r="Z245" s="22">
        <v>149.23599999999999</v>
      </c>
      <c r="AA245" s="22">
        <v>-1.9107099999999998E-2</v>
      </c>
      <c r="AB245" s="22">
        <v>235</v>
      </c>
      <c r="AC245" s="22">
        <v>0.31579600000000002</v>
      </c>
      <c r="AD245">
        <f t="shared" si="40"/>
        <v>19.107099999999999</v>
      </c>
      <c r="AE245">
        <f t="shared" si="41"/>
        <v>6.0496900020000002</v>
      </c>
      <c r="AF245" s="9"/>
      <c r="AG245" s="22">
        <v>1.0833699999999999</v>
      </c>
      <c r="AH245" s="22">
        <v>198.03399999999999</v>
      </c>
      <c r="AI245" s="22">
        <v>-1.8350200000000001E-2</v>
      </c>
      <c r="AJ245" s="22">
        <v>235</v>
      </c>
      <c r="AK245" s="22">
        <v>1.08246</v>
      </c>
      <c r="AL245">
        <f t="shared" si="42"/>
        <v>18.350200000000001</v>
      </c>
      <c r="AM245">
        <f t="shared" si="43"/>
        <v>19.880056174</v>
      </c>
      <c r="AP245" s="9"/>
      <c r="AQ245" s="22">
        <v>0.31662000000000001</v>
      </c>
      <c r="AR245" s="22">
        <v>246.803</v>
      </c>
      <c r="AS245" s="22">
        <v>-1.9091799999999999E-2</v>
      </c>
      <c r="AT245" s="22">
        <v>235</v>
      </c>
      <c r="AU245" s="22">
        <v>0.31576500000000002</v>
      </c>
      <c r="AV245">
        <f t="shared" si="44"/>
        <v>19.091799999999999</v>
      </c>
      <c r="AW245">
        <f t="shared" si="45"/>
        <v>6.0448457160000002</v>
      </c>
      <c r="AX245" s="9"/>
      <c r="AY245" s="22">
        <v>1.0833699999999999</v>
      </c>
      <c r="AZ245" s="22">
        <v>295.70499999999998</v>
      </c>
      <c r="BA245" s="22">
        <v>-1.8331900000000002E-2</v>
      </c>
      <c r="BB245" s="22">
        <v>235</v>
      </c>
      <c r="BC245" s="22">
        <v>1.08307</v>
      </c>
      <c r="BD245">
        <f t="shared" si="46"/>
        <v>18.331900000000001</v>
      </c>
      <c r="BE245">
        <f t="shared" si="47"/>
        <v>19.860230503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0.31158400000000003</v>
      </c>
      <c r="H246" s="22">
        <v>51.475900000000003</v>
      </c>
      <c r="I246" s="22">
        <v>-1.9125400000000001E-2</v>
      </c>
      <c r="J246" s="22">
        <v>236</v>
      </c>
      <c r="K246" s="22">
        <v>0.31106600000000001</v>
      </c>
      <c r="L246">
        <f t="shared" si="36"/>
        <v>19.125399999999999</v>
      </c>
      <c r="M246">
        <f t="shared" si="37"/>
        <v>5.9591686336</v>
      </c>
      <c r="N246" s="9"/>
      <c r="O246" s="22">
        <v>1.0884100000000001</v>
      </c>
      <c r="P246" s="22">
        <v>100.30200000000001</v>
      </c>
      <c r="Q246" s="22">
        <v>-1.8362400000000001E-2</v>
      </c>
      <c r="R246" s="22">
        <v>236</v>
      </c>
      <c r="S246" s="22">
        <v>1.08734</v>
      </c>
      <c r="T246">
        <f t="shared" si="38"/>
        <v>18.362400000000001</v>
      </c>
      <c r="U246">
        <f t="shared" si="39"/>
        <v>19.985819784000004</v>
      </c>
      <c r="X246" s="9"/>
      <c r="Y246" s="22">
        <v>0.31158400000000003</v>
      </c>
      <c r="Z246" s="22">
        <v>149.24600000000001</v>
      </c>
      <c r="AA246" s="22">
        <v>-1.91132E-2</v>
      </c>
      <c r="AB246" s="22">
        <v>236</v>
      </c>
      <c r="AC246" s="22">
        <v>0.31106600000000001</v>
      </c>
      <c r="AD246">
        <f t="shared" si="40"/>
        <v>19.113199999999999</v>
      </c>
      <c r="AE246">
        <f t="shared" si="41"/>
        <v>5.9553673088000005</v>
      </c>
      <c r="AF246" s="9"/>
      <c r="AG246" s="22">
        <v>1.0884100000000001</v>
      </c>
      <c r="AH246" s="22">
        <v>198.04400000000001</v>
      </c>
      <c r="AI246" s="22">
        <v>-1.8347200000000001E-2</v>
      </c>
      <c r="AJ246" s="22">
        <v>236</v>
      </c>
      <c r="AK246" s="22">
        <v>1.08734</v>
      </c>
      <c r="AL246">
        <f t="shared" si="42"/>
        <v>18.347200000000001</v>
      </c>
      <c r="AM246">
        <f t="shared" si="43"/>
        <v>19.969275952000004</v>
      </c>
      <c r="AP246" s="9"/>
      <c r="AQ246" s="22">
        <v>0.31158400000000003</v>
      </c>
      <c r="AR246" s="22">
        <v>246.81399999999999</v>
      </c>
      <c r="AS246" s="22">
        <v>-1.9094799999999999E-2</v>
      </c>
      <c r="AT246" s="22">
        <v>236</v>
      </c>
      <c r="AU246" s="22">
        <v>0.31091299999999999</v>
      </c>
      <c r="AV246">
        <f t="shared" si="44"/>
        <v>19.094799999999999</v>
      </c>
      <c r="AW246">
        <f t="shared" si="45"/>
        <v>5.9496341632000007</v>
      </c>
      <c r="AX246" s="9"/>
      <c r="AY246" s="22">
        <v>1.0884100000000001</v>
      </c>
      <c r="AZ246" s="22">
        <v>295.71499999999997</v>
      </c>
      <c r="BA246" s="22">
        <v>-1.8328899999999999E-2</v>
      </c>
      <c r="BB246" s="22">
        <v>236</v>
      </c>
      <c r="BC246" s="22">
        <v>1.08704</v>
      </c>
      <c r="BD246">
        <f t="shared" si="46"/>
        <v>18.328899999999997</v>
      </c>
      <c r="BE246">
        <f t="shared" si="47"/>
        <v>19.949358049000001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0.30654900000000002</v>
      </c>
      <c r="H247" s="22">
        <v>51.485999999999997</v>
      </c>
      <c r="I247" s="22">
        <v>-1.9134499999999999E-2</v>
      </c>
      <c r="J247" s="22">
        <v>237</v>
      </c>
      <c r="K247" s="22">
        <v>0.30618299999999998</v>
      </c>
      <c r="L247">
        <f t="shared" si="36"/>
        <v>19.134499999999999</v>
      </c>
      <c r="M247">
        <f t="shared" si="37"/>
        <v>5.8656618404999996</v>
      </c>
      <c r="N247" s="9"/>
      <c r="O247" s="22">
        <v>1.09344</v>
      </c>
      <c r="P247" s="22">
        <v>100.312</v>
      </c>
      <c r="Q247" s="22">
        <v>-1.8356299999999999E-2</v>
      </c>
      <c r="R247" s="22">
        <v>237</v>
      </c>
      <c r="S247" s="22">
        <v>1.09314</v>
      </c>
      <c r="T247">
        <f t="shared" si="38"/>
        <v>18.356299999999997</v>
      </c>
      <c r="U247">
        <f t="shared" si="39"/>
        <v>20.071512671999997</v>
      </c>
      <c r="X247" s="9"/>
      <c r="Y247" s="22">
        <v>0.30654900000000002</v>
      </c>
      <c r="Z247" s="22">
        <v>149.256</v>
      </c>
      <c r="AA247" s="22">
        <v>-1.9119299999999999E-2</v>
      </c>
      <c r="AB247" s="22">
        <v>237</v>
      </c>
      <c r="AC247" s="22">
        <v>0.30584699999999998</v>
      </c>
      <c r="AD247">
        <f t="shared" si="40"/>
        <v>19.119299999999999</v>
      </c>
      <c r="AE247">
        <f t="shared" si="41"/>
        <v>5.8610022956999996</v>
      </c>
      <c r="AF247" s="9"/>
      <c r="AG247" s="22">
        <v>1.09344</v>
      </c>
      <c r="AH247" s="22">
        <v>198.054</v>
      </c>
      <c r="AI247" s="22">
        <v>-1.8344099999999999E-2</v>
      </c>
      <c r="AJ247" s="22">
        <v>237</v>
      </c>
      <c r="AK247" s="22">
        <v>1.09222</v>
      </c>
      <c r="AL247">
        <f t="shared" si="42"/>
        <v>18.344099999999997</v>
      </c>
      <c r="AM247">
        <f t="shared" si="43"/>
        <v>20.058172703999997</v>
      </c>
      <c r="AP247" s="9"/>
      <c r="AQ247" s="22">
        <v>0.30654900000000002</v>
      </c>
      <c r="AR247" s="22">
        <v>246.82400000000001</v>
      </c>
      <c r="AS247" s="22">
        <v>-1.9097900000000001E-2</v>
      </c>
      <c r="AT247" s="22">
        <v>237</v>
      </c>
      <c r="AU247" s="22">
        <v>0.30593900000000002</v>
      </c>
      <c r="AV247">
        <f t="shared" si="44"/>
        <v>19.097900000000003</v>
      </c>
      <c r="AW247">
        <f t="shared" si="45"/>
        <v>5.8544421471000012</v>
      </c>
      <c r="AX247" s="9"/>
      <c r="AY247" s="22">
        <v>1.09344</v>
      </c>
      <c r="AZ247" s="22">
        <v>295.72500000000002</v>
      </c>
      <c r="BA247" s="22">
        <v>-1.8328899999999999E-2</v>
      </c>
      <c r="BB247" s="22">
        <v>237</v>
      </c>
      <c r="BC247" s="22">
        <v>1.09222</v>
      </c>
      <c r="BD247">
        <f t="shared" si="46"/>
        <v>18.328899999999997</v>
      </c>
      <c r="BE247">
        <f t="shared" si="47"/>
        <v>20.041552415999995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0.301514</v>
      </c>
      <c r="H248" s="22">
        <v>51.496000000000002</v>
      </c>
      <c r="I248" s="22">
        <v>-1.9140600000000001E-2</v>
      </c>
      <c r="J248" s="22">
        <v>238</v>
      </c>
      <c r="K248" s="22">
        <v>0.30071999999999999</v>
      </c>
      <c r="L248">
        <f t="shared" si="36"/>
        <v>19.140599999999999</v>
      </c>
      <c r="M248">
        <f t="shared" si="37"/>
        <v>5.7711588683999997</v>
      </c>
      <c r="N248" s="9"/>
      <c r="O248" s="22">
        <v>1.0984799999999999</v>
      </c>
      <c r="P248" s="22">
        <v>100.322</v>
      </c>
      <c r="Q248" s="22">
        <v>-1.8350200000000001E-2</v>
      </c>
      <c r="R248" s="22">
        <v>238</v>
      </c>
      <c r="S248" s="22">
        <v>1.09802</v>
      </c>
      <c r="T248">
        <f t="shared" si="38"/>
        <v>18.350200000000001</v>
      </c>
      <c r="U248">
        <f t="shared" si="39"/>
        <v>20.157327695999999</v>
      </c>
      <c r="X248" s="9"/>
      <c r="Y248" s="22">
        <v>0.301514</v>
      </c>
      <c r="Z248" s="22">
        <v>149.26599999999999</v>
      </c>
      <c r="AA248" s="22">
        <v>-1.9122299999999998E-2</v>
      </c>
      <c r="AB248" s="22">
        <v>238</v>
      </c>
      <c r="AC248" s="22">
        <v>0.30081200000000002</v>
      </c>
      <c r="AD248">
        <f t="shared" si="40"/>
        <v>19.122299999999999</v>
      </c>
      <c r="AE248">
        <f t="shared" si="41"/>
        <v>5.7656411621999997</v>
      </c>
      <c r="AF248" s="9"/>
      <c r="AG248" s="22">
        <v>1.0984799999999999</v>
      </c>
      <c r="AH248" s="22">
        <v>198.06399999999999</v>
      </c>
      <c r="AI248" s="22">
        <v>-1.8341099999999999E-2</v>
      </c>
      <c r="AJ248" s="22">
        <v>238</v>
      </c>
      <c r="AK248" s="22">
        <v>1.09741</v>
      </c>
      <c r="AL248">
        <f t="shared" si="42"/>
        <v>18.341099999999997</v>
      </c>
      <c r="AM248">
        <f t="shared" si="43"/>
        <v>20.147331527999995</v>
      </c>
      <c r="AP248" s="9"/>
      <c r="AQ248" s="22">
        <v>0.301514</v>
      </c>
      <c r="AR248" s="22">
        <v>246.834</v>
      </c>
      <c r="AS248" s="22">
        <v>-1.9107099999999998E-2</v>
      </c>
      <c r="AT248" s="22">
        <v>238</v>
      </c>
      <c r="AU248" s="22">
        <v>0.30096400000000001</v>
      </c>
      <c r="AV248">
        <f t="shared" si="44"/>
        <v>19.107099999999999</v>
      </c>
      <c r="AW248">
        <f t="shared" si="45"/>
        <v>5.7610581494000002</v>
      </c>
      <c r="AX248" s="9"/>
      <c r="AY248" s="22">
        <v>1.0984799999999999</v>
      </c>
      <c r="AZ248" s="22">
        <v>295.73500000000001</v>
      </c>
      <c r="BA248" s="22">
        <v>-1.83228E-2</v>
      </c>
      <c r="BB248" s="22">
        <v>238</v>
      </c>
      <c r="BC248" s="22">
        <v>1.09741</v>
      </c>
      <c r="BD248">
        <f t="shared" si="46"/>
        <v>18.322800000000001</v>
      </c>
      <c r="BE248">
        <f t="shared" si="47"/>
        <v>20.127229344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0.29647800000000002</v>
      </c>
      <c r="H249" s="22">
        <v>51.506100000000004</v>
      </c>
      <c r="I249" s="22">
        <v>-1.91437E-2</v>
      </c>
      <c r="J249" s="22">
        <v>239</v>
      </c>
      <c r="K249" s="22">
        <v>0.29580699999999999</v>
      </c>
      <c r="L249">
        <f t="shared" si="36"/>
        <v>19.143699999999999</v>
      </c>
      <c r="M249">
        <f t="shared" si="37"/>
        <v>5.6756858886000003</v>
      </c>
      <c r="N249" s="9"/>
      <c r="O249" s="22">
        <v>1.1035200000000001</v>
      </c>
      <c r="P249" s="22">
        <v>100.333</v>
      </c>
      <c r="Q249" s="22">
        <v>-1.8344099999999999E-2</v>
      </c>
      <c r="R249" s="22">
        <v>239</v>
      </c>
      <c r="S249" s="22">
        <v>1.1026</v>
      </c>
      <c r="T249">
        <f t="shared" si="38"/>
        <v>18.344099999999997</v>
      </c>
      <c r="U249">
        <f t="shared" si="39"/>
        <v>20.243081231999998</v>
      </c>
      <c r="X249" s="9"/>
      <c r="Y249" s="22">
        <v>0.29647800000000002</v>
      </c>
      <c r="Z249" s="22">
        <v>149.27600000000001</v>
      </c>
      <c r="AA249" s="22">
        <v>-1.9122299999999998E-2</v>
      </c>
      <c r="AB249" s="22">
        <v>239</v>
      </c>
      <c r="AC249" s="22">
        <v>0.29605100000000001</v>
      </c>
      <c r="AD249">
        <f t="shared" si="40"/>
        <v>19.122299999999999</v>
      </c>
      <c r="AE249">
        <f t="shared" si="41"/>
        <v>5.6693412594000003</v>
      </c>
      <c r="AF249" s="9"/>
      <c r="AG249" s="22">
        <v>1.1035200000000001</v>
      </c>
      <c r="AH249" s="22">
        <v>198.07400000000001</v>
      </c>
      <c r="AI249" s="22">
        <v>-1.8335000000000001E-2</v>
      </c>
      <c r="AJ249" s="22">
        <v>239</v>
      </c>
      <c r="AK249" s="22">
        <v>1.1029100000000001</v>
      </c>
      <c r="AL249">
        <f t="shared" si="42"/>
        <v>18.335000000000001</v>
      </c>
      <c r="AM249">
        <f t="shared" si="43"/>
        <v>20.2330392</v>
      </c>
      <c r="AP249" s="9"/>
      <c r="AQ249" s="22">
        <v>0.29647800000000002</v>
      </c>
      <c r="AR249" s="22">
        <v>246.84399999999999</v>
      </c>
      <c r="AS249" s="22">
        <v>-1.9110100000000001E-2</v>
      </c>
      <c r="AT249" s="22">
        <v>239</v>
      </c>
      <c r="AU249" s="22">
        <v>0.29574600000000001</v>
      </c>
      <c r="AV249">
        <f t="shared" si="44"/>
        <v>19.110100000000003</v>
      </c>
      <c r="AW249">
        <f t="shared" si="45"/>
        <v>5.6657242278000011</v>
      </c>
      <c r="AX249" s="9"/>
      <c r="AY249" s="22">
        <v>1.1035200000000001</v>
      </c>
      <c r="AZ249" s="22">
        <v>295.745</v>
      </c>
      <c r="BA249" s="22">
        <v>-1.8316700000000002E-2</v>
      </c>
      <c r="BB249" s="22">
        <v>239</v>
      </c>
      <c r="BC249" s="22">
        <v>1.1026</v>
      </c>
      <c r="BD249">
        <f t="shared" si="46"/>
        <v>18.316700000000001</v>
      </c>
      <c r="BE249">
        <f t="shared" si="47"/>
        <v>20.212844784000001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0.29144300000000001</v>
      </c>
      <c r="H250" s="22">
        <v>51.516199999999998</v>
      </c>
      <c r="I250" s="22">
        <v>-1.9152800000000001E-2</v>
      </c>
      <c r="J250" s="22">
        <v>240</v>
      </c>
      <c r="K250" s="22">
        <v>0.29098499999999999</v>
      </c>
      <c r="L250">
        <f t="shared" si="36"/>
        <v>19.152800000000003</v>
      </c>
      <c r="M250">
        <f t="shared" si="37"/>
        <v>5.5819494904000013</v>
      </c>
      <c r="N250" s="9"/>
      <c r="O250" s="22">
        <v>1.1085499999999999</v>
      </c>
      <c r="P250" s="22">
        <v>100.343</v>
      </c>
      <c r="Q250" s="22">
        <v>-1.8338E-2</v>
      </c>
      <c r="R250" s="22">
        <v>240</v>
      </c>
      <c r="S250" s="22">
        <v>1.1071800000000001</v>
      </c>
      <c r="T250">
        <f t="shared" si="38"/>
        <v>18.338000000000001</v>
      </c>
      <c r="U250">
        <f t="shared" si="39"/>
        <v>20.328589900000001</v>
      </c>
      <c r="X250" s="9"/>
      <c r="Y250" s="22">
        <v>0.29144300000000001</v>
      </c>
      <c r="Z250" s="22">
        <v>149.286</v>
      </c>
      <c r="AA250" s="22">
        <v>-1.91284E-2</v>
      </c>
      <c r="AB250" s="22">
        <v>240</v>
      </c>
      <c r="AC250" s="22">
        <v>0.29119899999999999</v>
      </c>
      <c r="AD250">
        <f t="shared" si="40"/>
        <v>19.128399999999999</v>
      </c>
      <c r="AE250">
        <f t="shared" si="41"/>
        <v>5.5748382811999999</v>
      </c>
      <c r="AF250" s="9"/>
      <c r="AG250" s="22">
        <v>1.1085499999999999</v>
      </c>
      <c r="AH250" s="22">
        <v>198.084</v>
      </c>
      <c r="AI250" s="22">
        <v>-1.8328899999999999E-2</v>
      </c>
      <c r="AJ250" s="22">
        <v>240</v>
      </c>
      <c r="AK250" s="22">
        <v>1.10687</v>
      </c>
      <c r="AL250">
        <f t="shared" si="42"/>
        <v>18.328899999999997</v>
      </c>
      <c r="AM250">
        <f t="shared" si="43"/>
        <v>20.318502094999996</v>
      </c>
      <c r="AP250" s="9"/>
      <c r="AQ250" s="22">
        <v>0.29144300000000001</v>
      </c>
      <c r="AR250" s="22">
        <v>246.85400000000001</v>
      </c>
      <c r="AS250" s="22">
        <v>-1.91162E-2</v>
      </c>
      <c r="AT250" s="22">
        <v>240</v>
      </c>
      <c r="AU250" s="22">
        <v>0.290771</v>
      </c>
      <c r="AV250">
        <f t="shared" si="44"/>
        <v>19.116199999999999</v>
      </c>
      <c r="AW250">
        <f t="shared" si="45"/>
        <v>5.5712826766000001</v>
      </c>
      <c r="AX250" s="9"/>
      <c r="AY250" s="22">
        <v>1.1085499999999999</v>
      </c>
      <c r="AZ250" s="22">
        <v>295.755</v>
      </c>
      <c r="BA250" s="22">
        <v>-1.8313599999999999E-2</v>
      </c>
      <c r="BB250" s="22">
        <v>240</v>
      </c>
      <c r="BC250" s="22">
        <v>1.1077900000000001</v>
      </c>
      <c r="BD250">
        <f t="shared" si="46"/>
        <v>18.313600000000001</v>
      </c>
      <c r="BE250">
        <f t="shared" si="47"/>
        <v>20.301541279999999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0.28640700000000002</v>
      </c>
      <c r="H251" s="22">
        <v>51.526200000000003</v>
      </c>
      <c r="I251" s="22">
        <v>-1.91589E-2</v>
      </c>
      <c r="J251" s="22">
        <v>241</v>
      </c>
      <c r="K251" s="22">
        <v>0.28576699999999999</v>
      </c>
      <c r="L251">
        <f t="shared" si="36"/>
        <v>19.158899999999999</v>
      </c>
      <c r="M251">
        <f t="shared" si="37"/>
        <v>5.4872430723000001</v>
      </c>
      <c r="N251" s="9"/>
      <c r="O251" s="22">
        <v>1.1135900000000001</v>
      </c>
      <c r="P251" s="22">
        <v>100.35299999999999</v>
      </c>
      <c r="Q251" s="22">
        <v>-1.8328899999999999E-2</v>
      </c>
      <c r="R251" s="22">
        <v>241</v>
      </c>
      <c r="S251" s="22">
        <v>1.1129800000000001</v>
      </c>
      <c r="T251">
        <f t="shared" si="38"/>
        <v>18.328899999999997</v>
      </c>
      <c r="U251">
        <f t="shared" si="39"/>
        <v>20.410879751</v>
      </c>
      <c r="X251" s="9"/>
      <c r="Y251" s="22">
        <v>0.28640700000000002</v>
      </c>
      <c r="Z251" s="22">
        <v>149.29599999999999</v>
      </c>
      <c r="AA251" s="22">
        <v>-1.9131499999999999E-2</v>
      </c>
      <c r="AB251" s="22">
        <v>241</v>
      </c>
      <c r="AC251" s="22">
        <v>0.28579700000000002</v>
      </c>
      <c r="AD251">
        <f t="shared" si="40"/>
        <v>19.131499999999999</v>
      </c>
      <c r="AE251">
        <f t="shared" si="41"/>
        <v>5.4793955204999998</v>
      </c>
      <c r="AF251" s="9"/>
      <c r="AG251" s="22">
        <v>1.1135900000000001</v>
      </c>
      <c r="AH251" s="22">
        <v>198.09399999999999</v>
      </c>
      <c r="AI251" s="22">
        <v>-1.83228E-2</v>
      </c>
      <c r="AJ251" s="22">
        <v>241</v>
      </c>
      <c r="AK251" s="22">
        <v>1.1123700000000001</v>
      </c>
      <c r="AL251">
        <f t="shared" si="42"/>
        <v>18.322800000000001</v>
      </c>
      <c r="AM251">
        <f t="shared" si="43"/>
        <v>20.404086852000002</v>
      </c>
      <c r="AP251" s="9"/>
      <c r="AQ251" s="22">
        <v>0.28640700000000002</v>
      </c>
      <c r="AR251" s="22">
        <v>246.864</v>
      </c>
      <c r="AS251" s="22">
        <v>-1.9119299999999999E-2</v>
      </c>
      <c r="AT251" s="22">
        <v>241</v>
      </c>
      <c r="AU251" s="22">
        <v>0.28582800000000003</v>
      </c>
      <c r="AV251">
        <f t="shared" si="44"/>
        <v>19.119299999999999</v>
      </c>
      <c r="AW251">
        <f t="shared" si="45"/>
        <v>5.4759013551000004</v>
      </c>
      <c r="AX251" s="9"/>
      <c r="AY251" s="22">
        <v>1.1135900000000001</v>
      </c>
      <c r="AZ251" s="22">
        <v>295.76499999999999</v>
      </c>
      <c r="BA251" s="22">
        <v>-1.8307500000000001E-2</v>
      </c>
      <c r="BB251" s="22">
        <v>241</v>
      </c>
      <c r="BC251" s="22">
        <v>1.11267</v>
      </c>
      <c r="BD251">
        <f t="shared" si="46"/>
        <v>18.307500000000001</v>
      </c>
      <c r="BE251">
        <f t="shared" si="47"/>
        <v>20.387048925000002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0.28137200000000001</v>
      </c>
      <c r="H252" s="22">
        <v>51.536299999999997</v>
      </c>
      <c r="I252" s="22">
        <v>-1.91589E-2</v>
      </c>
      <c r="J252" s="22">
        <v>242</v>
      </c>
      <c r="K252" s="22">
        <v>0.28082299999999999</v>
      </c>
      <c r="L252">
        <f t="shared" si="36"/>
        <v>19.158899999999999</v>
      </c>
      <c r="M252">
        <f t="shared" si="37"/>
        <v>5.3907780108000001</v>
      </c>
      <c r="N252" s="9"/>
      <c r="O252" s="22">
        <v>1.1186199999999999</v>
      </c>
      <c r="P252" s="22">
        <v>100.363</v>
      </c>
      <c r="Q252" s="22">
        <v>-1.83228E-2</v>
      </c>
      <c r="R252" s="22">
        <v>242</v>
      </c>
      <c r="S252" s="22">
        <v>1.11816</v>
      </c>
      <c r="T252">
        <f t="shared" si="38"/>
        <v>18.322800000000001</v>
      </c>
      <c r="U252">
        <f t="shared" si="39"/>
        <v>20.496250536000002</v>
      </c>
      <c r="X252" s="9"/>
      <c r="Y252" s="22">
        <v>0.28137200000000001</v>
      </c>
      <c r="Z252" s="22">
        <v>149.30600000000001</v>
      </c>
      <c r="AA252" s="22">
        <v>-1.9137600000000001E-2</v>
      </c>
      <c r="AB252" s="22">
        <v>242</v>
      </c>
      <c r="AC252" s="22">
        <v>0.28057900000000002</v>
      </c>
      <c r="AD252">
        <f t="shared" si="40"/>
        <v>19.137600000000003</v>
      </c>
      <c r="AE252">
        <f t="shared" si="41"/>
        <v>5.384784787200001</v>
      </c>
      <c r="AF252" s="9"/>
      <c r="AG252" s="22">
        <v>1.1186199999999999</v>
      </c>
      <c r="AH252" s="22">
        <v>198.10499999999999</v>
      </c>
      <c r="AI252" s="22">
        <v>-1.8319700000000001E-2</v>
      </c>
      <c r="AJ252" s="22">
        <v>242</v>
      </c>
      <c r="AK252" s="22">
        <v>1.1172500000000001</v>
      </c>
      <c r="AL252">
        <f t="shared" si="42"/>
        <v>18.319700000000001</v>
      </c>
      <c r="AM252">
        <f t="shared" si="43"/>
        <v>20.492782814000002</v>
      </c>
      <c r="AP252" s="9"/>
      <c r="AQ252" s="22">
        <v>0.28137200000000001</v>
      </c>
      <c r="AR252" s="22">
        <v>246.874</v>
      </c>
      <c r="AS252" s="22">
        <v>-1.9125400000000001E-2</v>
      </c>
      <c r="AT252" s="22">
        <v>242</v>
      </c>
      <c r="AU252" s="22">
        <v>0.280609</v>
      </c>
      <c r="AV252">
        <f t="shared" si="44"/>
        <v>19.125399999999999</v>
      </c>
      <c r="AW252">
        <f t="shared" si="45"/>
        <v>5.3813520488000002</v>
      </c>
      <c r="AX252" s="9"/>
      <c r="AY252" s="22">
        <v>1.1186199999999999</v>
      </c>
      <c r="AZ252" s="22">
        <v>295.77499999999998</v>
      </c>
      <c r="BA252" s="22">
        <v>-1.8301399999999999E-2</v>
      </c>
      <c r="BB252" s="22">
        <v>242</v>
      </c>
      <c r="BC252" s="22">
        <v>1.1172500000000001</v>
      </c>
      <c r="BD252">
        <f t="shared" si="46"/>
        <v>18.301399999999997</v>
      </c>
      <c r="BE252">
        <f t="shared" si="47"/>
        <v>20.472312067999997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0.276337</v>
      </c>
      <c r="H253" s="22">
        <v>51.546399999999998</v>
      </c>
      <c r="I253" s="22">
        <v>-1.9165000000000001E-2</v>
      </c>
      <c r="J253" s="22">
        <v>243</v>
      </c>
      <c r="K253" s="22">
        <v>0.27560400000000002</v>
      </c>
      <c r="L253">
        <f t="shared" si="36"/>
        <v>19.165000000000003</v>
      </c>
      <c r="M253">
        <f t="shared" si="37"/>
        <v>5.2959986050000003</v>
      </c>
      <c r="N253" s="9"/>
      <c r="O253" s="22">
        <v>1.1236600000000001</v>
      </c>
      <c r="P253" s="22">
        <v>100.373</v>
      </c>
      <c r="Q253" s="22">
        <v>-1.8316700000000002E-2</v>
      </c>
      <c r="R253" s="22">
        <v>243</v>
      </c>
      <c r="S253" s="22">
        <v>1.1221300000000001</v>
      </c>
      <c r="T253">
        <f t="shared" si="38"/>
        <v>18.316700000000001</v>
      </c>
      <c r="U253">
        <f t="shared" si="39"/>
        <v>20.581743122000002</v>
      </c>
      <c r="X253" s="9"/>
      <c r="Y253" s="22">
        <v>0.276337</v>
      </c>
      <c r="Z253" s="22">
        <v>149.316</v>
      </c>
      <c r="AA253" s="22">
        <v>-1.9146699999999999E-2</v>
      </c>
      <c r="AB253" s="22">
        <v>243</v>
      </c>
      <c r="AC253" s="22">
        <v>0.27566499999999999</v>
      </c>
      <c r="AD253">
        <f t="shared" si="40"/>
        <v>19.146699999999999</v>
      </c>
      <c r="AE253">
        <f t="shared" si="41"/>
        <v>5.2909416378999996</v>
      </c>
      <c r="AF253" s="9"/>
      <c r="AG253" s="22">
        <v>1.1236600000000001</v>
      </c>
      <c r="AH253" s="22">
        <v>198.11500000000001</v>
      </c>
      <c r="AI253" s="22">
        <v>-1.8316700000000002E-2</v>
      </c>
      <c r="AJ253" s="22">
        <v>243</v>
      </c>
      <c r="AK253" s="22">
        <v>1.1233500000000001</v>
      </c>
      <c r="AL253">
        <f t="shared" si="42"/>
        <v>18.316700000000001</v>
      </c>
      <c r="AM253">
        <f t="shared" si="43"/>
        <v>20.581743122000002</v>
      </c>
      <c r="AP253" s="9"/>
      <c r="AQ253" s="22">
        <v>0.276337</v>
      </c>
      <c r="AR253" s="22">
        <v>246.88399999999999</v>
      </c>
      <c r="AS253" s="22">
        <v>-1.9131499999999999E-2</v>
      </c>
      <c r="AT253" s="22">
        <v>243</v>
      </c>
      <c r="AU253" s="22">
        <v>0.27572600000000003</v>
      </c>
      <c r="AV253">
        <f t="shared" si="44"/>
        <v>19.131499999999999</v>
      </c>
      <c r="AW253">
        <f t="shared" si="45"/>
        <v>5.2867413154999996</v>
      </c>
      <c r="AX253" s="9"/>
      <c r="AY253" s="22">
        <v>1.1236600000000001</v>
      </c>
      <c r="AZ253" s="22">
        <v>295.78500000000003</v>
      </c>
      <c r="BA253" s="22">
        <v>-1.8292200000000002E-2</v>
      </c>
      <c r="BB253" s="22">
        <v>243</v>
      </c>
      <c r="BC253" s="22">
        <v>1.1230500000000001</v>
      </c>
      <c r="BD253">
        <f t="shared" si="46"/>
        <v>18.292200000000001</v>
      </c>
      <c r="BE253">
        <f t="shared" si="47"/>
        <v>20.554213452000003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0.27130100000000001</v>
      </c>
      <c r="H254" s="22">
        <v>51.5565</v>
      </c>
      <c r="I254" s="22">
        <v>-1.91681E-2</v>
      </c>
      <c r="J254" s="22">
        <v>244</v>
      </c>
      <c r="K254" s="22">
        <v>0.27062999999999998</v>
      </c>
      <c r="L254">
        <f t="shared" si="36"/>
        <v>19.168099999999999</v>
      </c>
      <c r="M254">
        <f t="shared" si="37"/>
        <v>5.2003246981000002</v>
      </c>
      <c r="N254" s="9"/>
      <c r="O254" s="22">
        <v>1.12869</v>
      </c>
      <c r="P254" s="22">
        <v>100.383</v>
      </c>
      <c r="Q254" s="22">
        <v>-1.8307500000000001E-2</v>
      </c>
      <c r="R254" s="22">
        <v>244</v>
      </c>
      <c r="S254" s="22">
        <v>1.1273200000000001</v>
      </c>
      <c r="T254">
        <f t="shared" si="38"/>
        <v>18.307500000000001</v>
      </c>
      <c r="U254">
        <f t="shared" si="39"/>
        <v>20.663492175000002</v>
      </c>
      <c r="X254" s="9"/>
      <c r="Y254" s="22">
        <v>0.27130100000000001</v>
      </c>
      <c r="Z254" s="22">
        <v>149.32599999999999</v>
      </c>
      <c r="AA254" s="22">
        <v>-1.9152800000000001E-2</v>
      </c>
      <c r="AB254" s="22">
        <v>244</v>
      </c>
      <c r="AC254" s="22">
        <v>0.27062999999999998</v>
      </c>
      <c r="AD254">
        <f t="shared" si="40"/>
        <v>19.152800000000003</v>
      </c>
      <c r="AE254">
        <f t="shared" si="41"/>
        <v>5.1961737928000007</v>
      </c>
      <c r="AF254" s="9"/>
      <c r="AG254" s="22">
        <v>1.12869</v>
      </c>
      <c r="AH254" s="22">
        <v>198.125</v>
      </c>
      <c r="AI254" s="22">
        <v>-1.83105E-2</v>
      </c>
      <c r="AJ254" s="22">
        <v>244</v>
      </c>
      <c r="AK254" s="22">
        <v>1.1276200000000001</v>
      </c>
      <c r="AL254">
        <f t="shared" si="42"/>
        <v>18.310500000000001</v>
      </c>
      <c r="AM254">
        <f t="shared" si="43"/>
        <v>20.666878244999999</v>
      </c>
      <c r="AP254" s="9"/>
      <c r="AQ254" s="22">
        <v>0.27130100000000001</v>
      </c>
      <c r="AR254" s="22">
        <v>246.89400000000001</v>
      </c>
      <c r="AS254" s="22">
        <v>-1.9137600000000001E-2</v>
      </c>
      <c r="AT254" s="22">
        <v>244</v>
      </c>
      <c r="AU254" s="22">
        <v>0.27072099999999999</v>
      </c>
      <c r="AV254">
        <f t="shared" si="44"/>
        <v>19.137600000000003</v>
      </c>
      <c r="AW254">
        <f t="shared" si="45"/>
        <v>5.1920500176000006</v>
      </c>
      <c r="AX254" s="9"/>
      <c r="AY254" s="22">
        <v>1.12869</v>
      </c>
      <c r="AZ254" s="22">
        <v>295.79599999999999</v>
      </c>
      <c r="BA254" s="22">
        <v>-1.8289199999999999E-2</v>
      </c>
      <c r="BB254" s="22">
        <v>244</v>
      </c>
      <c r="BC254" s="22">
        <v>1.1279300000000001</v>
      </c>
      <c r="BD254">
        <f t="shared" si="46"/>
        <v>18.289199999999997</v>
      </c>
      <c r="BE254">
        <f t="shared" si="47"/>
        <v>20.642837147999998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0.266266</v>
      </c>
      <c r="H255" s="22">
        <v>51.566499999999998</v>
      </c>
      <c r="I255" s="22">
        <v>-1.91711E-2</v>
      </c>
      <c r="J255" s="22">
        <v>245</v>
      </c>
      <c r="K255" s="22">
        <v>0.26590000000000003</v>
      </c>
      <c r="L255">
        <f t="shared" si="36"/>
        <v>19.171099999999999</v>
      </c>
      <c r="M255">
        <f t="shared" si="37"/>
        <v>5.1046121125999999</v>
      </c>
      <c r="N255" s="9"/>
      <c r="O255" s="22">
        <v>1.1337299999999999</v>
      </c>
      <c r="P255" s="22">
        <v>100.393</v>
      </c>
      <c r="Q255" s="22">
        <v>-1.8304399999999998E-2</v>
      </c>
      <c r="R255" s="22">
        <v>245</v>
      </c>
      <c r="S255" s="22">
        <v>1.1331199999999999</v>
      </c>
      <c r="T255">
        <f t="shared" si="38"/>
        <v>18.304399999999998</v>
      </c>
      <c r="U255">
        <f t="shared" si="39"/>
        <v>20.752247411999996</v>
      </c>
      <c r="X255" s="9"/>
      <c r="Y255" s="22">
        <v>0.266266</v>
      </c>
      <c r="Z255" s="22">
        <v>149.33600000000001</v>
      </c>
      <c r="AA255" s="22">
        <v>-1.91589E-2</v>
      </c>
      <c r="AB255" s="22">
        <v>245</v>
      </c>
      <c r="AC255" s="22">
        <v>0.26577800000000001</v>
      </c>
      <c r="AD255">
        <f t="shared" si="40"/>
        <v>19.158899999999999</v>
      </c>
      <c r="AE255">
        <f t="shared" si="41"/>
        <v>5.1013636674000002</v>
      </c>
      <c r="AF255" s="9"/>
      <c r="AG255" s="22">
        <v>1.1337299999999999</v>
      </c>
      <c r="AH255" s="22">
        <v>198.13499999999999</v>
      </c>
      <c r="AI255" s="22">
        <v>-1.8304399999999998E-2</v>
      </c>
      <c r="AJ255" s="22">
        <v>245</v>
      </c>
      <c r="AK255" s="22">
        <v>1.1322000000000001</v>
      </c>
      <c r="AL255">
        <f t="shared" si="42"/>
        <v>18.304399999999998</v>
      </c>
      <c r="AM255">
        <f t="shared" si="43"/>
        <v>20.752247411999996</v>
      </c>
      <c r="AP255" s="9"/>
      <c r="AQ255" s="22">
        <v>0.266266</v>
      </c>
      <c r="AR255" s="22">
        <v>246.904</v>
      </c>
      <c r="AS255" s="22">
        <v>-1.9137600000000001E-2</v>
      </c>
      <c r="AT255" s="22">
        <v>245</v>
      </c>
      <c r="AU255" s="22">
        <v>0.265625</v>
      </c>
      <c r="AV255">
        <f t="shared" si="44"/>
        <v>19.137600000000003</v>
      </c>
      <c r="AW255">
        <f t="shared" si="45"/>
        <v>5.0956922016000004</v>
      </c>
      <c r="AX255" s="9"/>
      <c r="AY255" s="22">
        <v>1.1337299999999999</v>
      </c>
      <c r="AZ255" s="22">
        <v>295.80599999999998</v>
      </c>
      <c r="BA255" s="22">
        <v>-1.82831E-2</v>
      </c>
      <c r="BB255" s="22">
        <v>245</v>
      </c>
      <c r="BC255" s="22">
        <v>1.1318999999999999</v>
      </c>
      <c r="BD255">
        <f t="shared" si="46"/>
        <v>18.283100000000001</v>
      </c>
      <c r="BE255">
        <f t="shared" si="47"/>
        <v>20.728098963000001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0.26123000000000002</v>
      </c>
      <c r="H256" s="22">
        <v>51.576599999999999</v>
      </c>
      <c r="I256" s="22">
        <v>-1.9174199999999999E-2</v>
      </c>
      <c r="J256" s="22">
        <v>246</v>
      </c>
      <c r="K256" s="22">
        <v>0.26043699999999997</v>
      </c>
      <c r="L256">
        <f t="shared" si="36"/>
        <v>19.174199999999999</v>
      </c>
      <c r="M256">
        <f t="shared" si="37"/>
        <v>5.0088762659999997</v>
      </c>
      <c r="N256" s="9"/>
      <c r="O256" s="22">
        <v>1.13876</v>
      </c>
      <c r="P256" s="22">
        <v>100.40300000000001</v>
      </c>
      <c r="Q256" s="22">
        <v>-1.8301399999999999E-2</v>
      </c>
      <c r="R256" s="22">
        <v>246</v>
      </c>
      <c r="S256" s="22">
        <v>1.1379999999999999</v>
      </c>
      <c r="T256">
        <f t="shared" si="38"/>
        <v>18.301399999999997</v>
      </c>
      <c r="U256">
        <f t="shared" si="39"/>
        <v>20.840902263999997</v>
      </c>
      <c r="X256" s="9"/>
      <c r="Y256" s="22">
        <v>0.26123000000000002</v>
      </c>
      <c r="Z256" s="22">
        <v>149.346</v>
      </c>
      <c r="AA256" s="22">
        <v>-1.9165000000000001E-2</v>
      </c>
      <c r="AB256" s="22">
        <v>246</v>
      </c>
      <c r="AC256" s="22">
        <v>0.26077299999999998</v>
      </c>
      <c r="AD256">
        <f t="shared" si="40"/>
        <v>19.165000000000003</v>
      </c>
      <c r="AE256">
        <f t="shared" si="41"/>
        <v>5.0064729500000009</v>
      </c>
      <c r="AF256" s="9"/>
      <c r="AG256" s="22">
        <v>1.13876</v>
      </c>
      <c r="AH256" s="22">
        <v>198.14500000000001</v>
      </c>
      <c r="AI256" s="22">
        <v>-1.82983E-2</v>
      </c>
      <c r="AJ256" s="22">
        <v>246</v>
      </c>
      <c r="AK256" s="22">
        <v>1.1370800000000001</v>
      </c>
      <c r="AL256">
        <f t="shared" si="42"/>
        <v>18.298300000000001</v>
      </c>
      <c r="AM256">
        <f t="shared" si="43"/>
        <v>20.837372108</v>
      </c>
      <c r="AP256" s="9"/>
      <c r="AQ256" s="22">
        <v>0.26123000000000002</v>
      </c>
      <c r="AR256" s="22">
        <v>246.91399999999999</v>
      </c>
      <c r="AS256" s="22">
        <v>-1.9146699999999999E-2</v>
      </c>
      <c r="AT256" s="22">
        <v>246</v>
      </c>
      <c r="AU256" s="22">
        <v>0.26089499999999999</v>
      </c>
      <c r="AV256">
        <f t="shared" si="44"/>
        <v>19.146699999999999</v>
      </c>
      <c r="AW256">
        <f t="shared" si="45"/>
        <v>5.0016924410000003</v>
      </c>
      <c r="AX256" s="9"/>
      <c r="AY256" s="22">
        <v>1.13876</v>
      </c>
      <c r="AZ256" s="22">
        <v>295.81599999999997</v>
      </c>
      <c r="BA256" s="22">
        <v>-1.8277000000000002E-2</v>
      </c>
      <c r="BB256" s="22">
        <v>246</v>
      </c>
      <c r="BC256" s="22">
        <v>1.1379999999999999</v>
      </c>
      <c r="BD256">
        <f t="shared" si="46"/>
        <v>18.277000000000001</v>
      </c>
      <c r="BE256">
        <f t="shared" si="47"/>
        <v>20.813116520000001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0.25619500000000001</v>
      </c>
      <c r="H257" s="22">
        <v>51.5867</v>
      </c>
      <c r="I257" s="22">
        <v>-1.9180300000000001E-2</v>
      </c>
      <c r="J257" s="22">
        <v>247</v>
      </c>
      <c r="K257" s="22">
        <v>0.255554</v>
      </c>
      <c r="L257">
        <f t="shared" si="36"/>
        <v>19.180300000000003</v>
      </c>
      <c r="M257">
        <f t="shared" si="37"/>
        <v>4.9138969585000005</v>
      </c>
      <c r="N257" s="9"/>
      <c r="O257" s="22">
        <v>1.1437999999999999</v>
      </c>
      <c r="P257" s="22">
        <v>100.413</v>
      </c>
      <c r="Q257" s="22">
        <v>-1.82953E-2</v>
      </c>
      <c r="R257" s="22">
        <v>247</v>
      </c>
      <c r="S257" s="22">
        <v>1.1428799999999999</v>
      </c>
      <c r="T257">
        <f t="shared" si="38"/>
        <v>18.295300000000001</v>
      </c>
      <c r="U257">
        <f t="shared" si="39"/>
        <v>20.926164140000001</v>
      </c>
      <c r="X257" s="9"/>
      <c r="Y257" s="22">
        <v>0.25619500000000001</v>
      </c>
      <c r="Z257" s="22">
        <v>149.35599999999999</v>
      </c>
      <c r="AA257" s="22">
        <v>-1.91681E-2</v>
      </c>
      <c r="AB257" s="22">
        <v>247</v>
      </c>
      <c r="AC257" s="22">
        <v>0.25589000000000001</v>
      </c>
      <c r="AD257">
        <f t="shared" si="40"/>
        <v>19.168099999999999</v>
      </c>
      <c r="AE257">
        <f t="shared" si="41"/>
        <v>4.9107713794999999</v>
      </c>
      <c r="AF257" s="9"/>
      <c r="AG257" s="22">
        <v>1.1437999999999999</v>
      </c>
      <c r="AH257" s="22">
        <v>198.155</v>
      </c>
      <c r="AI257" s="22">
        <v>-1.8292200000000002E-2</v>
      </c>
      <c r="AJ257" s="22">
        <v>247</v>
      </c>
      <c r="AK257" s="22">
        <v>1.1428799999999999</v>
      </c>
      <c r="AL257">
        <f t="shared" si="42"/>
        <v>18.292200000000001</v>
      </c>
      <c r="AM257">
        <f t="shared" si="43"/>
        <v>20.922618360000001</v>
      </c>
      <c r="AP257" s="9"/>
      <c r="AQ257" s="22">
        <v>0.25619500000000001</v>
      </c>
      <c r="AR257" s="22">
        <v>246.92400000000001</v>
      </c>
      <c r="AS257" s="22">
        <v>-1.9152800000000001E-2</v>
      </c>
      <c r="AT257" s="22">
        <v>247</v>
      </c>
      <c r="AU257" s="22">
        <v>0.25549300000000003</v>
      </c>
      <c r="AV257">
        <f t="shared" si="44"/>
        <v>19.152800000000003</v>
      </c>
      <c r="AW257">
        <f t="shared" si="45"/>
        <v>4.906851596000001</v>
      </c>
      <c r="AX257" s="9"/>
      <c r="AY257" s="22">
        <v>1.1437999999999999</v>
      </c>
      <c r="AZ257" s="22">
        <v>295.82600000000002</v>
      </c>
      <c r="BA257" s="22">
        <v>-1.8267800000000001E-2</v>
      </c>
      <c r="BB257" s="22">
        <v>247</v>
      </c>
      <c r="BC257" s="22">
        <v>1.1422699999999999</v>
      </c>
      <c r="BD257">
        <f t="shared" si="46"/>
        <v>18.267800000000001</v>
      </c>
      <c r="BE257">
        <f t="shared" si="47"/>
        <v>20.894709639999999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0.25115999999999999</v>
      </c>
      <c r="H258" s="22">
        <v>51.596699999999998</v>
      </c>
      <c r="I258" s="22">
        <v>-1.9186399999999999E-2</v>
      </c>
      <c r="J258" s="22">
        <v>248</v>
      </c>
      <c r="K258" s="22">
        <v>0.25051899999999999</v>
      </c>
      <c r="L258">
        <f t="shared" si="36"/>
        <v>19.186399999999999</v>
      </c>
      <c r="M258">
        <f t="shared" si="37"/>
        <v>4.8188562239999992</v>
      </c>
      <c r="N258" s="9"/>
      <c r="O258" s="22">
        <v>1.14883</v>
      </c>
      <c r="P258" s="22">
        <v>100.423</v>
      </c>
      <c r="Q258" s="22">
        <v>-1.82953E-2</v>
      </c>
      <c r="R258" s="22">
        <v>248</v>
      </c>
      <c r="S258" s="22">
        <v>1.14838</v>
      </c>
      <c r="T258">
        <f t="shared" si="38"/>
        <v>18.295300000000001</v>
      </c>
      <c r="U258">
        <f t="shared" si="39"/>
        <v>21.018189499000002</v>
      </c>
      <c r="X258" s="9"/>
      <c r="Y258" s="22">
        <v>0.25115999999999999</v>
      </c>
      <c r="Z258" s="22">
        <v>149.36699999999999</v>
      </c>
      <c r="AA258" s="22">
        <v>-1.9174199999999999E-2</v>
      </c>
      <c r="AB258" s="22">
        <v>248</v>
      </c>
      <c r="AC258" s="22">
        <v>0.25082399999999999</v>
      </c>
      <c r="AD258">
        <f t="shared" si="40"/>
        <v>19.174199999999999</v>
      </c>
      <c r="AE258">
        <f t="shared" si="41"/>
        <v>4.8157920719999998</v>
      </c>
      <c r="AF258" s="9"/>
      <c r="AG258" s="22">
        <v>1.14883</v>
      </c>
      <c r="AH258" s="22">
        <v>198.16499999999999</v>
      </c>
      <c r="AI258" s="22">
        <v>-1.8289199999999999E-2</v>
      </c>
      <c r="AJ258" s="22">
        <v>248</v>
      </c>
      <c r="AK258" s="22">
        <v>1.1474599999999999</v>
      </c>
      <c r="AL258">
        <f t="shared" si="42"/>
        <v>18.289199999999997</v>
      </c>
      <c r="AM258">
        <f t="shared" si="43"/>
        <v>21.011181635999996</v>
      </c>
      <c r="AP258" s="9"/>
      <c r="AQ258" s="22">
        <v>0.25115999999999999</v>
      </c>
      <c r="AR258" s="22">
        <v>246.934</v>
      </c>
      <c r="AS258" s="22">
        <v>-1.91589E-2</v>
      </c>
      <c r="AT258" s="22">
        <v>248</v>
      </c>
      <c r="AU258" s="22">
        <v>0.25067099999999998</v>
      </c>
      <c r="AV258">
        <f t="shared" si="44"/>
        <v>19.158899999999999</v>
      </c>
      <c r="AW258">
        <f t="shared" si="45"/>
        <v>4.8119493239999995</v>
      </c>
      <c r="AX258" s="9"/>
      <c r="AY258" s="22">
        <v>1.14883</v>
      </c>
      <c r="AZ258" s="22">
        <v>295.83600000000001</v>
      </c>
      <c r="BA258" s="22">
        <v>-1.8261699999999999E-2</v>
      </c>
      <c r="BB258" s="22">
        <v>248</v>
      </c>
      <c r="BC258" s="22">
        <v>1.1474599999999999</v>
      </c>
      <c r="BD258">
        <f t="shared" si="46"/>
        <v>18.261699999999998</v>
      </c>
      <c r="BE258">
        <f t="shared" si="47"/>
        <v>20.979588810999999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0.24612400000000001</v>
      </c>
      <c r="H259" s="22">
        <v>51.6068</v>
      </c>
      <c r="I259" s="22">
        <v>-1.9192500000000001E-2</v>
      </c>
      <c r="J259" s="22">
        <v>249</v>
      </c>
      <c r="K259" s="22">
        <v>0.24560499999999999</v>
      </c>
      <c r="L259">
        <f t="shared" si="36"/>
        <v>19.192500000000003</v>
      </c>
      <c r="M259">
        <f t="shared" si="37"/>
        <v>4.7237348700000013</v>
      </c>
      <c r="N259" s="9"/>
      <c r="O259" s="22">
        <v>1.15387</v>
      </c>
      <c r="P259" s="22">
        <v>100.43300000000001</v>
      </c>
      <c r="Q259" s="22">
        <v>-1.8289199999999999E-2</v>
      </c>
      <c r="R259" s="22">
        <v>249</v>
      </c>
      <c r="S259" s="22">
        <v>1.15326</v>
      </c>
      <c r="T259">
        <f t="shared" si="38"/>
        <v>18.289199999999997</v>
      </c>
      <c r="U259">
        <f t="shared" si="39"/>
        <v>21.103359203999997</v>
      </c>
      <c r="X259" s="9"/>
      <c r="Y259" s="22">
        <v>0.24612400000000001</v>
      </c>
      <c r="Z259" s="22">
        <v>149.37700000000001</v>
      </c>
      <c r="AA259" s="22">
        <v>-1.9177199999999998E-2</v>
      </c>
      <c r="AB259" s="22">
        <v>249</v>
      </c>
      <c r="AC259" s="22">
        <v>0.24551400000000001</v>
      </c>
      <c r="AD259">
        <f t="shared" si="40"/>
        <v>19.177199999999999</v>
      </c>
      <c r="AE259">
        <f t="shared" si="41"/>
        <v>4.7199691727999999</v>
      </c>
      <c r="AF259" s="9"/>
      <c r="AG259" s="22">
        <v>1.15387</v>
      </c>
      <c r="AH259" s="22">
        <v>198.17500000000001</v>
      </c>
      <c r="AI259" s="22">
        <v>-1.82861E-2</v>
      </c>
      <c r="AJ259" s="22">
        <v>249</v>
      </c>
      <c r="AK259" s="22">
        <v>1.15265</v>
      </c>
      <c r="AL259">
        <f t="shared" si="42"/>
        <v>18.286100000000001</v>
      </c>
      <c r="AM259">
        <f t="shared" si="43"/>
        <v>21.099782207000001</v>
      </c>
      <c r="AP259" s="9"/>
      <c r="AQ259" s="22">
        <v>0.24612400000000001</v>
      </c>
      <c r="AR259" s="22">
        <v>246.94399999999999</v>
      </c>
      <c r="AS259" s="22">
        <v>-1.9165000000000001E-2</v>
      </c>
      <c r="AT259" s="22">
        <v>249</v>
      </c>
      <c r="AU259" s="22">
        <v>0.245422</v>
      </c>
      <c r="AV259">
        <f t="shared" si="44"/>
        <v>19.165000000000003</v>
      </c>
      <c r="AW259">
        <f t="shared" si="45"/>
        <v>4.716966460000001</v>
      </c>
      <c r="AX259" s="9"/>
      <c r="AY259" s="22">
        <v>1.15387</v>
      </c>
      <c r="AZ259" s="22">
        <v>295.846</v>
      </c>
      <c r="BA259" s="22">
        <v>-1.82556E-2</v>
      </c>
      <c r="BB259" s="22">
        <v>249</v>
      </c>
      <c r="BC259" s="22">
        <v>1.15326</v>
      </c>
      <c r="BD259">
        <f t="shared" si="46"/>
        <v>18.255600000000001</v>
      </c>
      <c r="BE259">
        <f t="shared" si="47"/>
        <v>21.064589172000002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0.241089</v>
      </c>
      <c r="H260" s="22">
        <v>51.616900000000001</v>
      </c>
      <c r="I260" s="22">
        <v>-1.91986E-2</v>
      </c>
      <c r="J260" s="22">
        <v>250</v>
      </c>
      <c r="K260" s="22">
        <v>0.24026500000000001</v>
      </c>
      <c r="L260">
        <f t="shared" si="36"/>
        <v>19.198599999999999</v>
      </c>
      <c r="M260">
        <f t="shared" si="37"/>
        <v>4.6285712753999997</v>
      </c>
      <c r="N260" s="9"/>
      <c r="O260" s="22">
        <v>1.1589100000000001</v>
      </c>
      <c r="P260" s="22">
        <v>100.443</v>
      </c>
      <c r="Q260" s="22">
        <v>-1.82861E-2</v>
      </c>
      <c r="R260" s="22">
        <v>250</v>
      </c>
      <c r="S260" s="22">
        <v>1.15784</v>
      </c>
      <c r="T260">
        <f t="shared" si="38"/>
        <v>18.286100000000001</v>
      </c>
      <c r="U260">
        <f t="shared" si="39"/>
        <v>21.191944151000005</v>
      </c>
      <c r="X260" s="9"/>
      <c r="Y260" s="22">
        <v>0.241089</v>
      </c>
      <c r="Z260" s="22">
        <v>149.387</v>
      </c>
      <c r="AA260" s="22">
        <v>-1.91833E-2</v>
      </c>
      <c r="AB260" s="22">
        <v>250</v>
      </c>
      <c r="AC260" s="22">
        <v>0.23974599999999999</v>
      </c>
      <c r="AD260">
        <f t="shared" si="40"/>
        <v>19.183299999999999</v>
      </c>
      <c r="AE260">
        <f t="shared" si="41"/>
        <v>4.6248826136999996</v>
      </c>
      <c r="AF260" s="9"/>
      <c r="AG260" s="22">
        <v>1.1589100000000001</v>
      </c>
      <c r="AH260" s="22">
        <v>198.185</v>
      </c>
      <c r="AI260" s="22">
        <v>-1.8280000000000001E-2</v>
      </c>
      <c r="AJ260" s="22">
        <v>250</v>
      </c>
      <c r="AK260" s="22">
        <v>1.1581399999999999</v>
      </c>
      <c r="AL260">
        <f t="shared" si="42"/>
        <v>18.28</v>
      </c>
      <c r="AM260">
        <f t="shared" si="43"/>
        <v>21.184874800000003</v>
      </c>
      <c r="AP260" s="9"/>
      <c r="AQ260" s="22">
        <v>0.241089</v>
      </c>
      <c r="AR260" s="22">
        <v>246.95500000000001</v>
      </c>
      <c r="AS260" s="22">
        <v>-1.91711E-2</v>
      </c>
      <c r="AT260" s="22">
        <v>250</v>
      </c>
      <c r="AU260" s="22">
        <v>0.24069199999999999</v>
      </c>
      <c r="AV260">
        <f t="shared" si="44"/>
        <v>19.171099999999999</v>
      </c>
      <c r="AW260">
        <f t="shared" si="45"/>
        <v>4.6219413279000001</v>
      </c>
      <c r="AX260" s="9"/>
      <c r="AY260" s="22">
        <v>1.1589100000000001</v>
      </c>
      <c r="AZ260" s="22">
        <v>295.85599999999999</v>
      </c>
      <c r="BA260" s="22">
        <v>-1.8249499999999998E-2</v>
      </c>
      <c r="BB260" s="22">
        <v>250</v>
      </c>
      <c r="BC260" s="22">
        <v>1.1581399999999999</v>
      </c>
      <c r="BD260">
        <f t="shared" si="46"/>
        <v>18.249499999999998</v>
      </c>
      <c r="BE260">
        <f t="shared" si="47"/>
        <v>21.149528045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0.23605300000000001</v>
      </c>
      <c r="H261" s="22">
        <v>51.627000000000002</v>
      </c>
      <c r="I261" s="22">
        <v>-1.9201699999999999E-2</v>
      </c>
      <c r="J261" s="22">
        <v>251</v>
      </c>
      <c r="K261" s="22">
        <v>0.23513800000000001</v>
      </c>
      <c r="L261">
        <f t="shared" si="36"/>
        <v>19.201699999999999</v>
      </c>
      <c r="M261">
        <f t="shared" si="37"/>
        <v>4.5326188901000002</v>
      </c>
      <c r="N261" s="9"/>
      <c r="O261" s="22">
        <v>1.16394</v>
      </c>
      <c r="P261" s="22">
        <v>100.453</v>
      </c>
      <c r="Q261" s="22">
        <v>-1.8280000000000001E-2</v>
      </c>
      <c r="R261" s="22">
        <v>251</v>
      </c>
      <c r="S261" s="22">
        <v>1.16364</v>
      </c>
      <c r="T261">
        <f t="shared" si="38"/>
        <v>18.28</v>
      </c>
      <c r="U261">
        <f t="shared" si="39"/>
        <v>21.276823200000003</v>
      </c>
      <c r="X261" s="9"/>
      <c r="Y261" s="22">
        <v>0.23605300000000001</v>
      </c>
      <c r="Z261" s="22">
        <v>149.39699999999999</v>
      </c>
      <c r="AA261" s="22">
        <v>-1.91833E-2</v>
      </c>
      <c r="AB261" s="22">
        <v>251</v>
      </c>
      <c r="AC261" s="22">
        <v>0.23519899999999999</v>
      </c>
      <c r="AD261">
        <f t="shared" si="40"/>
        <v>19.183299999999999</v>
      </c>
      <c r="AE261">
        <f t="shared" si="41"/>
        <v>4.5282755148999998</v>
      </c>
      <c r="AF261" s="9"/>
      <c r="AG261" s="22">
        <v>1.16394</v>
      </c>
      <c r="AH261" s="22">
        <v>198.19499999999999</v>
      </c>
      <c r="AI261" s="22">
        <v>-1.8273899999999999E-2</v>
      </c>
      <c r="AJ261" s="22">
        <v>251</v>
      </c>
      <c r="AK261" s="22">
        <v>1.1630199999999999</v>
      </c>
      <c r="AL261">
        <f t="shared" si="42"/>
        <v>18.273899999999998</v>
      </c>
      <c r="AM261">
        <f t="shared" si="43"/>
        <v>21.269723165999995</v>
      </c>
      <c r="AP261" s="9"/>
      <c r="AQ261" s="22">
        <v>0.23605300000000001</v>
      </c>
      <c r="AR261" s="22">
        <v>246.965</v>
      </c>
      <c r="AS261" s="22">
        <v>-1.9177199999999998E-2</v>
      </c>
      <c r="AT261" s="22">
        <v>251</v>
      </c>
      <c r="AU261" s="22">
        <v>0.23516799999999999</v>
      </c>
      <c r="AV261">
        <f t="shared" si="44"/>
        <v>19.177199999999999</v>
      </c>
      <c r="AW261">
        <f t="shared" si="45"/>
        <v>4.5268355916000003</v>
      </c>
      <c r="AX261" s="9"/>
      <c r="AY261" s="22">
        <v>1.16394</v>
      </c>
      <c r="AZ261" s="22">
        <v>295.86599999999999</v>
      </c>
      <c r="BA261" s="22">
        <v>-1.82434E-2</v>
      </c>
      <c r="BB261" s="22">
        <v>251</v>
      </c>
      <c r="BC261" s="22">
        <v>1.16394</v>
      </c>
      <c r="BD261">
        <f t="shared" si="46"/>
        <v>18.243400000000001</v>
      </c>
      <c r="BE261">
        <f t="shared" si="47"/>
        <v>21.234222996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0.231018</v>
      </c>
      <c r="H262" s="22">
        <v>51.637</v>
      </c>
      <c r="I262" s="22">
        <v>-1.9204700000000002E-2</v>
      </c>
      <c r="J262" s="22">
        <v>252</v>
      </c>
      <c r="K262" s="22">
        <v>0.230652</v>
      </c>
      <c r="L262">
        <f t="shared" si="36"/>
        <v>19.204700000000003</v>
      </c>
      <c r="M262">
        <f t="shared" si="37"/>
        <v>4.4366313846000009</v>
      </c>
      <c r="N262" s="9"/>
      <c r="O262" s="22">
        <v>1.1689799999999999</v>
      </c>
      <c r="P262" s="22">
        <v>100.46299999999999</v>
      </c>
      <c r="Q262" s="22">
        <v>-1.82709E-2</v>
      </c>
      <c r="R262" s="22">
        <v>252</v>
      </c>
      <c r="S262" s="22">
        <v>1.16852</v>
      </c>
      <c r="T262">
        <f t="shared" si="38"/>
        <v>18.270900000000001</v>
      </c>
      <c r="U262">
        <f t="shared" si="39"/>
        <v>21.358316681999998</v>
      </c>
      <c r="X262" s="9"/>
      <c r="Y262" s="22">
        <v>0.231018</v>
      </c>
      <c r="Z262" s="22">
        <v>149.40700000000001</v>
      </c>
      <c r="AA262" s="22">
        <v>-1.9189500000000002E-2</v>
      </c>
      <c r="AB262" s="22">
        <v>252</v>
      </c>
      <c r="AC262" s="22">
        <v>0.230408</v>
      </c>
      <c r="AD262">
        <f t="shared" si="40"/>
        <v>19.189500000000002</v>
      </c>
      <c r="AE262">
        <f t="shared" si="41"/>
        <v>4.4331199110000004</v>
      </c>
      <c r="AF262" s="9"/>
      <c r="AG262" s="22">
        <v>1.1689799999999999</v>
      </c>
      <c r="AH262" s="22">
        <v>198.20500000000001</v>
      </c>
      <c r="AI262" s="22">
        <v>-1.8264800000000001E-2</v>
      </c>
      <c r="AJ262" s="22">
        <v>252</v>
      </c>
      <c r="AK262" s="22">
        <v>1.1673</v>
      </c>
      <c r="AL262">
        <f t="shared" si="42"/>
        <v>18.264800000000001</v>
      </c>
      <c r="AM262">
        <f t="shared" si="43"/>
        <v>21.351185904000001</v>
      </c>
      <c r="AP262" s="9"/>
      <c r="AQ262" s="22">
        <v>0.231018</v>
      </c>
      <c r="AR262" s="22">
        <v>246.97499999999999</v>
      </c>
      <c r="AS262" s="22">
        <v>-1.91833E-2</v>
      </c>
      <c r="AT262" s="22">
        <v>252</v>
      </c>
      <c r="AU262" s="22">
        <v>0.23028599999999999</v>
      </c>
      <c r="AV262">
        <f t="shared" si="44"/>
        <v>19.183299999999999</v>
      </c>
      <c r="AW262">
        <f t="shared" si="45"/>
        <v>4.4316875994</v>
      </c>
      <c r="AX262" s="9"/>
      <c r="AY262" s="22">
        <v>1.1689799999999999</v>
      </c>
      <c r="AZ262" s="22">
        <v>295.87599999999998</v>
      </c>
      <c r="BA262" s="22">
        <v>-1.82404E-2</v>
      </c>
      <c r="BB262" s="22">
        <v>252</v>
      </c>
      <c r="BC262" s="22">
        <v>1.1673</v>
      </c>
      <c r="BD262">
        <f t="shared" si="46"/>
        <v>18.240400000000001</v>
      </c>
      <c r="BE262">
        <f t="shared" si="47"/>
        <v>21.322662791999999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0.22598299999999999</v>
      </c>
      <c r="H263" s="22">
        <v>51.647100000000002</v>
      </c>
      <c r="I263" s="22">
        <v>-1.92108E-2</v>
      </c>
      <c r="J263" s="22">
        <v>253</v>
      </c>
      <c r="K263" s="22">
        <v>0.22561600000000001</v>
      </c>
      <c r="L263">
        <f t="shared" si="36"/>
        <v>19.210799999999999</v>
      </c>
      <c r="M263">
        <f t="shared" si="37"/>
        <v>4.3413142163999998</v>
      </c>
      <c r="N263" s="9"/>
      <c r="O263" s="22">
        <v>1.17401</v>
      </c>
      <c r="P263" s="22">
        <v>100.474</v>
      </c>
      <c r="Q263" s="22">
        <v>-1.8264800000000001E-2</v>
      </c>
      <c r="R263" s="22">
        <v>253</v>
      </c>
      <c r="S263" s="22">
        <v>1.17279</v>
      </c>
      <c r="T263">
        <f t="shared" si="38"/>
        <v>18.264800000000001</v>
      </c>
      <c r="U263">
        <f t="shared" si="39"/>
        <v>21.443057848000002</v>
      </c>
      <c r="X263" s="9"/>
      <c r="Y263" s="22">
        <v>0.22598299999999999</v>
      </c>
      <c r="Z263" s="22">
        <v>149.417</v>
      </c>
      <c r="AA263" s="22">
        <v>-1.9192500000000001E-2</v>
      </c>
      <c r="AB263" s="22">
        <v>253</v>
      </c>
      <c r="AC263" s="22">
        <v>0.22525000000000001</v>
      </c>
      <c r="AD263">
        <f t="shared" si="40"/>
        <v>19.192500000000003</v>
      </c>
      <c r="AE263">
        <f t="shared" si="41"/>
        <v>4.3371787275000004</v>
      </c>
      <c r="AF263" s="9"/>
      <c r="AG263" s="22">
        <v>1.17401</v>
      </c>
      <c r="AH263" s="22">
        <v>198.215</v>
      </c>
      <c r="AI263" s="22">
        <v>-1.8258699999999999E-2</v>
      </c>
      <c r="AJ263" s="22">
        <v>253</v>
      </c>
      <c r="AK263" s="22">
        <v>1.1734</v>
      </c>
      <c r="AL263">
        <f t="shared" si="42"/>
        <v>18.258699999999997</v>
      </c>
      <c r="AM263">
        <f t="shared" si="43"/>
        <v>21.435896386999996</v>
      </c>
      <c r="AP263" s="9"/>
      <c r="AQ263" s="22">
        <v>0.22598299999999999</v>
      </c>
      <c r="AR263" s="22">
        <v>246.98500000000001</v>
      </c>
      <c r="AS263" s="22">
        <v>-1.91833E-2</v>
      </c>
      <c r="AT263" s="22">
        <v>253</v>
      </c>
      <c r="AU263" s="22">
        <v>0.22531100000000001</v>
      </c>
      <c r="AV263">
        <f t="shared" si="44"/>
        <v>19.183299999999999</v>
      </c>
      <c r="AW263">
        <f t="shared" si="45"/>
        <v>4.3350996838999993</v>
      </c>
      <c r="AX263" s="9"/>
      <c r="AY263" s="22">
        <v>1.17401</v>
      </c>
      <c r="AZ263" s="22">
        <v>295.88600000000002</v>
      </c>
      <c r="BA263" s="22">
        <v>-1.82404E-2</v>
      </c>
      <c r="BB263" s="22">
        <v>253</v>
      </c>
      <c r="BC263" s="22">
        <v>1.1734</v>
      </c>
      <c r="BD263">
        <f t="shared" si="46"/>
        <v>18.240400000000001</v>
      </c>
      <c r="BE263">
        <f t="shared" si="47"/>
        <v>21.414412004000003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0.220947</v>
      </c>
      <c r="H264" s="22">
        <v>51.657200000000003</v>
      </c>
      <c r="I264" s="22">
        <v>-1.9213899999999999E-2</v>
      </c>
      <c r="J264" s="22">
        <v>254</v>
      </c>
      <c r="K264" s="22">
        <v>0.220276</v>
      </c>
      <c r="L264">
        <f t="shared" si="36"/>
        <v>19.213899999999999</v>
      </c>
      <c r="M264">
        <f t="shared" si="37"/>
        <v>4.2452535632999995</v>
      </c>
      <c r="N264" s="9"/>
      <c r="O264" s="22">
        <v>1.1790499999999999</v>
      </c>
      <c r="P264" s="22">
        <v>100.48399999999999</v>
      </c>
      <c r="Q264" s="22">
        <v>-1.8261699999999999E-2</v>
      </c>
      <c r="R264" s="22">
        <v>254</v>
      </c>
      <c r="S264" s="22">
        <v>1.17859</v>
      </c>
      <c r="T264">
        <f t="shared" si="38"/>
        <v>18.261699999999998</v>
      </c>
      <c r="U264">
        <f t="shared" si="39"/>
        <v>21.531457384999996</v>
      </c>
      <c r="X264" s="9"/>
      <c r="Y264" s="22">
        <v>0.220947</v>
      </c>
      <c r="Z264" s="22">
        <v>149.42699999999999</v>
      </c>
      <c r="AA264" s="22">
        <v>-1.91986E-2</v>
      </c>
      <c r="AB264" s="22">
        <v>254</v>
      </c>
      <c r="AC264" s="22">
        <v>0.22033700000000001</v>
      </c>
      <c r="AD264">
        <f t="shared" si="40"/>
        <v>19.198599999999999</v>
      </c>
      <c r="AE264">
        <f t="shared" si="41"/>
        <v>4.2418730741999999</v>
      </c>
      <c r="AF264" s="9"/>
      <c r="AG264" s="22">
        <v>1.1790499999999999</v>
      </c>
      <c r="AH264" s="22">
        <v>198.22499999999999</v>
      </c>
      <c r="AI264" s="22">
        <v>-1.8249499999999998E-2</v>
      </c>
      <c r="AJ264" s="22">
        <v>254</v>
      </c>
      <c r="AK264" s="22">
        <v>1.17798</v>
      </c>
      <c r="AL264">
        <f t="shared" si="42"/>
        <v>18.249499999999998</v>
      </c>
      <c r="AM264">
        <f t="shared" si="43"/>
        <v>21.517072974999994</v>
      </c>
      <c r="AP264" s="9"/>
      <c r="AQ264" s="22">
        <v>0.220947</v>
      </c>
      <c r="AR264" s="22">
        <v>246.995</v>
      </c>
      <c r="AS264" s="22">
        <v>-1.9189500000000002E-2</v>
      </c>
      <c r="AT264" s="22">
        <v>254</v>
      </c>
      <c r="AU264" s="22">
        <v>0.219971</v>
      </c>
      <c r="AV264">
        <f t="shared" si="44"/>
        <v>19.189500000000002</v>
      </c>
      <c r="AW264">
        <f t="shared" si="45"/>
        <v>4.2398624565000009</v>
      </c>
      <c r="AX264" s="9"/>
      <c r="AY264" s="22">
        <v>1.1790499999999999</v>
      </c>
      <c r="AZ264" s="22">
        <v>295.89600000000002</v>
      </c>
      <c r="BA264" s="22">
        <v>-1.8237300000000001E-2</v>
      </c>
      <c r="BB264" s="22">
        <v>254</v>
      </c>
      <c r="BC264" s="22">
        <v>1.17798</v>
      </c>
      <c r="BD264">
        <f t="shared" si="46"/>
        <v>18.237300000000001</v>
      </c>
      <c r="BE264">
        <f t="shared" si="47"/>
        <v>21.502688565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0.21591199999999999</v>
      </c>
      <c r="H265" s="22">
        <v>51.667200000000001</v>
      </c>
      <c r="I265" s="22">
        <v>-1.9220000000000001E-2</v>
      </c>
      <c r="J265" s="22">
        <v>255</v>
      </c>
      <c r="K265" s="22">
        <v>0.21527099999999999</v>
      </c>
      <c r="L265">
        <f t="shared" si="36"/>
        <v>19.220000000000002</v>
      </c>
      <c r="M265">
        <f t="shared" si="37"/>
        <v>4.14982864</v>
      </c>
      <c r="N265" s="9"/>
      <c r="O265" s="22">
        <v>1.18408</v>
      </c>
      <c r="P265" s="22">
        <v>100.494</v>
      </c>
      <c r="Q265" s="22">
        <v>-1.8258699999999999E-2</v>
      </c>
      <c r="R265" s="22">
        <v>255</v>
      </c>
      <c r="S265" s="22">
        <v>1.1837800000000001</v>
      </c>
      <c r="T265">
        <f t="shared" si="38"/>
        <v>18.258699999999997</v>
      </c>
      <c r="U265">
        <f t="shared" si="39"/>
        <v>21.619761495999999</v>
      </c>
      <c r="X265" s="9"/>
      <c r="Y265" s="22">
        <v>0.21591199999999999</v>
      </c>
      <c r="Z265" s="22">
        <v>149.43700000000001</v>
      </c>
      <c r="AA265" s="22">
        <v>-1.9204700000000002E-2</v>
      </c>
      <c r="AB265" s="22">
        <v>255</v>
      </c>
      <c r="AC265" s="22">
        <v>0.21517900000000001</v>
      </c>
      <c r="AD265">
        <f t="shared" si="40"/>
        <v>19.204700000000003</v>
      </c>
      <c r="AE265">
        <f t="shared" si="41"/>
        <v>4.1465251864000008</v>
      </c>
      <c r="AF265" s="9"/>
      <c r="AG265" s="22">
        <v>1.18408</v>
      </c>
      <c r="AH265" s="22">
        <v>198.23500000000001</v>
      </c>
      <c r="AI265" s="22">
        <v>-1.82434E-2</v>
      </c>
      <c r="AJ265" s="22">
        <v>255</v>
      </c>
      <c r="AK265" s="22">
        <v>1.18347</v>
      </c>
      <c r="AL265">
        <f t="shared" si="42"/>
        <v>18.243400000000001</v>
      </c>
      <c r="AM265">
        <f t="shared" si="43"/>
        <v>21.601645072</v>
      </c>
      <c r="AP265" s="9"/>
      <c r="AQ265" s="22">
        <v>0.21591199999999999</v>
      </c>
      <c r="AR265" s="22">
        <v>247.005</v>
      </c>
      <c r="AS265" s="22">
        <v>-1.91986E-2</v>
      </c>
      <c r="AT265" s="22">
        <v>255</v>
      </c>
      <c r="AU265" s="22">
        <v>0.215424</v>
      </c>
      <c r="AV265">
        <f t="shared" si="44"/>
        <v>19.198599999999999</v>
      </c>
      <c r="AW265">
        <f t="shared" si="45"/>
        <v>4.1452081231999998</v>
      </c>
      <c r="AX265" s="9"/>
      <c r="AY265" s="22">
        <v>1.18408</v>
      </c>
      <c r="AZ265" s="22">
        <v>295.90600000000001</v>
      </c>
      <c r="BA265" s="22">
        <v>-1.8231199999999999E-2</v>
      </c>
      <c r="BB265" s="22">
        <v>255</v>
      </c>
      <c r="BC265" s="22">
        <v>1.18286</v>
      </c>
      <c r="BD265">
        <f t="shared" si="46"/>
        <v>18.231200000000001</v>
      </c>
      <c r="BE265">
        <f t="shared" si="47"/>
        <v>21.587199296000001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0.21087600000000001</v>
      </c>
      <c r="H266" s="22">
        <v>51.677300000000002</v>
      </c>
      <c r="I266" s="22">
        <v>-1.9223000000000001E-2</v>
      </c>
      <c r="J266" s="22">
        <v>256</v>
      </c>
      <c r="K266" s="22">
        <v>0.210205</v>
      </c>
      <c r="L266">
        <f t="shared" si="36"/>
        <v>19.222999999999999</v>
      </c>
      <c r="M266">
        <f t="shared" si="37"/>
        <v>4.0536693479999997</v>
      </c>
      <c r="N266" s="9"/>
      <c r="O266" s="22">
        <v>1.18912</v>
      </c>
      <c r="P266" s="22">
        <v>100.504</v>
      </c>
      <c r="Q266" s="22">
        <v>-1.8249499999999998E-2</v>
      </c>
      <c r="R266" s="22">
        <v>256</v>
      </c>
      <c r="S266" s="22">
        <v>1.18774</v>
      </c>
      <c r="T266">
        <f t="shared" si="38"/>
        <v>18.249499999999998</v>
      </c>
      <c r="U266">
        <f t="shared" si="39"/>
        <v>21.700845439999995</v>
      </c>
      <c r="X266" s="9"/>
      <c r="Y266" s="22">
        <v>0.21087600000000001</v>
      </c>
      <c r="Z266" s="22">
        <v>149.447</v>
      </c>
      <c r="AA266" s="22">
        <v>-1.9207800000000001E-2</v>
      </c>
      <c r="AB266" s="22">
        <v>256</v>
      </c>
      <c r="AC266" s="22">
        <v>0.21029700000000001</v>
      </c>
      <c r="AD266">
        <f t="shared" si="40"/>
        <v>19.207799999999999</v>
      </c>
      <c r="AE266">
        <f t="shared" si="41"/>
        <v>4.0504640327999999</v>
      </c>
      <c r="AF266" s="9"/>
      <c r="AG266" s="22">
        <v>1.18912</v>
      </c>
      <c r="AH266" s="22">
        <v>198.24600000000001</v>
      </c>
      <c r="AI266" s="22">
        <v>-1.82404E-2</v>
      </c>
      <c r="AJ266" s="22">
        <v>256</v>
      </c>
      <c r="AK266" s="22">
        <v>1.18835</v>
      </c>
      <c r="AL266">
        <f t="shared" si="42"/>
        <v>18.240400000000001</v>
      </c>
      <c r="AM266">
        <f t="shared" si="43"/>
        <v>21.690024447999999</v>
      </c>
      <c r="AP266" s="9"/>
      <c r="AQ266" s="22">
        <v>0.21087600000000001</v>
      </c>
      <c r="AR266" s="22">
        <v>247.01499999999999</v>
      </c>
      <c r="AS266" s="22">
        <v>-1.9204700000000002E-2</v>
      </c>
      <c r="AT266" s="22">
        <v>256</v>
      </c>
      <c r="AU266" s="22">
        <v>0.210449</v>
      </c>
      <c r="AV266">
        <f t="shared" si="44"/>
        <v>19.204700000000003</v>
      </c>
      <c r="AW266">
        <f t="shared" si="45"/>
        <v>4.0498103172000004</v>
      </c>
      <c r="AX266" s="9"/>
      <c r="AY266" s="22">
        <v>1.18912</v>
      </c>
      <c r="AZ266" s="22">
        <v>295.916</v>
      </c>
      <c r="BA266" s="22">
        <v>-1.8218999999999999E-2</v>
      </c>
      <c r="BB266" s="22">
        <v>256</v>
      </c>
      <c r="BC266" s="22">
        <v>1.1874400000000001</v>
      </c>
      <c r="BD266">
        <f t="shared" si="46"/>
        <v>18.218999999999998</v>
      </c>
      <c r="BE266">
        <f t="shared" si="47"/>
        <v>21.664577279999996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0.205841</v>
      </c>
      <c r="H267" s="22">
        <v>51.687399999999997</v>
      </c>
      <c r="I267" s="22">
        <v>-1.9229099999999999E-2</v>
      </c>
      <c r="J267" s="22">
        <v>257</v>
      </c>
      <c r="K267" s="22">
        <v>0.20535300000000001</v>
      </c>
      <c r="L267">
        <f t="shared" si="36"/>
        <v>19.229099999999999</v>
      </c>
      <c r="M267">
        <f t="shared" si="37"/>
        <v>3.9581371730999999</v>
      </c>
      <c r="N267" s="9"/>
      <c r="O267" s="22">
        <v>1.19415</v>
      </c>
      <c r="P267" s="22">
        <v>100.514</v>
      </c>
      <c r="Q267" s="22">
        <v>-1.8246499999999999E-2</v>
      </c>
      <c r="R267" s="22">
        <v>257</v>
      </c>
      <c r="S267" s="22">
        <v>1.19293</v>
      </c>
      <c r="T267">
        <f t="shared" si="38"/>
        <v>18.246499999999997</v>
      </c>
      <c r="U267">
        <f t="shared" si="39"/>
        <v>21.789057974999999</v>
      </c>
      <c r="X267" s="9"/>
      <c r="Y267" s="22">
        <v>0.205841</v>
      </c>
      <c r="Z267" s="22">
        <v>149.45699999999999</v>
      </c>
      <c r="AA267" s="22">
        <v>-1.9213899999999999E-2</v>
      </c>
      <c r="AB267" s="22">
        <v>257</v>
      </c>
      <c r="AC267" s="22">
        <v>0.20504800000000001</v>
      </c>
      <c r="AD267">
        <f t="shared" si="40"/>
        <v>19.213899999999999</v>
      </c>
      <c r="AE267">
        <f t="shared" si="41"/>
        <v>3.9550083898999997</v>
      </c>
      <c r="AF267" s="9"/>
      <c r="AG267" s="22">
        <v>1.19415</v>
      </c>
      <c r="AH267" s="22">
        <v>198.256</v>
      </c>
      <c r="AI267" s="22">
        <v>-1.82404E-2</v>
      </c>
      <c r="AJ267" s="22">
        <v>257</v>
      </c>
      <c r="AK267" s="22">
        <v>1.19293</v>
      </c>
      <c r="AL267">
        <f t="shared" si="42"/>
        <v>18.240400000000001</v>
      </c>
      <c r="AM267">
        <f t="shared" si="43"/>
        <v>21.781773660000002</v>
      </c>
      <c r="AP267" s="9"/>
      <c r="AQ267" s="22">
        <v>0.205841</v>
      </c>
      <c r="AR267" s="22">
        <v>247.02500000000001</v>
      </c>
      <c r="AS267" s="22">
        <v>-1.9207800000000001E-2</v>
      </c>
      <c r="AT267" s="22">
        <v>257</v>
      </c>
      <c r="AU267" s="22">
        <v>0.20516999999999999</v>
      </c>
      <c r="AV267">
        <f t="shared" si="44"/>
        <v>19.207799999999999</v>
      </c>
      <c r="AW267">
        <f t="shared" si="45"/>
        <v>3.9537527597999995</v>
      </c>
      <c r="AX267" s="9"/>
      <c r="AY267" s="22">
        <v>1.19415</v>
      </c>
      <c r="AZ267" s="22">
        <v>295.92599999999999</v>
      </c>
      <c r="BA267" s="22">
        <v>-1.8212900000000001E-2</v>
      </c>
      <c r="BB267" s="22">
        <v>257</v>
      </c>
      <c r="BC267" s="22">
        <v>1.19293</v>
      </c>
      <c r="BD267">
        <f t="shared" si="46"/>
        <v>18.212900000000001</v>
      </c>
      <c r="BE267">
        <f t="shared" si="47"/>
        <v>21.748934535000004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0.20080600000000001</v>
      </c>
      <c r="H268" s="22">
        <v>51.697499999999998</v>
      </c>
      <c r="I268" s="22">
        <v>-1.9232200000000001E-2</v>
      </c>
      <c r="J268" s="22">
        <v>258</v>
      </c>
      <c r="K268" s="22">
        <v>0.200317</v>
      </c>
      <c r="L268">
        <f t="shared" ref="L268:L328" si="48">-I268/$F$2*1000</f>
        <v>19.232200000000002</v>
      </c>
      <c r="M268">
        <f t="shared" ref="M268:M328" si="49">L268*G268</f>
        <v>3.8619411532000005</v>
      </c>
      <c r="N268" s="9"/>
      <c r="O268" s="22">
        <v>1.19919</v>
      </c>
      <c r="P268" s="22">
        <v>100.524</v>
      </c>
      <c r="Q268" s="22">
        <v>-1.82434E-2</v>
      </c>
      <c r="R268" s="22">
        <v>258</v>
      </c>
      <c r="S268" s="22">
        <v>1.1981200000000001</v>
      </c>
      <c r="T268">
        <f t="shared" ref="T268:T328" si="50">-Q268/$F$2*1000</f>
        <v>18.243400000000001</v>
      </c>
      <c r="U268">
        <f t="shared" ref="U268:U328" si="51">T268*O268</f>
        <v>21.877302846000003</v>
      </c>
      <c r="X268" s="9"/>
      <c r="Y268" s="22">
        <v>0.20080600000000001</v>
      </c>
      <c r="Z268" s="22">
        <v>149.46700000000001</v>
      </c>
      <c r="AA268" s="22">
        <v>-1.9216899999999999E-2</v>
      </c>
      <c r="AB268" s="22">
        <v>258</v>
      </c>
      <c r="AC268" s="22">
        <v>0.20022599999999999</v>
      </c>
      <c r="AD268">
        <f t="shared" ref="AD268:AD328" si="52">-AA268/$F$2*1000</f>
        <v>19.216899999999999</v>
      </c>
      <c r="AE268">
        <f t="shared" ref="AE268:AE328" si="53">AD268*Y268</f>
        <v>3.8588688214000002</v>
      </c>
      <c r="AF268" s="9"/>
      <c r="AG268" s="22">
        <v>1.19919</v>
      </c>
      <c r="AH268" s="22">
        <v>198.26599999999999</v>
      </c>
      <c r="AI268" s="22">
        <v>-1.8234299999999998E-2</v>
      </c>
      <c r="AJ268" s="22">
        <v>258</v>
      </c>
      <c r="AK268" s="22">
        <v>1.1975100000000001</v>
      </c>
      <c r="AL268">
        <f t="shared" ref="AL268:AL328" si="54">-AI268/$F$2*1000</f>
        <v>18.234299999999998</v>
      </c>
      <c r="AM268">
        <f t="shared" ref="AM268:AM328" si="55">AL268*AG268</f>
        <v>21.866390216999996</v>
      </c>
      <c r="AP268" s="9"/>
      <c r="AQ268" s="22">
        <v>0.20080600000000001</v>
      </c>
      <c r="AR268" s="22">
        <v>247.035</v>
      </c>
      <c r="AS268" s="22">
        <v>-1.9213899999999999E-2</v>
      </c>
      <c r="AT268" s="22">
        <v>258</v>
      </c>
      <c r="AU268" s="22">
        <v>0.20016500000000001</v>
      </c>
      <c r="AV268">
        <f t="shared" ref="AV268:AV328" si="56">-AS268/$F$2*1000</f>
        <v>19.213899999999999</v>
      </c>
      <c r="AW268">
        <f t="shared" ref="AW268:AW328" si="57">AV268*AQ268</f>
        <v>3.8582664034</v>
      </c>
      <c r="AX268" s="9"/>
      <c r="AY268" s="22">
        <v>1.19919</v>
      </c>
      <c r="AZ268" s="22">
        <v>295.93700000000001</v>
      </c>
      <c r="BA268" s="22">
        <v>-1.8209800000000002E-2</v>
      </c>
      <c r="BB268" s="22">
        <v>258</v>
      </c>
      <c r="BC268" s="22">
        <v>1.19781</v>
      </c>
      <c r="BD268">
        <f t="shared" ref="BD268:BD328" si="58">-BA268/$F$2*1000</f>
        <v>18.209800000000001</v>
      </c>
      <c r="BE268">
        <f t="shared" ref="BE268:BE328" si="59">BD268*AY268</f>
        <v>21.837010062000001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0.19577</v>
      </c>
      <c r="H269" s="22">
        <v>51.707500000000003</v>
      </c>
      <c r="I269" s="22">
        <v>-1.9235200000000001E-2</v>
      </c>
      <c r="J269" s="22">
        <v>259</v>
      </c>
      <c r="K269" s="22">
        <v>0.19519</v>
      </c>
      <c r="L269">
        <f t="shared" si="48"/>
        <v>19.235200000000003</v>
      </c>
      <c r="M269">
        <f t="shared" si="49"/>
        <v>3.7656751040000005</v>
      </c>
      <c r="N269" s="9"/>
      <c r="O269" s="22">
        <v>1.2042200000000001</v>
      </c>
      <c r="P269" s="22">
        <v>100.53400000000001</v>
      </c>
      <c r="Q269" s="22">
        <v>-1.8237300000000001E-2</v>
      </c>
      <c r="R269" s="22">
        <v>259</v>
      </c>
      <c r="S269" s="22">
        <v>1.2036100000000001</v>
      </c>
      <c r="T269">
        <f t="shared" si="50"/>
        <v>18.237300000000001</v>
      </c>
      <c r="U269">
        <f t="shared" si="51"/>
        <v>21.961721406000002</v>
      </c>
      <c r="X269" s="9"/>
      <c r="Y269" s="22">
        <v>0.19577</v>
      </c>
      <c r="Z269" s="22">
        <v>149.477</v>
      </c>
      <c r="AA269" s="22">
        <v>-1.9220000000000001E-2</v>
      </c>
      <c r="AB269" s="22">
        <v>259</v>
      </c>
      <c r="AC269" s="22">
        <v>0.195129</v>
      </c>
      <c r="AD269">
        <f t="shared" si="52"/>
        <v>19.220000000000002</v>
      </c>
      <c r="AE269">
        <f t="shared" si="53"/>
        <v>3.7626994000000002</v>
      </c>
      <c r="AF269" s="9"/>
      <c r="AG269" s="22">
        <v>1.2042200000000001</v>
      </c>
      <c r="AH269" s="22">
        <v>198.27600000000001</v>
      </c>
      <c r="AI269" s="22">
        <v>-1.8231199999999999E-2</v>
      </c>
      <c r="AJ269" s="22">
        <v>259</v>
      </c>
      <c r="AK269" s="22">
        <v>1.2039200000000001</v>
      </c>
      <c r="AL269">
        <f t="shared" si="54"/>
        <v>18.231200000000001</v>
      </c>
      <c r="AM269">
        <f t="shared" si="55"/>
        <v>21.954375664000004</v>
      </c>
      <c r="AP269" s="9"/>
      <c r="AQ269" s="22">
        <v>0.19577</v>
      </c>
      <c r="AR269" s="22">
        <v>247.04499999999999</v>
      </c>
      <c r="AS269" s="22">
        <v>-1.9220000000000001E-2</v>
      </c>
      <c r="AT269" s="22">
        <v>259</v>
      </c>
      <c r="AU269" s="22">
        <v>0.19464100000000001</v>
      </c>
      <c r="AV269">
        <f t="shared" si="56"/>
        <v>19.220000000000002</v>
      </c>
      <c r="AW269">
        <f t="shared" si="57"/>
        <v>3.7626994000000002</v>
      </c>
      <c r="AX269" s="9"/>
      <c r="AY269" s="22">
        <v>1.2042200000000001</v>
      </c>
      <c r="AZ269" s="22">
        <v>295.947</v>
      </c>
      <c r="BA269" s="22">
        <v>-1.8206799999999999E-2</v>
      </c>
      <c r="BB269" s="22">
        <v>259</v>
      </c>
      <c r="BC269" s="22">
        <v>1.2033100000000001</v>
      </c>
      <c r="BD269">
        <f t="shared" si="58"/>
        <v>18.206799999999998</v>
      </c>
      <c r="BE269">
        <f t="shared" si="59"/>
        <v>21.924992695999997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0.19073499999999999</v>
      </c>
      <c r="H270" s="22">
        <v>51.717599999999997</v>
      </c>
      <c r="I270" s="22">
        <v>-1.9241299999999999E-2</v>
      </c>
      <c r="J270" s="22">
        <v>260</v>
      </c>
      <c r="K270" s="22">
        <v>0.189941</v>
      </c>
      <c r="L270">
        <f t="shared" si="48"/>
        <v>19.241299999999999</v>
      </c>
      <c r="M270">
        <f t="shared" si="49"/>
        <v>3.6699893554999994</v>
      </c>
      <c r="N270" s="9"/>
      <c r="O270" s="22">
        <v>1.20926</v>
      </c>
      <c r="P270" s="22">
        <v>100.544</v>
      </c>
      <c r="Q270" s="22">
        <v>-1.8234299999999998E-2</v>
      </c>
      <c r="R270" s="22">
        <v>260</v>
      </c>
      <c r="S270" s="22">
        <v>1.2072799999999999</v>
      </c>
      <c r="T270">
        <f t="shared" si="50"/>
        <v>18.234299999999998</v>
      </c>
      <c r="U270">
        <f t="shared" si="51"/>
        <v>22.050009617999997</v>
      </c>
      <c r="X270" s="9"/>
      <c r="Y270" s="22">
        <v>0.19073499999999999</v>
      </c>
      <c r="Z270" s="22">
        <v>149.48699999999999</v>
      </c>
      <c r="AA270" s="22">
        <v>-1.9223000000000001E-2</v>
      </c>
      <c r="AB270" s="22">
        <v>260</v>
      </c>
      <c r="AC270" s="22">
        <v>0.189911</v>
      </c>
      <c r="AD270">
        <f t="shared" si="52"/>
        <v>19.222999999999999</v>
      </c>
      <c r="AE270">
        <f t="shared" si="53"/>
        <v>3.6664989049999996</v>
      </c>
      <c r="AF270" s="9"/>
      <c r="AG270" s="22">
        <v>1.20926</v>
      </c>
      <c r="AH270" s="22">
        <v>198.286</v>
      </c>
      <c r="AI270" s="22">
        <v>-1.8221999999999999E-2</v>
      </c>
      <c r="AJ270" s="22">
        <v>260</v>
      </c>
      <c r="AK270" s="22">
        <v>1.2081900000000001</v>
      </c>
      <c r="AL270">
        <f t="shared" si="54"/>
        <v>18.221999999999998</v>
      </c>
      <c r="AM270">
        <f t="shared" si="55"/>
        <v>22.035135719999996</v>
      </c>
      <c r="AP270" s="9"/>
      <c r="AQ270" s="22">
        <v>0.19073499999999999</v>
      </c>
      <c r="AR270" s="22">
        <v>247.05500000000001</v>
      </c>
      <c r="AS270" s="22">
        <v>-1.9220000000000001E-2</v>
      </c>
      <c r="AT270" s="22">
        <v>260</v>
      </c>
      <c r="AU270" s="22">
        <v>0.189972</v>
      </c>
      <c r="AV270">
        <f t="shared" si="56"/>
        <v>19.220000000000002</v>
      </c>
      <c r="AW270">
        <f t="shared" si="57"/>
        <v>3.6659267000000004</v>
      </c>
      <c r="AX270" s="9"/>
      <c r="AY270" s="22">
        <v>1.20926</v>
      </c>
      <c r="AZ270" s="22">
        <v>295.95699999999999</v>
      </c>
      <c r="BA270" s="22">
        <v>-1.82037E-2</v>
      </c>
      <c r="BB270" s="22">
        <v>260</v>
      </c>
      <c r="BC270" s="22">
        <v>1.2081900000000001</v>
      </c>
      <c r="BD270">
        <f t="shared" si="58"/>
        <v>18.203700000000001</v>
      </c>
      <c r="BE270">
        <f t="shared" si="59"/>
        <v>22.013006262000001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0.185699</v>
      </c>
      <c r="H271" s="22">
        <v>51.727699999999999</v>
      </c>
      <c r="I271" s="22">
        <v>-1.9244399999999998E-2</v>
      </c>
      <c r="J271" s="22">
        <v>261</v>
      </c>
      <c r="K271" s="22">
        <v>0.185028</v>
      </c>
      <c r="L271">
        <f t="shared" si="48"/>
        <v>19.244399999999999</v>
      </c>
      <c r="M271">
        <f t="shared" si="49"/>
        <v>3.5736658356</v>
      </c>
      <c r="N271" s="9"/>
      <c r="O271" s="22">
        <v>1.2142900000000001</v>
      </c>
      <c r="P271" s="22">
        <v>100.554</v>
      </c>
      <c r="Q271" s="22">
        <v>-1.8228100000000001E-2</v>
      </c>
      <c r="R271" s="22">
        <v>261</v>
      </c>
      <c r="S271" s="22">
        <v>1.2127699999999999</v>
      </c>
      <c r="T271">
        <f t="shared" si="50"/>
        <v>18.228100000000001</v>
      </c>
      <c r="U271">
        <f t="shared" si="51"/>
        <v>22.134199549000002</v>
      </c>
      <c r="X271" s="9"/>
      <c r="Y271" s="22">
        <v>0.185699</v>
      </c>
      <c r="Z271" s="22">
        <v>149.49700000000001</v>
      </c>
      <c r="AA271" s="22">
        <v>-1.9226099999999999E-2</v>
      </c>
      <c r="AB271" s="22">
        <v>261</v>
      </c>
      <c r="AC271" s="22">
        <v>0.185059</v>
      </c>
      <c r="AD271">
        <f t="shared" si="52"/>
        <v>19.226099999999999</v>
      </c>
      <c r="AE271">
        <f t="shared" si="53"/>
        <v>3.5702675439</v>
      </c>
      <c r="AF271" s="9"/>
      <c r="AG271" s="22">
        <v>1.2142900000000001</v>
      </c>
      <c r="AH271" s="22">
        <v>198.29599999999999</v>
      </c>
      <c r="AI271" s="22">
        <v>-1.8212900000000001E-2</v>
      </c>
      <c r="AJ271" s="22">
        <v>261</v>
      </c>
      <c r="AK271" s="22">
        <v>1.2130700000000001</v>
      </c>
      <c r="AL271">
        <f t="shared" si="54"/>
        <v>18.212900000000001</v>
      </c>
      <c r="AM271">
        <f t="shared" si="55"/>
        <v>22.115742341000004</v>
      </c>
      <c r="AP271" s="9"/>
      <c r="AQ271" s="22">
        <v>0.185699</v>
      </c>
      <c r="AR271" s="22">
        <v>247.065</v>
      </c>
      <c r="AS271" s="22">
        <v>-1.9226099999999999E-2</v>
      </c>
      <c r="AT271" s="22">
        <v>261</v>
      </c>
      <c r="AU271" s="22">
        <v>0.18496699999999999</v>
      </c>
      <c r="AV271">
        <f t="shared" si="56"/>
        <v>19.226099999999999</v>
      </c>
      <c r="AW271">
        <f t="shared" si="57"/>
        <v>3.5702675439</v>
      </c>
      <c r="AX271" s="9"/>
      <c r="AY271" s="22">
        <v>1.2142900000000001</v>
      </c>
      <c r="AZ271" s="22">
        <v>295.96699999999998</v>
      </c>
      <c r="BA271" s="22">
        <v>-1.8194599999999998E-2</v>
      </c>
      <c r="BB271" s="22">
        <v>261</v>
      </c>
      <c r="BC271" s="22">
        <v>1.2133799999999999</v>
      </c>
      <c r="BD271">
        <f t="shared" si="58"/>
        <v>18.194599999999998</v>
      </c>
      <c r="BE271">
        <f t="shared" si="59"/>
        <v>22.093520834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0.18066399999999999</v>
      </c>
      <c r="H272" s="22">
        <v>51.737699999999997</v>
      </c>
      <c r="I272" s="22">
        <v>-1.92505E-2</v>
      </c>
      <c r="J272" s="22">
        <v>262</v>
      </c>
      <c r="K272" s="22">
        <v>0.17990100000000001</v>
      </c>
      <c r="L272">
        <f t="shared" si="48"/>
        <v>19.250499999999999</v>
      </c>
      <c r="M272">
        <f t="shared" si="49"/>
        <v>3.4778723319999996</v>
      </c>
      <c r="N272" s="9"/>
      <c r="O272" s="22">
        <v>1.21933</v>
      </c>
      <c r="P272" s="22">
        <v>100.56399999999999</v>
      </c>
      <c r="Q272" s="22">
        <v>-1.8221999999999999E-2</v>
      </c>
      <c r="R272" s="22">
        <v>262</v>
      </c>
      <c r="S272" s="22">
        <v>1.2176499999999999</v>
      </c>
      <c r="T272">
        <f t="shared" si="50"/>
        <v>18.221999999999998</v>
      </c>
      <c r="U272">
        <f t="shared" si="51"/>
        <v>22.218631259999999</v>
      </c>
      <c r="X272" s="9"/>
      <c r="Y272" s="22">
        <v>0.18066399999999999</v>
      </c>
      <c r="Z272" s="22">
        <v>149.50800000000001</v>
      </c>
      <c r="AA272" s="22">
        <v>-1.9235200000000001E-2</v>
      </c>
      <c r="AB272" s="22">
        <v>262</v>
      </c>
      <c r="AC272" s="22">
        <v>0.18035899999999999</v>
      </c>
      <c r="AD272">
        <f t="shared" si="52"/>
        <v>19.235200000000003</v>
      </c>
      <c r="AE272">
        <f t="shared" si="53"/>
        <v>3.4751081728000002</v>
      </c>
      <c r="AF272" s="9"/>
      <c r="AG272" s="22">
        <v>1.21933</v>
      </c>
      <c r="AH272" s="22">
        <v>198.30600000000001</v>
      </c>
      <c r="AI272" s="22">
        <v>-1.8206799999999999E-2</v>
      </c>
      <c r="AJ272" s="22">
        <v>262</v>
      </c>
      <c r="AK272" s="22">
        <v>1.2182599999999999</v>
      </c>
      <c r="AL272">
        <f t="shared" si="54"/>
        <v>18.206799999999998</v>
      </c>
      <c r="AM272">
        <f t="shared" si="55"/>
        <v>22.200097443999997</v>
      </c>
      <c r="AP272" s="9"/>
      <c r="AQ272" s="22">
        <v>0.18066399999999999</v>
      </c>
      <c r="AR272" s="22">
        <v>247.07499999999999</v>
      </c>
      <c r="AS272" s="22">
        <v>-1.9229099999999999E-2</v>
      </c>
      <c r="AT272" s="22">
        <v>262</v>
      </c>
      <c r="AU272" s="22">
        <v>0.18042</v>
      </c>
      <c r="AV272">
        <f t="shared" si="56"/>
        <v>19.229099999999999</v>
      </c>
      <c r="AW272">
        <f t="shared" si="57"/>
        <v>3.4740061223999996</v>
      </c>
      <c r="AX272" s="9"/>
      <c r="AY272" s="22">
        <v>1.21933</v>
      </c>
      <c r="AZ272" s="22">
        <v>295.97699999999998</v>
      </c>
      <c r="BA272" s="22">
        <v>-1.8191499999999999E-2</v>
      </c>
      <c r="BB272" s="22">
        <v>262</v>
      </c>
      <c r="BC272" s="22">
        <v>1.2191799999999999</v>
      </c>
      <c r="BD272">
        <f t="shared" si="58"/>
        <v>18.191499999999998</v>
      </c>
      <c r="BE272">
        <f t="shared" si="59"/>
        <v>22.181441694999997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0.17562900000000001</v>
      </c>
      <c r="H273" s="22">
        <v>51.747799999999998</v>
      </c>
      <c r="I273" s="22">
        <v>-1.9256599999999999E-2</v>
      </c>
      <c r="J273" s="22">
        <v>263</v>
      </c>
      <c r="K273" s="22">
        <v>0.175293</v>
      </c>
      <c r="L273">
        <f t="shared" si="48"/>
        <v>19.256599999999999</v>
      </c>
      <c r="M273">
        <f t="shared" si="49"/>
        <v>3.3820174013999997</v>
      </c>
      <c r="N273" s="9"/>
      <c r="O273" s="22">
        <v>1.22437</v>
      </c>
      <c r="P273" s="22">
        <v>100.574</v>
      </c>
      <c r="Q273" s="22">
        <v>-1.82159E-2</v>
      </c>
      <c r="R273" s="22">
        <v>263</v>
      </c>
      <c r="S273" s="22">
        <v>1.2240599999999999</v>
      </c>
      <c r="T273">
        <f t="shared" si="50"/>
        <v>18.215900000000001</v>
      </c>
      <c r="U273">
        <f t="shared" si="51"/>
        <v>22.303001482999999</v>
      </c>
      <c r="X273" s="9"/>
      <c r="Y273" s="22">
        <v>0.17562900000000001</v>
      </c>
      <c r="Z273" s="22">
        <v>149.518</v>
      </c>
      <c r="AA273" s="22">
        <v>-1.9241299999999999E-2</v>
      </c>
      <c r="AB273" s="22">
        <v>263</v>
      </c>
      <c r="AC273" s="22">
        <v>0.17483499999999999</v>
      </c>
      <c r="AD273">
        <f t="shared" si="52"/>
        <v>19.241299999999999</v>
      </c>
      <c r="AE273">
        <f t="shared" si="53"/>
        <v>3.3793302776999998</v>
      </c>
      <c r="AF273" s="9"/>
      <c r="AG273" s="22">
        <v>1.22437</v>
      </c>
      <c r="AH273" s="22">
        <v>198.316</v>
      </c>
      <c r="AI273" s="22">
        <v>-1.8197600000000001E-2</v>
      </c>
      <c r="AJ273" s="22">
        <v>263</v>
      </c>
      <c r="AK273" s="22">
        <v>1.2237499999999999</v>
      </c>
      <c r="AL273">
        <f t="shared" si="54"/>
        <v>18.197600000000001</v>
      </c>
      <c r="AM273">
        <f t="shared" si="55"/>
        <v>22.280595512000001</v>
      </c>
      <c r="AP273" s="9"/>
      <c r="AQ273" s="22">
        <v>0.17562900000000001</v>
      </c>
      <c r="AR273" s="22">
        <v>247.08500000000001</v>
      </c>
      <c r="AS273" s="22">
        <v>-1.9232200000000001E-2</v>
      </c>
      <c r="AT273" s="22">
        <v>263</v>
      </c>
      <c r="AU273" s="22">
        <v>0.17501800000000001</v>
      </c>
      <c r="AV273">
        <f t="shared" si="56"/>
        <v>19.232200000000002</v>
      </c>
      <c r="AW273">
        <f t="shared" si="57"/>
        <v>3.3777320538000004</v>
      </c>
      <c r="AX273" s="9"/>
      <c r="AY273" s="22">
        <v>1.22437</v>
      </c>
      <c r="AZ273" s="22">
        <v>295.98700000000002</v>
      </c>
      <c r="BA273" s="22">
        <v>-1.8185400000000001E-2</v>
      </c>
      <c r="BB273" s="22">
        <v>263</v>
      </c>
      <c r="BC273" s="22">
        <v>1.2231399999999999</v>
      </c>
      <c r="BD273">
        <f t="shared" si="58"/>
        <v>18.185400000000001</v>
      </c>
      <c r="BE273">
        <f t="shared" si="59"/>
        <v>22.265658198000001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0.17059299999999999</v>
      </c>
      <c r="H274" s="22">
        <v>51.757899999999999</v>
      </c>
      <c r="I274" s="22">
        <v>-1.9259600000000002E-2</v>
      </c>
      <c r="J274" s="22">
        <v>264</v>
      </c>
      <c r="K274" s="22">
        <v>0.16989099999999999</v>
      </c>
      <c r="L274">
        <f t="shared" si="48"/>
        <v>19.259600000000002</v>
      </c>
      <c r="M274">
        <f t="shared" si="49"/>
        <v>3.2855529428000003</v>
      </c>
      <c r="N274" s="9"/>
      <c r="O274" s="22">
        <v>1.2294</v>
      </c>
      <c r="P274" s="22">
        <v>100.584</v>
      </c>
      <c r="Q274" s="22">
        <v>-1.82037E-2</v>
      </c>
      <c r="R274" s="22">
        <v>264</v>
      </c>
      <c r="S274" s="22">
        <v>1.22864</v>
      </c>
      <c r="T274">
        <f t="shared" si="50"/>
        <v>18.203700000000001</v>
      </c>
      <c r="U274">
        <f t="shared" si="51"/>
        <v>22.379628780000001</v>
      </c>
      <c r="X274" s="9"/>
      <c r="Y274" s="22">
        <v>0.17059299999999999</v>
      </c>
      <c r="Z274" s="22">
        <v>149.52799999999999</v>
      </c>
      <c r="AA274" s="22">
        <v>-1.9247400000000001E-2</v>
      </c>
      <c r="AB274" s="22">
        <v>264</v>
      </c>
      <c r="AC274" s="22">
        <v>0.16995199999999999</v>
      </c>
      <c r="AD274">
        <f t="shared" si="52"/>
        <v>19.247400000000003</v>
      </c>
      <c r="AE274">
        <f t="shared" si="53"/>
        <v>3.2834717082000004</v>
      </c>
      <c r="AF274" s="9"/>
      <c r="AG274" s="22">
        <v>1.2294</v>
      </c>
      <c r="AH274" s="22">
        <v>198.32599999999999</v>
      </c>
      <c r="AI274" s="22">
        <v>-1.8191499999999999E-2</v>
      </c>
      <c r="AJ274" s="22">
        <v>264</v>
      </c>
      <c r="AK274" s="22">
        <v>1.2283299999999999</v>
      </c>
      <c r="AL274">
        <f t="shared" si="54"/>
        <v>18.191499999999998</v>
      </c>
      <c r="AM274">
        <f t="shared" si="55"/>
        <v>22.364630099999999</v>
      </c>
      <c r="AP274" s="9"/>
      <c r="AQ274" s="22">
        <v>0.17059299999999999</v>
      </c>
      <c r="AR274" s="22">
        <v>247.096</v>
      </c>
      <c r="AS274" s="22">
        <v>-1.92383E-2</v>
      </c>
      <c r="AT274" s="22">
        <v>264</v>
      </c>
      <c r="AU274" s="22">
        <v>0.16983000000000001</v>
      </c>
      <c r="AV274">
        <f t="shared" si="56"/>
        <v>19.238299999999999</v>
      </c>
      <c r="AW274">
        <f t="shared" si="57"/>
        <v>3.2819193118999999</v>
      </c>
      <c r="AX274" s="9"/>
      <c r="AY274" s="22">
        <v>1.2294</v>
      </c>
      <c r="AZ274" s="22">
        <v>295.99700000000001</v>
      </c>
      <c r="BA274" s="22">
        <v>-1.8176299999999999E-2</v>
      </c>
      <c r="BB274" s="22">
        <v>264</v>
      </c>
      <c r="BC274" s="22">
        <v>1.22864</v>
      </c>
      <c r="BD274">
        <f t="shared" si="58"/>
        <v>18.176299999999998</v>
      </c>
      <c r="BE274">
        <f t="shared" si="59"/>
        <v>22.345943219999999</v>
      </c>
    </row>
    <row r="275" spans="6:101">
      <c r="F275" s="9"/>
      <c r="G275" s="22">
        <v>0.16555800000000001</v>
      </c>
      <c r="H275" s="22">
        <v>51.768000000000001</v>
      </c>
      <c r="I275" s="22">
        <v>-1.9262700000000001E-2</v>
      </c>
      <c r="J275" s="22">
        <v>265</v>
      </c>
      <c r="K275" s="22">
        <v>0.164795</v>
      </c>
      <c r="L275">
        <f t="shared" si="48"/>
        <v>19.262700000000002</v>
      </c>
      <c r="M275">
        <f t="shared" si="49"/>
        <v>3.1890940866000008</v>
      </c>
      <c r="N275" s="9"/>
      <c r="O275" s="22">
        <v>1.23444</v>
      </c>
      <c r="P275" s="22">
        <v>100.59399999999999</v>
      </c>
      <c r="Q275" s="22">
        <v>-1.8194599999999998E-2</v>
      </c>
      <c r="R275" s="22">
        <v>265</v>
      </c>
      <c r="S275" s="22">
        <v>1.2335199999999999</v>
      </c>
      <c r="T275">
        <f t="shared" si="50"/>
        <v>18.194599999999998</v>
      </c>
      <c r="U275">
        <f t="shared" si="51"/>
        <v>22.460142023999996</v>
      </c>
      <c r="X275" s="9"/>
      <c r="Y275" s="22">
        <v>0.16555800000000001</v>
      </c>
      <c r="Z275" s="22">
        <v>149.53800000000001</v>
      </c>
      <c r="AA275" s="22">
        <v>-1.92505E-2</v>
      </c>
      <c r="AB275" s="22">
        <v>265</v>
      </c>
      <c r="AC275" s="22">
        <v>0.164795</v>
      </c>
      <c r="AD275">
        <f t="shared" si="52"/>
        <v>19.250499999999999</v>
      </c>
      <c r="AE275">
        <f t="shared" si="53"/>
        <v>3.187074279</v>
      </c>
      <c r="AF275" s="9"/>
      <c r="AG275" s="22">
        <v>1.23444</v>
      </c>
      <c r="AH275" s="22">
        <v>198.33600000000001</v>
      </c>
      <c r="AI275" s="22">
        <v>-1.8185400000000001E-2</v>
      </c>
      <c r="AJ275" s="22">
        <v>265</v>
      </c>
      <c r="AK275" s="22">
        <v>1.2335199999999999</v>
      </c>
      <c r="AL275">
        <f t="shared" si="54"/>
        <v>18.185400000000001</v>
      </c>
      <c r="AM275">
        <f t="shared" si="55"/>
        <v>22.448785176000001</v>
      </c>
      <c r="AP275" s="9"/>
      <c r="AQ275" s="22">
        <v>0.16555800000000001</v>
      </c>
      <c r="AR275" s="22">
        <v>247.10599999999999</v>
      </c>
      <c r="AS275" s="22">
        <v>-1.9241299999999999E-2</v>
      </c>
      <c r="AT275" s="22">
        <v>265</v>
      </c>
      <c r="AU275" s="22">
        <v>0.164856</v>
      </c>
      <c r="AV275">
        <f t="shared" si="56"/>
        <v>19.241299999999999</v>
      </c>
      <c r="AW275">
        <f t="shared" si="57"/>
        <v>3.1855511453999998</v>
      </c>
      <c r="AX275" s="9"/>
      <c r="AY275" s="22">
        <v>1.23444</v>
      </c>
      <c r="AZ275" s="22">
        <v>296.00700000000001</v>
      </c>
      <c r="BA275" s="22">
        <v>-1.81732E-2</v>
      </c>
      <c r="BB275" s="22">
        <v>265</v>
      </c>
      <c r="BC275" s="22">
        <v>1.23291</v>
      </c>
      <c r="BD275">
        <f t="shared" si="58"/>
        <v>18.173200000000001</v>
      </c>
      <c r="BE275">
        <f t="shared" si="59"/>
        <v>22.433725008</v>
      </c>
    </row>
    <row r="276" spans="6:101">
      <c r="F276" s="9"/>
      <c r="G276" s="22">
        <v>0.160522</v>
      </c>
      <c r="H276" s="22">
        <v>51.777999999999999</v>
      </c>
      <c r="I276" s="22">
        <v>-1.92657E-2</v>
      </c>
      <c r="J276" s="22">
        <v>266</v>
      </c>
      <c r="K276" s="22">
        <v>0.16003400000000001</v>
      </c>
      <c r="L276">
        <f t="shared" si="48"/>
        <v>19.265699999999999</v>
      </c>
      <c r="M276">
        <f t="shared" si="49"/>
        <v>3.0925686953999998</v>
      </c>
      <c r="N276" s="9"/>
      <c r="O276" s="22">
        <v>1.2394700000000001</v>
      </c>
      <c r="P276" s="22">
        <v>100.604</v>
      </c>
      <c r="Q276" s="22">
        <v>-1.81885E-2</v>
      </c>
      <c r="R276" s="22">
        <v>266</v>
      </c>
      <c r="S276" s="22">
        <v>1.2383999999999999</v>
      </c>
      <c r="T276">
        <f t="shared" si="50"/>
        <v>18.188500000000001</v>
      </c>
      <c r="U276">
        <f t="shared" si="51"/>
        <v>22.544100095000005</v>
      </c>
      <c r="X276" s="9"/>
      <c r="Y276" s="22">
        <v>0.160522</v>
      </c>
      <c r="Z276" s="22">
        <v>149.548</v>
      </c>
      <c r="AA276" s="22">
        <v>-1.9259600000000002E-2</v>
      </c>
      <c r="AB276" s="22">
        <v>266</v>
      </c>
      <c r="AC276" s="22">
        <v>0.160248</v>
      </c>
      <c r="AD276">
        <f t="shared" si="52"/>
        <v>19.259600000000002</v>
      </c>
      <c r="AE276">
        <f t="shared" si="53"/>
        <v>3.0915895112000005</v>
      </c>
      <c r="AF276" s="9"/>
      <c r="AG276" s="22">
        <v>1.2394700000000001</v>
      </c>
      <c r="AH276" s="22">
        <v>198.346</v>
      </c>
      <c r="AI276" s="22">
        <v>-1.8179299999999999E-2</v>
      </c>
      <c r="AJ276" s="22">
        <v>266</v>
      </c>
      <c r="AK276" s="22">
        <v>1.2383999999999999</v>
      </c>
      <c r="AL276">
        <f t="shared" si="54"/>
        <v>18.179299999999998</v>
      </c>
      <c r="AM276">
        <f t="shared" si="55"/>
        <v>22.532696971</v>
      </c>
      <c r="AP276" s="9"/>
      <c r="AQ276" s="22">
        <v>0.160522</v>
      </c>
      <c r="AR276" s="22">
        <v>247.11600000000001</v>
      </c>
      <c r="AS276" s="22">
        <v>-1.9244399999999998E-2</v>
      </c>
      <c r="AT276" s="22">
        <v>266</v>
      </c>
      <c r="AU276" s="22">
        <v>0.159912</v>
      </c>
      <c r="AV276">
        <f t="shared" si="56"/>
        <v>19.244399999999999</v>
      </c>
      <c r="AW276">
        <f t="shared" si="57"/>
        <v>3.0891495767999997</v>
      </c>
      <c r="AX276" s="9"/>
      <c r="AY276" s="22">
        <v>1.2394700000000001</v>
      </c>
      <c r="AZ276" s="22">
        <v>296.017</v>
      </c>
      <c r="BA276" s="22">
        <v>-1.8164099999999999E-2</v>
      </c>
      <c r="BB276" s="22">
        <v>266</v>
      </c>
      <c r="BC276" s="22">
        <v>1.2383999999999999</v>
      </c>
      <c r="BD276">
        <f t="shared" si="58"/>
        <v>18.164099999999998</v>
      </c>
      <c r="BE276">
        <f t="shared" si="59"/>
        <v>22.513857026999997</v>
      </c>
    </row>
    <row r="277" spans="6:101">
      <c r="F277" s="9"/>
      <c r="G277" s="22">
        <v>0.15548699999999999</v>
      </c>
      <c r="H277" s="22">
        <v>51.7881</v>
      </c>
      <c r="I277" s="22">
        <v>-1.9271900000000002E-2</v>
      </c>
      <c r="J277" s="22">
        <v>267</v>
      </c>
      <c r="K277" s="22">
        <v>0.15454100000000001</v>
      </c>
      <c r="L277">
        <f t="shared" si="48"/>
        <v>19.271900000000002</v>
      </c>
      <c r="M277">
        <f t="shared" si="49"/>
        <v>2.9965299153</v>
      </c>
      <c r="N277" s="9"/>
      <c r="O277" s="22">
        <v>1.24451</v>
      </c>
      <c r="P277" s="22">
        <v>100.61499999999999</v>
      </c>
      <c r="Q277" s="22">
        <v>-1.8179299999999999E-2</v>
      </c>
      <c r="R277" s="22">
        <v>267</v>
      </c>
      <c r="S277" s="22">
        <v>1.24298</v>
      </c>
      <c r="T277">
        <f t="shared" si="50"/>
        <v>18.179299999999998</v>
      </c>
      <c r="U277">
        <f t="shared" si="51"/>
        <v>22.624320642999997</v>
      </c>
      <c r="X277" s="9"/>
      <c r="Y277" s="22">
        <v>0.15548699999999999</v>
      </c>
      <c r="Z277" s="22">
        <v>149.55799999999999</v>
      </c>
      <c r="AA277" s="22">
        <v>-1.92657E-2</v>
      </c>
      <c r="AB277" s="22">
        <v>267</v>
      </c>
      <c r="AC277" s="22">
        <v>0.15481600000000001</v>
      </c>
      <c r="AD277">
        <f t="shared" si="52"/>
        <v>19.265699999999999</v>
      </c>
      <c r="AE277">
        <f t="shared" si="53"/>
        <v>2.9955658958999996</v>
      </c>
      <c r="AF277" s="9"/>
      <c r="AG277" s="22">
        <v>1.24451</v>
      </c>
      <c r="AH277" s="22">
        <v>198.35599999999999</v>
      </c>
      <c r="AI277" s="22">
        <v>-1.8170200000000001E-2</v>
      </c>
      <c r="AJ277" s="22">
        <v>267</v>
      </c>
      <c r="AK277" s="22">
        <v>1.24298</v>
      </c>
      <c r="AL277">
        <f t="shared" si="54"/>
        <v>18.170200000000001</v>
      </c>
      <c r="AM277">
        <f t="shared" si="55"/>
        <v>22.612995602000002</v>
      </c>
      <c r="AP277" s="9"/>
      <c r="AQ277" s="22">
        <v>0.15548699999999999</v>
      </c>
      <c r="AR277" s="22">
        <v>247.126</v>
      </c>
      <c r="AS277" s="22">
        <v>-1.92505E-2</v>
      </c>
      <c r="AT277" s="22">
        <v>267</v>
      </c>
      <c r="AU277" s="22">
        <v>0.15509000000000001</v>
      </c>
      <c r="AV277">
        <f t="shared" si="56"/>
        <v>19.250499999999999</v>
      </c>
      <c r="AW277">
        <f t="shared" si="57"/>
        <v>2.9932024934999997</v>
      </c>
      <c r="AX277" s="9"/>
      <c r="AY277" s="22">
        <v>1.24451</v>
      </c>
      <c r="AZ277" s="22">
        <v>296.02699999999999</v>
      </c>
      <c r="BA277" s="22">
        <v>-1.8154900000000002E-2</v>
      </c>
      <c r="BB277" s="22">
        <v>267</v>
      </c>
      <c r="BC277" s="22">
        <v>1.24329</v>
      </c>
      <c r="BD277">
        <f t="shared" si="58"/>
        <v>18.154900000000001</v>
      </c>
      <c r="BE277">
        <f t="shared" si="59"/>
        <v>22.593954599000003</v>
      </c>
    </row>
    <row r="278" spans="6:101">
      <c r="F278" s="9"/>
      <c r="G278" s="22">
        <v>0.150452</v>
      </c>
      <c r="H278" s="22">
        <v>51.798200000000001</v>
      </c>
      <c r="I278" s="22">
        <v>-1.9274900000000001E-2</v>
      </c>
      <c r="J278" s="22">
        <v>268</v>
      </c>
      <c r="K278" s="22">
        <v>0.149841</v>
      </c>
      <c r="L278">
        <f t="shared" si="48"/>
        <v>19.274900000000002</v>
      </c>
      <c r="M278">
        <f t="shared" si="49"/>
        <v>2.8999472548000003</v>
      </c>
      <c r="N278" s="9"/>
      <c r="O278" s="22">
        <v>1.2495400000000001</v>
      </c>
      <c r="P278" s="22">
        <v>100.625</v>
      </c>
      <c r="Q278" s="22">
        <v>-1.81732E-2</v>
      </c>
      <c r="R278" s="22">
        <v>268</v>
      </c>
      <c r="S278" s="22">
        <v>1.24786</v>
      </c>
      <c r="T278">
        <f t="shared" si="50"/>
        <v>18.173200000000001</v>
      </c>
      <c r="U278">
        <f t="shared" si="51"/>
        <v>22.708140328000002</v>
      </c>
      <c r="X278" s="9"/>
      <c r="Y278" s="22">
        <v>0.150452</v>
      </c>
      <c r="Z278" s="22">
        <v>149.56800000000001</v>
      </c>
      <c r="AA278" s="22">
        <v>-1.9268799999999999E-2</v>
      </c>
      <c r="AB278" s="22">
        <v>268</v>
      </c>
      <c r="AC278" s="22">
        <v>0.14996300000000001</v>
      </c>
      <c r="AD278">
        <f t="shared" si="52"/>
        <v>19.268799999999999</v>
      </c>
      <c r="AE278">
        <f t="shared" si="53"/>
        <v>2.8990294975999999</v>
      </c>
      <c r="AF278" s="9"/>
      <c r="AG278" s="22">
        <v>1.2495400000000001</v>
      </c>
      <c r="AH278" s="22">
        <v>198.36600000000001</v>
      </c>
      <c r="AI278" s="22">
        <v>-1.8161E-2</v>
      </c>
      <c r="AJ278" s="22">
        <v>268</v>
      </c>
      <c r="AK278" s="22">
        <v>1.24847</v>
      </c>
      <c r="AL278">
        <f t="shared" si="54"/>
        <v>18.161000000000001</v>
      </c>
      <c r="AM278">
        <f t="shared" si="55"/>
        <v>22.692895940000003</v>
      </c>
      <c r="AP278" s="9"/>
      <c r="AQ278" s="22">
        <v>0.150452</v>
      </c>
      <c r="AR278" s="22">
        <v>247.136</v>
      </c>
      <c r="AS278" s="22">
        <v>-1.92535E-2</v>
      </c>
      <c r="AT278" s="22">
        <v>268</v>
      </c>
      <c r="AU278" s="22">
        <v>0.14993300000000001</v>
      </c>
      <c r="AV278">
        <f t="shared" si="56"/>
        <v>19.253499999999999</v>
      </c>
      <c r="AW278">
        <f t="shared" si="57"/>
        <v>2.896727582</v>
      </c>
      <c r="AX278" s="9"/>
      <c r="AY278" s="22">
        <v>1.2495400000000001</v>
      </c>
      <c r="AZ278" s="22">
        <v>296.03699999999998</v>
      </c>
      <c r="BA278" s="22">
        <v>-1.81458E-2</v>
      </c>
      <c r="BB278" s="22">
        <v>268</v>
      </c>
      <c r="BC278" s="22">
        <v>1.24847</v>
      </c>
      <c r="BD278">
        <f t="shared" si="58"/>
        <v>18.145800000000001</v>
      </c>
      <c r="BE278">
        <f t="shared" si="59"/>
        <v>22.673902932000004</v>
      </c>
    </row>
    <row r="279" spans="6:101">
      <c r="F279" s="9"/>
      <c r="G279" s="22">
        <v>0.14541599999999999</v>
      </c>
      <c r="H279" s="22">
        <v>51.808199999999999</v>
      </c>
      <c r="I279" s="22">
        <v>-1.9278E-2</v>
      </c>
      <c r="J279" s="22">
        <v>269</v>
      </c>
      <c r="K279" s="22">
        <v>0.14477499999999999</v>
      </c>
      <c r="L279">
        <f t="shared" si="48"/>
        <v>19.277999999999999</v>
      </c>
      <c r="M279">
        <f t="shared" si="49"/>
        <v>2.8033296479999996</v>
      </c>
      <c r="N279" s="9"/>
      <c r="O279" s="22">
        <v>1.25458</v>
      </c>
      <c r="P279" s="22">
        <v>100.63500000000001</v>
      </c>
      <c r="Q279" s="22">
        <v>-1.8167099999999999E-2</v>
      </c>
      <c r="R279" s="22">
        <v>269</v>
      </c>
      <c r="S279" s="22">
        <v>1.25397</v>
      </c>
      <c r="T279">
        <f t="shared" si="50"/>
        <v>18.167099999999998</v>
      </c>
      <c r="U279">
        <f t="shared" si="51"/>
        <v>22.792080317999996</v>
      </c>
      <c r="X279" s="9"/>
      <c r="Y279" s="22">
        <v>0.14541599999999999</v>
      </c>
      <c r="Z279" s="22">
        <v>149.578</v>
      </c>
      <c r="AA279" s="22">
        <v>-1.9274900000000001E-2</v>
      </c>
      <c r="AB279" s="22">
        <v>269</v>
      </c>
      <c r="AC279" s="22">
        <v>0.144897</v>
      </c>
      <c r="AD279">
        <f t="shared" si="52"/>
        <v>19.274900000000002</v>
      </c>
      <c r="AE279">
        <f t="shared" si="53"/>
        <v>2.8028788584000002</v>
      </c>
      <c r="AF279" s="9"/>
      <c r="AG279" s="22">
        <v>1.25458</v>
      </c>
      <c r="AH279" s="22">
        <v>198.376</v>
      </c>
      <c r="AI279" s="22">
        <v>-1.81488E-2</v>
      </c>
      <c r="AJ279" s="22">
        <v>269</v>
      </c>
      <c r="AK279" s="22">
        <v>1.25336</v>
      </c>
      <c r="AL279">
        <f t="shared" si="54"/>
        <v>18.148800000000001</v>
      </c>
      <c r="AM279">
        <f t="shared" si="55"/>
        <v>22.769121504000001</v>
      </c>
      <c r="AP279" s="9"/>
      <c r="AQ279" s="22">
        <v>0.14541599999999999</v>
      </c>
      <c r="AR279" s="22">
        <v>247.14599999999999</v>
      </c>
      <c r="AS279" s="22">
        <v>-1.9256599999999999E-2</v>
      </c>
      <c r="AT279" s="22">
        <v>269</v>
      </c>
      <c r="AU279" s="22">
        <v>0.14474500000000001</v>
      </c>
      <c r="AV279">
        <f t="shared" si="56"/>
        <v>19.256599999999999</v>
      </c>
      <c r="AW279">
        <f t="shared" si="57"/>
        <v>2.8002177455999995</v>
      </c>
      <c r="AX279" s="9"/>
      <c r="AY279" s="22">
        <v>1.25458</v>
      </c>
      <c r="AZ279" s="22">
        <v>296.04700000000003</v>
      </c>
      <c r="BA279" s="22">
        <v>-1.8136599999999999E-2</v>
      </c>
      <c r="BB279" s="22">
        <v>269</v>
      </c>
      <c r="BC279" s="22">
        <v>1.25366</v>
      </c>
      <c r="BD279">
        <f t="shared" si="58"/>
        <v>18.136599999999998</v>
      </c>
      <c r="BE279">
        <f t="shared" si="59"/>
        <v>22.753815627999998</v>
      </c>
    </row>
    <row r="280" spans="6:101">
      <c r="F280" s="9"/>
      <c r="G280" s="22">
        <v>0.14038100000000001</v>
      </c>
      <c r="H280" s="22">
        <v>51.818300000000001</v>
      </c>
      <c r="I280" s="22">
        <v>-1.9284099999999998E-2</v>
      </c>
      <c r="J280" s="22">
        <v>270</v>
      </c>
      <c r="K280" s="22">
        <v>0.13977100000000001</v>
      </c>
      <c r="L280">
        <f t="shared" si="48"/>
        <v>19.284099999999999</v>
      </c>
      <c r="M280">
        <f t="shared" si="49"/>
        <v>2.7071212420999999</v>
      </c>
      <c r="N280" s="9"/>
      <c r="O280" s="22">
        <v>1.2596099999999999</v>
      </c>
      <c r="P280" s="22">
        <v>100.645</v>
      </c>
      <c r="Q280" s="22">
        <v>-1.8158000000000001E-2</v>
      </c>
      <c r="R280" s="22">
        <v>270</v>
      </c>
      <c r="S280" s="22">
        <v>1.25854</v>
      </c>
      <c r="T280">
        <f t="shared" si="50"/>
        <v>18.158000000000001</v>
      </c>
      <c r="U280">
        <f t="shared" si="51"/>
        <v>22.871998380000001</v>
      </c>
      <c r="X280" s="9"/>
      <c r="Y280" s="22">
        <v>0.14038100000000001</v>
      </c>
      <c r="Z280" s="22">
        <v>149.58799999999999</v>
      </c>
      <c r="AA280" s="22">
        <v>-1.9278E-2</v>
      </c>
      <c r="AB280" s="22">
        <v>270</v>
      </c>
      <c r="AC280" s="22">
        <v>0.13989299999999999</v>
      </c>
      <c r="AD280">
        <f t="shared" si="52"/>
        <v>19.277999999999999</v>
      </c>
      <c r="AE280">
        <f t="shared" si="53"/>
        <v>2.706264918</v>
      </c>
      <c r="AF280" s="9"/>
      <c r="AG280" s="22">
        <v>1.2596099999999999</v>
      </c>
      <c r="AH280" s="22">
        <v>198.387</v>
      </c>
      <c r="AI280" s="22">
        <v>-1.8139599999999999E-2</v>
      </c>
      <c r="AJ280" s="22">
        <v>270</v>
      </c>
      <c r="AK280" s="22">
        <v>1.2591600000000001</v>
      </c>
      <c r="AL280">
        <f t="shared" si="54"/>
        <v>18.139599999999998</v>
      </c>
      <c r="AM280">
        <f t="shared" si="55"/>
        <v>22.848821555999997</v>
      </c>
      <c r="AP280" s="9"/>
      <c r="AQ280" s="22">
        <v>0.14038100000000001</v>
      </c>
      <c r="AR280" s="22">
        <v>247.15600000000001</v>
      </c>
      <c r="AS280" s="22">
        <v>-1.9259600000000002E-2</v>
      </c>
      <c r="AT280" s="22">
        <v>270</v>
      </c>
      <c r="AU280" s="22">
        <v>0.13986199999999999</v>
      </c>
      <c r="AV280">
        <f t="shared" si="56"/>
        <v>19.259600000000002</v>
      </c>
      <c r="AW280">
        <f t="shared" si="57"/>
        <v>2.7036819076000005</v>
      </c>
      <c r="AX280" s="9"/>
      <c r="AY280" s="22">
        <v>1.2596099999999999</v>
      </c>
      <c r="AZ280" s="22">
        <v>296.05700000000002</v>
      </c>
      <c r="BA280" s="22">
        <v>-1.8130500000000001E-2</v>
      </c>
      <c r="BB280" s="22">
        <v>270</v>
      </c>
      <c r="BC280" s="22">
        <v>1.25885</v>
      </c>
      <c r="BD280">
        <f t="shared" si="58"/>
        <v>18.130500000000001</v>
      </c>
      <c r="BE280">
        <f t="shared" si="59"/>
        <v>22.837359105000001</v>
      </c>
    </row>
    <row r="281" spans="6:101">
      <c r="F281" s="9"/>
      <c r="G281" s="22">
        <v>0.13534499999999999</v>
      </c>
      <c r="H281" s="22">
        <v>51.828400000000002</v>
      </c>
      <c r="I281" s="22">
        <v>-1.92902E-2</v>
      </c>
      <c r="J281" s="22">
        <v>271</v>
      </c>
      <c r="K281" s="22">
        <v>0.13470499999999999</v>
      </c>
      <c r="L281">
        <f t="shared" si="48"/>
        <v>19.290199999999999</v>
      </c>
      <c r="M281">
        <f t="shared" si="49"/>
        <v>2.6108321189999999</v>
      </c>
      <c r="N281" s="9"/>
      <c r="O281" s="22">
        <v>1.2646500000000001</v>
      </c>
      <c r="P281" s="22">
        <v>100.655</v>
      </c>
      <c r="Q281" s="22">
        <v>-1.81458E-2</v>
      </c>
      <c r="R281" s="22">
        <v>271</v>
      </c>
      <c r="S281" s="22">
        <v>1.2640400000000001</v>
      </c>
      <c r="T281">
        <f t="shared" si="50"/>
        <v>18.145800000000001</v>
      </c>
      <c r="U281">
        <f t="shared" si="51"/>
        <v>22.948085970000001</v>
      </c>
      <c r="X281" s="9"/>
      <c r="Y281" s="22">
        <v>0.13534499999999999</v>
      </c>
      <c r="Z281" s="22">
        <v>149.59800000000001</v>
      </c>
      <c r="AA281" s="22">
        <v>-1.9281E-2</v>
      </c>
      <c r="AB281" s="22">
        <v>271</v>
      </c>
      <c r="AC281" s="22">
        <v>0.134827</v>
      </c>
      <c r="AD281">
        <f t="shared" si="52"/>
        <v>19.280999999999999</v>
      </c>
      <c r="AE281">
        <f t="shared" si="53"/>
        <v>2.6095869449999998</v>
      </c>
      <c r="AF281" s="9"/>
      <c r="AG281" s="22">
        <v>1.2646500000000001</v>
      </c>
      <c r="AH281" s="22">
        <v>198.39699999999999</v>
      </c>
      <c r="AI281" s="22">
        <v>-1.8130500000000001E-2</v>
      </c>
      <c r="AJ281" s="22">
        <v>271</v>
      </c>
      <c r="AK281" s="22">
        <v>1.26373</v>
      </c>
      <c r="AL281">
        <f t="shared" si="54"/>
        <v>18.130500000000001</v>
      </c>
      <c r="AM281">
        <f t="shared" si="55"/>
        <v>22.928736825000001</v>
      </c>
      <c r="AP281" s="9"/>
      <c r="AQ281" s="22">
        <v>0.13534499999999999</v>
      </c>
      <c r="AR281" s="22">
        <v>247.166</v>
      </c>
      <c r="AS281" s="22">
        <v>-1.9262700000000001E-2</v>
      </c>
      <c r="AT281" s="22">
        <v>271</v>
      </c>
      <c r="AU281" s="22">
        <v>0.13491800000000001</v>
      </c>
      <c r="AV281">
        <f t="shared" si="56"/>
        <v>19.262700000000002</v>
      </c>
      <c r="AW281">
        <f t="shared" si="57"/>
        <v>2.6071101315000003</v>
      </c>
      <c r="AX281" s="9"/>
      <c r="AY281" s="22">
        <v>1.2646500000000001</v>
      </c>
      <c r="AZ281" s="22">
        <v>296.06700000000001</v>
      </c>
      <c r="BA281" s="22">
        <v>-1.81213E-2</v>
      </c>
      <c r="BB281" s="22">
        <v>271</v>
      </c>
      <c r="BC281" s="22">
        <v>1.26373</v>
      </c>
      <c r="BD281">
        <f t="shared" si="58"/>
        <v>18.121300000000002</v>
      </c>
      <c r="BE281">
        <f t="shared" si="59"/>
        <v>22.917102045000004</v>
      </c>
    </row>
    <row r="282" spans="6:101">
      <c r="F282" s="9"/>
      <c r="G282" s="22">
        <v>0.13031000000000001</v>
      </c>
      <c r="H282" s="22">
        <v>51.8384</v>
      </c>
      <c r="I282" s="22">
        <v>-1.92902E-2</v>
      </c>
      <c r="J282" s="22">
        <v>272</v>
      </c>
      <c r="K282" s="22">
        <v>0.129608</v>
      </c>
      <c r="L282">
        <f t="shared" si="48"/>
        <v>19.290199999999999</v>
      </c>
      <c r="M282">
        <f t="shared" si="49"/>
        <v>2.513705962</v>
      </c>
      <c r="N282" s="9"/>
      <c r="O282" s="22">
        <v>1.2696799999999999</v>
      </c>
      <c r="P282" s="22">
        <v>100.66500000000001</v>
      </c>
      <c r="Q282" s="22">
        <v>-1.8130500000000001E-2</v>
      </c>
      <c r="R282" s="22">
        <v>272</v>
      </c>
      <c r="S282" s="22">
        <v>1.26831</v>
      </c>
      <c r="T282">
        <f t="shared" si="50"/>
        <v>18.130500000000001</v>
      </c>
      <c r="U282">
        <f t="shared" si="51"/>
        <v>23.01993324</v>
      </c>
      <c r="X282" s="9"/>
      <c r="Y282" s="22">
        <v>0.13031000000000001</v>
      </c>
      <c r="Z282" s="22">
        <v>149.608</v>
      </c>
      <c r="AA282" s="22">
        <v>-1.9287100000000001E-2</v>
      </c>
      <c r="AB282" s="22">
        <v>272</v>
      </c>
      <c r="AC282" s="22">
        <v>0.129547</v>
      </c>
      <c r="AD282">
        <f t="shared" si="52"/>
        <v>19.287100000000002</v>
      </c>
      <c r="AE282">
        <f t="shared" si="53"/>
        <v>2.5133020010000005</v>
      </c>
      <c r="AF282" s="9"/>
      <c r="AG282" s="22">
        <v>1.2696799999999999</v>
      </c>
      <c r="AH282" s="22">
        <v>198.40700000000001</v>
      </c>
      <c r="AI282" s="22">
        <v>-1.8115200000000001E-2</v>
      </c>
      <c r="AJ282" s="22">
        <v>272</v>
      </c>
      <c r="AK282" s="22">
        <v>1.26892</v>
      </c>
      <c r="AL282">
        <f t="shared" si="54"/>
        <v>18.115200000000002</v>
      </c>
      <c r="AM282">
        <f t="shared" si="55"/>
        <v>23.000507136</v>
      </c>
      <c r="AP282" s="9"/>
      <c r="AQ282" s="22">
        <v>0.13031000000000001</v>
      </c>
      <c r="AR282" s="22">
        <v>247.17599999999999</v>
      </c>
      <c r="AS282" s="22">
        <v>-1.9268799999999999E-2</v>
      </c>
      <c r="AT282" s="22">
        <v>272</v>
      </c>
      <c r="AU282" s="22">
        <v>0.12976099999999999</v>
      </c>
      <c r="AV282">
        <f t="shared" si="56"/>
        <v>19.268799999999999</v>
      </c>
      <c r="AW282">
        <f t="shared" si="57"/>
        <v>2.5109173280000001</v>
      </c>
      <c r="AX282" s="9"/>
      <c r="AY282" s="22">
        <v>1.2696799999999999</v>
      </c>
      <c r="AZ282" s="22">
        <v>296.07799999999997</v>
      </c>
      <c r="BA282" s="22">
        <v>-1.81091E-2</v>
      </c>
      <c r="BB282" s="22">
        <v>272</v>
      </c>
      <c r="BC282" s="22">
        <v>1.26892</v>
      </c>
      <c r="BD282">
        <f t="shared" si="58"/>
        <v>18.109099999999998</v>
      </c>
      <c r="BE282">
        <f t="shared" si="59"/>
        <v>22.992762087999996</v>
      </c>
    </row>
    <row r="283" spans="6:101">
      <c r="F283" s="9"/>
      <c r="G283" s="22">
        <v>0.125275</v>
      </c>
      <c r="H283" s="22">
        <v>51.848500000000001</v>
      </c>
      <c r="I283" s="22">
        <v>-1.92932E-2</v>
      </c>
      <c r="J283" s="22">
        <v>273</v>
      </c>
      <c r="K283" s="22">
        <v>0.124329</v>
      </c>
      <c r="L283">
        <f t="shared" si="48"/>
        <v>19.293199999999999</v>
      </c>
      <c r="M283">
        <f t="shared" si="49"/>
        <v>2.4169556299999999</v>
      </c>
      <c r="N283" s="9"/>
      <c r="O283" s="22">
        <v>1.2747200000000001</v>
      </c>
      <c r="P283" s="22">
        <v>100.675</v>
      </c>
      <c r="Q283" s="22">
        <v>-1.81183E-2</v>
      </c>
      <c r="R283" s="22">
        <v>273</v>
      </c>
      <c r="S283" s="22">
        <v>1.2738</v>
      </c>
      <c r="T283">
        <f t="shared" si="50"/>
        <v>18.118300000000001</v>
      </c>
      <c r="U283">
        <f t="shared" si="51"/>
        <v>23.095759376000004</v>
      </c>
      <c r="X283" s="9"/>
      <c r="Y283" s="22">
        <v>0.125275</v>
      </c>
      <c r="Z283" s="22">
        <v>149.61799999999999</v>
      </c>
      <c r="AA283" s="22">
        <v>-1.92902E-2</v>
      </c>
      <c r="AB283" s="22">
        <v>273</v>
      </c>
      <c r="AC283" s="22">
        <v>0.124512</v>
      </c>
      <c r="AD283">
        <f t="shared" si="52"/>
        <v>19.290199999999999</v>
      </c>
      <c r="AE283">
        <f t="shared" si="53"/>
        <v>2.4165798049999996</v>
      </c>
      <c r="AF283" s="9"/>
      <c r="AG283" s="22">
        <v>1.2747200000000001</v>
      </c>
      <c r="AH283" s="22">
        <v>198.417</v>
      </c>
      <c r="AI283" s="22">
        <v>-1.8103000000000001E-2</v>
      </c>
      <c r="AJ283" s="22">
        <v>273</v>
      </c>
      <c r="AK283" s="22">
        <v>1.27441</v>
      </c>
      <c r="AL283">
        <f t="shared" si="54"/>
        <v>18.103000000000002</v>
      </c>
      <c r="AM283">
        <f t="shared" si="55"/>
        <v>23.076256160000003</v>
      </c>
      <c r="AP283" s="9"/>
      <c r="AQ283" s="22">
        <v>0.125275</v>
      </c>
      <c r="AR283" s="22">
        <v>247.18600000000001</v>
      </c>
      <c r="AS283" s="22">
        <v>-1.9271900000000002E-2</v>
      </c>
      <c r="AT283" s="22">
        <v>273</v>
      </c>
      <c r="AU283" s="22">
        <v>0.12442</v>
      </c>
      <c r="AV283">
        <f t="shared" si="56"/>
        <v>19.271900000000002</v>
      </c>
      <c r="AW283">
        <f t="shared" si="57"/>
        <v>2.4142872725000002</v>
      </c>
      <c r="AX283" s="9"/>
      <c r="AY283" s="22">
        <v>1.2747200000000001</v>
      </c>
      <c r="AZ283" s="22">
        <v>296.08800000000002</v>
      </c>
      <c r="BA283" s="22">
        <v>-1.8096899999999999E-2</v>
      </c>
      <c r="BB283" s="22">
        <v>273</v>
      </c>
      <c r="BC283" s="22">
        <v>1.27319</v>
      </c>
      <c r="BD283">
        <f t="shared" si="58"/>
        <v>18.096899999999998</v>
      </c>
      <c r="BE283">
        <f t="shared" si="59"/>
        <v>23.068480367999999</v>
      </c>
    </row>
    <row r="284" spans="6:101">
      <c r="F284" s="9"/>
      <c r="G284" s="22">
        <v>0.120239</v>
      </c>
      <c r="H284" s="22">
        <v>51.858600000000003</v>
      </c>
      <c r="I284" s="22">
        <v>-1.9299299999999998E-2</v>
      </c>
      <c r="J284" s="22">
        <v>274</v>
      </c>
      <c r="K284" s="22">
        <v>0.11971999999999999</v>
      </c>
      <c r="L284">
        <f t="shared" si="48"/>
        <v>19.299299999999999</v>
      </c>
      <c r="M284">
        <f t="shared" si="49"/>
        <v>2.3205285327</v>
      </c>
      <c r="N284" s="9"/>
      <c r="O284" s="22">
        <v>1.2797499999999999</v>
      </c>
      <c r="P284" s="22">
        <v>100.685</v>
      </c>
      <c r="Q284" s="22">
        <v>-1.8103000000000001E-2</v>
      </c>
      <c r="R284" s="22">
        <v>274</v>
      </c>
      <c r="S284" s="22">
        <v>1.2786900000000001</v>
      </c>
      <c r="T284">
        <f t="shared" si="50"/>
        <v>18.103000000000002</v>
      </c>
      <c r="U284">
        <f t="shared" si="51"/>
        <v>23.16731425</v>
      </c>
      <c r="X284" s="9"/>
      <c r="Y284" s="22">
        <v>0.120239</v>
      </c>
      <c r="Z284" s="22">
        <v>149.62799999999999</v>
      </c>
      <c r="AA284" s="22">
        <v>-1.92932E-2</v>
      </c>
      <c r="AB284" s="22">
        <v>274</v>
      </c>
      <c r="AC284" s="22">
        <v>0.119751</v>
      </c>
      <c r="AD284">
        <f t="shared" si="52"/>
        <v>19.293199999999999</v>
      </c>
      <c r="AE284">
        <f t="shared" si="53"/>
        <v>2.3197950748</v>
      </c>
      <c r="AF284" s="9"/>
      <c r="AG284" s="22">
        <v>1.2797499999999999</v>
      </c>
      <c r="AH284" s="22">
        <v>198.42699999999999</v>
      </c>
      <c r="AI284" s="22">
        <v>-1.8087800000000001E-2</v>
      </c>
      <c r="AJ284" s="22">
        <v>274</v>
      </c>
      <c r="AK284" s="22">
        <v>1.2789900000000001</v>
      </c>
      <c r="AL284">
        <f t="shared" si="54"/>
        <v>18.087800000000001</v>
      </c>
      <c r="AM284">
        <f t="shared" si="55"/>
        <v>23.147862050000001</v>
      </c>
      <c r="AP284" s="9"/>
      <c r="AQ284" s="22">
        <v>0.120239</v>
      </c>
      <c r="AR284" s="22">
        <v>247.196</v>
      </c>
      <c r="AS284" s="22">
        <v>-1.9274900000000001E-2</v>
      </c>
      <c r="AT284" s="22">
        <v>274</v>
      </c>
      <c r="AU284" s="22">
        <v>0.119781</v>
      </c>
      <c r="AV284">
        <f t="shared" si="56"/>
        <v>19.274900000000002</v>
      </c>
      <c r="AW284">
        <f t="shared" si="57"/>
        <v>2.3175947011000004</v>
      </c>
      <c r="AX284" s="9"/>
      <c r="AY284" s="22">
        <v>1.2797499999999999</v>
      </c>
      <c r="AZ284" s="22">
        <v>296.09800000000001</v>
      </c>
      <c r="BA284" s="22">
        <v>-1.80786E-2</v>
      </c>
      <c r="BB284" s="22">
        <v>274</v>
      </c>
      <c r="BC284" s="22">
        <v>1.2786900000000001</v>
      </c>
      <c r="BD284">
        <f t="shared" si="58"/>
        <v>18.078600000000002</v>
      </c>
      <c r="BE284">
        <f t="shared" si="59"/>
        <v>23.136088350000001</v>
      </c>
    </row>
    <row r="285" spans="6:101">
      <c r="F285" s="9"/>
      <c r="G285" s="22">
        <v>0.115204</v>
      </c>
      <c r="H285" s="22">
        <v>51.868699999999997</v>
      </c>
      <c r="I285" s="22">
        <v>-1.9308499999999999E-2</v>
      </c>
      <c r="J285" s="22">
        <v>275</v>
      </c>
      <c r="K285" s="22">
        <v>0.11438</v>
      </c>
      <c r="L285">
        <f t="shared" si="48"/>
        <v>19.308499999999999</v>
      </c>
      <c r="M285">
        <f t="shared" si="49"/>
        <v>2.2244164339999997</v>
      </c>
      <c r="N285" s="9"/>
      <c r="O285" s="22">
        <v>1.2847900000000001</v>
      </c>
      <c r="P285" s="22">
        <v>100.69499999999999</v>
      </c>
      <c r="Q285" s="22">
        <v>-1.8087800000000001E-2</v>
      </c>
      <c r="R285" s="22">
        <v>275</v>
      </c>
      <c r="S285" s="22">
        <v>1.2832600000000001</v>
      </c>
      <c r="T285">
        <f t="shared" si="50"/>
        <v>18.087800000000001</v>
      </c>
      <c r="U285">
        <f t="shared" si="51"/>
        <v>23.239024562000004</v>
      </c>
      <c r="X285" s="9"/>
      <c r="Y285" s="22">
        <v>0.115204</v>
      </c>
      <c r="Z285" s="22">
        <v>149.63800000000001</v>
      </c>
      <c r="AA285" s="22">
        <v>-1.9296299999999999E-2</v>
      </c>
      <c r="AB285" s="22">
        <v>275</v>
      </c>
      <c r="AC285" s="22">
        <v>0.114624</v>
      </c>
      <c r="AD285">
        <f t="shared" si="52"/>
        <v>19.296299999999999</v>
      </c>
      <c r="AE285">
        <f t="shared" si="53"/>
        <v>2.2230109452</v>
      </c>
      <c r="AF285" s="9"/>
      <c r="AG285" s="22">
        <v>1.2847900000000001</v>
      </c>
      <c r="AH285" s="22">
        <v>198.43700000000001</v>
      </c>
      <c r="AI285" s="22">
        <v>-1.80786E-2</v>
      </c>
      <c r="AJ285" s="22">
        <v>275</v>
      </c>
      <c r="AK285" s="22">
        <v>1.2844800000000001</v>
      </c>
      <c r="AL285">
        <f t="shared" si="54"/>
        <v>18.078600000000002</v>
      </c>
      <c r="AM285">
        <f t="shared" si="55"/>
        <v>23.227204494000002</v>
      </c>
      <c r="AP285" s="9"/>
      <c r="AQ285" s="22">
        <v>0.115204</v>
      </c>
      <c r="AR285" s="22">
        <v>247.20599999999999</v>
      </c>
      <c r="AS285" s="22">
        <v>-1.9281E-2</v>
      </c>
      <c r="AT285" s="22">
        <v>275</v>
      </c>
      <c r="AU285" s="22">
        <v>0.114624</v>
      </c>
      <c r="AV285">
        <f t="shared" si="56"/>
        <v>19.280999999999999</v>
      </c>
      <c r="AW285">
        <f t="shared" si="57"/>
        <v>2.2212483239999998</v>
      </c>
      <c r="AX285" s="9"/>
      <c r="AY285" s="22">
        <v>1.2847900000000001</v>
      </c>
      <c r="AZ285" s="22">
        <v>296.108</v>
      </c>
      <c r="BA285" s="22">
        <v>-1.80634E-2</v>
      </c>
      <c r="BB285" s="22">
        <v>275</v>
      </c>
      <c r="BC285" s="22">
        <v>1.2841800000000001</v>
      </c>
      <c r="BD285">
        <f t="shared" si="58"/>
        <v>18.063400000000001</v>
      </c>
      <c r="BE285">
        <f t="shared" si="59"/>
        <v>23.207675686000005</v>
      </c>
    </row>
    <row r="286" spans="6:101">
      <c r="F286" s="9"/>
      <c r="G286" s="22">
        <v>0.110168</v>
      </c>
      <c r="H286" s="22">
        <v>51.878700000000002</v>
      </c>
      <c r="I286" s="22">
        <v>-1.9314600000000001E-2</v>
      </c>
      <c r="J286" s="22">
        <v>276</v>
      </c>
      <c r="K286" s="22">
        <v>0.109558</v>
      </c>
      <c r="L286">
        <f t="shared" si="48"/>
        <v>19.314600000000002</v>
      </c>
      <c r="M286">
        <f t="shared" si="49"/>
        <v>2.1278508528000004</v>
      </c>
      <c r="N286" s="9"/>
      <c r="O286" s="22">
        <v>1.28983</v>
      </c>
      <c r="P286" s="22">
        <v>100.705</v>
      </c>
      <c r="Q286" s="22">
        <v>-1.8069499999999999E-2</v>
      </c>
      <c r="R286" s="22">
        <v>276</v>
      </c>
      <c r="S286" s="22">
        <v>1.2893699999999999</v>
      </c>
      <c r="T286">
        <f t="shared" si="50"/>
        <v>18.069499999999998</v>
      </c>
      <c r="U286">
        <f t="shared" si="51"/>
        <v>23.306583184999997</v>
      </c>
      <c r="X286" s="9"/>
      <c r="Y286" s="22">
        <v>0.110168</v>
      </c>
      <c r="Z286" s="22">
        <v>149.649</v>
      </c>
      <c r="AA286" s="22">
        <v>-1.9302400000000001E-2</v>
      </c>
      <c r="AB286" s="22">
        <v>276</v>
      </c>
      <c r="AC286" s="22">
        <v>0.109711</v>
      </c>
      <c r="AD286">
        <f t="shared" si="52"/>
        <v>19.302400000000002</v>
      </c>
      <c r="AE286">
        <f t="shared" si="53"/>
        <v>2.1265068032000003</v>
      </c>
      <c r="AF286" s="9"/>
      <c r="AG286" s="22">
        <v>1.28983</v>
      </c>
      <c r="AH286" s="22">
        <v>198.447</v>
      </c>
      <c r="AI286" s="22">
        <v>-1.80634E-2</v>
      </c>
      <c r="AJ286" s="22">
        <v>276</v>
      </c>
      <c r="AK286" s="22">
        <v>1.2890600000000001</v>
      </c>
      <c r="AL286">
        <f t="shared" si="54"/>
        <v>18.063400000000001</v>
      </c>
      <c r="AM286">
        <f t="shared" si="55"/>
        <v>23.298715222000002</v>
      </c>
      <c r="AP286" s="9"/>
      <c r="AQ286" s="22">
        <v>0.110168</v>
      </c>
      <c r="AR286" s="22">
        <v>247.21600000000001</v>
      </c>
      <c r="AS286" s="22">
        <v>-1.92902E-2</v>
      </c>
      <c r="AT286" s="22">
        <v>276</v>
      </c>
      <c r="AU286" s="22">
        <v>0.10946699999999999</v>
      </c>
      <c r="AV286">
        <f t="shared" si="56"/>
        <v>19.290199999999999</v>
      </c>
      <c r="AW286">
        <f t="shared" si="57"/>
        <v>2.1251627535999997</v>
      </c>
      <c r="AX286" s="9"/>
      <c r="AY286" s="22">
        <v>1.28983</v>
      </c>
      <c r="AZ286" s="22">
        <v>296.11799999999999</v>
      </c>
      <c r="BA286" s="22">
        <v>-1.8041999999999999E-2</v>
      </c>
      <c r="BB286" s="22">
        <v>276</v>
      </c>
      <c r="BC286" s="22">
        <v>1.2887599999999999</v>
      </c>
      <c r="BD286">
        <f t="shared" si="58"/>
        <v>18.041999999999998</v>
      </c>
      <c r="BE286">
        <f t="shared" si="59"/>
        <v>23.271112859999999</v>
      </c>
    </row>
    <row r="287" spans="6:101">
      <c r="F287" s="9"/>
      <c r="G287" s="22">
        <v>0.105133</v>
      </c>
      <c r="H287" s="22">
        <v>51.888800000000003</v>
      </c>
      <c r="I287" s="22">
        <v>-1.9317600000000001E-2</v>
      </c>
      <c r="J287" s="22">
        <v>277</v>
      </c>
      <c r="K287" s="22">
        <v>0.104431</v>
      </c>
      <c r="L287">
        <f t="shared" si="48"/>
        <v>19.317600000000002</v>
      </c>
      <c r="M287">
        <f t="shared" si="49"/>
        <v>2.0309172408000005</v>
      </c>
      <c r="N287" s="9"/>
      <c r="O287" s="22">
        <v>1.2948599999999999</v>
      </c>
      <c r="P287" s="22">
        <v>100.715</v>
      </c>
      <c r="Q287" s="22">
        <v>-1.8044999999999999E-2</v>
      </c>
      <c r="R287" s="22">
        <v>277</v>
      </c>
      <c r="S287" s="22">
        <v>1.2945599999999999</v>
      </c>
      <c r="T287">
        <f t="shared" si="50"/>
        <v>18.044999999999998</v>
      </c>
      <c r="U287">
        <f t="shared" si="51"/>
        <v>23.365748699999997</v>
      </c>
      <c r="X287" s="9"/>
      <c r="Y287" s="22">
        <v>0.105133</v>
      </c>
      <c r="Z287" s="22">
        <v>149.65899999999999</v>
      </c>
      <c r="AA287" s="22">
        <v>-1.93054E-2</v>
      </c>
      <c r="AB287" s="22">
        <v>277</v>
      </c>
      <c r="AC287" s="22">
        <v>0.10470599999999999</v>
      </c>
      <c r="AD287">
        <f t="shared" si="52"/>
        <v>19.305399999999999</v>
      </c>
      <c r="AE287">
        <f t="shared" si="53"/>
        <v>2.0296346181999998</v>
      </c>
      <c r="AF287" s="9"/>
      <c r="AG287" s="22">
        <v>1.2948599999999999</v>
      </c>
      <c r="AH287" s="22">
        <v>198.45699999999999</v>
      </c>
      <c r="AI287" s="22">
        <v>-1.8041999999999999E-2</v>
      </c>
      <c r="AJ287" s="22">
        <v>277</v>
      </c>
      <c r="AK287" s="22">
        <v>1.2942499999999999</v>
      </c>
      <c r="AL287">
        <f t="shared" si="54"/>
        <v>18.041999999999998</v>
      </c>
      <c r="AM287">
        <f t="shared" si="55"/>
        <v>23.361864119999996</v>
      </c>
      <c r="AP287" s="9"/>
      <c r="AQ287" s="22">
        <v>0.105133</v>
      </c>
      <c r="AR287" s="22">
        <v>247.226</v>
      </c>
      <c r="AS287" s="22">
        <v>-1.9296299999999999E-2</v>
      </c>
      <c r="AT287" s="22">
        <v>277</v>
      </c>
      <c r="AU287" s="22">
        <v>0.10437</v>
      </c>
      <c r="AV287">
        <f t="shared" si="56"/>
        <v>19.296299999999999</v>
      </c>
      <c r="AW287">
        <f t="shared" si="57"/>
        <v>2.0286779079000001</v>
      </c>
      <c r="AX287" s="9"/>
      <c r="AY287" s="22">
        <v>1.2948599999999999</v>
      </c>
      <c r="AZ287" s="22">
        <v>296.12799999999999</v>
      </c>
      <c r="BA287" s="22">
        <v>-1.80237E-2</v>
      </c>
      <c r="BB287" s="22">
        <v>277</v>
      </c>
      <c r="BC287" s="22">
        <v>1.2945599999999999</v>
      </c>
      <c r="BD287">
        <f t="shared" si="58"/>
        <v>18.023700000000002</v>
      </c>
      <c r="BE287">
        <f t="shared" si="59"/>
        <v>23.338168182</v>
      </c>
    </row>
    <row r="288" spans="6:101">
      <c r="F288" s="9"/>
      <c r="G288" s="22">
        <v>0.10009800000000001</v>
      </c>
      <c r="H288" s="22">
        <v>51.898899999999998</v>
      </c>
      <c r="I288" s="22">
        <v>-1.9323699999999999E-2</v>
      </c>
      <c r="J288" s="22">
        <v>278</v>
      </c>
      <c r="K288" s="22">
        <v>9.9609400000000001E-2</v>
      </c>
      <c r="L288">
        <f t="shared" si="48"/>
        <v>19.323699999999999</v>
      </c>
      <c r="M288">
        <f t="shared" si="49"/>
        <v>1.9342637225999999</v>
      </c>
      <c r="N288" s="9"/>
      <c r="O288" s="22">
        <v>1.2999000000000001</v>
      </c>
      <c r="P288" s="22">
        <v>100.72499999999999</v>
      </c>
      <c r="Q288" s="22">
        <v>-1.8020600000000001E-2</v>
      </c>
      <c r="R288" s="22">
        <v>278</v>
      </c>
      <c r="S288" s="22">
        <v>1.2991299999999999</v>
      </c>
      <c r="T288">
        <f t="shared" si="50"/>
        <v>18.020600000000002</v>
      </c>
      <c r="U288">
        <f t="shared" si="51"/>
        <v>23.424977940000002</v>
      </c>
      <c r="X288" s="9"/>
      <c r="Y288" s="22">
        <v>0.10009800000000001</v>
      </c>
      <c r="Z288" s="22">
        <v>149.66900000000001</v>
      </c>
      <c r="AA288" s="22">
        <v>-1.9314600000000001E-2</v>
      </c>
      <c r="AB288" s="22">
        <v>278</v>
      </c>
      <c r="AC288" s="22">
        <v>9.9456799999999998E-2</v>
      </c>
      <c r="AD288">
        <f t="shared" si="52"/>
        <v>19.314600000000002</v>
      </c>
      <c r="AE288">
        <f t="shared" si="53"/>
        <v>1.9333528308000003</v>
      </c>
      <c r="AF288" s="9"/>
      <c r="AG288" s="22">
        <v>1.2999000000000001</v>
      </c>
      <c r="AH288" s="22">
        <v>198.46700000000001</v>
      </c>
      <c r="AI288" s="22">
        <v>-1.80237E-2</v>
      </c>
      <c r="AJ288" s="22">
        <v>278</v>
      </c>
      <c r="AK288" s="22">
        <v>1.2991299999999999</v>
      </c>
      <c r="AL288">
        <f t="shared" si="54"/>
        <v>18.023700000000002</v>
      </c>
      <c r="AM288">
        <f t="shared" si="55"/>
        <v>23.429007630000005</v>
      </c>
      <c r="AP288" s="9"/>
      <c r="AQ288" s="22">
        <v>0.10009800000000001</v>
      </c>
      <c r="AR288" s="22">
        <v>247.23699999999999</v>
      </c>
      <c r="AS288" s="22">
        <v>-1.9299299999999998E-2</v>
      </c>
      <c r="AT288" s="22">
        <v>278</v>
      </c>
      <c r="AU288" s="22">
        <v>9.9609400000000001E-2</v>
      </c>
      <c r="AV288">
        <f t="shared" si="56"/>
        <v>19.299299999999999</v>
      </c>
      <c r="AW288">
        <f t="shared" si="57"/>
        <v>1.9318213313999999</v>
      </c>
      <c r="AX288" s="9"/>
      <c r="AY288" s="22">
        <v>1.2999000000000001</v>
      </c>
      <c r="AZ288" s="22">
        <v>296.13799999999998</v>
      </c>
      <c r="BA288" s="22">
        <v>-1.8008400000000001E-2</v>
      </c>
      <c r="BB288" s="22">
        <v>278</v>
      </c>
      <c r="BC288" s="22">
        <v>1.2991299999999999</v>
      </c>
      <c r="BD288">
        <f t="shared" si="58"/>
        <v>18.008400000000002</v>
      </c>
      <c r="BE288">
        <f t="shared" si="59"/>
        <v>23.409119160000003</v>
      </c>
    </row>
    <row r="289" spans="6:57">
      <c r="F289" s="9"/>
      <c r="G289" s="22">
        <v>9.5062300000000002E-2</v>
      </c>
      <c r="H289" s="22">
        <v>51.908900000000003</v>
      </c>
      <c r="I289" s="22">
        <v>-1.9326800000000002E-2</v>
      </c>
      <c r="J289" s="22">
        <v>279</v>
      </c>
      <c r="K289" s="22">
        <v>9.4451900000000005E-2</v>
      </c>
      <c r="L289">
        <f t="shared" si="48"/>
        <v>19.326800000000002</v>
      </c>
      <c r="M289">
        <f t="shared" si="49"/>
        <v>1.8372500596400003</v>
      </c>
      <c r="N289" s="9"/>
      <c r="O289" s="22">
        <v>1.3049299999999999</v>
      </c>
      <c r="P289" s="22">
        <v>100.735</v>
      </c>
      <c r="Q289" s="22">
        <v>-1.79962E-2</v>
      </c>
      <c r="R289" s="22">
        <v>279</v>
      </c>
      <c r="S289" s="22">
        <v>1.30402</v>
      </c>
      <c r="T289">
        <f t="shared" si="50"/>
        <v>17.996200000000002</v>
      </c>
      <c r="U289">
        <f t="shared" si="51"/>
        <v>23.483781266000001</v>
      </c>
      <c r="X289" s="9"/>
      <c r="Y289" s="22">
        <v>9.5062300000000002E-2</v>
      </c>
      <c r="Z289" s="22">
        <v>149.679</v>
      </c>
      <c r="AA289" s="22">
        <v>-1.93207E-2</v>
      </c>
      <c r="AB289" s="22">
        <v>279</v>
      </c>
      <c r="AC289" s="22">
        <v>9.43909E-2</v>
      </c>
      <c r="AD289">
        <f t="shared" si="52"/>
        <v>19.320699999999999</v>
      </c>
      <c r="AE289">
        <f t="shared" si="53"/>
        <v>1.83667017961</v>
      </c>
      <c r="AF289" s="9"/>
      <c r="AG289" s="22">
        <v>1.3049299999999999</v>
      </c>
      <c r="AH289" s="22">
        <v>198.477</v>
      </c>
      <c r="AI289" s="22">
        <v>-1.8005400000000001E-2</v>
      </c>
      <c r="AJ289" s="22">
        <v>279</v>
      </c>
      <c r="AK289" s="22">
        <v>1.3043199999999999</v>
      </c>
      <c r="AL289">
        <f t="shared" si="54"/>
        <v>18.005400000000002</v>
      </c>
      <c r="AM289">
        <f t="shared" si="55"/>
        <v>23.495786622000001</v>
      </c>
      <c r="AP289" s="9"/>
      <c r="AQ289" s="22">
        <v>9.5062300000000002E-2</v>
      </c>
      <c r="AR289" s="22">
        <v>247.24700000000001</v>
      </c>
      <c r="AS289" s="22">
        <v>-1.9302400000000001E-2</v>
      </c>
      <c r="AT289" s="22">
        <v>279</v>
      </c>
      <c r="AU289" s="22">
        <v>9.4543500000000003E-2</v>
      </c>
      <c r="AV289">
        <f t="shared" si="56"/>
        <v>19.302400000000002</v>
      </c>
      <c r="AW289">
        <f t="shared" si="57"/>
        <v>1.8349305395200002</v>
      </c>
      <c r="AX289" s="9"/>
      <c r="AY289" s="22">
        <v>1.3049299999999999</v>
      </c>
      <c r="AZ289" s="22">
        <v>296.14800000000002</v>
      </c>
      <c r="BA289" s="22">
        <v>-1.7987099999999999E-2</v>
      </c>
      <c r="BB289" s="22">
        <v>279</v>
      </c>
      <c r="BC289" s="22">
        <v>1.3043199999999999</v>
      </c>
      <c r="BD289">
        <f t="shared" si="58"/>
        <v>17.987099999999998</v>
      </c>
      <c r="BE289">
        <f t="shared" si="59"/>
        <v>23.471906402999995</v>
      </c>
    </row>
    <row r="290" spans="6:57">
      <c r="F290" s="9"/>
      <c r="G290" s="22">
        <v>9.0026900000000007E-2</v>
      </c>
      <c r="H290" s="22">
        <v>51.918999999999997</v>
      </c>
      <c r="I290" s="22">
        <v>-1.9329800000000001E-2</v>
      </c>
      <c r="J290" s="22">
        <v>280</v>
      </c>
      <c r="K290" s="22">
        <v>8.9202900000000002E-2</v>
      </c>
      <c r="L290">
        <f t="shared" si="48"/>
        <v>19.329800000000002</v>
      </c>
      <c r="M290">
        <f t="shared" si="49"/>
        <v>1.7402019716200003</v>
      </c>
      <c r="N290" s="9"/>
      <c r="O290" s="22">
        <v>1.3099700000000001</v>
      </c>
      <c r="P290" s="22">
        <v>100.745</v>
      </c>
      <c r="Q290" s="22">
        <v>-1.79718E-2</v>
      </c>
      <c r="R290" s="22">
        <v>280</v>
      </c>
      <c r="S290" s="22">
        <v>1.3091999999999999</v>
      </c>
      <c r="T290">
        <f t="shared" si="50"/>
        <v>17.971799999999998</v>
      </c>
      <c r="U290">
        <f t="shared" si="51"/>
        <v>23.542518846</v>
      </c>
      <c r="X290" s="9"/>
      <c r="Y290" s="22">
        <v>9.0026900000000007E-2</v>
      </c>
      <c r="Z290" s="22">
        <v>149.68899999999999</v>
      </c>
      <c r="AA290" s="22">
        <v>-1.9323699999999999E-2</v>
      </c>
      <c r="AB290" s="22">
        <v>280</v>
      </c>
      <c r="AC290" s="22">
        <v>8.9416499999999996E-2</v>
      </c>
      <c r="AD290">
        <f t="shared" si="52"/>
        <v>19.323699999999999</v>
      </c>
      <c r="AE290">
        <f t="shared" si="53"/>
        <v>1.73965280753</v>
      </c>
      <c r="AF290" s="9"/>
      <c r="AG290" s="22">
        <v>1.3099700000000001</v>
      </c>
      <c r="AH290" s="22">
        <v>198.48699999999999</v>
      </c>
      <c r="AI290" s="22">
        <v>-1.7981E-2</v>
      </c>
      <c r="AJ290" s="22">
        <v>280</v>
      </c>
      <c r="AK290" s="22">
        <v>1.3091999999999999</v>
      </c>
      <c r="AL290">
        <f t="shared" si="54"/>
        <v>17.981000000000002</v>
      </c>
      <c r="AM290">
        <f t="shared" si="55"/>
        <v>23.554570570000003</v>
      </c>
      <c r="AP290" s="9"/>
      <c r="AQ290" s="22">
        <v>9.0026900000000007E-2</v>
      </c>
      <c r="AR290" s="22">
        <v>247.25700000000001</v>
      </c>
      <c r="AS290" s="22">
        <v>-1.9308499999999999E-2</v>
      </c>
      <c r="AT290" s="22">
        <v>280</v>
      </c>
      <c r="AU290" s="22">
        <v>8.9569099999999999E-2</v>
      </c>
      <c r="AV290">
        <f t="shared" si="56"/>
        <v>19.308499999999999</v>
      </c>
      <c r="AW290">
        <f t="shared" si="57"/>
        <v>1.7382843986500001</v>
      </c>
      <c r="AX290" s="9"/>
      <c r="AY290" s="22">
        <v>1.3099700000000001</v>
      </c>
      <c r="AZ290" s="22">
        <v>296.15800000000002</v>
      </c>
      <c r="BA290" s="22">
        <v>-1.7965700000000001E-2</v>
      </c>
      <c r="BB290" s="22">
        <v>280</v>
      </c>
      <c r="BC290" s="22">
        <v>1.3091999999999999</v>
      </c>
      <c r="BD290">
        <f t="shared" si="58"/>
        <v>17.965700000000002</v>
      </c>
      <c r="BE290">
        <f t="shared" si="59"/>
        <v>23.534528029000004</v>
      </c>
    </row>
    <row r="291" spans="6:57">
      <c r="F291" s="9"/>
      <c r="G291" s="22">
        <v>8.4991499999999998E-2</v>
      </c>
      <c r="H291" s="22">
        <v>51.929099999999998</v>
      </c>
      <c r="I291" s="22">
        <v>-1.9329800000000001E-2</v>
      </c>
      <c r="J291" s="22">
        <v>281</v>
      </c>
      <c r="K291" s="22">
        <v>8.4320099999999995E-2</v>
      </c>
      <c r="L291">
        <f t="shared" si="48"/>
        <v>19.329800000000002</v>
      </c>
      <c r="M291">
        <f t="shared" si="49"/>
        <v>1.6428686967000001</v>
      </c>
      <c r="N291" s="9"/>
      <c r="O291" s="22">
        <v>1.3149999999999999</v>
      </c>
      <c r="P291" s="22">
        <v>100.756</v>
      </c>
      <c r="Q291" s="22">
        <v>-1.79443E-2</v>
      </c>
      <c r="R291" s="22">
        <v>281</v>
      </c>
      <c r="S291" s="22">
        <v>1.3143899999999999</v>
      </c>
      <c r="T291">
        <f t="shared" si="50"/>
        <v>17.944299999999998</v>
      </c>
      <c r="U291">
        <f t="shared" si="51"/>
        <v>23.596754499999996</v>
      </c>
      <c r="X291" s="9"/>
      <c r="Y291" s="22">
        <v>8.4991499999999998E-2</v>
      </c>
      <c r="Z291" s="22">
        <v>149.69900000000001</v>
      </c>
      <c r="AA291" s="22">
        <v>-1.9326800000000002E-2</v>
      </c>
      <c r="AB291" s="22">
        <v>281</v>
      </c>
      <c r="AC291" s="22">
        <v>8.4350599999999998E-2</v>
      </c>
      <c r="AD291">
        <f t="shared" si="52"/>
        <v>19.326800000000002</v>
      </c>
      <c r="AE291">
        <f t="shared" si="53"/>
        <v>1.6426137222000001</v>
      </c>
      <c r="AF291" s="9"/>
      <c r="AG291" s="22">
        <v>1.3149999999999999</v>
      </c>
      <c r="AH291" s="22">
        <v>198.49700000000001</v>
      </c>
      <c r="AI291" s="22">
        <v>-1.79565E-2</v>
      </c>
      <c r="AJ291" s="22">
        <v>281</v>
      </c>
      <c r="AK291" s="22">
        <v>1.3143899999999999</v>
      </c>
      <c r="AL291">
        <f t="shared" si="54"/>
        <v>17.956500000000002</v>
      </c>
      <c r="AM291">
        <f t="shared" si="55"/>
        <v>23.612797500000003</v>
      </c>
      <c r="AP291" s="9"/>
      <c r="AQ291" s="22">
        <v>8.4991499999999998E-2</v>
      </c>
      <c r="AR291" s="22">
        <v>247.267</v>
      </c>
      <c r="AS291" s="22">
        <v>-1.9314600000000001E-2</v>
      </c>
      <c r="AT291" s="22">
        <v>281</v>
      </c>
      <c r="AU291" s="22">
        <v>8.4259000000000001E-2</v>
      </c>
      <c r="AV291">
        <f t="shared" si="56"/>
        <v>19.314600000000002</v>
      </c>
      <c r="AW291">
        <f t="shared" si="57"/>
        <v>1.6415768259000001</v>
      </c>
      <c r="AX291" s="9"/>
      <c r="AY291" s="22">
        <v>1.3149999999999999</v>
      </c>
      <c r="AZ291" s="22">
        <v>296.16800000000001</v>
      </c>
      <c r="BA291" s="22">
        <v>-1.79413E-2</v>
      </c>
      <c r="BB291" s="22">
        <v>281</v>
      </c>
      <c r="BC291" s="22">
        <v>1.3143899999999999</v>
      </c>
      <c r="BD291">
        <f t="shared" si="58"/>
        <v>17.941300000000002</v>
      </c>
      <c r="BE291">
        <f t="shared" si="59"/>
        <v>23.592809500000001</v>
      </c>
    </row>
    <row r="292" spans="6:57">
      <c r="F292" s="9"/>
      <c r="G292" s="22">
        <v>7.9956100000000002E-2</v>
      </c>
      <c r="H292" s="22">
        <v>51.9392</v>
      </c>
      <c r="I292" s="22">
        <v>-1.93359E-2</v>
      </c>
      <c r="J292" s="22">
        <v>282</v>
      </c>
      <c r="K292" s="22">
        <v>7.9559299999999999E-2</v>
      </c>
      <c r="L292">
        <f t="shared" si="48"/>
        <v>19.335899999999999</v>
      </c>
      <c r="M292">
        <f t="shared" si="49"/>
        <v>1.54602315399</v>
      </c>
      <c r="N292" s="9"/>
      <c r="O292" s="22">
        <v>1.3200400000000001</v>
      </c>
      <c r="P292" s="22">
        <v>100.76600000000001</v>
      </c>
      <c r="Q292" s="22">
        <v>-1.7910800000000001E-2</v>
      </c>
      <c r="R292" s="22">
        <v>282</v>
      </c>
      <c r="S292" s="22">
        <v>1.3192699999999999</v>
      </c>
      <c r="T292">
        <f t="shared" si="50"/>
        <v>17.910800000000002</v>
      </c>
      <c r="U292">
        <f t="shared" si="51"/>
        <v>23.642972432000004</v>
      </c>
      <c r="X292" s="9"/>
      <c r="Y292" s="22">
        <v>7.9956100000000002E-2</v>
      </c>
      <c r="Z292" s="22">
        <v>149.709</v>
      </c>
      <c r="AA292" s="22">
        <v>-1.9329800000000001E-2</v>
      </c>
      <c r="AB292" s="22">
        <v>282</v>
      </c>
      <c r="AC292" s="22">
        <v>7.9467800000000005E-2</v>
      </c>
      <c r="AD292">
        <f t="shared" si="52"/>
        <v>19.329800000000002</v>
      </c>
      <c r="AE292">
        <f t="shared" si="53"/>
        <v>1.5455354217800001</v>
      </c>
      <c r="AF292" s="9"/>
      <c r="AG292" s="22">
        <v>1.3200400000000001</v>
      </c>
      <c r="AH292" s="22">
        <v>198.50700000000001</v>
      </c>
      <c r="AI292" s="22">
        <v>-1.7926000000000001E-2</v>
      </c>
      <c r="AJ292" s="22">
        <v>282</v>
      </c>
      <c r="AK292" s="22">
        <v>1.31897</v>
      </c>
      <c r="AL292">
        <f t="shared" si="54"/>
        <v>17.926000000000002</v>
      </c>
      <c r="AM292">
        <f t="shared" si="55"/>
        <v>23.663037040000006</v>
      </c>
      <c r="AP292" s="9"/>
      <c r="AQ292" s="22">
        <v>7.9956100000000002E-2</v>
      </c>
      <c r="AR292" s="22">
        <v>247.27699999999999</v>
      </c>
      <c r="AS292" s="22">
        <v>-1.9317600000000001E-2</v>
      </c>
      <c r="AT292" s="22">
        <v>282</v>
      </c>
      <c r="AU292" s="22">
        <v>7.9498299999999994E-2</v>
      </c>
      <c r="AV292">
        <f t="shared" si="56"/>
        <v>19.317600000000002</v>
      </c>
      <c r="AW292">
        <f t="shared" si="57"/>
        <v>1.5445599573600002</v>
      </c>
      <c r="AX292" s="9"/>
      <c r="AY292" s="22">
        <v>1.3200400000000001</v>
      </c>
      <c r="AZ292" s="22">
        <v>296.178</v>
      </c>
      <c r="BA292" s="22">
        <v>-1.7913800000000001E-2</v>
      </c>
      <c r="BB292" s="22">
        <v>282</v>
      </c>
      <c r="BC292" s="22">
        <v>1.31989</v>
      </c>
      <c r="BD292">
        <f t="shared" si="58"/>
        <v>17.913800000000002</v>
      </c>
      <c r="BE292">
        <f t="shared" si="59"/>
        <v>23.646932552000003</v>
      </c>
    </row>
    <row r="293" spans="6:57">
      <c r="F293" s="9"/>
      <c r="G293" s="22">
        <v>7.4920700000000007E-2</v>
      </c>
      <c r="H293" s="22">
        <v>51.949199999999998</v>
      </c>
      <c r="I293" s="22">
        <v>-1.9342000000000002E-2</v>
      </c>
      <c r="J293" s="22">
        <v>283</v>
      </c>
      <c r="K293" s="22">
        <v>7.4127200000000004E-2</v>
      </c>
      <c r="L293">
        <f t="shared" si="48"/>
        <v>19.342000000000002</v>
      </c>
      <c r="M293">
        <f t="shared" si="49"/>
        <v>1.4491161794000003</v>
      </c>
      <c r="N293" s="9"/>
      <c r="O293" s="22">
        <v>1.32507</v>
      </c>
      <c r="P293" s="22">
        <v>100.776</v>
      </c>
      <c r="Q293" s="22">
        <v>-1.7877199999999999E-2</v>
      </c>
      <c r="R293" s="22">
        <v>283</v>
      </c>
      <c r="S293" s="22">
        <v>1.32385</v>
      </c>
      <c r="T293">
        <f t="shared" si="50"/>
        <v>17.877199999999998</v>
      </c>
      <c r="U293">
        <f t="shared" si="51"/>
        <v>23.688541403999999</v>
      </c>
      <c r="X293" s="9"/>
      <c r="Y293" s="22">
        <v>7.4920700000000007E-2</v>
      </c>
      <c r="Z293" s="22">
        <v>149.71899999999999</v>
      </c>
      <c r="AA293" s="22">
        <v>-1.93329E-2</v>
      </c>
      <c r="AB293" s="22">
        <v>283</v>
      </c>
      <c r="AC293" s="22">
        <v>7.4371300000000001E-2</v>
      </c>
      <c r="AD293">
        <f t="shared" si="52"/>
        <v>19.332899999999999</v>
      </c>
      <c r="AE293">
        <f t="shared" si="53"/>
        <v>1.4484344010300001</v>
      </c>
      <c r="AF293" s="9"/>
      <c r="AG293" s="22">
        <v>1.32507</v>
      </c>
      <c r="AH293" s="22">
        <v>198.517</v>
      </c>
      <c r="AI293" s="22">
        <v>-1.7895500000000002E-2</v>
      </c>
      <c r="AJ293" s="22">
        <v>283</v>
      </c>
      <c r="AK293" s="22">
        <v>1.32446</v>
      </c>
      <c r="AL293">
        <f t="shared" si="54"/>
        <v>17.895500000000002</v>
      </c>
      <c r="AM293">
        <f t="shared" si="55"/>
        <v>23.712790185000003</v>
      </c>
      <c r="AP293" s="9"/>
      <c r="AQ293" s="22">
        <v>7.4920700000000007E-2</v>
      </c>
      <c r="AR293" s="22">
        <v>247.28700000000001</v>
      </c>
      <c r="AS293" s="22">
        <v>-1.93207E-2</v>
      </c>
      <c r="AT293" s="22">
        <v>283</v>
      </c>
      <c r="AU293" s="22">
        <v>7.4157699999999993E-2</v>
      </c>
      <c r="AV293">
        <f t="shared" si="56"/>
        <v>19.320699999999999</v>
      </c>
      <c r="AW293">
        <f t="shared" si="57"/>
        <v>1.44752036849</v>
      </c>
      <c r="AX293" s="9"/>
      <c r="AY293" s="22">
        <v>1.32507</v>
      </c>
      <c r="AZ293" s="22">
        <v>296.18799999999999</v>
      </c>
      <c r="BA293" s="22">
        <v>-1.7880199999999999E-2</v>
      </c>
      <c r="BB293" s="22">
        <v>283</v>
      </c>
      <c r="BC293" s="22">
        <v>1.32446</v>
      </c>
      <c r="BD293">
        <f t="shared" si="58"/>
        <v>17.880199999999999</v>
      </c>
      <c r="BE293">
        <f t="shared" si="59"/>
        <v>23.692516613999999</v>
      </c>
    </row>
    <row r="294" spans="6:57">
      <c r="F294" s="9"/>
      <c r="G294" s="22">
        <v>6.9885299999999997E-2</v>
      </c>
      <c r="H294" s="22">
        <v>51.959299999999999</v>
      </c>
      <c r="I294" s="22">
        <v>-1.93481E-2</v>
      </c>
      <c r="J294" s="22">
        <v>284</v>
      </c>
      <c r="K294" s="22">
        <v>6.9305400000000003E-2</v>
      </c>
      <c r="L294">
        <f t="shared" si="48"/>
        <v>19.348099999999999</v>
      </c>
      <c r="M294">
        <f t="shared" si="49"/>
        <v>1.3521477729299998</v>
      </c>
      <c r="N294" s="9"/>
      <c r="O294" s="22">
        <v>1.3301099999999999</v>
      </c>
      <c r="P294" s="22">
        <v>100.786</v>
      </c>
      <c r="Q294" s="22">
        <v>-1.78345E-2</v>
      </c>
      <c r="R294" s="22">
        <v>284</v>
      </c>
      <c r="S294" s="22">
        <v>1.32935</v>
      </c>
      <c r="T294">
        <f t="shared" si="50"/>
        <v>17.834499999999998</v>
      </c>
      <c r="U294">
        <f t="shared" si="51"/>
        <v>23.721846794999998</v>
      </c>
      <c r="X294" s="9"/>
      <c r="Y294" s="22">
        <v>6.9885299999999997E-2</v>
      </c>
      <c r="Z294" s="22">
        <v>149.72900000000001</v>
      </c>
      <c r="AA294" s="22">
        <v>-1.9342000000000002E-2</v>
      </c>
      <c r="AB294" s="22">
        <v>284</v>
      </c>
      <c r="AC294" s="22">
        <v>6.91528E-2</v>
      </c>
      <c r="AD294">
        <f t="shared" si="52"/>
        <v>19.342000000000002</v>
      </c>
      <c r="AE294">
        <f t="shared" si="53"/>
        <v>1.3517214726000002</v>
      </c>
      <c r="AF294" s="9"/>
      <c r="AG294" s="22">
        <v>1.3301099999999999</v>
      </c>
      <c r="AH294" s="22">
        <v>198.52799999999999</v>
      </c>
      <c r="AI294" s="22">
        <v>-1.7855800000000002E-2</v>
      </c>
      <c r="AJ294" s="22">
        <v>284</v>
      </c>
      <c r="AK294" s="22">
        <v>1.32904</v>
      </c>
      <c r="AL294">
        <f t="shared" si="54"/>
        <v>17.855800000000002</v>
      </c>
      <c r="AM294">
        <f t="shared" si="55"/>
        <v>23.750178138000003</v>
      </c>
      <c r="AP294" s="9"/>
      <c r="AQ294" s="22">
        <v>6.9885299999999997E-2</v>
      </c>
      <c r="AR294" s="22">
        <v>247.297</v>
      </c>
      <c r="AS294" s="22">
        <v>-1.9326800000000002E-2</v>
      </c>
      <c r="AT294" s="22">
        <v>284</v>
      </c>
      <c r="AU294" s="22">
        <v>6.9397E-2</v>
      </c>
      <c r="AV294">
        <f t="shared" si="56"/>
        <v>19.326800000000002</v>
      </c>
      <c r="AW294">
        <f t="shared" si="57"/>
        <v>1.3506592160400002</v>
      </c>
      <c r="AX294" s="9"/>
      <c r="AY294" s="22">
        <v>1.3301099999999999</v>
      </c>
      <c r="AZ294" s="22">
        <v>296.19799999999998</v>
      </c>
      <c r="BA294" s="22">
        <v>-1.7843600000000001E-2</v>
      </c>
      <c r="BB294" s="22">
        <v>284</v>
      </c>
      <c r="BC294" s="22">
        <v>1.32904</v>
      </c>
      <c r="BD294">
        <f t="shared" si="58"/>
        <v>17.843600000000002</v>
      </c>
      <c r="BE294">
        <f t="shared" si="59"/>
        <v>23.733950796000002</v>
      </c>
    </row>
    <row r="295" spans="6:57">
      <c r="F295" s="9"/>
      <c r="G295" s="22">
        <v>6.4849900000000002E-2</v>
      </c>
      <c r="H295" s="22">
        <v>51.9694</v>
      </c>
      <c r="I295" s="22">
        <v>-1.9351199999999999E-2</v>
      </c>
      <c r="J295" s="22">
        <v>285</v>
      </c>
      <c r="K295" s="22">
        <v>6.4422599999999997E-2</v>
      </c>
      <c r="L295">
        <f t="shared" si="48"/>
        <v>19.351199999999999</v>
      </c>
      <c r="M295">
        <f t="shared" si="49"/>
        <v>1.2549233848799999</v>
      </c>
      <c r="N295" s="9"/>
      <c r="O295" s="22">
        <v>1.33514</v>
      </c>
      <c r="P295" s="22">
        <v>100.79600000000001</v>
      </c>
      <c r="Q295" s="22">
        <v>-1.7788700000000001E-2</v>
      </c>
      <c r="R295" s="22">
        <v>285</v>
      </c>
      <c r="S295" s="22">
        <v>1.33453</v>
      </c>
      <c r="T295">
        <f t="shared" si="50"/>
        <v>17.788700000000002</v>
      </c>
      <c r="U295">
        <f t="shared" si="51"/>
        <v>23.750404918000005</v>
      </c>
      <c r="X295" s="9"/>
      <c r="Y295" s="22">
        <v>6.4849900000000002E-2</v>
      </c>
      <c r="Z295" s="22">
        <v>149.739</v>
      </c>
      <c r="AA295" s="22">
        <v>-1.93451E-2</v>
      </c>
      <c r="AB295" s="22">
        <v>285</v>
      </c>
      <c r="AC295" s="22">
        <v>6.3964800000000002E-2</v>
      </c>
      <c r="AD295">
        <f t="shared" si="52"/>
        <v>19.345100000000002</v>
      </c>
      <c r="AE295">
        <f t="shared" si="53"/>
        <v>1.2545278004900002</v>
      </c>
      <c r="AF295" s="9"/>
      <c r="AG295" s="22">
        <v>1.33514</v>
      </c>
      <c r="AH295" s="22">
        <v>198.53800000000001</v>
      </c>
      <c r="AI295" s="22">
        <v>-1.7813099999999998E-2</v>
      </c>
      <c r="AJ295" s="22">
        <v>285</v>
      </c>
      <c r="AK295" s="22">
        <v>1.33423</v>
      </c>
      <c r="AL295">
        <f t="shared" si="54"/>
        <v>17.813099999999999</v>
      </c>
      <c r="AM295">
        <f t="shared" si="55"/>
        <v>23.782982334</v>
      </c>
      <c r="AP295" s="9"/>
      <c r="AQ295" s="22">
        <v>6.4849900000000002E-2</v>
      </c>
      <c r="AR295" s="22">
        <v>247.30699999999999</v>
      </c>
      <c r="AS295" s="22">
        <v>-1.93329E-2</v>
      </c>
      <c r="AT295" s="22">
        <v>285</v>
      </c>
      <c r="AU295" s="22">
        <v>6.4361600000000005E-2</v>
      </c>
      <c r="AV295">
        <f t="shared" si="56"/>
        <v>19.332899999999999</v>
      </c>
      <c r="AW295">
        <f t="shared" si="57"/>
        <v>1.25373663171</v>
      </c>
      <c r="AX295" s="9"/>
      <c r="AY295" s="22">
        <v>1.33514</v>
      </c>
      <c r="AZ295" s="22">
        <v>296.20800000000003</v>
      </c>
      <c r="BA295" s="22">
        <v>-1.7807E-2</v>
      </c>
      <c r="BB295" s="22">
        <v>285</v>
      </c>
      <c r="BC295" s="22">
        <v>1.33392</v>
      </c>
      <c r="BD295">
        <f t="shared" si="58"/>
        <v>17.806999999999999</v>
      </c>
      <c r="BE295">
        <f t="shared" si="59"/>
        <v>23.774837979999997</v>
      </c>
    </row>
    <row r="296" spans="6:57">
      <c r="F296" s="9"/>
      <c r="G296" s="22">
        <v>5.98145E-2</v>
      </c>
      <c r="H296" s="22">
        <v>51.979399999999998</v>
      </c>
      <c r="I296" s="22">
        <v>-1.9354199999999998E-2</v>
      </c>
      <c r="J296" s="22">
        <v>286</v>
      </c>
      <c r="K296" s="22">
        <v>5.9234599999999998E-2</v>
      </c>
      <c r="L296">
        <f t="shared" si="48"/>
        <v>19.354199999999999</v>
      </c>
      <c r="M296">
        <f t="shared" si="49"/>
        <v>1.1576617959</v>
      </c>
      <c r="N296" s="9"/>
      <c r="O296" s="22">
        <v>1.3401799999999999</v>
      </c>
      <c r="P296" s="22">
        <v>100.806</v>
      </c>
      <c r="Q296" s="22">
        <v>-1.77368E-2</v>
      </c>
      <c r="R296" s="22">
        <v>286</v>
      </c>
      <c r="S296" s="22">
        <v>1.3388100000000001</v>
      </c>
      <c r="T296">
        <f t="shared" si="50"/>
        <v>17.736799999999999</v>
      </c>
      <c r="U296">
        <f t="shared" si="51"/>
        <v>23.770504623999997</v>
      </c>
      <c r="X296" s="9"/>
      <c r="Y296" s="22">
        <v>5.98145E-2</v>
      </c>
      <c r="Z296" s="22">
        <v>149.749</v>
      </c>
      <c r="AA296" s="22">
        <v>-1.9351199999999999E-2</v>
      </c>
      <c r="AB296" s="22">
        <v>286</v>
      </c>
      <c r="AC296" s="22">
        <v>5.9387200000000001E-2</v>
      </c>
      <c r="AD296">
        <f t="shared" si="52"/>
        <v>19.351199999999999</v>
      </c>
      <c r="AE296">
        <f t="shared" si="53"/>
        <v>1.1574823524</v>
      </c>
      <c r="AF296" s="9"/>
      <c r="AG296" s="22">
        <v>1.3401799999999999</v>
      </c>
      <c r="AH296" s="22">
        <v>198.548</v>
      </c>
      <c r="AI296" s="22">
        <v>-1.77673E-2</v>
      </c>
      <c r="AJ296" s="22">
        <v>286</v>
      </c>
      <c r="AK296" s="22">
        <v>1.3394200000000001</v>
      </c>
      <c r="AL296">
        <f t="shared" si="54"/>
        <v>17.767299999999999</v>
      </c>
      <c r="AM296">
        <f t="shared" si="55"/>
        <v>23.811380113999999</v>
      </c>
      <c r="AP296" s="9"/>
      <c r="AQ296" s="22">
        <v>5.98145E-2</v>
      </c>
      <c r="AR296" s="22">
        <v>247.31700000000001</v>
      </c>
      <c r="AS296" s="22">
        <v>-1.93329E-2</v>
      </c>
      <c r="AT296" s="22">
        <v>286</v>
      </c>
      <c r="AU296" s="22">
        <v>5.9082000000000003E-2</v>
      </c>
      <c r="AV296">
        <f t="shared" si="56"/>
        <v>19.332899999999999</v>
      </c>
      <c r="AW296">
        <f t="shared" si="57"/>
        <v>1.1563877470499999</v>
      </c>
      <c r="AX296" s="9"/>
      <c r="AY296" s="22">
        <v>1.3401799999999999</v>
      </c>
      <c r="AZ296" s="22">
        <v>296.21899999999999</v>
      </c>
      <c r="BA296" s="22">
        <v>-1.7758199999999998E-2</v>
      </c>
      <c r="BB296" s="22">
        <v>286</v>
      </c>
      <c r="BC296" s="22">
        <v>1.3394200000000001</v>
      </c>
      <c r="BD296">
        <f t="shared" si="58"/>
        <v>17.758199999999999</v>
      </c>
      <c r="BE296">
        <f t="shared" si="59"/>
        <v>23.799184475999997</v>
      </c>
    </row>
    <row r="297" spans="6:57">
      <c r="F297" s="9"/>
      <c r="G297" s="22">
        <v>5.4779099999999997E-2</v>
      </c>
      <c r="H297" s="22">
        <v>51.9895</v>
      </c>
      <c r="I297" s="22">
        <v>-1.9357300000000001E-2</v>
      </c>
      <c r="J297" s="22">
        <v>287</v>
      </c>
      <c r="K297" s="22">
        <v>5.3955099999999999E-2</v>
      </c>
      <c r="L297">
        <f t="shared" si="48"/>
        <v>19.357300000000002</v>
      </c>
      <c r="M297">
        <f t="shared" si="49"/>
        <v>1.0603754724300001</v>
      </c>
      <c r="N297" s="9"/>
      <c r="O297" s="22">
        <v>1.34521</v>
      </c>
      <c r="P297" s="22">
        <v>100.816</v>
      </c>
      <c r="Q297" s="22">
        <v>-1.76819E-2</v>
      </c>
      <c r="R297" s="22">
        <v>287</v>
      </c>
      <c r="S297" s="22">
        <v>1.3436900000000001</v>
      </c>
      <c r="T297">
        <f t="shared" si="50"/>
        <v>17.681899999999999</v>
      </c>
      <c r="U297">
        <f t="shared" si="51"/>
        <v>23.785868698999998</v>
      </c>
      <c r="X297" s="9"/>
      <c r="Y297" s="22">
        <v>5.4779099999999997E-2</v>
      </c>
      <c r="Z297" s="22">
        <v>149.75899999999999</v>
      </c>
      <c r="AA297" s="22">
        <v>-1.9354199999999998E-2</v>
      </c>
      <c r="AB297" s="22">
        <v>287</v>
      </c>
      <c r="AC297" s="22">
        <v>5.4260299999999997E-2</v>
      </c>
      <c r="AD297">
        <f t="shared" si="52"/>
        <v>19.354199999999999</v>
      </c>
      <c r="AE297">
        <f t="shared" si="53"/>
        <v>1.0602056572199998</v>
      </c>
      <c r="AF297" s="9"/>
      <c r="AG297" s="22">
        <v>1.34521</v>
      </c>
      <c r="AH297" s="22">
        <v>198.55799999999999</v>
      </c>
      <c r="AI297" s="22">
        <v>-1.7715499999999999E-2</v>
      </c>
      <c r="AJ297" s="22">
        <v>287</v>
      </c>
      <c r="AK297" s="22">
        <v>1.34399</v>
      </c>
      <c r="AL297">
        <f t="shared" si="54"/>
        <v>17.715499999999999</v>
      </c>
      <c r="AM297">
        <f t="shared" si="55"/>
        <v>23.831067754999999</v>
      </c>
      <c r="AP297" s="9"/>
      <c r="AQ297" s="22">
        <v>5.4779099999999997E-2</v>
      </c>
      <c r="AR297" s="22">
        <v>247.327</v>
      </c>
      <c r="AS297" s="22">
        <v>-1.93329E-2</v>
      </c>
      <c r="AT297" s="22">
        <v>287</v>
      </c>
      <c r="AU297" s="22">
        <v>5.4260299999999997E-2</v>
      </c>
      <c r="AV297">
        <f t="shared" si="56"/>
        <v>19.332899999999999</v>
      </c>
      <c r="AW297">
        <f t="shared" si="57"/>
        <v>1.0590388623899998</v>
      </c>
      <c r="AX297" s="9"/>
      <c r="AY297" s="22">
        <v>1.34521</v>
      </c>
      <c r="AZ297" s="22">
        <v>296.22899999999998</v>
      </c>
      <c r="BA297" s="22">
        <v>-1.7703199999999999E-2</v>
      </c>
      <c r="BB297" s="22">
        <v>287</v>
      </c>
      <c r="BC297" s="22">
        <v>1.3446</v>
      </c>
      <c r="BD297">
        <f t="shared" si="58"/>
        <v>17.703199999999999</v>
      </c>
      <c r="BE297">
        <f t="shared" si="59"/>
        <v>23.814521671999998</v>
      </c>
    </row>
    <row r="298" spans="6:57">
      <c r="F298" s="9"/>
      <c r="G298" s="22">
        <v>4.9743700000000002E-2</v>
      </c>
      <c r="H298" s="22">
        <v>51.999600000000001</v>
      </c>
      <c r="I298" s="22">
        <v>-1.9363399999999999E-2</v>
      </c>
      <c r="J298" s="22">
        <v>288</v>
      </c>
      <c r="K298" s="22">
        <v>4.9755899999999999E-2</v>
      </c>
      <c r="L298">
        <f t="shared" si="48"/>
        <v>19.363399999999999</v>
      </c>
      <c r="M298">
        <f t="shared" si="49"/>
        <v>0.96320716058</v>
      </c>
      <c r="N298" s="9"/>
      <c r="O298" s="22">
        <v>1.35025</v>
      </c>
      <c r="P298" s="22">
        <v>100.82599999999999</v>
      </c>
      <c r="Q298" s="22">
        <v>-1.7617799999999999E-2</v>
      </c>
      <c r="R298" s="22">
        <v>288</v>
      </c>
      <c r="S298" s="22">
        <v>1.3494900000000001</v>
      </c>
      <c r="T298">
        <f t="shared" si="50"/>
        <v>17.617799999999999</v>
      </c>
      <c r="U298">
        <f t="shared" si="51"/>
        <v>23.788434449999997</v>
      </c>
      <c r="X298" s="9"/>
      <c r="Y298" s="22">
        <v>4.9743700000000002E-2</v>
      </c>
      <c r="Z298" s="22">
        <v>149.76900000000001</v>
      </c>
      <c r="AA298" s="22">
        <v>-1.9357300000000001E-2</v>
      </c>
      <c r="AB298" s="22">
        <v>288</v>
      </c>
      <c r="AC298" s="22">
        <v>4.9496499999999999E-2</v>
      </c>
      <c r="AD298">
        <f t="shared" si="52"/>
        <v>19.357300000000002</v>
      </c>
      <c r="AE298">
        <f t="shared" si="53"/>
        <v>0.96290372401000013</v>
      </c>
      <c r="AF298" s="9"/>
      <c r="AG298" s="22">
        <v>1.35025</v>
      </c>
      <c r="AH298" s="22">
        <v>198.56800000000001</v>
      </c>
      <c r="AI298" s="22">
        <v>-1.7663600000000002E-2</v>
      </c>
      <c r="AJ298" s="22">
        <v>288</v>
      </c>
      <c r="AK298" s="22">
        <v>1.3494900000000001</v>
      </c>
      <c r="AL298">
        <f t="shared" si="54"/>
        <v>17.663600000000002</v>
      </c>
      <c r="AM298">
        <f t="shared" si="55"/>
        <v>23.850275900000003</v>
      </c>
      <c r="AP298" s="9"/>
      <c r="AQ298" s="22">
        <v>4.9743700000000002E-2</v>
      </c>
      <c r="AR298" s="22">
        <v>247.33699999999999</v>
      </c>
      <c r="AS298" s="22">
        <v>-1.9338999999999999E-2</v>
      </c>
      <c r="AT298" s="22">
        <v>288</v>
      </c>
      <c r="AU298" s="22">
        <v>4.9527000000000002E-2</v>
      </c>
      <c r="AV298">
        <f t="shared" si="56"/>
        <v>19.338999999999999</v>
      </c>
      <c r="AW298">
        <f t="shared" si="57"/>
        <v>0.96199341429999996</v>
      </c>
      <c r="AX298" s="9"/>
      <c r="AY298" s="22">
        <v>1.35025</v>
      </c>
      <c r="AZ298" s="22">
        <v>296.23899999999998</v>
      </c>
      <c r="BA298" s="22">
        <v>-1.7645299999999999E-2</v>
      </c>
      <c r="BB298" s="22">
        <v>288</v>
      </c>
      <c r="BC298" s="22">
        <v>1.3494900000000001</v>
      </c>
      <c r="BD298">
        <f t="shared" si="58"/>
        <v>17.645299999999999</v>
      </c>
      <c r="BE298">
        <f t="shared" si="59"/>
        <v>23.825566324999997</v>
      </c>
    </row>
    <row r="299" spans="6:57">
      <c r="F299" s="9"/>
      <c r="G299" s="22">
        <v>4.4708299999999999E-2</v>
      </c>
      <c r="H299" s="22">
        <v>52.009700000000002</v>
      </c>
      <c r="I299" s="22">
        <v>-1.93726E-2</v>
      </c>
      <c r="J299" s="22">
        <v>289</v>
      </c>
      <c r="K299" s="22">
        <v>4.4677700000000001E-2</v>
      </c>
      <c r="L299">
        <f t="shared" si="48"/>
        <v>19.372599999999998</v>
      </c>
      <c r="M299">
        <f t="shared" si="49"/>
        <v>0.86611601257999993</v>
      </c>
      <c r="N299" s="9"/>
      <c r="O299" s="22">
        <v>1.3552900000000001</v>
      </c>
      <c r="P299" s="22">
        <v>100.836</v>
      </c>
      <c r="Q299" s="22">
        <v>-1.75446E-2</v>
      </c>
      <c r="R299" s="22">
        <v>289</v>
      </c>
      <c r="S299" s="22">
        <v>1.35406</v>
      </c>
      <c r="T299">
        <f t="shared" si="50"/>
        <v>17.544599999999999</v>
      </c>
      <c r="U299">
        <f t="shared" si="51"/>
        <v>23.778020934000001</v>
      </c>
      <c r="X299" s="9"/>
      <c r="Y299" s="22">
        <v>4.4708299999999999E-2</v>
      </c>
      <c r="Z299" s="22">
        <v>149.779</v>
      </c>
      <c r="AA299" s="22">
        <v>-1.9363399999999999E-2</v>
      </c>
      <c r="AB299" s="22">
        <v>289</v>
      </c>
      <c r="AC299" s="22">
        <v>4.4494600000000002E-2</v>
      </c>
      <c r="AD299">
        <f t="shared" si="52"/>
        <v>19.363399999999999</v>
      </c>
      <c r="AE299">
        <f t="shared" si="53"/>
        <v>0.8657046962199999</v>
      </c>
      <c r="AF299" s="9"/>
      <c r="AG299" s="22">
        <v>1.3552900000000001</v>
      </c>
      <c r="AH299" s="22">
        <v>198.578</v>
      </c>
      <c r="AI299" s="22">
        <v>-1.76025E-2</v>
      </c>
      <c r="AJ299" s="22">
        <v>289</v>
      </c>
      <c r="AK299" s="22">
        <v>1.35406</v>
      </c>
      <c r="AL299">
        <f t="shared" si="54"/>
        <v>17.602499999999999</v>
      </c>
      <c r="AM299">
        <f t="shared" si="55"/>
        <v>23.856492225</v>
      </c>
      <c r="AP299" s="9"/>
      <c r="AQ299" s="22">
        <v>4.4708299999999999E-2</v>
      </c>
      <c r="AR299" s="22">
        <v>247.34700000000001</v>
      </c>
      <c r="AS299" s="22">
        <v>-1.9342000000000002E-2</v>
      </c>
      <c r="AT299" s="22">
        <v>289</v>
      </c>
      <c r="AU299" s="22">
        <v>4.47479E-2</v>
      </c>
      <c r="AV299">
        <f t="shared" si="56"/>
        <v>19.342000000000002</v>
      </c>
      <c r="AW299">
        <f t="shared" si="57"/>
        <v>0.8647479386000001</v>
      </c>
      <c r="AX299" s="9"/>
      <c r="AY299" s="22">
        <v>1.3552900000000001</v>
      </c>
      <c r="AZ299" s="22">
        <v>296.24900000000002</v>
      </c>
      <c r="BA299" s="22">
        <v>-1.7584200000000001E-2</v>
      </c>
      <c r="BB299" s="22">
        <v>289</v>
      </c>
      <c r="BC299" s="22">
        <v>1.3546800000000001</v>
      </c>
      <c r="BD299">
        <f t="shared" si="58"/>
        <v>17.584200000000003</v>
      </c>
      <c r="BE299">
        <f t="shared" si="59"/>
        <v>23.831690418000004</v>
      </c>
    </row>
    <row r="300" spans="6:57">
      <c r="F300" s="9"/>
      <c r="G300" s="22">
        <v>3.9672899999999997E-2</v>
      </c>
      <c r="H300" s="22">
        <v>52.0197</v>
      </c>
      <c r="I300" s="22">
        <v>-1.9378699999999999E-2</v>
      </c>
      <c r="J300" s="22">
        <v>290</v>
      </c>
      <c r="K300" s="22">
        <v>3.9630100000000001E-2</v>
      </c>
      <c r="L300">
        <f t="shared" si="48"/>
        <v>19.378699999999998</v>
      </c>
      <c r="M300">
        <f t="shared" si="49"/>
        <v>0.76880922722999989</v>
      </c>
      <c r="N300" s="9"/>
      <c r="O300" s="22">
        <v>1.36032</v>
      </c>
      <c r="P300" s="22">
        <v>100.846</v>
      </c>
      <c r="Q300" s="22">
        <v>-1.7468299999999999E-2</v>
      </c>
      <c r="R300" s="22">
        <v>290</v>
      </c>
      <c r="S300" s="22">
        <v>1.3595600000000001</v>
      </c>
      <c r="T300">
        <f t="shared" si="50"/>
        <v>17.468299999999999</v>
      </c>
      <c r="U300">
        <f t="shared" si="51"/>
        <v>23.762477856</v>
      </c>
      <c r="X300" s="9"/>
      <c r="Y300" s="22">
        <v>3.9672899999999997E-2</v>
      </c>
      <c r="Z300" s="22">
        <v>149.79</v>
      </c>
      <c r="AA300" s="22">
        <v>-1.9366499999999998E-2</v>
      </c>
      <c r="AB300" s="22">
        <v>290</v>
      </c>
      <c r="AC300" s="22">
        <v>3.9660599999999997E-2</v>
      </c>
      <c r="AD300">
        <f t="shared" si="52"/>
        <v>19.366499999999998</v>
      </c>
      <c r="AE300">
        <f t="shared" si="53"/>
        <v>0.76832521784999985</v>
      </c>
      <c r="AF300" s="9"/>
      <c r="AG300" s="22">
        <v>1.36032</v>
      </c>
      <c r="AH300" s="22">
        <v>198.58799999999999</v>
      </c>
      <c r="AI300" s="22">
        <v>-1.75354E-2</v>
      </c>
      <c r="AJ300" s="22">
        <v>290</v>
      </c>
      <c r="AK300" s="22">
        <v>1.3592500000000001</v>
      </c>
      <c r="AL300">
        <f t="shared" si="54"/>
        <v>17.535399999999999</v>
      </c>
      <c r="AM300">
        <f t="shared" si="55"/>
        <v>23.853755327999998</v>
      </c>
      <c r="AP300" s="9"/>
      <c r="AQ300" s="22">
        <v>3.9672899999999997E-2</v>
      </c>
      <c r="AR300" s="22">
        <v>247.357</v>
      </c>
      <c r="AS300" s="22">
        <v>-1.93481E-2</v>
      </c>
      <c r="AT300" s="22">
        <v>290</v>
      </c>
      <c r="AU300" s="22">
        <v>3.95813E-2</v>
      </c>
      <c r="AV300">
        <f t="shared" si="56"/>
        <v>19.348099999999999</v>
      </c>
      <c r="AW300">
        <f t="shared" si="57"/>
        <v>0.76759523648999994</v>
      </c>
      <c r="AX300" s="9"/>
      <c r="AY300" s="22">
        <v>1.36032</v>
      </c>
      <c r="AZ300" s="22">
        <v>296.25900000000001</v>
      </c>
      <c r="BA300" s="22">
        <v>-1.7513999999999998E-2</v>
      </c>
      <c r="BB300" s="22">
        <v>290</v>
      </c>
      <c r="BC300" s="22">
        <v>1.3598600000000001</v>
      </c>
      <c r="BD300">
        <f t="shared" si="58"/>
        <v>17.513999999999999</v>
      </c>
      <c r="BE300">
        <f t="shared" si="59"/>
        <v>23.82464448</v>
      </c>
    </row>
    <row r="301" spans="6:57">
      <c r="F301" s="9"/>
      <c r="G301" s="22">
        <v>3.4637500000000002E-2</v>
      </c>
      <c r="H301" s="22">
        <v>52.029800000000002</v>
      </c>
      <c r="I301" s="22">
        <v>-1.9381700000000002E-2</v>
      </c>
      <c r="J301" s="22">
        <v>291</v>
      </c>
      <c r="K301" s="22">
        <v>3.4637500000000002E-2</v>
      </c>
      <c r="L301">
        <f t="shared" si="48"/>
        <v>19.381700000000002</v>
      </c>
      <c r="M301">
        <f t="shared" si="49"/>
        <v>0.6713336337500001</v>
      </c>
      <c r="N301" s="9"/>
      <c r="O301" s="22">
        <v>1.3653599999999999</v>
      </c>
      <c r="P301" s="22">
        <v>100.85599999999999</v>
      </c>
      <c r="Q301" s="22">
        <v>-1.73828E-2</v>
      </c>
      <c r="R301" s="22">
        <v>291</v>
      </c>
      <c r="S301" s="22">
        <v>1.3647499999999999</v>
      </c>
      <c r="T301">
        <f t="shared" si="50"/>
        <v>17.3828</v>
      </c>
      <c r="U301">
        <f t="shared" si="51"/>
        <v>23.733779807999998</v>
      </c>
      <c r="X301" s="9"/>
      <c r="Y301" s="22">
        <v>3.4637500000000002E-2</v>
      </c>
      <c r="Z301" s="22">
        <v>149.80000000000001</v>
      </c>
      <c r="AA301" s="22">
        <v>-1.93726E-2</v>
      </c>
      <c r="AB301" s="22">
        <v>291</v>
      </c>
      <c r="AC301" s="22">
        <v>3.4899899999999998E-2</v>
      </c>
      <c r="AD301">
        <f t="shared" si="52"/>
        <v>19.372599999999998</v>
      </c>
      <c r="AE301">
        <f t="shared" si="53"/>
        <v>0.67101843249999993</v>
      </c>
      <c r="AF301" s="9"/>
      <c r="AG301" s="22">
        <v>1.3653599999999999</v>
      </c>
      <c r="AH301" s="22">
        <v>198.59800000000001</v>
      </c>
      <c r="AI301" s="22">
        <v>-1.7456099999999999E-2</v>
      </c>
      <c r="AJ301" s="22">
        <v>291</v>
      </c>
      <c r="AK301" s="22">
        <v>1.3638300000000001</v>
      </c>
      <c r="AL301">
        <f t="shared" si="54"/>
        <v>17.456099999999999</v>
      </c>
      <c r="AM301">
        <f t="shared" si="55"/>
        <v>23.833860695999999</v>
      </c>
      <c r="AP301" s="9"/>
      <c r="AQ301" s="22">
        <v>3.4637500000000002E-2</v>
      </c>
      <c r="AR301" s="22">
        <v>247.36699999999999</v>
      </c>
      <c r="AS301" s="22">
        <v>-1.9351199999999999E-2</v>
      </c>
      <c r="AT301" s="22">
        <v>291</v>
      </c>
      <c r="AU301" s="22">
        <v>3.4658799999999997E-2</v>
      </c>
      <c r="AV301">
        <f t="shared" si="56"/>
        <v>19.351199999999999</v>
      </c>
      <c r="AW301">
        <f t="shared" si="57"/>
        <v>0.67027718999999997</v>
      </c>
      <c r="AX301" s="9"/>
      <c r="AY301" s="22">
        <v>1.3653599999999999</v>
      </c>
      <c r="AZ301" s="22">
        <v>296.26900000000001</v>
      </c>
      <c r="BA301" s="22">
        <v>-1.74377E-2</v>
      </c>
      <c r="BB301" s="22">
        <v>291</v>
      </c>
      <c r="BC301" s="22">
        <v>1.3653599999999999</v>
      </c>
      <c r="BD301">
        <f t="shared" si="58"/>
        <v>17.4377</v>
      </c>
      <c r="BE301">
        <f t="shared" si="59"/>
        <v>23.808738071999997</v>
      </c>
    </row>
    <row r="302" spans="6:57">
      <c r="F302" s="9"/>
      <c r="G302" s="22">
        <v>2.9602099999999999E-2</v>
      </c>
      <c r="H302" s="22">
        <v>52.039900000000003</v>
      </c>
      <c r="I302" s="22">
        <v>-1.93878E-2</v>
      </c>
      <c r="J302" s="22">
        <v>292</v>
      </c>
      <c r="K302" s="22">
        <v>2.9693600000000001E-2</v>
      </c>
      <c r="L302">
        <f t="shared" si="48"/>
        <v>19.387799999999999</v>
      </c>
      <c r="M302">
        <f t="shared" si="49"/>
        <v>0.57391959437999995</v>
      </c>
      <c r="N302" s="9"/>
      <c r="O302" s="22">
        <v>1.37039</v>
      </c>
      <c r="P302" s="22">
        <v>100.866</v>
      </c>
      <c r="Q302" s="22">
        <v>-1.7282100000000002E-2</v>
      </c>
      <c r="R302" s="22">
        <v>292</v>
      </c>
      <c r="S302" s="22">
        <v>1.3696299999999999</v>
      </c>
      <c r="T302">
        <f t="shared" si="50"/>
        <v>17.282100000000003</v>
      </c>
      <c r="U302">
        <f t="shared" si="51"/>
        <v>23.683217019000004</v>
      </c>
      <c r="X302" s="9"/>
      <c r="Y302" s="22">
        <v>2.9602099999999999E-2</v>
      </c>
      <c r="Z302" s="22">
        <v>149.81</v>
      </c>
      <c r="AA302" s="22">
        <v>-1.93756E-2</v>
      </c>
      <c r="AB302" s="22">
        <v>292</v>
      </c>
      <c r="AC302" s="22">
        <v>2.9187000000000001E-2</v>
      </c>
      <c r="AD302">
        <f t="shared" si="52"/>
        <v>19.375599999999999</v>
      </c>
      <c r="AE302">
        <f t="shared" si="53"/>
        <v>0.57355844875999995</v>
      </c>
      <c r="AF302" s="9"/>
      <c r="AG302" s="22">
        <v>1.37039</v>
      </c>
      <c r="AH302" s="22">
        <v>198.608</v>
      </c>
      <c r="AI302" s="22">
        <v>-1.7361499999999998E-2</v>
      </c>
      <c r="AJ302" s="22">
        <v>292</v>
      </c>
      <c r="AK302" s="22">
        <v>1.3696299999999999</v>
      </c>
      <c r="AL302">
        <f t="shared" si="54"/>
        <v>17.361499999999999</v>
      </c>
      <c r="AM302">
        <f t="shared" si="55"/>
        <v>23.792025984999999</v>
      </c>
      <c r="AP302" s="9"/>
      <c r="AQ302" s="22">
        <v>2.9602099999999999E-2</v>
      </c>
      <c r="AR302" s="22">
        <v>247.37799999999999</v>
      </c>
      <c r="AS302" s="22">
        <v>-1.9357300000000001E-2</v>
      </c>
      <c r="AT302" s="22">
        <v>292</v>
      </c>
      <c r="AU302" s="22">
        <v>2.9418900000000001E-2</v>
      </c>
      <c r="AV302">
        <f t="shared" si="56"/>
        <v>19.357300000000002</v>
      </c>
      <c r="AW302">
        <f t="shared" si="57"/>
        <v>0.57301673033</v>
      </c>
      <c r="AX302" s="9"/>
      <c r="AY302" s="22">
        <v>1.37039</v>
      </c>
      <c r="AZ302" s="22">
        <v>296.279</v>
      </c>
      <c r="BA302" s="22">
        <v>-1.7355300000000001E-2</v>
      </c>
      <c r="BB302" s="22">
        <v>292</v>
      </c>
      <c r="BC302" s="22">
        <v>1.3687100000000001</v>
      </c>
      <c r="BD302">
        <f t="shared" si="58"/>
        <v>17.3553</v>
      </c>
      <c r="BE302">
        <f t="shared" si="59"/>
        <v>23.783529566999999</v>
      </c>
    </row>
    <row r="303" spans="6:57">
      <c r="F303" s="9"/>
      <c r="G303" s="22">
        <v>2.45667E-2</v>
      </c>
      <c r="H303" s="22">
        <v>52.049900000000001</v>
      </c>
      <c r="I303" s="22">
        <v>-1.9390899999999999E-2</v>
      </c>
      <c r="J303" s="22">
        <v>293</v>
      </c>
      <c r="K303" s="22">
        <v>2.4472000000000001E-2</v>
      </c>
      <c r="L303">
        <f t="shared" si="48"/>
        <v>19.390899999999998</v>
      </c>
      <c r="M303">
        <f t="shared" si="49"/>
        <v>0.47637042302999999</v>
      </c>
      <c r="N303" s="9"/>
      <c r="O303" s="22">
        <v>1.3754299999999999</v>
      </c>
      <c r="P303" s="22">
        <v>100.876</v>
      </c>
      <c r="Q303" s="22">
        <v>-1.7178300000000001E-2</v>
      </c>
      <c r="R303" s="22">
        <v>293</v>
      </c>
      <c r="S303" s="22">
        <v>1.3738999999999999</v>
      </c>
      <c r="T303">
        <f t="shared" si="50"/>
        <v>17.1783</v>
      </c>
      <c r="U303">
        <f t="shared" si="51"/>
        <v>23.627549168999998</v>
      </c>
      <c r="X303" s="9"/>
      <c r="Y303" s="22">
        <v>2.45667E-2</v>
      </c>
      <c r="Z303" s="22">
        <v>149.82</v>
      </c>
      <c r="AA303" s="22">
        <v>-1.9378699999999999E-2</v>
      </c>
      <c r="AB303" s="22">
        <v>293</v>
      </c>
      <c r="AC303" s="22">
        <v>2.44324E-2</v>
      </c>
      <c r="AD303">
        <f t="shared" si="52"/>
        <v>19.378699999999998</v>
      </c>
      <c r="AE303">
        <f t="shared" si="53"/>
        <v>0.47607070928999995</v>
      </c>
      <c r="AF303" s="9"/>
      <c r="AG303" s="22">
        <v>1.3754299999999999</v>
      </c>
      <c r="AH303" s="22">
        <v>198.61799999999999</v>
      </c>
      <c r="AI303" s="22">
        <v>-1.7272900000000001E-2</v>
      </c>
      <c r="AJ303" s="22">
        <v>293</v>
      </c>
      <c r="AK303" s="22">
        <v>1.3745099999999999</v>
      </c>
      <c r="AL303">
        <f t="shared" si="54"/>
        <v>17.2729</v>
      </c>
      <c r="AM303">
        <f t="shared" si="55"/>
        <v>23.757664846999997</v>
      </c>
      <c r="AP303" s="9"/>
      <c r="AQ303" s="22">
        <v>2.45667E-2</v>
      </c>
      <c r="AR303" s="22">
        <v>247.38800000000001</v>
      </c>
      <c r="AS303" s="22">
        <v>-1.9366499999999998E-2</v>
      </c>
      <c r="AT303" s="22">
        <v>293</v>
      </c>
      <c r="AU303" s="22">
        <v>2.4493399999999999E-2</v>
      </c>
      <c r="AV303">
        <f t="shared" si="56"/>
        <v>19.366499999999998</v>
      </c>
      <c r="AW303">
        <f t="shared" si="57"/>
        <v>0.47577099554999996</v>
      </c>
      <c r="AX303" s="9"/>
      <c r="AY303" s="22">
        <v>1.3754299999999999</v>
      </c>
      <c r="AZ303" s="22">
        <v>296.28899999999999</v>
      </c>
      <c r="BA303" s="22">
        <v>-1.7251599999999999E-2</v>
      </c>
      <c r="BB303" s="22">
        <v>293</v>
      </c>
      <c r="BC303" s="22">
        <v>1.3745099999999999</v>
      </c>
      <c r="BD303">
        <f t="shared" si="58"/>
        <v>17.2516</v>
      </c>
      <c r="BE303">
        <f t="shared" si="59"/>
        <v>23.728368187999997</v>
      </c>
    </row>
    <row r="304" spans="6:57">
      <c r="F304" s="9"/>
      <c r="G304" s="22">
        <v>1.9531300000000001E-2</v>
      </c>
      <c r="H304" s="22">
        <v>52.06</v>
      </c>
      <c r="I304" s="22">
        <v>-1.9400000000000001E-2</v>
      </c>
      <c r="J304" s="22">
        <v>294</v>
      </c>
      <c r="K304" s="22">
        <v>1.9131499999999999E-2</v>
      </c>
      <c r="L304">
        <f t="shared" si="48"/>
        <v>19.400000000000002</v>
      </c>
      <c r="M304">
        <f t="shared" si="49"/>
        <v>0.37890722000000004</v>
      </c>
      <c r="N304" s="9"/>
      <c r="O304" s="22">
        <v>1.38046</v>
      </c>
      <c r="P304" s="22">
        <v>100.886</v>
      </c>
      <c r="Q304" s="22">
        <v>-1.7053200000000001E-2</v>
      </c>
      <c r="R304" s="22">
        <v>294</v>
      </c>
      <c r="S304" s="22">
        <v>1.3796999999999999</v>
      </c>
      <c r="T304">
        <f t="shared" si="50"/>
        <v>17.0532</v>
      </c>
      <c r="U304">
        <f t="shared" si="51"/>
        <v>23.541260472000001</v>
      </c>
      <c r="X304" s="9"/>
      <c r="Y304" s="22">
        <v>1.9531300000000001E-2</v>
      </c>
      <c r="Z304" s="22">
        <v>149.83000000000001</v>
      </c>
      <c r="AA304" s="22">
        <v>-1.9381700000000002E-2</v>
      </c>
      <c r="AB304" s="22">
        <v>294</v>
      </c>
      <c r="AC304" s="22">
        <v>1.9491600000000001E-2</v>
      </c>
      <c r="AD304">
        <f t="shared" si="52"/>
        <v>19.381700000000002</v>
      </c>
      <c r="AE304">
        <f t="shared" si="53"/>
        <v>0.37854979721000009</v>
      </c>
      <c r="AF304" s="9"/>
      <c r="AG304" s="22">
        <v>1.38046</v>
      </c>
      <c r="AH304" s="22">
        <v>198.62799999999999</v>
      </c>
      <c r="AI304" s="22">
        <v>-1.7163100000000001E-2</v>
      </c>
      <c r="AJ304" s="22">
        <v>294</v>
      </c>
      <c r="AK304" s="22">
        <v>1.38</v>
      </c>
      <c r="AL304">
        <f t="shared" si="54"/>
        <v>17.1631</v>
      </c>
      <c r="AM304">
        <f t="shared" si="55"/>
        <v>23.692973026000001</v>
      </c>
      <c r="AP304" s="9"/>
      <c r="AQ304" s="22">
        <v>1.9531300000000001E-2</v>
      </c>
      <c r="AR304" s="22">
        <v>247.398</v>
      </c>
      <c r="AS304" s="22">
        <v>-1.9369500000000001E-2</v>
      </c>
      <c r="AT304" s="22">
        <v>294</v>
      </c>
      <c r="AU304" s="22">
        <v>1.9314600000000001E-2</v>
      </c>
      <c r="AV304">
        <f t="shared" si="56"/>
        <v>19.369500000000002</v>
      </c>
      <c r="AW304">
        <f t="shared" si="57"/>
        <v>0.37831151535000007</v>
      </c>
      <c r="AX304" s="9"/>
      <c r="AY304" s="22">
        <v>1.38046</v>
      </c>
      <c r="AZ304" s="22">
        <v>296.29899999999998</v>
      </c>
      <c r="BA304" s="22">
        <v>-1.7141699999999999E-2</v>
      </c>
      <c r="BB304" s="22">
        <v>294</v>
      </c>
      <c r="BC304" s="22">
        <v>1.3796999999999999</v>
      </c>
      <c r="BD304">
        <f t="shared" si="58"/>
        <v>17.1417</v>
      </c>
      <c r="BE304">
        <f t="shared" si="59"/>
        <v>23.663431182</v>
      </c>
    </row>
    <row r="305" spans="6:57">
      <c r="F305" s="9"/>
      <c r="G305" s="22">
        <v>1.44958E-2</v>
      </c>
      <c r="H305" s="22">
        <v>52.070099999999996</v>
      </c>
      <c r="I305" s="22">
        <v>-1.94031E-2</v>
      </c>
      <c r="J305" s="22">
        <v>295</v>
      </c>
      <c r="K305" s="22">
        <v>1.45264E-2</v>
      </c>
      <c r="L305">
        <f t="shared" si="48"/>
        <v>19.403099999999998</v>
      </c>
      <c r="M305">
        <f t="shared" si="49"/>
        <v>0.28126345697999999</v>
      </c>
      <c r="N305" s="9"/>
      <c r="O305" s="22">
        <v>1.3855</v>
      </c>
      <c r="P305" s="22">
        <v>100.896</v>
      </c>
      <c r="Q305" s="22">
        <v>-1.6924999999999999E-2</v>
      </c>
      <c r="R305" s="22">
        <v>295</v>
      </c>
      <c r="S305" s="22">
        <v>1.3845799999999999</v>
      </c>
      <c r="T305">
        <f t="shared" si="50"/>
        <v>16.925000000000001</v>
      </c>
      <c r="U305">
        <f t="shared" si="51"/>
        <v>23.4495875</v>
      </c>
      <c r="X305" s="9"/>
      <c r="Y305" s="22">
        <v>1.44958E-2</v>
      </c>
      <c r="Z305" s="22">
        <v>149.84</v>
      </c>
      <c r="AA305" s="22">
        <v>-1.93878E-2</v>
      </c>
      <c r="AB305" s="22">
        <v>295</v>
      </c>
      <c r="AC305" s="22">
        <v>1.41449E-2</v>
      </c>
      <c r="AD305">
        <f t="shared" si="52"/>
        <v>19.387799999999999</v>
      </c>
      <c r="AE305">
        <f t="shared" si="53"/>
        <v>0.28104167123999996</v>
      </c>
      <c r="AF305" s="9"/>
      <c r="AG305" s="22">
        <v>1.3855</v>
      </c>
      <c r="AH305" s="22">
        <v>198.63800000000001</v>
      </c>
      <c r="AI305" s="22">
        <v>-1.7053200000000001E-2</v>
      </c>
      <c r="AJ305" s="22">
        <v>295</v>
      </c>
      <c r="AK305" s="22">
        <v>1.3845799999999999</v>
      </c>
      <c r="AL305">
        <f t="shared" si="54"/>
        <v>17.0532</v>
      </c>
      <c r="AM305">
        <f t="shared" si="55"/>
        <v>23.627208599999999</v>
      </c>
      <c r="AP305" s="9"/>
      <c r="AQ305" s="22">
        <v>1.44958E-2</v>
      </c>
      <c r="AR305" s="22">
        <v>247.40799999999999</v>
      </c>
      <c r="AS305" s="22">
        <v>-1.93756E-2</v>
      </c>
      <c r="AT305" s="22">
        <v>295</v>
      </c>
      <c r="AU305" s="22">
        <v>1.4483599999999999E-2</v>
      </c>
      <c r="AV305">
        <f t="shared" si="56"/>
        <v>19.375599999999999</v>
      </c>
      <c r="AW305">
        <f t="shared" si="57"/>
        <v>0.28086482248</v>
      </c>
      <c r="AX305" s="9"/>
      <c r="AY305" s="22">
        <v>1.3855</v>
      </c>
      <c r="AZ305" s="22">
        <v>296.30900000000003</v>
      </c>
      <c r="BA305" s="22">
        <v>-1.70166E-2</v>
      </c>
      <c r="BB305" s="22">
        <v>295</v>
      </c>
      <c r="BC305" s="22">
        <v>1.3845799999999999</v>
      </c>
      <c r="BD305">
        <f t="shared" si="58"/>
        <v>17.0166</v>
      </c>
      <c r="BE305">
        <f t="shared" si="59"/>
        <v>23.576499299999998</v>
      </c>
    </row>
    <row r="306" spans="6:57">
      <c r="F306" s="9"/>
      <c r="G306" s="22">
        <v>9.4604500000000005E-3</v>
      </c>
      <c r="H306" s="22">
        <v>52.080199999999998</v>
      </c>
      <c r="I306" s="22">
        <v>-1.9406099999999999E-2</v>
      </c>
      <c r="J306" s="22">
        <v>296</v>
      </c>
      <c r="K306" s="22">
        <v>9.3597400000000001E-3</v>
      </c>
      <c r="L306">
        <f t="shared" si="48"/>
        <v>19.406099999999999</v>
      </c>
      <c r="M306">
        <f t="shared" si="49"/>
        <v>0.183590438745</v>
      </c>
      <c r="N306" s="9"/>
      <c r="O306" s="22">
        <v>1.39053</v>
      </c>
      <c r="P306" s="22">
        <v>100.907</v>
      </c>
      <c r="Q306" s="22">
        <v>-1.6763299999999998E-2</v>
      </c>
      <c r="R306" s="22">
        <v>296</v>
      </c>
      <c r="S306" s="22">
        <v>1.3897699999999999</v>
      </c>
      <c r="T306">
        <f t="shared" si="50"/>
        <v>16.763299999999997</v>
      </c>
      <c r="U306">
        <f t="shared" si="51"/>
        <v>23.309871548999997</v>
      </c>
      <c r="X306" s="9"/>
      <c r="Y306" s="22">
        <v>9.4604500000000005E-3</v>
      </c>
      <c r="Z306" s="22">
        <v>149.85</v>
      </c>
      <c r="AA306" s="22">
        <v>-1.9393899999999999E-2</v>
      </c>
      <c r="AB306" s="22">
        <v>296</v>
      </c>
      <c r="AC306" s="22">
        <v>9.0454100000000003E-3</v>
      </c>
      <c r="AD306">
        <f t="shared" si="52"/>
        <v>19.393899999999999</v>
      </c>
      <c r="AE306">
        <f t="shared" si="53"/>
        <v>0.18347502125500001</v>
      </c>
      <c r="AF306" s="9"/>
      <c r="AG306" s="22">
        <v>1.39053</v>
      </c>
      <c r="AH306" s="22">
        <v>198.648</v>
      </c>
      <c r="AI306" s="22">
        <v>-1.6915900000000001E-2</v>
      </c>
      <c r="AJ306" s="22">
        <v>296</v>
      </c>
      <c r="AK306" s="22">
        <v>1.39008</v>
      </c>
      <c r="AL306">
        <f t="shared" si="54"/>
        <v>16.915900000000001</v>
      </c>
      <c r="AM306">
        <f t="shared" si="55"/>
        <v>23.522066427000002</v>
      </c>
      <c r="AP306" s="9"/>
      <c r="AQ306" s="22">
        <v>9.4604500000000005E-3</v>
      </c>
      <c r="AR306" s="22">
        <v>247.41800000000001</v>
      </c>
      <c r="AS306" s="22">
        <v>-1.9378699999999999E-2</v>
      </c>
      <c r="AT306" s="22">
        <v>296</v>
      </c>
      <c r="AU306" s="22">
        <v>9.1186500000000007E-3</v>
      </c>
      <c r="AV306">
        <f t="shared" si="56"/>
        <v>19.378699999999998</v>
      </c>
      <c r="AW306">
        <f t="shared" si="57"/>
        <v>0.18333122241499999</v>
      </c>
      <c r="AX306" s="9"/>
      <c r="AY306" s="22">
        <v>1.39053</v>
      </c>
      <c r="AZ306" s="22">
        <v>296.31900000000002</v>
      </c>
      <c r="BA306" s="22">
        <v>-1.6888400000000001E-2</v>
      </c>
      <c r="BB306" s="22">
        <v>296</v>
      </c>
      <c r="BC306" s="22">
        <v>1.39008</v>
      </c>
      <c r="BD306">
        <f t="shared" si="58"/>
        <v>16.888400000000001</v>
      </c>
      <c r="BE306">
        <f t="shared" si="59"/>
        <v>23.483826852000004</v>
      </c>
    </row>
    <row r="307" spans="6:57">
      <c r="F307" s="9"/>
      <c r="G307" s="22">
        <v>4.4250499999999998E-3</v>
      </c>
      <c r="H307" s="22">
        <v>52.090200000000003</v>
      </c>
      <c r="I307" s="22">
        <v>-1.9409200000000001E-2</v>
      </c>
      <c r="J307" s="22">
        <v>297</v>
      </c>
      <c r="K307" s="22">
        <v>4.3670699999999998E-3</v>
      </c>
      <c r="L307">
        <f t="shared" si="48"/>
        <v>19.409200000000002</v>
      </c>
      <c r="M307">
        <f t="shared" si="49"/>
        <v>8.5886680460000003E-2</v>
      </c>
      <c r="N307" s="9"/>
      <c r="O307" s="22">
        <v>1.39557</v>
      </c>
      <c r="P307" s="22">
        <v>100.917</v>
      </c>
      <c r="Q307" s="22">
        <v>-1.6598499999999999E-2</v>
      </c>
      <c r="R307" s="22">
        <v>297</v>
      </c>
      <c r="S307" s="22">
        <v>1.3946499999999999</v>
      </c>
      <c r="T307">
        <f t="shared" si="50"/>
        <v>16.598499999999998</v>
      </c>
      <c r="U307">
        <f t="shared" si="51"/>
        <v>23.164368644999996</v>
      </c>
      <c r="X307" s="9"/>
      <c r="Y307" s="22">
        <v>4.4250499999999998E-3</v>
      </c>
      <c r="Z307" s="22">
        <v>149.86000000000001</v>
      </c>
      <c r="AA307" s="22">
        <v>-1.9397000000000001E-2</v>
      </c>
      <c r="AB307" s="22">
        <v>297</v>
      </c>
      <c r="AC307" s="22">
        <v>4.2663600000000003E-3</v>
      </c>
      <c r="AD307">
        <f t="shared" si="52"/>
        <v>19.397000000000002</v>
      </c>
      <c r="AE307">
        <f t="shared" si="53"/>
        <v>8.5832694850000002E-2</v>
      </c>
      <c r="AF307" s="9"/>
      <c r="AG307" s="22">
        <v>1.39557</v>
      </c>
      <c r="AH307" s="22">
        <v>198.65799999999999</v>
      </c>
      <c r="AI307" s="22">
        <v>-1.6772499999999999E-2</v>
      </c>
      <c r="AJ307" s="22">
        <v>297</v>
      </c>
      <c r="AK307" s="22">
        <v>1.3946499999999999</v>
      </c>
      <c r="AL307">
        <f t="shared" si="54"/>
        <v>16.772500000000001</v>
      </c>
      <c r="AM307">
        <f t="shared" si="55"/>
        <v>23.407197825000001</v>
      </c>
      <c r="AP307" s="9"/>
      <c r="AQ307" s="22">
        <v>4.4250499999999998E-3</v>
      </c>
      <c r="AR307" s="22">
        <v>247.428</v>
      </c>
      <c r="AS307" s="22">
        <v>-1.9381700000000002E-2</v>
      </c>
      <c r="AT307" s="22">
        <v>297</v>
      </c>
      <c r="AU307" s="22">
        <v>4.2999300000000004E-3</v>
      </c>
      <c r="AV307">
        <f t="shared" si="56"/>
        <v>19.381700000000002</v>
      </c>
      <c r="AW307">
        <f t="shared" si="57"/>
        <v>8.5764991585000006E-2</v>
      </c>
      <c r="AX307" s="9"/>
      <c r="AY307" s="22">
        <v>1.39557</v>
      </c>
      <c r="AZ307" s="22">
        <v>296.32900000000001</v>
      </c>
      <c r="BA307" s="22">
        <v>-1.6732799999999999E-2</v>
      </c>
      <c r="BB307" s="22">
        <v>297</v>
      </c>
      <c r="BC307" s="22">
        <v>1.3952599999999999</v>
      </c>
      <c r="BD307">
        <f t="shared" si="58"/>
        <v>16.732799999999997</v>
      </c>
      <c r="BE307">
        <f t="shared" si="59"/>
        <v>23.351793695999994</v>
      </c>
    </row>
    <row r="308" spans="6:57">
      <c r="F308" s="9"/>
      <c r="G308" s="22">
        <v>-6.1035199999999999E-4</v>
      </c>
      <c r="H308" s="22">
        <v>52.100299999999997</v>
      </c>
      <c r="I308" s="22">
        <v>-1.94153E-2</v>
      </c>
      <c r="J308" s="22">
        <v>298</v>
      </c>
      <c r="K308" s="22">
        <v>-6.6528300000000002E-4</v>
      </c>
      <c r="L308">
        <f t="shared" si="48"/>
        <v>19.415299999999998</v>
      </c>
      <c r="M308">
        <f t="shared" si="49"/>
        <v>-1.1850167185599999E-2</v>
      </c>
      <c r="N308" s="9"/>
      <c r="O308" s="22">
        <v>1.4006000000000001</v>
      </c>
      <c r="P308" s="22">
        <v>100.92700000000001</v>
      </c>
      <c r="Q308" s="22">
        <v>-1.6400100000000001E-2</v>
      </c>
      <c r="R308" s="22">
        <v>298</v>
      </c>
      <c r="S308" s="22">
        <v>1.40015</v>
      </c>
      <c r="T308">
        <f t="shared" si="50"/>
        <v>16.400100000000002</v>
      </c>
      <c r="U308">
        <f t="shared" si="51"/>
        <v>22.969980060000005</v>
      </c>
      <c r="X308" s="9"/>
      <c r="Y308" s="22">
        <v>-6.1035199999999999E-4</v>
      </c>
      <c r="Z308" s="22">
        <v>149.87</v>
      </c>
      <c r="AA308" s="22">
        <v>-1.94031E-2</v>
      </c>
      <c r="AB308" s="22">
        <v>298</v>
      </c>
      <c r="AC308" s="22">
        <v>-6.1645500000000002E-4</v>
      </c>
      <c r="AD308">
        <f t="shared" si="52"/>
        <v>19.403099999999998</v>
      </c>
      <c r="AE308">
        <f t="shared" si="53"/>
        <v>-1.1842720891199999E-2</v>
      </c>
      <c r="AF308" s="9"/>
      <c r="AG308" s="22">
        <v>1.4006000000000001</v>
      </c>
      <c r="AH308" s="22">
        <v>198.66900000000001</v>
      </c>
      <c r="AI308" s="22">
        <v>-1.6598499999999999E-2</v>
      </c>
      <c r="AJ308" s="22">
        <v>298</v>
      </c>
      <c r="AK308" s="22">
        <v>1.40015</v>
      </c>
      <c r="AL308">
        <f t="shared" si="54"/>
        <v>16.598499999999998</v>
      </c>
      <c r="AM308">
        <f t="shared" si="55"/>
        <v>23.247859099999999</v>
      </c>
      <c r="AP308" s="9"/>
      <c r="AQ308" s="22">
        <v>-6.1035199999999999E-4</v>
      </c>
      <c r="AR308" s="22">
        <v>247.43799999999999</v>
      </c>
      <c r="AS308" s="22">
        <v>-1.93878E-2</v>
      </c>
      <c r="AT308" s="22">
        <v>298</v>
      </c>
      <c r="AU308" s="22">
        <v>-5.3100599999999999E-4</v>
      </c>
      <c r="AV308">
        <f t="shared" si="56"/>
        <v>19.387799999999999</v>
      </c>
      <c r="AW308">
        <f t="shared" si="57"/>
        <v>-1.1833382505599999E-2</v>
      </c>
      <c r="AX308" s="9"/>
      <c r="AY308" s="22">
        <v>1.4006000000000001</v>
      </c>
      <c r="AZ308" s="22">
        <v>296.339</v>
      </c>
      <c r="BA308" s="22">
        <v>-1.65649E-2</v>
      </c>
      <c r="BB308" s="22">
        <v>298</v>
      </c>
      <c r="BC308" s="22">
        <v>1.39954</v>
      </c>
      <c r="BD308">
        <f t="shared" si="58"/>
        <v>16.564900000000002</v>
      </c>
      <c r="BE308">
        <f t="shared" si="59"/>
        <v>23.200798940000002</v>
      </c>
    </row>
    <row r="309" spans="6:57">
      <c r="F309" s="9"/>
      <c r="G309" s="22">
        <v>-5.6457499999999997E-3</v>
      </c>
      <c r="H309" s="22">
        <v>52.110399999999998</v>
      </c>
      <c r="I309" s="22">
        <v>-1.9418299999999999E-2</v>
      </c>
      <c r="J309" s="22">
        <v>299</v>
      </c>
      <c r="K309" s="22">
        <v>-5.8196999999999997E-3</v>
      </c>
      <c r="L309">
        <f t="shared" si="48"/>
        <v>19.418299999999999</v>
      </c>
      <c r="M309">
        <f t="shared" si="49"/>
        <v>-0.10963086722499998</v>
      </c>
      <c r="N309" s="9"/>
      <c r="O309" s="22">
        <v>1.40564</v>
      </c>
      <c r="P309" s="22">
        <v>100.937</v>
      </c>
      <c r="Q309" s="22">
        <v>-1.61835E-2</v>
      </c>
      <c r="R309" s="22">
        <v>299</v>
      </c>
      <c r="S309" s="22">
        <v>1.40411</v>
      </c>
      <c r="T309">
        <f t="shared" si="50"/>
        <v>16.183499999999999</v>
      </c>
      <c r="U309">
        <f t="shared" si="51"/>
        <v>22.748174939999998</v>
      </c>
      <c r="X309" s="9"/>
      <c r="Y309" s="22">
        <v>-5.6457499999999997E-3</v>
      </c>
      <c r="Z309" s="22">
        <v>149.88</v>
      </c>
      <c r="AA309" s="22">
        <v>-1.9406099999999999E-2</v>
      </c>
      <c r="AB309" s="22">
        <v>299</v>
      </c>
      <c r="AC309" s="22">
        <v>-5.7861299999999996E-3</v>
      </c>
      <c r="AD309">
        <f t="shared" si="52"/>
        <v>19.406099999999999</v>
      </c>
      <c r="AE309">
        <f t="shared" si="53"/>
        <v>-0.10956198907499999</v>
      </c>
      <c r="AF309" s="9"/>
      <c r="AG309" s="22">
        <v>1.40564</v>
      </c>
      <c r="AH309" s="22">
        <v>198.679</v>
      </c>
      <c r="AI309" s="22">
        <v>-1.6390999999999999E-2</v>
      </c>
      <c r="AJ309" s="22">
        <v>299</v>
      </c>
      <c r="AK309" s="22">
        <v>1.40503</v>
      </c>
      <c r="AL309">
        <f t="shared" si="54"/>
        <v>16.390999999999998</v>
      </c>
      <c r="AM309">
        <f t="shared" si="55"/>
        <v>23.039845239999998</v>
      </c>
      <c r="AP309" s="9"/>
      <c r="AQ309" s="22">
        <v>-5.6457499999999997E-3</v>
      </c>
      <c r="AR309" s="22">
        <v>247.44800000000001</v>
      </c>
      <c r="AS309" s="22">
        <v>-1.93878E-2</v>
      </c>
      <c r="AT309" s="22">
        <v>299</v>
      </c>
      <c r="AU309" s="22">
        <v>-5.8532699999999998E-3</v>
      </c>
      <c r="AV309">
        <f t="shared" si="56"/>
        <v>19.387799999999999</v>
      </c>
      <c r="AW309">
        <f t="shared" si="57"/>
        <v>-0.10945867184999998</v>
      </c>
      <c r="AX309" s="9"/>
      <c r="AY309" s="22">
        <v>1.40564</v>
      </c>
      <c r="AZ309" s="22">
        <v>296.34899999999999</v>
      </c>
      <c r="BA309" s="22">
        <v>-1.6369600000000002E-2</v>
      </c>
      <c r="BB309" s="22">
        <v>299</v>
      </c>
      <c r="BC309" s="22">
        <v>1.40472</v>
      </c>
      <c r="BD309">
        <f t="shared" si="58"/>
        <v>16.369600000000002</v>
      </c>
      <c r="BE309">
        <f t="shared" si="59"/>
        <v>23.009764544000003</v>
      </c>
    </row>
    <row r="310" spans="6:57">
      <c r="F310" s="9"/>
      <c r="G310" s="22">
        <v>-1.06812E-2</v>
      </c>
      <c r="H310" s="22">
        <v>52.120399999999997</v>
      </c>
      <c r="I310" s="22">
        <v>-1.9418299999999999E-2</v>
      </c>
      <c r="J310" s="22">
        <v>300</v>
      </c>
      <c r="K310" s="22">
        <v>-1.0714700000000001E-2</v>
      </c>
      <c r="L310">
        <f t="shared" si="48"/>
        <v>19.418299999999999</v>
      </c>
      <c r="M310">
        <f t="shared" si="49"/>
        <v>-0.20741074595999998</v>
      </c>
      <c r="N310" s="9"/>
      <c r="O310" s="22">
        <v>1.4106799999999999</v>
      </c>
      <c r="P310" s="22">
        <v>100.947</v>
      </c>
      <c r="Q310" s="22">
        <v>-1.5921000000000001E-2</v>
      </c>
      <c r="R310" s="22">
        <v>300</v>
      </c>
      <c r="S310" s="22">
        <v>1.41022</v>
      </c>
      <c r="T310">
        <f t="shared" si="50"/>
        <v>15.921000000000001</v>
      </c>
      <c r="U310">
        <f t="shared" si="51"/>
        <v>22.459436280000002</v>
      </c>
      <c r="X310" s="9"/>
      <c r="Y310" s="22">
        <v>-1.06812E-2</v>
      </c>
      <c r="Z310" s="22">
        <v>149.88999999999999</v>
      </c>
      <c r="AA310" s="22">
        <v>-1.9412200000000001E-2</v>
      </c>
      <c r="AB310" s="22">
        <v>300</v>
      </c>
      <c r="AC310" s="22">
        <v>-1.08246E-2</v>
      </c>
      <c r="AD310">
        <f t="shared" si="52"/>
        <v>19.412200000000002</v>
      </c>
      <c r="AE310">
        <f t="shared" si="53"/>
        <v>-0.20734559064000002</v>
      </c>
      <c r="AF310" s="9"/>
      <c r="AG310" s="22">
        <v>1.4106799999999999</v>
      </c>
      <c r="AH310" s="22">
        <v>198.68899999999999</v>
      </c>
      <c r="AI310" s="22">
        <v>-1.6165200000000001E-2</v>
      </c>
      <c r="AJ310" s="22">
        <v>300</v>
      </c>
      <c r="AK310" s="22">
        <v>1.40961</v>
      </c>
      <c r="AL310">
        <f t="shared" si="54"/>
        <v>16.165200000000002</v>
      </c>
      <c r="AM310">
        <f t="shared" si="55"/>
        <v>22.803924336000001</v>
      </c>
      <c r="AP310" s="9"/>
      <c r="AQ310" s="22">
        <v>-1.06812E-2</v>
      </c>
      <c r="AR310" s="22">
        <v>247.458</v>
      </c>
      <c r="AS310" s="22">
        <v>-1.9390899999999999E-2</v>
      </c>
      <c r="AT310" s="22">
        <v>300</v>
      </c>
      <c r="AU310" s="22">
        <v>-1.0888699999999999E-2</v>
      </c>
      <c r="AV310">
        <f t="shared" si="56"/>
        <v>19.390899999999998</v>
      </c>
      <c r="AW310">
        <f t="shared" si="57"/>
        <v>-0.20711808107999999</v>
      </c>
      <c r="AX310" s="9"/>
      <c r="AY310" s="22">
        <v>1.4106799999999999</v>
      </c>
      <c r="AZ310" s="22">
        <v>296.36</v>
      </c>
      <c r="BA310" s="22">
        <v>-1.6137700000000001E-2</v>
      </c>
      <c r="BB310" s="22">
        <v>300</v>
      </c>
      <c r="BC310" s="22">
        <v>1.41052</v>
      </c>
      <c r="BD310">
        <f t="shared" si="58"/>
        <v>16.137700000000002</v>
      </c>
      <c r="BE310">
        <f t="shared" si="59"/>
        <v>22.765130636000002</v>
      </c>
    </row>
    <row r="311" spans="6:57">
      <c r="F311" s="9"/>
      <c r="G311" s="22">
        <v>-1.5716600000000001E-2</v>
      </c>
      <c r="H311" s="22">
        <v>52.130499999999998</v>
      </c>
      <c r="I311" s="22">
        <v>-1.9424400000000001E-2</v>
      </c>
      <c r="J311" s="22">
        <v>301</v>
      </c>
      <c r="K311" s="22">
        <v>-1.5985099999999999E-2</v>
      </c>
      <c r="L311">
        <f t="shared" si="48"/>
        <v>19.424400000000002</v>
      </c>
      <c r="M311">
        <f t="shared" si="49"/>
        <v>-0.30528552504000006</v>
      </c>
      <c r="N311" s="9"/>
      <c r="O311" s="22">
        <v>1.41571</v>
      </c>
      <c r="P311" s="22">
        <v>100.95699999999999</v>
      </c>
      <c r="Q311" s="22">
        <v>-1.5634200000000001E-2</v>
      </c>
      <c r="R311" s="22">
        <v>301</v>
      </c>
      <c r="S311" s="22">
        <v>1.41449</v>
      </c>
      <c r="T311">
        <f t="shared" si="50"/>
        <v>15.634200000000002</v>
      </c>
      <c r="U311">
        <f t="shared" si="51"/>
        <v>22.133493282000003</v>
      </c>
      <c r="X311" s="9"/>
      <c r="Y311" s="22">
        <v>-1.5716600000000001E-2</v>
      </c>
      <c r="Z311" s="22">
        <v>149.9</v>
      </c>
      <c r="AA311" s="22">
        <v>-1.94153E-2</v>
      </c>
      <c r="AB311" s="22">
        <v>301</v>
      </c>
      <c r="AC311" s="22">
        <v>-1.6162099999999999E-2</v>
      </c>
      <c r="AD311">
        <f t="shared" si="52"/>
        <v>19.415299999999998</v>
      </c>
      <c r="AE311">
        <f t="shared" si="53"/>
        <v>-0.30514250397999998</v>
      </c>
      <c r="AF311" s="9"/>
      <c r="AG311" s="22">
        <v>1.41571</v>
      </c>
      <c r="AH311" s="22">
        <v>198.69900000000001</v>
      </c>
      <c r="AI311" s="22">
        <v>-1.5908800000000001E-2</v>
      </c>
      <c r="AJ311" s="22">
        <v>301</v>
      </c>
      <c r="AK311" s="22">
        <v>1.41479</v>
      </c>
      <c r="AL311">
        <f t="shared" si="54"/>
        <v>15.908800000000001</v>
      </c>
      <c r="AM311">
        <f t="shared" si="55"/>
        <v>22.522247248000003</v>
      </c>
      <c r="AP311" s="9"/>
      <c r="AQ311" s="22">
        <v>-1.5716600000000001E-2</v>
      </c>
      <c r="AR311" s="22">
        <v>247.46799999999999</v>
      </c>
      <c r="AS311" s="22">
        <v>-1.9397000000000001E-2</v>
      </c>
      <c r="AT311" s="22">
        <v>301</v>
      </c>
      <c r="AU311" s="22">
        <v>-1.5890499999999998E-2</v>
      </c>
      <c r="AV311">
        <f t="shared" si="56"/>
        <v>19.397000000000002</v>
      </c>
      <c r="AW311">
        <f t="shared" si="57"/>
        <v>-0.30485489020000006</v>
      </c>
      <c r="AX311" s="9"/>
      <c r="AY311" s="22">
        <v>1.41571</v>
      </c>
      <c r="AZ311" s="22">
        <v>296.37</v>
      </c>
      <c r="BA311" s="22">
        <v>-1.5893600000000001E-2</v>
      </c>
      <c r="BB311" s="22">
        <v>301</v>
      </c>
      <c r="BC311" s="22">
        <v>1.41479</v>
      </c>
      <c r="BD311">
        <f t="shared" si="58"/>
        <v>15.893600000000001</v>
      </c>
      <c r="BE311">
        <f t="shared" si="59"/>
        <v>22.500728456000001</v>
      </c>
    </row>
    <row r="312" spans="6:57">
      <c r="F312" s="9"/>
      <c r="G312" s="22">
        <v>-2.0752E-2</v>
      </c>
      <c r="H312" s="22">
        <v>52.140599999999999</v>
      </c>
      <c r="I312" s="22">
        <v>-1.94275E-2</v>
      </c>
      <c r="J312" s="22">
        <v>302</v>
      </c>
      <c r="K312" s="22">
        <v>-2.1261599999999999E-2</v>
      </c>
      <c r="L312">
        <f t="shared" si="48"/>
        <v>19.427500000000002</v>
      </c>
      <c r="M312">
        <f t="shared" si="49"/>
        <v>-0.40315948000000001</v>
      </c>
      <c r="N312" s="9"/>
      <c r="O312" s="22">
        <v>1.42075</v>
      </c>
      <c r="P312" s="22">
        <v>100.967</v>
      </c>
      <c r="Q312" s="22">
        <v>-1.52985E-2</v>
      </c>
      <c r="R312" s="22">
        <v>302</v>
      </c>
      <c r="S312" s="22">
        <v>1.41998</v>
      </c>
      <c r="T312">
        <f t="shared" si="50"/>
        <v>15.298499999999999</v>
      </c>
      <c r="U312">
        <f t="shared" si="51"/>
        <v>21.735343874999998</v>
      </c>
      <c r="X312" s="9"/>
      <c r="Y312" s="22">
        <v>-2.0752E-2</v>
      </c>
      <c r="Z312" s="22">
        <v>149.91</v>
      </c>
      <c r="AA312" s="22">
        <v>-1.9418299999999999E-2</v>
      </c>
      <c r="AB312" s="22">
        <v>302</v>
      </c>
      <c r="AC312" s="22">
        <v>-2.09534E-2</v>
      </c>
      <c r="AD312">
        <f t="shared" si="52"/>
        <v>19.418299999999999</v>
      </c>
      <c r="AE312">
        <f t="shared" si="53"/>
        <v>-0.40296856159999994</v>
      </c>
      <c r="AF312" s="9"/>
      <c r="AG312" s="22">
        <v>1.42075</v>
      </c>
      <c r="AH312" s="22">
        <v>198.709</v>
      </c>
      <c r="AI312" s="22">
        <v>-1.5606699999999999E-2</v>
      </c>
      <c r="AJ312" s="22">
        <v>302</v>
      </c>
      <c r="AK312" s="22">
        <v>1.4196800000000001</v>
      </c>
      <c r="AL312">
        <f t="shared" si="54"/>
        <v>15.6067</v>
      </c>
      <c r="AM312">
        <f t="shared" si="55"/>
        <v>22.173219024999998</v>
      </c>
      <c r="AP312" s="9"/>
      <c r="AQ312" s="22">
        <v>-2.0752E-2</v>
      </c>
      <c r="AR312" s="22">
        <v>247.47800000000001</v>
      </c>
      <c r="AS312" s="22">
        <v>-1.94031E-2</v>
      </c>
      <c r="AT312" s="22">
        <v>302</v>
      </c>
      <c r="AU312" s="22">
        <v>-2.0721400000000001E-2</v>
      </c>
      <c r="AV312">
        <f t="shared" si="56"/>
        <v>19.403099999999998</v>
      </c>
      <c r="AW312">
        <f t="shared" si="57"/>
        <v>-0.40265313119999996</v>
      </c>
      <c r="AX312" s="9"/>
      <c r="AY312" s="22">
        <v>1.42075</v>
      </c>
      <c r="AZ312" s="22">
        <v>296.38</v>
      </c>
      <c r="BA312" s="22">
        <v>-1.55975E-2</v>
      </c>
      <c r="BB312" s="22">
        <v>302</v>
      </c>
      <c r="BC312" s="22">
        <v>1.42059</v>
      </c>
      <c r="BD312">
        <f t="shared" si="58"/>
        <v>15.5975</v>
      </c>
      <c r="BE312">
        <f t="shared" si="59"/>
        <v>22.160148124999999</v>
      </c>
    </row>
    <row r="313" spans="6:57">
      <c r="F313" s="9"/>
      <c r="G313" s="22">
        <v>-2.5787399999999999E-2</v>
      </c>
      <c r="H313" s="22">
        <v>52.150599999999997</v>
      </c>
      <c r="I313" s="22">
        <v>-1.9433599999999999E-2</v>
      </c>
      <c r="J313" s="22">
        <v>303</v>
      </c>
      <c r="K313" s="22">
        <v>-2.63275E-2</v>
      </c>
      <c r="L313">
        <f t="shared" si="48"/>
        <v>19.433599999999998</v>
      </c>
      <c r="M313">
        <f t="shared" si="49"/>
        <v>-0.50114201663999991</v>
      </c>
      <c r="N313" s="9"/>
      <c r="O313" s="22">
        <v>1.42578</v>
      </c>
      <c r="P313" s="22">
        <v>100.977</v>
      </c>
      <c r="Q313" s="22">
        <v>-1.4898700000000001E-2</v>
      </c>
      <c r="R313" s="22">
        <v>303</v>
      </c>
      <c r="S313" s="22">
        <v>1.42517</v>
      </c>
      <c r="T313">
        <f t="shared" si="50"/>
        <v>14.898700000000002</v>
      </c>
      <c r="U313">
        <f t="shared" si="51"/>
        <v>21.242268486000004</v>
      </c>
      <c r="X313" s="9"/>
      <c r="Y313" s="22">
        <v>-2.5787399999999999E-2</v>
      </c>
      <c r="Z313" s="22">
        <v>149.91999999999999</v>
      </c>
      <c r="AA313" s="22">
        <v>-1.9421399999999998E-2</v>
      </c>
      <c r="AB313" s="22">
        <v>303</v>
      </c>
      <c r="AC313" s="22">
        <v>-2.5826999999999999E-2</v>
      </c>
      <c r="AD313">
        <f t="shared" si="52"/>
        <v>19.421399999999998</v>
      </c>
      <c r="AE313">
        <f t="shared" si="53"/>
        <v>-0.50082741035999989</v>
      </c>
      <c r="AF313" s="9"/>
      <c r="AG313" s="22">
        <v>1.42578</v>
      </c>
      <c r="AH313" s="22">
        <v>198.71899999999999</v>
      </c>
      <c r="AI313" s="22">
        <v>-1.52771E-2</v>
      </c>
      <c r="AJ313" s="22">
        <v>303</v>
      </c>
      <c r="AK313" s="22">
        <v>1.4248700000000001</v>
      </c>
      <c r="AL313">
        <f t="shared" si="54"/>
        <v>15.277100000000001</v>
      </c>
      <c r="AM313">
        <f t="shared" si="55"/>
        <v>21.781783638</v>
      </c>
      <c r="AP313" s="9"/>
      <c r="AQ313" s="22">
        <v>-2.5787399999999999E-2</v>
      </c>
      <c r="AR313" s="22">
        <v>247.488</v>
      </c>
      <c r="AS313" s="22">
        <v>-1.9406099999999999E-2</v>
      </c>
      <c r="AT313" s="22">
        <v>303</v>
      </c>
      <c r="AU313" s="22">
        <v>-2.6336700000000001E-2</v>
      </c>
      <c r="AV313">
        <f t="shared" si="56"/>
        <v>19.406099999999999</v>
      </c>
      <c r="AW313">
        <f t="shared" si="57"/>
        <v>-0.50043286313999991</v>
      </c>
      <c r="AX313" s="9"/>
      <c r="AY313" s="22">
        <v>1.42578</v>
      </c>
      <c r="AZ313" s="22">
        <v>296.39</v>
      </c>
      <c r="BA313" s="22">
        <v>-1.52496E-2</v>
      </c>
      <c r="BB313" s="22">
        <v>303</v>
      </c>
      <c r="BC313" s="22">
        <v>1.42517</v>
      </c>
      <c r="BD313">
        <f t="shared" si="58"/>
        <v>15.249600000000001</v>
      </c>
      <c r="BE313">
        <f t="shared" si="59"/>
        <v>21.742574688000001</v>
      </c>
    </row>
    <row r="314" spans="6:57">
      <c r="F314" s="9"/>
      <c r="G314" s="22">
        <v>-3.0822800000000001E-2</v>
      </c>
      <c r="H314" s="22">
        <v>52.160699999999999</v>
      </c>
      <c r="I314" s="22">
        <v>-1.9436599999999998E-2</v>
      </c>
      <c r="J314" s="22">
        <v>304</v>
      </c>
      <c r="K314" s="22">
        <v>-3.09509E-2</v>
      </c>
      <c r="L314">
        <f t="shared" si="48"/>
        <v>19.436599999999999</v>
      </c>
      <c r="M314">
        <f t="shared" si="49"/>
        <v>-0.59909043447999999</v>
      </c>
      <c r="N314" s="9"/>
      <c r="O314" s="22">
        <v>1.43082</v>
      </c>
      <c r="P314" s="22">
        <v>100.98699999999999</v>
      </c>
      <c r="Q314" s="22">
        <v>-1.4477500000000001E-2</v>
      </c>
      <c r="R314" s="22">
        <v>304</v>
      </c>
      <c r="S314" s="22">
        <v>1.4303600000000001</v>
      </c>
      <c r="T314">
        <f t="shared" si="50"/>
        <v>14.477500000000001</v>
      </c>
      <c r="U314">
        <f t="shared" si="51"/>
        <v>20.714696549999999</v>
      </c>
      <c r="X314" s="9"/>
      <c r="Y314" s="22">
        <v>-3.0822800000000001E-2</v>
      </c>
      <c r="Z314" s="22">
        <v>149.93100000000001</v>
      </c>
      <c r="AA314" s="22">
        <v>-1.9424400000000001E-2</v>
      </c>
      <c r="AB314" s="22">
        <v>304</v>
      </c>
      <c r="AC314" s="22">
        <v>-3.1268299999999999E-2</v>
      </c>
      <c r="AD314">
        <f t="shared" si="52"/>
        <v>19.424400000000002</v>
      </c>
      <c r="AE314">
        <f t="shared" si="53"/>
        <v>-0.59871439632000012</v>
      </c>
      <c r="AF314" s="9"/>
      <c r="AG314" s="22">
        <v>1.43082</v>
      </c>
      <c r="AH314" s="22">
        <v>198.72900000000001</v>
      </c>
      <c r="AI314" s="22">
        <v>-1.4871199999999999E-2</v>
      </c>
      <c r="AJ314" s="22">
        <v>304</v>
      </c>
      <c r="AK314" s="22">
        <v>1.43005</v>
      </c>
      <c r="AL314">
        <f t="shared" si="54"/>
        <v>14.8712</v>
      </c>
      <c r="AM314">
        <f t="shared" si="55"/>
        <v>21.278010383999998</v>
      </c>
      <c r="AP314" s="9"/>
      <c r="AQ314" s="22">
        <v>-3.0822800000000001E-2</v>
      </c>
      <c r="AR314" s="22">
        <v>247.49799999999999</v>
      </c>
      <c r="AS314" s="22">
        <v>-1.9409200000000001E-2</v>
      </c>
      <c r="AT314" s="22">
        <v>304</v>
      </c>
      <c r="AU314" s="22">
        <v>-3.0975300000000001E-2</v>
      </c>
      <c r="AV314">
        <f t="shared" si="56"/>
        <v>19.409200000000002</v>
      </c>
      <c r="AW314">
        <f t="shared" si="57"/>
        <v>-0.59824588976000004</v>
      </c>
      <c r="AX314" s="9"/>
      <c r="AY314" s="22">
        <v>1.43082</v>
      </c>
      <c r="AZ314" s="22">
        <v>296.39999999999998</v>
      </c>
      <c r="BA314" s="22">
        <v>-1.4855999999999999E-2</v>
      </c>
      <c r="BB314" s="22">
        <v>304</v>
      </c>
      <c r="BC314" s="22">
        <v>1.4297500000000001</v>
      </c>
      <c r="BD314">
        <f t="shared" si="58"/>
        <v>14.856</v>
      </c>
      <c r="BE314">
        <f t="shared" si="59"/>
        <v>21.25626192</v>
      </c>
    </row>
    <row r="315" spans="6:57">
      <c r="F315" s="9"/>
      <c r="G315" s="22">
        <v>-3.58582E-2</v>
      </c>
      <c r="H315" s="22">
        <v>52.1708</v>
      </c>
      <c r="I315" s="22">
        <v>-1.9436599999999998E-2</v>
      </c>
      <c r="J315" s="22">
        <v>305</v>
      </c>
      <c r="K315" s="22">
        <v>-3.5907000000000001E-2</v>
      </c>
      <c r="L315">
        <f t="shared" si="48"/>
        <v>19.436599999999999</v>
      </c>
      <c r="M315">
        <f t="shared" si="49"/>
        <v>-0.69696149011999997</v>
      </c>
      <c r="N315" s="9"/>
      <c r="O315" s="22">
        <v>1.4358500000000001</v>
      </c>
      <c r="P315" s="22">
        <v>100.997</v>
      </c>
      <c r="Q315" s="22">
        <v>-1.39221E-2</v>
      </c>
      <c r="R315" s="22">
        <v>305</v>
      </c>
      <c r="S315" s="22">
        <v>1.4355500000000001</v>
      </c>
      <c r="T315">
        <f t="shared" si="50"/>
        <v>13.9221</v>
      </c>
      <c r="U315">
        <f t="shared" si="51"/>
        <v>19.990047285000003</v>
      </c>
      <c r="X315" s="9"/>
      <c r="Y315" s="22">
        <v>-3.58582E-2</v>
      </c>
      <c r="Z315" s="22">
        <v>149.941</v>
      </c>
      <c r="AA315" s="22">
        <v>-1.9433599999999999E-2</v>
      </c>
      <c r="AB315" s="22">
        <v>305</v>
      </c>
      <c r="AC315" s="22">
        <v>-3.6190800000000002E-2</v>
      </c>
      <c r="AD315">
        <f t="shared" si="52"/>
        <v>19.433599999999998</v>
      </c>
      <c r="AE315">
        <f t="shared" si="53"/>
        <v>-0.69685391551999998</v>
      </c>
      <c r="AF315" s="9"/>
      <c r="AG315" s="22">
        <v>1.4358500000000001</v>
      </c>
      <c r="AH315" s="22">
        <v>198.739</v>
      </c>
      <c r="AI315" s="22">
        <v>-1.44104E-2</v>
      </c>
      <c r="AJ315" s="22">
        <v>305</v>
      </c>
      <c r="AK315" s="22">
        <v>1.4349400000000001</v>
      </c>
      <c r="AL315">
        <f t="shared" si="54"/>
        <v>14.410400000000001</v>
      </c>
      <c r="AM315">
        <f t="shared" si="55"/>
        <v>20.691172840000004</v>
      </c>
      <c r="AP315" s="9"/>
      <c r="AQ315" s="22">
        <v>-3.58582E-2</v>
      </c>
      <c r="AR315" s="22">
        <v>247.50800000000001</v>
      </c>
      <c r="AS315" s="22">
        <v>-1.94153E-2</v>
      </c>
      <c r="AT315" s="22">
        <v>305</v>
      </c>
      <c r="AU315" s="22">
        <v>-3.5913100000000003E-2</v>
      </c>
      <c r="AV315">
        <f t="shared" si="56"/>
        <v>19.415299999999998</v>
      </c>
      <c r="AW315">
        <f t="shared" si="57"/>
        <v>-0.6961977104599999</v>
      </c>
      <c r="AX315" s="9"/>
      <c r="AY315" s="22">
        <v>1.4358500000000001</v>
      </c>
      <c r="AZ315" s="22">
        <v>296.41000000000003</v>
      </c>
      <c r="BA315" s="22">
        <v>-1.43585E-2</v>
      </c>
      <c r="BB315" s="22">
        <v>305</v>
      </c>
      <c r="BC315" s="22">
        <v>1.4343300000000001</v>
      </c>
      <c r="BD315">
        <f t="shared" si="58"/>
        <v>14.358499999999999</v>
      </c>
      <c r="BE315">
        <f t="shared" si="59"/>
        <v>20.616652224999999</v>
      </c>
    </row>
    <row r="316" spans="6:57">
      <c r="F316" s="9"/>
      <c r="G316" s="22">
        <v>-4.0893600000000002E-2</v>
      </c>
      <c r="H316" s="22">
        <v>52.180900000000001</v>
      </c>
      <c r="I316" s="22">
        <v>-1.94427E-2</v>
      </c>
      <c r="J316" s="22">
        <v>306</v>
      </c>
      <c r="K316" s="22">
        <v>-4.09973E-2</v>
      </c>
      <c r="L316">
        <f t="shared" si="48"/>
        <v>19.442699999999999</v>
      </c>
      <c r="M316">
        <f t="shared" si="49"/>
        <v>-0.79508199672000002</v>
      </c>
      <c r="N316" s="9"/>
      <c r="O316" s="22">
        <v>1.44089</v>
      </c>
      <c r="P316" s="22">
        <v>101.00700000000001</v>
      </c>
      <c r="Q316" s="22">
        <v>-1.32599E-2</v>
      </c>
      <c r="R316" s="22">
        <v>306</v>
      </c>
      <c r="S316" s="22">
        <v>1.4395100000000001</v>
      </c>
      <c r="T316">
        <f t="shared" si="50"/>
        <v>13.2599</v>
      </c>
      <c r="U316">
        <f t="shared" si="51"/>
        <v>19.106057311000001</v>
      </c>
      <c r="X316" s="9"/>
      <c r="Y316" s="22">
        <v>-4.0893600000000002E-2</v>
      </c>
      <c r="Z316" s="22">
        <v>149.95099999999999</v>
      </c>
      <c r="AA316" s="22">
        <v>-1.9436599999999998E-2</v>
      </c>
      <c r="AB316" s="22">
        <v>306</v>
      </c>
      <c r="AC316" s="22">
        <v>-4.1253699999999997E-2</v>
      </c>
      <c r="AD316">
        <f t="shared" si="52"/>
        <v>19.436599999999999</v>
      </c>
      <c r="AE316">
        <f t="shared" si="53"/>
        <v>-0.79483254575999995</v>
      </c>
      <c r="AF316" s="9"/>
      <c r="AG316" s="22">
        <v>1.44089</v>
      </c>
      <c r="AH316" s="22">
        <v>198.749</v>
      </c>
      <c r="AI316" s="22">
        <v>-1.38336E-2</v>
      </c>
      <c r="AJ316" s="22">
        <v>306</v>
      </c>
      <c r="AK316" s="22">
        <v>1.4404300000000001</v>
      </c>
      <c r="AL316">
        <f t="shared" si="54"/>
        <v>13.833600000000001</v>
      </c>
      <c r="AM316">
        <f t="shared" si="55"/>
        <v>19.932695903999999</v>
      </c>
      <c r="AP316" s="9"/>
      <c r="AQ316" s="22">
        <v>-4.0893600000000002E-2</v>
      </c>
      <c r="AR316" s="22">
        <v>247.51900000000001</v>
      </c>
      <c r="AS316" s="22">
        <v>-1.9421399999999998E-2</v>
      </c>
      <c r="AT316" s="22">
        <v>306</v>
      </c>
      <c r="AU316" s="22">
        <v>-4.1433699999999997E-2</v>
      </c>
      <c r="AV316">
        <f t="shared" si="56"/>
        <v>19.421399999999998</v>
      </c>
      <c r="AW316">
        <f t="shared" si="57"/>
        <v>-0.79421096303999994</v>
      </c>
      <c r="AX316" s="9"/>
      <c r="AY316" s="22">
        <v>1.44089</v>
      </c>
      <c r="AZ316" s="22">
        <v>296.42</v>
      </c>
      <c r="BA316" s="22">
        <v>-1.3760400000000001E-2</v>
      </c>
      <c r="BB316" s="22">
        <v>306</v>
      </c>
      <c r="BC316" s="22">
        <v>1.4407300000000001</v>
      </c>
      <c r="BD316">
        <f t="shared" si="58"/>
        <v>13.760400000000001</v>
      </c>
      <c r="BE316">
        <f t="shared" si="59"/>
        <v>19.827222756000001</v>
      </c>
    </row>
    <row r="317" spans="6:57">
      <c r="F317" s="9"/>
      <c r="G317" s="22">
        <v>-4.5928999999999998E-2</v>
      </c>
      <c r="H317" s="22">
        <v>52.190899999999999</v>
      </c>
      <c r="I317" s="22">
        <v>-1.9448900000000002E-2</v>
      </c>
      <c r="J317" s="22">
        <v>307</v>
      </c>
      <c r="K317" s="22">
        <v>-4.6194499999999999E-2</v>
      </c>
      <c r="L317">
        <f t="shared" si="48"/>
        <v>19.448900000000002</v>
      </c>
      <c r="M317">
        <f t="shared" si="49"/>
        <v>-0.89326852810000001</v>
      </c>
      <c r="N317" s="9"/>
      <c r="O317" s="22">
        <v>1.4459200000000001</v>
      </c>
      <c r="P317" s="22">
        <v>101.017</v>
      </c>
      <c r="Q317" s="22">
        <v>-1.24359E-2</v>
      </c>
      <c r="R317" s="22">
        <v>307</v>
      </c>
      <c r="S317" s="22">
        <v>1.4450099999999999</v>
      </c>
      <c r="T317">
        <f t="shared" si="50"/>
        <v>12.4359</v>
      </c>
      <c r="U317">
        <f t="shared" si="51"/>
        <v>17.981316528000001</v>
      </c>
      <c r="X317" s="9"/>
      <c r="Y317" s="22">
        <v>-4.5928999999999998E-2</v>
      </c>
      <c r="Z317" s="22">
        <v>149.96100000000001</v>
      </c>
      <c r="AA317" s="22">
        <v>-1.9445799999999999E-2</v>
      </c>
      <c r="AB317" s="22">
        <v>307</v>
      </c>
      <c r="AC317" s="22">
        <v>-4.62891E-2</v>
      </c>
      <c r="AD317">
        <f t="shared" si="52"/>
        <v>19.445799999999998</v>
      </c>
      <c r="AE317">
        <f t="shared" si="53"/>
        <v>-0.89312614819999991</v>
      </c>
      <c r="AF317" s="9"/>
      <c r="AG317" s="22">
        <v>1.4459200000000001</v>
      </c>
      <c r="AH317" s="22">
        <v>198.75899999999999</v>
      </c>
      <c r="AI317" s="22">
        <v>-1.3153099999999999E-2</v>
      </c>
      <c r="AJ317" s="22">
        <v>307</v>
      </c>
      <c r="AK317" s="22">
        <v>1.4450099999999999</v>
      </c>
      <c r="AL317">
        <f t="shared" si="54"/>
        <v>13.153099999999998</v>
      </c>
      <c r="AM317">
        <f t="shared" si="55"/>
        <v>19.018330352</v>
      </c>
      <c r="AP317" s="9"/>
      <c r="AQ317" s="22">
        <v>-4.5928999999999998E-2</v>
      </c>
      <c r="AR317" s="22">
        <v>247.529</v>
      </c>
      <c r="AS317" s="22">
        <v>-1.94275E-2</v>
      </c>
      <c r="AT317" s="22">
        <v>307</v>
      </c>
      <c r="AU317" s="22">
        <v>-4.6118199999999998E-2</v>
      </c>
      <c r="AV317">
        <f t="shared" si="56"/>
        <v>19.427500000000002</v>
      </c>
      <c r="AW317">
        <f t="shared" si="57"/>
        <v>-0.89228564750000006</v>
      </c>
      <c r="AX317" s="9"/>
      <c r="AY317" s="22">
        <v>1.4459200000000001</v>
      </c>
      <c r="AZ317" s="22">
        <v>296.43</v>
      </c>
      <c r="BA317" s="22">
        <v>-1.3030999999999999E-2</v>
      </c>
      <c r="BB317" s="22">
        <v>307</v>
      </c>
      <c r="BC317" s="22">
        <v>1.4450099999999999</v>
      </c>
      <c r="BD317">
        <f t="shared" si="58"/>
        <v>13.030999999999999</v>
      </c>
      <c r="BE317">
        <f t="shared" si="59"/>
        <v>18.84178352</v>
      </c>
    </row>
    <row r="318" spans="6:57">
      <c r="F318" s="9"/>
      <c r="G318" s="22">
        <v>-5.09644E-2</v>
      </c>
      <c r="H318" s="22">
        <v>52.201000000000001</v>
      </c>
      <c r="I318" s="22">
        <v>-1.9455E-2</v>
      </c>
      <c r="J318" s="22">
        <v>308</v>
      </c>
      <c r="K318" s="22">
        <v>-5.1452600000000001E-2</v>
      </c>
      <c r="L318">
        <f t="shared" si="48"/>
        <v>19.454999999999998</v>
      </c>
      <c r="M318">
        <f t="shared" si="49"/>
        <v>-0.9915124019999999</v>
      </c>
      <c r="N318" s="9"/>
      <c r="O318" s="22">
        <v>1.45096</v>
      </c>
      <c r="P318" s="22">
        <v>101.027</v>
      </c>
      <c r="Q318" s="22">
        <v>-1.13983E-2</v>
      </c>
      <c r="R318" s="22">
        <v>308</v>
      </c>
      <c r="S318" s="22">
        <v>1.4501999999999999</v>
      </c>
      <c r="T318">
        <f t="shared" si="50"/>
        <v>11.398300000000001</v>
      </c>
      <c r="U318">
        <f t="shared" si="51"/>
        <v>16.538477368000002</v>
      </c>
      <c r="X318" s="9"/>
      <c r="Y318" s="22">
        <v>-5.09644E-2</v>
      </c>
      <c r="Z318" s="22">
        <v>149.971</v>
      </c>
      <c r="AA318" s="22">
        <v>-1.9448900000000002E-2</v>
      </c>
      <c r="AB318" s="22">
        <v>308</v>
      </c>
      <c r="AC318" s="22">
        <v>-5.2093500000000001E-2</v>
      </c>
      <c r="AD318">
        <f t="shared" si="52"/>
        <v>19.448900000000002</v>
      </c>
      <c r="AE318">
        <f t="shared" si="53"/>
        <v>-0.9912015191600001</v>
      </c>
      <c r="AF318" s="9"/>
      <c r="AG318" s="22">
        <v>1.45096</v>
      </c>
      <c r="AH318" s="22">
        <v>198.76900000000001</v>
      </c>
      <c r="AI318" s="22">
        <v>-1.2326E-2</v>
      </c>
      <c r="AJ318" s="22">
        <v>308</v>
      </c>
      <c r="AK318" s="22">
        <v>1.4504999999999999</v>
      </c>
      <c r="AL318">
        <f t="shared" si="54"/>
        <v>12.326000000000001</v>
      </c>
      <c r="AM318">
        <f t="shared" si="55"/>
        <v>17.884532960000001</v>
      </c>
      <c r="AP318" s="9"/>
      <c r="AQ318" s="22">
        <v>-5.09644E-2</v>
      </c>
      <c r="AR318" s="22">
        <v>247.53899999999999</v>
      </c>
      <c r="AS318" s="22">
        <v>-1.94305E-2</v>
      </c>
      <c r="AT318" s="22">
        <v>308</v>
      </c>
      <c r="AU318" s="22">
        <v>-5.1605199999999997E-2</v>
      </c>
      <c r="AV318">
        <f t="shared" si="56"/>
        <v>19.430499999999999</v>
      </c>
      <c r="AW318">
        <f t="shared" si="57"/>
        <v>-0.99026377419999989</v>
      </c>
      <c r="AX318" s="9"/>
      <c r="AY318" s="22">
        <v>1.45096</v>
      </c>
      <c r="AZ318" s="22">
        <v>296.44</v>
      </c>
      <c r="BA318" s="22">
        <v>-1.21796E-2</v>
      </c>
      <c r="BB318" s="22">
        <v>308</v>
      </c>
      <c r="BC318" s="22">
        <v>1.4504999999999999</v>
      </c>
      <c r="BD318">
        <f t="shared" si="58"/>
        <v>12.179600000000001</v>
      </c>
      <c r="BE318">
        <f t="shared" si="59"/>
        <v>17.672112416000001</v>
      </c>
    </row>
    <row r="319" spans="6:57">
      <c r="F319" s="9"/>
      <c r="G319" s="22">
        <v>-5.5999800000000002E-2</v>
      </c>
      <c r="H319" s="22">
        <v>52.211100000000002</v>
      </c>
      <c r="I319" s="22">
        <v>-1.9461099999999999E-2</v>
      </c>
      <c r="J319" s="22">
        <v>309</v>
      </c>
      <c r="K319" s="22">
        <v>-5.6457500000000001E-2</v>
      </c>
      <c r="L319">
        <f t="shared" si="48"/>
        <v>19.461099999999998</v>
      </c>
      <c r="M319">
        <f t="shared" si="49"/>
        <v>-1.08981770778</v>
      </c>
      <c r="N319" s="9"/>
      <c r="O319" s="22">
        <v>1.4559899999999999</v>
      </c>
      <c r="P319" s="22">
        <v>101.03700000000001</v>
      </c>
      <c r="Q319" s="22">
        <v>-9.9792500000000003E-3</v>
      </c>
      <c r="R319" s="22">
        <v>309</v>
      </c>
      <c r="S319" s="22">
        <v>1.4544699999999999</v>
      </c>
      <c r="T319">
        <f t="shared" si="50"/>
        <v>9.9792500000000004</v>
      </c>
      <c r="U319">
        <f t="shared" si="51"/>
        <v>14.5296882075</v>
      </c>
      <c r="X319" s="9"/>
      <c r="Y319" s="22">
        <v>-5.5999800000000002E-2</v>
      </c>
      <c r="Z319" s="22">
        <v>149.98099999999999</v>
      </c>
      <c r="AA319" s="22">
        <v>-1.9451900000000001E-2</v>
      </c>
      <c r="AB319" s="22">
        <v>309</v>
      </c>
      <c r="AC319" s="22">
        <v>-5.6610099999999997E-2</v>
      </c>
      <c r="AD319">
        <f t="shared" si="52"/>
        <v>19.451900000000002</v>
      </c>
      <c r="AE319">
        <f t="shared" si="53"/>
        <v>-1.0893025096200002</v>
      </c>
      <c r="AF319" s="9"/>
      <c r="AG319" s="22">
        <v>1.4559899999999999</v>
      </c>
      <c r="AH319" s="22">
        <v>198.779</v>
      </c>
      <c r="AI319" s="22">
        <v>-1.11664E-2</v>
      </c>
      <c r="AJ319" s="22">
        <v>309</v>
      </c>
      <c r="AK319" s="22">
        <v>1.4553799999999999</v>
      </c>
      <c r="AL319">
        <f t="shared" si="54"/>
        <v>11.166399999999999</v>
      </c>
      <c r="AM319">
        <f t="shared" si="55"/>
        <v>16.258166736</v>
      </c>
      <c r="AP319" s="9"/>
      <c r="AQ319" s="22">
        <v>-5.5999800000000002E-2</v>
      </c>
      <c r="AR319" s="22">
        <v>247.54900000000001</v>
      </c>
      <c r="AS319" s="22">
        <v>-1.9436599999999998E-2</v>
      </c>
      <c r="AT319" s="22">
        <v>309</v>
      </c>
      <c r="AU319" s="22">
        <v>-5.6549099999999998E-2</v>
      </c>
      <c r="AV319">
        <f t="shared" si="56"/>
        <v>19.436599999999999</v>
      </c>
      <c r="AW319">
        <f t="shared" si="57"/>
        <v>-1.08844571268</v>
      </c>
      <c r="AX319" s="9"/>
      <c r="AY319" s="22">
        <v>1.4559899999999999</v>
      </c>
      <c r="AZ319" s="22">
        <v>296.45</v>
      </c>
      <c r="BA319" s="22">
        <v>-1.10413E-2</v>
      </c>
      <c r="BB319" s="22">
        <v>309</v>
      </c>
      <c r="BC319" s="22">
        <v>1.4550799999999999</v>
      </c>
      <c r="BD319">
        <f t="shared" si="58"/>
        <v>11.0413</v>
      </c>
      <c r="BE319">
        <f t="shared" si="59"/>
        <v>16.076022386999998</v>
      </c>
    </row>
    <row r="320" spans="6:57">
      <c r="F320" s="9"/>
      <c r="G320" s="22">
        <v>-6.1035199999999998E-2</v>
      </c>
      <c r="H320" s="22">
        <v>52.2211</v>
      </c>
      <c r="I320" s="22">
        <v>-1.9464100000000002E-2</v>
      </c>
      <c r="J320" s="22">
        <v>310</v>
      </c>
      <c r="K320" s="22">
        <v>-6.1218300000000003E-2</v>
      </c>
      <c r="L320">
        <f t="shared" si="48"/>
        <v>19.464100000000002</v>
      </c>
      <c r="M320">
        <f t="shared" si="49"/>
        <v>-1.1879952363200001</v>
      </c>
      <c r="N320" s="9"/>
      <c r="O320" s="22">
        <v>1.4610300000000001</v>
      </c>
      <c r="P320" s="22">
        <v>101.048</v>
      </c>
      <c r="Q320" s="22">
        <v>-7.8735400000000001E-3</v>
      </c>
      <c r="R320" s="22">
        <v>310</v>
      </c>
      <c r="S320" s="22">
        <v>1.46027</v>
      </c>
      <c r="T320">
        <f t="shared" si="50"/>
        <v>7.8735400000000002</v>
      </c>
      <c r="U320">
        <f t="shared" si="51"/>
        <v>11.503478146200001</v>
      </c>
      <c r="X320" s="9"/>
      <c r="Y320" s="22">
        <v>-6.1035199999999998E-2</v>
      </c>
      <c r="Z320" s="22">
        <v>149.99100000000001</v>
      </c>
      <c r="AA320" s="22">
        <v>-1.9455E-2</v>
      </c>
      <c r="AB320" s="22">
        <v>310</v>
      </c>
      <c r="AC320" s="22">
        <v>-6.1798100000000002E-2</v>
      </c>
      <c r="AD320">
        <f t="shared" si="52"/>
        <v>19.454999999999998</v>
      </c>
      <c r="AE320">
        <f t="shared" si="53"/>
        <v>-1.1874398159999999</v>
      </c>
      <c r="AF320" s="9"/>
      <c r="AG320" s="22">
        <v>1.4610300000000001</v>
      </c>
      <c r="AH320" s="22">
        <v>198.78899999999999</v>
      </c>
      <c r="AI320" s="22">
        <v>-9.6527100000000001E-3</v>
      </c>
      <c r="AJ320" s="22">
        <v>310</v>
      </c>
      <c r="AK320" s="22">
        <v>1.4605699999999999</v>
      </c>
      <c r="AL320">
        <f t="shared" si="54"/>
        <v>9.6527100000000008</v>
      </c>
      <c r="AM320">
        <f t="shared" si="55"/>
        <v>14.102898891300002</v>
      </c>
      <c r="AP320" s="9"/>
      <c r="AQ320" s="22">
        <v>-6.1035199999999998E-2</v>
      </c>
      <c r="AR320" s="22">
        <v>247.559</v>
      </c>
      <c r="AS320" s="22">
        <v>-1.9439700000000001E-2</v>
      </c>
      <c r="AT320" s="22">
        <v>310</v>
      </c>
      <c r="AU320" s="22">
        <v>-6.1737100000000003E-2</v>
      </c>
      <c r="AV320">
        <f t="shared" si="56"/>
        <v>19.439700000000002</v>
      </c>
      <c r="AW320">
        <f t="shared" si="57"/>
        <v>-1.18650597744</v>
      </c>
      <c r="AX320" s="9"/>
      <c r="AY320" s="22">
        <v>1.4610300000000001</v>
      </c>
      <c r="AZ320" s="22">
        <v>296.45999999999998</v>
      </c>
      <c r="BA320" s="22">
        <v>-9.50317E-3</v>
      </c>
      <c r="BB320" s="22">
        <v>310</v>
      </c>
      <c r="BC320" s="22">
        <v>1.4605699999999999</v>
      </c>
      <c r="BD320">
        <f t="shared" si="58"/>
        <v>9.5031700000000008</v>
      </c>
      <c r="BE320">
        <f t="shared" si="59"/>
        <v>13.884416465100001</v>
      </c>
    </row>
    <row r="321" spans="6:57">
      <c r="F321" s="9"/>
      <c r="G321" s="22">
        <v>-6.6070599999999993E-2</v>
      </c>
      <c r="H321" s="22">
        <v>52.231200000000001</v>
      </c>
      <c r="I321" s="22">
        <v>-1.94702E-2</v>
      </c>
      <c r="J321" s="22">
        <v>311</v>
      </c>
      <c r="K321" s="22">
        <v>-6.6345199999999993E-2</v>
      </c>
      <c r="L321">
        <f t="shared" si="48"/>
        <v>19.470199999999998</v>
      </c>
      <c r="M321">
        <f t="shared" si="49"/>
        <v>-1.2864077961199998</v>
      </c>
      <c r="N321" s="9"/>
      <c r="O321" s="22">
        <v>1.4660599999999999</v>
      </c>
      <c r="P321" s="22">
        <v>101.05800000000001</v>
      </c>
      <c r="Q321" s="22">
        <v>-4.7381599999999999E-3</v>
      </c>
      <c r="R321" s="22">
        <v>311</v>
      </c>
      <c r="S321" s="22">
        <v>1.4648399999999999</v>
      </c>
      <c r="T321">
        <f t="shared" si="50"/>
        <v>4.7381599999999997</v>
      </c>
      <c r="U321">
        <f t="shared" si="51"/>
        <v>6.946426849599999</v>
      </c>
      <c r="X321" s="9"/>
      <c r="Y321" s="22">
        <v>-6.6070599999999993E-2</v>
      </c>
      <c r="Z321" s="22">
        <v>150.001</v>
      </c>
      <c r="AA321" s="22">
        <v>-1.9461099999999999E-2</v>
      </c>
      <c r="AB321" s="22">
        <v>311</v>
      </c>
      <c r="AC321" s="22">
        <v>-6.6803000000000001E-2</v>
      </c>
      <c r="AD321">
        <f t="shared" si="52"/>
        <v>19.461099999999998</v>
      </c>
      <c r="AE321">
        <f t="shared" si="53"/>
        <v>-1.2858065536599999</v>
      </c>
      <c r="AF321" s="9"/>
      <c r="AG321" s="22">
        <v>1.4660599999999999</v>
      </c>
      <c r="AH321" s="22">
        <v>198.79900000000001</v>
      </c>
      <c r="AI321" s="22">
        <v>-7.4676500000000002E-3</v>
      </c>
      <c r="AJ321" s="22">
        <v>311</v>
      </c>
      <c r="AK321" s="22">
        <v>1.4654499999999999</v>
      </c>
      <c r="AL321">
        <f t="shared" si="54"/>
        <v>7.4676499999999999</v>
      </c>
      <c r="AM321">
        <f t="shared" si="55"/>
        <v>10.948022958999999</v>
      </c>
      <c r="AP321" s="9"/>
      <c r="AQ321" s="22">
        <v>-6.6070599999999993E-2</v>
      </c>
      <c r="AR321" s="22">
        <v>247.56899999999999</v>
      </c>
      <c r="AS321" s="22">
        <v>-1.9445799999999999E-2</v>
      </c>
      <c r="AT321" s="22">
        <v>311</v>
      </c>
      <c r="AU321" s="22">
        <v>-6.6619899999999996E-2</v>
      </c>
      <c r="AV321">
        <f t="shared" si="56"/>
        <v>19.445799999999998</v>
      </c>
      <c r="AW321">
        <f t="shared" si="57"/>
        <v>-1.2847956734799997</v>
      </c>
      <c r="AX321" s="9"/>
      <c r="AY321" s="22">
        <v>1.4660599999999999</v>
      </c>
      <c r="AZ321" s="22">
        <v>296.47000000000003</v>
      </c>
      <c r="BA321" s="22">
        <v>-7.2998000000000004E-3</v>
      </c>
      <c r="BB321" s="22">
        <v>311</v>
      </c>
      <c r="BC321" s="22">
        <v>1.4654499999999999</v>
      </c>
      <c r="BD321">
        <f t="shared" si="58"/>
        <v>7.2998000000000003</v>
      </c>
      <c r="BE321">
        <f t="shared" si="59"/>
        <v>10.701944788</v>
      </c>
    </row>
    <row r="322" spans="6:57">
      <c r="F322" s="9"/>
      <c r="G322" s="22">
        <v>-7.1106000000000003E-2</v>
      </c>
      <c r="H322" s="22">
        <v>52.241300000000003</v>
      </c>
      <c r="I322" s="22">
        <v>-1.9476299999999998E-2</v>
      </c>
      <c r="J322" s="22">
        <v>312</v>
      </c>
      <c r="K322" s="22">
        <v>-7.1655300000000005E-2</v>
      </c>
      <c r="L322">
        <f t="shared" si="48"/>
        <v>19.476299999999998</v>
      </c>
      <c r="M322">
        <f t="shared" si="49"/>
        <v>-1.3848817877999999</v>
      </c>
      <c r="N322" s="9"/>
      <c r="O322" s="22">
        <v>1.4711000000000001</v>
      </c>
      <c r="P322" s="22">
        <v>101.068</v>
      </c>
      <c r="Q322" s="25">
        <v>1.6174299999999999E-6</v>
      </c>
      <c r="R322" s="22">
        <v>312</v>
      </c>
      <c r="S322" s="22">
        <v>1.4700299999999999</v>
      </c>
      <c r="T322">
        <f t="shared" si="50"/>
        <v>-1.61743E-3</v>
      </c>
      <c r="U322">
        <f t="shared" si="51"/>
        <v>-2.3794012729999999E-3</v>
      </c>
      <c r="X322" s="9"/>
      <c r="Y322" s="22">
        <v>-7.1106000000000003E-2</v>
      </c>
      <c r="Z322" s="22">
        <v>150.011</v>
      </c>
      <c r="AA322" s="22">
        <v>-1.9464100000000002E-2</v>
      </c>
      <c r="AB322" s="22">
        <v>312</v>
      </c>
      <c r="AC322" s="22">
        <v>-7.1716299999999997E-2</v>
      </c>
      <c r="AD322">
        <f t="shared" si="52"/>
        <v>19.464100000000002</v>
      </c>
      <c r="AE322">
        <f t="shared" si="53"/>
        <v>-1.3840142946000002</v>
      </c>
      <c r="AF322" s="9"/>
      <c r="AG322" s="22">
        <v>1.4711000000000001</v>
      </c>
      <c r="AH322" s="22">
        <v>198.81</v>
      </c>
      <c r="AI322" s="22">
        <v>-4.1384899999999999E-3</v>
      </c>
      <c r="AJ322" s="22">
        <v>312</v>
      </c>
      <c r="AK322" s="22">
        <v>1.4706399999999999</v>
      </c>
      <c r="AL322">
        <f t="shared" si="54"/>
        <v>4.13849</v>
      </c>
      <c r="AM322">
        <f t="shared" si="55"/>
        <v>6.0881326390000003</v>
      </c>
      <c r="AP322" s="9"/>
      <c r="AQ322" s="22">
        <v>-7.1106000000000003E-2</v>
      </c>
      <c r="AR322" s="22">
        <v>247.57900000000001</v>
      </c>
      <c r="AS322" s="22">
        <v>-1.9451900000000001E-2</v>
      </c>
      <c r="AT322" s="22">
        <v>312</v>
      </c>
      <c r="AU322" s="22">
        <v>-7.1777300000000002E-2</v>
      </c>
      <c r="AV322">
        <f t="shared" si="56"/>
        <v>19.451900000000002</v>
      </c>
      <c r="AW322">
        <f t="shared" si="57"/>
        <v>-1.3831468014000001</v>
      </c>
      <c r="AX322" s="9"/>
      <c r="AY322" s="22">
        <v>1.4711000000000001</v>
      </c>
      <c r="AZ322" s="22">
        <v>296.48</v>
      </c>
      <c r="BA322" s="22">
        <v>-3.82111E-3</v>
      </c>
      <c r="BB322" s="22">
        <v>312</v>
      </c>
      <c r="BC322" s="22">
        <v>1.4706399999999999</v>
      </c>
      <c r="BD322">
        <f t="shared" si="58"/>
        <v>3.82111</v>
      </c>
      <c r="BE322">
        <f t="shared" si="59"/>
        <v>5.6212349210000001</v>
      </c>
    </row>
    <row r="323" spans="6:57">
      <c r="F323" s="9"/>
      <c r="G323" s="22">
        <v>-7.6141399999999998E-2</v>
      </c>
      <c r="H323" s="22">
        <v>52.251399999999997</v>
      </c>
      <c r="I323" s="22">
        <v>-1.94824E-2</v>
      </c>
      <c r="J323" s="22">
        <v>313</v>
      </c>
      <c r="K323" s="22">
        <v>-7.6751700000000006E-2</v>
      </c>
      <c r="L323">
        <f t="shared" si="48"/>
        <v>19.482400000000002</v>
      </c>
      <c r="M323">
        <f t="shared" si="49"/>
        <v>-1.4834172113600002</v>
      </c>
      <c r="N323" s="9"/>
      <c r="O323" s="22">
        <v>1.47614</v>
      </c>
      <c r="P323" s="22">
        <v>101.078</v>
      </c>
      <c r="Q323" s="22">
        <v>6.2255899999999996E-3</v>
      </c>
      <c r="R323" s="22">
        <v>313</v>
      </c>
      <c r="S323" s="22">
        <v>1.47522</v>
      </c>
      <c r="T323">
        <f t="shared" si="50"/>
        <v>-6.2255899999999995</v>
      </c>
      <c r="U323">
        <f t="shared" si="51"/>
        <v>-9.1898424225999999</v>
      </c>
      <c r="X323" s="9"/>
      <c r="Y323" s="22">
        <v>-7.6141399999999998E-2</v>
      </c>
      <c r="Z323" s="22">
        <v>150.02099999999999</v>
      </c>
      <c r="AA323" s="22">
        <v>-1.94672E-2</v>
      </c>
      <c r="AB323" s="22">
        <v>313</v>
      </c>
      <c r="AC323" s="22">
        <v>-7.6660199999999998E-2</v>
      </c>
      <c r="AD323">
        <f t="shared" si="52"/>
        <v>19.467200000000002</v>
      </c>
      <c r="AE323">
        <f t="shared" si="53"/>
        <v>-1.48225986208</v>
      </c>
      <c r="AF323" s="9"/>
      <c r="AG323" s="22">
        <v>1.47614</v>
      </c>
      <c r="AH323" s="22">
        <v>198.82</v>
      </c>
      <c r="AI323" s="22">
        <v>8.4411600000000001E-4</v>
      </c>
      <c r="AJ323" s="22">
        <v>313</v>
      </c>
      <c r="AK323" s="22">
        <v>1.4755199999999999</v>
      </c>
      <c r="AL323">
        <f t="shared" si="54"/>
        <v>-0.84411599999999998</v>
      </c>
      <c r="AM323">
        <f t="shared" si="55"/>
        <v>-1.24603339224</v>
      </c>
      <c r="AP323" s="9"/>
      <c r="AQ323" s="22">
        <v>-7.6141399999999998E-2</v>
      </c>
      <c r="AR323" s="22">
        <v>247.589</v>
      </c>
      <c r="AS323" s="22">
        <v>-1.9455E-2</v>
      </c>
      <c r="AT323" s="22">
        <v>313</v>
      </c>
      <c r="AU323" s="22">
        <v>-7.6660199999999998E-2</v>
      </c>
      <c r="AV323">
        <f t="shared" si="56"/>
        <v>19.454999999999998</v>
      </c>
      <c r="AW323">
        <f t="shared" si="57"/>
        <v>-1.4813309369999998</v>
      </c>
      <c r="AX323" s="9"/>
      <c r="AY323" s="22">
        <v>1.47614</v>
      </c>
      <c r="AZ323" s="22">
        <v>296.49</v>
      </c>
      <c r="BA323" s="22">
        <v>8.9874300000000002E-4</v>
      </c>
      <c r="BB323" s="22">
        <v>313</v>
      </c>
      <c r="BC323" s="22">
        <v>1.4755199999999999</v>
      </c>
      <c r="BD323">
        <f t="shared" si="58"/>
        <v>-0.89874300000000007</v>
      </c>
      <c r="BE323">
        <f t="shared" si="59"/>
        <v>-1.3266704920200001</v>
      </c>
    </row>
    <row r="324" spans="6:57">
      <c r="F324" s="9"/>
      <c r="G324" s="22">
        <v>-8.1176799999999993E-2</v>
      </c>
      <c r="H324" s="22">
        <v>52.261400000000002</v>
      </c>
      <c r="I324" s="22">
        <v>-1.9488499999999999E-2</v>
      </c>
      <c r="J324" s="22">
        <v>314</v>
      </c>
      <c r="K324" s="22">
        <v>-8.1756599999999999E-2</v>
      </c>
      <c r="L324">
        <f t="shared" si="48"/>
        <v>19.488499999999998</v>
      </c>
      <c r="M324">
        <f t="shared" si="49"/>
        <v>-1.5820140667999998</v>
      </c>
      <c r="N324" s="9"/>
      <c r="O324" s="22">
        <v>1.4811700000000001</v>
      </c>
      <c r="P324" s="22">
        <v>101.08799999999999</v>
      </c>
      <c r="Q324" s="22">
        <v>1.23322E-2</v>
      </c>
      <c r="R324" s="22">
        <v>314</v>
      </c>
      <c r="S324" s="22">
        <v>1.48071</v>
      </c>
      <c r="T324">
        <f t="shared" si="50"/>
        <v>-12.3322</v>
      </c>
      <c r="U324">
        <f t="shared" si="51"/>
        <v>-18.266084674000002</v>
      </c>
      <c r="X324" s="9"/>
      <c r="Y324" s="22">
        <v>-8.1176799999999993E-2</v>
      </c>
      <c r="Z324" s="22">
        <v>150.03100000000001</v>
      </c>
      <c r="AA324" s="22">
        <v>-1.94702E-2</v>
      </c>
      <c r="AB324" s="22">
        <v>314</v>
      </c>
      <c r="AC324" s="22">
        <v>-8.1634499999999999E-2</v>
      </c>
      <c r="AD324">
        <f t="shared" si="52"/>
        <v>19.470199999999998</v>
      </c>
      <c r="AE324">
        <f t="shared" si="53"/>
        <v>-1.5805285313599997</v>
      </c>
      <c r="AF324" s="9"/>
      <c r="AG324" s="22">
        <v>1.4811700000000001</v>
      </c>
      <c r="AH324" s="22">
        <v>198.83</v>
      </c>
      <c r="AI324" s="22">
        <v>6.9244399999999996E-3</v>
      </c>
      <c r="AJ324" s="22">
        <v>314</v>
      </c>
      <c r="AK324" s="22">
        <v>1.4798</v>
      </c>
      <c r="AL324">
        <f t="shared" si="54"/>
        <v>-6.9244399999999997</v>
      </c>
      <c r="AM324">
        <f t="shared" si="55"/>
        <v>-10.256272794800001</v>
      </c>
      <c r="AP324" s="9"/>
      <c r="AQ324" s="22">
        <v>-8.1176799999999993E-2</v>
      </c>
      <c r="AR324" s="22">
        <v>247.59899999999999</v>
      </c>
      <c r="AS324" s="22">
        <v>-1.9458E-2</v>
      </c>
      <c r="AT324" s="22">
        <v>314</v>
      </c>
      <c r="AU324" s="22">
        <v>-8.1695599999999993E-2</v>
      </c>
      <c r="AV324">
        <f t="shared" si="56"/>
        <v>19.457999999999998</v>
      </c>
      <c r="AW324">
        <f t="shared" si="57"/>
        <v>-1.5795381743999997</v>
      </c>
      <c r="AX324" s="9"/>
      <c r="AY324" s="22">
        <v>1.4811700000000001</v>
      </c>
      <c r="AZ324" s="22">
        <v>296.50099999999998</v>
      </c>
      <c r="BA324" s="22">
        <v>6.2164300000000002E-3</v>
      </c>
      <c r="BB324" s="22">
        <v>314</v>
      </c>
      <c r="BC324" s="22">
        <v>1.48071</v>
      </c>
      <c r="BD324">
        <f t="shared" si="58"/>
        <v>-6.2164299999999999</v>
      </c>
      <c r="BE324">
        <f t="shared" si="59"/>
        <v>-9.2075896231000005</v>
      </c>
    </row>
    <row r="325" spans="6:57">
      <c r="F325" s="9"/>
      <c r="G325" s="22">
        <v>-8.6212200000000003E-2</v>
      </c>
      <c r="H325" s="22">
        <v>52.271500000000003</v>
      </c>
      <c r="I325" s="22">
        <v>-1.9491600000000001E-2</v>
      </c>
      <c r="J325" s="22">
        <v>315</v>
      </c>
      <c r="K325" s="22">
        <v>-8.65784E-2</v>
      </c>
      <c r="L325">
        <f t="shared" si="48"/>
        <v>19.491600000000002</v>
      </c>
      <c r="M325">
        <f t="shared" si="49"/>
        <v>-1.6804137175200002</v>
      </c>
      <c r="N325" s="9"/>
      <c r="O325" s="22">
        <v>1.48621</v>
      </c>
      <c r="P325" s="22">
        <v>101.098</v>
      </c>
      <c r="Q325" s="22">
        <v>1.8566900000000001E-2</v>
      </c>
      <c r="R325" s="22">
        <v>315</v>
      </c>
      <c r="S325" s="22">
        <v>1.48529</v>
      </c>
      <c r="T325">
        <f t="shared" si="50"/>
        <v>-18.5669</v>
      </c>
      <c r="U325">
        <f t="shared" si="51"/>
        <v>-27.594312449</v>
      </c>
      <c r="X325" s="9"/>
      <c r="Y325" s="22">
        <v>-8.6212200000000003E-2</v>
      </c>
      <c r="Z325" s="22">
        <v>150.041</v>
      </c>
      <c r="AA325" s="22">
        <v>-1.9473299999999999E-2</v>
      </c>
      <c r="AB325" s="22">
        <v>315</v>
      </c>
      <c r="AC325" s="22">
        <v>-8.6883500000000002E-2</v>
      </c>
      <c r="AD325">
        <f t="shared" si="52"/>
        <v>19.473299999999998</v>
      </c>
      <c r="AE325">
        <f t="shared" si="53"/>
        <v>-1.6788360342599999</v>
      </c>
      <c r="AF325" s="9"/>
      <c r="AG325" s="22">
        <v>1.48621</v>
      </c>
      <c r="AH325" s="22">
        <v>198.84</v>
      </c>
      <c r="AI325" s="22">
        <v>1.3024900000000001E-2</v>
      </c>
      <c r="AJ325" s="22">
        <v>315</v>
      </c>
      <c r="AK325" s="22">
        <v>1.48529</v>
      </c>
      <c r="AL325">
        <f t="shared" si="54"/>
        <v>-13.024900000000001</v>
      </c>
      <c r="AM325">
        <f t="shared" si="55"/>
        <v>-19.357736629000001</v>
      </c>
      <c r="AP325" s="9"/>
      <c r="AQ325" s="22">
        <v>-8.6212200000000003E-2</v>
      </c>
      <c r="AR325" s="22">
        <v>247.60900000000001</v>
      </c>
      <c r="AS325" s="22">
        <v>-1.9461099999999999E-2</v>
      </c>
      <c r="AT325" s="22">
        <v>315</v>
      </c>
      <c r="AU325" s="22">
        <v>-8.6853E-2</v>
      </c>
      <c r="AV325">
        <f t="shared" si="56"/>
        <v>19.461099999999998</v>
      </c>
      <c r="AW325">
        <f t="shared" si="57"/>
        <v>-1.6777842454199998</v>
      </c>
      <c r="AX325" s="9"/>
      <c r="AY325" s="22">
        <v>1.48621</v>
      </c>
      <c r="AZ325" s="22">
        <v>296.51100000000002</v>
      </c>
      <c r="BA325" s="22">
        <v>1.1557E-2</v>
      </c>
      <c r="BB325" s="22">
        <v>315</v>
      </c>
      <c r="BC325" s="22">
        <v>1.48499</v>
      </c>
      <c r="BD325">
        <f t="shared" si="58"/>
        <v>-11.557</v>
      </c>
      <c r="BE325">
        <f t="shared" si="59"/>
        <v>-17.176128970000001</v>
      </c>
    </row>
    <row r="326" spans="6:57">
      <c r="F326" s="9"/>
      <c r="G326" s="22">
        <v>-9.1247599999999998E-2</v>
      </c>
      <c r="H326" s="22">
        <v>52.281599999999997</v>
      </c>
      <c r="I326" s="22">
        <v>-1.9494600000000001E-2</v>
      </c>
      <c r="J326" s="22">
        <v>316</v>
      </c>
      <c r="K326" s="22">
        <v>-9.1796900000000001E-2</v>
      </c>
      <c r="L326">
        <f t="shared" si="48"/>
        <v>19.494600000000002</v>
      </c>
      <c r="M326">
        <f t="shared" si="49"/>
        <v>-1.7788354629600001</v>
      </c>
      <c r="N326" s="9"/>
      <c r="O326" s="22">
        <v>1.4912399999999999</v>
      </c>
      <c r="P326" s="22">
        <v>101.108</v>
      </c>
      <c r="Q326" s="22">
        <v>2.45697E-2</v>
      </c>
      <c r="R326" s="22">
        <v>316</v>
      </c>
      <c r="S326" s="22">
        <v>1.49048</v>
      </c>
      <c r="T326">
        <f t="shared" si="50"/>
        <v>-24.569700000000001</v>
      </c>
      <c r="U326">
        <f t="shared" si="51"/>
        <v>-36.639319428</v>
      </c>
      <c r="X326" s="9"/>
      <c r="Y326" s="22">
        <v>-9.1247599999999998E-2</v>
      </c>
      <c r="Z326" s="22">
        <v>150.05099999999999</v>
      </c>
      <c r="AA326" s="22">
        <v>-1.9476299999999998E-2</v>
      </c>
      <c r="AB326" s="22">
        <v>316</v>
      </c>
      <c r="AC326" s="22">
        <v>-9.1980000000000006E-2</v>
      </c>
      <c r="AD326">
        <f t="shared" si="52"/>
        <v>19.476299999999998</v>
      </c>
      <c r="AE326">
        <f t="shared" si="53"/>
        <v>-1.7771656318799998</v>
      </c>
      <c r="AF326" s="9"/>
      <c r="AG326" s="22">
        <v>1.4912399999999999</v>
      </c>
      <c r="AH326" s="22">
        <v>198.85</v>
      </c>
      <c r="AI326" s="22">
        <v>1.9024699999999999E-2</v>
      </c>
      <c r="AJ326" s="22">
        <v>316</v>
      </c>
      <c r="AK326" s="22">
        <v>1.49078</v>
      </c>
      <c r="AL326">
        <f t="shared" si="54"/>
        <v>-19.024699999999999</v>
      </c>
      <c r="AM326">
        <f t="shared" si="55"/>
        <v>-28.370393627999999</v>
      </c>
      <c r="AP326" s="9"/>
      <c r="AQ326" s="22">
        <v>-9.1247599999999998E-2</v>
      </c>
      <c r="AR326" s="22">
        <v>247.619</v>
      </c>
      <c r="AS326" s="22">
        <v>-1.94672E-2</v>
      </c>
      <c r="AT326" s="22">
        <v>316</v>
      </c>
      <c r="AU326" s="22">
        <v>-9.2315700000000001E-2</v>
      </c>
      <c r="AV326">
        <f t="shared" si="56"/>
        <v>19.467200000000002</v>
      </c>
      <c r="AW326">
        <f t="shared" si="57"/>
        <v>-1.7763352787200002</v>
      </c>
      <c r="AX326" s="9"/>
      <c r="AY326" s="22">
        <v>1.4912399999999999</v>
      </c>
      <c r="AZ326" s="22">
        <v>296.52100000000002</v>
      </c>
      <c r="BA326" s="22">
        <v>1.69464E-2</v>
      </c>
      <c r="BB326" s="22">
        <v>316</v>
      </c>
      <c r="BC326" s="22">
        <v>1.49078</v>
      </c>
      <c r="BD326">
        <f t="shared" si="58"/>
        <v>-16.946400000000001</v>
      </c>
      <c r="BE326">
        <f t="shared" si="59"/>
        <v>-25.271149535999999</v>
      </c>
    </row>
    <row r="327" spans="6:57">
      <c r="F327" s="9"/>
      <c r="G327" s="22">
        <v>-9.6282999999999994E-2</v>
      </c>
      <c r="H327" s="22">
        <v>52.291600000000003</v>
      </c>
      <c r="I327" s="22">
        <v>-1.94977E-2</v>
      </c>
      <c r="J327" s="22">
        <v>317</v>
      </c>
      <c r="K327" s="22">
        <v>-9.6862799999999999E-2</v>
      </c>
      <c r="L327">
        <f t="shared" si="48"/>
        <v>19.497699999999998</v>
      </c>
      <c r="M327">
        <f t="shared" si="49"/>
        <v>-1.8772970490999996</v>
      </c>
      <c r="N327" s="9"/>
      <c r="O327" s="22">
        <v>1.4962800000000001</v>
      </c>
      <c r="P327" s="22">
        <v>101.11799999999999</v>
      </c>
      <c r="Q327" s="22">
        <v>3.0612199999999999E-2</v>
      </c>
      <c r="R327" s="22">
        <v>317</v>
      </c>
      <c r="S327" s="22">
        <v>1.49597</v>
      </c>
      <c r="T327">
        <f t="shared" si="50"/>
        <v>-30.612199999999998</v>
      </c>
      <c r="U327">
        <f t="shared" si="51"/>
        <v>-45.804422615999997</v>
      </c>
      <c r="X327" s="9"/>
      <c r="Y327" s="22">
        <v>-9.6282999999999994E-2</v>
      </c>
      <c r="Z327" s="22">
        <v>150.06100000000001</v>
      </c>
      <c r="AA327" s="22">
        <v>-1.94824E-2</v>
      </c>
      <c r="AB327" s="22">
        <v>317</v>
      </c>
      <c r="AC327" s="22">
        <v>-9.6679699999999993E-2</v>
      </c>
      <c r="AD327">
        <f t="shared" si="52"/>
        <v>19.482400000000002</v>
      </c>
      <c r="AE327">
        <f t="shared" si="53"/>
        <v>-1.8758239192000001</v>
      </c>
      <c r="AF327" s="9"/>
      <c r="AG327" s="22">
        <v>1.4962800000000001</v>
      </c>
      <c r="AH327" s="22">
        <v>198.86</v>
      </c>
      <c r="AI327" s="22">
        <v>2.5091599999999999E-2</v>
      </c>
      <c r="AJ327" s="22">
        <v>317</v>
      </c>
      <c r="AK327" s="22">
        <v>1.49597</v>
      </c>
      <c r="AL327">
        <f t="shared" si="54"/>
        <v>-25.0916</v>
      </c>
      <c r="AM327">
        <f t="shared" si="55"/>
        <v>-37.544059248000003</v>
      </c>
      <c r="AP327" s="9"/>
      <c r="AQ327" s="22">
        <v>-9.6282999999999994E-2</v>
      </c>
      <c r="AR327" s="22">
        <v>247.62899999999999</v>
      </c>
      <c r="AS327" s="22">
        <v>-1.9473299999999999E-2</v>
      </c>
      <c r="AT327" s="22">
        <v>317</v>
      </c>
      <c r="AU327" s="22">
        <v>-9.6832299999999996E-2</v>
      </c>
      <c r="AV327">
        <f t="shared" si="56"/>
        <v>19.473299999999998</v>
      </c>
      <c r="AW327">
        <f t="shared" si="57"/>
        <v>-1.8749477438999997</v>
      </c>
      <c r="AX327" s="9"/>
      <c r="AY327" s="22">
        <v>1.4962800000000001</v>
      </c>
      <c r="AZ327" s="22">
        <v>296.53100000000001</v>
      </c>
      <c r="BA327" s="22">
        <v>2.2460899999999999E-2</v>
      </c>
      <c r="BB327" s="22">
        <v>317</v>
      </c>
      <c r="BC327" s="22">
        <v>1.4962800000000001</v>
      </c>
      <c r="BD327">
        <f t="shared" si="58"/>
        <v>-22.460899999999999</v>
      </c>
      <c r="BE327">
        <f t="shared" si="59"/>
        <v>-33.607795451999998</v>
      </c>
    </row>
    <row r="328" spans="6:57">
      <c r="F328" s="9"/>
      <c r="G328" s="22">
        <v>-0.10131800000000001</v>
      </c>
      <c r="H328" s="22">
        <v>52.301699999999997</v>
      </c>
      <c r="I328" s="22">
        <v>-1.9500699999999999E-2</v>
      </c>
      <c r="J328" s="22">
        <v>318</v>
      </c>
      <c r="K328" s="22">
        <v>-0.101898</v>
      </c>
      <c r="L328">
        <f t="shared" si="48"/>
        <v>19.500699999999998</v>
      </c>
      <c r="M328">
        <f t="shared" si="49"/>
        <v>-1.9757719225999999</v>
      </c>
      <c r="N328" s="9"/>
      <c r="O328" s="22">
        <v>1.5013099999999999</v>
      </c>
      <c r="P328" s="22">
        <v>101.128</v>
      </c>
      <c r="Q328" s="22">
        <v>3.6929299999999998E-2</v>
      </c>
      <c r="R328" s="22">
        <v>318</v>
      </c>
      <c r="S328" s="22">
        <v>1.50024</v>
      </c>
      <c r="T328">
        <f t="shared" si="50"/>
        <v>-36.929299999999998</v>
      </c>
      <c r="U328">
        <f t="shared" si="51"/>
        <v>-55.442327382999991</v>
      </c>
      <c r="X328" s="9"/>
      <c r="Y328" s="22">
        <v>-0.10131800000000001</v>
      </c>
      <c r="Z328" s="22">
        <v>150.072</v>
      </c>
      <c r="AA328" s="22">
        <v>-1.9488499999999999E-2</v>
      </c>
      <c r="AB328" s="22">
        <v>318</v>
      </c>
      <c r="AC328" s="22">
        <v>-0.10144</v>
      </c>
      <c r="AD328">
        <f t="shared" si="52"/>
        <v>19.488499999999998</v>
      </c>
      <c r="AE328">
        <f t="shared" si="53"/>
        <v>-1.974535843</v>
      </c>
      <c r="AF328" s="9"/>
      <c r="AG328" s="22">
        <v>1.5013099999999999</v>
      </c>
      <c r="AH328" s="22">
        <v>198.87</v>
      </c>
      <c r="AI328" s="22">
        <v>3.1359900000000003E-2</v>
      </c>
      <c r="AJ328" s="22">
        <v>318</v>
      </c>
      <c r="AK328" s="22">
        <v>1.5005500000000001</v>
      </c>
      <c r="AL328">
        <f t="shared" si="54"/>
        <v>-31.359900000000003</v>
      </c>
      <c r="AM328">
        <f t="shared" si="55"/>
        <v>-47.080931468999999</v>
      </c>
      <c r="AP328" s="9"/>
      <c r="AQ328" s="22">
        <v>-0.10131800000000001</v>
      </c>
      <c r="AR328" s="22">
        <v>247.63900000000001</v>
      </c>
      <c r="AS328" s="22">
        <v>-1.9479400000000001E-2</v>
      </c>
      <c r="AT328" s="22">
        <v>318</v>
      </c>
      <c r="AU328" s="22">
        <v>-0.10141</v>
      </c>
      <c r="AV328">
        <f t="shared" si="56"/>
        <v>19.479400000000002</v>
      </c>
      <c r="AW328">
        <f t="shared" si="57"/>
        <v>-1.9736138492000004</v>
      </c>
      <c r="AX328" s="9"/>
      <c r="AY328" s="22">
        <v>1.5013099999999999</v>
      </c>
      <c r="AZ328" s="22">
        <v>296.541</v>
      </c>
      <c r="BA328" s="22">
        <v>2.8042600000000001E-2</v>
      </c>
      <c r="BB328" s="22">
        <v>318</v>
      </c>
      <c r="BC328" s="22">
        <v>1.5005500000000001</v>
      </c>
      <c r="BD328">
        <f t="shared" si="58"/>
        <v>-28.0426</v>
      </c>
      <c r="BE328">
        <f t="shared" si="59"/>
        <v>-42.100635806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tabSelected="1" workbookViewId="0">
      <selection activeCell="N4" sqref="N4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20230210T2100</v>
      </c>
      <c r="B3">
        <f ca="1">INDEX(INDIRECT(A3&amp;"!A11"):INDIRECT(A3&amp;"!A21"),MATCH(E3,INDIRECT(A3&amp;"!D11"):INDIRECT(A3&amp;"!D21"),0))</f>
        <v>1.6327093516422537</v>
      </c>
      <c r="C3">
        <f ca="1">INDEX(INDIRECT(A3&amp;"!B11"):INDIRECT(A3&amp;"!B21"),MATCH(E3,INDIRECT(A3&amp;"!D11"):INDIRECT(A3&amp;"!D21"),0))</f>
        <v>19.791529357051459</v>
      </c>
      <c r="D3">
        <f ca="1">INDEX(INDIRECT(A3&amp;"!C11"):INDIRECT(A3&amp;"!C21"),MATCH(E3,INDIRECT(A3&amp;"!D11"):INDIRECT(A3&amp;"!D21"),0))</f>
        <v>0.83682680893526062</v>
      </c>
      <c r="E3">
        <f t="shared" ref="E3" ca="1" si="0">MAX(INDIRECT(A3&amp; "!D11"),INDIRECT(A3 &amp; "!D13"),INDIRECT(A3 &amp; "!D15"),INDIRECT(A3 &amp; "!D17"),INDIRECT(A3 &amp; "!D19"),INDIRECT(A3 &amp; "!D21"))</f>
        <v>27.041066744999998</v>
      </c>
      <c r="G3">
        <f ca="1">INDEX(INDIRECT(A3&amp;"!A12"):INDIRECT(A3&amp;"!A22"),MATCH(J3,INDIRECT(A3&amp;"!D12"):INDIRECT(A3&amp;"!D22"),0))</f>
        <v>1.6200596155867686</v>
      </c>
      <c r="H3">
        <f ca="1">INDEX(INDIRECT(A3&amp;"!B12"):INDIRECT(A3&amp;"!B22"),MATCH(J3,INDIRECT(A3&amp;"!D12"):INDIRECT(A3&amp;"!D22"),0))</f>
        <v>19.772640867293362</v>
      </c>
      <c r="I3">
        <f ca="1">INDEX(INDIRECT(A3&amp;"!C12"):INDIRECT(A3&amp;"!C22"),MATCH(J3,INDIRECT(A3&amp;"!D12"):INDIRECT(A3&amp;"!D22"),0))</f>
        <v>0.83694897074899632</v>
      </c>
      <c r="J3">
        <f t="shared" ref="J3" ca="1" si="1">MAX(INDIRECT(A3&amp; "!D12"),INDIRECT(A3 &amp; "!D14"),INDIRECT(A3 &amp; "!D16"),INDIRECT(A3 &amp; "!D18"),INDIRECT(A3 &amp; "!D20"),,INDIRECT(A3 &amp; "!D22"))</f>
        <v>26.809866664999994</v>
      </c>
      <c r="L3">
        <f ca="1">INDEX(INDIRECT(A3&amp;"!E11"):INDIRECT(A3&amp;"!E21"),MATCH(E3,INDIRECT(A3&amp;"!D11"):INDIRECT(A3&amp;"!D21"),0))</f>
        <v>0.85499615152110842</v>
      </c>
    </row>
    <row r="4" spans="1:12">
      <c r="A4" t="str" cm="1">
        <f t="array" aca="1" ref="A4" ca="1">IFERROR(INDEX(MID(sheetnames,FIND("]",sheetnames)+1,255),ROWS($A$2:A4)),"")</f>
        <v>20230212T210000</v>
      </c>
      <c r="B4">
        <f ca="1">INDEX(INDIRECT(A4&amp;"!A11"):INDIRECT(A4&amp;"!A21"),MATCH(E4,INDIRECT(A4&amp;"!D11"):INDIRECT(A4&amp;"!D21"),0))</f>
        <v>1.4767374355679828</v>
      </c>
      <c r="C4">
        <f ca="1">INDEX(INDIRECT(A4&amp;"!B11"):INDIRECT(A4&amp;"!B21"),MATCH(E4,INDIRECT(A4&amp;"!D11"):INDIRECT(A4&amp;"!D21"),0))</f>
        <v>19.384283379919633</v>
      </c>
      <c r="D4">
        <f ca="1">INDEX(INDIRECT(A4&amp;"!C11"):INDIRECT(A4&amp;"!C21"),MATCH(E4,INDIRECT(A4&amp;"!D11"):INDIRECT(A4&amp;"!D21"),0))</f>
        <v>0.83377078184446884</v>
      </c>
      <c r="E4">
        <f t="shared" ref="E4" ca="1" si="2">MAX(INDIRECT(A4&amp; "!D11"),INDIRECT(A4 &amp; "!D13"),INDIRECT(A4 &amp; "!D15"),INDIRECT(A4 &amp; "!D17"),INDIRECT(A4 &amp; "!D19"),INDIRECT(A4 &amp; "!D21"))</f>
        <v>23.867102955000004</v>
      </c>
      <c r="G4">
        <f ca="1">INDEX(INDIRECT(A4&amp;"!A12"):INDIRECT(A4&amp;"!A22"),MATCH(J4,INDIRECT(A4&amp;"!D12"):INDIRECT(A4&amp;"!D22"),0))</f>
        <v>1.4746932667443502</v>
      </c>
      <c r="H4">
        <f ca="1">INDEX(INDIRECT(A4&amp;"!B12"):INDIRECT(A4&amp;"!B22"),MATCH(J4,INDIRECT(A4&amp;"!D12"):INDIRECT(A4&amp;"!D22"),0))</f>
        <v>19.379087360216975</v>
      </c>
      <c r="I4">
        <f ca="1">INDEX(INDIRECT(A4&amp;"!C12"):INDIRECT(A4&amp;"!C22"),MATCH(J4,INDIRECT(A4&amp;"!D12"):INDIRECT(A4&amp;"!D22"),0))</f>
        <v>0.83477910340465866</v>
      </c>
      <c r="J4">
        <f t="shared" ref="J4" ca="1" si="3">MAX(INDIRECT(A4&amp; "!D12"),INDIRECT(A4 &amp; "!D14"),INDIRECT(A4 &amp; "!D16"),INDIRECT(A4 &amp; "!D18"),INDIRECT(A4 &amp; "!D20"),,INDIRECT(A4 &amp; "!D22"))</f>
        <v>23.856492225000004</v>
      </c>
      <c r="L4">
        <f ca="1">INDEX(INDIRECT(A4&amp;"!E11"):INDIRECT(A4&amp;"!E21"),MATCH(E4,INDIRECT(A4&amp;"!D11"):INDIRECT(A4&amp;"!D21"),0))</f>
        <v>0.14837383936696194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20230210T2100</vt:lpstr>
      <vt:lpstr>20230212T210000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2023-02-12T12:39:49Z</dcterms:modified>
</cp:coreProperties>
</file>