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5" r:id="rId1"/>
    <sheet name="20230208T210000" sheetId="64" r:id="rId2"/>
    <sheet name="20230209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 s="1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 s="1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 s="1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 s="1"/>
  <c r="AL317" i="66"/>
  <c r="AM317" i="66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 s="1"/>
  <c r="AD222" i="66"/>
  <c r="AE222" i="66"/>
  <c r="AD223" i="66"/>
  <c r="AE223" i="66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/>
  <c r="T261" i="66"/>
  <c r="U261" i="66"/>
  <c r="T262" i="66"/>
  <c r="U262" i="66"/>
  <c r="T263" i="66"/>
  <c r="U263" i="66"/>
  <c r="T264" i="66"/>
  <c r="U264" i="66"/>
  <c r="T265" i="66"/>
  <c r="U265" i="66"/>
  <c r="T266" i="66"/>
  <c r="U266" i="66"/>
  <c r="T267" i="66"/>
  <c r="U267" i="66"/>
  <c r="T268" i="66"/>
  <c r="U268" i="66"/>
  <c r="T269" i="66"/>
  <c r="U269" i="66"/>
  <c r="T270" i="66"/>
  <c r="U270" i="66"/>
  <c r="T271" i="66"/>
  <c r="U271" i="66"/>
  <c r="T272" i="66"/>
  <c r="U272" i="66"/>
  <c r="T273" i="66"/>
  <c r="U273" i="66"/>
  <c r="T274" i="66"/>
  <c r="U274" i="66"/>
  <c r="T275" i="66"/>
  <c r="U275" i="66"/>
  <c r="T276" i="66"/>
  <c r="U276" i="66"/>
  <c r="T277" i="66"/>
  <c r="U277" i="66"/>
  <c r="T278" i="66"/>
  <c r="U278" i="66"/>
  <c r="T279" i="66"/>
  <c r="U279" i="66"/>
  <c r="T280" i="66"/>
  <c r="U280" i="66"/>
  <c r="T281" i="66"/>
  <c r="U281" i="66"/>
  <c r="T282" i="66"/>
  <c r="U282" i="66"/>
  <c r="T283" i="66"/>
  <c r="U283" i="66"/>
  <c r="T284" i="66"/>
  <c r="U284" i="66"/>
  <c r="T285" i="66"/>
  <c r="U285" i="66"/>
  <c r="T286" i="66"/>
  <c r="U286" i="66"/>
  <c r="T287" i="66"/>
  <c r="U287" i="66"/>
  <c r="T288" i="66"/>
  <c r="U288" i="66"/>
  <c r="T289" i="66"/>
  <c r="U289" i="66"/>
  <c r="T290" i="66"/>
  <c r="U290" i="66"/>
  <c r="T291" i="66"/>
  <c r="U291" i="66"/>
  <c r="T292" i="66"/>
  <c r="U292" i="66"/>
  <c r="T293" i="66"/>
  <c r="U293" i="66"/>
  <c r="T294" i="66"/>
  <c r="U294" i="66"/>
  <c r="T295" i="66"/>
  <c r="U295" i="66"/>
  <c r="T296" i="66"/>
  <c r="U296" i="66"/>
  <c r="T297" i="66"/>
  <c r="U297" i="66"/>
  <c r="T298" i="66"/>
  <c r="U298" i="66"/>
  <c r="T299" i="66"/>
  <c r="U299" i="66"/>
  <c r="T300" i="66"/>
  <c r="U300" i="66"/>
  <c r="T301" i="66"/>
  <c r="U301" i="66"/>
  <c r="T302" i="66"/>
  <c r="U302" i="66"/>
  <c r="T303" i="66"/>
  <c r="U303" i="66"/>
  <c r="T304" i="66"/>
  <c r="U304" i="66"/>
  <c r="T305" i="66"/>
  <c r="U305" i="66"/>
  <c r="T306" i="66"/>
  <c r="U306" i="66"/>
  <c r="T307" i="66"/>
  <c r="U307" i="66"/>
  <c r="T308" i="66"/>
  <c r="U308" i="66"/>
  <c r="T309" i="66"/>
  <c r="U309" i="66"/>
  <c r="T310" i="66"/>
  <c r="U310" i="66"/>
  <c r="T311" i="66"/>
  <c r="U311" i="66"/>
  <c r="T312" i="66"/>
  <c r="U312" i="66"/>
  <c r="T313" i="66"/>
  <c r="U313" i="66"/>
  <c r="T314" i="66"/>
  <c r="U314" i="66"/>
  <c r="T315" i="66"/>
  <c r="U315" i="66"/>
  <c r="T316" i="66"/>
  <c r="U316" i="66"/>
  <c r="T317" i="66"/>
  <c r="U317" i="66"/>
  <c r="T318" i="66"/>
  <c r="U318" i="66"/>
  <c r="T319" i="66"/>
  <c r="U319" i="66"/>
  <c r="T320" i="66"/>
  <c r="U320" i="66"/>
  <c r="T321" i="66"/>
  <c r="U321" i="66"/>
  <c r="T322" i="66"/>
  <c r="U322" i="66"/>
  <c r="T323" i="66"/>
  <c r="U323" i="66"/>
  <c r="T324" i="66"/>
  <c r="U324" i="66"/>
  <c r="T325" i="66"/>
  <c r="U325" i="66"/>
  <c r="T326" i="66"/>
  <c r="U326" i="66"/>
  <c r="T327" i="66"/>
  <c r="U327" i="66"/>
  <c r="T328" i="66"/>
  <c r="U328" i="66"/>
  <c r="T329" i="66"/>
  <c r="U329" i="66"/>
  <c r="T330" i="66"/>
  <c r="U330" i="66"/>
  <c r="T331" i="66"/>
  <c r="U331" i="66"/>
  <c r="T332" i="66"/>
  <c r="U332" i="66"/>
  <c r="T333" i="66"/>
  <c r="U333" i="66"/>
  <c r="T334" i="66"/>
  <c r="U334" i="66"/>
  <c r="T335" i="66"/>
  <c r="U335" i="66"/>
  <c r="T336" i="66"/>
  <c r="U336" i="66"/>
  <c r="T337" i="66"/>
  <c r="U337" i="66"/>
  <c r="T338" i="66"/>
  <c r="U338" i="66"/>
  <c r="T339" i="66"/>
  <c r="U339" i="66"/>
  <c r="T340" i="66"/>
  <c r="U340" i="66"/>
  <c r="T341" i="66"/>
  <c r="U341" i="66"/>
  <c r="T342" i="66"/>
  <c r="U342" i="66"/>
  <c r="T343" i="66"/>
  <c r="U343" i="66"/>
  <c r="T344" i="66"/>
  <c r="U344" i="66"/>
  <c r="T345" i="66"/>
  <c r="U345" i="66"/>
  <c r="T346" i="66"/>
  <c r="U346" i="66"/>
  <c r="T347" i="66"/>
  <c r="U347" i="66"/>
  <c r="T348" i="66"/>
  <c r="U348" i="66"/>
  <c r="T349" i="66"/>
  <c r="U349" i="66"/>
  <c r="T350" i="66"/>
  <c r="U350" i="66"/>
  <c r="T351" i="66"/>
  <c r="U351" i="66"/>
  <c r="T352" i="66"/>
  <c r="U352" i="66"/>
  <c r="T353" i="66"/>
  <c r="U353" i="66"/>
  <c r="T354" i="66"/>
  <c r="U354" i="66"/>
  <c r="T355" i="66"/>
  <c r="U355" i="66"/>
  <c r="T356" i="66"/>
  <c r="U356" i="66"/>
  <c r="T357" i="66"/>
  <c r="U357" i="66"/>
  <c r="T358" i="66"/>
  <c r="U358" i="66"/>
  <c r="T359" i="66"/>
  <c r="U359" i="66"/>
  <c r="T360" i="66"/>
  <c r="U360" i="66"/>
  <c r="T361" i="66"/>
  <c r="U361" i="66"/>
  <c r="T362" i="66"/>
  <c r="U362" i="66"/>
  <c r="T363" i="66"/>
  <c r="U363" i="66"/>
  <c r="T364" i="66"/>
  <c r="U364" i="66"/>
  <c r="T365" i="66"/>
  <c r="U365" i="66"/>
  <c r="T366" i="66"/>
  <c r="U366" i="66"/>
  <c r="T367" i="66"/>
  <c r="U367" i="66"/>
  <c r="T368" i="66"/>
  <c r="U368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 s="1"/>
  <c r="L247" i="66"/>
  <c r="M247" i="66"/>
  <c r="L248" i="66"/>
  <c r="M248" i="66"/>
  <c r="L249" i="66"/>
  <c r="M249" i="66"/>
  <c r="L250" i="66"/>
  <c r="M250" i="66"/>
  <c r="L251" i="66"/>
  <c r="M251" i="66"/>
  <c r="L252" i="66"/>
  <c r="M252" i="66" s="1"/>
  <c r="L253" i="66"/>
  <c r="M253" i="66"/>
  <c r="L254" i="66"/>
  <c r="M254" i="66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T7" i="66"/>
  <c r="S7" i="66" s="1"/>
  <c r="L7" i="66"/>
  <c r="K7" i="66" s="1"/>
  <c r="FG6" i="66"/>
  <c r="FF6" i="66"/>
  <c r="EY6" i="66"/>
  <c r="EP6" i="66"/>
  <c r="EO6" i="66"/>
  <c r="EH6" i="66"/>
  <c r="DX6" i="66"/>
  <c r="DW6" i="66"/>
  <c r="DP6" i="66"/>
  <c r="DF6" i="66"/>
  <c r="DE6" i="66"/>
  <c r="CX6" i="66"/>
  <c r="CN6" i="66"/>
  <c r="CM6" i="66"/>
  <c r="CF6" i="66"/>
  <c r="BV6" i="66"/>
  <c r="BU6" i="66"/>
  <c r="BN6" i="66"/>
  <c r="BD6" i="66"/>
  <c r="BC6" i="66" s="1"/>
  <c r="AV6" i="66"/>
  <c r="AL6" i="66"/>
  <c r="AK6" i="66" s="1"/>
  <c r="AG2" i="66" s="1"/>
  <c r="AD6" i="66"/>
  <c r="T6" i="66"/>
  <c r="S6" i="66" s="1"/>
  <c r="L6" i="66"/>
  <c r="FH5" i="66"/>
  <c r="EZ5" i="66"/>
  <c r="EQ5" i="66"/>
  <c r="EI5" i="66"/>
  <c r="DY5" i="66"/>
  <c r="DQ5" i="66"/>
  <c r="DG5" i="66"/>
  <c r="CY5" i="66"/>
  <c r="CO5" i="66"/>
  <c r="CG5" i="66"/>
  <c r="BW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W4" i="66"/>
  <c r="CU4" i="66"/>
  <c r="CM4" i="66"/>
  <c r="CK4" i="66"/>
  <c r="CE4" i="66"/>
  <c r="CC4" i="66"/>
  <c r="BU4" i="66"/>
  <c r="BS4" i="66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F3" i="66"/>
  <c r="FD3" i="66"/>
  <c r="EZ3" i="66"/>
  <c r="EV3" i="66"/>
  <c r="EQ3" i="66"/>
  <c r="EO3" i="66"/>
  <c r="EM3" i="66"/>
  <c r="EM6" i="66" s="1"/>
  <c r="EI3" i="66"/>
  <c r="EE3" i="66"/>
  <c r="DY3" i="66"/>
  <c r="DW3" i="66"/>
  <c r="DU3" i="66"/>
  <c r="DQ3" i="66"/>
  <c r="DM3" i="66"/>
  <c r="DG3" i="66"/>
  <c r="DE3" i="66"/>
  <c r="DA4" i="66" s="1"/>
  <c r="DC3" i="66"/>
  <c r="DC6" i="66" s="1"/>
  <c r="A22" i="66" s="1"/>
  <c r="CY3" i="66"/>
  <c r="CU3" i="66"/>
  <c r="CO3" i="66"/>
  <c r="CM3" i="66"/>
  <c r="CI4" i="66" s="1"/>
  <c r="CK3" i="66"/>
  <c r="CG3" i="66"/>
  <c r="CC3" i="66"/>
  <c r="BW3" i="66"/>
  <c r="BU3" i="66"/>
  <c r="BQ4" i="66" s="1"/>
  <c r="BS3" i="66"/>
  <c r="BS6" i="66" s="1"/>
  <c r="A18" i="66" s="1"/>
  <c r="BO3" i="66"/>
  <c r="BK3" i="66"/>
  <c r="BC3" i="66"/>
  <c r="BA3" i="66"/>
  <c r="AS3" i="66"/>
  <c r="AI3" i="66"/>
  <c r="AK3" i="66" s="1"/>
  <c r="AG4" i="66" s="1"/>
  <c r="Q3" i="66"/>
  <c r="S3" i="66" s="1"/>
  <c r="I3" i="66"/>
  <c r="K3" i="66" s="1"/>
  <c r="DA2" i="66"/>
  <c r="CI2" i="66"/>
  <c r="BQ2" i="66"/>
  <c r="A4" i="63" a="1"/>
  <c r="A4" i="63" l="1"/>
  <c r="BE9" i="66"/>
  <c r="AY2" i="66"/>
  <c r="AY4" i="66"/>
  <c r="AW9" i="66"/>
  <c r="AM9" i="66"/>
  <c r="AI6" i="66"/>
  <c r="A14" i="66" s="1"/>
  <c r="AE9" i="66"/>
  <c r="AA3" i="66"/>
  <c r="AC3" i="66" s="1"/>
  <c r="Y4" i="66" s="1"/>
  <c r="AE5" i="66"/>
  <c r="AC7" i="66"/>
  <c r="Q4" i="66"/>
  <c r="S4" i="66" s="1"/>
  <c r="O2" i="66"/>
  <c r="U9" i="66"/>
  <c r="O4" i="66"/>
  <c r="M9" i="66"/>
  <c r="BM3" i="66"/>
  <c r="BK6" i="66" s="1"/>
  <c r="EG3" i="66"/>
  <c r="EE6" i="66" s="1"/>
  <c r="G4" i="66"/>
  <c r="BI4" i="66"/>
  <c r="I6" i="66"/>
  <c r="A11" i="66" s="1"/>
  <c r="CW3" i="66"/>
  <c r="CU6" i="66" s="1"/>
  <c r="Q6" i="66"/>
  <c r="A12" i="66" s="1"/>
  <c r="AU3" i="66"/>
  <c r="AQ4" i="66" s="1"/>
  <c r="AS6" i="66"/>
  <c r="A15" i="66" s="1"/>
  <c r="BA6" i="66"/>
  <c r="A16" i="66" s="1"/>
  <c r="CE3" i="66"/>
  <c r="CC6" i="66" s="1"/>
  <c r="CK6" i="66"/>
  <c r="A20" i="66" s="1"/>
  <c r="DO3" i="66"/>
  <c r="DM6" i="66"/>
  <c r="DU6" i="66"/>
  <c r="EX3" i="66"/>
  <c r="EV6" i="66" s="1"/>
  <c r="FD6" i="66"/>
  <c r="FG4" i="66" s="1"/>
  <c r="FG2" i="66" s="1"/>
  <c r="K6" i="66"/>
  <c r="G2" i="66" s="1"/>
  <c r="T9" i="66"/>
  <c r="B12" i="66" s="1"/>
  <c r="AC6" i="66"/>
  <c r="Y2" i="66" s="1"/>
  <c r="AL9" i="66"/>
  <c r="B14" i="66" s="1"/>
  <c r="AU6" i="66"/>
  <c r="AQ2" i="66" s="1"/>
  <c r="BD9" i="66"/>
  <c r="B16" i="66" s="1"/>
  <c r="BM6" i="66"/>
  <c r="BI2" i="66" s="1"/>
  <c r="BV9" i="66"/>
  <c r="B18" i="66" s="1"/>
  <c r="CE6" i="66"/>
  <c r="CA2" i="66" s="1"/>
  <c r="CN9" i="66"/>
  <c r="B20" i="66" s="1"/>
  <c r="CW6" i="66"/>
  <c r="CS2" i="66" s="1"/>
  <c r="DF9" i="66"/>
  <c r="B22" i="66" s="1"/>
  <c r="DO6" i="66"/>
  <c r="DP9" i="66" s="1"/>
  <c r="DX9" i="66"/>
  <c r="DX4" i="66" s="1"/>
  <c r="DX2" i="66" s="1"/>
  <c r="EG6" i="66"/>
  <c r="EH9" i="66" s="1"/>
  <c r="EP9" i="66"/>
  <c r="EP4" i="66" s="1"/>
  <c r="EP2" i="66" s="1"/>
  <c r="EX6" i="66"/>
  <c r="EY9" i="66" s="1"/>
  <c r="FG9" i="66"/>
  <c r="BD12" i="64"/>
  <c r="BE12" i="64" s="1"/>
  <c r="BD13" i="64"/>
  <c r="BE13" i="64" s="1"/>
  <c r="BD14" i="64"/>
  <c r="BE14" i="64" s="1"/>
  <c r="BD15" i="64"/>
  <c r="BE15" i="64" s="1"/>
  <c r="BD16" i="64"/>
  <c r="BE16" i="64" s="1"/>
  <c r="BD17" i="64"/>
  <c r="BE17" i="64" s="1"/>
  <c r="BD18" i="64"/>
  <c r="BE18" i="64" s="1"/>
  <c r="BD19" i="64"/>
  <c r="BE19" i="64" s="1"/>
  <c r="BD20" i="64"/>
  <c r="BE20" i="64" s="1"/>
  <c r="BD21" i="64"/>
  <c r="BE21" i="64" s="1"/>
  <c r="BD22" i="64"/>
  <c r="BE22" i="64" s="1"/>
  <c r="BD23" i="64"/>
  <c r="BE23" i="64" s="1"/>
  <c r="BD24" i="64"/>
  <c r="BE24" i="64" s="1"/>
  <c r="BD25" i="64"/>
  <c r="BE25" i="64" s="1"/>
  <c r="BD26" i="64"/>
  <c r="BE26" i="64" s="1"/>
  <c r="BD27" i="64"/>
  <c r="BE27" i="64" s="1"/>
  <c r="BD28" i="64"/>
  <c r="BE28" i="64" s="1"/>
  <c r="BD29" i="64"/>
  <c r="BE29" i="64" s="1"/>
  <c r="BD30" i="64"/>
  <c r="BE30" i="64" s="1"/>
  <c r="BD31" i="64"/>
  <c r="BE31" i="64" s="1"/>
  <c r="BD32" i="64"/>
  <c r="BE32" i="64" s="1"/>
  <c r="BD33" i="64"/>
  <c r="BE33" i="64" s="1"/>
  <c r="BD34" i="64"/>
  <c r="BE34" i="64" s="1"/>
  <c r="BD35" i="64"/>
  <c r="BE35" i="64" s="1"/>
  <c r="BD36" i="64"/>
  <c r="BE36" i="64" s="1"/>
  <c r="BD37" i="64"/>
  <c r="BE37" i="64" s="1"/>
  <c r="BD38" i="64"/>
  <c r="BE38" i="64" s="1"/>
  <c r="BD39" i="64"/>
  <c r="BE39" i="64" s="1"/>
  <c r="BD40" i="64"/>
  <c r="BE40" i="64" s="1"/>
  <c r="BD41" i="64"/>
  <c r="BE41" i="64" s="1"/>
  <c r="BD42" i="64"/>
  <c r="BE42" i="64" s="1"/>
  <c r="BD43" i="64"/>
  <c r="BE43" i="64" s="1"/>
  <c r="BD44" i="64"/>
  <c r="BE44" i="64" s="1"/>
  <c r="BD45" i="64"/>
  <c r="BE45" i="64" s="1"/>
  <c r="BD46" i="64"/>
  <c r="BE46" i="64" s="1"/>
  <c r="BD47" i="64"/>
  <c r="BE47" i="64" s="1"/>
  <c r="BD48" i="64"/>
  <c r="BE48" i="64" s="1"/>
  <c r="BD49" i="64"/>
  <c r="BE49" i="64" s="1"/>
  <c r="BD50" i="64"/>
  <c r="BE50" i="64" s="1"/>
  <c r="BD51" i="64"/>
  <c r="BE51" i="64" s="1"/>
  <c r="BD52" i="64"/>
  <c r="BE52" i="64" s="1"/>
  <c r="BD53" i="64"/>
  <c r="BE53" i="64" s="1"/>
  <c r="BD54" i="64"/>
  <c r="BE54" i="64" s="1"/>
  <c r="BD55" i="64"/>
  <c r="BE55" i="64" s="1"/>
  <c r="BD56" i="64"/>
  <c r="BE56" i="64" s="1"/>
  <c r="BD57" i="64"/>
  <c r="BE57" i="64" s="1"/>
  <c r="BD58" i="64"/>
  <c r="BE58" i="64" s="1"/>
  <c r="BD59" i="64"/>
  <c r="BE59" i="64" s="1"/>
  <c r="BD60" i="64"/>
  <c r="BE60" i="64" s="1"/>
  <c r="BD61" i="64"/>
  <c r="BE61" i="64" s="1"/>
  <c r="BD62" i="64"/>
  <c r="BE62" i="64" s="1"/>
  <c r="BD63" i="64"/>
  <c r="BE63" i="64" s="1"/>
  <c r="BD64" i="64"/>
  <c r="BE64" i="64" s="1"/>
  <c r="BD65" i="64"/>
  <c r="BE65" i="64" s="1"/>
  <c r="BD66" i="64"/>
  <c r="BE66" i="64" s="1"/>
  <c r="BD67" i="64"/>
  <c r="BE67" i="64" s="1"/>
  <c r="BD68" i="64"/>
  <c r="BE68" i="64" s="1"/>
  <c r="BD69" i="64"/>
  <c r="BE69" i="64" s="1"/>
  <c r="BD70" i="64"/>
  <c r="BE70" i="64" s="1"/>
  <c r="BD71" i="64"/>
  <c r="BE71" i="64" s="1"/>
  <c r="BD72" i="64"/>
  <c r="BE72" i="64" s="1"/>
  <c r="BD73" i="64"/>
  <c r="BE73" i="64" s="1"/>
  <c r="BD74" i="64"/>
  <c r="BE74" i="64" s="1"/>
  <c r="BD75" i="64"/>
  <c r="BE75" i="64" s="1"/>
  <c r="BD76" i="64"/>
  <c r="BE76" i="64" s="1"/>
  <c r="BD77" i="64"/>
  <c r="BE77" i="64" s="1"/>
  <c r="BD78" i="64"/>
  <c r="BE78" i="64" s="1"/>
  <c r="BD79" i="64"/>
  <c r="BE79" i="64" s="1"/>
  <c r="BD80" i="64"/>
  <c r="BE80" i="64" s="1"/>
  <c r="BD81" i="64"/>
  <c r="BE81" i="64" s="1"/>
  <c r="BD82" i="64"/>
  <c r="BE82" i="64" s="1"/>
  <c r="BD83" i="64"/>
  <c r="BE83" i="64" s="1"/>
  <c r="BD84" i="64"/>
  <c r="BE84" i="64" s="1"/>
  <c r="BD85" i="64"/>
  <c r="BE85" i="64" s="1"/>
  <c r="BD86" i="64"/>
  <c r="BE86" i="64" s="1"/>
  <c r="BD87" i="64"/>
  <c r="BE87" i="64" s="1"/>
  <c r="BD88" i="64"/>
  <c r="BE88" i="64" s="1"/>
  <c r="BD89" i="64"/>
  <c r="BE89" i="64" s="1"/>
  <c r="BD90" i="64"/>
  <c r="BE90" i="64" s="1"/>
  <c r="BD91" i="64"/>
  <c r="BE91" i="64" s="1"/>
  <c r="BD92" i="64"/>
  <c r="BE92" i="64" s="1"/>
  <c r="BD93" i="64"/>
  <c r="BE93" i="64" s="1"/>
  <c r="BD94" i="64"/>
  <c r="BE94" i="64" s="1"/>
  <c r="BD95" i="64"/>
  <c r="BE95" i="64" s="1"/>
  <c r="BD96" i="64"/>
  <c r="BE96" i="64" s="1"/>
  <c r="BD97" i="64"/>
  <c r="BE97" i="64" s="1"/>
  <c r="BD98" i="64"/>
  <c r="BE98" i="64" s="1"/>
  <c r="BD99" i="64"/>
  <c r="BE99" i="64" s="1"/>
  <c r="BD100" i="64"/>
  <c r="BE100" i="64" s="1"/>
  <c r="BD101" i="64"/>
  <c r="BE101" i="64" s="1"/>
  <c r="BD102" i="64"/>
  <c r="BE102" i="64" s="1"/>
  <c r="BD103" i="64"/>
  <c r="BE103" i="64" s="1"/>
  <c r="BD104" i="64"/>
  <c r="BE104" i="64" s="1"/>
  <c r="BD105" i="64"/>
  <c r="BE105" i="64" s="1"/>
  <c r="BD106" i="64"/>
  <c r="BE106" i="64" s="1"/>
  <c r="BD107" i="64"/>
  <c r="BE107" i="64" s="1"/>
  <c r="BD108" i="64"/>
  <c r="BE108" i="64" s="1"/>
  <c r="BD109" i="64"/>
  <c r="BE109" i="64" s="1"/>
  <c r="BD110" i="64"/>
  <c r="BE110" i="64" s="1"/>
  <c r="BD111" i="64"/>
  <c r="BE111" i="64" s="1"/>
  <c r="BD112" i="64"/>
  <c r="BE112" i="64" s="1"/>
  <c r="BD113" i="64"/>
  <c r="BE113" i="64" s="1"/>
  <c r="BD114" i="64"/>
  <c r="BE114" i="64" s="1"/>
  <c r="BD115" i="64"/>
  <c r="BE115" i="64" s="1"/>
  <c r="BD116" i="64"/>
  <c r="BE116" i="64" s="1"/>
  <c r="BD117" i="64"/>
  <c r="BE117" i="64" s="1"/>
  <c r="BD118" i="64"/>
  <c r="BE118" i="64" s="1"/>
  <c r="BD119" i="64"/>
  <c r="BE119" i="64" s="1"/>
  <c r="BD120" i="64"/>
  <c r="BE120" i="64" s="1"/>
  <c r="BD121" i="64"/>
  <c r="BE121" i="64" s="1"/>
  <c r="BD122" i="64"/>
  <c r="BE122" i="64" s="1"/>
  <c r="BD123" i="64"/>
  <c r="BE123" i="64" s="1"/>
  <c r="BD124" i="64"/>
  <c r="BE124" i="64" s="1"/>
  <c r="BD125" i="64"/>
  <c r="BE125" i="64" s="1"/>
  <c r="BD126" i="64"/>
  <c r="BE126" i="64" s="1"/>
  <c r="BD127" i="64"/>
  <c r="BE127" i="64" s="1"/>
  <c r="BD128" i="64"/>
  <c r="BE128" i="64" s="1"/>
  <c r="BD129" i="64"/>
  <c r="BE129" i="64" s="1"/>
  <c r="BD130" i="64"/>
  <c r="BE130" i="64" s="1"/>
  <c r="BD131" i="64"/>
  <c r="BE131" i="64" s="1"/>
  <c r="BD132" i="64"/>
  <c r="BE132" i="64" s="1"/>
  <c r="BD133" i="64"/>
  <c r="BE133" i="64" s="1"/>
  <c r="BD134" i="64"/>
  <c r="BE134" i="64" s="1"/>
  <c r="BD135" i="64"/>
  <c r="BE135" i="64" s="1"/>
  <c r="BD136" i="64"/>
  <c r="BE136" i="64" s="1"/>
  <c r="BD137" i="64"/>
  <c r="BE137" i="64" s="1"/>
  <c r="BD138" i="64"/>
  <c r="BE138" i="64" s="1"/>
  <c r="BD139" i="64"/>
  <c r="BE139" i="64" s="1"/>
  <c r="BD140" i="64"/>
  <c r="BE140" i="64" s="1"/>
  <c r="BD141" i="64"/>
  <c r="BE141" i="64" s="1"/>
  <c r="BD142" i="64"/>
  <c r="BE142" i="64" s="1"/>
  <c r="BD143" i="64"/>
  <c r="BE143" i="64" s="1"/>
  <c r="BD144" i="64"/>
  <c r="BE144" i="64" s="1"/>
  <c r="BD145" i="64"/>
  <c r="BE145" i="64" s="1"/>
  <c r="BD146" i="64"/>
  <c r="BE146" i="64" s="1"/>
  <c r="BD147" i="64"/>
  <c r="BE147" i="64" s="1"/>
  <c r="BD148" i="64"/>
  <c r="BE148" i="64" s="1"/>
  <c r="BD149" i="64"/>
  <c r="BE149" i="64" s="1"/>
  <c r="BD150" i="64"/>
  <c r="BE150" i="64" s="1"/>
  <c r="BD151" i="64"/>
  <c r="BE151" i="64" s="1"/>
  <c r="BD152" i="64"/>
  <c r="BE152" i="64" s="1"/>
  <c r="BD153" i="64"/>
  <c r="BE153" i="64" s="1"/>
  <c r="BD154" i="64"/>
  <c r="BE154" i="64" s="1"/>
  <c r="BD155" i="64"/>
  <c r="BE155" i="64" s="1"/>
  <c r="BD156" i="64"/>
  <c r="BE156" i="64" s="1"/>
  <c r="BD157" i="64"/>
  <c r="BE157" i="64" s="1"/>
  <c r="BD158" i="64"/>
  <c r="BE158" i="64" s="1"/>
  <c r="BD159" i="64"/>
  <c r="BE159" i="64" s="1"/>
  <c r="BD160" i="64"/>
  <c r="BE160" i="64" s="1"/>
  <c r="BD161" i="64"/>
  <c r="BE161" i="64" s="1"/>
  <c r="BD162" i="64"/>
  <c r="BE162" i="64" s="1"/>
  <c r="BD163" i="64"/>
  <c r="BE163" i="64" s="1"/>
  <c r="BD164" i="64"/>
  <c r="BE164" i="64" s="1"/>
  <c r="BD165" i="64"/>
  <c r="BE165" i="64" s="1"/>
  <c r="BD166" i="64"/>
  <c r="BE166" i="64" s="1"/>
  <c r="BD167" i="64"/>
  <c r="BE167" i="64" s="1"/>
  <c r="BD168" i="64"/>
  <c r="BE168" i="64" s="1"/>
  <c r="BD169" i="64"/>
  <c r="BE169" i="64" s="1"/>
  <c r="BD170" i="64"/>
  <c r="BE170" i="64" s="1"/>
  <c r="BD171" i="64"/>
  <c r="BE171" i="64" s="1"/>
  <c r="BD172" i="64"/>
  <c r="BE172" i="64" s="1"/>
  <c r="BD173" i="64"/>
  <c r="BE173" i="64" s="1"/>
  <c r="BD174" i="64"/>
  <c r="BE174" i="64" s="1"/>
  <c r="BD175" i="64"/>
  <c r="BE175" i="64" s="1"/>
  <c r="BD176" i="64"/>
  <c r="BE176" i="64" s="1"/>
  <c r="BD177" i="64"/>
  <c r="BE177" i="64" s="1"/>
  <c r="BD178" i="64"/>
  <c r="BE178" i="64" s="1"/>
  <c r="BD179" i="64"/>
  <c r="BE179" i="64" s="1"/>
  <c r="BD180" i="64"/>
  <c r="BE180" i="64" s="1"/>
  <c r="BD181" i="64"/>
  <c r="BE181" i="64" s="1"/>
  <c r="BD182" i="64"/>
  <c r="BE182" i="64"/>
  <c r="BD183" i="64"/>
  <c r="BE183" i="64"/>
  <c r="BD184" i="64"/>
  <c r="BE184" i="64"/>
  <c r="BD185" i="64"/>
  <c r="BE185" i="64"/>
  <c r="BD186" i="64"/>
  <c r="BE186" i="64"/>
  <c r="BD187" i="64"/>
  <c r="BE187" i="64"/>
  <c r="BD188" i="64"/>
  <c r="BE188" i="64"/>
  <c r="BD189" i="64"/>
  <c r="BE189" i="64"/>
  <c r="BD190" i="64"/>
  <c r="BE190" i="64"/>
  <c r="BD191" i="64"/>
  <c r="BE191" i="64"/>
  <c r="BD192" i="64"/>
  <c r="BE192" i="64"/>
  <c r="BD193" i="64"/>
  <c r="BE193" i="64"/>
  <c r="BD194" i="64"/>
  <c r="BE194" i="64"/>
  <c r="BD195" i="64"/>
  <c r="BE195" i="64"/>
  <c r="BD196" i="64"/>
  <c r="BE196" i="64"/>
  <c r="BD197" i="64"/>
  <c r="BE197" i="64"/>
  <c r="BD198" i="64"/>
  <c r="BE198" i="64"/>
  <c r="BD199" i="64"/>
  <c r="BE199" i="64"/>
  <c r="BD200" i="64"/>
  <c r="BE200" i="64"/>
  <c r="BD201" i="64"/>
  <c r="BE201" i="64"/>
  <c r="BD202" i="64"/>
  <c r="BE202" i="64"/>
  <c r="BD203" i="64"/>
  <c r="BE203" i="64"/>
  <c r="BD204" i="64"/>
  <c r="BE204" i="64"/>
  <c r="BD205" i="64"/>
  <c r="BE205" i="64"/>
  <c r="BD206" i="64"/>
  <c r="BE206" i="64"/>
  <c r="BD207" i="64"/>
  <c r="BE207" i="64"/>
  <c r="BD208" i="64"/>
  <c r="BE208" i="64"/>
  <c r="BD209" i="64"/>
  <c r="BE209" i="64"/>
  <c r="BD210" i="64"/>
  <c r="BE210" i="64"/>
  <c r="BD211" i="64"/>
  <c r="BE211" i="64"/>
  <c r="BD212" i="64"/>
  <c r="BE212" i="64"/>
  <c r="BD213" i="64"/>
  <c r="BE213" i="64"/>
  <c r="BD214" i="64"/>
  <c r="BE214" i="64"/>
  <c r="BD215" i="64"/>
  <c r="BE215" i="64"/>
  <c r="BD216" i="64"/>
  <c r="BE216" i="64"/>
  <c r="BD217" i="64"/>
  <c r="BE217" i="64"/>
  <c r="BD218" i="64"/>
  <c r="BE218" i="64"/>
  <c r="BD219" i="64"/>
  <c r="BE219" i="64"/>
  <c r="BD220" i="64"/>
  <c r="BE220" i="64"/>
  <c r="BD221" i="64"/>
  <c r="BE221" i="64"/>
  <c r="BD222" i="64"/>
  <c r="BE222" i="64"/>
  <c r="BD223" i="64"/>
  <c r="BE223" i="64"/>
  <c r="BD224" i="64"/>
  <c r="BE224" i="64"/>
  <c r="BD225" i="64"/>
  <c r="BE225" i="64"/>
  <c r="BD226" i="64"/>
  <c r="BE226" i="64"/>
  <c r="BD227" i="64"/>
  <c r="BE227" i="64"/>
  <c r="BD228" i="64"/>
  <c r="BE228" i="64"/>
  <c r="BD229" i="64"/>
  <c r="BE229" i="64"/>
  <c r="BD230" i="64"/>
  <c r="BE230" i="64"/>
  <c r="BD231" i="64"/>
  <c r="BE231" i="64"/>
  <c r="BD232" i="64"/>
  <c r="BE232" i="64"/>
  <c r="BD233" i="64"/>
  <c r="BE233" i="64"/>
  <c r="BD234" i="64"/>
  <c r="BE234" i="64"/>
  <c r="BD235" i="64"/>
  <c r="BE235" i="64"/>
  <c r="BD236" i="64"/>
  <c r="BE236" i="64"/>
  <c r="BD237" i="64"/>
  <c r="BE237" i="64"/>
  <c r="BD238" i="64"/>
  <c r="BE238" i="64"/>
  <c r="BD239" i="64"/>
  <c r="BE239" i="64"/>
  <c r="BD240" i="64"/>
  <c r="BE240" i="64"/>
  <c r="BD241" i="64"/>
  <c r="BE241" i="64"/>
  <c r="BD242" i="64"/>
  <c r="BE242" i="64"/>
  <c r="BD243" i="64"/>
  <c r="BE243" i="64"/>
  <c r="BD244" i="64"/>
  <c r="BE244" i="64"/>
  <c r="BD245" i="64"/>
  <c r="BE245" i="64"/>
  <c r="BD246" i="64"/>
  <c r="BE246" i="64"/>
  <c r="BD247" i="64"/>
  <c r="BE247" i="64"/>
  <c r="BD248" i="64"/>
  <c r="BE248" i="64"/>
  <c r="BD249" i="64"/>
  <c r="BE249" i="64"/>
  <c r="BD250" i="64"/>
  <c r="BE250" i="64"/>
  <c r="BD251" i="64"/>
  <c r="BE251" i="64"/>
  <c r="BD252" i="64"/>
  <c r="BE252" i="64"/>
  <c r="BD253" i="64"/>
  <c r="BE253" i="64"/>
  <c r="BD254" i="64"/>
  <c r="BE254" i="64"/>
  <c r="BD255" i="64"/>
  <c r="BE255" i="64"/>
  <c r="BD256" i="64"/>
  <c r="BE256" i="64"/>
  <c r="BD257" i="64"/>
  <c r="BE257" i="64"/>
  <c r="BD258" i="64"/>
  <c r="BE258" i="64"/>
  <c r="BD259" i="64"/>
  <c r="BE259" i="64"/>
  <c r="BD260" i="64"/>
  <c r="BE260" i="64"/>
  <c r="BD261" i="64"/>
  <c r="BE261" i="64"/>
  <c r="BD262" i="64"/>
  <c r="BE262" i="64"/>
  <c r="BD263" i="64"/>
  <c r="BE263" i="64"/>
  <c r="BD264" i="64"/>
  <c r="BE264" i="64"/>
  <c r="BD265" i="64"/>
  <c r="BE265" i="64"/>
  <c r="BD266" i="64"/>
  <c r="BE266" i="64"/>
  <c r="BD267" i="64"/>
  <c r="BE267" i="64"/>
  <c r="BD268" i="64"/>
  <c r="BE268" i="64"/>
  <c r="BD269" i="64"/>
  <c r="BE269" i="64"/>
  <c r="BD270" i="64"/>
  <c r="BE270" i="64"/>
  <c r="BD271" i="64"/>
  <c r="BE271" i="64"/>
  <c r="BD272" i="64"/>
  <c r="BE272" i="64"/>
  <c r="BD273" i="64"/>
  <c r="BE273" i="64"/>
  <c r="BD274" i="64"/>
  <c r="BE274" i="64"/>
  <c r="BD275" i="64"/>
  <c r="BE275" i="64"/>
  <c r="BD276" i="64"/>
  <c r="BE276" i="64"/>
  <c r="BD277" i="64"/>
  <c r="BE277" i="64"/>
  <c r="BD278" i="64"/>
  <c r="BE278" i="64"/>
  <c r="BD279" i="64"/>
  <c r="BE279" i="64"/>
  <c r="BD280" i="64"/>
  <c r="BE280" i="64"/>
  <c r="BD281" i="64"/>
  <c r="BE281" i="64"/>
  <c r="BD282" i="64"/>
  <c r="BE282" i="64"/>
  <c r="BD283" i="64"/>
  <c r="BE283" i="64"/>
  <c r="BD284" i="64"/>
  <c r="BE284" i="64"/>
  <c r="BD285" i="64"/>
  <c r="BE285" i="64"/>
  <c r="BD286" i="64"/>
  <c r="BE286" i="64"/>
  <c r="BD287" i="64"/>
  <c r="BE287" i="64"/>
  <c r="BD288" i="64"/>
  <c r="BE288" i="64"/>
  <c r="BD289" i="64"/>
  <c r="BE289" i="64"/>
  <c r="BD290" i="64"/>
  <c r="BE290" i="64"/>
  <c r="BD291" i="64"/>
  <c r="BE291" i="64"/>
  <c r="BD292" i="64"/>
  <c r="BE292" i="64"/>
  <c r="BD293" i="64"/>
  <c r="BE293" i="64"/>
  <c r="BD294" i="64"/>
  <c r="BE294" i="64"/>
  <c r="BD295" i="64"/>
  <c r="BE295" i="64"/>
  <c r="BD296" i="64"/>
  <c r="BE296" i="64"/>
  <c r="BD297" i="64"/>
  <c r="BE297" i="64"/>
  <c r="BD298" i="64"/>
  <c r="BE298" i="64"/>
  <c r="BD299" i="64"/>
  <c r="BE299" i="64"/>
  <c r="BD300" i="64"/>
  <c r="BE300" i="64"/>
  <c r="BD301" i="64"/>
  <c r="BE301" i="64"/>
  <c r="BD302" i="64"/>
  <c r="BE302" i="64"/>
  <c r="BD303" i="64"/>
  <c r="BE303" i="64"/>
  <c r="BD304" i="64"/>
  <c r="BE304" i="64"/>
  <c r="BD305" i="64"/>
  <c r="BE305" i="64"/>
  <c r="BD306" i="64"/>
  <c r="BE306" i="64"/>
  <c r="BD307" i="64"/>
  <c r="BE307" i="64"/>
  <c r="BD308" i="64"/>
  <c r="BE308" i="64"/>
  <c r="BD309" i="64"/>
  <c r="BE309" i="64"/>
  <c r="BD310" i="64"/>
  <c r="BE310" i="64"/>
  <c r="BD311" i="64"/>
  <c r="BE311" i="64"/>
  <c r="BD312" i="64"/>
  <c r="BE312" i="64"/>
  <c r="BD313" i="64"/>
  <c r="BE313" i="64"/>
  <c r="BD314" i="64"/>
  <c r="BE314" i="64"/>
  <c r="BD315" i="64"/>
  <c r="BE315" i="64"/>
  <c r="BD316" i="64"/>
  <c r="BE316" i="64"/>
  <c r="BD317" i="64"/>
  <c r="BE317" i="64"/>
  <c r="BD318" i="64"/>
  <c r="BE318" i="64"/>
  <c r="BD319" i="64"/>
  <c r="BE319" i="64"/>
  <c r="BD320" i="64"/>
  <c r="BE320" i="64"/>
  <c r="BD321" i="64"/>
  <c r="BE321" i="64"/>
  <c r="BD322" i="64"/>
  <c r="BE322" i="64"/>
  <c r="BD323" i="64"/>
  <c r="BE323" i="64"/>
  <c r="BD324" i="64"/>
  <c r="BE324" i="64"/>
  <c r="BD325" i="64"/>
  <c r="BE325" i="64"/>
  <c r="BD326" i="64"/>
  <c r="BE326" i="64"/>
  <c r="BD327" i="64"/>
  <c r="BE327" i="64"/>
  <c r="BD328" i="64"/>
  <c r="BE328" i="64"/>
  <c r="BD329" i="64"/>
  <c r="BE329" i="64"/>
  <c r="BD330" i="64"/>
  <c r="BE330" i="64"/>
  <c r="BD331" i="64"/>
  <c r="BE331" i="64"/>
  <c r="BD332" i="64"/>
  <c r="BE332" i="64"/>
  <c r="BD333" i="64"/>
  <c r="BE333" i="64"/>
  <c r="BD334" i="64"/>
  <c r="BE334" i="64"/>
  <c r="BD335" i="64"/>
  <c r="BE335" i="64"/>
  <c r="BD336" i="64"/>
  <c r="BE336" i="64"/>
  <c r="BD337" i="64"/>
  <c r="BE337" i="64"/>
  <c r="BD338" i="64"/>
  <c r="BE338" i="64"/>
  <c r="BD339" i="64"/>
  <c r="BE339" i="64"/>
  <c r="BD340" i="64"/>
  <c r="BE340" i="64"/>
  <c r="BD341" i="64"/>
  <c r="BE341" i="64"/>
  <c r="BD342" i="64"/>
  <c r="BE342" i="64"/>
  <c r="BD343" i="64"/>
  <c r="BE343" i="64"/>
  <c r="BD344" i="64"/>
  <c r="BE344" i="64"/>
  <c r="BD345" i="64"/>
  <c r="BE345" i="64"/>
  <c r="BD346" i="64"/>
  <c r="BE346" i="64"/>
  <c r="BD347" i="64"/>
  <c r="BE347" i="64"/>
  <c r="BD348" i="64"/>
  <c r="BE348" i="64"/>
  <c r="BD349" i="64"/>
  <c r="BE349" i="64"/>
  <c r="BD350" i="64"/>
  <c r="BE350" i="64"/>
  <c r="BD351" i="64"/>
  <c r="BE351" i="64"/>
  <c r="BD352" i="64"/>
  <c r="BE352" i="64"/>
  <c r="BD353" i="64"/>
  <c r="BE353" i="64"/>
  <c r="BD354" i="64"/>
  <c r="BE354" i="64"/>
  <c r="BD355" i="64"/>
  <c r="BE355" i="64"/>
  <c r="BD356" i="64"/>
  <c r="BE356" i="64"/>
  <c r="BD357" i="64"/>
  <c r="BE357" i="64"/>
  <c r="BD358" i="64"/>
  <c r="BE358" i="64"/>
  <c r="BD359" i="64"/>
  <c r="BE359" i="64"/>
  <c r="BD360" i="64"/>
  <c r="BE360" i="64"/>
  <c r="BD361" i="64"/>
  <c r="BE361" i="64"/>
  <c r="BD362" i="64"/>
  <c r="BE362" i="64"/>
  <c r="BD363" i="64"/>
  <c r="BE363" i="64"/>
  <c r="BD364" i="64"/>
  <c r="BE364" i="64"/>
  <c r="BD365" i="64"/>
  <c r="BE365" i="64"/>
  <c r="BD366" i="64"/>
  <c r="BE366" i="64"/>
  <c r="BD367" i="64"/>
  <c r="BE367" i="64"/>
  <c r="BD368" i="64"/>
  <c r="BE368" i="64"/>
  <c r="BD369" i="64"/>
  <c r="BE369" i="64"/>
  <c r="BD370" i="64"/>
  <c r="BE370" i="64"/>
  <c r="BD371" i="64"/>
  <c r="BE371" i="64"/>
  <c r="BD372" i="64"/>
  <c r="BE372" i="64"/>
  <c r="BD373" i="64"/>
  <c r="BE373" i="64"/>
  <c r="BD374" i="64"/>
  <c r="BE374" i="64"/>
  <c r="BD375" i="64"/>
  <c r="BE375" i="64"/>
  <c r="BD376" i="64"/>
  <c r="BE376" i="64"/>
  <c r="BD377" i="64"/>
  <c r="BE377" i="64"/>
  <c r="BD378" i="64"/>
  <c r="BE378" i="64"/>
  <c r="BD379" i="64"/>
  <c r="BE379" i="64"/>
  <c r="BD380" i="64"/>
  <c r="BE380" i="64"/>
  <c r="BD381" i="64"/>
  <c r="BE381" i="64"/>
  <c r="BD382" i="64"/>
  <c r="BE382" i="64"/>
  <c r="BD383" i="64"/>
  <c r="BE383" i="64"/>
  <c r="BD384" i="64"/>
  <c r="BE384" i="64"/>
  <c r="BD385" i="64"/>
  <c r="BE385" i="64"/>
  <c r="BD386" i="64"/>
  <c r="BE386" i="64"/>
  <c r="BD387" i="64"/>
  <c r="BE387" i="64"/>
  <c r="BD388" i="64"/>
  <c r="BE388" i="64"/>
  <c r="AV12" i="64"/>
  <c r="AW12" i="64" s="1"/>
  <c r="AV13" i="64"/>
  <c r="AW13" i="64" s="1"/>
  <c r="AV14" i="64"/>
  <c r="AW14" i="64" s="1"/>
  <c r="AV15" i="64"/>
  <c r="AW15" i="64" s="1"/>
  <c r="AV16" i="64"/>
  <c r="AW16" i="64" s="1"/>
  <c r="AV17" i="64"/>
  <c r="AW17" i="64" s="1"/>
  <c r="AV18" i="64"/>
  <c r="AW18" i="64" s="1"/>
  <c r="AV19" i="64"/>
  <c r="AW19" i="64" s="1"/>
  <c r="AV20" i="64"/>
  <c r="AW20" i="64" s="1"/>
  <c r="AV21" i="64"/>
  <c r="AW21" i="64" s="1"/>
  <c r="AV22" i="64"/>
  <c r="AW22" i="64" s="1"/>
  <c r="AV23" i="64"/>
  <c r="AW23" i="64" s="1"/>
  <c r="AV24" i="64"/>
  <c r="AW24" i="64" s="1"/>
  <c r="AV25" i="64"/>
  <c r="AW25" i="64" s="1"/>
  <c r="AV26" i="64"/>
  <c r="AW26" i="64" s="1"/>
  <c r="AV27" i="64"/>
  <c r="AW27" i="64" s="1"/>
  <c r="AV28" i="64"/>
  <c r="AW28" i="64" s="1"/>
  <c r="AV29" i="64"/>
  <c r="AW29" i="64" s="1"/>
  <c r="AV30" i="64"/>
  <c r="AW30" i="64" s="1"/>
  <c r="AV31" i="64"/>
  <c r="AW31" i="64" s="1"/>
  <c r="AV32" i="64"/>
  <c r="AW32" i="64" s="1"/>
  <c r="AV33" i="64"/>
  <c r="AW33" i="64" s="1"/>
  <c r="AV34" i="64"/>
  <c r="AW34" i="64" s="1"/>
  <c r="AV35" i="64"/>
  <c r="AW35" i="64" s="1"/>
  <c r="AV36" i="64"/>
  <c r="AW36" i="64" s="1"/>
  <c r="AV37" i="64"/>
  <c r="AW37" i="64" s="1"/>
  <c r="AV38" i="64"/>
  <c r="AW38" i="64" s="1"/>
  <c r="AV39" i="64"/>
  <c r="AW39" i="64" s="1"/>
  <c r="AV40" i="64"/>
  <c r="AW40" i="64" s="1"/>
  <c r="AV41" i="64"/>
  <c r="AW41" i="64" s="1"/>
  <c r="AV42" i="64"/>
  <c r="AW42" i="64" s="1"/>
  <c r="AV43" i="64"/>
  <c r="AW43" i="64" s="1"/>
  <c r="AV44" i="64"/>
  <c r="AW44" i="64" s="1"/>
  <c r="AV45" i="64"/>
  <c r="AW45" i="64" s="1"/>
  <c r="AV46" i="64"/>
  <c r="AW46" i="64" s="1"/>
  <c r="AV47" i="64"/>
  <c r="AW47" i="64" s="1"/>
  <c r="AV48" i="64"/>
  <c r="AW48" i="64" s="1"/>
  <c r="AV49" i="64"/>
  <c r="AW49" i="64" s="1"/>
  <c r="AV50" i="64"/>
  <c r="AW50" i="64" s="1"/>
  <c r="AV51" i="64"/>
  <c r="AW51" i="64" s="1"/>
  <c r="AV52" i="64"/>
  <c r="AW52" i="64" s="1"/>
  <c r="AV53" i="64"/>
  <c r="AW53" i="64" s="1"/>
  <c r="AV54" i="64"/>
  <c r="AW54" i="64" s="1"/>
  <c r="AV55" i="64"/>
  <c r="AW55" i="64" s="1"/>
  <c r="AV56" i="64"/>
  <c r="AW56" i="64" s="1"/>
  <c r="AV57" i="64"/>
  <c r="AW57" i="64" s="1"/>
  <c r="AV58" i="64"/>
  <c r="AW58" i="64" s="1"/>
  <c r="AV59" i="64"/>
  <c r="AW59" i="64" s="1"/>
  <c r="AV60" i="64"/>
  <c r="AW60" i="64" s="1"/>
  <c r="AV61" i="64"/>
  <c r="AW61" i="64" s="1"/>
  <c r="AV62" i="64"/>
  <c r="AW62" i="64" s="1"/>
  <c r="AV63" i="64"/>
  <c r="AW63" i="64" s="1"/>
  <c r="AV64" i="64"/>
  <c r="AW64" i="64" s="1"/>
  <c r="AV65" i="64"/>
  <c r="AW65" i="64" s="1"/>
  <c r="AV66" i="64"/>
  <c r="AW66" i="64" s="1"/>
  <c r="AV67" i="64"/>
  <c r="AW67" i="64" s="1"/>
  <c r="AV68" i="64"/>
  <c r="AW68" i="64" s="1"/>
  <c r="AV69" i="64"/>
  <c r="AW69" i="64" s="1"/>
  <c r="AV70" i="64"/>
  <c r="AW70" i="64" s="1"/>
  <c r="AV71" i="64"/>
  <c r="AW71" i="64" s="1"/>
  <c r="AV72" i="64"/>
  <c r="AW72" i="64" s="1"/>
  <c r="AV73" i="64"/>
  <c r="AW73" i="64" s="1"/>
  <c r="AV74" i="64"/>
  <c r="AW74" i="64" s="1"/>
  <c r="AV75" i="64"/>
  <c r="AW75" i="64" s="1"/>
  <c r="AV76" i="64"/>
  <c r="AW76" i="64" s="1"/>
  <c r="AV77" i="64"/>
  <c r="AW77" i="64" s="1"/>
  <c r="AV78" i="64"/>
  <c r="AW78" i="64" s="1"/>
  <c r="AV79" i="64"/>
  <c r="AW79" i="64" s="1"/>
  <c r="AV80" i="64"/>
  <c r="AW80" i="64" s="1"/>
  <c r="AV81" i="64"/>
  <c r="AW81" i="64" s="1"/>
  <c r="AV82" i="64"/>
  <c r="AW82" i="64" s="1"/>
  <c r="AV83" i="64"/>
  <c r="AW83" i="64" s="1"/>
  <c r="AV84" i="64"/>
  <c r="AW84" i="64" s="1"/>
  <c r="AV85" i="64"/>
  <c r="AW85" i="64" s="1"/>
  <c r="AV86" i="64"/>
  <c r="AW86" i="64" s="1"/>
  <c r="AV87" i="64"/>
  <c r="AW87" i="64" s="1"/>
  <c r="AV88" i="64"/>
  <c r="AW88" i="64" s="1"/>
  <c r="AV89" i="64"/>
  <c r="AW89" i="64" s="1"/>
  <c r="AV90" i="64"/>
  <c r="AW90" i="64" s="1"/>
  <c r="AV91" i="64"/>
  <c r="AW91" i="64" s="1"/>
  <c r="AV92" i="64"/>
  <c r="AW92" i="64" s="1"/>
  <c r="AV93" i="64"/>
  <c r="AW93" i="64" s="1"/>
  <c r="AV94" i="64"/>
  <c r="AW94" i="64" s="1"/>
  <c r="AV95" i="64"/>
  <c r="AW95" i="64" s="1"/>
  <c r="AV96" i="64"/>
  <c r="AW96" i="64" s="1"/>
  <c r="AV97" i="64"/>
  <c r="AW97" i="64" s="1"/>
  <c r="AV98" i="64"/>
  <c r="AW98" i="64" s="1"/>
  <c r="AV99" i="64"/>
  <c r="AW99" i="64" s="1"/>
  <c r="AV100" i="64"/>
  <c r="AW100" i="64" s="1"/>
  <c r="AV101" i="64"/>
  <c r="AW101" i="64" s="1"/>
  <c r="AV102" i="64"/>
  <c r="AW102" i="64" s="1"/>
  <c r="AV103" i="64"/>
  <c r="AW103" i="64" s="1"/>
  <c r="AV104" i="64"/>
  <c r="AW104" i="64" s="1"/>
  <c r="AV105" i="64"/>
  <c r="AW105" i="64" s="1"/>
  <c r="AV106" i="64"/>
  <c r="AW106" i="64" s="1"/>
  <c r="AV107" i="64"/>
  <c r="AW107" i="64" s="1"/>
  <c r="AV108" i="64"/>
  <c r="AW108" i="64" s="1"/>
  <c r="AV109" i="64"/>
  <c r="AW109" i="64" s="1"/>
  <c r="AV110" i="64"/>
  <c r="AW110" i="64" s="1"/>
  <c r="AV111" i="64"/>
  <c r="AW111" i="64" s="1"/>
  <c r="AV112" i="64"/>
  <c r="AW112" i="64" s="1"/>
  <c r="AV113" i="64"/>
  <c r="AW113" i="64" s="1"/>
  <c r="AV114" i="64"/>
  <c r="AW114" i="64" s="1"/>
  <c r="AV115" i="64"/>
  <c r="AW115" i="64" s="1"/>
  <c r="AV116" i="64"/>
  <c r="AW116" i="64" s="1"/>
  <c r="AV117" i="64"/>
  <c r="AW117" i="64" s="1"/>
  <c r="AV118" i="64"/>
  <c r="AW118" i="64" s="1"/>
  <c r="AV119" i="64"/>
  <c r="AW119" i="64" s="1"/>
  <c r="AV120" i="64"/>
  <c r="AW120" i="64" s="1"/>
  <c r="AV121" i="64"/>
  <c r="AW121" i="64" s="1"/>
  <c r="AV122" i="64"/>
  <c r="AW122" i="64" s="1"/>
  <c r="AV123" i="64"/>
  <c r="AW123" i="64" s="1"/>
  <c r="AV124" i="64"/>
  <c r="AW124" i="64" s="1"/>
  <c r="AV125" i="64"/>
  <c r="AW125" i="64" s="1"/>
  <c r="AV126" i="64"/>
  <c r="AW126" i="64" s="1"/>
  <c r="AV127" i="64"/>
  <c r="AW127" i="64" s="1"/>
  <c r="AV128" i="64"/>
  <c r="AW128" i="64" s="1"/>
  <c r="AV129" i="64"/>
  <c r="AW129" i="64" s="1"/>
  <c r="AV130" i="64"/>
  <c r="AW130" i="64" s="1"/>
  <c r="AV131" i="64"/>
  <c r="AW131" i="64" s="1"/>
  <c r="AV132" i="64"/>
  <c r="AW132" i="64" s="1"/>
  <c r="AV133" i="64"/>
  <c r="AW133" i="64" s="1"/>
  <c r="AV134" i="64"/>
  <c r="AW134" i="64" s="1"/>
  <c r="AV135" i="64"/>
  <c r="AW135" i="64" s="1"/>
  <c r="AV136" i="64"/>
  <c r="AW136" i="64" s="1"/>
  <c r="AV137" i="64"/>
  <c r="AW137" i="64" s="1"/>
  <c r="AV138" i="64"/>
  <c r="AW138" i="64" s="1"/>
  <c r="AV139" i="64"/>
  <c r="AW139" i="64" s="1"/>
  <c r="AV140" i="64"/>
  <c r="AW140" i="64" s="1"/>
  <c r="AV141" i="64"/>
  <c r="AW141" i="64" s="1"/>
  <c r="AV142" i="64"/>
  <c r="AW142" i="64" s="1"/>
  <c r="AV143" i="64"/>
  <c r="AW143" i="64" s="1"/>
  <c r="AV144" i="64"/>
  <c r="AW144" i="64" s="1"/>
  <c r="AV145" i="64"/>
  <c r="AW145" i="64" s="1"/>
  <c r="AV146" i="64"/>
  <c r="AW146" i="64" s="1"/>
  <c r="AV147" i="64"/>
  <c r="AW147" i="64" s="1"/>
  <c r="AV148" i="64"/>
  <c r="AW148" i="64" s="1"/>
  <c r="AV149" i="64"/>
  <c r="AW149" i="64" s="1"/>
  <c r="AV150" i="64"/>
  <c r="AW150" i="64" s="1"/>
  <c r="AV151" i="64"/>
  <c r="AW151" i="64" s="1"/>
  <c r="AV152" i="64"/>
  <c r="AW152" i="64" s="1"/>
  <c r="AV153" i="64"/>
  <c r="AW153" i="64" s="1"/>
  <c r="AV154" i="64"/>
  <c r="AW154" i="64" s="1"/>
  <c r="AV155" i="64"/>
  <c r="AW155" i="64" s="1"/>
  <c r="AV156" i="64"/>
  <c r="AW156" i="64" s="1"/>
  <c r="AV157" i="64"/>
  <c r="AW157" i="64" s="1"/>
  <c r="AV158" i="64"/>
  <c r="AW158" i="64" s="1"/>
  <c r="AV159" i="64"/>
  <c r="AW159" i="64" s="1"/>
  <c r="AV160" i="64"/>
  <c r="AW160" i="64" s="1"/>
  <c r="AV161" i="64"/>
  <c r="AW161" i="64" s="1"/>
  <c r="AV162" i="64"/>
  <c r="AW162" i="64" s="1"/>
  <c r="AV163" i="64"/>
  <c r="AW163" i="64" s="1"/>
  <c r="AV164" i="64"/>
  <c r="AW164" i="64" s="1"/>
  <c r="AV165" i="64"/>
  <c r="AW165" i="64" s="1"/>
  <c r="AV166" i="64"/>
  <c r="AW166" i="64" s="1"/>
  <c r="AV167" i="64"/>
  <c r="AW167" i="64" s="1"/>
  <c r="AV168" i="64"/>
  <c r="AW168" i="64" s="1"/>
  <c r="AV169" i="64"/>
  <c r="AW169" i="64" s="1"/>
  <c r="AV170" i="64"/>
  <c r="AW170" i="64" s="1"/>
  <c r="AV171" i="64"/>
  <c r="AW171" i="64" s="1"/>
  <c r="AV172" i="64"/>
  <c r="AW172" i="64" s="1"/>
  <c r="AV173" i="64"/>
  <c r="AW173" i="64" s="1"/>
  <c r="AV174" i="64"/>
  <c r="AW174" i="64" s="1"/>
  <c r="AV175" i="64"/>
  <c r="AW175" i="64" s="1"/>
  <c r="AV176" i="64"/>
  <c r="AW176" i="64" s="1"/>
  <c r="AV177" i="64"/>
  <c r="AW177" i="64" s="1"/>
  <c r="AV178" i="64"/>
  <c r="AW178" i="64" s="1"/>
  <c r="AV179" i="64"/>
  <c r="AW179" i="64" s="1"/>
  <c r="AV180" i="64"/>
  <c r="AW180" i="64" s="1"/>
  <c r="AV181" i="64"/>
  <c r="AW181" i="64" s="1"/>
  <c r="AV182" i="64"/>
  <c r="AW182" i="64"/>
  <c r="AV183" i="64"/>
  <c r="AW183" i="64"/>
  <c r="AV184" i="64"/>
  <c r="AW184" i="64"/>
  <c r="AV185" i="64"/>
  <c r="AW185" i="64"/>
  <c r="AV186" i="64"/>
  <c r="AW186" i="64"/>
  <c r="AV187" i="64"/>
  <c r="AW187" i="64"/>
  <c r="AV188" i="64"/>
  <c r="AW188" i="64"/>
  <c r="AV189" i="64"/>
  <c r="AW189" i="64"/>
  <c r="AV190" i="64"/>
  <c r="AW190" i="64"/>
  <c r="AV191" i="64"/>
  <c r="AW191" i="64"/>
  <c r="AV192" i="64"/>
  <c r="AW192" i="64"/>
  <c r="AV193" i="64"/>
  <c r="AW193" i="64"/>
  <c r="AV194" i="64"/>
  <c r="AW194" i="64"/>
  <c r="AV195" i="64"/>
  <c r="AW195" i="64"/>
  <c r="AV196" i="64"/>
  <c r="AW196" i="64"/>
  <c r="AV197" i="64"/>
  <c r="AW197" i="64"/>
  <c r="AV198" i="64"/>
  <c r="AW198" i="64"/>
  <c r="AV199" i="64"/>
  <c r="AW199" i="64"/>
  <c r="AV200" i="64"/>
  <c r="AW200" i="64"/>
  <c r="AV201" i="64"/>
  <c r="AW201" i="64"/>
  <c r="AV202" i="64"/>
  <c r="AW202" i="64"/>
  <c r="AV203" i="64"/>
  <c r="AW203" i="64"/>
  <c r="AV204" i="64"/>
  <c r="AW204" i="64"/>
  <c r="AV205" i="64"/>
  <c r="AW205" i="64"/>
  <c r="AV206" i="64"/>
  <c r="AW206" i="64"/>
  <c r="AV207" i="64"/>
  <c r="AW207" i="64"/>
  <c r="AV208" i="64"/>
  <c r="AW208" i="64"/>
  <c r="AV209" i="64"/>
  <c r="AW209" i="64"/>
  <c r="AV210" i="64"/>
  <c r="AW210" i="64"/>
  <c r="AV211" i="64"/>
  <c r="AW211" i="64"/>
  <c r="AV212" i="64"/>
  <c r="AW212" i="64"/>
  <c r="AV213" i="64"/>
  <c r="AW213" i="64"/>
  <c r="AV214" i="64"/>
  <c r="AW214" i="64"/>
  <c r="AV215" i="64"/>
  <c r="AW215" i="64"/>
  <c r="AV216" i="64"/>
  <c r="AW216" i="64"/>
  <c r="AV217" i="64"/>
  <c r="AW217" i="64"/>
  <c r="AV218" i="64"/>
  <c r="AW218" i="64"/>
  <c r="AV219" i="64"/>
  <c r="AW219" i="64"/>
  <c r="AV220" i="64"/>
  <c r="AW220" i="64"/>
  <c r="AV221" i="64"/>
  <c r="AW221" i="64"/>
  <c r="AV222" i="64"/>
  <c r="AW222" i="64"/>
  <c r="AV223" i="64"/>
  <c r="AW223" i="64"/>
  <c r="AV224" i="64"/>
  <c r="AW224" i="64"/>
  <c r="AV225" i="64"/>
  <c r="AW225" i="64"/>
  <c r="AV226" i="64"/>
  <c r="AW226" i="64"/>
  <c r="AV227" i="64"/>
  <c r="AW227" i="64"/>
  <c r="AV228" i="64"/>
  <c r="AW228" i="64"/>
  <c r="AV229" i="64"/>
  <c r="AW229" i="64"/>
  <c r="AV230" i="64"/>
  <c r="AW230" i="64"/>
  <c r="AV231" i="64"/>
  <c r="AW231" i="64"/>
  <c r="AV232" i="64"/>
  <c r="AW232" i="64"/>
  <c r="AV233" i="64"/>
  <c r="AW233" i="64"/>
  <c r="AV234" i="64"/>
  <c r="AW234" i="64"/>
  <c r="AV235" i="64"/>
  <c r="AW235" i="64"/>
  <c r="AV236" i="64"/>
  <c r="AW236" i="64"/>
  <c r="AV237" i="64"/>
  <c r="AW237" i="64"/>
  <c r="AV238" i="64"/>
  <c r="AW238" i="64"/>
  <c r="AV239" i="64"/>
  <c r="AW239" i="64"/>
  <c r="AV240" i="64"/>
  <c r="AW240" i="64"/>
  <c r="AV241" i="64"/>
  <c r="AW241" i="64"/>
  <c r="AV242" i="64"/>
  <c r="AW242" i="64"/>
  <c r="AV243" i="64"/>
  <c r="AW243" i="64"/>
  <c r="AV244" i="64"/>
  <c r="AW244" i="64"/>
  <c r="AV245" i="64"/>
  <c r="AW245" i="64"/>
  <c r="AV246" i="64"/>
  <c r="AW246" i="64"/>
  <c r="AV247" i="64"/>
  <c r="AW247" i="64"/>
  <c r="AV248" i="64"/>
  <c r="AW248" i="64"/>
  <c r="AV249" i="64"/>
  <c r="AW249" i="64"/>
  <c r="AV250" i="64"/>
  <c r="AW250" i="64"/>
  <c r="AV251" i="64"/>
  <c r="AW251" i="64"/>
  <c r="AV252" i="64"/>
  <c r="AW252" i="64"/>
  <c r="AV253" i="64"/>
  <c r="AW253" i="64"/>
  <c r="AV254" i="64"/>
  <c r="AW254" i="64"/>
  <c r="AV255" i="64"/>
  <c r="AW255" i="64"/>
  <c r="AV256" i="64"/>
  <c r="AW256" i="64"/>
  <c r="AV257" i="64"/>
  <c r="AW257" i="64"/>
  <c r="AV258" i="64"/>
  <c r="AW258" i="64"/>
  <c r="AV259" i="64"/>
  <c r="AW259" i="64"/>
  <c r="AV260" i="64"/>
  <c r="AW260" i="64"/>
  <c r="AV261" i="64"/>
  <c r="AW261" i="64"/>
  <c r="AV262" i="64"/>
  <c r="AW262" i="64"/>
  <c r="AV263" i="64"/>
  <c r="AW263" i="64"/>
  <c r="AV264" i="64"/>
  <c r="AW264" i="64"/>
  <c r="AV265" i="64"/>
  <c r="AW265" i="64"/>
  <c r="AV266" i="64"/>
  <c r="AW266" i="64"/>
  <c r="AV267" i="64"/>
  <c r="AW267" i="64"/>
  <c r="AV268" i="64"/>
  <c r="AW268" i="64"/>
  <c r="AV269" i="64"/>
  <c r="AW269" i="64"/>
  <c r="AV270" i="64"/>
  <c r="AW270" i="64"/>
  <c r="AV271" i="64"/>
  <c r="AW271" i="64"/>
  <c r="AV272" i="64"/>
  <c r="AW272" i="64"/>
  <c r="AV273" i="64"/>
  <c r="AW273" i="64"/>
  <c r="AV274" i="64"/>
  <c r="AW274" i="64"/>
  <c r="AV275" i="64"/>
  <c r="AW275" i="64"/>
  <c r="AV276" i="64"/>
  <c r="AW276" i="64"/>
  <c r="AV277" i="64"/>
  <c r="AW277" i="64"/>
  <c r="AV278" i="64"/>
  <c r="AW278" i="64"/>
  <c r="AV279" i="64"/>
  <c r="AW279" i="64"/>
  <c r="AV280" i="64"/>
  <c r="AW280" i="64"/>
  <c r="AV281" i="64"/>
  <c r="AW281" i="64"/>
  <c r="AV282" i="64"/>
  <c r="AW282" i="64"/>
  <c r="AV283" i="64"/>
  <c r="AW283" i="64"/>
  <c r="AV284" i="64"/>
  <c r="AW284" i="64"/>
  <c r="AV285" i="64"/>
  <c r="AW285" i="64"/>
  <c r="AV286" i="64"/>
  <c r="AW286" i="64"/>
  <c r="AV287" i="64"/>
  <c r="AW287" i="64"/>
  <c r="AV288" i="64"/>
  <c r="AW288" i="64"/>
  <c r="AV289" i="64"/>
  <c r="AW289" i="64"/>
  <c r="AV290" i="64"/>
  <c r="AW290" i="64"/>
  <c r="AV291" i="64"/>
  <c r="AW291" i="64"/>
  <c r="AV292" i="64"/>
  <c r="AW292" i="64"/>
  <c r="AV293" i="64"/>
  <c r="AW293" i="64"/>
  <c r="AV294" i="64"/>
  <c r="AW294" i="64"/>
  <c r="AV295" i="64"/>
  <c r="AW295" i="64"/>
  <c r="AV296" i="64"/>
  <c r="AW296" i="64"/>
  <c r="AV297" i="64"/>
  <c r="AW297" i="64"/>
  <c r="AV298" i="64"/>
  <c r="AW298" i="64"/>
  <c r="AV299" i="64"/>
  <c r="AW299" i="64"/>
  <c r="AV300" i="64"/>
  <c r="AW300" i="64"/>
  <c r="AV301" i="64"/>
  <c r="AW301" i="64"/>
  <c r="AV302" i="64"/>
  <c r="AW302" i="64"/>
  <c r="AV303" i="64"/>
  <c r="AW303" i="64"/>
  <c r="AV304" i="64"/>
  <c r="AW304" i="64"/>
  <c r="AV305" i="64"/>
  <c r="AW305" i="64"/>
  <c r="AV306" i="64"/>
  <c r="AW306" i="64"/>
  <c r="AV307" i="64"/>
  <c r="AW307" i="64"/>
  <c r="AV308" i="64"/>
  <c r="AW308" i="64"/>
  <c r="AV309" i="64"/>
  <c r="AW309" i="64"/>
  <c r="AV310" i="64"/>
  <c r="AW310" i="64"/>
  <c r="AV311" i="64"/>
  <c r="AW311" i="64"/>
  <c r="AV312" i="64"/>
  <c r="AW312" i="64"/>
  <c r="AV313" i="64"/>
  <c r="AW313" i="64"/>
  <c r="AV314" i="64"/>
  <c r="AW314" i="64"/>
  <c r="AV315" i="64"/>
  <c r="AW315" i="64"/>
  <c r="AV316" i="64"/>
  <c r="AW316" i="64"/>
  <c r="AV317" i="64"/>
  <c r="AW317" i="64"/>
  <c r="AV318" i="64"/>
  <c r="AW318" i="64"/>
  <c r="AV319" i="64"/>
  <c r="AW319" i="64"/>
  <c r="AV320" i="64"/>
  <c r="AW320" i="64"/>
  <c r="AV321" i="64"/>
  <c r="AW321" i="64"/>
  <c r="AV322" i="64"/>
  <c r="AW322" i="64"/>
  <c r="AV323" i="64"/>
  <c r="AW323" i="64"/>
  <c r="AV324" i="64"/>
  <c r="AW324" i="64"/>
  <c r="AV325" i="64"/>
  <c r="AW325" i="64"/>
  <c r="AV326" i="64"/>
  <c r="AW326" i="64"/>
  <c r="AV327" i="64"/>
  <c r="AW327" i="64"/>
  <c r="AV328" i="64"/>
  <c r="AW328" i="64"/>
  <c r="AV329" i="64"/>
  <c r="AW329" i="64"/>
  <c r="AV330" i="64"/>
  <c r="AW330" i="64"/>
  <c r="AV331" i="64"/>
  <c r="AW331" i="64"/>
  <c r="AV332" i="64"/>
  <c r="AW332" i="64"/>
  <c r="AV333" i="64"/>
  <c r="AW333" i="64"/>
  <c r="AV334" i="64"/>
  <c r="AW334" i="64"/>
  <c r="AV335" i="64"/>
  <c r="AW335" i="64"/>
  <c r="AV336" i="64"/>
  <c r="AW336" i="64"/>
  <c r="AV337" i="64"/>
  <c r="AW337" i="64"/>
  <c r="AV338" i="64"/>
  <c r="AW338" i="64"/>
  <c r="AV339" i="64"/>
  <c r="AW339" i="64"/>
  <c r="AV340" i="64"/>
  <c r="AW340" i="64"/>
  <c r="AV341" i="64"/>
  <c r="AW341" i="64"/>
  <c r="AV342" i="64"/>
  <c r="AW342" i="64"/>
  <c r="AV343" i="64"/>
  <c r="AW343" i="64"/>
  <c r="AV344" i="64"/>
  <c r="AW344" i="64"/>
  <c r="AV345" i="64"/>
  <c r="AW345" i="64"/>
  <c r="AV346" i="64"/>
  <c r="AW346" i="64"/>
  <c r="AV347" i="64"/>
  <c r="AW347" i="64"/>
  <c r="AV348" i="64"/>
  <c r="AW348" i="64"/>
  <c r="AV349" i="64"/>
  <c r="AW349" i="64"/>
  <c r="AV350" i="64"/>
  <c r="AW350" i="64"/>
  <c r="AV351" i="64"/>
  <c r="AW351" i="64"/>
  <c r="AV352" i="64"/>
  <c r="AW352" i="64"/>
  <c r="AV353" i="64"/>
  <c r="AW353" i="64"/>
  <c r="AV354" i="64"/>
  <c r="AW354" i="64"/>
  <c r="AV355" i="64"/>
  <c r="AW355" i="64"/>
  <c r="AV356" i="64"/>
  <c r="AW356" i="64"/>
  <c r="AV357" i="64"/>
  <c r="AW357" i="64"/>
  <c r="AV358" i="64"/>
  <c r="AW358" i="64"/>
  <c r="AV359" i="64"/>
  <c r="AW359" i="64"/>
  <c r="AV360" i="64"/>
  <c r="AW360" i="64"/>
  <c r="AV361" i="64"/>
  <c r="AW361" i="64"/>
  <c r="AV362" i="64"/>
  <c r="AW362" i="64"/>
  <c r="AV363" i="64"/>
  <c r="AW363" i="64"/>
  <c r="AV364" i="64"/>
  <c r="AW364" i="64"/>
  <c r="AV365" i="64"/>
  <c r="AW365" i="64"/>
  <c r="AV366" i="64"/>
  <c r="AW366" i="64"/>
  <c r="AV367" i="64"/>
  <c r="AW367" i="64"/>
  <c r="AV368" i="64"/>
  <c r="AW368" i="64"/>
  <c r="AV369" i="64"/>
  <c r="AW369" i="64"/>
  <c r="AV370" i="64"/>
  <c r="AW370" i="64"/>
  <c r="AV371" i="64"/>
  <c r="AW371" i="64"/>
  <c r="AV372" i="64"/>
  <c r="AW372" i="64"/>
  <c r="AV373" i="64"/>
  <c r="AW373" i="64"/>
  <c r="AV374" i="64"/>
  <c r="AW374" i="64"/>
  <c r="AV375" i="64"/>
  <c r="AW375" i="64"/>
  <c r="AV376" i="64"/>
  <c r="AW376" i="64"/>
  <c r="AV377" i="64"/>
  <c r="AW377" i="64"/>
  <c r="AV378" i="64"/>
  <c r="AW378" i="64"/>
  <c r="AV379" i="64"/>
  <c r="AW379" i="64"/>
  <c r="AV380" i="64"/>
  <c r="AW380" i="64"/>
  <c r="AV381" i="64"/>
  <c r="AW381" i="64"/>
  <c r="AV382" i="64"/>
  <c r="AW382" i="64"/>
  <c r="AV383" i="64"/>
  <c r="AW383" i="64"/>
  <c r="AV384" i="64"/>
  <c r="AW384" i="64"/>
  <c r="AV385" i="64"/>
  <c r="AW385" i="64"/>
  <c r="AV386" i="64"/>
  <c r="AW386" i="64"/>
  <c r="AV387" i="64"/>
  <c r="AW387" i="64"/>
  <c r="AV388" i="64"/>
  <c r="AW388" i="64"/>
  <c r="AL12" i="64"/>
  <c r="AM12" i="64"/>
  <c r="AL13" i="64"/>
  <c r="AM13" i="64"/>
  <c r="AL14" i="64"/>
  <c r="AM14" i="64"/>
  <c r="AL15" i="64"/>
  <c r="AM15" i="64"/>
  <c r="AL16" i="64"/>
  <c r="AM16" i="64"/>
  <c r="AL17" i="64"/>
  <c r="AM17" i="64"/>
  <c r="AL18" i="64"/>
  <c r="AM18" i="64"/>
  <c r="AL19" i="64"/>
  <c r="AM19" i="64"/>
  <c r="AL20" i="64"/>
  <c r="AM20" i="64"/>
  <c r="AL21" i="64"/>
  <c r="AM21" i="64"/>
  <c r="AL22" i="64"/>
  <c r="AM22" i="64"/>
  <c r="AL23" i="64"/>
  <c r="AM23" i="64"/>
  <c r="AL24" i="64"/>
  <c r="AM24" i="64"/>
  <c r="AL25" i="64"/>
  <c r="AM25" i="64"/>
  <c r="AL26" i="64"/>
  <c r="AM26" i="64"/>
  <c r="AL27" i="64"/>
  <c r="AM27" i="64"/>
  <c r="AL28" i="64"/>
  <c r="AM28" i="64"/>
  <c r="AL29" i="64"/>
  <c r="AM29" i="64"/>
  <c r="AL30" i="64"/>
  <c r="AM30" i="64"/>
  <c r="AL31" i="64"/>
  <c r="AM31" i="64"/>
  <c r="AL32" i="64"/>
  <c r="AM32" i="64"/>
  <c r="AL33" i="64"/>
  <c r="AM33" i="64"/>
  <c r="AL34" i="64"/>
  <c r="AM34" i="64"/>
  <c r="AL35" i="64"/>
  <c r="AM35" i="64"/>
  <c r="AL36" i="64"/>
  <c r="AM36" i="64"/>
  <c r="AL37" i="64"/>
  <c r="AM37" i="64"/>
  <c r="AL38" i="64"/>
  <c r="AM38" i="64"/>
  <c r="AL39" i="64"/>
  <c r="AM39" i="64"/>
  <c r="AL40" i="64"/>
  <c r="AM40" i="64"/>
  <c r="AL41" i="64"/>
  <c r="AM41" i="64"/>
  <c r="AL42" i="64"/>
  <c r="AM42" i="64"/>
  <c r="AL43" i="64"/>
  <c r="AM43" i="64"/>
  <c r="AL44" i="64"/>
  <c r="AM44" i="64"/>
  <c r="AL45" i="64"/>
  <c r="AM45" i="64"/>
  <c r="AL46" i="64"/>
  <c r="AM46" i="64"/>
  <c r="AL47" i="64"/>
  <c r="AM47" i="64"/>
  <c r="AL48" i="64"/>
  <c r="AM48" i="64"/>
  <c r="AL49" i="64"/>
  <c r="AM49" i="64"/>
  <c r="AL50" i="64"/>
  <c r="AM50" i="64"/>
  <c r="AL51" i="64"/>
  <c r="AM51" i="64"/>
  <c r="AL52" i="64"/>
  <c r="AM52" i="64"/>
  <c r="AL53" i="64"/>
  <c r="AM53" i="64"/>
  <c r="AL54" i="64"/>
  <c r="AM54" i="64"/>
  <c r="AL55" i="64"/>
  <c r="AM55" i="64"/>
  <c r="AL56" i="64"/>
  <c r="AM56" i="64"/>
  <c r="AL57" i="64"/>
  <c r="AM57" i="64"/>
  <c r="AL58" i="64"/>
  <c r="AM58" i="64"/>
  <c r="AL59" i="64"/>
  <c r="AM59" i="64"/>
  <c r="AL60" i="64"/>
  <c r="AM60" i="64"/>
  <c r="AL61" i="64"/>
  <c r="AM61" i="64"/>
  <c r="AL62" i="64"/>
  <c r="AM62" i="64"/>
  <c r="AL63" i="64"/>
  <c r="AM63" i="64"/>
  <c r="AL64" i="64"/>
  <c r="AM64" i="64"/>
  <c r="AL65" i="64"/>
  <c r="AM65" i="64"/>
  <c r="AL66" i="64"/>
  <c r="AM66" i="64"/>
  <c r="AL67" i="64"/>
  <c r="AM67" i="64"/>
  <c r="AL68" i="64"/>
  <c r="AM68" i="64"/>
  <c r="AL69" i="64"/>
  <c r="AM69" i="64"/>
  <c r="AL70" i="64"/>
  <c r="AM70" i="64"/>
  <c r="AL71" i="64"/>
  <c r="AM71" i="64"/>
  <c r="AL72" i="64"/>
  <c r="AM72" i="64"/>
  <c r="AL73" i="64"/>
  <c r="AM73" i="64"/>
  <c r="AL74" i="64"/>
  <c r="AM74" i="64"/>
  <c r="AL75" i="64"/>
  <c r="AM75" i="64"/>
  <c r="AL76" i="64"/>
  <c r="AM76" i="64"/>
  <c r="AL77" i="64"/>
  <c r="AM77" i="64"/>
  <c r="AL78" i="64"/>
  <c r="AM78" i="64"/>
  <c r="AL79" i="64"/>
  <c r="AM79" i="64"/>
  <c r="AL80" i="64"/>
  <c r="AM80" i="64"/>
  <c r="AL81" i="64"/>
  <c r="AM81" i="64"/>
  <c r="AL82" i="64"/>
  <c r="AM82" i="64"/>
  <c r="AL83" i="64"/>
  <c r="AM83" i="64"/>
  <c r="AL84" i="64"/>
  <c r="AM84" i="64"/>
  <c r="AL85" i="64"/>
  <c r="AM85" i="64"/>
  <c r="AL86" i="64"/>
  <c r="AM86" i="64"/>
  <c r="AL87" i="64"/>
  <c r="AM87" i="64"/>
  <c r="AL88" i="64"/>
  <c r="AM88" i="64"/>
  <c r="AL89" i="64"/>
  <c r="AM89" i="64"/>
  <c r="AL90" i="64"/>
  <c r="AM90" i="64"/>
  <c r="AL91" i="64"/>
  <c r="AM91" i="64"/>
  <c r="AL92" i="64"/>
  <c r="AM92" i="64"/>
  <c r="AL93" i="64"/>
  <c r="AM93" i="64"/>
  <c r="AL94" i="64"/>
  <c r="AM94" i="64"/>
  <c r="AL95" i="64"/>
  <c r="AM95" i="64"/>
  <c r="AL96" i="64"/>
  <c r="AM96" i="64"/>
  <c r="AL97" i="64"/>
  <c r="AM97" i="64"/>
  <c r="AL98" i="64"/>
  <c r="AM98" i="64"/>
  <c r="AL99" i="64"/>
  <c r="AM99" i="64" s="1"/>
  <c r="AL100" i="64"/>
  <c r="AM100" i="64" s="1"/>
  <c r="AL101" i="64"/>
  <c r="AM101" i="64" s="1"/>
  <c r="AL102" i="64"/>
  <c r="AM102" i="64" s="1"/>
  <c r="AL103" i="64"/>
  <c r="AM103" i="64" s="1"/>
  <c r="AL104" i="64"/>
  <c r="AM104" i="64" s="1"/>
  <c r="AL105" i="64"/>
  <c r="AM105" i="64" s="1"/>
  <c r="AL106" i="64"/>
  <c r="AM106" i="64" s="1"/>
  <c r="AL107" i="64"/>
  <c r="AM107" i="64" s="1"/>
  <c r="AL108" i="64"/>
  <c r="AM108" i="64" s="1"/>
  <c r="AL109" i="64"/>
  <c r="AM109" i="64" s="1"/>
  <c r="AL110" i="64"/>
  <c r="AM110" i="64" s="1"/>
  <c r="AL111" i="64"/>
  <c r="AM111" i="64" s="1"/>
  <c r="AL112" i="64"/>
  <c r="AM112" i="64" s="1"/>
  <c r="AL113" i="64"/>
  <c r="AM113" i="64" s="1"/>
  <c r="AL114" i="64"/>
  <c r="AM114" i="64" s="1"/>
  <c r="AL115" i="64"/>
  <c r="AM115" i="64" s="1"/>
  <c r="AL116" i="64"/>
  <c r="AM116" i="64" s="1"/>
  <c r="AL117" i="64"/>
  <c r="AM117" i="64" s="1"/>
  <c r="AL118" i="64"/>
  <c r="AM118" i="64" s="1"/>
  <c r="AL119" i="64"/>
  <c r="AM119" i="64" s="1"/>
  <c r="AL120" i="64"/>
  <c r="AM120" i="64"/>
  <c r="AL121" i="64"/>
  <c r="AM121" i="64"/>
  <c r="AL122" i="64"/>
  <c r="AM122" i="64"/>
  <c r="AL123" i="64"/>
  <c r="AM123" i="64"/>
  <c r="AL124" i="64"/>
  <c r="AM124" i="64"/>
  <c r="AL125" i="64"/>
  <c r="AM125" i="64"/>
  <c r="AL126" i="64"/>
  <c r="AM126" i="64"/>
  <c r="AL127" i="64"/>
  <c r="AM127" i="64"/>
  <c r="AL128" i="64"/>
  <c r="AM128" i="64"/>
  <c r="AL129" i="64"/>
  <c r="AM129" i="64"/>
  <c r="AL130" i="64"/>
  <c r="AM130" i="64"/>
  <c r="AL131" i="64"/>
  <c r="AM131" i="64"/>
  <c r="AL132" i="64"/>
  <c r="AM132" i="64"/>
  <c r="AL133" i="64"/>
  <c r="AM133" i="64"/>
  <c r="AL134" i="64"/>
  <c r="AM134" i="64"/>
  <c r="AL135" i="64"/>
  <c r="AM135" i="64"/>
  <c r="AL136" i="64"/>
  <c r="AM136" i="64"/>
  <c r="AL137" i="64"/>
  <c r="AM137" i="64"/>
  <c r="AL138" i="64"/>
  <c r="AM138" i="64"/>
  <c r="AL139" i="64"/>
  <c r="AM139" i="64"/>
  <c r="AL140" i="64"/>
  <c r="AM140" i="64"/>
  <c r="AL141" i="64"/>
  <c r="AM141" i="64"/>
  <c r="AL142" i="64"/>
  <c r="AM142" i="64"/>
  <c r="AL143" i="64"/>
  <c r="AM143" i="64"/>
  <c r="AL144" i="64"/>
  <c r="AM144" i="64"/>
  <c r="AL145" i="64"/>
  <c r="AM145" i="64"/>
  <c r="AL146" i="64"/>
  <c r="AM146" i="64"/>
  <c r="AL147" i="64"/>
  <c r="AM147" i="64"/>
  <c r="AL148" i="64"/>
  <c r="AM148" i="64"/>
  <c r="AL149" i="64"/>
  <c r="AM149" i="64"/>
  <c r="AL150" i="64"/>
  <c r="AM150" i="64"/>
  <c r="AL151" i="64"/>
  <c r="AM151" i="64"/>
  <c r="AL152" i="64"/>
  <c r="AM152" i="64"/>
  <c r="AL153" i="64"/>
  <c r="AM153" i="64"/>
  <c r="AL154" i="64"/>
  <c r="AM154" i="64"/>
  <c r="AL155" i="64"/>
  <c r="AM155" i="64"/>
  <c r="AL156" i="64"/>
  <c r="AM156" i="64"/>
  <c r="AL157" i="64"/>
  <c r="AM157" i="64"/>
  <c r="AL158" i="64"/>
  <c r="AM158" i="64"/>
  <c r="AL159" i="64"/>
  <c r="AM159" i="64"/>
  <c r="AL160" i="64"/>
  <c r="AM160" i="64"/>
  <c r="AL161" i="64"/>
  <c r="AM161" i="64"/>
  <c r="AL162" i="64"/>
  <c r="AM162" i="64"/>
  <c r="AL163" i="64"/>
  <c r="AM163" i="64"/>
  <c r="AL164" i="64"/>
  <c r="AM164" i="64"/>
  <c r="AL165" i="64"/>
  <c r="AM165" i="64"/>
  <c r="AL166" i="64"/>
  <c r="AM166" i="64"/>
  <c r="AL167" i="64"/>
  <c r="AM167" i="64"/>
  <c r="AL168" i="64"/>
  <c r="AM168" i="64"/>
  <c r="AL169" i="64"/>
  <c r="AM169" i="64"/>
  <c r="AL170" i="64"/>
  <c r="AM170" i="64"/>
  <c r="AL171" i="64"/>
  <c r="AM171" i="64"/>
  <c r="AL172" i="64"/>
  <c r="AM172" i="64"/>
  <c r="AL173" i="64"/>
  <c r="AM173" i="64"/>
  <c r="AL174" i="64"/>
  <c r="AM174" i="64"/>
  <c r="AL175" i="64"/>
  <c r="AM175" i="64"/>
  <c r="AL176" i="64"/>
  <c r="AM176" i="64"/>
  <c r="AL177" i="64"/>
  <c r="AM177" i="64"/>
  <c r="AL178" i="64"/>
  <c r="AM178" i="64"/>
  <c r="AL179" i="64"/>
  <c r="AM179" i="64"/>
  <c r="AL180" i="64"/>
  <c r="AM180" i="64" s="1"/>
  <c r="AL181" i="64"/>
  <c r="AM181" i="64" s="1"/>
  <c r="AL182" i="64"/>
  <c r="AM182" i="64" s="1"/>
  <c r="AL183" i="64"/>
  <c r="AM183" i="64" s="1"/>
  <c r="AL184" i="64"/>
  <c r="AM184" i="64" s="1"/>
  <c r="AL185" i="64"/>
  <c r="AM185" i="64" s="1"/>
  <c r="AL186" i="64"/>
  <c r="AM186" i="64" s="1"/>
  <c r="AL187" i="64"/>
  <c r="AM187" i="64" s="1"/>
  <c r="AL188" i="64"/>
  <c r="AM188" i="64" s="1"/>
  <c r="AL189" i="64"/>
  <c r="AM189" i="64" s="1"/>
  <c r="AL190" i="64"/>
  <c r="AM190" i="64" s="1"/>
  <c r="AL191" i="64"/>
  <c r="AM191" i="64" s="1"/>
  <c r="AL192" i="64"/>
  <c r="AM192" i="64" s="1"/>
  <c r="AL193" i="64"/>
  <c r="AM193" i="64" s="1"/>
  <c r="AL194" i="64"/>
  <c r="AM194" i="64" s="1"/>
  <c r="AL195" i="64"/>
  <c r="AM195" i="64" s="1"/>
  <c r="AL196" i="64"/>
  <c r="AM196" i="64" s="1"/>
  <c r="AL197" i="64"/>
  <c r="AM197" i="64" s="1"/>
  <c r="AL198" i="64"/>
  <c r="AM198" i="64" s="1"/>
  <c r="AL199" i="64"/>
  <c r="AM199" i="64" s="1"/>
  <c r="AL200" i="64"/>
  <c r="AM200" i="64" s="1"/>
  <c r="AL201" i="64"/>
  <c r="AM201" i="64" s="1"/>
  <c r="AL202" i="64"/>
  <c r="AM202" i="64" s="1"/>
  <c r="AL203" i="64"/>
  <c r="AM203" i="64" s="1"/>
  <c r="AL204" i="64"/>
  <c r="AM204" i="64" s="1"/>
  <c r="AL205" i="64"/>
  <c r="AM205" i="64" s="1"/>
  <c r="AL206" i="64"/>
  <c r="AM206" i="64" s="1"/>
  <c r="AL207" i="64"/>
  <c r="AM207" i="64" s="1"/>
  <c r="AL208" i="64"/>
  <c r="AM208" i="64" s="1"/>
  <c r="AL209" i="64"/>
  <c r="AM209" i="64" s="1"/>
  <c r="AL210" i="64"/>
  <c r="AM210" i="64" s="1"/>
  <c r="AL211" i="64"/>
  <c r="AM211" i="64" s="1"/>
  <c r="AL212" i="64"/>
  <c r="AM212" i="64" s="1"/>
  <c r="AL213" i="64"/>
  <c r="AM213" i="64" s="1"/>
  <c r="AL214" i="64"/>
  <c r="AM214" i="64" s="1"/>
  <c r="AL215" i="64"/>
  <c r="AM215" i="64" s="1"/>
  <c r="AL216" i="64"/>
  <c r="AM216" i="64" s="1"/>
  <c r="AL217" i="64"/>
  <c r="AM217" i="64" s="1"/>
  <c r="AL218" i="64"/>
  <c r="AM218" i="64" s="1"/>
  <c r="AL219" i="64"/>
  <c r="AM219" i="64" s="1"/>
  <c r="AL220" i="64"/>
  <c r="AM220" i="64" s="1"/>
  <c r="AL221" i="64"/>
  <c r="AM221" i="64" s="1"/>
  <c r="AL222" i="64"/>
  <c r="AM222" i="64" s="1"/>
  <c r="AL223" i="64"/>
  <c r="AM223" i="64" s="1"/>
  <c r="AL224" i="64"/>
  <c r="AM224" i="64" s="1"/>
  <c r="AL225" i="64"/>
  <c r="AM225" i="64" s="1"/>
  <c r="AL226" i="64"/>
  <c r="AM226" i="64" s="1"/>
  <c r="AL227" i="64"/>
  <c r="AM227" i="64" s="1"/>
  <c r="AL228" i="64"/>
  <c r="AM228" i="64" s="1"/>
  <c r="AL229" i="64"/>
  <c r="AM229" i="64" s="1"/>
  <c r="AL230" i="64"/>
  <c r="AM230" i="64" s="1"/>
  <c r="AL231" i="64"/>
  <c r="AM231" i="64" s="1"/>
  <c r="AL232" i="64"/>
  <c r="AM232" i="64" s="1"/>
  <c r="AL233" i="64"/>
  <c r="AM233" i="64" s="1"/>
  <c r="AL234" i="64"/>
  <c r="AM234" i="64" s="1"/>
  <c r="AL235" i="64"/>
  <c r="AM235" i="64" s="1"/>
  <c r="AL236" i="64"/>
  <c r="AM236" i="64" s="1"/>
  <c r="AL237" i="64"/>
  <c r="AM237" i="64" s="1"/>
  <c r="AL238" i="64"/>
  <c r="AM238" i="64" s="1"/>
  <c r="AL239" i="64"/>
  <c r="AM239" i="64" s="1"/>
  <c r="AL240" i="64"/>
  <c r="AM240" i="64" s="1"/>
  <c r="AL241" i="64"/>
  <c r="AM241" i="64" s="1"/>
  <c r="AL242" i="64"/>
  <c r="AM242" i="64" s="1"/>
  <c r="AL243" i="64"/>
  <c r="AM243" i="64" s="1"/>
  <c r="AL244" i="64"/>
  <c r="AM244" i="64" s="1"/>
  <c r="AL245" i="64"/>
  <c r="AM245" i="64" s="1"/>
  <c r="AL246" i="64"/>
  <c r="AM246" i="64" s="1"/>
  <c r="AL247" i="64"/>
  <c r="AM247" i="64" s="1"/>
  <c r="AL248" i="64"/>
  <c r="AM248" i="64" s="1"/>
  <c r="AL249" i="64"/>
  <c r="AM249" i="64" s="1"/>
  <c r="AL250" i="64"/>
  <c r="AM250" i="64" s="1"/>
  <c r="AL251" i="64"/>
  <c r="AM251" i="64" s="1"/>
  <c r="AL252" i="64"/>
  <c r="AM252" i="64" s="1"/>
  <c r="AL253" i="64"/>
  <c r="AM253" i="64" s="1"/>
  <c r="AL254" i="64"/>
  <c r="AM254" i="64" s="1"/>
  <c r="AL255" i="64"/>
  <c r="AM255" i="64" s="1"/>
  <c r="AL256" i="64"/>
  <c r="AM256" i="64" s="1"/>
  <c r="AL257" i="64"/>
  <c r="AM257" i="64" s="1"/>
  <c r="AL258" i="64"/>
  <c r="AM258" i="64" s="1"/>
  <c r="AL259" i="64"/>
  <c r="AM259" i="64" s="1"/>
  <c r="AL260" i="64"/>
  <c r="AM260" i="64" s="1"/>
  <c r="AL261" i="64"/>
  <c r="AM261" i="64" s="1"/>
  <c r="AL262" i="64"/>
  <c r="AM262" i="64" s="1"/>
  <c r="AL263" i="64"/>
  <c r="AM263" i="64" s="1"/>
  <c r="AL264" i="64"/>
  <c r="AM264" i="64" s="1"/>
  <c r="AL265" i="64"/>
  <c r="AM265" i="64" s="1"/>
  <c r="AL266" i="64"/>
  <c r="AM266" i="64" s="1"/>
  <c r="AL267" i="64"/>
  <c r="AM267" i="64" s="1"/>
  <c r="AL268" i="64"/>
  <c r="AM268" i="64" s="1"/>
  <c r="AL269" i="64"/>
  <c r="AM269" i="64" s="1"/>
  <c r="AL270" i="64"/>
  <c r="AM270" i="64" s="1"/>
  <c r="AL271" i="64"/>
  <c r="AM271" i="64" s="1"/>
  <c r="AL272" i="64"/>
  <c r="AM272" i="64" s="1"/>
  <c r="AL273" i="64"/>
  <c r="AM273" i="64" s="1"/>
  <c r="AL274" i="64"/>
  <c r="AM274" i="64" s="1"/>
  <c r="AL275" i="64"/>
  <c r="AM275" i="64" s="1"/>
  <c r="AL276" i="64"/>
  <c r="AM276" i="64" s="1"/>
  <c r="AL277" i="64"/>
  <c r="AM277" i="64" s="1"/>
  <c r="AL278" i="64"/>
  <c r="AM278" i="64" s="1"/>
  <c r="AL279" i="64"/>
  <c r="AM279" i="64" s="1"/>
  <c r="AL280" i="64"/>
  <c r="AM280" i="64" s="1"/>
  <c r="AL281" i="64"/>
  <c r="AM281" i="64" s="1"/>
  <c r="AL282" i="64"/>
  <c r="AM282" i="64" s="1"/>
  <c r="AL283" i="64"/>
  <c r="AM283" i="64" s="1"/>
  <c r="AL284" i="64"/>
  <c r="AM284" i="64" s="1"/>
  <c r="AL285" i="64"/>
  <c r="AM285" i="64" s="1"/>
  <c r="AL286" i="64"/>
  <c r="AM286" i="64" s="1"/>
  <c r="AL287" i="64"/>
  <c r="AM287" i="64" s="1"/>
  <c r="AL288" i="64"/>
  <c r="AM288" i="64" s="1"/>
  <c r="AL289" i="64"/>
  <c r="AM289" i="64" s="1"/>
  <c r="AL290" i="64"/>
  <c r="AM290" i="64" s="1"/>
  <c r="AL291" i="64"/>
  <c r="AM291" i="64" s="1"/>
  <c r="AL292" i="64"/>
  <c r="AM292" i="64" s="1"/>
  <c r="AL293" i="64"/>
  <c r="AM293" i="64" s="1"/>
  <c r="AL294" i="64"/>
  <c r="AM294" i="64" s="1"/>
  <c r="AL295" i="64"/>
  <c r="AM295" i="64" s="1"/>
  <c r="AL296" i="64"/>
  <c r="AM296" i="64" s="1"/>
  <c r="AL297" i="64"/>
  <c r="AM297" i="64" s="1"/>
  <c r="AL298" i="64"/>
  <c r="AM298" i="64" s="1"/>
  <c r="AL299" i="64"/>
  <c r="AM299" i="64" s="1"/>
  <c r="AL300" i="64"/>
  <c r="AM300" i="64" s="1"/>
  <c r="AL301" i="64"/>
  <c r="AM301" i="64" s="1"/>
  <c r="AL302" i="64"/>
  <c r="AM302" i="64" s="1"/>
  <c r="AL303" i="64"/>
  <c r="AM303" i="64" s="1"/>
  <c r="AL304" i="64"/>
  <c r="AM304" i="64" s="1"/>
  <c r="AL305" i="64"/>
  <c r="AM305" i="64" s="1"/>
  <c r="AL306" i="64"/>
  <c r="AM306" i="64" s="1"/>
  <c r="AL307" i="64"/>
  <c r="AM307" i="64" s="1"/>
  <c r="AL308" i="64"/>
  <c r="AM308" i="64" s="1"/>
  <c r="AL309" i="64"/>
  <c r="AM309" i="64" s="1"/>
  <c r="AL310" i="64"/>
  <c r="AM310" i="64" s="1"/>
  <c r="AL311" i="64"/>
  <c r="AM311" i="64" s="1"/>
  <c r="AL312" i="64"/>
  <c r="AM312" i="64" s="1"/>
  <c r="AL313" i="64"/>
  <c r="AM313" i="64" s="1"/>
  <c r="AL314" i="64"/>
  <c r="AM314" i="64" s="1"/>
  <c r="AL315" i="64"/>
  <c r="AM315" i="64" s="1"/>
  <c r="AL316" i="64"/>
  <c r="AM316" i="64" s="1"/>
  <c r="AL317" i="64"/>
  <c r="AM317" i="64" s="1"/>
  <c r="AL318" i="64"/>
  <c r="AM318" i="64" s="1"/>
  <c r="AL319" i="64"/>
  <c r="AM319" i="64" s="1"/>
  <c r="AL320" i="64"/>
  <c r="AM320" i="64" s="1"/>
  <c r="AL321" i="64"/>
  <c r="AM321" i="64" s="1"/>
  <c r="AL322" i="64"/>
  <c r="AM322" i="64" s="1"/>
  <c r="AL323" i="64"/>
  <c r="AM323" i="64" s="1"/>
  <c r="AL324" i="64"/>
  <c r="AM324" i="64" s="1"/>
  <c r="AL325" i="64"/>
  <c r="AM325" i="64" s="1"/>
  <c r="AL326" i="64"/>
  <c r="AM326" i="64" s="1"/>
  <c r="AL327" i="64"/>
  <c r="AM327" i="64" s="1"/>
  <c r="AL328" i="64"/>
  <c r="AM328" i="64" s="1"/>
  <c r="AL329" i="64"/>
  <c r="AM329" i="64" s="1"/>
  <c r="AL330" i="64"/>
  <c r="AM330" i="64" s="1"/>
  <c r="AL331" i="64"/>
  <c r="AM331" i="64" s="1"/>
  <c r="AL332" i="64"/>
  <c r="AM332" i="64" s="1"/>
  <c r="AL333" i="64"/>
  <c r="AM333" i="64" s="1"/>
  <c r="AL334" i="64"/>
  <c r="AM334" i="64" s="1"/>
  <c r="AL335" i="64"/>
  <c r="AM335" i="64" s="1"/>
  <c r="AL336" i="64"/>
  <c r="AM336" i="64" s="1"/>
  <c r="AL337" i="64"/>
  <c r="AM337" i="64" s="1"/>
  <c r="AL338" i="64"/>
  <c r="AM338" i="64" s="1"/>
  <c r="AL339" i="64"/>
  <c r="AM339" i="64" s="1"/>
  <c r="AL340" i="64"/>
  <c r="AM340" i="64" s="1"/>
  <c r="AL341" i="64"/>
  <c r="AM341" i="64" s="1"/>
  <c r="AL342" i="64"/>
  <c r="AM342" i="64" s="1"/>
  <c r="AL343" i="64"/>
  <c r="AM343" i="64" s="1"/>
  <c r="AL344" i="64"/>
  <c r="AM344" i="64" s="1"/>
  <c r="AL345" i="64"/>
  <c r="AM345" i="64" s="1"/>
  <c r="AL346" i="64"/>
  <c r="AM346" i="64" s="1"/>
  <c r="AL347" i="64"/>
  <c r="AM347" i="64" s="1"/>
  <c r="AL348" i="64"/>
  <c r="AM348" i="64" s="1"/>
  <c r="AL349" i="64"/>
  <c r="AM349" i="64" s="1"/>
  <c r="AL350" i="64"/>
  <c r="AM350" i="64" s="1"/>
  <c r="AL351" i="64"/>
  <c r="AM351" i="64" s="1"/>
  <c r="AL352" i="64"/>
  <c r="AM352" i="64" s="1"/>
  <c r="AL353" i="64"/>
  <c r="AM353" i="64" s="1"/>
  <c r="AL354" i="64"/>
  <c r="AM354" i="64" s="1"/>
  <c r="AL355" i="64"/>
  <c r="AM355" i="64" s="1"/>
  <c r="AL356" i="64"/>
  <c r="AM356" i="64" s="1"/>
  <c r="AL357" i="64"/>
  <c r="AM357" i="64" s="1"/>
  <c r="AL358" i="64"/>
  <c r="AM358" i="64" s="1"/>
  <c r="AL359" i="64"/>
  <c r="AM359" i="64" s="1"/>
  <c r="AL360" i="64"/>
  <c r="AM360" i="64" s="1"/>
  <c r="AL361" i="64"/>
  <c r="AM361" i="64" s="1"/>
  <c r="AL362" i="64"/>
  <c r="AM362" i="64" s="1"/>
  <c r="AL363" i="64"/>
  <c r="AM363" i="64" s="1"/>
  <c r="AL364" i="64"/>
  <c r="AM364" i="64" s="1"/>
  <c r="AL365" i="64"/>
  <c r="AM365" i="64" s="1"/>
  <c r="AL366" i="64"/>
  <c r="AM366" i="64" s="1"/>
  <c r="AL367" i="64"/>
  <c r="AM367" i="64" s="1"/>
  <c r="AL368" i="64"/>
  <c r="AM368" i="64" s="1"/>
  <c r="AL369" i="64"/>
  <c r="AM369" i="64" s="1"/>
  <c r="AL370" i="64"/>
  <c r="AM370" i="64" s="1"/>
  <c r="AL371" i="64"/>
  <c r="AM371" i="64" s="1"/>
  <c r="AL372" i="64"/>
  <c r="AM372" i="64" s="1"/>
  <c r="AL373" i="64"/>
  <c r="AM373" i="64" s="1"/>
  <c r="AL374" i="64"/>
  <c r="AM374" i="64" s="1"/>
  <c r="AL375" i="64"/>
  <c r="AM375" i="64" s="1"/>
  <c r="AL376" i="64"/>
  <c r="AM376" i="64" s="1"/>
  <c r="AL377" i="64"/>
  <c r="AM377" i="64" s="1"/>
  <c r="AL378" i="64"/>
  <c r="AM378" i="64" s="1"/>
  <c r="AL379" i="64"/>
  <c r="AM379" i="64" s="1"/>
  <c r="AL380" i="64"/>
  <c r="AM380" i="64" s="1"/>
  <c r="AL381" i="64"/>
  <c r="AM381" i="64" s="1"/>
  <c r="AL382" i="64"/>
  <c r="AM382" i="64" s="1"/>
  <c r="AL383" i="64"/>
  <c r="AM383" i="64" s="1"/>
  <c r="AL384" i="64"/>
  <c r="AM384" i="64" s="1"/>
  <c r="AL385" i="64"/>
  <c r="AM385" i="64" s="1"/>
  <c r="AL386" i="64"/>
  <c r="AM386" i="64" s="1"/>
  <c r="AL387" i="64"/>
  <c r="AM387" i="64" s="1"/>
  <c r="AL388" i="64"/>
  <c r="AM388" i="64" s="1"/>
  <c r="AD12" i="64"/>
  <c r="AE12" i="64" s="1"/>
  <c r="AD13" i="64"/>
  <c r="AE13" i="64" s="1"/>
  <c r="AD14" i="64"/>
  <c r="AE14" i="64" s="1"/>
  <c r="AD15" i="64"/>
  <c r="AE15" i="64" s="1"/>
  <c r="AD16" i="64"/>
  <c r="AE16" i="64" s="1"/>
  <c r="AD17" i="64"/>
  <c r="AE17" i="64" s="1"/>
  <c r="AD18" i="64"/>
  <c r="AE18" i="64" s="1"/>
  <c r="AD19" i="64"/>
  <c r="AE19" i="64" s="1"/>
  <c r="AD20" i="64"/>
  <c r="AE20" i="64" s="1"/>
  <c r="AD21" i="64"/>
  <c r="AE21" i="64" s="1"/>
  <c r="AD22" i="64"/>
  <c r="AE22" i="64" s="1"/>
  <c r="AD23" i="64"/>
  <c r="AE23" i="64" s="1"/>
  <c r="AD24" i="64"/>
  <c r="AE24" i="64" s="1"/>
  <c r="AD25" i="64"/>
  <c r="AE25" i="64" s="1"/>
  <c r="AD26" i="64"/>
  <c r="AE26" i="64" s="1"/>
  <c r="AD27" i="64"/>
  <c r="AE27" i="64" s="1"/>
  <c r="AD28" i="64"/>
  <c r="AE28" i="64" s="1"/>
  <c r="AD29" i="64"/>
  <c r="AE29" i="64" s="1"/>
  <c r="AD30" i="64"/>
  <c r="AE30" i="64" s="1"/>
  <c r="AD31" i="64"/>
  <c r="AE31" i="64" s="1"/>
  <c r="AD32" i="64"/>
  <c r="AE32" i="64" s="1"/>
  <c r="AD33" i="64"/>
  <c r="AE33" i="64" s="1"/>
  <c r="AD34" i="64"/>
  <c r="AE34" i="64" s="1"/>
  <c r="AD35" i="64"/>
  <c r="AE35" i="64" s="1"/>
  <c r="AD36" i="64"/>
  <c r="AE36" i="64" s="1"/>
  <c r="AD37" i="64"/>
  <c r="AE37" i="64" s="1"/>
  <c r="AD38" i="64"/>
  <c r="AE38" i="64" s="1"/>
  <c r="AD39" i="64"/>
  <c r="AE39" i="64" s="1"/>
  <c r="AD40" i="64"/>
  <c r="AE40" i="64" s="1"/>
  <c r="AD41" i="64"/>
  <c r="AE41" i="64" s="1"/>
  <c r="AD42" i="64"/>
  <c r="AE42" i="64" s="1"/>
  <c r="AD43" i="64"/>
  <c r="AE43" i="64" s="1"/>
  <c r="AD44" i="64"/>
  <c r="AE44" i="64" s="1"/>
  <c r="AD45" i="64"/>
  <c r="AE45" i="64" s="1"/>
  <c r="AD46" i="64"/>
  <c r="AE46" i="64" s="1"/>
  <c r="AD47" i="64"/>
  <c r="AE47" i="64" s="1"/>
  <c r="AD48" i="64"/>
  <c r="AE48" i="64" s="1"/>
  <c r="AD49" i="64"/>
  <c r="AE49" i="64" s="1"/>
  <c r="AD50" i="64"/>
  <c r="AE50" i="64" s="1"/>
  <c r="AD51" i="64"/>
  <c r="AE51" i="64" s="1"/>
  <c r="AD52" i="64"/>
  <c r="AE52" i="64" s="1"/>
  <c r="AD53" i="64"/>
  <c r="AE53" i="64" s="1"/>
  <c r="AD54" i="64"/>
  <c r="AE54" i="64" s="1"/>
  <c r="AD55" i="64"/>
  <c r="AE55" i="64" s="1"/>
  <c r="AD56" i="64"/>
  <c r="AE56" i="64" s="1"/>
  <c r="AD57" i="64"/>
  <c r="AE57" i="64" s="1"/>
  <c r="AD58" i="64"/>
  <c r="AE58" i="64" s="1"/>
  <c r="AD59" i="64"/>
  <c r="AE59" i="64" s="1"/>
  <c r="AD60" i="64"/>
  <c r="AE60" i="64" s="1"/>
  <c r="AD61" i="64"/>
  <c r="AE61" i="64" s="1"/>
  <c r="AD62" i="64"/>
  <c r="AE62" i="64" s="1"/>
  <c r="AD63" i="64"/>
  <c r="AE63" i="64" s="1"/>
  <c r="AD64" i="64"/>
  <c r="AE64" i="64" s="1"/>
  <c r="AD65" i="64"/>
  <c r="AE65" i="64" s="1"/>
  <c r="AD66" i="64"/>
  <c r="AE66" i="64" s="1"/>
  <c r="AD67" i="64"/>
  <c r="AE67" i="64" s="1"/>
  <c r="AD68" i="64"/>
  <c r="AE68" i="64" s="1"/>
  <c r="AD69" i="64"/>
  <c r="AE69" i="64" s="1"/>
  <c r="AD70" i="64"/>
  <c r="AE70" i="64" s="1"/>
  <c r="AD71" i="64"/>
  <c r="AE71" i="64" s="1"/>
  <c r="AD72" i="64"/>
  <c r="AE72" i="64" s="1"/>
  <c r="AD73" i="64"/>
  <c r="AE73" i="64" s="1"/>
  <c r="AD74" i="64"/>
  <c r="AE74" i="64" s="1"/>
  <c r="AD75" i="64"/>
  <c r="AE75" i="64" s="1"/>
  <c r="AD76" i="64"/>
  <c r="AE76" i="64" s="1"/>
  <c r="AD77" i="64"/>
  <c r="AE77" i="64" s="1"/>
  <c r="AD78" i="64"/>
  <c r="AE78" i="64" s="1"/>
  <c r="AD79" i="64"/>
  <c r="AE79" i="64" s="1"/>
  <c r="AD80" i="64"/>
  <c r="AE80" i="64" s="1"/>
  <c r="AD81" i="64"/>
  <c r="AE81" i="64" s="1"/>
  <c r="AD82" i="64"/>
  <c r="AE82" i="64" s="1"/>
  <c r="AD83" i="64"/>
  <c r="AE83" i="64" s="1"/>
  <c r="AD84" i="64"/>
  <c r="AE84" i="64" s="1"/>
  <c r="AD85" i="64"/>
  <c r="AE85" i="64" s="1"/>
  <c r="AD86" i="64"/>
  <c r="AE86" i="64" s="1"/>
  <c r="AD87" i="64"/>
  <c r="AE87" i="64" s="1"/>
  <c r="AD88" i="64"/>
  <c r="AE88" i="64" s="1"/>
  <c r="AD89" i="64"/>
  <c r="AE89" i="64" s="1"/>
  <c r="AD90" i="64"/>
  <c r="AE90" i="64" s="1"/>
  <c r="AD91" i="64"/>
  <c r="AE91" i="64" s="1"/>
  <c r="AD92" i="64"/>
  <c r="AE92" i="64" s="1"/>
  <c r="AD93" i="64"/>
  <c r="AE93" i="64" s="1"/>
  <c r="AD94" i="64"/>
  <c r="AE94" i="64" s="1"/>
  <c r="AD95" i="64"/>
  <c r="AE95" i="64" s="1"/>
  <c r="AD96" i="64"/>
  <c r="AE96" i="64" s="1"/>
  <c r="AD97" i="64"/>
  <c r="AE97" i="64" s="1"/>
  <c r="AD98" i="64"/>
  <c r="AE98" i="64" s="1"/>
  <c r="AD99" i="64"/>
  <c r="AE99" i="64" s="1"/>
  <c r="AD100" i="64"/>
  <c r="AE100" i="64" s="1"/>
  <c r="AD101" i="64"/>
  <c r="AE101" i="64" s="1"/>
  <c r="AD102" i="64"/>
  <c r="AE102" i="64" s="1"/>
  <c r="AD103" i="64"/>
  <c r="AE103" i="64" s="1"/>
  <c r="AD104" i="64"/>
  <c r="AE104" i="64" s="1"/>
  <c r="AD105" i="64"/>
  <c r="AE105" i="64" s="1"/>
  <c r="AD106" i="64"/>
  <c r="AE106" i="64" s="1"/>
  <c r="AD107" i="64"/>
  <c r="AE107" i="64" s="1"/>
  <c r="AD108" i="64"/>
  <c r="AE108" i="64" s="1"/>
  <c r="AD109" i="64"/>
  <c r="AE109" i="64" s="1"/>
  <c r="AD110" i="64"/>
  <c r="AE110" i="64" s="1"/>
  <c r="AD111" i="64"/>
  <c r="AE111" i="64" s="1"/>
  <c r="AD112" i="64"/>
  <c r="AE112" i="64" s="1"/>
  <c r="AD113" i="64"/>
  <c r="AE113" i="64" s="1"/>
  <c r="AD114" i="64"/>
  <c r="AE114" i="64" s="1"/>
  <c r="AD115" i="64"/>
  <c r="AE115" i="64" s="1"/>
  <c r="AD116" i="64"/>
  <c r="AE116" i="64" s="1"/>
  <c r="AD117" i="64"/>
  <c r="AE117" i="64" s="1"/>
  <c r="AD118" i="64"/>
  <c r="AE118" i="64" s="1"/>
  <c r="AD119" i="64"/>
  <c r="AE119" i="64" s="1"/>
  <c r="AD120" i="64"/>
  <c r="AE120" i="64" s="1"/>
  <c r="AD121" i="64"/>
  <c r="AE121" i="64" s="1"/>
  <c r="AD122" i="64"/>
  <c r="AE122" i="64" s="1"/>
  <c r="AD123" i="64"/>
  <c r="AE123" i="64" s="1"/>
  <c r="AD124" i="64"/>
  <c r="AE124" i="64" s="1"/>
  <c r="AD125" i="64"/>
  <c r="AE125" i="64" s="1"/>
  <c r="AD126" i="64"/>
  <c r="AE126" i="64" s="1"/>
  <c r="AD127" i="64"/>
  <c r="AE127" i="64" s="1"/>
  <c r="AD128" i="64"/>
  <c r="AE128" i="64" s="1"/>
  <c r="AD129" i="64"/>
  <c r="AE129" i="64" s="1"/>
  <c r="AD130" i="64"/>
  <c r="AE130" i="64" s="1"/>
  <c r="AD131" i="64"/>
  <c r="AE131" i="64" s="1"/>
  <c r="AD132" i="64"/>
  <c r="AE132" i="64" s="1"/>
  <c r="AD133" i="64"/>
  <c r="AE133" i="64" s="1"/>
  <c r="AD134" i="64"/>
  <c r="AE134" i="64" s="1"/>
  <c r="AD135" i="64"/>
  <c r="AE135" i="64" s="1"/>
  <c r="AD136" i="64"/>
  <c r="AE136" i="64" s="1"/>
  <c r="AD137" i="64"/>
  <c r="AE137" i="64" s="1"/>
  <c r="AD138" i="64"/>
  <c r="AE138" i="64" s="1"/>
  <c r="AD139" i="64"/>
  <c r="AE139" i="64" s="1"/>
  <c r="AD140" i="64"/>
  <c r="AE140" i="64" s="1"/>
  <c r="AD141" i="64"/>
  <c r="AE141" i="64" s="1"/>
  <c r="AD142" i="64"/>
  <c r="AE142" i="64" s="1"/>
  <c r="AD143" i="64"/>
  <c r="AE143" i="64" s="1"/>
  <c r="AD144" i="64"/>
  <c r="AE144" i="64" s="1"/>
  <c r="AD145" i="64"/>
  <c r="AE145" i="64" s="1"/>
  <c r="AD146" i="64"/>
  <c r="AE146" i="64" s="1"/>
  <c r="AD147" i="64"/>
  <c r="AE147" i="64" s="1"/>
  <c r="AD148" i="64"/>
  <c r="AE148" i="64" s="1"/>
  <c r="AD149" i="64"/>
  <c r="AE149" i="64" s="1"/>
  <c r="AD150" i="64"/>
  <c r="AE150" i="64" s="1"/>
  <c r="AD151" i="64"/>
  <c r="AE151" i="64" s="1"/>
  <c r="AD152" i="64"/>
  <c r="AE152" i="64" s="1"/>
  <c r="AD153" i="64"/>
  <c r="AE153" i="64" s="1"/>
  <c r="AD154" i="64"/>
  <c r="AE154" i="64" s="1"/>
  <c r="AD155" i="64"/>
  <c r="AE155" i="64" s="1"/>
  <c r="AD156" i="64"/>
  <c r="AE156" i="64" s="1"/>
  <c r="AD157" i="64"/>
  <c r="AE157" i="64" s="1"/>
  <c r="AD158" i="64"/>
  <c r="AE158" i="64" s="1"/>
  <c r="AD159" i="64"/>
  <c r="AE159" i="64" s="1"/>
  <c r="AD160" i="64"/>
  <c r="AE160" i="64" s="1"/>
  <c r="AD161" i="64"/>
  <c r="AE161" i="64" s="1"/>
  <c r="AD162" i="64"/>
  <c r="AE162" i="64" s="1"/>
  <c r="AD163" i="64"/>
  <c r="AE163" i="64" s="1"/>
  <c r="AD164" i="64"/>
  <c r="AE164" i="64" s="1"/>
  <c r="AD165" i="64"/>
  <c r="AE165" i="64" s="1"/>
  <c r="AD166" i="64"/>
  <c r="AE166" i="64" s="1"/>
  <c r="AD167" i="64"/>
  <c r="AE167" i="64" s="1"/>
  <c r="AD168" i="64"/>
  <c r="AE168" i="64" s="1"/>
  <c r="AD169" i="64"/>
  <c r="AE169" i="64" s="1"/>
  <c r="AD170" i="64"/>
  <c r="AE170" i="64" s="1"/>
  <c r="AD171" i="64"/>
  <c r="AE171" i="64" s="1"/>
  <c r="AD172" i="64"/>
  <c r="AE172" i="64" s="1"/>
  <c r="AD173" i="64"/>
  <c r="AE173" i="64" s="1"/>
  <c r="AD174" i="64"/>
  <c r="AE174" i="64" s="1"/>
  <c r="AD175" i="64"/>
  <c r="AE175" i="64" s="1"/>
  <c r="AD176" i="64"/>
  <c r="AE176" i="64" s="1"/>
  <c r="AD177" i="64"/>
  <c r="AE177" i="64" s="1"/>
  <c r="AD178" i="64"/>
  <c r="AE178" i="64" s="1"/>
  <c r="AD179" i="64"/>
  <c r="AE179" i="64" s="1"/>
  <c r="AD180" i="64"/>
  <c r="AE180" i="64" s="1"/>
  <c r="AD181" i="64"/>
  <c r="AE181" i="64" s="1"/>
  <c r="AD182" i="64"/>
  <c r="AE182" i="64"/>
  <c r="AD183" i="64"/>
  <c r="AE183" i="64"/>
  <c r="AD184" i="64"/>
  <c r="AE184" i="64"/>
  <c r="AD185" i="64"/>
  <c r="AE185" i="64"/>
  <c r="AD186" i="64"/>
  <c r="AE186" i="64"/>
  <c r="AD187" i="64"/>
  <c r="AE187" i="64"/>
  <c r="AD188" i="64"/>
  <c r="AE188" i="64"/>
  <c r="AD189" i="64"/>
  <c r="AE189" i="64"/>
  <c r="AD190" i="64"/>
  <c r="AE190" i="64"/>
  <c r="AD191" i="64"/>
  <c r="AE191" i="64"/>
  <c r="AD192" i="64"/>
  <c r="AE192" i="64"/>
  <c r="AD193" i="64"/>
  <c r="AE193" i="64"/>
  <c r="AD194" i="64"/>
  <c r="AE194" i="64"/>
  <c r="AD195" i="64"/>
  <c r="AE195" i="64"/>
  <c r="AD196" i="64"/>
  <c r="AE196" i="64"/>
  <c r="AD197" i="64"/>
  <c r="AE197" i="64"/>
  <c r="AD198" i="64"/>
  <c r="AE198" i="64"/>
  <c r="AD199" i="64"/>
  <c r="AE199" i="64"/>
  <c r="AD200" i="64"/>
  <c r="AE200" i="64"/>
  <c r="AD201" i="64"/>
  <c r="AE201" i="64"/>
  <c r="AD202" i="64"/>
  <c r="AE202" i="64"/>
  <c r="AD203" i="64"/>
  <c r="AE203" i="64"/>
  <c r="AD204" i="64"/>
  <c r="AE204" i="64"/>
  <c r="AD205" i="64"/>
  <c r="AE205" i="64"/>
  <c r="AD206" i="64"/>
  <c r="AE206" i="64"/>
  <c r="AD207" i="64"/>
  <c r="AE207" i="64"/>
  <c r="AD208" i="64"/>
  <c r="AE208" i="64"/>
  <c r="AD209" i="64"/>
  <c r="AE209" i="64"/>
  <c r="AD210" i="64"/>
  <c r="AE210" i="64"/>
  <c r="AD211" i="64"/>
  <c r="AE211" i="64"/>
  <c r="AD212" i="64"/>
  <c r="AE212" i="64"/>
  <c r="AD213" i="64"/>
  <c r="AE213" i="64"/>
  <c r="AD214" i="64"/>
  <c r="AE214" i="64"/>
  <c r="AD215" i="64"/>
  <c r="AE215" i="64"/>
  <c r="AD216" i="64"/>
  <c r="AE216" i="64"/>
  <c r="AD217" i="64"/>
  <c r="AE217" i="64"/>
  <c r="AD218" i="64"/>
  <c r="AE218" i="64"/>
  <c r="AD219" i="64"/>
  <c r="AE219" i="64"/>
  <c r="AD220" i="64"/>
  <c r="AE220" i="64"/>
  <c r="AD221" i="64"/>
  <c r="AE221" i="64"/>
  <c r="AD222" i="64"/>
  <c r="AE222" i="64"/>
  <c r="AD223" i="64"/>
  <c r="AE223" i="64"/>
  <c r="AD224" i="64"/>
  <c r="AE224" i="64"/>
  <c r="AD225" i="64"/>
  <c r="AE225" i="64"/>
  <c r="AD226" i="64"/>
  <c r="AE226" i="64"/>
  <c r="AD227" i="64"/>
  <c r="AE227" i="64"/>
  <c r="AD228" i="64"/>
  <c r="AE228" i="64"/>
  <c r="AD229" i="64"/>
  <c r="AE229" i="64"/>
  <c r="AD230" i="64"/>
  <c r="AE230" i="64"/>
  <c r="AD231" i="64"/>
  <c r="AE231" i="64"/>
  <c r="AD232" i="64"/>
  <c r="AE232" i="64"/>
  <c r="AD233" i="64"/>
  <c r="AE233" i="64"/>
  <c r="AD234" i="64"/>
  <c r="AE234" i="64"/>
  <c r="AD235" i="64"/>
  <c r="AE235" i="64"/>
  <c r="AD236" i="64"/>
  <c r="AE236" i="64"/>
  <c r="AD237" i="64"/>
  <c r="AE237" i="64"/>
  <c r="AD238" i="64"/>
  <c r="AE238" i="64" s="1"/>
  <c r="AD239" i="64"/>
  <c r="AE239" i="64" s="1"/>
  <c r="AD240" i="64"/>
  <c r="AE240" i="64" s="1"/>
  <c r="AD241" i="64"/>
  <c r="AE241" i="64" s="1"/>
  <c r="AD242" i="64"/>
  <c r="AE242" i="64" s="1"/>
  <c r="AD243" i="64"/>
  <c r="AE243" i="64" s="1"/>
  <c r="AD244" i="64"/>
  <c r="AE244" i="64" s="1"/>
  <c r="AD245" i="64"/>
  <c r="AE245" i="64" s="1"/>
  <c r="AD246" i="64"/>
  <c r="AE246" i="64" s="1"/>
  <c r="AD247" i="64"/>
  <c r="AE247" i="64" s="1"/>
  <c r="AD248" i="64"/>
  <c r="AE248" i="64" s="1"/>
  <c r="AD249" i="64"/>
  <c r="AE249" i="64" s="1"/>
  <c r="AD250" i="64"/>
  <c r="AE250" i="64" s="1"/>
  <c r="AD251" i="64"/>
  <c r="AE251" i="64" s="1"/>
  <c r="AD252" i="64"/>
  <c r="AE252" i="64" s="1"/>
  <c r="AD253" i="64"/>
  <c r="AE253" i="64" s="1"/>
  <c r="AD254" i="64"/>
  <c r="AE254" i="64" s="1"/>
  <c r="AD255" i="64"/>
  <c r="AE255" i="64" s="1"/>
  <c r="AD256" i="64"/>
  <c r="AE256" i="64" s="1"/>
  <c r="AD257" i="64"/>
  <c r="AE257" i="64" s="1"/>
  <c r="AD258" i="64"/>
  <c r="AE258" i="64" s="1"/>
  <c r="AD259" i="64"/>
  <c r="AE259" i="64" s="1"/>
  <c r="AD260" i="64"/>
  <c r="AE260" i="64" s="1"/>
  <c r="AD261" i="64"/>
  <c r="AE261" i="64" s="1"/>
  <c r="AD262" i="64"/>
  <c r="AE262" i="64" s="1"/>
  <c r="AD263" i="64"/>
  <c r="AE263" i="64" s="1"/>
  <c r="AD264" i="64"/>
  <c r="AE264" i="64" s="1"/>
  <c r="AD265" i="64"/>
  <c r="AE265" i="64" s="1"/>
  <c r="AD266" i="64"/>
  <c r="AE266" i="64" s="1"/>
  <c r="AD267" i="64"/>
  <c r="AE267" i="64" s="1"/>
  <c r="AD268" i="64"/>
  <c r="AE268" i="64" s="1"/>
  <c r="AD269" i="64"/>
  <c r="AE269" i="64" s="1"/>
  <c r="AD270" i="64"/>
  <c r="AE270" i="64" s="1"/>
  <c r="AD271" i="64"/>
  <c r="AE271" i="64" s="1"/>
  <c r="AD272" i="64"/>
  <c r="AE272" i="64" s="1"/>
  <c r="AD273" i="64"/>
  <c r="AE273" i="64" s="1"/>
  <c r="AD274" i="64"/>
  <c r="AE274" i="64" s="1"/>
  <c r="AD275" i="64"/>
  <c r="AE275" i="64" s="1"/>
  <c r="AD276" i="64"/>
  <c r="AE276" i="64" s="1"/>
  <c r="AD277" i="64"/>
  <c r="AE277" i="64" s="1"/>
  <c r="AD278" i="64"/>
  <c r="AE278" i="64" s="1"/>
  <c r="AD279" i="64"/>
  <c r="AE279" i="64" s="1"/>
  <c r="AD280" i="64"/>
  <c r="AE280" i="64" s="1"/>
  <c r="AD281" i="64"/>
  <c r="AE281" i="64" s="1"/>
  <c r="AD282" i="64"/>
  <c r="AE282" i="64" s="1"/>
  <c r="AD283" i="64"/>
  <c r="AE283" i="64" s="1"/>
  <c r="AD284" i="64"/>
  <c r="AE284" i="64" s="1"/>
  <c r="AD285" i="64"/>
  <c r="AE285" i="64" s="1"/>
  <c r="AD286" i="64"/>
  <c r="AE286" i="64" s="1"/>
  <c r="AD287" i="64"/>
  <c r="AE287" i="64" s="1"/>
  <c r="AD288" i="64"/>
  <c r="AE288" i="64" s="1"/>
  <c r="AD289" i="64"/>
  <c r="AE289" i="64" s="1"/>
  <c r="AD290" i="64"/>
  <c r="AE290" i="64" s="1"/>
  <c r="AD291" i="64"/>
  <c r="AE291" i="64" s="1"/>
  <c r="AD292" i="64"/>
  <c r="AE292" i="64" s="1"/>
  <c r="AD293" i="64"/>
  <c r="AE293" i="64" s="1"/>
  <c r="AD294" i="64"/>
  <c r="AE294" i="64" s="1"/>
  <c r="AD295" i="64"/>
  <c r="AE295" i="64" s="1"/>
  <c r="AD296" i="64"/>
  <c r="AE296" i="64" s="1"/>
  <c r="AD297" i="64"/>
  <c r="AE297" i="64" s="1"/>
  <c r="AD298" i="64"/>
  <c r="AE298" i="64" s="1"/>
  <c r="AD299" i="64"/>
  <c r="AE299" i="64" s="1"/>
  <c r="AD300" i="64"/>
  <c r="AE300" i="64" s="1"/>
  <c r="AD301" i="64"/>
  <c r="AE301" i="64" s="1"/>
  <c r="AD302" i="64"/>
  <c r="AE302" i="64" s="1"/>
  <c r="AD303" i="64"/>
  <c r="AE303" i="64" s="1"/>
  <c r="AD304" i="64"/>
  <c r="AE304" i="64" s="1"/>
  <c r="AD305" i="64"/>
  <c r="AE305" i="64" s="1"/>
  <c r="AD306" i="64"/>
  <c r="AE306" i="64" s="1"/>
  <c r="AD307" i="64"/>
  <c r="AE307" i="64" s="1"/>
  <c r="AD308" i="64"/>
  <c r="AE308" i="64" s="1"/>
  <c r="AD309" i="64"/>
  <c r="AE309" i="64" s="1"/>
  <c r="AD310" i="64"/>
  <c r="AE310" i="64" s="1"/>
  <c r="AD311" i="64"/>
  <c r="AE311" i="64" s="1"/>
  <c r="AD312" i="64"/>
  <c r="AE312" i="64" s="1"/>
  <c r="AD313" i="64"/>
  <c r="AE313" i="64" s="1"/>
  <c r="AD314" i="64"/>
  <c r="AE314" i="64" s="1"/>
  <c r="AD315" i="64"/>
  <c r="AE315" i="64" s="1"/>
  <c r="AD316" i="64"/>
  <c r="AE316" i="64" s="1"/>
  <c r="AD317" i="64"/>
  <c r="AE317" i="64" s="1"/>
  <c r="AD318" i="64"/>
  <c r="AE318" i="64" s="1"/>
  <c r="AD319" i="64"/>
  <c r="AE319" i="64" s="1"/>
  <c r="AD320" i="64"/>
  <c r="AE320" i="64" s="1"/>
  <c r="AD321" i="64"/>
  <c r="AE321" i="64" s="1"/>
  <c r="AD322" i="64"/>
  <c r="AE322" i="64" s="1"/>
  <c r="AD323" i="64"/>
  <c r="AE323" i="64" s="1"/>
  <c r="AD324" i="64"/>
  <c r="AE324" i="64" s="1"/>
  <c r="AD325" i="64"/>
  <c r="AE325" i="64" s="1"/>
  <c r="AD326" i="64"/>
  <c r="AE326" i="64" s="1"/>
  <c r="AD327" i="64"/>
  <c r="AE327" i="64" s="1"/>
  <c r="AD328" i="64"/>
  <c r="AE328" i="64" s="1"/>
  <c r="AD329" i="64"/>
  <c r="AE329" i="64" s="1"/>
  <c r="AD330" i="64"/>
  <c r="AE330" i="64" s="1"/>
  <c r="AD331" i="64"/>
  <c r="AE331" i="64" s="1"/>
  <c r="AD332" i="64"/>
  <c r="AE332" i="64" s="1"/>
  <c r="AD333" i="64"/>
  <c r="AE333" i="64" s="1"/>
  <c r="AD334" i="64"/>
  <c r="AE334" i="64" s="1"/>
  <c r="AD335" i="64"/>
  <c r="AE335" i="64" s="1"/>
  <c r="AD336" i="64"/>
  <c r="AE336" i="64" s="1"/>
  <c r="AD337" i="64"/>
  <c r="AE337" i="64" s="1"/>
  <c r="AD338" i="64"/>
  <c r="AE338" i="64" s="1"/>
  <c r="AD339" i="64"/>
  <c r="AE339" i="64" s="1"/>
  <c r="AD340" i="64"/>
  <c r="AE340" i="64" s="1"/>
  <c r="AD341" i="64"/>
  <c r="AE341" i="64" s="1"/>
  <c r="AD342" i="64"/>
  <c r="AE342" i="64" s="1"/>
  <c r="AD343" i="64"/>
  <c r="AE343" i="64" s="1"/>
  <c r="AD344" i="64"/>
  <c r="AE344" i="64" s="1"/>
  <c r="AD345" i="64"/>
  <c r="AE345" i="64" s="1"/>
  <c r="AD346" i="64"/>
  <c r="AE346" i="64" s="1"/>
  <c r="AD347" i="64"/>
  <c r="AE347" i="64" s="1"/>
  <c r="AD348" i="64"/>
  <c r="AE348" i="64" s="1"/>
  <c r="AD349" i="64"/>
  <c r="AE349" i="64" s="1"/>
  <c r="AD350" i="64"/>
  <c r="AE350" i="64" s="1"/>
  <c r="AD351" i="64"/>
  <c r="AE351" i="64" s="1"/>
  <c r="AD352" i="64"/>
  <c r="AE352" i="64" s="1"/>
  <c r="AD353" i="64"/>
  <c r="AE353" i="64" s="1"/>
  <c r="AD354" i="64"/>
  <c r="AE354" i="64" s="1"/>
  <c r="AD355" i="64"/>
  <c r="AE355" i="64" s="1"/>
  <c r="AD356" i="64"/>
  <c r="AE356" i="64" s="1"/>
  <c r="AD357" i="64"/>
  <c r="AE357" i="64" s="1"/>
  <c r="AD358" i="64"/>
  <c r="AE358" i="64" s="1"/>
  <c r="AD359" i="64"/>
  <c r="AE359" i="64" s="1"/>
  <c r="AD360" i="64"/>
  <c r="AE360" i="64" s="1"/>
  <c r="AD361" i="64"/>
  <c r="AE361" i="64" s="1"/>
  <c r="AD362" i="64"/>
  <c r="AE362" i="64" s="1"/>
  <c r="AD363" i="64"/>
  <c r="AE363" i="64" s="1"/>
  <c r="AD364" i="64"/>
  <c r="AE364" i="64" s="1"/>
  <c r="AD365" i="64"/>
  <c r="AE365" i="64" s="1"/>
  <c r="AD366" i="64"/>
  <c r="AE366" i="64" s="1"/>
  <c r="AD367" i="64"/>
  <c r="AE367" i="64" s="1"/>
  <c r="AD368" i="64"/>
  <c r="AE368" i="64" s="1"/>
  <c r="AD369" i="64"/>
  <c r="AE369" i="64" s="1"/>
  <c r="AD370" i="64"/>
  <c r="AE370" i="64" s="1"/>
  <c r="AD371" i="64"/>
  <c r="AE371" i="64" s="1"/>
  <c r="AD372" i="64"/>
  <c r="AE372" i="64" s="1"/>
  <c r="AD373" i="64"/>
  <c r="AE373" i="64" s="1"/>
  <c r="AD374" i="64"/>
  <c r="AE374" i="64" s="1"/>
  <c r="AD375" i="64"/>
  <c r="AE375" i="64" s="1"/>
  <c r="AD376" i="64"/>
  <c r="AE376" i="64" s="1"/>
  <c r="AD377" i="64"/>
  <c r="AE377" i="64" s="1"/>
  <c r="AD378" i="64"/>
  <c r="AE378" i="64" s="1"/>
  <c r="AD379" i="64"/>
  <c r="AE379" i="64" s="1"/>
  <c r="AD380" i="64"/>
  <c r="AE380" i="64" s="1"/>
  <c r="AD381" i="64"/>
  <c r="AE381" i="64" s="1"/>
  <c r="AD382" i="64"/>
  <c r="AE382" i="64" s="1"/>
  <c r="AD383" i="64"/>
  <c r="AE383" i="64" s="1"/>
  <c r="AD384" i="64"/>
  <c r="AE384" i="64" s="1"/>
  <c r="AD385" i="64"/>
  <c r="AE385" i="64" s="1"/>
  <c r="AD386" i="64"/>
  <c r="AE386" i="64" s="1"/>
  <c r="AD387" i="64"/>
  <c r="AE387" i="64" s="1"/>
  <c r="AD388" i="64"/>
  <c r="AE388" i="64" s="1"/>
  <c r="T12" i="64"/>
  <c r="U12" i="64"/>
  <c r="T13" i="64"/>
  <c r="U13" i="64"/>
  <c r="T14" i="64"/>
  <c r="U14" i="64"/>
  <c r="T15" i="64"/>
  <c r="U15" i="64"/>
  <c r="T16" i="64"/>
  <c r="U16" i="64"/>
  <c r="T17" i="64"/>
  <c r="U17" i="64"/>
  <c r="T18" i="64"/>
  <c r="U18" i="64"/>
  <c r="T19" i="64"/>
  <c r="U19" i="64"/>
  <c r="T20" i="64"/>
  <c r="U20" i="64"/>
  <c r="T21" i="64"/>
  <c r="U21" i="64"/>
  <c r="T22" i="64"/>
  <c r="U22" i="64"/>
  <c r="T23" i="64"/>
  <c r="U23" i="64"/>
  <c r="T24" i="64"/>
  <c r="U24" i="64"/>
  <c r="T25" i="64"/>
  <c r="U25" i="64"/>
  <c r="T26" i="64"/>
  <c r="U26" i="64"/>
  <c r="T27" i="64"/>
  <c r="U27" i="64"/>
  <c r="T28" i="64"/>
  <c r="U28" i="64"/>
  <c r="T29" i="64"/>
  <c r="U29" i="64"/>
  <c r="T30" i="64"/>
  <c r="U30" i="64"/>
  <c r="T31" i="64"/>
  <c r="U31" i="64"/>
  <c r="T32" i="64"/>
  <c r="U32" i="64"/>
  <c r="T33" i="64"/>
  <c r="U33" i="64"/>
  <c r="T34" i="64"/>
  <c r="U34" i="64"/>
  <c r="T35" i="64"/>
  <c r="U35" i="64"/>
  <c r="T36" i="64"/>
  <c r="U36" i="64"/>
  <c r="T37" i="64"/>
  <c r="U37" i="64"/>
  <c r="T38" i="64"/>
  <c r="U38" i="64"/>
  <c r="T39" i="64"/>
  <c r="U39" i="64"/>
  <c r="T40" i="64"/>
  <c r="U40" i="64"/>
  <c r="T41" i="64"/>
  <c r="U41" i="64"/>
  <c r="T42" i="64"/>
  <c r="U42" i="64"/>
  <c r="T43" i="64"/>
  <c r="U43" i="64"/>
  <c r="T44" i="64"/>
  <c r="U44" i="64"/>
  <c r="T45" i="64"/>
  <c r="U45" i="64"/>
  <c r="T46" i="64"/>
  <c r="U46" i="64"/>
  <c r="T47" i="64"/>
  <c r="U47" i="64"/>
  <c r="T48" i="64"/>
  <c r="U48" i="64"/>
  <c r="T49" i="64"/>
  <c r="U49" i="64"/>
  <c r="T50" i="64"/>
  <c r="U50" i="64"/>
  <c r="T51" i="64"/>
  <c r="U51" i="64"/>
  <c r="T52" i="64"/>
  <c r="U52" i="64"/>
  <c r="T53" i="64"/>
  <c r="U53" i="64"/>
  <c r="T54" i="64"/>
  <c r="U54" i="64"/>
  <c r="T55" i="64"/>
  <c r="U55" i="64"/>
  <c r="T56" i="64"/>
  <c r="U56" i="64"/>
  <c r="T57" i="64"/>
  <c r="U57" i="64"/>
  <c r="T58" i="64"/>
  <c r="U58" i="64"/>
  <c r="T59" i="64"/>
  <c r="U59" i="64"/>
  <c r="T60" i="64"/>
  <c r="U60" i="64"/>
  <c r="T61" i="64"/>
  <c r="U61" i="64"/>
  <c r="T62" i="64"/>
  <c r="U62" i="64"/>
  <c r="T63" i="64"/>
  <c r="U63" i="64"/>
  <c r="T64" i="64"/>
  <c r="U64" i="64"/>
  <c r="T65" i="64"/>
  <c r="U65" i="64"/>
  <c r="T66" i="64"/>
  <c r="U66" i="64"/>
  <c r="T67" i="64"/>
  <c r="U67" i="64"/>
  <c r="T68" i="64"/>
  <c r="U68" i="64"/>
  <c r="T69" i="64"/>
  <c r="U69" i="64"/>
  <c r="T70" i="64"/>
  <c r="U70" i="64"/>
  <c r="T71" i="64"/>
  <c r="U71" i="64"/>
  <c r="T72" i="64"/>
  <c r="U72" i="64"/>
  <c r="T73" i="64"/>
  <c r="U73" i="64"/>
  <c r="T74" i="64"/>
  <c r="U74" i="64"/>
  <c r="T75" i="64"/>
  <c r="U75" i="64"/>
  <c r="T76" i="64"/>
  <c r="U76" i="64"/>
  <c r="T77" i="64"/>
  <c r="U77" i="64"/>
  <c r="T78" i="64"/>
  <c r="U78" i="64"/>
  <c r="T79" i="64"/>
  <c r="U79" i="64"/>
  <c r="T80" i="64"/>
  <c r="U80" i="64"/>
  <c r="T81" i="64"/>
  <c r="U81" i="64"/>
  <c r="T82" i="64"/>
  <c r="U82" i="64"/>
  <c r="T83" i="64"/>
  <c r="U83" i="64"/>
  <c r="T84" i="64"/>
  <c r="U84" i="64"/>
  <c r="T85" i="64"/>
  <c r="U85" i="64"/>
  <c r="T86" i="64"/>
  <c r="U86" i="64"/>
  <c r="T87" i="64"/>
  <c r="U87" i="64"/>
  <c r="T88" i="64"/>
  <c r="U88" i="64"/>
  <c r="T89" i="64"/>
  <c r="U89" i="64"/>
  <c r="T90" i="64"/>
  <c r="U90" i="64"/>
  <c r="T91" i="64"/>
  <c r="U91" i="64"/>
  <c r="T92" i="64"/>
  <c r="U92" i="64"/>
  <c r="T93" i="64"/>
  <c r="U93" i="64"/>
  <c r="T94" i="64"/>
  <c r="U94" i="64"/>
  <c r="T95" i="64"/>
  <c r="U95" i="64"/>
  <c r="T96" i="64"/>
  <c r="U96" i="64"/>
  <c r="T97" i="64"/>
  <c r="U97" i="64"/>
  <c r="T98" i="64"/>
  <c r="U98" i="64"/>
  <c r="T99" i="64"/>
  <c r="U99" i="64"/>
  <c r="T100" i="64"/>
  <c r="U100" i="64"/>
  <c r="T101" i="64"/>
  <c r="U101" i="64"/>
  <c r="T102" i="64"/>
  <c r="U102" i="64"/>
  <c r="T103" i="64"/>
  <c r="U103" i="64"/>
  <c r="T104" i="64"/>
  <c r="U104" i="64"/>
  <c r="T105" i="64"/>
  <c r="U105" i="64"/>
  <c r="T106" i="64"/>
  <c r="U106" i="64"/>
  <c r="T107" i="64"/>
  <c r="U107" i="64"/>
  <c r="T108" i="64"/>
  <c r="U108" i="64"/>
  <c r="T109" i="64"/>
  <c r="U109" i="64"/>
  <c r="T110" i="64"/>
  <c r="U110" i="64"/>
  <c r="T111" i="64"/>
  <c r="U111" i="64"/>
  <c r="T112" i="64"/>
  <c r="U112" i="64"/>
  <c r="T113" i="64"/>
  <c r="U113" i="64"/>
  <c r="T114" i="64"/>
  <c r="U114" i="64"/>
  <c r="T115" i="64"/>
  <c r="U115" i="64"/>
  <c r="T116" i="64"/>
  <c r="U116" i="64"/>
  <c r="T117" i="64"/>
  <c r="U117" i="64"/>
  <c r="T118" i="64"/>
  <c r="U118" i="64"/>
  <c r="T119" i="64"/>
  <c r="U119" i="64"/>
  <c r="T120" i="64"/>
  <c r="U120" i="64"/>
  <c r="T121" i="64"/>
  <c r="U121" i="64"/>
  <c r="T122" i="64"/>
  <c r="U122" i="64"/>
  <c r="T123" i="64"/>
  <c r="U123" i="64"/>
  <c r="T124" i="64"/>
  <c r="U124" i="64"/>
  <c r="T125" i="64"/>
  <c r="U125" i="64"/>
  <c r="T126" i="64"/>
  <c r="U126" i="64"/>
  <c r="T127" i="64"/>
  <c r="U127" i="64"/>
  <c r="T128" i="64"/>
  <c r="U128" i="64"/>
  <c r="T129" i="64"/>
  <c r="U129" i="64"/>
  <c r="T130" i="64"/>
  <c r="U130" i="64"/>
  <c r="T131" i="64"/>
  <c r="U131" i="64"/>
  <c r="T132" i="64"/>
  <c r="U132" i="64"/>
  <c r="T133" i="64"/>
  <c r="U133" i="64"/>
  <c r="T134" i="64"/>
  <c r="U134" i="64"/>
  <c r="T135" i="64"/>
  <c r="U135" i="64"/>
  <c r="T136" i="64"/>
  <c r="U136" i="64"/>
  <c r="T137" i="64"/>
  <c r="U137" i="64"/>
  <c r="T138" i="64"/>
  <c r="U138" i="64"/>
  <c r="T139" i="64"/>
  <c r="U139" i="64"/>
  <c r="T140" i="64"/>
  <c r="U140" i="64"/>
  <c r="T141" i="64"/>
  <c r="U141" i="64"/>
  <c r="T142" i="64"/>
  <c r="U142" i="64"/>
  <c r="T143" i="64"/>
  <c r="U143" i="64"/>
  <c r="T144" i="64"/>
  <c r="U144" i="64"/>
  <c r="T145" i="64"/>
  <c r="U145" i="64"/>
  <c r="T146" i="64"/>
  <c r="U146" i="64"/>
  <c r="T147" i="64"/>
  <c r="U147" i="64"/>
  <c r="T148" i="64"/>
  <c r="U148" i="64"/>
  <c r="T149" i="64"/>
  <c r="U149" i="64"/>
  <c r="T150" i="64"/>
  <c r="U150" i="64"/>
  <c r="T151" i="64"/>
  <c r="U151" i="64"/>
  <c r="T152" i="64"/>
  <c r="U152" i="64"/>
  <c r="T153" i="64"/>
  <c r="U153" i="64"/>
  <c r="T154" i="64"/>
  <c r="U154" i="64"/>
  <c r="T155" i="64"/>
  <c r="U155" i="64"/>
  <c r="T156" i="64"/>
  <c r="U156" i="64"/>
  <c r="T157" i="64"/>
  <c r="U157" i="64"/>
  <c r="T158" i="64"/>
  <c r="U158" i="64"/>
  <c r="T159" i="64"/>
  <c r="U159" i="64"/>
  <c r="T160" i="64"/>
  <c r="U160" i="64"/>
  <c r="T161" i="64"/>
  <c r="U161" i="64"/>
  <c r="T162" i="64"/>
  <c r="U162" i="64"/>
  <c r="T163" i="64"/>
  <c r="U163" i="64"/>
  <c r="T164" i="64"/>
  <c r="U164" i="64"/>
  <c r="T165" i="64"/>
  <c r="U165" i="64"/>
  <c r="T166" i="64"/>
  <c r="U166" i="64"/>
  <c r="T167" i="64"/>
  <c r="U167" i="64"/>
  <c r="T168" i="64"/>
  <c r="U168" i="64"/>
  <c r="T169" i="64"/>
  <c r="U169" i="64"/>
  <c r="T170" i="64"/>
  <c r="U170" i="64"/>
  <c r="T171" i="64"/>
  <c r="U171" i="64"/>
  <c r="T172" i="64"/>
  <c r="U172" i="64"/>
  <c r="T173" i="64"/>
  <c r="U173" i="64"/>
  <c r="T174" i="64"/>
  <c r="U174" i="64"/>
  <c r="T175" i="64"/>
  <c r="U175" i="64"/>
  <c r="T176" i="64"/>
  <c r="U176" i="64"/>
  <c r="T177" i="64"/>
  <c r="U177" i="64"/>
  <c r="T178" i="64"/>
  <c r="U178" i="64"/>
  <c r="T179" i="64"/>
  <c r="U179" i="64"/>
  <c r="T180" i="64"/>
  <c r="U180" i="64"/>
  <c r="T181" i="64"/>
  <c r="U181" i="64"/>
  <c r="T182" i="64"/>
  <c r="U182" i="64"/>
  <c r="T183" i="64"/>
  <c r="U183" i="64"/>
  <c r="T184" i="64"/>
  <c r="U184" i="64"/>
  <c r="T185" i="64"/>
  <c r="U185" i="64"/>
  <c r="T186" i="64"/>
  <c r="U186" i="64"/>
  <c r="T187" i="64"/>
  <c r="U187" i="64"/>
  <c r="T188" i="64"/>
  <c r="U188" i="64"/>
  <c r="T189" i="64"/>
  <c r="U189" i="64"/>
  <c r="T190" i="64"/>
  <c r="U190" i="64"/>
  <c r="T191" i="64"/>
  <c r="U191" i="64"/>
  <c r="T192" i="64"/>
  <c r="U192" i="64"/>
  <c r="T193" i="64"/>
  <c r="U193" i="64"/>
  <c r="T194" i="64"/>
  <c r="U194" i="64"/>
  <c r="T195" i="64"/>
  <c r="U195" i="64"/>
  <c r="T196" i="64"/>
  <c r="U196" i="64"/>
  <c r="T197" i="64"/>
  <c r="U197" i="64"/>
  <c r="T198" i="64"/>
  <c r="U198" i="64"/>
  <c r="T199" i="64"/>
  <c r="U199" i="64"/>
  <c r="T200" i="64"/>
  <c r="U200" i="64"/>
  <c r="T201" i="64"/>
  <c r="U201" i="64"/>
  <c r="T202" i="64"/>
  <c r="U202" i="64"/>
  <c r="T203" i="64"/>
  <c r="U203" i="64"/>
  <c r="T204" i="64"/>
  <c r="U204" i="64"/>
  <c r="T205" i="64"/>
  <c r="U205" i="64"/>
  <c r="T206" i="64"/>
  <c r="U206" i="64"/>
  <c r="T207" i="64"/>
  <c r="U207" i="64"/>
  <c r="T208" i="64"/>
  <c r="U208" i="64"/>
  <c r="T209" i="64"/>
  <c r="U209" i="64"/>
  <c r="T210" i="64"/>
  <c r="U210" i="64"/>
  <c r="T211" i="64"/>
  <c r="U211" i="64"/>
  <c r="T212" i="64"/>
  <c r="U212" i="64"/>
  <c r="T213" i="64"/>
  <c r="U213" i="64"/>
  <c r="T214" i="64"/>
  <c r="U214" i="64"/>
  <c r="T215" i="64"/>
  <c r="U215" i="64"/>
  <c r="T216" i="64"/>
  <c r="U216" i="64"/>
  <c r="T217" i="64"/>
  <c r="U217" i="64"/>
  <c r="T218" i="64"/>
  <c r="U218" i="64"/>
  <c r="T219" i="64"/>
  <c r="U219" i="64"/>
  <c r="T220" i="64"/>
  <c r="U220" i="64"/>
  <c r="T221" i="64"/>
  <c r="U221" i="64"/>
  <c r="T222" i="64"/>
  <c r="U222" i="64"/>
  <c r="T223" i="64"/>
  <c r="U223" i="64"/>
  <c r="T224" i="64"/>
  <c r="U224" i="64"/>
  <c r="T225" i="64"/>
  <c r="U225" i="64"/>
  <c r="T226" i="64"/>
  <c r="U226" i="64"/>
  <c r="T227" i="64"/>
  <c r="U227" i="64"/>
  <c r="T228" i="64"/>
  <c r="U228" i="64"/>
  <c r="T229" i="64"/>
  <c r="U229" i="64"/>
  <c r="T230" i="64"/>
  <c r="U230" i="64"/>
  <c r="T231" i="64"/>
  <c r="U231" i="64"/>
  <c r="T232" i="64"/>
  <c r="U232" i="64"/>
  <c r="T233" i="64"/>
  <c r="U233" i="64"/>
  <c r="T234" i="64"/>
  <c r="U234" i="64"/>
  <c r="T235" i="64"/>
  <c r="U235" i="64"/>
  <c r="T236" i="64"/>
  <c r="U236" i="64"/>
  <c r="T237" i="64"/>
  <c r="U237" i="64"/>
  <c r="T238" i="64"/>
  <c r="U238" i="64"/>
  <c r="T239" i="64"/>
  <c r="U239" i="64"/>
  <c r="T240" i="64"/>
  <c r="U240" i="64"/>
  <c r="T241" i="64"/>
  <c r="U241" i="64"/>
  <c r="T242" i="64"/>
  <c r="U242" i="64"/>
  <c r="T243" i="64"/>
  <c r="U243" i="64"/>
  <c r="T244" i="64"/>
  <c r="U244" i="64"/>
  <c r="T245" i="64"/>
  <c r="U245" i="64"/>
  <c r="T246" i="64"/>
  <c r="U246" i="64"/>
  <c r="T247" i="64"/>
  <c r="U247" i="64"/>
  <c r="T248" i="64"/>
  <c r="U248" i="64"/>
  <c r="T249" i="64"/>
  <c r="U249" i="64"/>
  <c r="T250" i="64"/>
  <c r="U250" i="64"/>
  <c r="T251" i="64"/>
  <c r="U251" i="64"/>
  <c r="T252" i="64"/>
  <c r="U252" i="64"/>
  <c r="T253" i="64"/>
  <c r="U253" i="64"/>
  <c r="T254" i="64"/>
  <c r="U254" i="64"/>
  <c r="T255" i="64"/>
  <c r="U255" i="64"/>
  <c r="T256" i="64"/>
  <c r="U256" i="64"/>
  <c r="T257" i="64"/>
  <c r="U257" i="64"/>
  <c r="T258" i="64"/>
  <c r="U258" i="64"/>
  <c r="T259" i="64"/>
  <c r="U259" i="64"/>
  <c r="T260" i="64"/>
  <c r="U260" i="64"/>
  <c r="T261" i="64"/>
  <c r="U261" i="64"/>
  <c r="T262" i="64"/>
  <c r="U262" i="64"/>
  <c r="T263" i="64"/>
  <c r="U263" i="64"/>
  <c r="T264" i="64"/>
  <c r="U264" i="64"/>
  <c r="T265" i="64"/>
  <c r="U265" i="64"/>
  <c r="T266" i="64"/>
  <c r="U266" i="64"/>
  <c r="T267" i="64"/>
  <c r="U267" i="64"/>
  <c r="T268" i="64"/>
  <c r="U268" i="64"/>
  <c r="T269" i="64"/>
  <c r="U269" i="64"/>
  <c r="T270" i="64"/>
  <c r="U270" i="64"/>
  <c r="T271" i="64"/>
  <c r="U271" i="64"/>
  <c r="T272" i="64"/>
  <c r="U272" i="64"/>
  <c r="T273" i="64"/>
  <c r="U273" i="64"/>
  <c r="T274" i="64"/>
  <c r="U274" i="64"/>
  <c r="T275" i="64"/>
  <c r="U275" i="64"/>
  <c r="T276" i="64"/>
  <c r="U276" i="64"/>
  <c r="T277" i="64"/>
  <c r="U277" i="64"/>
  <c r="T278" i="64"/>
  <c r="U278" i="64"/>
  <c r="T279" i="64"/>
  <c r="U279" i="64"/>
  <c r="T280" i="64"/>
  <c r="U280" i="64"/>
  <c r="T281" i="64"/>
  <c r="U281" i="64"/>
  <c r="T282" i="64"/>
  <c r="U282" i="64"/>
  <c r="T283" i="64"/>
  <c r="U283" i="64"/>
  <c r="T284" i="64"/>
  <c r="U284" i="64"/>
  <c r="T285" i="64"/>
  <c r="U285" i="64"/>
  <c r="T286" i="64"/>
  <c r="U286" i="64"/>
  <c r="T287" i="64"/>
  <c r="U287" i="64"/>
  <c r="T288" i="64"/>
  <c r="U288" i="64"/>
  <c r="T289" i="64"/>
  <c r="U289" i="64"/>
  <c r="T290" i="64"/>
  <c r="U290" i="64"/>
  <c r="T291" i="64"/>
  <c r="U291" i="64"/>
  <c r="T292" i="64"/>
  <c r="U292" i="64"/>
  <c r="T293" i="64"/>
  <c r="U293" i="64"/>
  <c r="T294" i="64"/>
  <c r="U294" i="64"/>
  <c r="T295" i="64"/>
  <c r="U295" i="64"/>
  <c r="T296" i="64"/>
  <c r="U296" i="64"/>
  <c r="T297" i="64"/>
  <c r="U297" i="64"/>
  <c r="T298" i="64"/>
  <c r="U298" i="64"/>
  <c r="T299" i="64"/>
  <c r="U299" i="64"/>
  <c r="T300" i="64"/>
  <c r="U300" i="64"/>
  <c r="T301" i="64"/>
  <c r="U301" i="64"/>
  <c r="T302" i="64"/>
  <c r="U302" i="64"/>
  <c r="T303" i="64"/>
  <c r="U303" i="64"/>
  <c r="T304" i="64"/>
  <c r="U304" i="64"/>
  <c r="T305" i="64"/>
  <c r="U305" i="64"/>
  <c r="T306" i="64"/>
  <c r="U306" i="64"/>
  <c r="T307" i="64"/>
  <c r="U307" i="64"/>
  <c r="T308" i="64"/>
  <c r="U308" i="64"/>
  <c r="T309" i="64"/>
  <c r="U309" i="64"/>
  <c r="T310" i="64"/>
  <c r="U310" i="64"/>
  <c r="T311" i="64"/>
  <c r="U311" i="64"/>
  <c r="T312" i="64"/>
  <c r="U312" i="64"/>
  <c r="T313" i="64"/>
  <c r="U313" i="64"/>
  <c r="T314" i="64"/>
  <c r="U314" i="64"/>
  <c r="T315" i="64"/>
  <c r="U315" i="64"/>
  <c r="T316" i="64"/>
  <c r="U316" i="64"/>
  <c r="T317" i="64"/>
  <c r="U317" i="64"/>
  <c r="T318" i="64"/>
  <c r="U318" i="64"/>
  <c r="T319" i="64"/>
  <c r="U319" i="64"/>
  <c r="T320" i="64"/>
  <c r="U320" i="64"/>
  <c r="T321" i="64"/>
  <c r="U321" i="64"/>
  <c r="T322" i="64"/>
  <c r="U322" i="64"/>
  <c r="T323" i="64"/>
  <c r="U323" i="64"/>
  <c r="T324" i="64"/>
  <c r="U324" i="64"/>
  <c r="T325" i="64"/>
  <c r="U325" i="64"/>
  <c r="T326" i="64"/>
  <c r="U326" i="64"/>
  <c r="T327" i="64"/>
  <c r="U327" i="64"/>
  <c r="T328" i="64"/>
  <c r="U328" i="64"/>
  <c r="T329" i="64"/>
  <c r="U329" i="64"/>
  <c r="T330" i="64"/>
  <c r="U330" i="64"/>
  <c r="T331" i="64"/>
  <c r="U331" i="64"/>
  <c r="T332" i="64"/>
  <c r="U332" i="64"/>
  <c r="T333" i="64"/>
  <c r="U333" i="64"/>
  <c r="T334" i="64"/>
  <c r="U334" i="64"/>
  <c r="T335" i="64"/>
  <c r="U335" i="64"/>
  <c r="T336" i="64"/>
  <c r="U336" i="64"/>
  <c r="T337" i="64"/>
  <c r="U337" i="64"/>
  <c r="T338" i="64"/>
  <c r="U338" i="64"/>
  <c r="T339" i="64"/>
  <c r="U339" i="64"/>
  <c r="T340" i="64"/>
  <c r="U340" i="64"/>
  <c r="T341" i="64"/>
  <c r="U341" i="64"/>
  <c r="T342" i="64"/>
  <c r="U342" i="64"/>
  <c r="T343" i="64"/>
  <c r="U343" i="64"/>
  <c r="T344" i="64"/>
  <c r="U344" i="64"/>
  <c r="T345" i="64"/>
  <c r="U345" i="64"/>
  <c r="T346" i="64"/>
  <c r="U346" i="64"/>
  <c r="T347" i="64"/>
  <c r="U347" i="64"/>
  <c r="T348" i="64"/>
  <c r="U348" i="64"/>
  <c r="T349" i="64"/>
  <c r="U349" i="64"/>
  <c r="T350" i="64"/>
  <c r="U350" i="64"/>
  <c r="T351" i="64"/>
  <c r="U351" i="64"/>
  <c r="T352" i="64"/>
  <c r="U352" i="64"/>
  <c r="T353" i="64"/>
  <c r="U353" i="64"/>
  <c r="T354" i="64"/>
  <c r="U354" i="64"/>
  <c r="T355" i="64"/>
  <c r="U355" i="64"/>
  <c r="T356" i="64"/>
  <c r="U356" i="64"/>
  <c r="T357" i="64"/>
  <c r="U357" i="64"/>
  <c r="T358" i="64"/>
  <c r="U358" i="64"/>
  <c r="T359" i="64"/>
  <c r="U359" i="64"/>
  <c r="T360" i="64"/>
  <c r="U360" i="64"/>
  <c r="T361" i="64"/>
  <c r="U361" i="64"/>
  <c r="T362" i="64"/>
  <c r="U362" i="64"/>
  <c r="T363" i="64"/>
  <c r="U363" i="64"/>
  <c r="T364" i="64"/>
  <c r="U364" i="64"/>
  <c r="T365" i="64"/>
  <c r="U365" i="64"/>
  <c r="T366" i="64"/>
  <c r="U366" i="64"/>
  <c r="T367" i="64"/>
  <c r="U367" i="64"/>
  <c r="T368" i="64"/>
  <c r="U368" i="64"/>
  <c r="T369" i="64"/>
  <c r="U369" i="64"/>
  <c r="T370" i="64"/>
  <c r="U370" i="64"/>
  <c r="T371" i="64"/>
  <c r="U371" i="64"/>
  <c r="T372" i="64"/>
  <c r="U372" i="64"/>
  <c r="T373" i="64"/>
  <c r="U373" i="64"/>
  <c r="T374" i="64"/>
  <c r="U374" i="64"/>
  <c r="T375" i="64"/>
  <c r="U375" i="64"/>
  <c r="T376" i="64"/>
  <c r="U376" i="64"/>
  <c r="T377" i="64"/>
  <c r="U377" i="64"/>
  <c r="T378" i="64"/>
  <c r="U378" i="64"/>
  <c r="T379" i="64"/>
  <c r="U379" i="64"/>
  <c r="T380" i="64"/>
  <c r="U380" i="64"/>
  <c r="T381" i="64"/>
  <c r="U381" i="64"/>
  <c r="T382" i="64"/>
  <c r="U382" i="64"/>
  <c r="T383" i="64"/>
  <c r="U383" i="64"/>
  <c r="T384" i="64"/>
  <c r="U384" i="64"/>
  <c r="T385" i="64"/>
  <c r="U385" i="64"/>
  <c r="T386" i="64"/>
  <c r="U386" i="64"/>
  <c r="T387" i="64"/>
  <c r="U387" i="64"/>
  <c r="T388" i="64"/>
  <c r="U388" i="64"/>
  <c r="L12" i="64"/>
  <c r="M12" i="64" s="1"/>
  <c r="L13" i="64"/>
  <c r="M13" i="64" s="1"/>
  <c r="L14" i="64"/>
  <c r="M14" i="64" s="1"/>
  <c r="L15" i="64"/>
  <c r="M15" i="64" s="1"/>
  <c r="L16" i="64"/>
  <c r="M16" i="64" s="1"/>
  <c r="L17" i="64"/>
  <c r="M17" i="64" s="1"/>
  <c r="L18" i="64"/>
  <c r="M18" i="64" s="1"/>
  <c r="L19" i="64"/>
  <c r="M19" i="64" s="1"/>
  <c r="L20" i="64"/>
  <c r="M20" i="64" s="1"/>
  <c r="L21" i="64"/>
  <c r="M21" i="64" s="1"/>
  <c r="L22" i="64"/>
  <c r="M22" i="64" s="1"/>
  <c r="L23" i="64"/>
  <c r="M23" i="64" s="1"/>
  <c r="L24" i="64"/>
  <c r="M24" i="64" s="1"/>
  <c r="L25" i="64"/>
  <c r="M25" i="64" s="1"/>
  <c r="L26" i="64"/>
  <c r="M26" i="64" s="1"/>
  <c r="L27" i="64"/>
  <c r="M27" i="64" s="1"/>
  <c r="L28" i="64"/>
  <c r="M28" i="64" s="1"/>
  <c r="L29" i="64"/>
  <c r="M29" i="64" s="1"/>
  <c r="L30" i="64"/>
  <c r="M30" i="64" s="1"/>
  <c r="L31" i="64"/>
  <c r="M31" i="64" s="1"/>
  <c r="L32" i="64"/>
  <c r="M32" i="64" s="1"/>
  <c r="L33" i="64"/>
  <c r="M33" i="64" s="1"/>
  <c r="L34" i="64"/>
  <c r="M34" i="64" s="1"/>
  <c r="L35" i="64"/>
  <c r="M35" i="64" s="1"/>
  <c r="L36" i="64"/>
  <c r="M36" i="64" s="1"/>
  <c r="L37" i="64"/>
  <c r="M37" i="64" s="1"/>
  <c r="L38" i="64"/>
  <c r="M38" i="64" s="1"/>
  <c r="L39" i="64"/>
  <c r="M39" i="64" s="1"/>
  <c r="L40" i="64"/>
  <c r="M40" i="64" s="1"/>
  <c r="L41" i="64"/>
  <c r="M41" i="64" s="1"/>
  <c r="L42" i="64"/>
  <c r="M42" i="64" s="1"/>
  <c r="L43" i="64"/>
  <c r="M43" i="64" s="1"/>
  <c r="L44" i="64"/>
  <c r="M44" i="64" s="1"/>
  <c r="L45" i="64"/>
  <c r="M45" i="64" s="1"/>
  <c r="L46" i="64"/>
  <c r="M46" i="64" s="1"/>
  <c r="L47" i="64"/>
  <c r="M47" i="64" s="1"/>
  <c r="L48" i="64"/>
  <c r="M48" i="64" s="1"/>
  <c r="L49" i="64"/>
  <c r="M49" i="64" s="1"/>
  <c r="L50" i="64"/>
  <c r="M50" i="64" s="1"/>
  <c r="L51" i="64"/>
  <c r="M51" i="64" s="1"/>
  <c r="L52" i="64"/>
  <c r="M52" i="64" s="1"/>
  <c r="L53" i="64"/>
  <c r="M53" i="64" s="1"/>
  <c r="L54" i="64"/>
  <c r="M54" i="64" s="1"/>
  <c r="L55" i="64"/>
  <c r="M55" i="64" s="1"/>
  <c r="L56" i="64"/>
  <c r="M56" i="64" s="1"/>
  <c r="L57" i="64"/>
  <c r="M57" i="64" s="1"/>
  <c r="L58" i="64"/>
  <c r="M58" i="64" s="1"/>
  <c r="L59" i="64"/>
  <c r="M59" i="64" s="1"/>
  <c r="L60" i="64"/>
  <c r="M60" i="64" s="1"/>
  <c r="L61" i="64"/>
  <c r="M61" i="64" s="1"/>
  <c r="L62" i="64"/>
  <c r="M62" i="64" s="1"/>
  <c r="L63" i="64"/>
  <c r="M63" i="64" s="1"/>
  <c r="L64" i="64"/>
  <c r="M64" i="64" s="1"/>
  <c r="L65" i="64"/>
  <c r="M65" i="64" s="1"/>
  <c r="L66" i="64"/>
  <c r="M66" i="64" s="1"/>
  <c r="L67" i="64"/>
  <c r="M67" i="64" s="1"/>
  <c r="L68" i="64"/>
  <c r="M68" i="64" s="1"/>
  <c r="L69" i="64"/>
  <c r="M69" i="64" s="1"/>
  <c r="L70" i="64"/>
  <c r="M70" i="64" s="1"/>
  <c r="L71" i="64"/>
  <c r="M71" i="64" s="1"/>
  <c r="L72" i="64"/>
  <c r="M72" i="64" s="1"/>
  <c r="L73" i="64"/>
  <c r="M73" i="64" s="1"/>
  <c r="L74" i="64"/>
  <c r="M74" i="64" s="1"/>
  <c r="L75" i="64"/>
  <c r="M75" i="64" s="1"/>
  <c r="L76" i="64"/>
  <c r="M76" i="64" s="1"/>
  <c r="L77" i="64"/>
  <c r="M77" i="64" s="1"/>
  <c r="L78" i="64"/>
  <c r="M78" i="64" s="1"/>
  <c r="L79" i="64"/>
  <c r="M79" i="64" s="1"/>
  <c r="L80" i="64"/>
  <c r="M80" i="64" s="1"/>
  <c r="L81" i="64"/>
  <c r="M81" i="64" s="1"/>
  <c r="L82" i="64"/>
  <c r="M82" i="64" s="1"/>
  <c r="L83" i="64"/>
  <c r="M83" i="64" s="1"/>
  <c r="L84" i="64"/>
  <c r="M84" i="64" s="1"/>
  <c r="L85" i="64"/>
  <c r="M85" i="64" s="1"/>
  <c r="L86" i="64"/>
  <c r="M86" i="64" s="1"/>
  <c r="L87" i="64"/>
  <c r="M87" i="64" s="1"/>
  <c r="L88" i="64"/>
  <c r="M88" i="64" s="1"/>
  <c r="L89" i="64"/>
  <c r="M89" i="64" s="1"/>
  <c r="L90" i="64"/>
  <c r="M90" i="64" s="1"/>
  <c r="L91" i="64"/>
  <c r="M91" i="64" s="1"/>
  <c r="L92" i="64"/>
  <c r="M92" i="64" s="1"/>
  <c r="L93" i="64"/>
  <c r="M93" i="64" s="1"/>
  <c r="L94" i="64"/>
  <c r="M94" i="64" s="1"/>
  <c r="L95" i="64"/>
  <c r="M95" i="64" s="1"/>
  <c r="L96" i="64"/>
  <c r="M96" i="64" s="1"/>
  <c r="L97" i="64"/>
  <c r="M97" i="64" s="1"/>
  <c r="L98" i="64"/>
  <c r="M98" i="64" s="1"/>
  <c r="L99" i="64"/>
  <c r="M99" i="64" s="1"/>
  <c r="L100" i="64"/>
  <c r="M100" i="64" s="1"/>
  <c r="L101" i="64"/>
  <c r="M101" i="64" s="1"/>
  <c r="L102" i="64"/>
  <c r="M102" i="64" s="1"/>
  <c r="L103" i="64"/>
  <c r="M103" i="64" s="1"/>
  <c r="L104" i="64"/>
  <c r="M104" i="64" s="1"/>
  <c r="L105" i="64"/>
  <c r="M105" i="64" s="1"/>
  <c r="L106" i="64"/>
  <c r="M106" i="64" s="1"/>
  <c r="L107" i="64"/>
  <c r="M107" i="64" s="1"/>
  <c r="L108" i="64"/>
  <c r="M108" i="64" s="1"/>
  <c r="L109" i="64"/>
  <c r="M109" i="64" s="1"/>
  <c r="L110" i="64"/>
  <c r="M110" i="64" s="1"/>
  <c r="L111" i="64"/>
  <c r="M111" i="64" s="1"/>
  <c r="L112" i="64"/>
  <c r="M112" i="64" s="1"/>
  <c r="L113" i="64"/>
  <c r="M113" i="64" s="1"/>
  <c r="L114" i="64"/>
  <c r="M114" i="64" s="1"/>
  <c r="L115" i="64"/>
  <c r="M115" i="64" s="1"/>
  <c r="L116" i="64"/>
  <c r="M116" i="64" s="1"/>
  <c r="L117" i="64"/>
  <c r="M117" i="64" s="1"/>
  <c r="L118" i="64"/>
  <c r="M118" i="64" s="1"/>
  <c r="L119" i="64"/>
  <c r="M119" i="64" s="1"/>
  <c r="L120" i="64"/>
  <c r="M120" i="64" s="1"/>
  <c r="L121" i="64"/>
  <c r="M121" i="64" s="1"/>
  <c r="L122" i="64"/>
  <c r="M122" i="64" s="1"/>
  <c r="L123" i="64"/>
  <c r="M123" i="64" s="1"/>
  <c r="L124" i="64"/>
  <c r="M124" i="64" s="1"/>
  <c r="L125" i="64"/>
  <c r="M125" i="64" s="1"/>
  <c r="L126" i="64"/>
  <c r="M126" i="64" s="1"/>
  <c r="L127" i="64"/>
  <c r="M127" i="64" s="1"/>
  <c r="L128" i="64"/>
  <c r="M128" i="64" s="1"/>
  <c r="L129" i="64"/>
  <c r="M129" i="64" s="1"/>
  <c r="L130" i="64"/>
  <c r="M130" i="64" s="1"/>
  <c r="L131" i="64"/>
  <c r="M131" i="64" s="1"/>
  <c r="L132" i="64"/>
  <c r="M132" i="64" s="1"/>
  <c r="L133" i="64"/>
  <c r="M133" i="64" s="1"/>
  <c r="L134" i="64"/>
  <c r="M134" i="64" s="1"/>
  <c r="L135" i="64"/>
  <c r="M135" i="64" s="1"/>
  <c r="L136" i="64"/>
  <c r="M136" i="64" s="1"/>
  <c r="L137" i="64"/>
  <c r="M137" i="64" s="1"/>
  <c r="L138" i="64"/>
  <c r="M138" i="64" s="1"/>
  <c r="L139" i="64"/>
  <c r="M139" i="64" s="1"/>
  <c r="L140" i="64"/>
  <c r="M140" i="64" s="1"/>
  <c r="L141" i="64"/>
  <c r="M141" i="64" s="1"/>
  <c r="L142" i="64"/>
  <c r="M142" i="64" s="1"/>
  <c r="L143" i="64"/>
  <c r="M143" i="64" s="1"/>
  <c r="L144" i="64"/>
  <c r="M144" i="64" s="1"/>
  <c r="L145" i="64"/>
  <c r="M145" i="64" s="1"/>
  <c r="L146" i="64"/>
  <c r="M146" i="64" s="1"/>
  <c r="L147" i="64"/>
  <c r="M147" i="64" s="1"/>
  <c r="L148" i="64"/>
  <c r="M148" i="64" s="1"/>
  <c r="L149" i="64"/>
  <c r="M149" i="64" s="1"/>
  <c r="L150" i="64"/>
  <c r="M150" i="64" s="1"/>
  <c r="L151" i="64"/>
  <c r="M151" i="64" s="1"/>
  <c r="L152" i="64"/>
  <c r="M152" i="64" s="1"/>
  <c r="L153" i="64"/>
  <c r="M153" i="64" s="1"/>
  <c r="L154" i="64"/>
  <c r="M154" i="64" s="1"/>
  <c r="L155" i="64"/>
  <c r="M155" i="64" s="1"/>
  <c r="L156" i="64"/>
  <c r="M156" i="64" s="1"/>
  <c r="L157" i="64"/>
  <c r="M157" i="64" s="1"/>
  <c r="L158" i="64"/>
  <c r="M158" i="64" s="1"/>
  <c r="L159" i="64"/>
  <c r="M159" i="64" s="1"/>
  <c r="L160" i="64"/>
  <c r="M160" i="64" s="1"/>
  <c r="L161" i="64"/>
  <c r="M161" i="64" s="1"/>
  <c r="L162" i="64"/>
  <c r="M162" i="64" s="1"/>
  <c r="L163" i="64"/>
  <c r="M163" i="64" s="1"/>
  <c r="L164" i="64"/>
  <c r="M164" i="64" s="1"/>
  <c r="L165" i="64"/>
  <c r="M165" i="64" s="1"/>
  <c r="L166" i="64"/>
  <c r="M166" i="64" s="1"/>
  <c r="L167" i="64"/>
  <c r="M167" i="64" s="1"/>
  <c r="L168" i="64"/>
  <c r="M168" i="64" s="1"/>
  <c r="L169" i="64"/>
  <c r="M169" i="64" s="1"/>
  <c r="L170" i="64"/>
  <c r="M170" i="64" s="1"/>
  <c r="L171" i="64"/>
  <c r="M171" i="64" s="1"/>
  <c r="L172" i="64"/>
  <c r="M172" i="64" s="1"/>
  <c r="L173" i="64"/>
  <c r="M173" i="64" s="1"/>
  <c r="L174" i="64"/>
  <c r="M174" i="64" s="1"/>
  <c r="L175" i="64"/>
  <c r="M175" i="64" s="1"/>
  <c r="L176" i="64"/>
  <c r="M176" i="64" s="1"/>
  <c r="L177" i="64"/>
  <c r="M177" i="64" s="1"/>
  <c r="L178" i="64"/>
  <c r="M178" i="64" s="1"/>
  <c r="L179" i="64"/>
  <c r="M179" i="64" s="1"/>
  <c r="L180" i="64"/>
  <c r="M180" i="64" s="1"/>
  <c r="L181" i="64"/>
  <c r="M181" i="64" s="1"/>
  <c r="L182" i="64"/>
  <c r="M182" i="64" s="1"/>
  <c r="L183" i="64"/>
  <c r="M183" i="64" s="1"/>
  <c r="L184" i="64"/>
  <c r="M184" i="64" s="1"/>
  <c r="L185" i="64"/>
  <c r="M185" i="64" s="1"/>
  <c r="L186" i="64"/>
  <c r="M186" i="64" s="1"/>
  <c r="L187" i="64"/>
  <c r="M187" i="64" s="1"/>
  <c r="L188" i="64"/>
  <c r="M188" i="64" s="1"/>
  <c r="L189" i="64"/>
  <c r="M189" i="64" s="1"/>
  <c r="L190" i="64"/>
  <c r="M190" i="64" s="1"/>
  <c r="L191" i="64"/>
  <c r="M191" i="64" s="1"/>
  <c r="L192" i="64"/>
  <c r="M192" i="64" s="1"/>
  <c r="L193" i="64"/>
  <c r="M193" i="64" s="1"/>
  <c r="L194" i="64"/>
  <c r="M194" i="64" s="1"/>
  <c r="L195" i="64"/>
  <c r="M195" i="64" s="1"/>
  <c r="L196" i="64"/>
  <c r="M196" i="64" s="1"/>
  <c r="L197" i="64"/>
  <c r="M197" i="64" s="1"/>
  <c r="L198" i="64"/>
  <c r="M198" i="64" s="1"/>
  <c r="L199" i="64"/>
  <c r="M199" i="64" s="1"/>
  <c r="L200" i="64"/>
  <c r="M200" i="64" s="1"/>
  <c r="L201" i="64"/>
  <c r="M201" i="64" s="1"/>
  <c r="L202" i="64"/>
  <c r="M202" i="64" s="1"/>
  <c r="L203" i="64"/>
  <c r="M203" i="64" s="1"/>
  <c r="L204" i="64"/>
  <c r="M204" i="64" s="1"/>
  <c r="L205" i="64"/>
  <c r="M205" i="64" s="1"/>
  <c r="L206" i="64"/>
  <c r="M206" i="64" s="1"/>
  <c r="L207" i="64"/>
  <c r="M207" i="64" s="1"/>
  <c r="L208" i="64"/>
  <c r="M208" i="64" s="1"/>
  <c r="L209" i="64"/>
  <c r="M209" i="64" s="1"/>
  <c r="L210" i="64"/>
  <c r="M210" i="64" s="1"/>
  <c r="L211" i="64"/>
  <c r="M211" i="64" s="1"/>
  <c r="L212" i="64"/>
  <c r="M212" i="64" s="1"/>
  <c r="L213" i="64"/>
  <c r="M213" i="64" s="1"/>
  <c r="L214" i="64"/>
  <c r="M214" i="64" s="1"/>
  <c r="L215" i="64"/>
  <c r="M215" i="64" s="1"/>
  <c r="L216" i="64"/>
  <c r="M216" i="64" s="1"/>
  <c r="L217" i="64"/>
  <c r="M217" i="64" s="1"/>
  <c r="L218" i="64"/>
  <c r="M218" i="64" s="1"/>
  <c r="L219" i="64"/>
  <c r="M219" i="64" s="1"/>
  <c r="L220" i="64"/>
  <c r="M220" i="64" s="1"/>
  <c r="L221" i="64"/>
  <c r="M221" i="64" s="1"/>
  <c r="L222" i="64"/>
  <c r="M222" i="64" s="1"/>
  <c r="L223" i="64"/>
  <c r="M223" i="64" s="1"/>
  <c r="L224" i="64"/>
  <c r="M224" i="64" s="1"/>
  <c r="L225" i="64"/>
  <c r="M225" i="64" s="1"/>
  <c r="L226" i="64"/>
  <c r="M226" i="64" s="1"/>
  <c r="L227" i="64"/>
  <c r="M227" i="64" s="1"/>
  <c r="L228" i="64"/>
  <c r="M228" i="64" s="1"/>
  <c r="L229" i="64"/>
  <c r="M229" i="64" s="1"/>
  <c r="L230" i="64"/>
  <c r="M230" i="64" s="1"/>
  <c r="L231" i="64"/>
  <c r="M231" i="64" s="1"/>
  <c r="L232" i="64"/>
  <c r="M232" i="64" s="1"/>
  <c r="L233" i="64"/>
  <c r="M233" i="64" s="1"/>
  <c r="L234" i="64"/>
  <c r="M234" i="64" s="1"/>
  <c r="L235" i="64"/>
  <c r="M235" i="64" s="1"/>
  <c r="L236" i="64"/>
  <c r="M236" i="64" s="1"/>
  <c r="L237" i="64"/>
  <c r="M237" i="64" s="1"/>
  <c r="L238" i="64"/>
  <c r="M238" i="64" s="1"/>
  <c r="L239" i="64"/>
  <c r="M239" i="64" s="1"/>
  <c r="L240" i="64"/>
  <c r="M240" i="64" s="1"/>
  <c r="L241" i="64"/>
  <c r="M241" i="64" s="1"/>
  <c r="L242" i="64"/>
  <c r="M242" i="64" s="1"/>
  <c r="L243" i="64"/>
  <c r="M243" i="64" s="1"/>
  <c r="L244" i="64"/>
  <c r="M244" i="64" s="1"/>
  <c r="L245" i="64"/>
  <c r="M245" i="64" s="1"/>
  <c r="L246" i="64"/>
  <c r="M246" i="64" s="1"/>
  <c r="L247" i="64"/>
  <c r="M247" i="64" s="1"/>
  <c r="L248" i="64"/>
  <c r="M248" i="64" s="1"/>
  <c r="L249" i="64"/>
  <c r="M249" i="64" s="1"/>
  <c r="L250" i="64"/>
  <c r="M250" i="64" s="1"/>
  <c r="L251" i="64"/>
  <c r="M251" i="64" s="1"/>
  <c r="L252" i="64"/>
  <c r="M252" i="64" s="1"/>
  <c r="L253" i="64"/>
  <c r="M253" i="64" s="1"/>
  <c r="L254" i="64"/>
  <c r="M254" i="64" s="1"/>
  <c r="L255" i="64"/>
  <c r="M255" i="64" s="1"/>
  <c r="L256" i="64"/>
  <c r="M256" i="64" s="1"/>
  <c r="L257" i="64"/>
  <c r="M257" i="64" s="1"/>
  <c r="L258" i="64"/>
  <c r="M258" i="64" s="1"/>
  <c r="L259" i="64"/>
  <c r="M259" i="64" s="1"/>
  <c r="L260" i="64"/>
  <c r="M260" i="64" s="1"/>
  <c r="L261" i="64"/>
  <c r="M261" i="64" s="1"/>
  <c r="L262" i="64"/>
  <c r="M262" i="64" s="1"/>
  <c r="L263" i="64"/>
  <c r="M263" i="64" s="1"/>
  <c r="L264" i="64"/>
  <c r="M264" i="64" s="1"/>
  <c r="L265" i="64"/>
  <c r="M265" i="64" s="1"/>
  <c r="L266" i="64"/>
  <c r="M266" i="64" s="1"/>
  <c r="L267" i="64"/>
  <c r="M267" i="64" s="1"/>
  <c r="L268" i="64"/>
  <c r="M268" i="64" s="1"/>
  <c r="L269" i="64"/>
  <c r="M269" i="64" s="1"/>
  <c r="L270" i="64"/>
  <c r="M270" i="64" s="1"/>
  <c r="L271" i="64"/>
  <c r="M271" i="64" s="1"/>
  <c r="L272" i="64"/>
  <c r="M272" i="64" s="1"/>
  <c r="L273" i="64"/>
  <c r="M273" i="64" s="1"/>
  <c r="L274" i="64"/>
  <c r="M274" i="64" s="1"/>
  <c r="L275" i="64"/>
  <c r="M275" i="64" s="1"/>
  <c r="L276" i="64"/>
  <c r="M276" i="64" s="1"/>
  <c r="L277" i="64"/>
  <c r="M277" i="64" s="1"/>
  <c r="L278" i="64"/>
  <c r="M278" i="64" s="1"/>
  <c r="L279" i="64"/>
  <c r="M279" i="64" s="1"/>
  <c r="L280" i="64"/>
  <c r="M280" i="64" s="1"/>
  <c r="L281" i="64"/>
  <c r="M281" i="64" s="1"/>
  <c r="L282" i="64"/>
  <c r="M282" i="64" s="1"/>
  <c r="L283" i="64"/>
  <c r="M283" i="64" s="1"/>
  <c r="L284" i="64"/>
  <c r="M284" i="64" s="1"/>
  <c r="L285" i="64"/>
  <c r="M285" i="64" s="1"/>
  <c r="L286" i="64"/>
  <c r="M286" i="64" s="1"/>
  <c r="L287" i="64"/>
  <c r="M287" i="64" s="1"/>
  <c r="L288" i="64"/>
  <c r="M288" i="64" s="1"/>
  <c r="L289" i="64"/>
  <c r="M289" i="64" s="1"/>
  <c r="L290" i="64"/>
  <c r="M290" i="64" s="1"/>
  <c r="L291" i="64"/>
  <c r="M291" i="64" s="1"/>
  <c r="L292" i="64"/>
  <c r="M292" i="64" s="1"/>
  <c r="L293" i="64"/>
  <c r="M293" i="64" s="1"/>
  <c r="L294" i="64"/>
  <c r="M294" i="64" s="1"/>
  <c r="L295" i="64"/>
  <c r="M295" i="64" s="1"/>
  <c r="L296" i="64"/>
  <c r="M296" i="64" s="1"/>
  <c r="L297" i="64"/>
  <c r="M297" i="64" s="1"/>
  <c r="L298" i="64"/>
  <c r="M298" i="64" s="1"/>
  <c r="L299" i="64"/>
  <c r="M299" i="64" s="1"/>
  <c r="L300" i="64"/>
  <c r="M300" i="64" s="1"/>
  <c r="L301" i="64"/>
  <c r="M301" i="64" s="1"/>
  <c r="L302" i="64"/>
  <c r="M302" i="64" s="1"/>
  <c r="L303" i="64"/>
  <c r="M303" i="64" s="1"/>
  <c r="L304" i="64"/>
  <c r="M304" i="64" s="1"/>
  <c r="L305" i="64"/>
  <c r="M305" i="64" s="1"/>
  <c r="L306" i="64"/>
  <c r="M306" i="64" s="1"/>
  <c r="L307" i="64"/>
  <c r="M307" i="64" s="1"/>
  <c r="L308" i="64"/>
  <c r="M308" i="64" s="1"/>
  <c r="L309" i="64"/>
  <c r="M309" i="64" s="1"/>
  <c r="L310" i="64"/>
  <c r="M310" i="64" s="1"/>
  <c r="L311" i="64"/>
  <c r="M311" i="64" s="1"/>
  <c r="L312" i="64"/>
  <c r="M312" i="64" s="1"/>
  <c r="L313" i="64"/>
  <c r="M313" i="64" s="1"/>
  <c r="L314" i="64"/>
  <c r="M314" i="64" s="1"/>
  <c r="L315" i="64"/>
  <c r="M315" i="64" s="1"/>
  <c r="L316" i="64"/>
  <c r="M316" i="64" s="1"/>
  <c r="L317" i="64"/>
  <c r="M317" i="64" s="1"/>
  <c r="L318" i="64"/>
  <c r="M318" i="64" s="1"/>
  <c r="L319" i="64"/>
  <c r="M319" i="64" s="1"/>
  <c r="L320" i="64"/>
  <c r="M320" i="64" s="1"/>
  <c r="L321" i="64"/>
  <c r="M321" i="64" s="1"/>
  <c r="L322" i="64"/>
  <c r="M322" i="64" s="1"/>
  <c r="L323" i="64"/>
  <c r="M323" i="64" s="1"/>
  <c r="L324" i="64"/>
  <c r="M324" i="64" s="1"/>
  <c r="L325" i="64"/>
  <c r="M325" i="64" s="1"/>
  <c r="L326" i="64"/>
  <c r="M326" i="64" s="1"/>
  <c r="L327" i="64"/>
  <c r="M327" i="64" s="1"/>
  <c r="L328" i="64"/>
  <c r="M328" i="64" s="1"/>
  <c r="L329" i="64"/>
  <c r="M329" i="64" s="1"/>
  <c r="L330" i="64"/>
  <c r="M330" i="64" s="1"/>
  <c r="L331" i="64"/>
  <c r="M331" i="64" s="1"/>
  <c r="L332" i="64"/>
  <c r="M332" i="64" s="1"/>
  <c r="L333" i="64"/>
  <c r="M333" i="64" s="1"/>
  <c r="L334" i="64"/>
  <c r="M334" i="64" s="1"/>
  <c r="L335" i="64"/>
  <c r="M335" i="64" s="1"/>
  <c r="L336" i="64"/>
  <c r="M336" i="64" s="1"/>
  <c r="L337" i="64"/>
  <c r="M337" i="64" s="1"/>
  <c r="L338" i="64"/>
  <c r="M338" i="64" s="1"/>
  <c r="L339" i="64"/>
  <c r="M339" i="64" s="1"/>
  <c r="L340" i="64"/>
  <c r="M340" i="64" s="1"/>
  <c r="L341" i="64"/>
  <c r="M341" i="64" s="1"/>
  <c r="L342" i="64"/>
  <c r="M342" i="64" s="1"/>
  <c r="L343" i="64"/>
  <c r="M343" i="64" s="1"/>
  <c r="L344" i="64"/>
  <c r="M344" i="64" s="1"/>
  <c r="L345" i="64"/>
  <c r="M345" i="64" s="1"/>
  <c r="L346" i="64"/>
  <c r="M346" i="64" s="1"/>
  <c r="L347" i="64"/>
  <c r="M347" i="64" s="1"/>
  <c r="L348" i="64"/>
  <c r="M348" i="64" s="1"/>
  <c r="L349" i="64"/>
  <c r="M349" i="64" s="1"/>
  <c r="L350" i="64"/>
  <c r="M350" i="64" s="1"/>
  <c r="L351" i="64"/>
  <c r="M351" i="64" s="1"/>
  <c r="L352" i="64"/>
  <c r="M352" i="64" s="1"/>
  <c r="L353" i="64"/>
  <c r="M353" i="64" s="1"/>
  <c r="L354" i="64"/>
  <c r="M354" i="64" s="1"/>
  <c r="L355" i="64"/>
  <c r="M355" i="64" s="1"/>
  <c r="L356" i="64"/>
  <c r="M356" i="64" s="1"/>
  <c r="L357" i="64"/>
  <c r="M357" i="64" s="1"/>
  <c r="L358" i="64"/>
  <c r="M358" i="64" s="1"/>
  <c r="L359" i="64"/>
  <c r="M359" i="64" s="1"/>
  <c r="L360" i="64"/>
  <c r="M360" i="64" s="1"/>
  <c r="L361" i="64"/>
  <c r="M361" i="64" s="1"/>
  <c r="L362" i="64"/>
  <c r="M362" i="64" s="1"/>
  <c r="L363" i="64"/>
  <c r="M363" i="64" s="1"/>
  <c r="L364" i="64"/>
  <c r="M364" i="64" s="1"/>
  <c r="L365" i="64"/>
  <c r="M365" i="64" s="1"/>
  <c r="L366" i="64"/>
  <c r="M366" i="64" s="1"/>
  <c r="L367" i="64"/>
  <c r="M367" i="64" s="1"/>
  <c r="L368" i="64"/>
  <c r="M368" i="64" s="1"/>
  <c r="L369" i="64"/>
  <c r="M369" i="64" s="1"/>
  <c r="L370" i="64"/>
  <c r="M370" i="64" s="1"/>
  <c r="L371" i="64"/>
  <c r="M371" i="64" s="1"/>
  <c r="L372" i="64"/>
  <c r="M372" i="64" s="1"/>
  <c r="L373" i="64"/>
  <c r="M373" i="64" s="1"/>
  <c r="L374" i="64"/>
  <c r="M374" i="64" s="1"/>
  <c r="L375" i="64"/>
  <c r="M375" i="64" s="1"/>
  <c r="L376" i="64"/>
  <c r="M376" i="64" s="1"/>
  <c r="L377" i="64"/>
  <c r="M377" i="64" s="1"/>
  <c r="L378" i="64"/>
  <c r="M378" i="64" s="1"/>
  <c r="L379" i="64"/>
  <c r="M379" i="64" s="1"/>
  <c r="L380" i="64"/>
  <c r="M380" i="64" s="1"/>
  <c r="L381" i="64"/>
  <c r="M381" i="64" s="1"/>
  <c r="L382" i="64"/>
  <c r="M382" i="64" s="1"/>
  <c r="L383" i="64"/>
  <c r="M383" i="64" s="1"/>
  <c r="L384" i="64"/>
  <c r="M384" i="64" s="1"/>
  <c r="L385" i="64"/>
  <c r="M385" i="64"/>
  <c r="L386" i="64"/>
  <c r="M386" i="64"/>
  <c r="L387" i="64"/>
  <c r="M387" i="64"/>
  <c r="L388" i="64"/>
  <c r="M388" i="64"/>
  <c r="BE7" i="66" l="1"/>
  <c r="BE3" i="66"/>
  <c r="BE5" i="66"/>
  <c r="AW7" i="66"/>
  <c r="AW5" i="66"/>
  <c r="AW3" i="66"/>
  <c r="AM7" i="66"/>
  <c r="AM3" i="66"/>
  <c r="AM5" i="66"/>
  <c r="AE7" i="66"/>
  <c r="AE3" i="66"/>
  <c r="U7" i="66"/>
  <c r="U5" i="66"/>
  <c r="U3" i="66"/>
  <c r="T4" i="66" s="1"/>
  <c r="M7" i="66"/>
  <c r="M5" i="66"/>
  <c r="M3" i="66"/>
  <c r="L9" i="66"/>
  <c r="B11" i="66" s="1"/>
  <c r="A19" i="66"/>
  <c r="EH4" i="66"/>
  <c r="EH2" i="66" s="1"/>
  <c r="EE9" i="66" s="1"/>
  <c r="E25" i="66" s="1"/>
  <c r="EY4" i="66"/>
  <c r="EY2" i="66" s="1"/>
  <c r="EV9" i="66" s="1"/>
  <c r="DP4" i="66"/>
  <c r="DP2" i="66" s="1"/>
  <c r="DM9" i="66" s="1"/>
  <c r="E23" i="66" s="1"/>
  <c r="A21" i="66"/>
  <c r="A17" i="66"/>
  <c r="CF9" i="66"/>
  <c r="B19" i="66" s="1"/>
  <c r="AV9" i="66"/>
  <c r="B15" i="66" s="1"/>
  <c r="BD4" i="66"/>
  <c r="AL4" i="66"/>
  <c r="CA4" i="66"/>
  <c r="CS4" i="66"/>
  <c r="CX9" i="66"/>
  <c r="B21" i="66" s="1"/>
  <c r="BN9" i="66"/>
  <c r="B17" i="66" s="1"/>
  <c r="AD9" i="66"/>
  <c r="B13" i="66" s="1"/>
  <c r="CN4" i="66"/>
  <c r="AA6" i="66"/>
  <c r="DF4" i="66"/>
  <c r="B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AV4" i="66" l="1"/>
  <c r="L4" i="66"/>
  <c r="C22" i="66"/>
  <c r="DF2" i="66"/>
  <c r="D22" i="66" s="1"/>
  <c r="C15" i="66"/>
  <c r="AV2" i="66"/>
  <c r="C20" i="66"/>
  <c r="CN2" i="66"/>
  <c r="D20" i="66" s="1"/>
  <c r="C11" i="66"/>
  <c r="L2" i="66"/>
  <c r="C16" i="66"/>
  <c r="BD2" i="66"/>
  <c r="D16" i="66" s="1"/>
  <c r="CF4" i="66"/>
  <c r="CF2" i="66" s="1"/>
  <c r="C18" i="66"/>
  <c r="BV2" i="66"/>
  <c r="D18" i="66" s="1"/>
  <c r="A13" i="66"/>
  <c r="AD4" i="66"/>
  <c r="C12" i="66"/>
  <c r="T2" i="66"/>
  <c r="D12" i="66" s="1"/>
  <c r="C14" i="66"/>
  <c r="AL2" i="66"/>
  <c r="D14" i="66" s="1"/>
  <c r="BN4" i="66"/>
  <c r="CX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C17" i="66" l="1"/>
  <c r="C19" i="66"/>
  <c r="BN2" i="66"/>
  <c r="D11" i="66"/>
  <c r="I9" i="66"/>
  <c r="E11" i="66" s="1"/>
  <c r="D15" i="66"/>
  <c r="AS9" i="66"/>
  <c r="E15" i="66" s="1"/>
  <c r="C21" i="66"/>
  <c r="CX2" i="66"/>
  <c r="C13" i="66"/>
  <c r="AD2" i="66"/>
  <c r="D19" i="66"/>
  <c r="CC9" i="66"/>
  <c r="E19" i="66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3" i="66" l="1"/>
  <c r="AA9" i="66"/>
  <c r="E13" i="66" s="1"/>
  <c r="D21" i="66"/>
  <c r="CU9" i="66"/>
  <c r="E21" i="66" s="1"/>
  <c r="D17" i="66"/>
  <c r="BK9" i="66"/>
  <c r="E17" i="66" s="1"/>
  <c r="CI4" i="65"/>
  <c r="T4" i="65"/>
  <c r="O4" i="65"/>
  <c r="BA6" i="65"/>
  <c r="A16" i="65" s="1"/>
  <c r="BQ4" i="65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Y2" i="64" l="1"/>
  <c r="L9" i="64"/>
  <c r="B11" i="64" s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I6" i="64" l="1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C15" i="64"/>
  <c r="CN4" i="64"/>
  <c r="CN2" i="64" s="1"/>
  <c r="BN4" i="64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AS9" i="64" l="1"/>
  <c r="E15" i="64" s="1"/>
  <c r="AL4" i="64"/>
  <c r="AL2" i="64" s="1"/>
  <c r="D14" i="64" s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C14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G2" i="63"/>
  <c r="I2" i="63"/>
  <c r="C3" i="63"/>
  <c r="B3" i="63"/>
  <c r="L2" i="63"/>
  <c r="D2" i="63"/>
  <c r="G3" i="63"/>
  <c r="H2" i="63"/>
  <c r="L3" i="63"/>
  <c r="D3" i="63"/>
  <c r="C2" i="63"/>
  <c r="B2" i="63"/>
  <c r="I3" i="63"/>
  <c r="H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<sst xmlns="http://schemas.openxmlformats.org/spreadsheetml/2006/main" count="1246" uniqueCount="46">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</sst>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1.8441799999999999</v>
      </c>
      <c r="J3" s="2"/>
      <c r="K3" s="10">
        <f>INDEX(L11:L1056,MATCH(I3,K11:K1056,0))</f>
        <v>-0.1</v>
      </c>
      <c r="L3" s="31" t="s">
        <v>16</v>
      </c>
      <c r="M3" s="11">
        <f>M9</f>
        <v>-0.18449400000000002</v>
      </c>
      <c r="N3" s="9"/>
      <c r="O3" s="2" t="s">
        <v>44</v>
      </c>
      <c r="P3" s="2"/>
      <c r="Q3" s="2">
        <f>INDEX(S11:S1056,MATCH(0,T11:T1056,-1))</f>
        <v>-9.5336900000000002E-2</v>
      </c>
      <c r="R3" s="2"/>
      <c r="S3" s="10">
        <f>INDEX(T11:T1056,MATCH(Q3,S11:S1056,0))</f>
        <v>11.7126</v>
      </c>
      <c r="T3" s="31" t="s">
        <v>16</v>
      </c>
      <c r="U3" s="11">
        <f>U9</f>
        <v>-1.1116393522200001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11.7126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1.8441799999999999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-9.5336900000000002E-2</v>
      </c>
      <c r="T6" s="10">
        <f>INDEX(T11:T1056,MATCH(0,S11:S1056,1))</f>
        <v>11.7126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1.8441799999999999</v>
      </c>
      <c r="L7" s="10">
        <f>INDEX(L11:L856,1+MATCH(0,K11:K856,-1))</f>
        <v>0</v>
      </c>
      <c r="M7" s="12">
        <f>INDEX(K11:K1056,MATCH(M9,M11:M1056,0))</f>
        <v>1.8441799999999999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-9.5336900000000002E-2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-0.18449400000000002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-1.1116393522200001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1.84494</v>
      </c>
      <c r="H11" s="22">
        <v>292.07600000000002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331.25400000000002</v>
      </c>
      <c r="Q11" s="22">
        <v>-1.17126E-2</v>
      </c>
      <c r="R11" s="22">
        <v>1</v>
      </c>
      <c r="S11" s="22">
        <v>-9.5336900000000002E-2</v>
      </c>
      <c r="T11">
        <f>-Q11/$F$2*1000</f>
        <v>11.7126</v>
      </c>
      <c r="U11">
        <f>T11*O11</f>
        <v>-1.1116393522200001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5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88"/>
  <sheetViews>
    <sheetView topLeftCell="AP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420.49262295082008</v>
      </c>
      <c r="H2" s="2"/>
      <c r="I2" s="6" t="s">
        <v>12</v>
      </c>
      <c r="J2" s="2"/>
      <c r="K2" s="7" t="s">
        <v>13</v>
      </c>
      <c r="L2" s="3">
        <f>L4*I6*L9/100*100</f>
        <v>24.353863881000002</v>
      </c>
      <c r="M2" s="8" t="s">
        <v>14</v>
      </c>
      <c r="N2" s="9"/>
      <c r="O2" s="2">
        <f>ABS(S7-S6)/ABS(T7-T6)*1000</f>
        <v>1772.0633333311678</v>
      </c>
      <c r="P2" s="2"/>
      <c r="Q2" s="6" t="s">
        <v>15</v>
      </c>
      <c r="R2" s="2"/>
      <c r="S2" s="7" t="s">
        <v>13</v>
      </c>
      <c r="T2" s="3">
        <f>T4*Q6*T9/100*100</f>
        <v>24.517781844000005</v>
      </c>
      <c r="U2" s="8" t="s">
        <v>14</v>
      </c>
      <c r="X2" s="9"/>
      <c r="Y2" s="2">
        <f>ABS(AC7-AC6)/ABS(AD7-AD6)*1000</f>
        <v>2523.9524590149258</v>
      </c>
      <c r="Z2" s="2"/>
      <c r="AA2" s="6" t="s">
        <v>12</v>
      </c>
      <c r="AB2" s="2"/>
      <c r="AC2" s="7" t="s">
        <v>13</v>
      </c>
      <c r="AD2" s="3">
        <f>AD4*AA6*AD9/100*100</f>
        <v>24.140451384000002</v>
      </c>
      <c r="AE2" s="8" t="s">
        <v>14</v>
      </c>
      <c r="AF2" s="9"/>
      <c r="AG2" s="2">
        <f>ABS(AK7-AK6)/ABS(AL7-AL6)*1000</f>
        <v>1710.0003333332688</v>
      </c>
      <c r="AH2" s="2"/>
      <c r="AI2" s="6" t="s">
        <v>15</v>
      </c>
      <c r="AJ2" s="2"/>
      <c r="AK2" s="7" t="s">
        <v>13</v>
      </c>
      <c r="AL2" s="3">
        <f>AL4*AI6*AL9/100*100</f>
        <v>24.074636335000005</v>
      </c>
      <c r="AM2" s="8" t="s">
        <v>14</v>
      </c>
      <c r="AP2" s="9"/>
      <c r="AQ2" s="2">
        <f>ABS(AU7-AU6)/ABS(AV7-AV6)*1000</f>
        <v>3145.2806451614119</v>
      </c>
      <c r="AR2" s="2"/>
      <c r="AS2" s="6" t="s">
        <v>12</v>
      </c>
      <c r="AT2" s="2"/>
      <c r="AU2" s="7" t="s">
        <v>13</v>
      </c>
      <c r="AV2" s="3">
        <f>AV4*AS6*AV9/100*100</f>
        <v>23.741036982000001</v>
      </c>
      <c r="AW2" s="8" t="s">
        <v>14</v>
      </c>
      <c r="AX2" s="9"/>
      <c r="AY2" s="2">
        <f>ABS(BC7-BC6)/ABS(BD7-BD6)*1000</f>
        <v>428.49672131147582</v>
      </c>
      <c r="AZ2" s="2"/>
      <c r="BA2" s="6" t="s">
        <v>15</v>
      </c>
      <c r="BB2" s="2"/>
      <c r="BC2" s="7" t="s">
        <v>13</v>
      </c>
      <c r="BD2" s="3">
        <f>BD4*BA6*BD9/100*100</f>
        <v>23.691572585999996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1.72882</v>
      </c>
      <c r="J3" s="2"/>
      <c r="K3" s="10">
        <f>INDEX(L11:L1056,MATCH(I3,K11:K1056,0))</f>
        <v>-1.0849</v>
      </c>
      <c r="L3" s="27" t="s">
        <v>16</v>
      </c>
      <c r="M3" s="11">
        <f>M9</f>
        <v>24.353863881000002</v>
      </c>
      <c r="N3" s="9"/>
      <c r="O3" s="2" t="s">
        <v>44</v>
      </c>
      <c r="P3" s="2"/>
      <c r="Q3" s="2">
        <f>INDEX(S11:S1056,MATCH(0,T11:T1056,-1))</f>
        <v>1.71204</v>
      </c>
      <c r="R3" s="2"/>
      <c r="S3" s="10">
        <f>INDEX(T11:T1056,MATCH(Q3,S11:S1056,0))</f>
        <v>0.145172</v>
      </c>
      <c r="T3" s="29" t="s">
        <v>16</v>
      </c>
      <c r="U3" s="11">
        <f>U9</f>
        <v>24.517781844000005</v>
      </c>
      <c r="X3" s="9"/>
      <c r="Y3" s="2" t="s">
        <v>44</v>
      </c>
      <c r="Z3" s="2"/>
      <c r="AA3" s="2">
        <f>INDEX(AC11:AC856,MATCH(0,AD11:AD856,1))</f>
        <v>1.7034899999999999</v>
      </c>
      <c r="AB3" s="2"/>
      <c r="AC3" s="10">
        <f>INDEX(AD11:AD1056,MATCH(AA3,AC11:AC1056,0))</f>
        <v>-1.3604699999999998</v>
      </c>
      <c r="AD3" s="29" t="s">
        <v>16</v>
      </c>
      <c r="AE3" s="11">
        <f>AE9</f>
        <v>24.140451384000002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1.0635399999999999</v>
      </c>
      <c r="AL3" s="29" t="s">
        <v>16</v>
      </c>
      <c r="AM3" s="11">
        <f>AM9</f>
        <v>24.074636335000001</v>
      </c>
      <c r="AP3" s="9"/>
      <c r="AQ3" s="2" t="s">
        <v>44</v>
      </c>
      <c r="AR3" s="2"/>
      <c r="AS3" s="2">
        <f>INDEX(AU11:AU856,MATCH(0,AV11:AV856,1))</f>
        <v>1.71906</v>
      </c>
      <c r="AT3" s="2"/>
      <c r="AU3" s="10">
        <f>INDEX(AV11:AV1056,MATCH(AS3,AU11:AU1056,0))</f>
        <v>-1.79657</v>
      </c>
      <c r="AV3" s="29" t="s">
        <v>16</v>
      </c>
      <c r="AW3" s="11">
        <f>AW9</f>
        <v>23.741036982000001</v>
      </c>
      <c r="AX3" s="9"/>
      <c r="AY3" s="2" t="s">
        <v>44</v>
      </c>
      <c r="AZ3" s="2"/>
      <c r="BA3" s="2">
        <f>INDEX(BC11:BC1056,MATCH(0,BD11:BD1056,-1))</f>
        <v>1.6970799999999999</v>
      </c>
      <c r="BB3" s="2"/>
      <c r="BC3" s="10">
        <f>INDEX(BD11:BD1056,MATCH(BA3,BC11:BC1056,0))</f>
        <v>1.32141</v>
      </c>
      <c r="BD3" s="29" t="s">
        <v>16</v>
      </c>
      <c r="BE3" s="11">
        <f>BE9</f>
        <v>23.691572585999996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>
        <f>ABS(I3-I4)/ABS(K3-K4)*1000</f>
        <v>1.5088505835974322</v>
      </c>
      <c r="H4" s="2"/>
      <c r="I4" s="2">
        <f>INDEX(K11:K1000,1+MATCH(0,L11:L856,1))</f>
        <v>1.72394</v>
      </c>
      <c r="J4" s="2"/>
      <c r="K4" s="10">
        <f>INDEX(L11:L1056,MATCH(I4,K11:K1056,0))</f>
        <v>2.1493500000000001</v>
      </c>
      <c r="L4" s="26">
        <f>M3/(I6*L9)</f>
        <v>0.78315455487827423</v>
      </c>
      <c r="M4" s="8" t="s">
        <v>17</v>
      </c>
      <c r="N4" s="9"/>
      <c r="O4" s="2">
        <f>ABS(Q3-Q4)/ABS(S3-S4)*1000</f>
        <v>1.9576038928351556</v>
      </c>
      <c r="P4" s="2"/>
      <c r="Q4" s="2">
        <f>INDEX(S11:S856,1+MATCH(0,T11:T856,-1))</f>
        <v>1.71722</v>
      </c>
      <c r="R4" s="2"/>
      <c r="S4" s="10">
        <f>INDEX(T11:T856,MATCH(Q4,S11:S856,0))</f>
        <v>-2.5009199999999998</v>
      </c>
      <c r="T4" s="28">
        <f>U3/(Q6*T9)</f>
        <v>0.7962110335864605</v>
      </c>
      <c r="U4" s="8" t="s">
        <v>17</v>
      </c>
      <c r="X4" s="9"/>
      <c r="Y4" s="2">
        <f>ABS(AA3-AA4)/ABS(AC3-AC4)*1000</f>
        <v>1.895731134918355</v>
      </c>
      <c r="Z4" s="2"/>
      <c r="AA4" s="2">
        <f>INDEX(AC11:AC1000,1+MATCH(0,AD11:AD856,1))</f>
        <v>1.6982999999999999</v>
      </c>
      <c r="AB4" s="2"/>
      <c r="AC4" s="10">
        <f>INDEX(AD11:AD1056,MATCH(AA4,AC11:AC1056,0))</f>
        <v>1.3772599999999999</v>
      </c>
      <c r="AD4" s="28">
        <f>AE3/(AA6*AD9)</f>
        <v>0.78519061672719181</v>
      </c>
      <c r="AE4" s="8" t="s">
        <v>17</v>
      </c>
      <c r="AF4" s="9"/>
      <c r="AG4" s="2">
        <f>ABS(AI3-AI4)/ABS(AK3-AK4)*1000</f>
        <v>2.584709255518987</v>
      </c>
      <c r="AH4" s="2"/>
      <c r="AI4" s="2">
        <f>INDEX(AK11:AK856,1+MATCH(0,AL11:AL856,-1))</f>
        <v>1.71234</v>
      </c>
      <c r="AJ4" s="2"/>
      <c r="AK4" s="10">
        <f>INDEX(AL11:AL856,MATCH(AI4,AK11:AK856,0))</f>
        <v>-1.0604900000000002</v>
      </c>
      <c r="AL4" s="28">
        <f>AM3/(AI6*AL9)</f>
        <v>0.78541263652730875</v>
      </c>
      <c r="AM4" s="8" t="s">
        <v>17</v>
      </c>
      <c r="AP4" s="9"/>
      <c r="AQ4" s="2">
        <f>ABS(AS3-AS4)/ABS(AU3-AU4)*1000</f>
        <v>1.9748032869773076</v>
      </c>
      <c r="AR4" s="2"/>
      <c r="AS4" s="2">
        <f>INDEX(AU11:AU1000,1+MATCH(0,AV11:AV856,1))</f>
        <v>1.71417</v>
      </c>
      <c r="AT4" s="2"/>
      <c r="AU4" s="10">
        <f>INDEX(AV11:AV1056,MATCH(AS4,AU11:AU1056,0))</f>
        <v>0.67962600000000006</v>
      </c>
      <c r="AV4" s="28">
        <f>AW3/(AS6*AV9)</f>
        <v>0.76784963131333561</v>
      </c>
      <c r="AW4" s="8" t="s">
        <v>17</v>
      </c>
      <c r="AX4" s="9"/>
      <c r="AY4" s="2">
        <f>ABS(BA3-BA4)/ABS(BC3-BC4)*1000</f>
        <v>2.6531355051897312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-0.63476600000000005</v>
      </c>
      <c r="BD4" s="28">
        <f>BE3/(BA6*BD9)</f>
        <v>0.77669554225872328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15.6799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16.168200000000002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15.850800000000001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15.982099999999999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15.6403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15.780599999999998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>
        <f>(I3-I4)/(K3-K4)*(-K4)+I4</f>
        <v>1.7271830480018551</v>
      </c>
      <c r="J6" s="26"/>
      <c r="K6" s="13">
        <f>INDEX(K11:K1056,MATCH(L6,L11:L1056,0))</f>
        <v>2.2033700000000001E-3</v>
      </c>
      <c r="L6" s="10">
        <f>INDEX(L11:L1056,MATCH(0,K11:K1056,-1))</f>
        <v>17.999299999999998</v>
      </c>
      <c r="M6" s="8" t="s">
        <v>22</v>
      </c>
      <c r="N6" s="9"/>
      <c r="O6" s="2"/>
      <c r="P6" s="2"/>
      <c r="Q6" s="34">
        <f>(Q3-Q4)/(S3-S4)*(-S4)+Q4</f>
        <v>1.7123241892723307</v>
      </c>
      <c r="R6" s="34"/>
      <c r="S6" s="13">
        <f>INDEX(S11:S1056,MATCH(T6,T11:T1056,0))</f>
        <v>-9.3933100000000002E-3</v>
      </c>
      <c r="T6" s="10">
        <f>INDEX(T11:T1056,MATCH(0,S11:S1056,1))</f>
        <v>17.977900000000002</v>
      </c>
      <c r="U6" s="8" t="s">
        <v>22</v>
      </c>
      <c r="X6" s="9"/>
      <c r="Y6" s="2"/>
      <c r="Z6" s="2"/>
      <c r="AA6" s="28">
        <f>(AA3-AA4)/(AC3-AC4)*(-AC4)+AA4</f>
        <v>1.7009109146628776</v>
      </c>
      <c r="AB6" s="28"/>
      <c r="AC6" s="13">
        <f>INDEX(AC11:AC1056,MATCH(AD6,AD11:AD1056,0))</f>
        <v>7.40356E-3</v>
      </c>
      <c r="AD6" s="10">
        <f>INDEX(AD11:AD1056,MATCH(0,AC11:AC1056,-1))</f>
        <v>18.072499999999998</v>
      </c>
      <c r="AE6" s="8" t="s">
        <v>22</v>
      </c>
      <c r="AF6" s="9"/>
      <c r="AG6" s="2"/>
      <c r="AH6" s="2"/>
      <c r="AI6" s="34">
        <f>(AI3-AI4)/(AK3-AK4)*(-AK4)+AI4</f>
        <v>1.7095989416816146</v>
      </c>
      <c r="AJ6" s="34"/>
      <c r="AK6" s="13">
        <f>INDEX(AK11:AK1056,MATCH(AL6,AL11:AL1056,0))</f>
        <v>-4.4860799999999999E-3</v>
      </c>
      <c r="AL6" s="10">
        <f>INDEX(AL11:AL1056,MATCH(0,AK11:AK1056,1))</f>
        <v>17.932099999999998</v>
      </c>
      <c r="AM6" s="8" t="s">
        <v>22</v>
      </c>
      <c r="AP6" s="9"/>
      <c r="AQ6" s="2"/>
      <c r="AR6" s="2"/>
      <c r="AS6" s="28">
        <f>(AS3-AS4)/(AU3-AU4)*(-AU4)+AS4</f>
        <v>1.7155121276587153</v>
      </c>
      <c r="AT6" s="28"/>
      <c r="AU6" s="13">
        <f>INDEX(AU11:AU1056,MATCH(AV6,AV11:AV1056,0))</f>
        <v>1.85852E-3</v>
      </c>
      <c r="AV6" s="10">
        <f>INDEX(AV11:AV1056,MATCH(0,AU11:AU1056,-1))</f>
        <v>18.023700000000002</v>
      </c>
      <c r="AW6" s="8" t="s">
        <v>22</v>
      </c>
      <c r="AX6" s="9"/>
      <c r="AY6" s="2"/>
      <c r="AZ6" s="2"/>
      <c r="BA6" s="34">
        <f>(BA3-BA4)/(BC3-BC4)*(-BC4)+BA4</f>
        <v>1.7005858797879128</v>
      </c>
      <c r="BB6" s="34"/>
      <c r="BC6" s="13">
        <f>INDEX(BC11:BC1056,MATCH(BD6,BD11:BD1056,0))</f>
        <v>-4.5501700000000001E-3</v>
      </c>
      <c r="BD6" s="10">
        <f>INDEX(BD11:BD1056,MATCH(0,BC11:BC1056,1))</f>
        <v>17.947399999999998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-2.9266399999999999E-3</v>
      </c>
      <c r="L7" s="10">
        <f>INDEX(L11:L856,1+MATCH(0,K11:K856,-1))</f>
        <v>18.011499999999998</v>
      </c>
      <c r="M7" s="12">
        <f>INDEX(K11:K1056,MATCH(M9,M11:M1056,0))</f>
        <v>1.5527299999999999</v>
      </c>
      <c r="N7" s="9"/>
      <c r="O7" s="2"/>
      <c r="P7" s="2"/>
      <c r="Q7" s="2"/>
      <c r="R7" s="2"/>
      <c r="S7" s="13">
        <f>INDEX(S11:S1056,MATCH(T7,T11:T1056,0))</f>
        <v>-1.47095E-2</v>
      </c>
      <c r="T7" s="10">
        <f>INDEX(T11:T1056,1+MATCH(0,S11:S1056,1))</f>
        <v>17.974899999999998</v>
      </c>
      <c r="U7" s="12">
        <f>INDEX(S11:S1056,MATCH(U9,U11:U1056,0))</f>
        <v>1.5164200000000001</v>
      </c>
      <c r="X7" s="9"/>
      <c r="Y7" s="2"/>
      <c r="Z7" s="2"/>
      <c r="AA7" s="2"/>
      <c r="AB7" s="2"/>
      <c r="AC7" s="13">
        <f>INDEX(AC11:AC856,MATCH(AD7,AD11:AD856,1))</f>
        <v>-7.9925499999999993E-3</v>
      </c>
      <c r="AD7" s="10">
        <f>INDEX(AD11:AD856,1+MATCH(0,AC11:AC856,-1))</f>
        <v>18.078600000000002</v>
      </c>
      <c r="AE7" s="12">
        <f>INDEX(AC11:AC1056,MATCH(AE9,AE11:AE1056,0))</f>
        <v>1.5219100000000001</v>
      </c>
      <c r="AF7" s="9"/>
      <c r="AG7" s="2"/>
      <c r="AH7" s="2"/>
      <c r="AI7" s="2"/>
      <c r="AJ7" s="2"/>
      <c r="AK7" s="13">
        <f>INDEX(AK11:AK1056,MATCH(AL7,AL11:AL1056,0))</f>
        <v>6.4392099999999999E-4</v>
      </c>
      <c r="AL7" s="10">
        <f>INDEX(AL11:AL1056,1+MATCH(0,AK11:AK1056,1))</f>
        <v>17.929099999999998</v>
      </c>
      <c r="AM7" s="12">
        <f>INDEX(AK11:AK1056,MATCH(AM9,AM11:AM1056,0))</f>
        <v>1.5051300000000001</v>
      </c>
      <c r="AP7" s="9"/>
      <c r="AQ7" s="2"/>
      <c r="AR7" s="2"/>
      <c r="AS7" s="2"/>
      <c r="AT7" s="2"/>
      <c r="AU7" s="13">
        <f>INDEX(AU11:AU856,MATCH(AV7,AV11:AV856,1))</f>
        <v>-7.8918500000000006E-3</v>
      </c>
      <c r="AV7" s="10">
        <f>INDEX(AV11:AV856,1+MATCH(0,AU11:AU856,-1))</f>
        <v>18.020600000000002</v>
      </c>
      <c r="AW7" s="12">
        <f>INDEX(AU11:AU1056,MATCH(AW9,AW11:AW1056,0))</f>
        <v>1.5173300000000001</v>
      </c>
      <c r="AX7" s="9"/>
      <c r="AY7" s="2"/>
      <c r="AZ7" s="2"/>
      <c r="BA7" s="2"/>
      <c r="BB7" s="2"/>
      <c r="BC7" s="13">
        <f>INDEX(BC11:BC1056,MATCH(BD7,BD11:BD1056,0))</f>
        <v>6.7748999999999999E-4</v>
      </c>
      <c r="BD7" s="10">
        <f>INDEX(BD11:BD1056,1+MATCH(0,BC11:BC1056,1))</f>
        <v>17.935199999999998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0.6685676707744953</v>
      </c>
      <c r="J9" s="2"/>
      <c r="K9" s="2"/>
      <c r="L9" s="3">
        <f>(L6-L7)/(K6-K7)*(-K7)+L7</f>
        <v>18.004539973021494</v>
      </c>
      <c r="M9" s="16">
        <f>MAX(M11:M1056)</f>
        <v>24.353863881000002</v>
      </c>
      <c r="N9" s="9"/>
      <c r="O9" s="2"/>
      <c r="P9" s="2"/>
      <c r="Q9" s="2"/>
      <c r="R9" s="2"/>
      <c r="S9" s="2"/>
      <c r="T9" s="3">
        <f>(T6-T7)/(S6-S7)*(-S7)+T7</f>
        <v>17.983200775555435</v>
      </c>
      <c r="U9" s="16">
        <f>MAX(U11:U1056)</f>
        <v>24.517781844000005</v>
      </c>
      <c r="X9" s="9"/>
      <c r="Y9" s="2"/>
      <c r="Z9" s="2"/>
      <c r="AA9" s="15">
        <f>(MAX(AD2,AL2)-MIN(AD2,AL2))/MAX(AD2,AL2)%</f>
        <v>0.27263387893243363</v>
      </c>
      <c r="AB9" s="2"/>
      <c r="AC9" s="2"/>
      <c r="AD9" s="3">
        <f>(AD6-AD7)/(AC6-AC7)*(-AC7)+AD7</f>
        <v>18.075433319910029</v>
      </c>
      <c r="AE9" s="16">
        <f>MAX(AE11:AE1056)</f>
        <v>24.140451384000002</v>
      </c>
      <c r="AF9" s="9"/>
      <c r="AG9" s="2"/>
      <c r="AH9" s="2"/>
      <c r="AI9" s="2"/>
      <c r="AJ9" s="2"/>
      <c r="AK9" s="2"/>
      <c r="AL9" s="3">
        <f>(AL6-AL7)/(AK6-AK7)*(-AK7)+AL7</f>
        <v>17.9294765619149</v>
      </c>
      <c r="AM9" s="16">
        <f>MAX(AM11:AM1056)</f>
        <v>24.074636335000001</v>
      </c>
      <c r="AP9" s="9"/>
      <c r="AQ9" s="2"/>
      <c r="AR9" s="2"/>
      <c r="AS9" s="15">
        <f>(MAX(AV2,BD2)-MIN(AV2,BD2))/MAX(AV2,BD2)%</f>
        <v>0.20834977022068454</v>
      </c>
      <c r="AT9" s="2"/>
      <c r="AU9" s="2"/>
      <c r="AV9" s="3">
        <f>(AV6-AV7)/(AU6-AU7)*(-AU7)+AV7</f>
        <v>18.023109108372299</v>
      </c>
      <c r="AW9" s="16">
        <f>MAX(AW11:AW1056)</f>
        <v>23.741036982000001</v>
      </c>
      <c r="AX9" s="9"/>
      <c r="AY9" s="2"/>
      <c r="AZ9" s="2"/>
      <c r="BA9" s="2"/>
      <c r="BB9" s="2"/>
      <c r="BC9" s="2"/>
      <c r="BD9" s="3">
        <f>(BD6-BD7)/(BC6-BC7)*(-BC7)+BD7</f>
        <v>17.936781085610004</v>
      </c>
      <c r="BE9" s="16">
        <f>MAX(BE11:BE1056)</f>
        <v>23.691572585999996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1.7271830480018551</v>
      </c>
      <c r="B11" s="19">
        <f>IFERROR(L9,0)</f>
        <v>18.004539973021494</v>
      </c>
      <c r="C11" s="20">
        <f>IFERROR(L4,0)</f>
        <v>0.78315455487827423</v>
      </c>
      <c r="D11" s="21">
        <f>IFERROR(L2,0)</f>
        <v>24.353863881000002</v>
      </c>
      <c r="E11" s="21">
        <f>IFERROR(I9,0)</f>
        <v>0.6685676707744953</v>
      </c>
      <c r="F11" s="9"/>
      <c r="G11" s="22">
        <v>1.7948900000000001</v>
      </c>
      <c r="H11" s="22">
        <v>73.766900000000007</v>
      </c>
      <c r="I11" s="22">
        <v>6.3040200000000005E-2</v>
      </c>
      <c r="J11" s="22">
        <v>1</v>
      </c>
      <c r="K11" s="22">
        <v>1.79382</v>
      </c>
      <c r="L11">
        <f>-I11/$F$2*1000</f>
        <v>-63.040200000000006</v>
      </c>
      <c r="M11">
        <f>L11*G11</f>
        <v>-113.15022457800002</v>
      </c>
      <c r="N11" s="9"/>
      <c r="O11" s="22">
        <v>-9.49097E-2</v>
      </c>
      <c r="P11" s="22">
        <v>139.727</v>
      </c>
      <c r="Q11" s="22">
        <v>-1.7999299999999999E-2</v>
      </c>
      <c r="R11" s="22">
        <v>1</v>
      </c>
      <c r="S11" s="22">
        <v>-9.5550499999999997E-2</v>
      </c>
      <c r="T11">
        <f>-Q11/$F$2*1000</f>
        <v>17.999299999999998</v>
      </c>
      <c r="U11">
        <f>T11*O11</f>
        <v>-1.7083081632099999</v>
      </c>
      <c r="V11" s="23"/>
      <c r="W11" s="24"/>
      <c r="X11" s="9"/>
      <c r="Y11" s="22">
        <v>1.7948900000000001</v>
      </c>
      <c r="Z11" s="22">
        <v>225.28</v>
      </c>
      <c r="AA11" s="22">
        <v>5.5383300000000003E-2</v>
      </c>
      <c r="AB11" s="22">
        <v>1</v>
      </c>
      <c r="AC11" s="22">
        <v>1.79443</v>
      </c>
      <c r="AD11">
        <f>-AA11/$F$2*1000</f>
        <v>-55.383300000000006</v>
      </c>
      <c r="AE11">
        <f>AD11*Y11</f>
        <v>-99.406931337000017</v>
      </c>
      <c r="AF11" s="9"/>
      <c r="AG11" s="22">
        <v>-9.49097E-2</v>
      </c>
      <c r="AH11" s="22">
        <v>379.71699999999998</v>
      </c>
      <c r="AI11" s="22">
        <v>-1.79718E-2</v>
      </c>
      <c r="AJ11" s="22">
        <v>1</v>
      </c>
      <c r="AK11" s="22">
        <v>-9.5489500000000005E-2</v>
      </c>
      <c r="AL11">
        <f>-AI11/$F$2*1000</f>
        <v>17.971799999999998</v>
      </c>
      <c r="AM11">
        <f>AL11*AG11</f>
        <v>-1.7056981464599998</v>
      </c>
      <c r="AP11" s="9"/>
      <c r="AQ11" s="22">
        <v>1.7948900000000001</v>
      </c>
      <c r="AR11" s="22">
        <v>480.82799999999997</v>
      </c>
      <c r="AS11" s="22">
        <v>4.5031700000000001E-2</v>
      </c>
      <c r="AT11" s="22">
        <v>1</v>
      </c>
      <c r="AU11" s="22">
        <v>1.79413</v>
      </c>
      <c r="AV11">
        <f>-AS11/$F$2*1000</f>
        <v>-45.031700000000001</v>
      </c>
      <c r="AW11">
        <f>AV11*AQ11</f>
        <v>-80.826948013000006</v>
      </c>
      <c r="AX11" s="9"/>
      <c r="AY11" s="22">
        <v>-9.49097E-2</v>
      </c>
      <c r="AZ11" s="22">
        <v>553.08199999999999</v>
      </c>
      <c r="BA11" s="22">
        <v>-1.7984E-2</v>
      </c>
      <c r="BB11" s="22">
        <v>1</v>
      </c>
      <c r="BC11" s="22">
        <v>-9.5397899999999994E-2</v>
      </c>
      <c r="BD11">
        <f>-BA11/$F$2*1000</f>
        <v>17.984000000000002</v>
      </c>
      <c r="BE11">
        <f>BD11*AY11</f>
        <v>-1.7068560448000001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1.7123241892723307</v>
      </c>
      <c r="B12" s="19">
        <f>IFERROR(T9,0)</f>
        <v>17.983200775555435</v>
      </c>
      <c r="C12" s="20">
        <f>IFERROR(T4,0)</f>
        <v>0.7962110335864605</v>
      </c>
      <c r="D12" s="21">
        <f>IFERROR(T2,0)</f>
        <v>24.517781844000005</v>
      </c>
      <c r="E12" s="21"/>
      <c r="F12" s="9"/>
      <c r="G12" s="22">
        <v>1.78986</v>
      </c>
      <c r="H12" s="22">
        <v>73.867599999999996</v>
      </c>
      <c r="I12" s="22">
        <v>5.8190899999999997E-2</v>
      </c>
      <c r="J12" s="22">
        <v>2</v>
      </c>
      <c r="K12" s="22">
        <v>1.78955</v>
      </c>
      <c r="L12">
        <f t="shared" ref="L12:L75" si="0">-I12/$F$2*1000</f>
        <v>-58.190899999999999</v>
      </c>
      <c r="M12">
        <f t="shared" ref="M12:M75" si="1">L12*G12</f>
        <v>-104.153564274</v>
      </c>
      <c r="N12" s="9"/>
      <c r="O12" s="22">
        <v>-8.9874300000000004E-2</v>
      </c>
      <c r="P12" s="22">
        <v>139.828</v>
      </c>
      <c r="Q12" s="22">
        <v>-1.8002299999999999E-2</v>
      </c>
      <c r="R12" s="22">
        <v>2</v>
      </c>
      <c r="S12" s="22">
        <v>-9.0545700000000007E-2</v>
      </c>
      <c r="T12">
        <f t="shared" ref="T12:T75" si="2">-Q12/$F$2*1000</f>
        <v>18.002299999999998</v>
      </c>
      <c r="U12">
        <f t="shared" ref="U12:U75" si="3">T12*O12</f>
        <v>-1.6179441108899999</v>
      </c>
      <c r="V12" s="23"/>
      <c r="W12" s="24"/>
      <c r="X12" s="9"/>
      <c r="Y12" s="22">
        <v>1.78986</v>
      </c>
      <c r="Z12" s="22">
        <v>225.381</v>
      </c>
      <c r="AA12" s="22">
        <v>5.26825E-2</v>
      </c>
      <c r="AB12" s="22">
        <v>2</v>
      </c>
      <c r="AC12" s="22">
        <v>1.78955</v>
      </c>
      <c r="AD12">
        <f t="shared" ref="AD12:AD75" si="4">-AA12/$F$2*1000</f>
        <v>-52.682499999999997</v>
      </c>
      <c r="AE12">
        <f t="shared" ref="AE12:AE75" si="5">AD12*Y12</f>
        <v>-94.294299449999997</v>
      </c>
      <c r="AF12" s="9"/>
      <c r="AG12" s="22">
        <v>-8.9874300000000004E-2</v>
      </c>
      <c r="AH12" s="22">
        <v>379.81799999999998</v>
      </c>
      <c r="AI12" s="22">
        <v>-1.7974899999999999E-2</v>
      </c>
      <c r="AJ12" s="22">
        <v>2</v>
      </c>
      <c r="AK12" s="22">
        <v>-9.0240500000000001E-2</v>
      </c>
      <c r="AL12">
        <f t="shared" ref="AL12:AL75" si="6">-AI12/$F$2*1000</f>
        <v>17.974899999999998</v>
      </c>
      <c r="AM12">
        <f t="shared" ref="AM12:AM75" si="7">AL12*AG12</f>
        <v>-1.6154815550699999</v>
      </c>
      <c r="AP12" s="9"/>
      <c r="AQ12" s="22">
        <v>1.78986</v>
      </c>
      <c r="AR12" s="22">
        <v>480.928</v>
      </c>
      <c r="AS12" s="22">
        <v>4.1952499999999997E-2</v>
      </c>
      <c r="AT12" s="22">
        <v>2</v>
      </c>
      <c r="AU12" s="22">
        <v>1.78925</v>
      </c>
      <c r="AV12">
        <f t="shared" ref="AV12:AV75" si="8">-AS12/$F$2*1000</f>
        <v>-41.952499999999993</v>
      </c>
      <c r="AW12">
        <f t="shared" ref="AW12:AW75" si="9">AV12*AQ12</f>
        <v>-75.089101649999989</v>
      </c>
      <c r="AX12" s="9"/>
      <c r="AY12" s="22">
        <v>-8.9874300000000004E-2</v>
      </c>
      <c r="AZ12" s="22">
        <v>553.18299999999999</v>
      </c>
      <c r="BA12" s="22">
        <v>-1.7984E-2</v>
      </c>
      <c r="BB12" s="22">
        <v>2</v>
      </c>
      <c r="BC12" s="22">
        <v>-9.0301500000000007E-2</v>
      </c>
      <c r="BD12">
        <f t="shared" ref="BD12:BD75" si="10">-BA12/$F$2*1000</f>
        <v>17.984000000000002</v>
      </c>
      <c r="BE12">
        <f t="shared" ref="BE12:BE75" si="11">BD12*AY12</f>
        <v>-1.6162994112000002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1.7009109146628776</v>
      </c>
      <c r="B13" s="19">
        <f>IFERROR(AD9,0)</f>
        <v>18.075433319910029</v>
      </c>
      <c r="C13" s="20">
        <f>IFERROR(AD4,0)</f>
        <v>0.78519061672719181</v>
      </c>
      <c r="D13" s="21">
        <f>IFERROR(AD2,0)</f>
        <v>24.140451384000002</v>
      </c>
      <c r="E13" s="21">
        <f>IFERROR(AA9,0)</f>
        <v>0.27263387893243363</v>
      </c>
      <c r="F13" s="9"/>
      <c r="G13" s="22">
        <v>1.7848200000000001</v>
      </c>
      <c r="H13" s="22">
        <v>73.968299999999999</v>
      </c>
      <c r="I13" s="22">
        <v>5.3497299999999998E-2</v>
      </c>
      <c r="J13" s="22">
        <v>3</v>
      </c>
      <c r="K13" s="22">
        <v>1.78406</v>
      </c>
      <c r="L13">
        <f t="shared" si="0"/>
        <v>-53.497299999999996</v>
      </c>
      <c r="M13">
        <f t="shared" si="1"/>
        <v>-95.483050985999995</v>
      </c>
      <c r="N13" s="9"/>
      <c r="O13" s="22">
        <v>-8.4838899999999995E-2</v>
      </c>
      <c r="P13" s="22">
        <v>139.928</v>
      </c>
      <c r="Q13" s="22">
        <v>-1.79962E-2</v>
      </c>
      <c r="R13" s="22">
        <v>3</v>
      </c>
      <c r="S13" s="22">
        <v>-8.4960900000000006E-2</v>
      </c>
      <c r="T13">
        <f t="shared" si="2"/>
        <v>17.996200000000002</v>
      </c>
      <c r="U13">
        <f t="shared" si="3"/>
        <v>-1.52677781218</v>
      </c>
      <c r="V13" s="23"/>
      <c r="W13" s="24"/>
      <c r="X13" s="9"/>
      <c r="Y13" s="22">
        <v>1.7848200000000001</v>
      </c>
      <c r="Z13" s="22">
        <v>225.482</v>
      </c>
      <c r="AA13" s="22">
        <v>4.8940999999999998E-2</v>
      </c>
      <c r="AB13" s="22">
        <v>3</v>
      </c>
      <c r="AC13" s="22">
        <v>1.7843599999999999</v>
      </c>
      <c r="AD13">
        <f t="shared" si="4"/>
        <v>-48.940999999999995</v>
      </c>
      <c r="AE13">
        <f t="shared" si="5"/>
        <v>-87.350875619999997</v>
      </c>
      <c r="AF13" s="9"/>
      <c r="AG13" s="22">
        <v>-8.4838899999999995E-2</v>
      </c>
      <c r="AH13" s="22">
        <v>379.91800000000001</v>
      </c>
      <c r="AI13" s="22">
        <v>-1.7974899999999999E-2</v>
      </c>
      <c r="AJ13" s="22">
        <v>3</v>
      </c>
      <c r="AK13" s="22">
        <v>-8.5479700000000006E-2</v>
      </c>
      <c r="AL13">
        <f t="shared" si="6"/>
        <v>17.974899999999998</v>
      </c>
      <c r="AM13">
        <f t="shared" si="7"/>
        <v>-1.5249707436099997</v>
      </c>
      <c r="AP13" s="9"/>
      <c r="AQ13" s="22">
        <v>1.7848200000000001</v>
      </c>
      <c r="AR13" s="22">
        <v>481.029</v>
      </c>
      <c r="AS13" s="22">
        <v>3.9233400000000002E-2</v>
      </c>
      <c r="AT13" s="22">
        <v>3</v>
      </c>
      <c r="AU13" s="22">
        <v>1.7843599999999999</v>
      </c>
      <c r="AV13">
        <f t="shared" si="8"/>
        <v>-39.233400000000003</v>
      </c>
      <c r="AW13">
        <f t="shared" si="9"/>
        <v>-70.024556988000015</v>
      </c>
      <c r="AX13" s="9"/>
      <c r="AY13" s="22">
        <v>-8.4838899999999995E-2</v>
      </c>
      <c r="AZ13" s="22">
        <v>553.28300000000002</v>
      </c>
      <c r="BA13" s="22">
        <v>-1.7974899999999999E-2</v>
      </c>
      <c r="BB13" s="22">
        <v>3</v>
      </c>
      <c r="BC13" s="22">
        <v>-8.54187E-2</v>
      </c>
      <c r="BD13">
        <f t="shared" si="10"/>
        <v>17.974899999999998</v>
      </c>
      <c r="BE13">
        <f t="shared" si="11"/>
        <v>-1.5249707436099997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1.7095989416816146</v>
      </c>
      <c r="B14" s="19">
        <f>IFERROR(AL9,0)</f>
        <v>17.9294765619149</v>
      </c>
      <c r="C14" s="20">
        <f>IFERROR(AL4,0)</f>
        <v>0.78541263652730875</v>
      </c>
      <c r="D14" s="21">
        <f>IFERROR(AL2,0)</f>
        <v>24.074636335000005</v>
      </c>
      <c r="E14" s="21"/>
      <c r="F14" s="9"/>
      <c r="G14" s="22">
        <v>1.77979</v>
      </c>
      <c r="H14" s="22">
        <v>74.069100000000006</v>
      </c>
      <c r="I14" s="22">
        <v>5.0143399999999998E-2</v>
      </c>
      <c r="J14" s="22">
        <v>4</v>
      </c>
      <c r="K14" s="22">
        <v>1.77948</v>
      </c>
      <c r="L14">
        <f t="shared" si="0"/>
        <v>-50.1434</v>
      </c>
      <c r="M14">
        <f t="shared" si="1"/>
        <v>-89.244721885999994</v>
      </c>
      <c r="N14" s="9"/>
      <c r="O14" s="22">
        <v>-7.9803499999999999E-2</v>
      </c>
      <c r="P14" s="22">
        <v>140.029</v>
      </c>
      <c r="Q14" s="22">
        <v>-1.8005400000000001E-2</v>
      </c>
      <c r="R14" s="22">
        <v>4</v>
      </c>
      <c r="S14" s="22">
        <v>-8.0200199999999999E-2</v>
      </c>
      <c r="T14">
        <f t="shared" si="2"/>
        <v>18.005400000000002</v>
      </c>
      <c r="U14">
        <f t="shared" si="3"/>
        <v>-1.4368939389000002</v>
      </c>
      <c r="V14" s="23"/>
      <c r="W14" s="24"/>
      <c r="X14" s="9"/>
      <c r="Y14" s="22">
        <v>1.77979</v>
      </c>
      <c r="Z14" s="22">
        <v>225.583</v>
      </c>
      <c r="AA14" s="22">
        <v>4.5297200000000003E-2</v>
      </c>
      <c r="AB14" s="22">
        <v>4</v>
      </c>
      <c r="AC14" s="22">
        <v>1.7791699999999999</v>
      </c>
      <c r="AD14">
        <f t="shared" si="4"/>
        <v>-45.297200000000004</v>
      </c>
      <c r="AE14">
        <f t="shared" si="5"/>
        <v>-80.619503588000001</v>
      </c>
      <c r="AF14" s="9"/>
      <c r="AG14" s="22">
        <v>-7.9803499999999999E-2</v>
      </c>
      <c r="AH14" s="22">
        <v>380.01900000000001</v>
      </c>
      <c r="AI14" s="22">
        <v>-1.7977900000000002E-2</v>
      </c>
      <c r="AJ14" s="22">
        <v>4</v>
      </c>
      <c r="AK14" s="22">
        <v>-8.0291699999999994E-2</v>
      </c>
      <c r="AL14">
        <f t="shared" si="6"/>
        <v>17.977900000000002</v>
      </c>
      <c r="AM14">
        <f t="shared" si="7"/>
        <v>-1.4346993426500001</v>
      </c>
      <c r="AP14" s="9"/>
      <c r="AQ14" s="22">
        <v>1.77979</v>
      </c>
      <c r="AR14" s="22">
        <v>481.13</v>
      </c>
      <c r="AS14" s="22">
        <v>3.64166E-2</v>
      </c>
      <c r="AT14" s="22">
        <v>4</v>
      </c>
      <c r="AU14" s="22">
        <v>1.7791699999999999</v>
      </c>
      <c r="AV14">
        <f t="shared" si="8"/>
        <v>-36.416600000000003</v>
      </c>
      <c r="AW14">
        <f t="shared" si="9"/>
        <v>-64.813900514000011</v>
      </c>
      <c r="AX14" s="9"/>
      <c r="AY14" s="22">
        <v>-7.9803499999999999E-2</v>
      </c>
      <c r="AZ14" s="22">
        <v>553.38400000000001</v>
      </c>
      <c r="BA14" s="22">
        <v>-1.7974899999999999E-2</v>
      </c>
      <c r="BB14" s="22">
        <v>4</v>
      </c>
      <c r="BC14" s="22">
        <v>-8.0566399999999996E-2</v>
      </c>
      <c r="BD14">
        <f t="shared" si="10"/>
        <v>17.974899999999998</v>
      </c>
      <c r="BE14">
        <f t="shared" si="11"/>
        <v>-1.4344599321499998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1.7155121276587153</v>
      </c>
      <c r="B15" s="19">
        <f>IFERROR(AV9,0)</f>
        <v>18.023109108372299</v>
      </c>
      <c r="C15" s="20">
        <f>IFERROR(AV4,0)</f>
        <v>0.76784963131333561</v>
      </c>
      <c r="D15" s="21">
        <f>IFERROR(AV2,0)</f>
        <v>23.741036982000001</v>
      </c>
      <c r="E15" s="21">
        <f>IFERROR(AS9,0)</f>
        <v>0.20834977022068454</v>
      </c>
      <c r="F15" s="9"/>
      <c r="G15" s="22">
        <v>1.77475</v>
      </c>
      <c r="H15" s="22">
        <v>74.169799999999995</v>
      </c>
      <c r="I15" s="22">
        <v>4.6200600000000001E-2</v>
      </c>
      <c r="J15" s="22">
        <v>5</v>
      </c>
      <c r="K15" s="22">
        <v>1.77399</v>
      </c>
      <c r="L15">
        <f t="shared" si="0"/>
        <v>-46.200600000000001</v>
      </c>
      <c r="M15">
        <f t="shared" si="1"/>
        <v>-81.994514850000002</v>
      </c>
      <c r="N15" s="9"/>
      <c r="O15" s="22">
        <v>-7.4768100000000004E-2</v>
      </c>
      <c r="P15" s="22">
        <v>140.13</v>
      </c>
      <c r="Q15" s="22">
        <v>-1.7999299999999999E-2</v>
      </c>
      <c r="R15" s="22">
        <v>5</v>
      </c>
      <c r="S15" s="22">
        <v>-7.5073200000000007E-2</v>
      </c>
      <c r="T15">
        <f t="shared" si="2"/>
        <v>17.999299999999998</v>
      </c>
      <c r="U15">
        <f t="shared" si="3"/>
        <v>-1.3457734623299999</v>
      </c>
      <c r="V15" s="23"/>
      <c r="W15" s="24"/>
      <c r="X15" s="9"/>
      <c r="Y15" s="22">
        <v>1.77475</v>
      </c>
      <c r="Z15" s="22">
        <v>225.68299999999999</v>
      </c>
      <c r="AA15" s="22">
        <v>4.2569000000000003E-2</v>
      </c>
      <c r="AB15" s="22">
        <v>5</v>
      </c>
      <c r="AC15" s="22">
        <v>1.77399</v>
      </c>
      <c r="AD15">
        <f t="shared" si="4"/>
        <v>-42.569000000000003</v>
      </c>
      <c r="AE15">
        <f t="shared" si="5"/>
        <v>-75.549332750000005</v>
      </c>
      <c r="AF15" s="9"/>
      <c r="AG15" s="22">
        <v>-7.4768100000000004E-2</v>
      </c>
      <c r="AH15" s="22">
        <v>380.12</v>
      </c>
      <c r="AI15" s="22">
        <v>-1.7974899999999999E-2</v>
      </c>
      <c r="AJ15" s="22">
        <v>5</v>
      </c>
      <c r="AK15" s="22">
        <v>-7.5134300000000001E-2</v>
      </c>
      <c r="AL15">
        <f t="shared" si="6"/>
        <v>17.974899999999998</v>
      </c>
      <c r="AM15">
        <f t="shared" si="7"/>
        <v>-1.3439491206899998</v>
      </c>
      <c r="AP15" s="9"/>
      <c r="AQ15" s="22">
        <v>1.77475</v>
      </c>
      <c r="AR15" s="22">
        <v>481.23099999999999</v>
      </c>
      <c r="AS15" s="22">
        <v>3.3569300000000003E-2</v>
      </c>
      <c r="AT15" s="22">
        <v>5</v>
      </c>
      <c r="AU15" s="22">
        <v>1.7742899999999999</v>
      </c>
      <c r="AV15">
        <f t="shared" si="8"/>
        <v>-33.569300000000005</v>
      </c>
      <c r="AW15">
        <f t="shared" si="9"/>
        <v>-59.57711517500001</v>
      </c>
      <c r="AX15" s="9"/>
      <c r="AY15" s="22">
        <v>-7.4768100000000004E-2</v>
      </c>
      <c r="AZ15" s="22">
        <v>553.48500000000001</v>
      </c>
      <c r="BA15" s="22">
        <v>-1.7977900000000002E-2</v>
      </c>
      <c r="BB15" s="22">
        <v>5</v>
      </c>
      <c r="BC15" s="22">
        <v>-7.5195300000000007E-2</v>
      </c>
      <c r="BD15">
        <f t="shared" si="10"/>
        <v>17.977900000000002</v>
      </c>
      <c r="BE15">
        <f t="shared" si="11"/>
        <v>-1.3441734249900001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1.7005858797879128</v>
      </c>
      <c r="B16" s="19">
        <f>IFERROR(BD9,0)</f>
        <v>17.936781085610004</v>
      </c>
      <c r="C16" s="20">
        <f>IFERROR(BD4,0)</f>
        <v>0.77669554225872328</v>
      </c>
      <c r="D16" s="21">
        <f>IFERROR(BD2,0)</f>
        <v>23.691572585999996</v>
      </c>
      <c r="E16" s="21"/>
      <c r="F16" s="9"/>
      <c r="G16" s="22">
        <v>1.7697099999999999</v>
      </c>
      <c r="H16" s="22">
        <v>74.270499999999998</v>
      </c>
      <c r="I16" s="22">
        <v>4.12323E-2</v>
      </c>
      <c r="J16" s="22">
        <v>6</v>
      </c>
      <c r="K16" s="22">
        <v>1.7694099999999999</v>
      </c>
      <c r="L16">
        <f t="shared" si="0"/>
        <v>-41.232300000000002</v>
      </c>
      <c r="M16">
        <f t="shared" si="1"/>
        <v>-72.969213632999995</v>
      </c>
      <c r="N16" s="9"/>
      <c r="O16" s="22">
        <v>-6.9732699999999995E-2</v>
      </c>
      <c r="P16" s="22">
        <v>140.23099999999999</v>
      </c>
      <c r="Q16" s="22">
        <v>-1.8002299999999999E-2</v>
      </c>
      <c r="R16" s="22">
        <v>6</v>
      </c>
      <c r="S16" s="22">
        <v>-7.03125E-2</v>
      </c>
      <c r="T16">
        <f t="shared" si="2"/>
        <v>18.002299999999998</v>
      </c>
      <c r="U16">
        <f t="shared" si="3"/>
        <v>-1.2553489852099997</v>
      </c>
      <c r="V16" s="23"/>
      <c r="W16" s="24"/>
      <c r="X16" s="9"/>
      <c r="Y16" s="22">
        <v>1.7697099999999999</v>
      </c>
      <c r="Z16" s="22">
        <v>225.78399999999999</v>
      </c>
      <c r="AA16" s="22">
        <v>3.9502000000000002E-2</v>
      </c>
      <c r="AB16" s="22">
        <v>6</v>
      </c>
      <c r="AC16" s="22">
        <v>1.7697099999999999</v>
      </c>
      <c r="AD16">
        <f t="shared" si="4"/>
        <v>-39.502000000000002</v>
      </c>
      <c r="AE16">
        <f t="shared" si="5"/>
        <v>-69.907084420000004</v>
      </c>
      <c r="AF16" s="9"/>
      <c r="AG16" s="22">
        <v>-6.9732699999999995E-2</v>
      </c>
      <c r="AH16" s="22">
        <v>380.221</v>
      </c>
      <c r="AI16" s="22">
        <v>-1.7974899999999999E-2</v>
      </c>
      <c r="AJ16" s="22">
        <v>6</v>
      </c>
      <c r="AK16" s="22">
        <v>-7.0281999999999997E-2</v>
      </c>
      <c r="AL16">
        <f t="shared" si="6"/>
        <v>17.974899999999998</v>
      </c>
      <c r="AM16">
        <f t="shared" si="7"/>
        <v>-1.2534383092299999</v>
      </c>
      <c r="AP16" s="9"/>
      <c r="AQ16" s="22">
        <v>1.7697099999999999</v>
      </c>
      <c r="AR16" s="22">
        <v>481.33100000000002</v>
      </c>
      <c r="AS16" s="22">
        <v>3.07739E-2</v>
      </c>
      <c r="AT16" s="22">
        <v>6</v>
      </c>
      <c r="AU16" s="22">
        <v>1.7687999999999999</v>
      </c>
      <c r="AV16">
        <f t="shared" si="8"/>
        <v>-30.773900000000001</v>
      </c>
      <c r="AW16">
        <f t="shared" si="9"/>
        <v>-54.460878569000002</v>
      </c>
      <c r="AX16" s="9"/>
      <c r="AY16" s="22">
        <v>-6.9732699999999995E-2</v>
      </c>
      <c r="AZ16" s="22">
        <v>553.58500000000004</v>
      </c>
      <c r="BA16" s="22">
        <v>-1.79688E-2</v>
      </c>
      <c r="BB16" s="22">
        <v>6</v>
      </c>
      <c r="BC16" s="22">
        <v>-7.0526099999999994E-2</v>
      </c>
      <c r="BD16">
        <f t="shared" si="10"/>
        <v>17.968800000000002</v>
      </c>
      <c r="BE16">
        <f t="shared" si="11"/>
        <v>-1.2530129397600001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74.371200000000002</v>
      </c>
      <c r="I17" s="22">
        <v>3.5647600000000002E-2</v>
      </c>
      <c r="J17" s="22">
        <v>7</v>
      </c>
      <c r="K17" s="22">
        <v>1.7639199999999999</v>
      </c>
      <c r="L17">
        <f t="shared" si="0"/>
        <v>-35.647600000000004</v>
      </c>
      <c r="M17">
        <f t="shared" si="1"/>
        <v>-62.90660676800001</v>
      </c>
      <c r="N17" s="9"/>
      <c r="O17" s="22">
        <v>-6.4697299999999999E-2</v>
      </c>
      <c r="P17" s="22">
        <v>140.33099999999999</v>
      </c>
      <c r="Q17" s="22">
        <v>-1.7999299999999999E-2</v>
      </c>
      <c r="R17" s="22">
        <v>7</v>
      </c>
      <c r="S17" s="22">
        <v>-6.5277100000000005E-2</v>
      </c>
      <c r="T17">
        <f t="shared" si="2"/>
        <v>17.999299999999998</v>
      </c>
      <c r="U17">
        <f t="shared" si="3"/>
        <v>-1.16450611189</v>
      </c>
      <c r="V17" s="23"/>
      <c r="W17" s="24"/>
      <c r="X17" s="9"/>
      <c r="Y17" s="22">
        <v>1.76468</v>
      </c>
      <c r="Z17" s="22">
        <v>225.88499999999999</v>
      </c>
      <c r="AA17" s="22">
        <v>3.6544800000000002E-2</v>
      </c>
      <c r="AB17" s="22">
        <v>7</v>
      </c>
      <c r="AC17" s="22">
        <v>1.7642199999999999</v>
      </c>
      <c r="AD17">
        <f t="shared" si="4"/>
        <v>-36.544800000000002</v>
      </c>
      <c r="AE17">
        <f t="shared" si="5"/>
        <v>-64.489877664000005</v>
      </c>
      <c r="AF17" s="9"/>
      <c r="AG17" s="22">
        <v>-6.4697299999999999E-2</v>
      </c>
      <c r="AH17" s="22">
        <v>380.32100000000003</v>
      </c>
      <c r="AI17" s="22">
        <v>-1.79718E-2</v>
      </c>
      <c r="AJ17" s="22">
        <v>7</v>
      </c>
      <c r="AK17" s="22">
        <v>-6.5277100000000005E-2</v>
      </c>
      <c r="AL17">
        <f t="shared" si="6"/>
        <v>17.971799999999998</v>
      </c>
      <c r="AM17">
        <f t="shared" si="7"/>
        <v>-1.1627269361399999</v>
      </c>
      <c r="AP17" s="9"/>
      <c r="AQ17" s="22">
        <v>1.76468</v>
      </c>
      <c r="AR17" s="22">
        <v>481.43200000000002</v>
      </c>
      <c r="AS17" s="22">
        <v>2.7951E-2</v>
      </c>
      <c r="AT17" s="22">
        <v>7</v>
      </c>
      <c r="AU17" s="22">
        <v>1.7645299999999999</v>
      </c>
      <c r="AV17">
        <f t="shared" si="8"/>
        <v>-27.951000000000001</v>
      </c>
      <c r="AW17">
        <f t="shared" si="9"/>
        <v>-49.324570680000001</v>
      </c>
      <c r="AX17" s="9"/>
      <c r="AY17" s="22">
        <v>-6.4697299999999999E-2</v>
      </c>
      <c r="AZ17" s="22">
        <v>553.68600000000004</v>
      </c>
      <c r="BA17" s="22">
        <v>-1.7974899999999999E-2</v>
      </c>
      <c r="BB17" s="22">
        <v>7</v>
      </c>
      <c r="BC17" s="22">
        <v>-6.4910899999999994E-2</v>
      </c>
      <c r="BD17">
        <f t="shared" si="10"/>
        <v>17.974899999999998</v>
      </c>
      <c r="BE17">
        <f t="shared" si="11"/>
        <v>-1.1629274977699999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74.471900000000005</v>
      </c>
      <c r="I18" s="22">
        <v>3.08014E-2</v>
      </c>
      <c r="J18" s="22">
        <v>8</v>
      </c>
      <c r="K18" s="22">
        <v>1.7593399999999999</v>
      </c>
      <c r="L18">
        <f t="shared" si="0"/>
        <v>-30.801400000000001</v>
      </c>
      <c r="M18">
        <f t="shared" si="1"/>
        <v>-54.199375496000002</v>
      </c>
      <c r="N18" s="9"/>
      <c r="O18" s="22">
        <v>-5.9661899999999997E-2</v>
      </c>
      <c r="P18" s="22">
        <v>140.43199999999999</v>
      </c>
      <c r="Q18" s="22">
        <v>-1.79962E-2</v>
      </c>
      <c r="R18" s="22">
        <v>8</v>
      </c>
      <c r="S18" s="22">
        <v>-6.0180699999999997E-2</v>
      </c>
      <c r="T18">
        <f t="shared" si="2"/>
        <v>17.996200000000002</v>
      </c>
      <c r="U18">
        <f t="shared" si="3"/>
        <v>-1.07368748478</v>
      </c>
      <c r="V18" s="23"/>
      <c r="W18" s="24"/>
      <c r="X18" s="9"/>
      <c r="Y18" s="22">
        <v>1.7596400000000001</v>
      </c>
      <c r="Z18" s="22">
        <v>225.98500000000001</v>
      </c>
      <c r="AA18" s="22">
        <v>3.3493000000000002E-2</v>
      </c>
      <c r="AB18" s="22">
        <v>8</v>
      </c>
      <c r="AC18" s="22">
        <v>1.7590300000000001</v>
      </c>
      <c r="AD18">
        <f t="shared" si="4"/>
        <v>-33.493000000000002</v>
      </c>
      <c r="AE18">
        <f t="shared" si="5"/>
        <v>-58.93562252000001</v>
      </c>
      <c r="AF18" s="9"/>
      <c r="AG18" s="22">
        <v>-5.9661899999999997E-2</v>
      </c>
      <c r="AH18" s="22">
        <v>380.42200000000003</v>
      </c>
      <c r="AI18" s="22">
        <v>-1.7974899999999999E-2</v>
      </c>
      <c r="AJ18" s="22">
        <v>8</v>
      </c>
      <c r="AK18" s="22">
        <v>-6.0058599999999997E-2</v>
      </c>
      <c r="AL18">
        <f t="shared" si="6"/>
        <v>17.974899999999998</v>
      </c>
      <c r="AM18">
        <f t="shared" si="7"/>
        <v>-1.0724166863099998</v>
      </c>
      <c r="AP18" s="9"/>
      <c r="AQ18" s="22">
        <v>1.7596400000000001</v>
      </c>
      <c r="AR18" s="22">
        <v>481.53300000000002</v>
      </c>
      <c r="AS18" s="22">
        <v>2.49634E-2</v>
      </c>
      <c r="AT18" s="22">
        <v>8</v>
      </c>
      <c r="AU18" s="22">
        <v>1.7593399999999999</v>
      </c>
      <c r="AV18">
        <f t="shared" si="8"/>
        <v>-24.9634</v>
      </c>
      <c r="AW18">
        <f t="shared" si="9"/>
        <v>-43.926597176000001</v>
      </c>
      <c r="AX18" s="9"/>
      <c r="AY18" s="22">
        <v>-5.9661899999999997E-2</v>
      </c>
      <c r="AZ18" s="22">
        <v>553.78700000000003</v>
      </c>
      <c r="BA18" s="22">
        <v>-1.79688E-2</v>
      </c>
      <c r="BB18" s="22">
        <v>8</v>
      </c>
      <c r="BC18" s="22">
        <v>-6.0058599999999997E-2</v>
      </c>
      <c r="BD18">
        <f t="shared" si="10"/>
        <v>17.968800000000002</v>
      </c>
      <c r="BE18">
        <f t="shared" si="11"/>
        <v>-1.07205274872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74.572599999999994</v>
      </c>
      <c r="I19" s="22">
        <v>2.5527999999999999E-2</v>
      </c>
      <c r="J19" s="22">
        <v>9</v>
      </c>
      <c r="K19" s="22">
        <v>1.7541500000000001</v>
      </c>
      <c r="L19">
        <f t="shared" si="0"/>
        <v>-25.527999999999999</v>
      </c>
      <c r="M19">
        <f t="shared" si="1"/>
        <v>-44.791684079999996</v>
      </c>
      <c r="N19" s="9"/>
      <c r="O19" s="22">
        <v>-5.4626500000000001E-2</v>
      </c>
      <c r="P19" s="22">
        <v>140.53299999999999</v>
      </c>
      <c r="Q19" s="22">
        <v>-1.7993200000000001E-2</v>
      </c>
      <c r="R19" s="22">
        <v>9</v>
      </c>
      <c r="S19" s="22">
        <v>-5.5023200000000001E-2</v>
      </c>
      <c r="T19">
        <f t="shared" si="2"/>
        <v>17.993200000000002</v>
      </c>
      <c r="U19">
        <f t="shared" si="3"/>
        <v>-0.98290553980000006</v>
      </c>
      <c r="V19" s="23"/>
      <c r="W19" s="24"/>
      <c r="X19" s="9"/>
      <c r="Y19" s="22">
        <v>1.75461</v>
      </c>
      <c r="Z19" s="22">
        <v>226.08600000000001</v>
      </c>
      <c r="AA19" s="22">
        <v>3.0575600000000001E-2</v>
      </c>
      <c r="AB19" s="22">
        <v>9</v>
      </c>
      <c r="AC19" s="22">
        <v>1.7535400000000001</v>
      </c>
      <c r="AD19">
        <f t="shared" si="4"/>
        <v>-30.575600000000001</v>
      </c>
      <c r="AE19">
        <f t="shared" si="5"/>
        <v>-53.648253516000004</v>
      </c>
      <c r="AF19" s="9"/>
      <c r="AG19" s="22">
        <v>-5.4626500000000001E-2</v>
      </c>
      <c r="AH19" s="22">
        <v>380.52300000000002</v>
      </c>
      <c r="AI19" s="22">
        <v>-1.7977900000000002E-2</v>
      </c>
      <c r="AJ19" s="22">
        <v>9</v>
      </c>
      <c r="AK19" s="22">
        <v>-5.50842E-2</v>
      </c>
      <c r="AL19">
        <f t="shared" si="6"/>
        <v>17.977900000000002</v>
      </c>
      <c r="AM19">
        <f t="shared" si="7"/>
        <v>-0.9820697543500001</v>
      </c>
      <c r="AP19" s="9"/>
      <c r="AQ19" s="22">
        <v>1.75461</v>
      </c>
      <c r="AR19" s="22">
        <v>481.63299999999998</v>
      </c>
      <c r="AS19" s="22">
        <v>2.1905500000000001E-2</v>
      </c>
      <c r="AT19" s="22">
        <v>9</v>
      </c>
      <c r="AU19" s="22">
        <v>1.7538499999999999</v>
      </c>
      <c r="AV19">
        <f t="shared" si="8"/>
        <v>-21.9055</v>
      </c>
      <c r="AW19">
        <f t="shared" si="9"/>
        <v>-38.435609354999997</v>
      </c>
      <c r="AX19" s="9"/>
      <c r="AY19" s="22">
        <v>-5.4626500000000001E-2</v>
      </c>
      <c r="AZ19" s="22">
        <v>553.88800000000003</v>
      </c>
      <c r="BA19" s="22">
        <v>-1.79688E-2</v>
      </c>
      <c r="BB19" s="22">
        <v>9</v>
      </c>
      <c r="BC19" s="22">
        <v>-5.5114700000000003E-2</v>
      </c>
      <c r="BD19">
        <f t="shared" si="10"/>
        <v>17.968800000000002</v>
      </c>
      <c r="BE19">
        <f t="shared" si="11"/>
        <v>-0.98157265320000009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74.673299999999998</v>
      </c>
      <c r="I20" s="22">
        <v>2.0703099999999999E-2</v>
      </c>
      <c r="J20" s="22">
        <v>10</v>
      </c>
      <c r="K20" s="22">
        <v>1.7492700000000001</v>
      </c>
      <c r="L20">
        <f t="shared" si="0"/>
        <v>-20.703099999999999</v>
      </c>
      <c r="M20">
        <f t="shared" si="1"/>
        <v>-36.221522667000002</v>
      </c>
      <c r="N20" s="9"/>
      <c r="O20" s="22">
        <v>-4.9591099999999999E-2</v>
      </c>
      <c r="P20" s="22">
        <v>140.63300000000001</v>
      </c>
      <c r="Q20" s="22">
        <v>-1.7999299999999999E-2</v>
      </c>
      <c r="R20" s="22">
        <v>10</v>
      </c>
      <c r="S20" s="22">
        <v>-5.0262500000000002E-2</v>
      </c>
      <c r="T20">
        <f t="shared" si="2"/>
        <v>17.999299999999998</v>
      </c>
      <c r="U20">
        <f t="shared" si="3"/>
        <v>-0.8926050862299999</v>
      </c>
      <c r="V20" s="23"/>
      <c r="W20" s="24"/>
      <c r="X20" s="9"/>
      <c r="Y20" s="22">
        <v>1.7495700000000001</v>
      </c>
      <c r="Z20" s="22">
        <v>226.18700000000001</v>
      </c>
      <c r="AA20" s="22">
        <v>2.7639799999999999E-2</v>
      </c>
      <c r="AB20" s="22">
        <v>10</v>
      </c>
      <c r="AC20" s="22">
        <v>1.7489600000000001</v>
      </c>
      <c r="AD20">
        <f t="shared" si="4"/>
        <v>-27.639799999999997</v>
      </c>
      <c r="AE20">
        <f t="shared" si="5"/>
        <v>-48.357764885999998</v>
      </c>
      <c r="AF20" s="9"/>
      <c r="AG20" s="22">
        <v>-4.9591099999999999E-2</v>
      </c>
      <c r="AH20" s="22">
        <v>380.62299999999999</v>
      </c>
      <c r="AI20" s="22">
        <v>-1.79688E-2</v>
      </c>
      <c r="AJ20" s="22">
        <v>10</v>
      </c>
      <c r="AK20" s="22">
        <v>-4.99268E-2</v>
      </c>
      <c r="AL20">
        <f t="shared" si="6"/>
        <v>17.968800000000002</v>
      </c>
      <c r="AM20">
        <f t="shared" si="7"/>
        <v>-0.89109255768000006</v>
      </c>
      <c r="AP20" s="9"/>
      <c r="AQ20" s="22">
        <v>1.7495700000000001</v>
      </c>
      <c r="AR20" s="22">
        <v>481.73399999999998</v>
      </c>
      <c r="AS20" s="22">
        <v>1.9461099999999999E-2</v>
      </c>
      <c r="AT20" s="22">
        <v>10</v>
      </c>
      <c r="AU20" s="22">
        <v>1.7489600000000001</v>
      </c>
      <c r="AV20">
        <f t="shared" si="8"/>
        <v>-19.461099999999998</v>
      </c>
      <c r="AW20">
        <f t="shared" si="9"/>
        <v>-34.048556726999998</v>
      </c>
      <c r="AX20" s="9"/>
      <c r="AY20" s="22">
        <v>-4.9591099999999999E-2</v>
      </c>
      <c r="AZ20" s="22">
        <v>553.98800000000006</v>
      </c>
      <c r="BA20" s="22">
        <v>-1.7965700000000001E-2</v>
      </c>
      <c r="BB20" s="22">
        <v>10</v>
      </c>
      <c r="BC20" s="22">
        <v>-4.9835200000000003E-2</v>
      </c>
      <c r="BD20">
        <f t="shared" si="10"/>
        <v>17.965700000000002</v>
      </c>
      <c r="BE20">
        <f t="shared" si="11"/>
        <v>-0.89093882527000012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74.774000000000001</v>
      </c>
      <c r="I21" s="22">
        <v>1.58966E-2</v>
      </c>
      <c r="J21" s="22">
        <v>11</v>
      </c>
      <c r="K21" s="22">
        <v>1.74438</v>
      </c>
      <c r="L21">
        <f t="shared" si="0"/>
        <v>-15.896600000000001</v>
      </c>
      <c r="M21">
        <f t="shared" si="1"/>
        <v>-27.732254564000002</v>
      </c>
      <c r="N21" s="9"/>
      <c r="O21" s="22">
        <v>-4.4555699999999997E-2</v>
      </c>
      <c r="P21" s="22">
        <v>140.73400000000001</v>
      </c>
      <c r="Q21" s="22">
        <v>-1.7993200000000001E-2</v>
      </c>
      <c r="R21" s="22">
        <v>11</v>
      </c>
      <c r="S21" s="22">
        <v>-4.4836399999999998E-2</v>
      </c>
      <c r="T21">
        <f t="shared" si="2"/>
        <v>17.993200000000002</v>
      </c>
      <c r="U21">
        <f t="shared" si="3"/>
        <v>-0.80169962124000005</v>
      </c>
      <c r="V21" s="23"/>
      <c r="W21" s="24"/>
      <c r="X21" s="9"/>
      <c r="Y21" s="22">
        <v>1.74454</v>
      </c>
      <c r="Z21" s="22">
        <v>226.28700000000001</v>
      </c>
      <c r="AA21" s="22">
        <v>2.4823000000000001E-2</v>
      </c>
      <c r="AB21" s="22">
        <v>11</v>
      </c>
      <c r="AC21" s="22">
        <v>1.7434700000000001</v>
      </c>
      <c r="AD21">
        <f t="shared" si="4"/>
        <v>-24.823</v>
      </c>
      <c r="AE21">
        <f t="shared" si="5"/>
        <v>-43.304716419999998</v>
      </c>
      <c r="AF21" s="9"/>
      <c r="AG21" s="22">
        <v>-4.4555699999999997E-2</v>
      </c>
      <c r="AH21" s="22">
        <v>380.72399999999999</v>
      </c>
      <c r="AI21" s="22">
        <v>-1.7965700000000001E-2</v>
      </c>
      <c r="AJ21" s="22">
        <v>11</v>
      </c>
      <c r="AK21" s="22">
        <v>-4.4885300000000003E-2</v>
      </c>
      <c r="AL21">
        <f t="shared" si="6"/>
        <v>17.965700000000002</v>
      </c>
      <c r="AM21">
        <f t="shared" si="7"/>
        <v>-0.80047433949000002</v>
      </c>
      <c r="AP21" s="9"/>
      <c r="AQ21" s="22">
        <v>1.74454</v>
      </c>
      <c r="AR21" s="22">
        <v>481.83499999999998</v>
      </c>
      <c r="AS21" s="22">
        <v>1.6223100000000001E-2</v>
      </c>
      <c r="AT21" s="22">
        <v>11</v>
      </c>
      <c r="AU21" s="22">
        <v>1.7434700000000001</v>
      </c>
      <c r="AV21">
        <f t="shared" si="8"/>
        <v>-16.223100000000002</v>
      </c>
      <c r="AW21">
        <f t="shared" si="9"/>
        <v>-28.301846874000002</v>
      </c>
      <c r="AX21" s="9"/>
      <c r="AY21" s="22">
        <v>-4.4555699999999997E-2</v>
      </c>
      <c r="AZ21" s="22">
        <v>554.08900000000006</v>
      </c>
      <c r="BA21" s="22">
        <v>-1.7962599999999999E-2</v>
      </c>
      <c r="BB21" s="22">
        <v>11</v>
      </c>
      <c r="BC21" s="22">
        <v>-4.50073E-2</v>
      </c>
      <c r="BD21">
        <f t="shared" si="10"/>
        <v>17.962599999999998</v>
      </c>
      <c r="BE21">
        <f t="shared" si="11"/>
        <v>-0.80033621681999989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74.874700000000004</v>
      </c>
      <c r="I22" s="22">
        <v>1.0815399999999999E-2</v>
      </c>
      <c r="J22" s="22">
        <v>12</v>
      </c>
      <c r="K22" s="22">
        <v>1.7392000000000001</v>
      </c>
      <c r="L22">
        <f t="shared" si="0"/>
        <v>-10.815399999999999</v>
      </c>
      <c r="M22">
        <f t="shared" si="1"/>
        <v>-18.8133883</v>
      </c>
      <c r="N22" s="9"/>
      <c r="O22" s="22">
        <v>-3.9520300000000001E-2</v>
      </c>
      <c r="P22" s="22">
        <v>140.83500000000001</v>
      </c>
      <c r="Q22" s="22">
        <v>-1.7984E-2</v>
      </c>
      <c r="R22" s="22">
        <v>12</v>
      </c>
      <c r="S22" s="22">
        <v>-3.9306599999999997E-2</v>
      </c>
      <c r="T22">
        <f t="shared" si="2"/>
        <v>17.984000000000002</v>
      </c>
      <c r="U22">
        <f t="shared" si="3"/>
        <v>-0.71073307520000006</v>
      </c>
      <c r="V22" s="23"/>
      <c r="W22" s="24"/>
      <c r="X22" s="9"/>
      <c r="Y22" s="22">
        <v>1.7395</v>
      </c>
      <c r="Z22" s="22">
        <v>226.38800000000001</v>
      </c>
      <c r="AA22" s="22">
        <v>2.20886E-2</v>
      </c>
      <c r="AB22" s="22">
        <v>12</v>
      </c>
      <c r="AC22" s="22">
        <v>1.7392000000000001</v>
      </c>
      <c r="AD22">
        <f t="shared" si="4"/>
        <v>-22.0886</v>
      </c>
      <c r="AE22">
        <f t="shared" si="5"/>
        <v>-38.423119700000001</v>
      </c>
      <c r="AF22" s="9"/>
      <c r="AG22" s="22">
        <v>-3.9520300000000001E-2</v>
      </c>
      <c r="AH22" s="22">
        <v>380.82499999999999</v>
      </c>
      <c r="AI22" s="22">
        <v>-1.79718E-2</v>
      </c>
      <c r="AJ22" s="22">
        <v>12</v>
      </c>
      <c r="AK22" s="22">
        <v>-3.9779700000000001E-2</v>
      </c>
      <c r="AL22">
        <f t="shared" si="6"/>
        <v>17.971799999999998</v>
      </c>
      <c r="AM22">
        <f t="shared" si="7"/>
        <v>-0.71025092753999997</v>
      </c>
      <c r="AP22" s="9"/>
      <c r="AQ22" s="22">
        <v>1.7395</v>
      </c>
      <c r="AR22" s="22">
        <v>481.93599999999998</v>
      </c>
      <c r="AS22" s="22">
        <v>1.3345299999999999E-2</v>
      </c>
      <c r="AT22" s="22">
        <v>12</v>
      </c>
      <c r="AU22" s="22">
        <v>1.73889</v>
      </c>
      <c r="AV22">
        <f t="shared" si="8"/>
        <v>-13.3453</v>
      </c>
      <c r="AW22">
        <f t="shared" si="9"/>
        <v>-23.21414935</v>
      </c>
      <c r="AX22" s="9"/>
      <c r="AY22" s="22">
        <v>-3.9520300000000001E-2</v>
      </c>
      <c r="AZ22" s="22">
        <v>554.19000000000005</v>
      </c>
      <c r="BA22" s="22">
        <v>-1.7965700000000001E-2</v>
      </c>
      <c r="BB22" s="22">
        <v>12</v>
      </c>
      <c r="BC22" s="22">
        <v>-3.96484E-2</v>
      </c>
      <c r="BD22">
        <f t="shared" si="10"/>
        <v>17.965700000000002</v>
      </c>
      <c r="BE22">
        <f t="shared" si="11"/>
        <v>-0.71000985371000014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74.975399999999993</v>
      </c>
      <c r="I23" s="22">
        <v>5.7251000000000003E-3</v>
      </c>
      <c r="J23" s="22">
        <v>13</v>
      </c>
      <c r="K23" s="22">
        <v>1.73309</v>
      </c>
      <c r="L23">
        <f t="shared" si="0"/>
        <v>-5.7251000000000003</v>
      </c>
      <c r="M23">
        <f t="shared" si="1"/>
        <v>-9.9300141970000002</v>
      </c>
      <c r="N23" s="9"/>
      <c r="O23" s="22">
        <v>-3.4484899999999999E-2</v>
      </c>
      <c r="P23" s="22">
        <v>140.935</v>
      </c>
      <c r="Q23" s="22">
        <v>-1.7987099999999999E-2</v>
      </c>
      <c r="R23" s="22">
        <v>13</v>
      </c>
      <c r="S23" s="22">
        <v>-3.4493999999999997E-2</v>
      </c>
      <c r="T23">
        <f t="shared" si="2"/>
        <v>17.987099999999998</v>
      </c>
      <c r="U23">
        <f t="shared" si="3"/>
        <v>-0.62028334478999991</v>
      </c>
      <c r="V23" s="23"/>
      <c r="W23" s="24"/>
      <c r="X23" s="9"/>
      <c r="Y23" s="22">
        <v>1.73447</v>
      </c>
      <c r="Z23" s="22">
        <v>226.489</v>
      </c>
      <c r="AA23" s="22">
        <v>1.86523E-2</v>
      </c>
      <c r="AB23" s="22">
        <v>13</v>
      </c>
      <c r="AC23" s="22">
        <v>1.73431</v>
      </c>
      <c r="AD23">
        <f t="shared" si="4"/>
        <v>-18.6523</v>
      </c>
      <c r="AE23">
        <f t="shared" si="5"/>
        <v>-32.351854781</v>
      </c>
      <c r="AF23" s="9"/>
      <c r="AG23" s="22">
        <v>-3.4484899999999999E-2</v>
      </c>
      <c r="AH23" s="22">
        <v>380.92599999999999</v>
      </c>
      <c r="AI23" s="22">
        <v>-1.7953500000000001E-2</v>
      </c>
      <c r="AJ23" s="22">
        <v>13</v>
      </c>
      <c r="AK23" s="22">
        <v>-3.4726E-2</v>
      </c>
      <c r="AL23">
        <f t="shared" si="6"/>
        <v>17.953500000000002</v>
      </c>
      <c r="AM23">
        <f t="shared" si="7"/>
        <v>-0.61912465215000001</v>
      </c>
      <c r="AP23" s="9"/>
      <c r="AQ23" s="22">
        <v>1.73447</v>
      </c>
      <c r="AR23" s="22">
        <v>482.036</v>
      </c>
      <c r="AS23" s="22">
        <v>1.0311900000000001E-2</v>
      </c>
      <c r="AT23" s="22">
        <v>13</v>
      </c>
      <c r="AU23" s="22">
        <v>1.7340100000000001</v>
      </c>
      <c r="AV23">
        <f t="shared" si="8"/>
        <v>-10.311900000000001</v>
      </c>
      <c r="AW23">
        <f t="shared" si="9"/>
        <v>-17.885681193000003</v>
      </c>
      <c r="AX23" s="9"/>
      <c r="AY23" s="22">
        <v>-3.4484899999999999E-2</v>
      </c>
      <c r="AZ23" s="22">
        <v>554.29</v>
      </c>
      <c r="BA23" s="22">
        <v>-1.7959599999999999E-2</v>
      </c>
      <c r="BB23" s="22">
        <v>13</v>
      </c>
      <c r="BC23" s="22">
        <v>-3.4390299999999999E-2</v>
      </c>
      <c r="BD23">
        <f t="shared" si="10"/>
        <v>17.959599999999998</v>
      </c>
      <c r="BE23">
        <f t="shared" si="11"/>
        <v>-0.61933501003999991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75.076099999999997</v>
      </c>
      <c r="I24" s="22">
        <v>1.0849E-3</v>
      </c>
      <c r="J24" s="22">
        <v>14</v>
      </c>
      <c r="K24" s="22">
        <v>1.72882</v>
      </c>
      <c r="L24">
        <f t="shared" si="0"/>
        <v>-1.0849</v>
      </c>
      <c r="M24">
        <f t="shared" si="1"/>
        <v>-1.876258607</v>
      </c>
      <c r="N24" s="9"/>
      <c r="O24" s="22">
        <v>-2.94495E-2</v>
      </c>
      <c r="P24" s="22">
        <v>141.036</v>
      </c>
      <c r="Q24" s="22">
        <v>-1.7981E-2</v>
      </c>
      <c r="R24" s="22">
        <v>14</v>
      </c>
      <c r="S24" s="22">
        <v>-2.9800400000000001E-2</v>
      </c>
      <c r="T24">
        <f t="shared" si="2"/>
        <v>17.981000000000002</v>
      </c>
      <c r="U24">
        <f t="shared" si="3"/>
        <v>-0.52953145950000002</v>
      </c>
      <c r="V24" s="23"/>
      <c r="W24" s="24"/>
      <c r="X24" s="9"/>
      <c r="Y24" s="22">
        <v>1.72943</v>
      </c>
      <c r="Z24" s="22">
        <v>226.59</v>
      </c>
      <c r="AA24" s="22">
        <v>1.5689100000000001E-2</v>
      </c>
      <c r="AB24" s="22">
        <v>14</v>
      </c>
      <c r="AC24" s="22">
        <v>1.72882</v>
      </c>
      <c r="AD24">
        <f t="shared" si="4"/>
        <v>-15.689100000000002</v>
      </c>
      <c r="AE24">
        <f t="shared" si="5"/>
        <v>-27.133200213000002</v>
      </c>
      <c r="AF24" s="9"/>
      <c r="AG24" s="22">
        <v>-2.94495E-2</v>
      </c>
      <c r="AH24" s="22">
        <v>381.02600000000001</v>
      </c>
      <c r="AI24" s="22">
        <v>-1.7953500000000001E-2</v>
      </c>
      <c r="AJ24" s="22">
        <v>14</v>
      </c>
      <c r="AK24" s="22">
        <v>-2.9446400000000001E-2</v>
      </c>
      <c r="AL24">
        <f t="shared" si="6"/>
        <v>17.953500000000002</v>
      </c>
      <c r="AM24">
        <f t="shared" si="7"/>
        <v>-0.52872159825000009</v>
      </c>
      <c r="AP24" s="9"/>
      <c r="AQ24" s="22">
        <v>1.72943</v>
      </c>
      <c r="AR24" s="22">
        <v>482.137</v>
      </c>
      <c r="AS24" s="22">
        <v>7.3669399999999998E-3</v>
      </c>
      <c r="AT24" s="22">
        <v>14</v>
      </c>
      <c r="AU24" s="22">
        <v>1.7291300000000001</v>
      </c>
      <c r="AV24">
        <f t="shared" si="8"/>
        <v>-7.3669399999999996</v>
      </c>
      <c r="AW24">
        <f t="shared" si="9"/>
        <v>-12.740607044199999</v>
      </c>
      <c r="AX24" s="9"/>
      <c r="AY24" s="22">
        <v>-2.94495E-2</v>
      </c>
      <c r="AZ24" s="22">
        <v>554.39099999999996</v>
      </c>
      <c r="BA24" s="22">
        <v>-1.7950399999999998E-2</v>
      </c>
      <c r="BB24" s="22">
        <v>14</v>
      </c>
      <c r="BC24" s="22">
        <v>-2.9650900000000001E-2</v>
      </c>
      <c r="BD24">
        <f t="shared" si="10"/>
        <v>17.950399999999998</v>
      </c>
      <c r="BE24">
        <f t="shared" si="11"/>
        <v>-0.52863030479999995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75.1768</v>
      </c>
      <c r="I25" s="22">
        <v>-2.14935E-3</v>
      </c>
      <c r="J25" s="22">
        <v>15</v>
      </c>
      <c r="K25" s="22">
        <v>1.72394</v>
      </c>
      <c r="L25">
        <f t="shared" si="0"/>
        <v>2.1493500000000001</v>
      </c>
      <c r="M25">
        <f t="shared" si="1"/>
        <v>3.7063391399999999</v>
      </c>
      <c r="N25" s="9"/>
      <c r="O25" s="22">
        <v>-2.4414100000000001E-2</v>
      </c>
      <c r="P25" s="22">
        <v>141.137</v>
      </c>
      <c r="Q25" s="22">
        <v>-1.7984E-2</v>
      </c>
      <c r="R25" s="22">
        <v>15</v>
      </c>
      <c r="S25" s="22">
        <v>-2.4679599999999999E-2</v>
      </c>
      <c r="T25">
        <f t="shared" si="2"/>
        <v>17.984000000000002</v>
      </c>
      <c r="U25">
        <f t="shared" si="3"/>
        <v>-0.43906317440000009</v>
      </c>
      <c r="V25" s="23"/>
      <c r="W25" s="24"/>
      <c r="X25" s="9"/>
      <c r="Y25" s="22">
        <v>1.7243999999999999</v>
      </c>
      <c r="Z25" s="22">
        <v>226.69</v>
      </c>
      <c r="AA25" s="22">
        <v>1.3110399999999999E-2</v>
      </c>
      <c r="AB25" s="22">
        <v>15</v>
      </c>
      <c r="AC25" s="22">
        <v>1.72394</v>
      </c>
      <c r="AD25">
        <f t="shared" si="4"/>
        <v>-13.1104</v>
      </c>
      <c r="AE25">
        <f t="shared" si="5"/>
        <v>-22.607573760000001</v>
      </c>
      <c r="AF25" s="9"/>
      <c r="AG25" s="22">
        <v>-2.4414100000000001E-2</v>
      </c>
      <c r="AH25" s="22">
        <v>381.12700000000001</v>
      </c>
      <c r="AI25" s="22">
        <v>-1.79565E-2</v>
      </c>
      <c r="AJ25" s="22">
        <v>15</v>
      </c>
      <c r="AK25" s="22">
        <v>-2.4914599999999999E-2</v>
      </c>
      <c r="AL25">
        <f t="shared" si="6"/>
        <v>17.956500000000002</v>
      </c>
      <c r="AM25">
        <f t="shared" si="7"/>
        <v>-0.43839178665000006</v>
      </c>
      <c r="AP25" s="9"/>
      <c r="AQ25" s="22">
        <v>1.7243999999999999</v>
      </c>
      <c r="AR25" s="22">
        <v>482.238</v>
      </c>
      <c r="AS25" s="22">
        <v>4.4937099999999997E-3</v>
      </c>
      <c r="AT25" s="22">
        <v>15</v>
      </c>
      <c r="AU25" s="22">
        <v>1.72363</v>
      </c>
      <c r="AV25">
        <f t="shared" si="8"/>
        <v>-4.4937100000000001</v>
      </c>
      <c r="AW25">
        <f t="shared" si="9"/>
        <v>-7.748953524</v>
      </c>
      <c r="AX25" s="9"/>
      <c r="AY25" s="22">
        <v>-2.4414100000000001E-2</v>
      </c>
      <c r="AZ25" s="22">
        <v>554.49199999999996</v>
      </c>
      <c r="BA25" s="22">
        <v>-1.79565E-2</v>
      </c>
      <c r="BB25" s="22">
        <v>15</v>
      </c>
      <c r="BC25" s="22">
        <v>-2.45667E-2</v>
      </c>
      <c r="BD25">
        <f t="shared" si="10"/>
        <v>17.956500000000002</v>
      </c>
      <c r="BE25">
        <f t="shared" si="11"/>
        <v>-0.43839178665000006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75.277600000000007</v>
      </c>
      <c r="I26" s="22">
        <v>-4.0576199999999996E-3</v>
      </c>
      <c r="J26" s="22">
        <v>16</v>
      </c>
      <c r="K26" s="22">
        <v>1.71844</v>
      </c>
      <c r="L26">
        <f t="shared" si="0"/>
        <v>4.05762</v>
      </c>
      <c r="M26">
        <f t="shared" si="1"/>
        <v>6.9765095231999998</v>
      </c>
      <c r="N26" s="9"/>
      <c r="O26" s="22">
        <v>-1.9378699999999999E-2</v>
      </c>
      <c r="P26" s="22">
        <v>141.238</v>
      </c>
      <c r="Q26" s="22">
        <v>-1.7987099999999999E-2</v>
      </c>
      <c r="R26" s="22">
        <v>16</v>
      </c>
      <c r="S26" s="22">
        <v>-1.9268799999999999E-2</v>
      </c>
      <c r="T26">
        <f t="shared" si="2"/>
        <v>17.987099999999998</v>
      </c>
      <c r="U26">
        <f t="shared" si="3"/>
        <v>-0.34856661476999995</v>
      </c>
      <c r="V26" s="23"/>
      <c r="W26" s="24"/>
      <c r="X26" s="9"/>
      <c r="Y26" s="22">
        <v>1.71936</v>
      </c>
      <c r="Z26" s="22">
        <v>226.791</v>
      </c>
      <c r="AA26" s="22">
        <v>1.04431E-2</v>
      </c>
      <c r="AB26" s="22">
        <v>16</v>
      </c>
      <c r="AC26" s="22">
        <v>1.71906</v>
      </c>
      <c r="AD26">
        <f t="shared" si="4"/>
        <v>-10.443100000000001</v>
      </c>
      <c r="AE26">
        <f t="shared" si="5"/>
        <v>-17.955448416000003</v>
      </c>
      <c r="AF26" s="9"/>
      <c r="AG26" s="22">
        <v>-1.9378699999999999E-2</v>
      </c>
      <c r="AH26" s="22">
        <v>381.22800000000001</v>
      </c>
      <c r="AI26" s="22">
        <v>-1.79443E-2</v>
      </c>
      <c r="AJ26" s="22">
        <v>16</v>
      </c>
      <c r="AK26" s="22">
        <v>-1.9528199999999999E-2</v>
      </c>
      <c r="AL26">
        <f t="shared" si="6"/>
        <v>17.944299999999998</v>
      </c>
      <c r="AM26">
        <f t="shared" si="7"/>
        <v>-0.34773720640999994</v>
      </c>
      <c r="AP26" s="9"/>
      <c r="AQ26" s="22">
        <v>1.71936</v>
      </c>
      <c r="AR26" s="22">
        <v>482.33800000000002</v>
      </c>
      <c r="AS26" s="22">
        <v>1.7965699999999999E-3</v>
      </c>
      <c r="AT26" s="22">
        <v>16</v>
      </c>
      <c r="AU26" s="22">
        <v>1.71906</v>
      </c>
      <c r="AV26">
        <f t="shared" si="8"/>
        <v>-1.79657</v>
      </c>
      <c r="AW26">
        <f t="shared" si="9"/>
        <v>-3.0889505952</v>
      </c>
      <c r="AX26" s="9"/>
      <c r="AY26" s="22">
        <v>-1.9378699999999999E-2</v>
      </c>
      <c r="AZ26" s="22">
        <v>554.59299999999996</v>
      </c>
      <c r="BA26" s="22">
        <v>-1.7953500000000001E-2</v>
      </c>
      <c r="BB26" s="22">
        <v>16</v>
      </c>
      <c r="BC26" s="22">
        <v>-1.9503800000000002E-2</v>
      </c>
      <c r="BD26">
        <f t="shared" si="10"/>
        <v>17.953500000000002</v>
      </c>
      <c r="BE26">
        <f t="shared" si="11"/>
        <v>-0.34791549045000003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75.378299999999996</v>
      </c>
      <c r="I27" s="22">
        <v>-5.7311999999999997E-3</v>
      </c>
      <c r="J27" s="22">
        <v>17</v>
      </c>
      <c r="K27" s="22">
        <v>1.71356</v>
      </c>
      <c r="L27">
        <f t="shared" si="0"/>
        <v>5.7311999999999994</v>
      </c>
      <c r="M27">
        <f t="shared" si="1"/>
        <v>9.8251107839999996</v>
      </c>
      <c r="N27" s="9"/>
      <c r="O27" s="22">
        <v>-1.43433E-2</v>
      </c>
      <c r="P27" s="22">
        <v>141.33799999999999</v>
      </c>
      <c r="Q27" s="22">
        <v>-1.7974899999999999E-2</v>
      </c>
      <c r="R27" s="22">
        <v>17</v>
      </c>
      <c r="S27" s="22">
        <v>-1.47095E-2</v>
      </c>
      <c r="T27">
        <f t="shared" si="2"/>
        <v>17.974899999999998</v>
      </c>
      <c r="U27">
        <f t="shared" si="3"/>
        <v>-0.25781938316999997</v>
      </c>
      <c r="X27" s="9"/>
      <c r="Y27" s="22">
        <v>1.7143200000000001</v>
      </c>
      <c r="Z27" s="22">
        <v>226.892</v>
      </c>
      <c r="AA27" s="22">
        <v>6.7108200000000002E-3</v>
      </c>
      <c r="AB27" s="22">
        <v>17</v>
      </c>
      <c r="AC27" s="22">
        <v>1.71326</v>
      </c>
      <c r="AD27">
        <f t="shared" si="4"/>
        <v>-6.71082</v>
      </c>
      <c r="AE27">
        <f t="shared" si="5"/>
        <v>-11.504492942400001</v>
      </c>
      <c r="AF27" s="9"/>
      <c r="AG27" s="22">
        <v>-1.43433E-2</v>
      </c>
      <c r="AH27" s="22">
        <v>381.32799999999997</v>
      </c>
      <c r="AI27" s="22">
        <v>-1.7938200000000001E-2</v>
      </c>
      <c r="AJ27" s="22">
        <v>17</v>
      </c>
      <c r="AK27" s="22">
        <v>-1.46088E-2</v>
      </c>
      <c r="AL27">
        <f t="shared" si="6"/>
        <v>17.938200000000002</v>
      </c>
      <c r="AM27">
        <f t="shared" si="7"/>
        <v>-0.25729298406000001</v>
      </c>
      <c r="AP27" s="9"/>
      <c r="AQ27" s="22">
        <v>1.7143200000000001</v>
      </c>
      <c r="AR27" s="22">
        <v>482.43900000000002</v>
      </c>
      <c r="AS27" s="22">
        <v>-6.7962600000000001E-4</v>
      </c>
      <c r="AT27" s="22">
        <v>17</v>
      </c>
      <c r="AU27" s="22">
        <v>1.71417</v>
      </c>
      <c r="AV27">
        <f t="shared" si="8"/>
        <v>0.67962600000000006</v>
      </c>
      <c r="AW27">
        <f t="shared" si="9"/>
        <v>1.1650964443200003</v>
      </c>
      <c r="AX27" s="9"/>
      <c r="AY27" s="22">
        <v>-1.43433E-2</v>
      </c>
      <c r="AZ27" s="22">
        <v>554.69299999999998</v>
      </c>
      <c r="BA27" s="22">
        <v>-1.7953500000000001E-2</v>
      </c>
      <c r="BB27" s="22">
        <v>17</v>
      </c>
      <c r="BC27" s="22">
        <v>-1.45325E-2</v>
      </c>
      <c r="BD27">
        <f t="shared" si="10"/>
        <v>17.953500000000002</v>
      </c>
      <c r="BE27">
        <f t="shared" si="11"/>
        <v>-0.25751243655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75.478999999999999</v>
      </c>
      <c r="I28" s="22">
        <v>-7.1472200000000001E-3</v>
      </c>
      <c r="J28" s="22">
        <v>18</v>
      </c>
      <c r="K28" s="22">
        <v>1.7083699999999999</v>
      </c>
      <c r="L28">
        <f t="shared" si="0"/>
        <v>7.1472199999999999</v>
      </c>
      <c r="M28">
        <f t="shared" si="1"/>
        <v>12.216671673800001</v>
      </c>
      <c r="N28" s="9"/>
      <c r="O28" s="22">
        <v>-9.3078599999999994E-3</v>
      </c>
      <c r="P28" s="22">
        <v>141.43899999999999</v>
      </c>
      <c r="Q28" s="22">
        <v>-1.7977900000000002E-2</v>
      </c>
      <c r="R28" s="22">
        <v>18</v>
      </c>
      <c r="S28" s="22">
        <v>-9.3933100000000002E-3</v>
      </c>
      <c r="T28">
        <f t="shared" si="2"/>
        <v>17.977900000000002</v>
      </c>
      <c r="U28">
        <f t="shared" si="3"/>
        <v>-0.16733577629400001</v>
      </c>
      <c r="X28" s="9"/>
      <c r="Y28" s="22">
        <v>1.70929</v>
      </c>
      <c r="Z28" s="22">
        <v>226.99199999999999</v>
      </c>
      <c r="AA28" s="22">
        <v>3.56018E-3</v>
      </c>
      <c r="AB28" s="22">
        <v>18</v>
      </c>
      <c r="AC28" s="22">
        <v>1.70868</v>
      </c>
      <c r="AD28">
        <f t="shared" si="4"/>
        <v>-3.5601799999999999</v>
      </c>
      <c r="AE28">
        <f t="shared" si="5"/>
        <v>-6.0853800721999995</v>
      </c>
      <c r="AF28" s="9"/>
      <c r="AG28" s="22">
        <v>-9.3078599999999994E-3</v>
      </c>
      <c r="AH28" s="22">
        <v>381.42899999999997</v>
      </c>
      <c r="AI28" s="22">
        <v>-1.7935199999999998E-2</v>
      </c>
      <c r="AJ28" s="22">
        <v>18</v>
      </c>
      <c r="AK28" s="22">
        <v>-9.1064500000000003E-3</v>
      </c>
      <c r="AL28">
        <f t="shared" si="6"/>
        <v>17.935199999999998</v>
      </c>
      <c r="AM28">
        <f t="shared" si="7"/>
        <v>-0.16693833067199998</v>
      </c>
      <c r="AP28" s="9"/>
      <c r="AQ28" s="22">
        <v>1.70929</v>
      </c>
      <c r="AR28" s="22">
        <v>482.54</v>
      </c>
      <c r="AS28" s="22">
        <v>-2.4298100000000001E-3</v>
      </c>
      <c r="AT28" s="22">
        <v>18</v>
      </c>
      <c r="AU28" s="22">
        <v>1.7083699999999999</v>
      </c>
      <c r="AV28">
        <f t="shared" si="8"/>
        <v>2.4298100000000002</v>
      </c>
      <c r="AW28">
        <f t="shared" si="9"/>
        <v>4.1532499349000007</v>
      </c>
      <c r="AX28" s="9"/>
      <c r="AY28" s="22">
        <v>-9.3078599999999994E-3</v>
      </c>
      <c r="AZ28" s="22">
        <v>554.79399999999998</v>
      </c>
      <c r="BA28" s="22">
        <v>-1.79413E-2</v>
      </c>
      <c r="BB28" s="22">
        <v>18</v>
      </c>
      <c r="BC28" s="22">
        <v>-9.5489500000000005E-3</v>
      </c>
      <c r="BD28">
        <f t="shared" si="10"/>
        <v>17.941300000000002</v>
      </c>
      <c r="BE28">
        <f t="shared" si="11"/>
        <v>-0.16699510861800002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75.579700000000003</v>
      </c>
      <c r="I29" s="22">
        <v>-8.2672100000000005E-3</v>
      </c>
      <c r="J29" s="22">
        <v>19</v>
      </c>
      <c r="K29" s="22">
        <v>1.7038</v>
      </c>
      <c r="L29">
        <f t="shared" si="0"/>
        <v>8.2672100000000004</v>
      </c>
      <c r="M29">
        <f t="shared" si="1"/>
        <v>14.089392642500002</v>
      </c>
      <c r="N29" s="9"/>
      <c r="O29" s="22">
        <v>-4.2724599999999996E-3</v>
      </c>
      <c r="P29" s="22">
        <v>141.54</v>
      </c>
      <c r="Q29" s="22">
        <v>-1.7977900000000002E-2</v>
      </c>
      <c r="R29" s="22">
        <v>19</v>
      </c>
      <c r="S29" s="22">
        <v>-4.3670699999999998E-3</v>
      </c>
      <c r="T29">
        <f t="shared" si="2"/>
        <v>17.977900000000002</v>
      </c>
      <c r="U29">
        <f t="shared" si="3"/>
        <v>-7.6809858634E-2</v>
      </c>
      <c r="X29" s="9"/>
      <c r="Y29" s="22">
        <v>1.70425</v>
      </c>
      <c r="Z29" s="22">
        <v>227.09299999999999</v>
      </c>
      <c r="AA29" s="22">
        <v>1.3604699999999999E-3</v>
      </c>
      <c r="AB29" s="22">
        <v>19</v>
      </c>
      <c r="AC29" s="22">
        <v>1.7034899999999999</v>
      </c>
      <c r="AD29">
        <f t="shared" si="4"/>
        <v>-1.3604699999999998</v>
      </c>
      <c r="AE29">
        <f t="shared" si="5"/>
        <v>-2.3185809974999998</v>
      </c>
      <c r="AF29" s="9"/>
      <c r="AG29" s="22">
        <v>-4.2724599999999996E-3</v>
      </c>
      <c r="AH29" s="22">
        <v>381.53</v>
      </c>
      <c r="AI29" s="22">
        <v>-1.7932099999999999E-2</v>
      </c>
      <c r="AJ29" s="22">
        <v>19</v>
      </c>
      <c r="AK29" s="22">
        <v>-4.4860799999999999E-3</v>
      </c>
      <c r="AL29">
        <f t="shared" si="6"/>
        <v>17.932099999999998</v>
      </c>
      <c r="AM29">
        <f t="shared" si="7"/>
        <v>-7.6614179965999993E-2</v>
      </c>
      <c r="AP29" s="9"/>
      <c r="AQ29" s="22">
        <v>1.70425</v>
      </c>
      <c r="AR29" s="22">
        <v>482.64100000000002</v>
      </c>
      <c r="AS29" s="22">
        <v>-3.9355500000000003E-3</v>
      </c>
      <c r="AT29" s="22">
        <v>19</v>
      </c>
      <c r="AU29" s="22">
        <v>1.70319</v>
      </c>
      <c r="AV29">
        <f t="shared" si="8"/>
        <v>3.9355500000000005</v>
      </c>
      <c r="AW29">
        <f t="shared" si="9"/>
        <v>6.7071610875000012</v>
      </c>
      <c r="AX29" s="9"/>
      <c r="AY29" s="22">
        <v>-4.2724599999999996E-3</v>
      </c>
      <c r="AZ29" s="22">
        <v>554.89499999999998</v>
      </c>
      <c r="BA29" s="22">
        <v>-1.7947399999999999E-2</v>
      </c>
      <c r="BB29" s="22">
        <v>19</v>
      </c>
      <c r="BC29" s="22">
        <v>-4.5501700000000001E-3</v>
      </c>
      <c r="BD29">
        <f t="shared" si="10"/>
        <v>17.947399999999998</v>
      </c>
      <c r="BE29">
        <f t="shared" si="11"/>
        <v>-7.6679548603999989E-2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75.680400000000006</v>
      </c>
      <c r="I30" s="22">
        <v>-9.0759299999999994E-3</v>
      </c>
      <c r="J30" s="22">
        <v>20</v>
      </c>
      <c r="K30" s="22">
        <v>1.6982999999999999</v>
      </c>
      <c r="L30">
        <f t="shared" si="0"/>
        <v>9.0759299999999996</v>
      </c>
      <c r="M30">
        <f t="shared" si="1"/>
        <v>15.422001774599998</v>
      </c>
      <c r="N30" s="9"/>
      <c r="O30" s="22">
        <v>7.6293900000000002E-4</v>
      </c>
      <c r="P30" s="22">
        <v>141.63999999999999</v>
      </c>
      <c r="Q30" s="22">
        <v>-1.7974899999999999E-2</v>
      </c>
      <c r="R30" s="22">
        <v>20</v>
      </c>
      <c r="S30" s="22">
        <v>4.27246E-4</v>
      </c>
      <c r="T30">
        <f t="shared" si="2"/>
        <v>17.974899999999998</v>
      </c>
      <c r="U30">
        <f t="shared" si="3"/>
        <v>1.3713752231099999E-2</v>
      </c>
      <c r="X30" s="9"/>
      <c r="Y30" s="22">
        <v>1.69922</v>
      </c>
      <c r="Z30" s="22">
        <v>227.19399999999999</v>
      </c>
      <c r="AA30" s="22">
        <v>-1.3772599999999999E-3</v>
      </c>
      <c r="AB30" s="22">
        <v>20</v>
      </c>
      <c r="AC30" s="22">
        <v>1.6982999999999999</v>
      </c>
      <c r="AD30">
        <f t="shared" si="4"/>
        <v>1.3772599999999999</v>
      </c>
      <c r="AE30">
        <f t="shared" si="5"/>
        <v>2.3402677372</v>
      </c>
      <c r="AF30" s="9"/>
      <c r="AG30" s="22">
        <v>7.6293900000000002E-4</v>
      </c>
      <c r="AH30" s="22">
        <v>381.63099999999997</v>
      </c>
      <c r="AI30" s="22">
        <v>-1.79291E-2</v>
      </c>
      <c r="AJ30" s="22">
        <v>20</v>
      </c>
      <c r="AK30" s="22">
        <v>6.4392099999999999E-4</v>
      </c>
      <c r="AL30">
        <f t="shared" si="6"/>
        <v>17.929099999999998</v>
      </c>
      <c r="AM30">
        <f t="shared" si="7"/>
        <v>1.36788096249E-2</v>
      </c>
      <c r="AP30" s="9"/>
      <c r="AQ30" s="22">
        <v>1.69922</v>
      </c>
      <c r="AR30" s="22">
        <v>482.74099999999999</v>
      </c>
      <c r="AS30" s="22">
        <v>-5.2032500000000004E-3</v>
      </c>
      <c r="AT30" s="22">
        <v>20</v>
      </c>
      <c r="AU30" s="22">
        <v>1.698</v>
      </c>
      <c r="AV30">
        <f t="shared" si="8"/>
        <v>5.2032500000000006</v>
      </c>
      <c r="AW30">
        <f t="shared" si="9"/>
        <v>8.8414664649999999</v>
      </c>
      <c r="AX30" s="9"/>
      <c r="AY30" s="22">
        <v>7.6293900000000002E-4</v>
      </c>
      <c r="AZ30" s="22">
        <v>554.995</v>
      </c>
      <c r="BA30" s="22">
        <v>-1.7935199999999998E-2</v>
      </c>
      <c r="BB30" s="22">
        <v>20</v>
      </c>
      <c r="BC30" s="22">
        <v>6.7748999999999999E-4</v>
      </c>
      <c r="BD30">
        <f t="shared" si="10"/>
        <v>17.935199999999998</v>
      </c>
      <c r="BE30">
        <f t="shared" si="11"/>
        <v>1.3683463552799998E-2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75.781099999999995</v>
      </c>
      <c r="I31" s="22">
        <v>-9.7961400000000001E-3</v>
      </c>
      <c r="J31" s="22">
        <v>21</v>
      </c>
      <c r="K31" s="22">
        <v>1.69373</v>
      </c>
      <c r="L31">
        <f t="shared" si="0"/>
        <v>9.7961399999999994</v>
      </c>
      <c r="M31">
        <f t="shared" si="1"/>
        <v>16.596424465199998</v>
      </c>
      <c r="N31" s="9"/>
      <c r="O31" s="22">
        <v>5.7983399999999999E-3</v>
      </c>
      <c r="P31" s="22">
        <v>141.74100000000001</v>
      </c>
      <c r="Q31" s="22">
        <v>-1.7977900000000002E-2</v>
      </c>
      <c r="R31" s="22">
        <v>21</v>
      </c>
      <c r="S31" s="22">
        <v>5.8288599999999999E-3</v>
      </c>
      <c r="T31">
        <f t="shared" si="2"/>
        <v>17.977900000000002</v>
      </c>
      <c r="U31">
        <f t="shared" si="3"/>
        <v>0.10424197668600001</v>
      </c>
      <c r="X31" s="9"/>
      <c r="Y31" s="22">
        <v>1.69418</v>
      </c>
      <c r="Z31" s="22">
        <v>227.29499999999999</v>
      </c>
      <c r="AA31" s="22">
        <v>-3.0621300000000001E-3</v>
      </c>
      <c r="AB31" s="22">
        <v>21</v>
      </c>
      <c r="AC31" s="22">
        <v>1.69312</v>
      </c>
      <c r="AD31">
        <f t="shared" si="4"/>
        <v>3.0621300000000002</v>
      </c>
      <c r="AE31">
        <f t="shared" si="5"/>
        <v>5.1877994034000006</v>
      </c>
      <c r="AF31" s="9"/>
      <c r="AG31" s="22">
        <v>5.7983399999999999E-3</v>
      </c>
      <c r="AH31" s="22">
        <v>381.73099999999999</v>
      </c>
      <c r="AI31" s="22">
        <v>-1.79291E-2</v>
      </c>
      <c r="AJ31" s="22">
        <v>21</v>
      </c>
      <c r="AK31" s="22">
        <v>5.6762699999999998E-3</v>
      </c>
      <c r="AL31">
        <f t="shared" si="6"/>
        <v>17.929099999999998</v>
      </c>
      <c r="AM31">
        <f t="shared" si="7"/>
        <v>0.10395901769399998</v>
      </c>
      <c r="AP31" s="9"/>
      <c r="AQ31" s="22">
        <v>1.69418</v>
      </c>
      <c r="AR31" s="22">
        <v>482.84199999999998</v>
      </c>
      <c r="AS31" s="22">
        <v>-6.2866199999999997E-3</v>
      </c>
      <c r="AT31" s="22">
        <v>21</v>
      </c>
      <c r="AU31" s="22">
        <v>1.69373</v>
      </c>
      <c r="AV31">
        <f t="shared" si="8"/>
        <v>6.2866200000000001</v>
      </c>
      <c r="AW31">
        <f t="shared" si="9"/>
        <v>10.650665871600001</v>
      </c>
      <c r="AX31" s="9"/>
      <c r="AY31" s="22">
        <v>5.7983399999999999E-3</v>
      </c>
      <c r="AZ31" s="22">
        <v>555.096</v>
      </c>
      <c r="BA31" s="22">
        <v>-1.7938200000000001E-2</v>
      </c>
      <c r="BB31" s="22">
        <v>21</v>
      </c>
      <c r="BC31" s="22">
        <v>5.4412799999999997E-3</v>
      </c>
      <c r="BD31">
        <f t="shared" si="10"/>
        <v>17.938200000000002</v>
      </c>
      <c r="BE31">
        <f t="shared" si="11"/>
        <v>0.10401178258800001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75.881799999999998</v>
      </c>
      <c r="I32" s="22">
        <v>-1.0418699999999999E-2</v>
      </c>
      <c r="J32" s="22">
        <v>22</v>
      </c>
      <c r="K32" s="22">
        <v>1.6885399999999999</v>
      </c>
      <c r="L32">
        <f t="shared" si="0"/>
        <v>10.418699999999999</v>
      </c>
      <c r="M32">
        <f t="shared" si="1"/>
        <v>17.598747104999998</v>
      </c>
      <c r="N32" s="9"/>
      <c r="O32" s="22">
        <v>1.08337E-2</v>
      </c>
      <c r="P32" s="22">
        <v>141.84200000000001</v>
      </c>
      <c r="Q32" s="22">
        <v>-1.79688E-2</v>
      </c>
      <c r="R32" s="22">
        <v>22</v>
      </c>
      <c r="S32" s="22">
        <v>1.06354E-2</v>
      </c>
      <c r="T32">
        <f t="shared" si="2"/>
        <v>17.968800000000002</v>
      </c>
      <c r="U32">
        <f t="shared" si="3"/>
        <v>0.19466858856000002</v>
      </c>
      <c r="X32" s="9"/>
      <c r="Y32" s="22">
        <v>1.6891499999999999</v>
      </c>
      <c r="Z32" s="22">
        <v>227.39500000000001</v>
      </c>
      <c r="AA32" s="22">
        <v>-4.5269799999999999E-3</v>
      </c>
      <c r="AB32" s="22">
        <v>22</v>
      </c>
      <c r="AC32" s="22">
        <v>1.6885399999999999</v>
      </c>
      <c r="AD32">
        <f t="shared" si="4"/>
        <v>4.52698</v>
      </c>
      <c r="AE32">
        <f t="shared" si="5"/>
        <v>7.6467482669999995</v>
      </c>
      <c r="AF32" s="9"/>
      <c r="AG32" s="22">
        <v>1.08337E-2</v>
      </c>
      <c r="AH32" s="22">
        <v>381.83199999999999</v>
      </c>
      <c r="AI32" s="22">
        <v>-1.7926000000000001E-2</v>
      </c>
      <c r="AJ32" s="22">
        <v>22</v>
      </c>
      <c r="AK32" s="22">
        <v>1.07452E-2</v>
      </c>
      <c r="AL32">
        <f t="shared" si="6"/>
        <v>17.926000000000002</v>
      </c>
      <c r="AM32">
        <f t="shared" si="7"/>
        <v>0.19420490620000003</v>
      </c>
      <c r="AP32" s="9"/>
      <c r="AQ32" s="22">
        <v>1.6891499999999999</v>
      </c>
      <c r="AR32" s="22">
        <v>482.94299999999998</v>
      </c>
      <c r="AS32" s="22">
        <v>-7.20215E-3</v>
      </c>
      <c r="AT32" s="22">
        <v>22</v>
      </c>
      <c r="AU32" s="22">
        <v>1.6879299999999999</v>
      </c>
      <c r="AV32">
        <f t="shared" si="8"/>
        <v>7.2021499999999996</v>
      </c>
      <c r="AW32">
        <f t="shared" si="9"/>
        <v>12.165511672499999</v>
      </c>
      <c r="AX32" s="9"/>
      <c r="AY32" s="22">
        <v>1.08337E-2</v>
      </c>
      <c r="AZ32" s="22">
        <v>555.197</v>
      </c>
      <c r="BA32" s="22">
        <v>-1.79413E-2</v>
      </c>
      <c r="BB32" s="22">
        <v>22</v>
      </c>
      <c r="BC32" s="22">
        <v>1.05103E-2</v>
      </c>
      <c r="BD32">
        <f t="shared" si="10"/>
        <v>17.941300000000002</v>
      </c>
      <c r="BE32">
        <f t="shared" si="11"/>
        <v>0.19437066181000001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75.982500000000002</v>
      </c>
      <c r="I33" s="22">
        <v>-1.10077E-2</v>
      </c>
      <c r="J33" s="22">
        <v>23</v>
      </c>
      <c r="K33" s="22">
        <v>1.6833499999999999</v>
      </c>
      <c r="L33">
        <f t="shared" si="0"/>
        <v>11.0077</v>
      </c>
      <c r="M33">
        <f t="shared" si="1"/>
        <v>18.538177647000001</v>
      </c>
      <c r="N33" s="9"/>
      <c r="O33" s="22">
        <v>1.5869100000000001E-2</v>
      </c>
      <c r="P33" s="22">
        <v>141.94300000000001</v>
      </c>
      <c r="Q33" s="22">
        <v>-1.7965700000000001E-2</v>
      </c>
      <c r="R33" s="22">
        <v>23</v>
      </c>
      <c r="S33" s="22">
        <v>1.5744000000000001E-2</v>
      </c>
      <c r="T33">
        <f t="shared" si="2"/>
        <v>17.965700000000002</v>
      </c>
      <c r="U33">
        <f t="shared" si="3"/>
        <v>0.28509948987000006</v>
      </c>
      <c r="X33" s="9"/>
      <c r="Y33" s="22">
        <v>1.68411</v>
      </c>
      <c r="Z33" s="22">
        <v>227.49600000000001</v>
      </c>
      <c r="AA33" s="22">
        <v>-5.5908199999999998E-3</v>
      </c>
      <c r="AB33" s="22">
        <v>23</v>
      </c>
      <c r="AC33" s="22">
        <v>1.6836500000000001</v>
      </c>
      <c r="AD33">
        <f t="shared" si="4"/>
        <v>5.5908199999999999</v>
      </c>
      <c r="AE33">
        <f t="shared" si="5"/>
        <v>9.4155558702000004</v>
      </c>
      <c r="AF33" s="9"/>
      <c r="AG33" s="22">
        <v>1.5869100000000001E-2</v>
      </c>
      <c r="AH33" s="22">
        <v>381.93299999999999</v>
      </c>
      <c r="AI33" s="22">
        <v>-1.7926000000000001E-2</v>
      </c>
      <c r="AJ33" s="22">
        <v>23</v>
      </c>
      <c r="AK33" s="22">
        <v>1.5853900000000001E-2</v>
      </c>
      <c r="AL33">
        <f t="shared" si="6"/>
        <v>17.926000000000002</v>
      </c>
      <c r="AM33">
        <f t="shared" si="7"/>
        <v>0.28446948660000004</v>
      </c>
      <c r="AP33" s="9"/>
      <c r="AQ33" s="22">
        <v>1.68411</v>
      </c>
      <c r="AR33" s="22">
        <v>483.04300000000001</v>
      </c>
      <c r="AS33" s="22">
        <v>-8.01697E-3</v>
      </c>
      <c r="AT33" s="22">
        <v>23</v>
      </c>
      <c r="AU33" s="22">
        <v>1.6833499999999999</v>
      </c>
      <c r="AV33">
        <f t="shared" si="8"/>
        <v>8.0169700000000006</v>
      </c>
      <c r="AW33">
        <f t="shared" si="9"/>
        <v>13.501459346700001</v>
      </c>
      <c r="AX33" s="9"/>
      <c r="AY33" s="22">
        <v>1.5869100000000001E-2</v>
      </c>
      <c r="AZ33" s="22">
        <v>555.298</v>
      </c>
      <c r="BA33" s="22">
        <v>-1.7935199999999998E-2</v>
      </c>
      <c r="BB33" s="22">
        <v>23</v>
      </c>
      <c r="BC33" s="22">
        <v>1.6314700000000001E-2</v>
      </c>
      <c r="BD33">
        <f t="shared" si="10"/>
        <v>17.935199999999998</v>
      </c>
      <c r="BE33">
        <f t="shared" si="11"/>
        <v>0.28461548232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76.083200000000005</v>
      </c>
      <c r="I34" s="22">
        <v>-1.14655E-2</v>
      </c>
      <c r="J34" s="22">
        <v>24</v>
      </c>
      <c r="K34" s="22">
        <v>1.6784699999999999</v>
      </c>
      <c r="L34">
        <f t="shared" si="0"/>
        <v>11.4655</v>
      </c>
      <c r="M34">
        <f t="shared" si="1"/>
        <v>19.251491739999999</v>
      </c>
      <c r="N34" s="9"/>
      <c r="O34" s="22">
        <v>2.0904499999999999E-2</v>
      </c>
      <c r="P34" s="22">
        <v>142.04300000000001</v>
      </c>
      <c r="Q34" s="22">
        <v>-1.7965700000000001E-2</v>
      </c>
      <c r="R34" s="22">
        <v>24</v>
      </c>
      <c r="S34" s="22">
        <v>2.1051E-2</v>
      </c>
      <c r="T34">
        <f t="shared" si="2"/>
        <v>17.965700000000002</v>
      </c>
      <c r="U34">
        <f t="shared" si="3"/>
        <v>0.37556397565000005</v>
      </c>
      <c r="X34" s="9"/>
      <c r="Y34" s="22">
        <v>1.6790799999999999</v>
      </c>
      <c r="Z34" s="22">
        <v>227.59700000000001</v>
      </c>
      <c r="AA34" s="22">
        <v>-7.3791500000000001E-3</v>
      </c>
      <c r="AB34" s="22">
        <v>24</v>
      </c>
      <c r="AC34" s="22">
        <v>1.6781600000000001</v>
      </c>
      <c r="AD34">
        <f t="shared" si="4"/>
        <v>7.3791500000000001</v>
      </c>
      <c r="AE34">
        <f t="shared" si="5"/>
        <v>12.390183181999999</v>
      </c>
      <c r="AF34" s="9"/>
      <c r="AG34" s="22">
        <v>2.0904499999999999E-2</v>
      </c>
      <c r="AH34" s="22">
        <v>382.03300000000002</v>
      </c>
      <c r="AI34" s="22">
        <v>-1.7919899999999999E-2</v>
      </c>
      <c r="AJ34" s="22">
        <v>24</v>
      </c>
      <c r="AK34" s="22">
        <v>2.0770299999999998E-2</v>
      </c>
      <c r="AL34">
        <f t="shared" si="6"/>
        <v>17.919899999999998</v>
      </c>
      <c r="AM34">
        <f t="shared" si="7"/>
        <v>0.37460654954999995</v>
      </c>
      <c r="AP34" s="9"/>
      <c r="AQ34" s="22">
        <v>1.6790799999999999</v>
      </c>
      <c r="AR34" s="22">
        <v>483.14400000000001</v>
      </c>
      <c r="AS34" s="22">
        <v>-8.7585400000000004E-3</v>
      </c>
      <c r="AT34" s="22">
        <v>24</v>
      </c>
      <c r="AU34" s="22">
        <v>1.6781600000000001</v>
      </c>
      <c r="AV34">
        <f t="shared" si="8"/>
        <v>8.75854</v>
      </c>
      <c r="AW34">
        <f t="shared" si="9"/>
        <v>14.7062893432</v>
      </c>
      <c r="AX34" s="9"/>
      <c r="AY34" s="22">
        <v>2.0904499999999999E-2</v>
      </c>
      <c r="AZ34" s="22">
        <v>555.39800000000002</v>
      </c>
      <c r="BA34" s="22">
        <v>-1.7932099999999999E-2</v>
      </c>
      <c r="BB34" s="22">
        <v>24</v>
      </c>
      <c r="BC34" s="22">
        <v>2.0742799999999999E-2</v>
      </c>
      <c r="BD34">
        <f t="shared" si="10"/>
        <v>17.932099999999998</v>
      </c>
      <c r="BE34">
        <f t="shared" si="11"/>
        <v>0.37486158444999995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76.183899999999994</v>
      </c>
      <c r="I35" s="22">
        <v>-1.1886600000000001E-2</v>
      </c>
      <c r="J35" s="22">
        <v>25</v>
      </c>
      <c r="K35" s="22">
        <v>1.6729700000000001</v>
      </c>
      <c r="L35">
        <f t="shared" si="0"/>
        <v>11.886600000000001</v>
      </c>
      <c r="M35">
        <f t="shared" si="1"/>
        <v>19.898643864</v>
      </c>
      <c r="N35" s="9"/>
      <c r="O35" s="22">
        <v>2.5939899999999998E-2</v>
      </c>
      <c r="P35" s="22">
        <v>142.14400000000001</v>
      </c>
      <c r="Q35" s="22">
        <v>-1.7965700000000001E-2</v>
      </c>
      <c r="R35" s="22">
        <v>25</v>
      </c>
      <c r="S35" s="22">
        <v>2.5964399999999999E-2</v>
      </c>
      <c r="T35">
        <f t="shared" si="2"/>
        <v>17.965700000000002</v>
      </c>
      <c r="U35">
        <f t="shared" si="3"/>
        <v>0.46602846143000004</v>
      </c>
      <c r="X35" s="9"/>
      <c r="Y35" s="22">
        <v>1.67404</v>
      </c>
      <c r="Z35" s="22">
        <v>227.697</v>
      </c>
      <c r="AA35" s="22">
        <v>-8.1390400000000002E-3</v>
      </c>
      <c r="AB35" s="22">
        <v>25</v>
      </c>
      <c r="AC35" s="22">
        <v>1.6732800000000001</v>
      </c>
      <c r="AD35">
        <f t="shared" si="4"/>
        <v>8.1390399999999996</v>
      </c>
      <c r="AE35">
        <f t="shared" si="5"/>
        <v>13.625078521599999</v>
      </c>
      <c r="AF35" s="9"/>
      <c r="AG35" s="22">
        <v>2.5939899999999998E-2</v>
      </c>
      <c r="AH35" s="22">
        <v>382.13400000000001</v>
      </c>
      <c r="AI35" s="22">
        <v>-1.79291E-2</v>
      </c>
      <c r="AJ35" s="22">
        <v>25</v>
      </c>
      <c r="AK35" s="22">
        <v>2.59064E-2</v>
      </c>
      <c r="AL35">
        <f t="shared" si="6"/>
        <v>17.929099999999998</v>
      </c>
      <c r="AM35">
        <f t="shared" si="7"/>
        <v>0.46507906108999991</v>
      </c>
      <c r="AP35" s="9"/>
      <c r="AQ35" s="22">
        <v>1.67404</v>
      </c>
      <c r="AR35" s="22">
        <v>483.245</v>
      </c>
      <c r="AS35" s="22">
        <v>-9.3658400000000003E-3</v>
      </c>
      <c r="AT35" s="22">
        <v>25</v>
      </c>
      <c r="AU35" s="22">
        <v>1.6723600000000001</v>
      </c>
      <c r="AV35">
        <f t="shared" si="8"/>
        <v>9.3658400000000004</v>
      </c>
      <c r="AW35">
        <f t="shared" si="9"/>
        <v>15.678790793600001</v>
      </c>
      <c r="AX35" s="9"/>
      <c r="AY35" s="22">
        <v>2.5939899999999998E-2</v>
      </c>
      <c r="AZ35" s="22">
        <v>555.49900000000002</v>
      </c>
      <c r="BA35" s="22">
        <v>-1.79291E-2</v>
      </c>
      <c r="BB35" s="22">
        <v>25</v>
      </c>
      <c r="BC35" s="22">
        <v>2.6003999999999999E-2</v>
      </c>
      <c r="BD35">
        <f t="shared" si="10"/>
        <v>17.929099999999998</v>
      </c>
      <c r="BE35">
        <f t="shared" si="11"/>
        <v>0.46507906108999991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76.284599999999998</v>
      </c>
      <c r="I36" s="22">
        <v>-1.22589E-2</v>
      </c>
      <c r="J36" s="22">
        <v>26</v>
      </c>
      <c r="K36" s="22">
        <v>1.6684000000000001</v>
      </c>
      <c r="L36">
        <f t="shared" si="0"/>
        <v>12.258899999999999</v>
      </c>
      <c r="M36">
        <f t="shared" si="1"/>
        <v>20.460226688999999</v>
      </c>
      <c r="N36" s="9"/>
      <c r="O36" s="22">
        <v>3.0975300000000001E-2</v>
      </c>
      <c r="P36" s="22">
        <v>142.245</v>
      </c>
      <c r="Q36" s="22">
        <v>-1.7959599999999999E-2</v>
      </c>
      <c r="R36" s="22">
        <v>26</v>
      </c>
      <c r="S36" s="22">
        <v>3.09509E-2</v>
      </c>
      <c r="T36">
        <f t="shared" si="2"/>
        <v>17.959599999999998</v>
      </c>
      <c r="U36">
        <f t="shared" si="3"/>
        <v>0.55630399787999996</v>
      </c>
      <c r="X36" s="9"/>
      <c r="Y36" s="22">
        <v>1.6690100000000001</v>
      </c>
      <c r="Z36" s="22">
        <v>227.798</v>
      </c>
      <c r="AA36" s="22">
        <v>-8.9355500000000004E-3</v>
      </c>
      <c r="AB36" s="22">
        <v>26</v>
      </c>
      <c r="AC36" s="22">
        <v>1.6677900000000001</v>
      </c>
      <c r="AD36">
        <f t="shared" si="4"/>
        <v>8.935550000000001</v>
      </c>
      <c r="AE36">
        <f t="shared" si="5"/>
        <v>14.913522305500003</v>
      </c>
      <c r="AF36" s="9"/>
      <c r="AG36" s="22">
        <v>3.0975300000000001E-2</v>
      </c>
      <c r="AH36" s="22">
        <v>382.23500000000001</v>
      </c>
      <c r="AI36" s="22">
        <v>-1.7926000000000001E-2</v>
      </c>
      <c r="AJ36" s="22">
        <v>26</v>
      </c>
      <c r="AK36" s="22">
        <v>3.09631E-2</v>
      </c>
      <c r="AL36">
        <f t="shared" si="6"/>
        <v>17.926000000000002</v>
      </c>
      <c r="AM36">
        <f t="shared" si="7"/>
        <v>0.55526322780000004</v>
      </c>
      <c r="AP36" s="9"/>
      <c r="AQ36" s="22">
        <v>1.6690100000000001</v>
      </c>
      <c r="AR36" s="22">
        <v>483.34500000000003</v>
      </c>
      <c r="AS36" s="22">
        <v>-9.9273699999999996E-3</v>
      </c>
      <c r="AT36" s="22">
        <v>26</v>
      </c>
      <c r="AU36" s="22">
        <v>1.6674800000000001</v>
      </c>
      <c r="AV36">
        <f t="shared" si="8"/>
        <v>9.9273699999999998</v>
      </c>
      <c r="AW36">
        <f t="shared" si="9"/>
        <v>16.5688798037</v>
      </c>
      <c r="AX36" s="9"/>
      <c r="AY36" s="22">
        <v>3.0975300000000001E-2</v>
      </c>
      <c r="AZ36" s="22">
        <v>555.6</v>
      </c>
      <c r="BA36" s="22">
        <v>-1.7932099999999999E-2</v>
      </c>
      <c r="BB36" s="22">
        <v>26</v>
      </c>
      <c r="BC36" s="22">
        <v>3.0917400000000001E-2</v>
      </c>
      <c r="BD36">
        <f t="shared" si="10"/>
        <v>17.932099999999998</v>
      </c>
      <c r="BE36">
        <f t="shared" si="11"/>
        <v>0.55545217712999995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76.385300000000001</v>
      </c>
      <c r="I37" s="22">
        <v>-1.2600699999999999E-2</v>
      </c>
      <c r="J37" s="22">
        <v>27</v>
      </c>
      <c r="K37" s="22">
        <v>1.6629</v>
      </c>
      <c r="L37">
        <f t="shared" si="0"/>
        <v>12.6007</v>
      </c>
      <c r="M37">
        <f t="shared" si="1"/>
        <v>20.967186778999999</v>
      </c>
      <c r="N37" s="9"/>
      <c r="O37" s="22">
        <v>3.60107E-2</v>
      </c>
      <c r="P37" s="22">
        <v>142.345</v>
      </c>
      <c r="Q37" s="22">
        <v>-1.7959599999999999E-2</v>
      </c>
      <c r="R37" s="22">
        <v>27</v>
      </c>
      <c r="S37" s="22">
        <v>3.6044300000000001E-2</v>
      </c>
      <c r="T37">
        <f t="shared" si="2"/>
        <v>17.959599999999998</v>
      </c>
      <c r="U37">
        <f t="shared" si="3"/>
        <v>0.64673776771999991</v>
      </c>
      <c r="X37" s="9"/>
      <c r="Y37" s="22">
        <v>1.6639699999999999</v>
      </c>
      <c r="Z37" s="22">
        <v>227.899</v>
      </c>
      <c r="AA37" s="22">
        <v>-9.6588100000000003E-3</v>
      </c>
      <c r="AB37" s="22">
        <v>27</v>
      </c>
      <c r="AC37" s="22">
        <v>1.6629</v>
      </c>
      <c r="AD37">
        <f t="shared" si="4"/>
        <v>9.6588100000000008</v>
      </c>
      <c r="AE37">
        <f t="shared" si="5"/>
        <v>16.071970075700001</v>
      </c>
      <c r="AF37" s="9"/>
      <c r="AG37" s="22">
        <v>3.60107E-2</v>
      </c>
      <c r="AH37" s="22">
        <v>382.33499999999998</v>
      </c>
      <c r="AI37" s="22">
        <v>-1.7907699999999999E-2</v>
      </c>
      <c r="AJ37" s="22">
        <v>27</v>
      </c>
      <c r="AK37" s="22">
        <v>3.6102299999999997E-2</v>
      </c>
      <c r="AL37">
        <f t="shared" si="6"/>
        <v>17.907699999999998</v>
      </c>
      <c r="AM37">
        <f t="shared" si="7"/>
        <v>0.64486881238999993</v>
      </c>
      <c r="AP37" s="9"/>
      <c r="AQ37" s="22">
        <v>1.6639699999999999</v>
      </c>
      <c r="AR37" s="22">
        <v>483.44600000000003</v>
      </c>
      <c r="AS37" s="22">
        <v>-1.0406500000000001E-2</v>
      </c>
      <c r="AT37" s="22">
        <v>27</v>
      </c>
      <c r="AU37" s="22">
        <v>1.6626000000000001</v>
      </c>
      <c r="AV37">
        <f t="shared" si="8"/>
        <v>10.406500000000001</v>
      </c>
      <c r="AW37">
        <f t="shared" si="9"/>
        <v>17.316103805000001</v>
      </c>
      <c r="AX37" s="9"/>
      <c r="AY37" s="22">
        <v>3.60107E-2</v>
      </c>
      <c r="AZ37" s="22">
        <v>555.70000000000005</v>
      </c>
      <c r="BA37" s="22">
        <v>-1.7923000000000001E-2</v>
      </c>
      <c r="BB37" s="22">
        <v>27</v>
      </c>
      <c r="BC37" s="22">
        <v>3.6007699999999997E-2</v>
      </c>
      <c r="BD37">
        <f t="shared" si="10"/>
        <v>17.923000000000002</v>
      </c>
      <c r="BE37">
        <f t="shared" si="11"/>
        <v>0.64541977610000001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76.486000000000004</v>
      </c>
      <c r="I38" s="22">
        <v>-1.2912E-2</v>
      </c>
      <c r="J38" s="22">
        <v>28</v>
      </c>
      <c r="K38" s="22">
        <v>1.6583300000000001</v>
      </c>
      <c r="L38">
        <f t="shared" si="0"/>
        <v>12.911999999999999</v>
      </c>
      <c r="M38">
        <f t="shared" si="1"/>
        <v>21.420233279999998</v>
      </c>
      <c r="N38" s="9"/>
      <c r="O38" s="22">
        <v>4.1046100000000002E-2</v>
      </c>
      <c r="P38" s="22">
        <v>142.446</v>
      </c>
      <c r="Q38" s="22">
        <v>-1.7959599999999999E-2</v>
      </c>
      <c r="R38" s="22">
        <v>28</v>
      </c>
      <c r="S38" s="22">
        <v>4.09302E-2</v>
      </c>
      <c r="T38">
        <f t="shared" si="2"/>
        <v>17.959599999999998</v>
      </c>
      <c r="U38">
        <f t="shared" si="3"/>
        <v>0.73717153755999998</v>
      </c>
      <c r="X38" s="9"/>
      <c r="Y38" s="22">
        <v>1.6589400000000001</v>
      </c>
      <c r="Z38" s="22">
        <v>227.999</v>
      </c>
      <c r="AA38" s="22">
        <v>-1.0201999999999999E-2</v>
      </c>
      <c r="AB38" s="22">
        <v>28</v>
      </c>
      <c r="AC38" s="22">
        <v>1.65771</v>
      </c>
      <c r="AD38">
        <f t="shared" si="4"/>
        <v>10.202</v>
      </c>
      <c r="AE38">
        <f t="shared" si="5"/>
        <v>16.924505880000002</v>
      </c>
      <c r="AF38" s="9"/>
      <c r="AG38" s="22">
        <v>4.1046100000000002E-2</v>
      </c>
      <c r="AH38" s="22">
        <v>382.43599999999998</v>
      </c>
      <c r="AI38" s="22">
        <v>-1.7923000000000001E-2</v>
      </c>
      <c r="AJ38" s="22">
        <v>28</v>
      </c>
      <c r="AK38" s="22">
        <v>4.12567E-2</v>
      </c>
      <c r="AL38">
        <f t="shared" si="6"/>
        <v>17.923000000000002</v>
      </c>
      <c r="AM38">
        <f t="shared" si="7"/>
        <v>0.73566925030000008</v>
      </c>
      <c r="AP38" s="9"/>
      <c r="AQ38" s="22">
        <v>1.6589400000000001</v>
      </c>
      <c r="AR38" s="22">
        <v>483.54700000000003</v>
      </c>
      <c r="AS38" s="22">
        <v>-1.0891700000000001E-2</v>
      </c>
      <c r="AT38" s="22">
        <v>28</v>
      </c>
      <c r="AU38" s="22">
        <v>1.6583300000000001</v>
      </c>
      <c r="AV38">
        <f t="shared" si="8"/>
        <v>10.8917</v>
      </c>
      <c r="AW38">
        <f t="shared" si="9"/>
        <v>18.068676798000002</v>
      </c>
      <c r="AX38" s="9"/>
      <c r="AY38" s="22">
        <v>4.1046100000000002E-2</v>
      </c>
      <c r="AZ38" s="22">
        <v>555.80100000000004</v>
      </c>
      <c r="BA38" s="22">
        <v>-1.7916899999999999E-2</v>
      </c>
      <c r="BB38" s="22">
        <v>28</v>
      </c>
      <c r="BC38" s="22">
        <v>4.1079699999999997E-2</v>
      </c>
      <c r="BD38">
        <f t="shared" si="10"/>
        <v>17.916899999999998</v>
      </c>
      <c r="BE38">
        <f t="shared" si="11"/>
        <v>0.73541886908999998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76.586799999999997</v>
      </c>
      <c r="I39" s="22">
        <v>-1.31836E-2</v>
      </c>
      <c r="J39" s="22">
        <v>29</v>
      </c>
      <c r="K39" s="22">
        <v>1.6531400000000001</v>
      </c>
      <c r="L39">
        <f t="shared" si="0"/>
        <v>13.1836</v>
      </c>
      <c r="M39">
        <f t="shared" si="1"/>
        <v>21.804356039999998</v>
      </c>
      <c r="N39" s="9"/>
      <c r="O39" s="22">
        <v>4.6081499999999997E-2</v>
      </c>
      <c r="P39" s="22">
        <v>142.547</v>
      </c>
      <c r="Q39" s="22">
        <v>-1.7959599999999999E-2</v>
      </c>
      <c r="R39" s="22">
        <v>29</v>
      </c>
      <c r="S39" s="22">
        <v>4.6102900000000002E-2</v>
      </c>
      <c r="T39">
        <f t="shared" si="2"/>
        <v>17.959599999999998</v>
      </c>
      <c r="U39">
        <f t="shared" si="3"/>
        <v>0.82760530739999982</v>
      </c>
      <c r="X39" s="9"/>
      <c r="Y39" s="22">
        <v>1.6538999999999999</v>
      </c>
      <c r="Z39" s="22">
        <v>228.1</v>
      </c>
      <c r="AA39" s="22">
        <v>-1.0815399999999999E-2</v>
      </c>
      <c r="AB39" s="22">
        <v>29</v>
      </c>
      <c r="AC39" s="22">
        <v>1.6531400000000001</v>
      </c>
      <c r="AD39">
        <f t="shared" si="4"/>
        <v>10.815399999999999</v>
      </c>
      <c r="AE39">
        <f t="shared" si="5"/>
        <v>17.887590059999997</v>
      </c>
      <c r="AF39" s="9"/>
      <c r="AG39" s="22">
        <v>4.6081499999999997E-2</v>
      </c>
      <c r="AH39" s="22">
        <v>382.53699999999998</v>
      </c>
      <c r="AI39" s="22">
        <v>-1.7913800000000001E-2</v>
      </c>
      <c r="AJ39" s="22">
        <v>29</v>
      </c>
      <c r="AK39" s="22">
        <v>4.5947300000000003E-2</v>
      </c>
      <c r="AL39">
        <f t="shared" si="6"/>
        <v>17.913800000000002</v>
      </c>
      <c r="AM39">
        <f t="shared" si="7"/>
        <v>0.82549477469999999</v>
      </c>
      <c r="AP39" s="9"/>
      <c r="AQ39" s="22">
        <v>1.6538999999999999</v>
      </c>
      <c r="AR39" s="22">
        <v>483.64800000000002</v>
      </c>
      <c r="AS39" s="22">
        <v>-1.12976E-2</v>
      </c>
      <c r="AT39" s="22">
        <v>29</v>
      </c>
      <c r="AU39" s="22">
        <v>1.6531400000000001</v>
      </c>
      <c r="AV39">
        <f t="shared" si="8"/>
        <v>11.297599999999999</v>
      </c>
      <c r="AW39">
        <f t="shared" si="9"/>
        <v>18.685100639999998</v>
      </c>
      <c r="AX39" s="9"/>
      <c r="AY39" s="22">
        <v>4.6081499999999997E-2</v>
      </c>
      <c r="AZ39" s="22">
        <v>555.90200000000004</v>
      </c>
      <c r="BA39" s="22">
        <v>-1.7919899999999999E-2</v>
      </c>
      <c r="BB39" s="22">
        <v>29</v>
      </c>
      <c r="BC39" s="22">
        <v>4.5992999999999999E-2</v>
      </c>
      <c r="BD39">
        <f t="shared" si="10"/>
        <v>17.919899999999998</v>
      </c>
      <c r="BE39">
        <f t="shared" si="11"/>
        <v>0.8257758718499999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76.6875</v>
      </c>
      <c r="I40" s="22">
        <v>-1.3443E-2</v>
      </c>
      <c r="J40" s="22">
        <v>30</v>
      </c>
      <c r="K40" s="22">
        <v>1.64795</v>
      </c>
      <c r="L40">
        <f t="shared" si="0"/>
        <v>13.443</v>
      </c>
      <c r="M40">
        <f t="shared" si="1"/>
        <v>22.16562498</v>
      </c>
      <c r="N40" s="9"/>
      <c r="O40" s="22">
        <v>5.11169E-2</v>
      </c>
      <c r="P40" s="22">
        <v>142.648</v>
      </c>
      <c r="Q40" s="22">
        <v>-1.79565E-2</v>
      </c>
      <c r="R40" s="22">
        <v>30</v>
      </c>
      <c r="S40" s="22">
        <v>5.1098600000000001E-2</v>
      </c>
      <c r="T40">
        <f t="shared" si="2"/>
        <v>17.956500000000002</v>
      </c>
      <c r="U40">
        <f t="shared" si="3"/>
        <v>0.91788061485000005</v>
      </c>
      <c r="X40" s="9"/>
      <c r="Y40" s="22">
        <v>1.64886</v>
      </c>
      <c r="Z40" s="22">
        <v>228.20099999999999</v>
      </c>
      <c r="AA40" s="22">
        <v>-1.11542E-2</v>
      </c>
      <c r="AB40" s="22">
        <v>30</v>
      </c>
      <c r="AC40" s="22">
        <v>1.64795</v>
      </c>
      <c r="AD40">
        <f t="shared" si="4"/>
        <v>11.154199999999999</v>
      </c>
      <c r="AE40">
        <f t="shared" si="5"/>
        <v>18.391714212</v>
      </c>
      <c r="AF40" s="9"/>
      <c r="AG40" s="22">
        <v>5.11169E-2</v>
      </c>
      <c r="AH40" s="22">
        <v>382.63799999999998</v>
      </c>
      <c r="AI40" s="22">
        <v>-1.7910800000000001E-2</v>
      </c>
      <c r="AJ40" s="22">
        <v>30</v>
      </c>
      <c r="AK40" s="22">
        <v>5.1095599999999998E-2</v>
      </c>
      <c r="AL40">
        <f t="shared" si="6"/>
        <v>17.910800000000002</v>
      </c>
      <c r="AM40">
        <f t="shared" si="7"/>
        <v>0.9155445725200001</v>
      </c>
      <c r="AP40" s="9"/>
      <c r="AQ40" s="22">
        <v>1.64886</v>
      </c>
      <c r="AR40" s="22">
        <v>483.74799999999999</v>
      </c>
      <c r="AS40" s="22">
        <v>-1.1660800000000001E-2</v>
      </c>
      <c r="AT40" s="22">
        <v>30</v>
      </c>
      <c r="AU40" s="22">
        <v>1.64795</v>
      </c>
      <c r="AV40">
        <f t="shared" si="8"/>
        <v>11.6608</v>
      </c>
      <c r="AW40">
        <f t="shared" si="9"/>
        <v>19.227026687999999</v>
      </c>
      <c r="AX40" s="9"/>
      <c r="AY40" s="22">
        <v>5.11169E-2</v>
      </c>
      <c r="AZ40" s="22">
        <v>556.00199999999995</v>
      </c>
      <c r="BA40" s="22">
        <v>-1.7913800000000001E-2</v>
      </c>
      <c r="BB40" s="22">
        <v>30</v>
      </c>
      <c r="BC40" s="22">
        <v>5.1113899999999997E-2</v>
      </c>
      <c r="BD40">
        <f t="shared" si="10"/>
        <v>17.913800000000002</v>
      </c>
      <c r="BE40">
        <f t="shared" si="11"/>
        <v>0.9156979232200001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76.788200000000003</v>
      </c>
      <c r="I41" s="22">
        <v>-1.36597E-2</v>
      </c>
      <c r="J41" s="22">
        <v>31</v>
      </c>
      <c r="K41" s="22">
        <v>1.64307</v>
      </c>
      <c r="L41">
        <f t="shared" si="0"/>
        <v>13.659700000000001</v>
      </c>
      <c r="M41">
        <f t="shared" si="1"/>
        <v>22.454224651000001</v>
      </c>
      <c r="N41" s="9"/>
      <c r="O41" s="22">
        <v>5.6152300000000002E-2</v>
      </c>
      <c r="P41" s="22">
        <v>142.74799999999999</v>
      </c>
      <c r="Q41" s="22">
        <v>-1.79565E-2</v>
      </c>
      <c r="R41" s="22">
        <v>31</v>
      </c>
      <c r="S41" s="22">
        <v>5.58472E-2</v>
      </c>
      <c r="T41">
        <f t="shared" si="2"/>
        <v>17.956500000000002</v>
      </c>
      <c r="U41">
        <f t="shared" si="3"/>
        <v>1.0082987749500001</v>
      </c>
      <c r="X41" s="9"/>
      <c r="Y41" s="22">
        <v>1.6438299999999999</v>
      </c>
      <c r="Z41" s="22">
        <v>228.30199999999999</v>
      </c>
      <c r="AA41" s="22">
        <v>-1.1972E-2</v>
      </c>
      <c r="AB41" s="22">
        <v>31</v>
      </c>
      <c r="AC41" s="22">
        <v>1.64368</v>
      </c>
      <c r="AD41">
        <f t="shared" si="4"/>
        <v>11.972</v>
      </c>
      <c r="AE41">
        <f t="shared" si="5"/>
        <v>19.67993276</v>
      </c>
      <c r="AF41" s="9"/>
      <c r="AG41" s="22">
        <v>5.6152300000000002E-2</v>
      </c>
      <c r="AH41" s="22">
        <v>382.738</v>
      </c>
      <c r="AI41" s="22">
        <v>-1.7907699999999999E-2</v>
      </c>
      <c r="AJ41" s="22">
        <v>31</v>
      </c>
      <c r="AK41" s="22">
        <v>5.5542000000000001E-2</v>
      </c>
      <c r="AL41">
        <f t="shared" si="6"/>
        <v>17.907699999999998</v>
      </c>
      <c r="AM41">
        <f t="shared" si="7"/>
        <v>1.00555854271</v>
      </c>
      <c r="AP41" s="9"/>
      <c r="AQ41" s="22">
        <v>1.6438299999999999</v>
      </c>
      <c r="AR41" s="22">
        <v>483.84899999999999</v>
      </c>
      <c r="AS41" s="22">
        <v>-1.2014800000000001E-2</v>
      </c>
      <c r="AT41" s="22">
        <v>31</v>
      </c>
      <c r="AU41" s="22">
        <v>1.64307</v>
      </c>
      <c r="AV41">
        <f t="shared" si="8"/>
        <v>12.014800000000001</v>
      </c>
      <c r="AW41">
        <f t="shared" si="9"/>
        <v>19.750288684000001</v>
      </c>
      <c r="AX41" s="9"/>
      <c r="AY41" s="22">
        <v>5.6152300000000002E-2</v>
      </c>
      <c r="AZ41" s="22">
        <v>556.10299999999995</v>
      </c>
      <c r="BA41" s="22">
        <v>-1.7907699999999999E-2</v>
      </c>
      <c r="BB41" s="22">
        <v>31</v>
      </c>
      <c r="BC41" s="22">
        <v>5.5450399999999997E-2</v>
      </c>
      <c r="BD41">
        <f t="shared" si="10"/>
        <v>17.907699999999998</v>
      </c>
      <c r="BE41">
        <f t="shared" si="11"/>
        <v>1.00555854271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76.888900000000007</v>
      </c>
      <c r="I42" s="22">
        <v>-1.3861099999999999E-2</v>
      </c>
      <c r="J42" s="22">
        <v>32</v>
      </c>
      <c r="K42" s="22">
        <v>1.63788</v>
      </c>
      <c r="L42">
        <f t="shared" si="0"/>
        <v>13.861099999999999</v>
      </c>
      <c r="M42">
        <f t="shared" si="1"/>
        <v>22.715432068999998</v>
      </c>
      <c r="N42" s="9"/>
      <c r="O42" s="22">
        <v>6.1187699999999998E-2</v>
      </c>
      <c r="P42" s="22">
        <v>142.84899999999999</v>
      </c>
      <c r="Q42" s="22">
        <v>-1.7947399999999999E-2</v>
      </c>
      <c r="R42" s="22">
        <v>32</v>
      </c>
      <c r="S42" s="22">
        <v>6.0150099999999998E-2</v>
      </c>
      <c r="T42">
        <f t="shared" si="2"/>
        <v>17.947399999999998</v>
      </c>
      <c r="U42">
        <f t="shared" si="3"/>
        <v>1.0981601269799999</v>
      </c>
      <c r="X42" s="9"/>
      <c r="Y42" s="22">
        <v>1.63879</v>
      </c>
      <c r="Z42" s="22">
        <v>228.40199999999999</v>
      </c>
      <c r="AA42" s="22">
        <v>-1.2262E-2</v>
      </c>
      <c r="AB42" s="22">
        <v>32</v>
      </c>
      <c r="AC42" s="22">
        <v>1.63818</v>
      </c>
      <c r="AD42">
        <f t="shared" si="4"/>
        <v>12.262</v>
      </c>
      <c r="AE42">
        <f t="shared" si="5"/>
        <v>20.094842979999999</v>
      </c>
      <c r="AF42" s="9"/>
      <c r="AG42" s="22">
        <v>6.1187699999999998E-2</v>
      </c>
      <c r="AH42" s="22">
        <v>382.839</v>
      </c>
      <c r="AI42" s="22">
        <v>-1.7907699999999999E-2</v>
      </c>
      <c r="AJ42" s="22">
        <v>32</v>
      </c>
      <c r="AK42" s="22">
        <v>6.0638400000000002E-2</v>
      </c>
      <c r="AL42">
        <f t="shared" si="6"/>
        <v>17.907699999999998</v>
      </c>
      <c r="AM42">
        <f t="shared" si="7"/>
        <v>1.09573097529</v>
      </c>
      <c r="AP42" s="9"/>
      <c r="AQ42" s="22">
        <v>1.63879</v>
      </c>
      <c r="AR42" s="22">
        <v>483.95</v>
      </c>
      <c r="AS42" s="22">
        <v>-1.2295499999999999E-2</v>
      </c>
      <c r="AT42" s="22">
        <v>32</v>
      </c>
      <c r="AU42" s="22">
        <v>1.63788</v>
      </c>
      <c r="AV42">
        <f t="shared" si="8"/>
        <v>12.295499999999999</v>
      </c>
      <c r="AW42">
        <f t="shared" si="9"/>
        <v>20.149742444999998</v>
      </c>
      <c r="AX42" s="9"/>
      <c r="AY42" s="22">
        <v>6.1187699999999998E-2</v>
      </c>
      <c r="AZ42" s="22">
        <v>556.20399999999995</v>
      </c>
      <c r="BA42" s="22">
        <v>-1.7907699999999999E-2</v>
      </c>
      <c r="BB42" s="22">
        <v>32</v>
      </c>
      <c r="BC42" s="22">
        <v>6.0760500000000002E-2</v>
      </c>
      <c r="BD42">
        <f t="shared" si="10"/>
        <v>17.907699999999998</v>
      </c>
      <c r="BE42">
        <f t="shared" si="11"/>
        <v>1.09573097529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76.989599999999996</v>
      </c>
      <c r="I43" s="22">
        <v>-1.4031999999999999E-2</v>
      </c>
      <c r="J43" s="22">
        <v>33</v>
      </c>
      <c r="K43" s="22">
        <v>1.633</v>
      </c>
      <c r="L43">
        <f t="shared" si="0"/>
        <v>14.032</v>
      </c>
      <c r="M43">
        <f t="shared" si="1"/>
        <v>22.924920320000002</v>
      </c>
      <c r="N43" s="9"/>
      <c r="O43" s="22">
        <v>6.6223099999999993E-2</v>
      </c>
      <c r="P43" s="22">
        <v>142.94999999999999</v>
      </c>
      <c r="Q43" s="22">
        <v>-1.79413E-2</v>
      </c>
      <c r="R43" s="22">
        <v>33</v>
      </c>
      <c r="S43" s="22">
        <v>6.5826399999999993E-2</v>
      </c>
      <c r="T43">
        <f t="shared" si="2"/>
        <v>17.941300000000002</v>
      </c>
      <c r="U43">
        <f t="shared" si="3"/>
        <v>1.18812850403</v>
      </c>
      <c r="X43" s="9"/>
      <c r="Y43" s="22">
        <v>1.6337600000000001</v>
      </c>
      <c r="Z43" s="22">
        <v>228.50299999999999</v>
      </c>
      <c r="AA43" s="22">
        <v>-1.26404E-2</v>
      </c>
      <c r="AB43" s="22">
        <v>33</v>
      </c>
      <c r="AC43" s="22">
        <v>1.6333</v>
      </c>
      <c r="AD43">
        <f t="shared" si="4"/>
        <v>12.6404</v>
      </c>
      <c r="AE43">
        <f t="shared" si="5"/>
        <v>20.651379904000002</v>
      </c>
      <c r="AF43" s="9"/>
      <c r="AG43" s="22">
        <v>6.6223099999999993E-2</v>
      </c>
      <c r="AH43" s="22">
        <v>382.94</v>
      </c>
      <c r="AI43" s="22">
        <v>-1.79016E-2</v>
      </c>
      <c r="AJ43" s="22">
        <v>33</v>
      </c>
      <c r="AK43" s="22">
        <v>6.5734899999999999E-2</v>
      </c>
      <c r="AL43">
        <f t="shared" si="6"/>
        <v>17.901599999999998</v>
      </c>
      <c r="AM43">
        <f t="shared" si="7"/>
        <v>1.1854994469599998</v>
      </c>
      <c r="AP43" s="9"/>
      <c r="AQ43" s="22">
        <v>1.6337600000000001</v>
      </c>
      <c r="AR43" s="22">
        <v>484.05</v>
      </c>
      <c r="AS43" s="22">
        <v>-1.25366E-2</v>
      </c>
      <c r="AT43" s="22">
        <v>33</v>
      </c>
      <c r="AU43" s="22">
        <v>1.63239</v>
      </c>
      <c r="AV43">
        <f t="shared" si="8"/>
        <v>12.5366</v>
      </c>
      <c r="AW43">
        <f t="shared" si="9"/>
        <v>20.481795616000003</v>
      </c>
      <c r="AX43" s="9"/>
      <c r="AY43" s="22">
        <v>6.6223099999999993E-2</v>
      </c>
      <c r="AZ43" s="22">
        <v>556.30499999999995</v>
      </c>
      <c r="BA43" s="22">
        <v>-1.79016E-2</v>
      </c>
      <c r="BB43" s="22">
        <v>33</v>
      </c>
      <c r="BC43" s="22">
        <v>6.5582299999999996E-2</v>
      </c>
      <c r="BD43">
        <f t="shared" si="10"/>
        <v>17.901599999999998</v>
      </c>
      <c r="BE43">
        <f t="shared" si="11"/>
        <v>1.1854994469599998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77.090299999999999</v>
      </c>
      <c r="I44" s="22">
        <v>-1.4218099999999999E-2</v>
      </c>
      <c r="J44" s="22">
        <v>34</v>
      </c>
      <c r="K44" s="22">
        <v>1.62781</v>
      </c>
      <c r="L44">
        <f t="shared" si="0"/>
        <v>14.2181</v>
      </c>
      <c r="M44">
        <f t="shared" si="1"/>
        <v>23.157303832</v>
      </c>
      <c r="N44" s="9"/>
      <c r="O44" s="22">
        <v>7.1258500000000002E-2</v>
      </c>
      <c r="P44" s="22">
        <v>143.05000000000001</v>
      </c>
      <c r="Q44" s="22">
        <v>-1.79413E-2</v>
      </c>
      <c r="R44" s="22">
        <v>34</v>
      </c>
      <c r="S44" s="22">
        <v>7.07092E-2</v>
      </c>
      <c r="T44">
        <f t="shared" si="2"/>
        <v>17.941300000000002</v>
      </c>
      <c r="U44">
        <f t="shared" si="3"/>
        <v>1.2784701260500002</v>
      </c>
      <c r="X44" s="9"/>
      <c r="Y44" s="22">
        <v>1.6287199999999999</v>
      </c>
      <c r="Z44" s="22">
        <v>228.60400000000001</v>
      </c>
      <c r="AA44" s="22">
        <v>-1.29578E-2</v>
      </c>
      <c r="AB44" s="22">
        <v>34</v>
      </c>
      <c r="AC44" s="22">
        <v>1.62781</v>
      </c>
      <c r="AD44">
        <f t="shared" si="4"/>
        <v>12.957800000000001</v>
      </c>
      <c r="AE44">
        <f t="shared" si="5"/>
        <v>21.104628015999999</v>
      </c>
      <c r="AF44" s="9"/>
      <c r="AG44" s="22">
        <v>7.1258500000000002E-2</v>
      </c>
      <c r="AH44" s="22">
        <v>383.04</v>
      </c>
      <c r="AI44" s="22">
        <v>-1.7898600000000001E-2</v>
      </c>
      <c r="AJ44" s="22">
        <v>34</v>
      </c>
      <c r="AK44" s="22">
        <v>7.07092E-2</v>
      </c>
      <c r="AL44">
        <f t="shared" si="6"/>
        <v>17.898600000000002</v>
      </c>
      <c r="AM44">
        <f t="shared" si="7"/>
        <v>1.2754273881000002</v>
      </c>
      <c r="AP44" s="9"/>
      <c r="AQ44" s="22">
        <v>1.6287199999999999</v>
      </c>
      <c r="AR44" s="22">
        <v>484.15100000000001</v>
      </c>
      <c r="AS44" s="22">
        <v>-1.28418E-2</v>
      </c>
      <c r="AT44" s="22">
        <v>34</v>
      </c>
      <c r="AU44" s="22">
        <v>1.6287199999999999</v>
      </c>
      <c r="AV44">
        <f t="shared" si="8"/>
        <v>12.841800000000001</v>
      </c>
      <c r="AW44">
        <f t="shared" si="9"/>
        <v>20.915696496000002</v>
      </c>
      <c r="AX44" s="9"/>
      <c r="AY44" s="22">
        <v>7.1258500000000002E-2</v>
      </c>
      <c r="AZ44" s="22">
        <v>556.40499999999997</v>
      </c>
      <c r="BA44" s="22">
        <v>-1.7910800000000001E-2</v>
      </c>
      <c r="BB44" s="22">
        <v>34</v>
      </c>
      <c r="BC44" s="22">
        <v>7.0770299999999994E-2</v>
      </c>
      <c r="BD44">
        <f t="shared" si="10"/>
        <v>17.910800000000002</v>
      </c>
      <c r="BE44">
        <f t="shared" si="11"/>
        <v>1.2762967418000002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77.191000000000003</v>
      </c>
      <c r="I45" s="22">
        <v>-1.44104E-2</v>
      </c>
      <c r="J45" s="22">
        <v>35</v>
      </c>
      <c r="K45" s="22">
        <v>1.62354</v>
      </c>
      <c r="L45">
        <f t="shared" si="0"/>
        <v>14.410400000000001</v>
      </c>
      <c r="M45">
        <f t="shared" si="1"/>
        <v>23.398022376000004</v>
      </c>
      <c r="N45" s="9"/>
      <c r="O45" s="22">
        <v>7.6293899999999998E-2</v>
      </c>
      <c r="P45" s="22">
        <v>143.15100000000001</v>
      </c>
      <c r="Q45" s="22">
        <v>-1.79413E-2</v>
      </c>
      <c r="R45" s="22">
        <v>35</v>
      </c>
      <c r="S45" s="22">
        <v>7.6049800000000001E-2</v>
      </c>
      <c r="T45">
        <f t="shared" si="2"/>
        <v>17.941300000000002</v>
      </c>
      <c r="U45">
        <f t="shared" si="3"/>
        <v>1.3688117480700002</v>
      </c>
      <c r="X45" s="9"/>
      <c r="Y45" s="22">
        <v>1.6236900000000001</v>
      </c>
      <c r="Z45" s="22">
        <v>228.70400000000001</v>
      </c>
      <c r="AA45" s="22">
        <v>-1.32538E-2</v>
      </c>
      <c r="AB45" s="22">
        <v>35</v>
      </c>
      <c r="AC45" s="22">
        <v>1.6229199999999999</v>
      </c>
      <c r="AD45">
        <f t="shared" si="4"/>
        <v>13.2538</v>
      </c>
      <c r="AE45">
        <f t="shared" si="5"/>
        <v>21.520062522</v>
      </c>
      <c r="AF45" s="9"/>
      <c r="AG45" s="22">
        <v>7.6293899999999998E-2</v>
      </c>
      <c r="AH45" s="22">
        <v>383.14100000000002</v>
      </c>
      <c r="AI45" s="22">
        <v>-1.7904699999999999E-2</v>
      </c>
      <c r="AJ45" s="22">
        <v>35</v>
      </c>
      <c r="AK45" s="22">
        <v>7.5653100000000001E-2</v>
      </c>
      <c r="AL45">
        <f t="shared" si="6"/>
        <v>17.904699999999998</v>
      </c>
      <c r="AM45">
        <f t="shared" si="7"/>
        <v>1.3660193913299998</v>
      </c>
      <c r="AP45" s="9"/>
      <c r="AQ45" s="22">
        <v>1.6236900000000001</v>
      </c>
      <c r="AR45" s="22">
        <v>484.25200000000001</v>
      </c>
      <c r="AS45" s="22">
        <v>-1.3085899999999999E-2</v>
      </c>
      <c r="AT45" s="22">
        <v>35</v>
      </c>
      <c r="AU45" s="22">
        <v>1.62262</v>
      </c>
      <c r="AV45">
        <f t="shared" si="8"/>
        <v>13.085899999999999</v>
      </c>
      <c r="AW45">
        <f t="shared" si="9"/>
        <v>21.247444971</v>
      </c>
      <c r="AX45" s="9"/>
      <c r="AY45" s="22">
        <v>7.6293899999999998E-2</v>
      </c>
      <c r="AZ45" s="22">
        <v>556.50599999999997</v>
      </c>
      <c r="BA45" s="22">
        <v>-1.7898600000000001E-2</v>
      </c>
      <c r="BB45" s="22">
        <v>35</v>
      </c>
      <c r="BC45" s="22">
        <v>7.5836200000000006E-2</v>
      </c>
      <c r="BD45">
        <f t="shared" si="10"/>
        <v>17.898600000000002</v>
      </c>
      <c r="BE45">
        <f t="shared" si="11"/>
        <v>1.36555399854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77.291700000000006</v>
      </c>
      <c r="I46" s="22">
        <v>-1.4550799999999999E-2</v>
      </c>
      <c r="J46" s="22">
        <v>36</v>
      </c>
      <c r="K46" s="22">
        <v>1.61835</v>
      </c>
      <c r="L46">
        <f t="shared" si="0"/>
        <v>14.550799999999999</v>
      </c>
      <c r="M46">
        <f t="shared" si="1"/>
        <v>23.552652419999998</v>
      </c>
      <c r="N46" s="9"/>
      <c r="O46" s="22">
        <v>8.1329299999999993E-2</v>
      </c>
      <c r="P46" s="22">
        <v>143.25200000000001</v>
      </c>
      <c r="Q46" s="22">
        <v>-1.79443E-2</v>
      </c>
      <c r="R46" s="22">
        <v>36</v>
      </c>
      <c r="S46" s="22">
        <v>8.0718999999999999E-2</v>
      </c>
      <c r="T46">
        <f t="shared" si="2"/>
        <v>17.944299999999998</v>
      </c>
      <c r="U46">
        <f t="shared" si="3"/>
        <v>1.4593973579899997</v>
      </c>
      <c r="X46" s="9"/>
      <c r="Y46" s="22">
        <v>1.6186499999999999</v>
      </c>
      <c r="Z46" s="22">
        <v>228.80500000000001</v>
      </c>
      <c r="AA46" s="22">
        <v>-1.3501000000000001E-2</v>
      </c>
      <c r="AB46" s="22">
        <v>36</v>
      </c>
      <c r="AC46" s="22">
        <v>1.6180399999999999</v>
      </c>
      <c r="AD46">
        <f t="shared" si="4"/>
        <v>13.501000000000001</v>
      </c>
      <c r="AE46">
        <f t="shared" si="5"/>
        <v>21.853393650000001</v>
      </c>
      <c r="AF46" s="9"/>
      <c r="AG46" s="22">
        <v>8.1329299999999993E-2</v>
      </c>
      <c r="AH46" s="22">
        <v>383.24200000000002</v>
      </c>
      <c r="AI46" s="22">
        <v>-1.7892499999999999E-2</v>
      </c>
      <c r="AJ46" s="22">
        <v>36</v>
      </c>
      <c r="AK46" s="22">
        <v>8.0841099999999999E-2</v>
      </c>
      <c r="AL46">
        <f t="shared" si="6"/>
        <v>17.892499999999998</v>
      </c>
      <c r="AM46">
        <f t="shared" si="7"/>
        <v>1.4551845002499997</v>
      </c>
      <c r="AP46" s="9"/>
      <c r="AQ46" s="22">
        <v>1.6186499999999999</v>
      </c>
      <c r="AR46" s="22">
        <v>484.35300000000001</v>
      </c>
      <c r="AS46" s="22">
        <v>-1.32874E-2</v>
      </c>
      <c r="AT46" s="22">
        <v>36</v>
      </c>
      <c r="AU46" s="22">
        <v>1.61774</v>
      </c>
      <c r="AV46">
        <f t="shared" si="8"/>
        <v>13.2874</v>
      </c>
      <c r="AW46">
        <f t="shared" si="9"/>
        <v>21.507650009999999</v>
      </c>
      <c r="AX46" s="9"/>
      <c r="AY46" s="22">
        <v>8.1329299999999993E-2</v>
      </c>
      <c r="AZ46" s="22">
        <v>556.60699999999997</v>
      </c>
      <c r="BA46" s="22">
        <v>-1.7898600000000001E-2</v>
      </c>
      <c r="BB46" s="22">
        <v>36</v>
      </c>
      <c r="BC46" s="22">
        <v>8.0810499999999993E-2</v>
      </c>
      <c r="BD46">
        <f t="shared" si="10"/>
        <v>17.898600000000002</v>
      </c>
      <c r="BE46">
        <f t="shared" si="11"/>
        <v>1.4556806089800001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77.392399999999995</v>
      </c>
      <c r="I47" s="22">
        <v>-1.4648400000000001E-2</v>
      </c>
      <c r="J47" s="22">
        <v>37</v>
      </c>
      <c r="K47" s="22">
        <v>1.6125499999999999</v>
      </c>
      <c r="L47">
        <f t="shared" si="0"/>
        <v>14.648400000000001</v>
      </c>
      <c r="M47">
        <f t="shared" si="1"/>
        <v>23.636951208000003</v>
      </c>
      <c r="N47" s="9"/>
      <c r="O47" s="22">
        <v>8.6364700000000003E-2</v>
      </c>
      <c r="P47" s="22">
        <v>143.352</v>
      </c>
      <c r="Q47" s="22">
        <v>-1.79443E-2</v>
      </c>
      <c r="R47" s="22">
        <v>37</v>
      </c>
      <c r="S47" s="22">
        <v>8.5845900000000003E-2</v>
      </c>
      <c r="T47">
        <f t="shared" si="2"/>
        <v>17.944299999999998</v>
      </c>
      <c r="U47">
        <f t="shared" si="3"/>
        <v>1.5497540862099999</v>
      </c>
      <c r="X47" s="9"/>
      <c r="Y47" s="22">
        <v>1.6136200000000001</v>
      </c>
      <c r="Z47" s="22">
        <v>228.90600000000001</v>
      </c>
      <c r="AA47" s="22">
        <v>-1.3738999999999999E-2</v>
      </c>
      <c r="AB47" s="22">
        <v>37</v>
      </c>
      <c r="AC47" s="22">
        <v>1.6128499999999999</v>
      </c>
      <c r="AD47">
        <f t="shared" si="4"/>
        <v>13.738999999999999</v>
      </c>
      <c r="AE47">
        <f t="shared" si="5"/>
        <v>22.169525180000001</v>
      </c>
      <c r="AF47" s="9"/>
      <c r="AG47" s="22">
        <v>8.6364700000000003E-2</v>
      </c>
      <c r="AH47" s="22">
        <v>383.34300000000002</v>
      </c>
      <c r="AI47" s="22">
        <v>-1.7898600000000001E-2</v>
      </c>
      <c r="AJ47" s="22">
        <v>37</v>
      </c>
      <c r="AK47" s="22">
        <v>8.58154E-2</v>
      </c>
      <c r="AL47">
        <f t="shared" si="6"/>
        <v>17.898600000000002</v>
      </c>
      <c r="AM47">
        <f t="shared" si="7"/>
        <v>1.5458072194200001</v>
      </c>
      <c r="AP47" s="9"/>
      <c r="AQ47" s="22">
        <v>1.6136200000000001</v>
      </c>
      <c r="AR47" s="22">
        <v>484.45299999999997</v>
      </c>
      <c r="AS47" s="22">
        <v>-1.34918E-2</v>
      </c>
      <c r="AT47" s="22">
        <v>37</v>
      </c>
      <c r="AU47" s="22">
        <v>1.6125499999999999</v>
      </c>
      <c r="AV47">
        <f t="shared" si="8"/>
        <v>13.4918</v>
      </c>
      <c r="AW47">
        <f t="shared" si="9"/>
        <v>21.770638315999999</v>
      </c>
      <c r="AX47" s="9"/>
      <c r="AY47" s="22">
        <v>8.6364700000000003E-2</v>
      </c>
      <c r="AZ47" s="22">
        <v>556.70699999999999</v>
      </c>
      <c r="BA47" s="22">
        <v>-1.78894E-2</v>
      </c>
      <c r="BB47" s="22">
        <v>37</v>
      </c>
      <c r="BC47" s="22">
        <v>8.6120600000000005E-2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77.493099999999998</v>
      </c>
      <c r="I48" s="22">
        <v>-1.4767499999999999E-2</v>
      </c>
      <c r="J48" s="22">
        <v>38</v>
      </c>
      <c r="K48" s="22">
        <v>1.6079699999999999</v>
      </c>
      <c r="L48">
        <f t="shared" si="0"/>
        <v>14.7675</v>
      </c>
      <c r="M48">
        <f t="shared" si="1"/>
        <v>23.754705149999999</v>
      </c>
      <c r="N48" s="9"/>
      <c r="O48" s="22">
        <v>9.1400099999999998E-2</v>
      </c>
      <c r="P48" s="22">
        <v>143.453</v>
      </c>
      <c r="Q48" s="22">
        <v>-1.7935199999999998E-2</v>
      </c>
      <c r="R48" s="22">
        <v>38</v>
      </c>
      <c r="S48" s="22">
        <v>9.1003399999999998E-2</v>
      </c>
      <c r="T48">
        <f t="shared" si="2"/>
        <v>17.935199999999998</v>
      </c>
      <c r="U48">
        <f t="shared" si="3"/>
        <v>1.6392790735199998</v>
      </c>
      <c r="X48" s="9"/>
      <c r="Y48" s="22">
        <v>1.6085799999999999</v>
      </c>
      <c r="Z48" s="22">
        <v>229.00700000000001</v>
      </c>
      <c r="AA48" s="22">
        <v>-1.39404E-2</v>
      </c>
      <c r="AB48" s="22">
        <v>38</v>
      </c>
      <c r="AC48" s="22">
        <v>1.6079699999999999</v>
      </c>
      <c r="AD48">
        <f t="shared" si="4"/>
        <v>13.9404</v>
      </c>
      <c r="AE48">
        <f t="shared" si="5"/>
        <v>22.424248631999998</v>
      </c>
      <c r="AF48" s="9"/>
      <c r="AG48" s="22">
        <v>9.1400099999999998E-2</v>
      </c>
      <c r="AH48" s="22">
        <v>383.44299999999998</v>
      </c>
      <c r="AI48" s="22">
        <v>-1.78894E-2</v>
      </c>
      <c r="AJ48" s="22">
        <v>38</v>
      </c>
      <c r="AK48" s="22">
        <v>9.0972899999999995E-2</v>
      </c>
      <c r="AL48">
        <f t="shared" si="6"/>
        <v>17.889399999999998</v>
      </c>
      <c r="AM48">
        <f t="shared" si="7"/>
        <v>1.6350929489399999</v>
      </c>
      <c r="AP48" s="9"/>
      <c r="AQ48" s="22">
        <v>1.6085799999999999</v>
      </c>
      <c r="AR48" s="22">
        <v>484.55399999999997</v>
      </c>
      <c r="AS48" s="22">
        <v>-1.3665800000000001E-2</v>
      </c>
      <c r="AT48" s="22">
        <v>38</v>
      </c>
      <c r="AU48" s="22">
        <v>1.6079699999999999</v>
      </c>
      <c r="AV48">
        <f t="shared" si="8"/>
        <v>13.665800000000001</v>
      </c>
      <c r="AW48">
        <f t="shared" si="9"/>
        <v>21.982532564</v>
      </c>
      <c r="AX48" s="9"/>
      <c r="AY48" s="22">
        <v>9.1400099999999998E-2</v>
      </c>
      <c r="AZ48" s="22">
        <v>556.80799999999999</v>
      </c>
      <c r="BA48" s="22">
        <v>-1.78894E-2</v>
      </c>
      <c r="BB48" s="22">
        <v>38</v>
      </c>
      <c r="BC48" s="22">
        <v>9.0698200000000007E-2</v>
      </c>
      <c r="BD48">
        <f t="shared" si="10"/>
        <v>17.889399999999998</v>
      </c>
      <c r="BE48">
        <f t="shared" si="11"/>
        <v>1.6350929489399999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77.593800000000002</v>
      </c>
      <c r="I49" s="22">
        <v>-1.48804E-2</v>
      </c>
      <c r="J49" s="22">
        <v>39</v>
      </c>
      <c r="K49" s="22">
        <v>1.6024799999999999</v>
      </c>
      <c r="L49">
        <f t="shared" si="0"/>
        <v>14.8804</v>
      </c>
      <c r="M49">
        <f t="shared" si="1"/>
        <v>23.861465420000002</v>
      </c>
      <c r="N49" s="9"/>
      <c r="O49" s="22">
        <v>9.6435499999999993E-2</v>
      </c>
      <c r="P49" s="22">
        <v>143.554</v>
      </c>
      <c r="Q49" s="22">
        <v>-1.79291E-2</v>
      </c>
      <c r="R49" s="22">
        <v>39</v>
      </c>
      <c r="S49" s="22">
        <v>9.6008300000000005E-2</v>
      </c>
      <c r="T49">
        <f t="shared" si="2"/>
        <v>17.929099999999998</v>
      </c>
      <c r="U49">
        <f t="shared" si="3"/>
        <v>1.7290017230499997</v>
      </c>
      <c r="X49" s="9"/>
      <c r="Y49" s="22">
        <v>1.60355</v>
      </c>
      <c r="Z49" s="22">
        <v>229.107</v>
      </c>
      <c r="AA49" s="22">
        <v>-1.4129600000000001E-2</v>
      </c>
      <c r="AB49" s="22">
        <v>39</v>
      </c>
      <c r="AC49" s="22">
        <v>1.6027800000000001</v>
      </c>
      <c r="AD49">
        <f t="shared" si="4"/>
        <v>14.129600000000002</v>
      </c>
      <c r="AE49">
        <f t="shared" si="5"/>
        <v>22.657520080000005</v>
      </c>
      <c r="AF49" s="9"/>
      <c r="AG49" s="22">
        <v>9.6435499999999993E-2</v>
      </c>
      <c r="AH49" s="22">
        <v>383.54399999999998</v>
      </c>
      <c r="AI49" s="22">
        <v>-1.7892499999999999E-2</v>
      </c>
      <c r="AJ49" s="22">
        <v>39</v>
      </c>
      <c r="AK49" s="22">
        <v>9.5855700000000002E-2</v>
      </c>
      <c r="AL49">
        <f t="shared" si="6"/>
        <v>17.892499999999998</v>
      </c>
      <c r="AM49">
        <f t="shared" si="7"/>
        <v>1.7254721837499998</v>
      </c>
      <c r="AP49" s="9"/>
      <c r="AQ49" s="22">
        <v>1.60355</v>
      </c>
      <c r="AR49" s="22">
        <v>484.65499999999997</v>
      </c>
      <c r="AS49" s="22">
        <v>-1.38397E-2</v>
      </c>
      <c r="AT49" s="22">
        <v>39</v>
      </c>
      <c r="AU49" s="22">
        <v>1.6033900000000001</v>
      </c>
      <c r="AV49">
        <f t="shared" si="8"/>
        <v>13.839700000000001</v>
      </c>
      <c r="AW49">
        <f t="shared" si="9"/>
        <v>22.192650935</v>
      </c>
      <c r="AX49" s="9"/>
      <c r="AY49" s="22">
        <v>9.6435499999999993E-2</v>
      </c>
      <c r="AZ49" s="22">
        <v>556.90899999999999</v>
      </c>
      <c r="BA49" s="22">
        <v>-1.78894E-2</v>
      </c>
      <c r="BB49" s="22">
        <v>39</v>
      </c>
      <c r="BC49" s="22">
        <v>9.6069299999999996E-2</v>
      </c>
      <c r="BD49">
        <f t="shared" si="10"/>
        <v>17.889399999999998</v>
      </c>
      <c r="BE49">
        <f t="shared" si="11"/>
        <v>1.7251732336999996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77.694500000000005</v>
      </c>
      <c r="I50" s="22">
        <v>-1.49841E-2</v>
      </c>
      <c r="J50" s="22">
        <v>40</v>
      </c>
      <c r="K50" s="22">
        <v>1.5975999999999999</v>
      </c>
      <c r="L50">
        <f t="shared" si="0"/>
        <v>14.9841</v>
      </c>
      <c r="M50">
        <f t="shared" si="1"/>
        <v>23.952233691</v>
      </c>
      <c r="N50" s="9"/>
      <c r="O50" s="22">
        <v>0.10147100000000001</v>
      </c>
      <c r="P50" s="22">
        <v>143.655</v>
      </c>
      <c r="Q50" s="22">
        <v>-1.7919899999999999E-2</v>
      </c>
      <c r="R50" s="22">
        <v>40</v>
      </c>
      <c r="S50" s="22">
        <v>0.10104399999999999</v>
      </c>
      <c r="T50">
        <f t="shared" si="2"/>
        <v>17.919899999999998</v>
      </c>
      <c r="U50">
        <f t="shared" si="3"/>
        <v>1.8183501729</v>
      </c>
      <c r="X50" s="9"/>
      <c r="Y50" s="22">
        <v>1.5985100000000001</v>
      </c>
      <c r="Z50" s="22">
        <v>229.208</v>
      </c>
      <c r="AA50" s="22">
        <v>-1.4300500000000001E-2</v>
      </c>
      <c r="AB50" s="22">
        <v>40</v>
      </c>
      <c r="AC50" s="22">
        <v>1.5975999999999999</v>
      </c>
      <c r="AD50">
        <f t="shared" si="4"/>
        <v>14.300500000000001</v>
      </c>
      <c r="AE50">
        <f t="shared" si="5"/>
        <v>22.859492255000003</v>
      </c>
      <c r="AF50" s="9"/>
      <c r="AG50" s="22">
        <v>0.10147100000000001</v>
      </c>
      <c r="AH50" s="22">
        <v>383.64499999999998</v>
      </c>
      <c r="AI50" s="22">
        <v>-1.78894E-2</v>
      </c>
      <c r="AJ50" s="22">
        <v>40</v>
      </c>
      <c r="AK50" s="22">
        <v>0.10083</v>
      </c>
      <c r="AL50">
        <f t="shared" si="6"/>
        <v>17.889399999999998</v>
      </c>
      <c r="AM50">
        <f t="shared" si="7"/>
        <v>1.8152553074</v>
      </c>
      <c r="AP50" s="9"/>
      <c r="AQ50" s="22">
        <v>1.5985100000000001</v>
      </c>
      <c r="AR50" s="22">
        <v>484.755</v>
      </c>
      <c r="AS50" s="22">
        <v>-1.4019800000000001E-2</v>
      </c>
      <c r="AT50" s="22">
        <v>40</v>
      </c>
      <c r="AU50" s="22">
        <v>1.5985100000000001</v>
      </c>
      <c r="AV50">
        <f t="shared" si="8"/>
        <v>14.0198</v>
      </c>
      <c r="AW50">
        <f t="shared" si="9"/>
        <v>22.410790498000001</v>
      </c>
      <c r="AX50" s="9"/>
      <c r="AY50" s="22">
        <v>0.10147100000000001</v>
      </c>
      <c r="AZ50" s="22">
        <v>557.01</v>
      </c>
      <c r="BA50" s="22">
        <v>-1.7880199999999999E-2</v>
      </c>
      <c r="BB50" s="22">
        <v>40</v>
      </c>
      <c r="BC50" s="22">
        <v>0.100769</v>
      </c>
      <c r="BD50">
        <f t="shared" si="10"/>
        <v>17.880199999999999</v>
      </c>
      <c r="BE50">
        <f t="shared" si="11"/>
        <v>1.8143217742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77.795299999999997</v>
      </c>
      <c r="I51" s="22">
        <v>-1.5094E-2</v>
      </c>
      <c r="J51" s="22">
        <v>41</v>
      </c>
      <c r="K51" s="22">
        <v>1.5930200000000001</v>
      </c>
      <c r="L51">
        <f t="shared" si="0"/>
        <v>15.093999999999999</v>
      </c>
      <c r="M51">
        <f t="shared" si="1"/>
        <v>24.05198712</v>
      </c>
      <c r="N51" s="9"/>
      <c r="O51" s="22">
        <v>0.106506</v>
      </c>
      <c r="P51" s="22">
        <v>143.755</v>
      </c>
      <c r="Q51" s="22">
        <v>-1.7916899999999999E-2</v>
      </c>
      <c r="R51" s="22">
        <v>41</v>
      </c>
      <c r="S51" s="22">
        <v>0.10611</v>
      </c>
      <c r="T51">
        <f t="shared" si="2"/>
        <v>17.916899999999998</v>
      </c>
      <c r="U51">
        <f t="shared" si="3"/>
        <v>1.9082573513999999</v>
      </c>
      <c r="X51" s="9"/>
      <c r="Y51" s="22">
        <v>1.59348</v>
      </c>
      <c r="Z51" s="22">
        <v>229.309</v>
      </c>
      <c r="AA51" s="22">
        <v>-1.44806E-2</v>
      </c>
      <c r="AB51" s="22">
        <v>41</v>
      </c>
      <c r="AC51" s="22">
        <v>1.5927100000000001</v>
      </c>
      <c r="AD51">
        <f t="shared" si="4"/>
        <v>14.480599999999999</v>
      </c>
      <c r="AE51">
        <f t="shared" si="5"/>
        <v>23.074546487999999</v>
      </c>
      <c r="AF51" s="9"/>
      <c r="AG51" s="22">
        <v>0.106506</v>
      </c>
      <c r="AH51" s="22">
        <v>383.745</v>
      </c>
      <c r="AI51" s="22">
        <v>-1.7883300000000001E-2</v>
      </c>
      <c r="AJ51" s="22">
        <v>41</v>
      </c>
      <c r="AK51" s="22">
        <v>0.105988</v>
      </c>
      <c r="AL51">
        <f t="shared" si="6"/>
        <v>17.883300000000002</v>
      </c>
      <c r="AM51">
        <f t="shared" si="7"/>
        <v>1.9046787498000002</v>
      </c>
      <c r="AP51" s="9"/>
      <c r="AQ51" s="22">
        <v>1.59348</v>
      </c>
      <c r="AR51" s="22">
        <v>484.85599999999999</v>
      </c>
      <c r="AS51" s="22">
        <v>-1.4175399999999999E-2</v>
      </c>
      <c r="AT51" s="22">
        <v>41</v>
      </c>
      <c r="AU51" s="22">
        <v>1.5924100000000001</v>
      </c>
      <c r="AV51">
        <f t="shared" si="8"/>
        <v>14.1754</v>
      </c>
      <c r="AW51">
        <f t="shared" si="9"/>
        <v>22.588216392</v>
      </c>
      <c r="AX51" s="9"/>
      <c r="AY51" s="22">
        <v>0.106506</v>
      </c>
      <c r="AZ51" s="22">
        <v>557.11</v>
      </c>
      <c r="BA51" s="22">
        <v>-1.7877199999999999E-2</v>
      </c>
      <c r="BB51" s="22">
        <v>41</v>
      </c>
      <c r="BC51" s="22">
        <v>0.106171</v>
      </c>
      <c r="BD51">
        <f t="shared" si="10"/>
        <v>17.877199999999998</v>
      </c>
      <c r="BE51">
        <f t="shared" si="11"/>
        <v>1.9040290631999999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77.896000000000001</v>
      </c>
      <c r="I52" s="22">
        <v>-1.5170299999999999E-2</v>
      </c>
      <c r="J52" s="22">
        <v>42</v>
      </c>
      <c r="K52" s="22">
        <v>1.58813</v>
      </c>
      <c r="L52">
        <f t="shared" si="0"/>
        <v>15.170299999999999</v>
      </c>
      <c r="M52">
        <f t="shared" si="1"/>
        <v>24.097111332000001</v>
      </c>
      <c r="N52" s="9"/>
      <c r="O52" s="22">
        <v>0.111542</v>
      </c>
      <c r="P52" s="22">
        <v>143.85599999999999</v>
      </c>
      <c r="Q52" s="22">
        <v>-1.7913800000000001E-2</v>
      </c>
      <c r="R52" s="22">
        <v>42</v>
      </c>
      <c r="S52" s="22">
        <v>0.11087</v>
      </c>
      <c r="T52">
        <f t="shared" si="2"/>
        <v>17.913800000000002</v>
      </c>
      <c r="U52">
        <f t="shared" si="3"/>
        <v>1.9981410796000003</v>
      </c>
      <c r="X52" s="9"/>
      <c r="Y52" s="22">
        <v>1.5884400000000001</v>
      </c>
      <c r="Z52" s="22">
        <v>229.40899999999999</v>
      </c>
      <c r="AA52" s="22">
        <v>-1.4611799999999999E-2</v>
      </c>
      <c r="AB52" s="22">
        <v>42</v>
      </c>
      <c r="AC52" s="22">
        <v>1.5878300000000001</v>
      </c>
      <c r="AD52">
        <f t="shared" si="4"/>
        <v>14.611799999999999</v>
      </c>
      <c r="AE52">
        <f t="shared" si="5"/>
        <v>23.209967591999998</v>
      </c>
      <c r="AF52" s="9"/>
      <c r="AG52" s="22">
        <v>0.111542</v>
      </c>
      <c r="AH52" s="22">
        <v>383.846</v>
      </c>
      <c r="AI52" s="22">
        <v>-1.7871100000000001E-2</v>
      </c>
      <c r="AJ52" s="22">
        <v>42</v>
      </c>
      <c r="AK52" s="22">
        <v>0.111084</v>
      </c>
      <c r="AL52">
        <f t="shared" si="6"/>
        <v>17.871100000000002</v>
      </c>
      <c r="AM52">
        <f t="shared" si="7"/>
        <v>1.9933782362000003</v>
      </c>
      <c r="AP52" s="9"/>
      <c r="AQ52" s="22">
        <v>1.5884400000000001</v>
      </c>
      <c r="AR52" s="22">
        <v>484.95699999999999</v>
      </c>
      <c r="AS52" s="22">
        <v>-1.43372E-2</v>
      </c>
      <c r="AT52" s="22">
        <v>42</v>
      </c>
      <c r="AU52" s="22">
        <v>1.58752</v>
      </c>
      <c r="AV52">
        <f t="shared" si="8"/>
        <v>14.337199999999999</v>
      </c>
      <c r="AW52">
        <f t="shared" si="9"/>
        <v>22.773781968000002</v>
      </c>
      <c r="AX52" s="9"/>
      <c r="AY52" s="22">
        <v>0.111542</v>
      </c>
      <c r="AZ52" s="22">
        <v>557.21100000000001</v>
      </c>
      <c r="BA52" s="22">
        <v>-1.7871100000000001E-2</v>
      </c>
      <c r="BB52" s="22">
        <v>42</v>
      </c>
      <c r="BC52" s="22">
        <v>0.111023</v>
      </c>
      <c r="BD52">
        <f t="shared" si="10"/>
        <v>17.871100000000002</v>
      </c>
      <c r="BE52">
        <f t="shared" si="11"/>
        <v>1.9933782362000003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77.996700000000004</v>
      </c>
      <c r="I53" s="22">
        <v>-1.5273999999999999E-2</v>
      </c>
      <c r="J53" s="22">
        <v>43</v>
      </c>
      <c r="K53" s="22">
        <v>1.58264</v>
      </c>
      <c r="L53">
        <f t="shared" si="0"/>
        <v>15.273999999999999</v>
      </c>
      <c r="M53">
        <f t="shared" si="1"/>
        <v>24.184851599999998</v>
      </c>
      <c r="N53" s="9"/>
      <c r="O53" s="22">
        <v>0.116577</v>
      </c>
      <c r="P53" s="22">
        <v>143.95699999999999</v>
      </c>
      <c r="Q53" s="22">
        <v>-1.7910800000000001E-2</v>
      </c>
      <c r="R53" s="22">
        <v>43</v>
      </c>
      <c r="S53" s="22">
        <v>0.116119</v>
      </c>
      <c r="T53">
        <f t="shared" si="2"/>
        <v>17.910800000000002</v>
      </c>
      <c r="U53">
        <f t="shared" si="3"/>
        <v>2.0879873316000004</v>
      </c>
      <c r="X53" s="9"/>
      <c r="Y53" s="22">
        <v>1.5833999999999999</v>
      </c>
      <c r="Z53" s="22">
        <v>229.51</v>
      </c>
      <c r="AA53" s="22">
        <v>-1.47858E-2</v>
      </c>
      <c r="AB53" s="22">
        <v>43</v>
      </c>
      <c r="AC53" s="22">
        <v>1.5829500000000001</v>
      </c>
      <c r="AD53">
        <f t="shared" si="4"/>
        <v>14.7858</v>
      </c>
      <c r="AE53">
        <f t="shared" si="5"/>
        <v>23.411835719999999</v>
      </c>
      <c r="AF53" s="9"/>
      <c r="AG53" s="22">
        <v>0.116577</v>
      </c>
      <c r="AH53" s="22">
        <v>383.947</v>
      </c>
      <c r="AI53" s="22">
        <v>-1.78741E-2</v>
      </c>
      <c r="AJ53" s="22">
        <v>43</v>
      </c>
      <c r="AK53" s="22">
        <v>0.11618000000000001</v>
      </c>
      <c r="AL53">
        <f t="shared" si="6"/>
        <v>17.874100000000002</v>
      </c>
      <c r="AM53">
        <f t="shared" si="7"/>
        <v>2.0837089557000001</v>
      </c>
      <c r="AP53" s="9"/>
      <c r="AQ53" s="22">
        <v>1.5833999999999999</v>
      </c>
      <c r="AR53" s="22">
        <v>485.05799999999999</v>
      </c>
      <c r="AS53" s="22">
        <v>-1.44653E-2</v>
      </c>
      <c r="AT53" s="22">
        <v>43</v>
      </c>
      <c r="AU53" s="22">
        <v>1.58203</v>
      </c>
      <c r="AV53">
        <f t="shared" si="8"/>
        <v>14.465300000000001</v>
      </c>
      <c r="AW53">
        <f t="shared" si="9"/>
        <v>22.904356020000002</v>
      </c>
      <c r="AX53" s="9"/>
      <c r="AY53" s="22">
        <v>0.116577</v>
      </c>
      <c r="AZ53" s="22">
        <v>557.31200000000001</v>
      </c>
      <c r="BA53" s="22">
        <v>-1.78741E-2</v>
      </c>
      <c r="BB53" s="22">
        <v>43</v>
      </c>
      <c r="BC53" s="22">
        <v>0.11618000000000001</v>
      </c>
      <c r="BD53">
        <f t="shared" si="10"/>
        <v>17.874100000000002</v>
      </c>
      <c r="BE53">
        <f t="shared" si="11"/>
        <v>2.0837089557000001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78.097399999999993</v>
      </c>
      <c r="I54" s="22">
        <v>-1.5341199999999999E-2</v>
      </c>
      <c r="J54" s="22">
        <v>44</v>
      </c>
      <c r="K54" s="22">
        <v>1.5777600000000001</v>
      </c>
      <c r="L54">
        <f t="shared" si="0"/>
        <v>15.341199999999999</v>
      </c>
      <c r="M54">
        <f t="shared" si="1"/>
        <v>24.214089844</v>
      </c>
      <c r="N54" s="9"/>
      <c r="O54" s="22">
        <v>0.121613</v>
      </c>
      <c r="P54" s="22">
        <v>144.05699999999999</v>
      </c>
      <c r="Q54" s="22">
        <v>-1.7913800000000001E-2</v>
      </c>
      <c r="R54" s="22">
        <v>44</v>
      </c>
      <c r="S54" s="22">
        <v>0.121307</v>
      </c>
      <c r="T54">
        <f t="shared" si="2"/>
        <v>17.913800000000002</v>
      </c>
      <c r="U54">
        <f t="shared" si="3"/>
        <v>2.1785509594000003</v>
      </c>
      <c r="X54" s="9"/>
      <c r="Y54" s="22">
        <v>1.5783700000000001</v>
      </c>
      <c r="Z54" s="22">
        <v>229.61099999999999</v>
      </c>
      <c r="AA54" s="22">
        <v>-1.4898700000000001E-2</v>
      </c>
      <c r="AB54" s="22">
        <v>44</v>
      </c>
      <c r="AC54" s="22">
        <v>1.57745</v>
      </c>
      <c r="AD54">
        <f t="shared" si="4"/>
        <v>14.898700000000002</v>
      </c>
      <c r="AE54">
        <f t="shared" si="5"/>
        <v>23.515661119000004</v>
      </c>
      <c r="AF54" s="9"/>
      <c r="AG54" s="22">
        <v>0.121613</v>
      </c>
      <c r="AH54" s="22">
        <v>384.048</v>
      </c>
      <c r="AI54" s="22">
        <v>-1.7867999999999998E-2</v>
      </c>
      <c r="AJ54" s="22">
        <v>44</v>
      </c>
      <c r="AK54" s="22">
        <v>0.12088</v>
      </c>
      <c r="AL54">
        <f t="shared" si="6"/>
        <v>17.867999999999999</v>
      </c>
      <c r="AM54">
        <f t="shared" si="7"/>
        <v>2.1729810839999999</v>
      </c>
      <c r="AP54" s="9"/>
      <c r="AQ54" s="22">
        <v>1.5783700000000001</v>
      </c>
      <c r="AR54" s="22">
        <v>485.15800000000002</v>
      </c>
      <c r="AS54" s="22">
        <v>-1.46027E-2</v>
      </c>
      <c r="AT54" s="22">
        <v>44</v>
      </c>
      <c r="AU54" s="22">
        <v>1.5777600000000001</v>
      </c>
      <c r="AV54">
        <f t="shared" si="8"/>
        <v>14.6027</v>
      </c>
      <c r="AW54">
        <f t="shared" si="9"/>
        <v>23.048463599000002</v>
      </c>
      <c r="AX54" s="9"/>
      <c r="AY54" s="22">
        <v>0.121613</v>
      </c>
      <c r="AZ54" s="22">
        <v>557.41200000000003</v>
      </c>
      <c r="BA54" s="22">
        <v>-1.78741E-2</v>
      </c>
      <c r="BB54" s="22">
        <v>44</v>
      </c>
      <c r="BC54" s="22">
        <v>0.121216</v>
      </c>
      <c r="BD54">
        <f t="shared" si="10"/>
        <v>17.874100000000002</v>
      </c>
      <c r="BE54">
        <f t="shared" si="11"/>
        <v>2.1737229233000002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78.198099999999997</v>
      </c>
      <c r="I55" s="22">
        <v>-1.54114E-2</v>
      </c>
      <c r="J55" s="22">
        <v>45</v>
      </c>
      <c r="K55" s="22">
        <v>1.57257</v>
      </c>
      <c r="L55">
        <f t="shared" si="0"/>
        <v>15.4114</v>
      </c>
      <c r="M55">
        <f t="shared" si="1"/>
        <v>24.247217962000001</v>
      </c>
      <c r="N55" s="9"/>
      <c r="O55" s="22">
        <v>0.12664800000000001</v>
      </c>
      <c r="P55" s="22">
        <v>144.15799999999999</v>
      </c>
      <c r="Q55" s="22">
        <v>-1.79016E-2</v>
      </c>
      <c r="R55" s="22">
        <v>45</v>
      </c>
      <c r="S55" s="22">
        <v>0.12619</v>
      </c>
      <c r="T55">
        <f t="shared" si="2"/>
        <v>17.901599999999998</v>
      </c>
      <c r="U55">
        <f t="shared" si="3"/>
        <v>2.2672018368</v>
      </c>
      <c r="X55" s="9"/>
      <c r="Y55" s="22">
        <v>1.5733299999999999</v>
      </c>
      <c r="Z55" s="22">
        <v>229.71199999999999</v>
      </c>
      <c r="AA55" s="22">
        <v>-1.5026899999999999E-2</v>
      </c>
      <c r="AB55" s="22">
        <v>45</v>
      </c>
      <c r="AC55" s="22">
        <v>1.57257</v>
      </c>
      <c r="AD55">
        <f t="shared" si="4"/>
        <v>15.026899999999999</v>
      </c>
      <c r="AE55">
        <f t="shared" si="5"/>
        <v>23.642272576999996</v>
      </c>
      <c r="AF55" s="9"/>
      <c r="AG55" s="22">
        <v>0.12664800000000001</v>
      </c>
      <c r="AH55" s="22">
        <v>384.14800000000002</v>
      </c>
      <c r="AI55" s="22">
        <v>-1.7867999999999998E-2</v>
      </c>
      <c r="AJ55" s="22">
        <v>45</v>
      </c>
      <c r="AK55" s="22">
        <v>0.12609899999999999</v>
      </c>
      <c r="AL55">
        <f t="shared" si="6"/>
        <v>17.867999999999999</v>
      </c>
      <c r="AM55">
        <f t="shared" si="7"/>
        <v>2.2629464640000001</v>
      </c>
      <c r="AP55" s="9"/>
      <c r="AQ55" s="22">
        <v>1.5733299999999999</v>
      </c>
      <c r="AR55" s="22">
        <v>485.25900000000001</v>
      </c>
      <c r="AS55" s="22">
        <v>-1.46973E-2</v>
      </c>
      <c r="AT55" s="22">
        <v>45</v>
      </c>
      <c r="AU55" s="22">
        <v>1.57257</v>
      </c>
      <c r="AV55">
        <f t="shared" si="8"/>
        <v>14.6973</v>
      </c>
      <c r="AW55">
        <f t="shared" si="9"/>
        <v>23.123703009</v>
      </c>
      <c r="AX55" s="9"/>
      <c r="AY55" s="22">
        <v>0.12664800000000001</v>
      </c>
      <c r="AZ55" s="22">
        <v>557.51300000000003</v>
      </c>
      <c r="BA55" s="22">
        <v>-1.7867999999999998E-2</v>
      </c>
      <c r="BB55" s="22">
        <v>45</v>
      </c>
      <c r="BC55" s="22">
        <v>0.12609899999999999</v>
      </c>
      <c r="BD55">
        <f t="shared" si="10"/>
        <v>17.867999999999999</v>
      </c>
      <c r="BE55">
        <f t="shared" si="11"/>
        <v>2.2629464640000001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78.2988</v>
      </c>
      <c r="I56" s="22">
        <v>-1.54907E-2</v>
      </c>
      <c r="J56" s="22">
        <v>46</v>
      </c>
      <c r="K56" s="22">
        <v>1.56799</v>
      </c>
      <c r="L56">
        <f t="shared" si="0"/>
        <v>15.4907</v>
      </c>
      <c r="M56">
        <f t="shared" si="1"/>
        <v>24.294064810000002</v>
      </c>
      <c r="N56" s="9"/>
      <c r="O56" s="22">
        <v>0.13168299999999999</v>
      </c>
      <c r="P56" s="22">
        <v>144.25899999999999</v>
      </c>
      <c r="Q56" s="22">
        <v>-1.7910800000000001E-2</v>
      </c>
      <c r="R56" s="22">
        <v>46</v>
      </c>
      <c r="S56" s="22">
        <v>0.131134</v>
      </c>
      <c r="T56">
        <f t="shared" si="2"/>
        <v>17.910800000000002</v>
      </c>
      <c r="U56">
        <f t="shared" si="3"/>
        <v>2.3585478764000003</v>
      </c>
      <c r="X56" s="9"/>
      <c r="Y56" s="22">
        <v>1.5683</v>
      </c>
      <c r="Z56" s="22">
        <v>229.81200000000001</v>
      </c>
      <c r="AA56" s="22">
        <v>-1.5136699999999999E-2</v>
      </c>
      <c r="AB56" s="22">
        <v>46</v>
      </c>
      <c r="AC56" s="22">
        <v>1.56769</v>
      </c>
      <c r="AD56">
        <f t="shared" si="4"/>
        <v>15.136699999999999</v>
      </c>
      <c r="AE56">
        <f t="shared" si="5"/>
        <v>23.738886609999998</v>
      </c>
      <c r="AF56" s="9"/>
      <c r="AG56" s="22">
        <v>0.13168299999999999</v>
      </c>
      <c r="AH56" s="22">
        <v>384.24900000000002</v>
      </c>
      <c r="AI56" s="22">
        <v>-1.78619E-2</v>
      </c>
      <c r="AJ56" s="22">
        <v>46</v>
      </c>
      <c r="AK56" s="22">
        <v>0.13095100000000001</v>
      </c>
      <c r="AL56">
        <f t="shared" si="6"/>
        <v>17.861899999999999</v>
      </c>
      <c r="AM56">
        <f t="shared" si="7"/>
        <v>2.3521085776999997</v>
      </c>
      <c r="AP56" s="9"/>
      <c r="AQ56" s="22">
        <v>1.5683</v>
      </c>
      <c r="AR56" s="22">
        <v>485.36</v>
      </c>
      <c r="AS56" s="22">
        <v>-1.4816299999999999E-2</v>
      </c>
      <c r="AT56" s="22">
        <v>46</v>
      </c>
      <c r="AU56" s="22">
        <v>1.56799</v>
      </c>
      <c r="AV56">
        <f t="shared" si="8"/>
        <v>14.8163</v>
      </c>
      <c r="AW56">
        <f t="shared" si="9"/>
        <v>23.236403290000002</v>
      </c>
      <c r="AX56" s="9"/>
      <c r="AY56" s="22">
        <v>0.13168299999999999</v>
      </c>
      <c r="AZ56" s="22">
        <v>557.61400000000003</v>
      </c>
      <c r="BA56" s="22">
        <v>-1.78589E-2</v>
      </c>
      <c r="BB56" s="22">
        <v>46</v>
      </c>
      <c r="BC56" s="22">
        <v>0.13122600000000001</v>
      </c>
      <c r="BD56">
        <f t="shared" si="10"/>
        <v>17.858900000000002</v>
      </c>
      <c r="BE56">
        <f t="shared" si="11"/>
        <v>2.3517135286999999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78.399500000000003</v>
      </c>
      <c r="I57" s="22">
        <v>-1.5554800000000001E-2</v>
      </c>
      <c r="J57" s="22">
        <v>47</v>
      </c>
      <c r="K57" s="22">
        <v>1.56281</v>
      </c>
      <c r="L57">
        <f t="shared" si="0"/>
        <v>15.5548</v>
      </c>
      <c r="M57">
        <f t="shared" si="1"/>
        <v>24.316196648000002</v>
      </c>
      <c r="N57" s="9"/>
      <c r="O57" s="22">
        <v>0.13671900000000001</v>
      </c>
      <c r="P57" s="22">
        <v>144.36000000000001</v>
      </c>
      <c r="Q57" s="22">
        <v>-1.7898600000000001E-2</v>
      </c>
      <c r="R57" s="22">
        <v>47</v>
      </c>
      <c r="S57" s="22">
        <v>0.13622999999999999</v>
      </c>
      <c r="T57">
        <f t="shared" si="2"/>
        <v>17.898600000000002</v>
      </c>
      <c r="U57">
        <f t="shared" si="3"/>
        <v>2.4470786934000004</v>
      </c>
      <c r="X57" s="9"/>
      <c r="Y57" s="22">
        <v>1.5632600000000001</v>
      </c>
      <c r="Z57" s="22">
        <v>229.91300000000001</v>
      </c>
      <c r="AA57" s="22">
        <v>-1.5246600000000001E-2</v>
      </c>
      <c r="AB57" s="22">
        <v>47</v>
      </c>
      <c r="AC57" s="22">
        <v>1.56219</v>
      </c>
      <c r="AD57">
        <f t="shared" si="4"/>
        <v>15.246600000000001</v>
      </c>
      <c r="AE57">
        <f t="shared" si="5"/>
        <v>23.834399916000002</v>
      </c>
      <c r="AF57" s="9"/>
      <c r="AG57" s="22">
        <v>0.13671900000000001</v>
      </c>
      <c r="AH57" s="22">
        <v>384.35</v>
      </c>
      <c r="AI57" s="22">
        <v>-1.7855800000000002E-2</v>
      </c>
      <c r="AJ57" s="22">
        <v>47</v>
      </c>
      <c r="AK57" s="22">
        <v>0.13616900000000001</v>
      </c>
      <c r="AL57">
        <f t="shared" si="6"/>
        <v>17.855800000000002</v>
      </c>
      <c r="AM57">
        <f t="shared" si="7"/>
        <v>2.4412271202000002</v>
      </c>
      <c r="AP57" s="9"/>
      <c r="AQ57" s="22">
        <v>1.5632600000000001</v>
      </c>
      <c r="AR57" s="22">
        <v>485.46</v>
      </c>
      <c r="AS57" s="22">
        <v>-1.4919999999999999E-2</v>
      </c>
      <c r="AT57" s="22">
        <v>47</v>
      </c>
      <c r="AU57" s="22">
        <v>1.56281</v>
      </c>
      <c r="AV57">
        <f t="shared" si="8"/>
        <v>14.92</v>
      </c>
      <c r="AW57">
        <f t="shared" si="9"/>
        <v>23.323839200000002</v>
      </c>
      <c r="AX57" s="9"/>
      <c r="AY57" s="22">
        <v>0.13671900000000001</v>
      </c>
      <c r="AZ57" s="22">
        <v>557.71500000000003</v>
      </c>
      <c r="BA57" s="22">
        <v>-1.7855800000000002E-2</v>
      </c>
      <c r="BB57" s="22">
        <v>47</v>
      </c>
      <c r="BC57" s="22">
        <v>0.13616900000000001</v>
      </c>
      <c r="BD57">
        <f t="shared" si="10"/>
        <v>17.855800000000002</v>
      </c>
      <c r="BE57">
        <f t="shared" si="11"/>
        <v>2.4412271202000002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78.500200000000007</v>
      </c>
      <c r="I58" s="22">
        <v>-1.5609700000000001E-2</v>
      </c>
      <c r="J58" s="22">
        <v>48</v>
      </c>
      <c r="K58" s="22">
        <v>1.55762</v>
      </c>
      <c r="L58">
        <f t="shared" si="0"/>
        <v>15.6097</v>
      </c>
      <c r="M58">
        <f t="shared" si="1"/>
        <v>24.323502830999999</v>
      </c>
      <c r="N58" s="9"/>
      <c r="O58" s="22">
        <v>0.14175399999999999</v>
      </c>
      <c r="P58" s="22">
        <v>144.46</v>
      </c>
      <c r="Q58" s="22">
        <v>-1.79016E-2</v>
      </c>
      <c r="R58" s="22">
        <v>48</v>
      </c>
      <c r="S58" s="22">
        <v>0.14117399999999999</v>
      </c>
      <c r="T58">
        <f t="shared" si="2"/>
        <v>17.901599999999998</v>
      </c>
      <c r="U58">
        <f t="shared" si="3"/>
        <v>2.5376234063999994</v>
      </c>
      <c r="X58" s="9"/>
      <c r="Y58" s="22">
        <v>1.55823</v>
      </c>
      <c r="Z58" s="22">
        <v>230.01400000000001</v>
      </c>
      <c r="AA58" s="22">
        <v>-1.5341199999999999E-2</v>
      </c>
      <c r="AB58" s="22">
        <v>48</v>
      </c>
      <c r="AC58" s="22">
        <v>1.55762</v>
      </c>
      <c r="AD58">
        <f t="shared" si="4"/>
        <v>15.341199999999999</v>
      </c>
      <c r="AE58">
        <f t="shared" si="5"/>
        <v>23.905118075999997</v>
      </c>
      <c r="AF58" s="9"/>
      <c r="AG58" s="22">
        <v>0.14175399999999999</v>
      </c>
      <c r="AH58" s="22">
        <v>384.45</v>
      </c>
      <c r="AI58" s="22">
        <v>-1.78619E-2</v>
      </c>
      <c r="AJ58" s="22">
        <v>48</v>
      </c>
      <c r="AK58" s="22">
        <v>0.14114399999999999</v>
      </c>
      <c r="AL58">
        <f t="shared" si="6"/>
        <v>17.861899999999999</v>
      </c>
      <c r="AM58">
        <f t="shared" si="7"/>
        <v>2.5319957725999997</v>
      </c>
      <c r="AP58" s="9"/>
      <c r="AQ58" s="22">
        <v>1.55823</v>
      </c>
      <c r="AR58" s="22">
        <v>485.56099999999998</v>
      </c>
      <c r="AS58" s="22">
        <v>-1.50543E-2</v>
      </c>
      <c r="AT58" s="22">
        <v>48</v>
      </c>
      <c r="AU58" s="22">
        <v>1.55762</v>
      </c>
      <c r="AV58">
        <f t="shared" si="8"/>
        <v>15.0543</v>
      </c>
      <c r="AW58">
        <f t="shared" si="9"/>
        <v>23.458061889</v>
      </c>
      <c r="AX58" s="9"/>
      <c r="AY58" s="22">
        <v>0.14175399999999999</v>
      </c>
      <c r="AZ58" s="22">
        <v>557.81500000000005</v>
      </c>
      <c r="BA58" s="22">
        <v>-1.7855800000000002E-2</v>
      </c>
      <c r="BB58" s="22">
        <v>48</v>
      </c>
      <c r="BC58" s="22">
        <v>0.14108299999999999</v>
      </c>
      <c r="BD58">
        <f t="shared" si="10"/>
        <v>17.855800000000002</v>
      </c>
      <c r="BE58">
        <f t="shared" si="11"/>
        <v>2.5311310732000001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78.600899999999996</v>
      </c>
      <c r="I59" s="22">
        <v>-1.56799E-2</v>
      </c>
      <c r="J59" s="22">
        <v>49</v>
      </c>
      <c r="K59" s="22">
        <v>1.5527299999999999</v>
      </c>
      <c r="L59">
        <f t="shared" si="0"/>
        <v>15.6799</v>
      </c>
      <c r="M59">
        <f t="shared" si="1"/>
        <v>24.353863881000002</v>
      </c>
      <c r="N59" s="9"/>
      <c r="O59" s="22">
        <v>0.14679</v>
      </c>
      <c r="P59" s="22">
        <v>144.56100000000001</v>
      </c>
      <c r="Q59" s="22">
        <v>-1.78894E-2</v>
      </c>
      <c r="R59" s="22">
        <v>49</v>
      </c>
      <c r="S59" s="22">
        <v>0.14633199999999999</v>
      </c>
      <c r="T59">
        <f t="shared" si="2"/>
        <v>17.889399999999998</v>
      </c>
      <c r="U59">
        <f t="shared" si="3"/>
        <v>2.6259850259999999</v>
      </c>
      <c r="X59" s="9"/>
      <c r="Y59" s="22">
        <v>1.5531900000000001</v>
      </c>
      <c r="Z59" s="22">
        <v>230.114</v>
      </c>
      <c r="AA59" s="22">
        <v>-1.5423600000000001E-2</v>
      </c>
      <c r="AB59" s="22">
        <v>49</v>
      </c>
      <c r="AC59" s="22">
        <v>1.55243</v>
      </c>
      <c r="AD59">
        <f t="shared" si="4"/>
        <v>15.4236</v>
      </c>
      <c r="AE59">
        <f t="shared" si="5"/>
        <v>23.955781284</v>
      </c>
      <c r="AF59" s="9"/>
      <c r="AG59" s="22">
        <v>0.14679</v>
      </c>
      <c r="AH59" s="22">
        <v>384.55099999999999</v>
      </c>
      <c r="AI59" s="22">
        <v>-1.78589E-2</v>
      </c>
      <c r="AJ59" s="22">
        <v>49</v>
      </c>
      <c r="AK59" s="22">
        <v>0.14627100000000001</v>
      </c>
      <c r="AL59">
        <f t="shared" si="6"/>
        <v>17.858900000000002</v>
      </c>
      <c r="AM59">
        <f t="shared" si="7"/>
        <v>2.6215079310000005</v>
      </c>
      <c r="AP59" s="9"/>
      <c r="AQ59" s="22">
        <v>1.5531900000000001</v>
      </c>
      <c r="AR59" s="22">
        <v>485.66199999999998</v>
      </c>
      <c r="AS59" s="22">
        <v>-1.51337E-2</v>
      </c>
      <c r="AT59" s="22">
        <v>49</v>
      </c>
      <c r="AU59" s="22">
        <v>1.55243</v>
      </c>
      <c r="AV59">
        <f t="shared" si="8"/>
        <v>15.133699999999999</v>
      </c>
      <c r="AW59">
        <f t="shared" si="9"/>
        <v>23.505511503000001</v>
      </c>
      <c r="AX59" s="9"/>
      <c r="AY59" s="22">
        <v>0.14679</v>
      </c>
      <c r="AZ59" s="22">
        <v>557.91600000000005</v>
      </c>
      <c r="BA59" s="22">
        <v>-1.7855800000000002E-2</v>
      </c>
      <c r="BB59" s="22">
        <v>49</v>
      </c>
      <c r="BC59" s="22">
        <v>0.146484</v>
      </c>
      <c r="BD59">
        <f t="shared" si="10"/>
        <v>17.855800000000002</v>
      </c>
      <c r="BE59">
        <f t="shared" si="11"/>
        <v>2.6210528820000003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78.701599999999999</v>
      </c>
      <c r="I60" s="22">
        <v>-1.57196E-2</v>
      </c>
      <c r="J60" s="22">
        <v>50</v>
      </c>
      <c r="K60" s="22">
        <v>1.54755</v>
      </c>
      <c r="L60">
        <f t="shared" si="0"/>
        <v>15.7196</v>
      </c>
      <c r="M60">
        <f t="shared" si="1"/>
        <v>24.336455936</v>
      </c>
      <c r="N60" s="9"/>
      <c r="O60" s="22">
        <v>0.15182499999999999</v>
      </c>
      <c r="P60" s="22">
        <v>144.66200000000001</v>
      </c>
      <c r="Q60" s="22">
        <v>-1.78894E-2</v>
      </c>
      <c r="R60" s="22">
        <v>50</v>
      </c>
      <c r="S60" s="22">
        <v>0.151337</v>
      </c>
      <c r="T60">
        <f t="shared" si="2"/>
        <v>17.889399999999998</v>
      </c>
      <c r="U60">
        <f t="shared" si="3"/>
        <v>2.7160581549999994</v>
      </c>
      <c r="X60" s="9"/>
      <c r="Y60" s="22">
        <v>1.54816</v>
      </c>
      <c r="Z60" s="22">
        <v>230.215</v>
      </c>
      <c r="AA60" s="22">
        <v>-1.5509E-2</v>
      </c>
      <c r="AB60" s="22">
        <v>50</v>
      </c>
      <c r="AC60" s="22">
        <v>1.54694</v>
      </c>
      <c r="AD60">
        <f t="shared" si="4"/>
        <v>15.509</v>
      </c>
      <c r="AE60">
        <f t="shared" si="5"/>
        <v>24.010413440000001</v>
      </c>
      <c r="AF60" s="9"/>
      <c r="AG60" s="22">
        <v>0.15182499999999999</v>
      </c>
      <c r="AH60" s="22">
        <v>384.65199999999999</v>
      </c>
      <c r="AI60" s="22">
        <v>-1.78589E-2</v>
      </c>
      <c r="AJ60" s="22">
        <v>50</v>
      </c>
      <c r="AK60" s="22">
        <v>0.151398</v>
      </c>
      <c r="AL60">
        <f t="shared" si="6"/>
        <v>17.858900000000002</v>
      </c>
      <c r="AM60">
        <f t="shared" si="7"/>
        <v>2.7114274924999999</v>
      </c>
      <c r="AP60" s="9"/>
      <c r="AQ60" s="22">
        <v>1.54816</v>
      </c>
      <c r="AR60" s="22">
        <v>485.762</v>
      </c>
      <c r="AS60" s="22">
        <v>-1.521E-2</v>
      </c>
      <c r="AT60" s="22">
        <v>50</v>
      </c>
      <c r="AU60" s="22">
        <v>1.54816</v>
      </c>
      <c r="AV60">
        <f t="shared" si="8"/>
        <v>15.209999999999999</v>
      </c>
      <c r="AW60">
        <f t="shared" si="9"/>
        <v>23.547513599999998</v>
      </c>
      <c r="AX60" s="9"/>
      <c r="AY60" s="22">
        <v>0.15182499999999999</v>
      </c>
      <c r="AZ60" s="22">
        <v>558.01700000000005</v>
      </c>
      <c r="BA60" s="22">
        <v>-1.78497E-2</v>
      </c>
      <c r="BB60" s="22">
        <v>50</v>
      </c>
      <c r="BC60" s="22">
        <v>0.151367</v>
      </c>
      <c r="BD60">
        <f t="shared" si="10"/>
        <v>17.849699999999999</v>
      </c>
      <c r="BE60">
        <f t="shared" si="11"/>
        <v>2.7100307024999997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78.802300000000002</v>
      </c>
      <c r="I61" s="22">
        <v>-1.57623E-2</v>
      </c>
      <c r="J61" s="22">
        <v>51</v>
      </c>
      <c r="K61" s="22">
        <v>1.54236</v>
      </c>
      <c r="L61">
        <f t="shared" si="0"/>
        <v>15.7623</v>
      </c>
      <c r="M61">
        <f t="shared" si="1"/>
        <v>24.323120376000002</v>
      </c>
      <c r="N61" s="9"/>
      <c r="O61" s="22">
        <v>0.15686</v>
      </c>
      <c r="P61" s="22">
        <v>144.762</v>
      </c>
      <c r="Q61" s="22">
        <v>-1.78864E-2</v>
      </c>
      <c r="R61" s="22">
        <v>51</v>
      </c>
      <c r="S61" s="22">
        <v>0.15637200000000001</v>
      </c>
      <c r="T61">
        <f t="shared" si="2"/>
        <v>17.886400000000002</v>
      </c>
      <c r="U61">
        <f t="shared" si="3"/>
        <v>2.8056607040000001</v>
      </c>
      <c r="X61" s="9"/>
      <c r="Y61" s="22">
        <v>1.54312</v>
      </c>
      <c r="Z61" s="22">
        <v>230.316</v>
      </c>
      <c r="AA61" s="22">
        <v>-1.55853E-2</v>
      </c>
      <c r="AB61" s="22">
        <v>51</v>
      </c>
      <c r="AC61" s="22">
        <v>1.5426599999999999</v>
      </c>
      <c r="AD61">
        <f t="shared" si="4"/>
        <v>15.5853</v>
      </c>
      <c r="AE61">
        <f t="shared" si="5"/>
        <v>24.049988136</v>
      </c>
      <c r="AF61" s="9"/>
      <c r="AG61" s="22">
        <v>0.15686</v>
      </c>
      <c r="AH61" s="22">
        <v>384.75200000000001</v>
      </c>
      <c r="AI61" s="22">
        <v>-1.78497E-2</v>
      </c>
      <c r="AJ61" s="22">
        <v>51</v>
      </c>
      <c r="AK61" s="22">
        <v>0.15634200000000001</v>
      </c>
      <c r="AL61">
        <f t="shared" si="6"/>
        <v>17.849699999999999</v>
      </c>
      <c r="AM61">
        <f t="shared" si="7"/>
        <v>2.7999039419999998</v>
      </c>
      <c r="AP61" s="9"/>
      <c r="AQ61" s="22">
        <v>1.54312</v>
      </c>
      <c r="AR61" s="22">
        <v>485.863</v>
      </c>
      <c r="AS61" s="22">
        <v>-1.53046E-2</v>
      </c>
      <c r="AT61" s="22">
        <v>51</v>
      </c>
      <c r="AU61" s="22">
        <v>1.5420499999999999</v>
      </c>
      <c r="AV61">
        <f t="shared" si="8"/>
        <v>15.304600000000001</v>
      </c>
      <c r="AW61">
        <f t="shared" si="9"/>
        <v>23.616834352000001</v>
      </c>
      <c r="AX61" s="9"/>
      <c r="AY61" s="22">
        <v>0.15686</v>
      </c>
      <c r="AZ61" s="22">
        <v>558.11699999999996</v>
      </c>
      <c r="BA61" s="22">
        <v>-1.78467E-2</v>
      </c>
      <c r="BB61" s="22">
        <v>51</v>
      </c>
      <c r="BC61" s="22">
        <v>0.156281</v>
      </c>
      <c r="BD61">
        <f t="shared" si="10"/>
        <v>17.846699999999998</v>
      </c>
      <c r="BE61">
        <f t="shared" si="11"/>
        <v>2.7994333619999998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78.903000000000006</v>
      </c>
      <c r="I62" s="22">
        <v>-1.58142E-2</v>
      </c>
      <c r="J62" s="22">
        <v>52</v>
      </c>
      <c r="K62" s="22">
        <v>1.53748</v>
      </c>
      <c r="L62">
        <f t="shared" si="0"/>
        <v>15.8142</v>
      </c>
      <c r="M62">
        <f t="shared" si="1"/>
        <v>24.323662878</v>
      </c>
      <c r="N62" s="9"/>
      <c r="O62" s="22">
        <v>0.16189600000000001</v>
      </c>
      <c r="P62" s="22">
        <v>144.863</v>
      </c>
      <c r="Q62" s="22">
        <v>-1.7883300000000001E-2</v>
      </c>
      <c r="R62" s="22">
        <v>52</v>
      </c>
      <c r="S62" s="22">
        <v>0.16137699999999999</v>
      </c>
      <c r="T62">
        <f t="shared" si="2"/>
        <v>17.883300000000002</v>
      </c>
      <c r="U62">
        <f t="shared" si="3"/>
        <v>2.8952347368000004</v>
      </c>
      <c r="X62" s="9"/>
      <c r="Y62" s="22">
        <v>1.53809</v>
      </c>
      <c r="Z62" s="22">
        <v>230.416</v>
      </c>
      <c r="AA62" s="22">
        <v>-1.56647E-2</v>
      </c>
      <c r="AB62" s="22">
        <v>52</v>
      </c>
      <c r="AC62" s="22">
        <v>1.5377799999999999</v>
      </c>
      <c r="AD62">
        <f t="shared" si="4"/>
        <v>15.6647</v>
      </c>
      <c r="AE62">
        <f t="shared" si="5"/>
        <v>24.093718422999999</v>
      </c>
      <c r="AF62" s="9"/>
      <c r="AG62" s="22">
        <v>0.16189600000000001</v>
      </c>
      <c r="AH62" s="22">
        <v>384.85300000000001</v>
      </c>
      <c r="AI62" s="22">
        <v>-1.7840600000000002E-2</v>
      </c>
      <c r="AJ62" s="22">
        <v>52</v>
      </c>
      <c r="AK62" s="22">
        <v>0.16156000000000001</v>
      </c>
      <c r="AL62">
        <f t="shared" si="6"/>
        <v>17.840600000000002</v>
      </c>
      <c r="AM62">
        <f t="shared" si="7"/>
        <v>2.8883217776000008</v>
      </c>
      <c r="AP62" s="9"/>
      <c r="AQ62" s="22">
        <v>1.53809</v>
      </c>
      <c r="AR62" s="22">
        <v>485.964</v>
      </c>
      <c r="AS62" s="22">
        <v>-1.5368700000000001E-2</v>
      </c>
      <c r="AT62" s="22">
        <v>52</v>
      </c>
      <c r="AU62" s="22">
        <v>1.53748</v>
      </c>
      <c r="AV62">
        <f t="shared" si="8"/>
        <v>15.3687</v>
      </c>
      <c r="AW62">
        <f t="shared" si="9"/>
        <v>23.638443783</v>
      </c>
      <c r="AX62" s="9"/>
      <c r="AY62" s="22">
        <v>0.16189600000000001</v>
      </c>
      <c r="AZ62" s="22">
        <v>558.21799999999996</v>
      </c>
      <c r="BA62" s="22">
        <v>-1.78345E-2</v>
      </c>
      <c r="BB62" s="22">
        <v>52</v>
      </c>
      <c r="BC62" s="22">
        <v>0.16131599999999999</v>
      </c>
      <c r="BD62">
        <f t="shared" si="10"/>
        <v>17.834499999999998</v>
      </c>
      <c r="BE62">
        <f t="shared" si="11"/>
        <v>2.8873342119999998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79.003699999999995</v>
      </c>
      <c r="I63" s="22">
        <v>-1.58447E-2</v>
      </c>
      <c r="J63" s="22">
        <v>53</v>
      </c>
      <c r="K63" s="22">
        <v>1.5325899999999999</v>
      </c>
      <c r="L63">
        <f t="shared" si="0"/>
        <v>15.8447</v>
      </c>
      <c r="M63">
        <f t="shared" si="1"/>
        <v>24.290717335</v>
      </c>
      <c r="N63" s="9"/>
      <c r="O63" s="22">
        <v>0.166931</v>
      </c>
      <c r="P63" s="22">
        <v>144.964</v>
      </c>
      <c r="Q63" s="22">
        <v>-1.7880199999999999E-2</v>
      </c>
      <c r="R63" s="22">
        <v>53</v>
      </c>
      <c r="S63" s="22">
        <v>0.166351</v>
      </c>
      <c r="T63">
        <f t="shared" si="2"/>
        <v>17.880199999999999</v>
      </c>
      <c r="U63">
        <f t="shared" si="3"/>
        <v>2.9847596661999996</v>
      </c>
      <c r="X63" s="9"/>
      <c r="Y63" s="22">
        <v>1.53305</v>
      </c>
      <c r="Z63" s="22">
        <v>230.517</v>
      </c>
      <c r="AA63" s="22">
        <v>-1.5728800000000001E-2</v>
      </c>
      <c r="AB63" s="22">
        <v>53</v>
      </c>
      <c r="AC63" s="22">
        <v>1.5322899999999999</v>
      </c>
      <c r="AD63">
        <f t="shared" si="4"/>
        <v>15.728800000000001</v>
      </c>
      <c r="AE63">
        <f t="shared" si="5"/>
        <v>24.113036840000003</v>
      </c>
      <c r="AF63" s="9"/>
      <c r="AG63" s="22">
        <v>0.166931</v>
      </c>
      <c r="AH63" s="22">
        <v>384.95400000000001</v>
      </c>
      <c r="AI63" s="22">
        <v>-1.7840600000000002E-2</v>
      </c>
      <c r="AJ63" s="22">
        <v>53</v>
      </c>
      <c r="AK63" s="22">
        <v>0.16647300000000001</v>
      </c>
      <c r="AL63">
        <f t="shared" si="6"/>
        <v>17.840600000000002</v>
      </c>
      <c r="AM63">
        <f t="shared" si="7"/>
        <v>2.9781491986000002</v>
      </c>
      <c r="AP63" s="9"/>
      <c r="AQ63" s="22">
        <v>1.53305</v>
      </c>
      <c r="AR63" s="22">
        <v>486.065</v>
      </c>
      <c r="AS63" s="22">
        <v>-1.5448E-2</v>
      </c>
      <c r="AT63" s="22">
        <v>53</v>
      </c>
      <c r="AU63" s="22">
        <v>1.5325899999999999</v>
      </c>
      <c r="AV63">
        <f t="shared" si="8"/>
        <v>15.448</v>
      </c>
      <c r="AW63">
        <f t="shared" si="9"/>
        <v>23.682556399999999</v>
      </c>
      <c r="AX63" s="9"/>
      <c r="AY63" s="22">
        <v>0.166931</v>
      </c>
      <c r="AZ63" s="22">
        <v>558.31899999999996</v>
      </c>
      <c r="BA63" s="22">
        <v>-1.7825299999999999E-2</v>
      </c>
      <c r="BB63" s="22">
        <v>53</v>
      </c>
      <c r="BC63" s="22">
        <v>0.16656499999999999</v>
      </c>
      <c r="BD63">
        <f t="shared" si="10"/>
        <v>17.825299999999999</v>
      </c>
      <c r="BE63">
        <f t="shared" si="11"/>
        <v>2.9755951542999997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79.104500000000002</v>
      </c>
      <c r="I64" s="22">
        <v>-1.5878300000000001E-2</v>
      </c>
      <c r="J64" s="22">
        <v>54</v>
      </c>
      <c r="K64" s="22">
        <v>1.5280199999999999</v>
      </c>
      <c r="L64">
        <f t="shared" si="0"/>
        <v>15.878300000000001</v>
      </c>
      <c r="M64">
        <f t="shared" si="1"/>
        <v>24.262359966000002</v>
      </c>
      <c r="N64" s="9"/>
      <c r="O64" s="22">
        <v>0.17196700000000001</v>
      </c>
      <c r="P64" s="22">
        <v>145.065</v>
      </c>
      <c r="Q64" s="22">
        <v>-1.78864E-2</v>
      </c>
      <c r="R64" s="22">
        <v>54</v>
      </c>
      <c r="S64" s="22">
        <v>0.17150899999999999</v>
      </c>
      <c r="T64">
        <f t="shared" si="2"/>
        <v>17.886400000000002</v>
      </c>
      <c r="U64">
        <f t="shared" si="3"/>
        <v>3.0758705488000007</v>
      </c>
      <c r="X64" s="9"/>
      <c r="Y64" s="22">
        <v>1.5280199999999999</v>
      </c>
      <c r="Z64" s="22">
        <v>230.61799999999999</v>
      </c>
      <c r="AA64" s="22">
        <v>-1.5786700000000001E-2</v>
      </c>
      <c r="AB64" s="22">
        <v>54</v>
      </c>
      <c r="AC64" s="22">
        <v>1.5274000000000001</v>
      </c>
      <c r="AD64">
        <f t="shared" si="4"/>
        <v>15.786700000000002</v>
      </c>
      <c r="AE64">
        <f t="shared" si="5"/>
        <v>24.122393334000002</v>
      </c>
      <c r="AF64" s="9"/>
      <c r="AG64" s="22">
        <v>0.17196700000000001</v>
      </c>
      <c r="AH64" s="22">
        <v>385.05500000000001</v>
      </c>
      <c r="AI64" s="22">
        <v>-1.7843600000000001E-2</v>
      </c>
      <c r="AJ64" s="22">
        <v>54</v>
      </c>
      <c r="AK64" s="22">
        <v>0.17135600000000001</v>
      </c>
      <c r="AL64">
        <f t="shared" si="6"/>
        <v>17.843600000000002</v>
      </c>
      <c r="AM64">
        <f t="shared" si="7"/>
        <v>3.0685103612000004</v>
      </c>
      <c r="AP64" s="9"/>
      <c r="AQ64" s="22">
        <v>1.5280199999999999</v>
      </c>
      <c r="AR64" s="22">
        <v>486.16500000000002</v>
      </c>
      <c r="AS64" s="22">
        <v>-1.5518199999999999E-2</v>
      </c>
      <c r="AT64" s="22">
        <v>54</v>
      </c>
      <c r="AU64" s="22">
        <v>1.5274000000000001</v>
      </c>
      <c r="AV64">
        <f t="shared" si="8"/>
        <v>15.5182</v>
      </c>
      <c r="AW64">
        <f t="shared" si="9"/>
        <v>23.712119963999999</v>
      </c>
      <c r="AX64" s="9"/>
      <c r="AY64" s="22">
        <v>0.17196700000000001</v>
      </c>
      <c r="AZ64" s="22">
        <v>558.41899999999998</v>
      </c>
      <c r="BA64" s="22">
        <v>-1.78345E-2</v>
      </c>
      <c r="BB64" s="22">
        <v>54</v>
      </c>
      <c r="BC64" s="22">
        <v>0.171265</v>
      </c>
      <c r="BD64">
        <f t="shared" si="10"/>
        <v>17.834499999999998</v>
      </c>
      <c r="BE64">
        <f t="shared" si="11"/>
        <v>3.0669454615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79.205200000000005</v>
      </c>
      <c r="I65" s="22">
        <v>-1.5905800000000001E-2</v>
      </c>
      <c r="J65" s="22">
        <v>55</v>
      </c>
      <c r="K65" s="22">
        <v>1.5216099999999999</v>
      </c>
      <c r="L65">
        <f t="shared" si="0"/>
        <v>15.905800000000001</v>
      </c>
      <c r="M65">
        <f t="shared" si="1"/>
        <v>24.224215284000003</v>
      </c>
      <c r="N65" s="9"/>
      <c r="O65" s="22">
        <v>0.17700199999999999</v>
      </c>
      <c r="P65" s="22">
        <v>145.16499999999999</v>
      </c>
      <c r="Q65" s="22">
        <v>-1.7877199999999999E-2</v>
      </c>
      <c r="R65" s="22">
        <v>55</v>
      </c>
      <c r="S65" s="22">
        <v>0.17654400000000001</v>
      </c>
      <c r="T65">
        <f t="shared" si="2"/>
        <v>17.877199999999998</v>
      </c>
      <c r="U65">
        <f t="shared" si="3"/>
        <v>3.1643001543999998</v>
      </c>
      <c r="X65" s="9"/>
      <c r="Y65" s="22">
        <v>1.52298</v>
      </c>
      <c r="Z65" s="22">
        <v>230.71899999999999</v>
      </c>
      <c r="AA65" s="22">
        <v>-1.5850800000000002E-2</v>
      </c>
      <c r="AB65" s="22">
        <v>55</v>
      </c>
      <c r="AC65" s="22">
        <v>1.5219100000000001</v>
      </c>
      <c r="AD65">
        <f t="shared" si="4"/>
        <v>15.850800000000001</v>
      </c>
      <c r="AE65">
        <f t="shared" si="5"/>
        <v>24.140451384000002</v>
      </c>
      <c r="AF65" s="9"/>
      <c r="AG65" s="22">
        <v>0.17700199999999999</v>
      </c>
      <c r="AH65" s="22">
        <v>385.15499999999997</v>
      </c>
      <c r="AI65" s="22">
        <v>-1.78345E-2</v>
      </c>
      <c r="AJ65" s="22">
        <v>55</v>
      </c>
      <c r="AK65" s="22">
        <v>0.176727</v>
      </c>
      <c r="AL65">
        <f t="shared" si="6"/>
        <v>17.834499999999998</v>
      </c>
      <c r="AM65">
        <f t="shared" si="7"/>
        <v>3.1567421689999997</v>
      </c>
      <c r="AP65" s="9"/>
      <c r="AQ65" s="22">
        <v>1.52298</v>
      </c>
      <c r="AR65" s="22">
        <v>486.26600000000002</v>
      </c>
      <c r="AS65" s="22">
        <v>-1.55792E-2</v>
      </c>
      <c r="AT65" s="22">
        <v>55</v>
      </c>
      <c r="AU65" s="22">
        <v>1.5222199999999999</v>
      </c>
      <c r="AV65">
        <f t="shared" si="8"/>
        <v>15.5792</v>
      </c>
      <c r="AW65">
        <f t="shared" si="9"/>
        <v>23.726810016000002</v>
      </c>
      <c r="AX65" s="9"/>
      <c r="AY65" s="22">
        <v>0.17700199999999999</v>
      </c>
      <c r="AZ65" s="22">
        <v>558.52</v>
      </c>
      <c r="BA65" s="22">
        <v>-1.7828400000000001E-2</v>
      </c>
      <c r="BB65" s="22">
        <v>55</v>
      </c>
      <c r="BC65" s="22">
        <v>0.17605599999999999</v>
      </c>
      <c r="BD65">
        <f t="shared" si="10"/>
        <v>17.828400000000002</v>
      </c>
      <c r="BE65">
        <f t="shared" si="11"/>
        <v>3.1556624568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79.305899999999994</v>
      </c>
      <c r="I66" s="22">
        <v>-1.5945399999999998E-2</v>
      </c>
      <c r="J66" s="22">
        <v>56</v>
      </c>
      <c r="K66" s="22">
        <v>1.5176400000000001</v>
      </c>
      <c r="L66">
        <f t="shared" si="0"/>
        <v>15.945399999999999</v>
      </c>
      <c r="M66">
        <f t="shared" si="1"/>
        <v>24.204160475999998</v>
      </c>
      <c r="N66" s="9"/>
      <c r="O66" s="22">
        <v>0.182037</v>
      </c>
      <c r="P66" s="22">
        <v>145.26599999999999</v>
      </c>
      <c r="Q66" s="22">
        <v>-1.7880199999999999E-2</v>
      </c>
      <c r="R66" s="22">
        <v>56</v>
      </c>
      <c r="S66" s="22">
        <v>0.18130499999999999</v>
      </c>
      <c r="T66">
        <f t="shared" si="2"/>
        <v>17.880199999999999</v>
      </c>
      <c r="U66">
        <f t="shared" si="3"/>
        <v>3.2548579674</v>
      </c>
      <c r="X66" s="9"/>
      <c r="Y66" s="22">
        <v>1.5179400000000001</v>
      </c>
      <c r="Z66" s="22">
        <v>230.81899999999999</v>
      </c>
      <c r="AA66" s="22">
        <v>-1.5893600000000001E-2</v>
      </c>
      <c r="AB66" s="22">
        <v>56</v>
      </c>
      <c r="AC66" s="22">
        <v>1.5176400000000001</v>
      </c>
      <c r="AD66">
        <f t="shared" si="4"/>
        <v>15.893600000000001</v>
      </c>
      <c r="AE66">
        <f t="shared" si="5"/>
        <v>24.125531184000003</v>
      </c>
      <c r="AF66" s="9"/>
      <c r="AG66" s="22">
        <v>0.182037</v>
      </c>
      <c r="AH66" s="22">
        <v>385.25599999999997</v>
      </c>
      <c r="AI66" s="22">
        <v>-1.7825299999999999E-2</v>
      </c>
      <c r="AJ66" s="22">
        <v>56</v>
      </c>
      <c r="AK66" s="22">
        <v>0.18130499999999999</v>
      </c>
      <c r="AL66">
        <f t="shared" si="6"/>
        <v>17.825299999999999</v>
      </c>
      <c r="AM66">
        <f t="shared" si="7"/>
        <v>3.2448641360999999</v>
      </c>
      <c r="AP66" s="9"/>
      <c r="AQ66" s="22">
        <v>1.5179400000000001</v>
      </c>
      <c r="AR66" s="22">
        <v>486.36700000000002</v>
      </c>
      <c r="AS66" s="22">
        <v>-1.5640299999999999E-2</v>
      </c>
      <c r="AT66" s="22">
        <v>56</v>
      </c>
      <c r="AU66" s="22">
        <v>1.5173300000000001</v>
      </c>
      <c r="AV66">
        <f t="shared" si="8"/>
        <v>15.6403</v>
      </c>
      <c r="AW66">
        <f t="shared" si="9"/>
        <v>23.741036982000001</v>
      </c>
      <c r="AX66" s="9"/>
      <c r="AY66" s="22">
        <v>0.182037</v>
      </c>
      <c r="AZ66" s="22">
        <v>558.62099999999998</v>
      </c>
      <c r="BA66" s="22">
        <v>-1.7831400000000001E-2</v>
      </c>
      <c r="BB66" s="22">
        <v>56</v>
      </c>
      <c r="BC66" s="22">
        <v>0.18154899999999999</v>
      </c>
      <c r="BD66">
        <f t="shared" si="10"/>
        <v>17.831400000000002</v>
      </c>
      <c r="BE66">
        <f t="shared" si="11"/>
        <v>3.2459745618000007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79.406599999999997</v>
      </c>
      <c r="I67" s="22">
        <v>-1.5969799999999999E-2</v>
      </c>
      <c r="J67" s="22">
        <v>57</v>
      </c>
      <c r="K67" s="22">
        <v>1.5121500000000001</v>
      </c>
      <c r="L67">
        <f t="shared" si="0"/>
        <v>15.969799999999999</v>
      </c>
      <c r="M67">
        <f t="shared" si="1"/>
        <v>24.160870117999998</v>
      </c>
      <c r="N67" s="9"/>
      <c r="O67" s="22">
        <v>0.18707299999999999</v>
      </c>
      <c r="P67" s="22">
        <v>145.36699999999999</v>
      </c>
      <c r="Q67" s="22">
        <v>-1.7864999999999999E-2</v>
      </c>
      <c r="R67" s="22">
        <v>57</v>
      </c>
      <c r="S67" s="22">
        <v>0.18618799999999999</v>
      </c>
      <c r="T67">
        <f t="shared" si="2"/>
        <v>17.864999999999998</v>
      </c>
      <c r="U67">
        <f t="shared" si="3"/>
        <v>3.3420591449999995</v>
      </c>
      <c r="X67" s="9"/>
      <c r="Y67" s="22">
        <v>1.51291</v>
      </c>
      <c r="Z67" s="22">
        <v>230.92</v>
      </c>
      <c r="AA67" s="22">
        <v>-1.59393E-2</v>
      </c>
      <c r="AB67" s="22">
        <v>57</v>
      </c>
      <c r="AC67" s="22">
        <v>1.5118400000000001</v>
      </c>
      <c r="AD67">
        <f t="shared" si="4"/>
        <v>15.939299999999999</v>
      </c>
      <c r="AE67">
        <f t="shared" si="5"/>
        <v>24.114726362999999</v>
      </c>
      <c r="AF67" s="9"/>
      <c r="AG67" s="22">
        <v>0.18707299999999999</v>
      </c>
      <c r="AH67" s="22">
        <v>385.35700000000003</v>
      </c>
      <c r="AI67" s="22">
        <v>-1.7825299999999999E-2</v>
      </c>
      <c r="AJ67" s="22">
        <v>57</v>
      </c>
      <c r="AK67" s="22">
        <v>0.18646199999999999</v>
      </c>
      <c r="AL67">
        <f t="shared" si="6"/>
        <v>17.825299999999999</v>
      </c>
      <c r="AM67">
        <f t="shared" si="7"/>
        <v>3.3346323468999994</v>
      </c>
      <c r="AP67" s="9"/>
      <c r="AQ67" s="22">
        <v>1.51291</v>
      </c>
      <c r="AR67" s="22">
        <v>486.46699999999998</v>
      </c>
      <c r="AS67" s="22">
        <v>-1.5670799999999999E-2</v>
      </c>
      <c r="AT67" s="22">
        <v>57</v>
      </c>
      <c r="AU67" s="22">
        <v>1.5118400000000001</v>
      </c>
      <c r="AV67">
        <f t="shared" si="8"/>
        <v>15.670799999999998</v>
      </c>
      <c r="AW67">
        <f t="shared" si="9"/>
        <v>23.708510027999996</v>
      </c>
      <c r="AX67" s="9"/>
      <c r="AY67" s="22">
        <v>0.18707299999999999</v>
      </c>
      <c r="AZ67" s="22">
        <v>558.72199999999998</v>
      </c>
      <c r="BA67" s="22">
        <v>-1.78192E-2</v>
      </c>
      <c r="BB67" s="22">
        <v>57</v>
      </c>
      <c r="BC67" s="22">
        <v>0.186615</v>
      </c>
      <c r="BD67">
        <f t="shared" si="10"/>
        <v>17.819199999999999</v>
      </c>
      <c r="BE67">
        <f t="shared" si="11"/>
        <v>3.3334912015999993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79.507300000000001</v>
      </c>
      <c r="I68" s="22">
        <v>-1.5997299999999999E-2</v>
      </c>
      <c r="J68" s="22">
        <v>58</v>
      </c>
      <c r="K68" s="22">
        <v>1.5069600000000001</v>
      </c>
      <c r="L68">
        <f t="shared" si="0"/>
        <v>15.997299999999999</v>
      </c>
      <c r="M68">
        <f t="shared" si="1"/>
        <v>24.121848750999998</v>
      </c>
      <c r="N68" s="9"/>
      <c r="O68" s="22">
        <v>0.192108</v>
      </c>
      <c r="P68" s="22">
        <v>145.46700000000001</v>
      </c>
      <c r="Q68" s="22">
        <v>-1.7864999999999999E-2</v>
      </c>
      <c r="R68" s="22">
        <v>58</v>
      </c>
      <c r="S68" s="22">
        <v>0.19155900000000001</v>
      </c>
      <c r="T68">
        <f t="shared" si="2"/>
        <v>17.864999999999998</v>
      </c>
      <c r="U68">
        <f t="shared" si="3"/>
        <v>3.4320094199999995</v>
      </c>
      <c r="X68" s="9"/>
      <c r="Y68" s="22">
        <v>1.50787</v>
      </c>
      <c r="Z68" s="22">
        <v>231.02099999999999</v>
      </c>
      <c r="AA68" s="22">
        <v>-1.6009499999999999E-2</v>
      </c>
      <c r="AB68" s="22">
        <v>58</v>
      </c>
      <c r="AC68" s="22">
        <v>1.5069600000000001</v>
      </c>
      <c r="AD68">
        <f t="shared" si="4"/>
        <v>16.009499999999999</v>
      </c>
      <c r="AE68">
        <f t="shared" si="5"/>
        <v>24.140244764999998</v>
      </c>
      <c r="AF68" s="9"/>
      <c r="AG68" s="22">
        <v>0.192108</v>
      </c>
      <c r="AH68" s="22">
        <v>385.45699999999999</v>
      </c>
      <c r="AI68" s="22">
        <v>-1.7822299999999999E-2</v>
      </c>
      <c r="AJ68" s="22">
        <v>58</v>
      </c>
      <c r="AK68" s="22">
        <v>0.19189500000000001</v>
      </c>
      <c r="AL68">
        <f t="shared" si="6"/>
        <v>17.822299999999998</v>
      </c>
      <c r="AM68">
        <f t="shared" si="7"/>
        <v>3.4238064083999999</v>
      </c>
      <c r="AP68" s="9"/>
      <c r="AQ68" s="22">
        <v>1.50787</v>
      </c>
      <c r="AR68" s="22">
        <v>486.56799999999998</v>
      </c>
      <c r="AS68" s="22">
        <v>-1.5731800000000001E-2</v>
      </c>
      <c r="AT68" s="22">
        <v>58</v>
      </c>
      <c r="AU68" s="22">
        <v>1.5069600000000001</v>
      </c>
      <c r="AV68">
        <f t="shared" si="8"/>
        <v>15.7318</v>
      </c>
      <c r="AW68">
        <f t="shared" si="9"/>
        <v>23.721509266000002</v>
      </c>
      <c r="AX68" s="9"/>
      <c r="AY68" s="22">
        <v>0.192108</v>
      </c>
      <c r="AZ68" s="22">
        <v>558.822</v>
      </c>
      <c r="BA68" s="22">
        <v>-1.7813099999999998E-2</v>
      </c>
      <c r="BB68" s="22">
        <v>58</v>
      </c>
      <c r="BC68" s="22">
        <v>0.191467</v>
      </c>
      <c r="BD68">
        <f t="shared" si="10"/>
        <v>17.813099999999999</v>
      </c>
      <c r="BE68">
        <f t="shared" si="11"/>
        <v>3.4220390147999997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79.608000000000004</v>
      </c>
      <c r="I69" s="22">
        <v>-1.6012599999999998E-2</v>
      </c>
      <c r="J69" s="22">
        <v>59</v>
      </c>
      <c r="K69" s="22">
        <v>1.5020800000000001</v>
      </c>
      <c r="L69">
        <f t="shared" si="0"/>
        <v>16.012599999999999</v>
      </c>
      <c r="M69">
        <f t="shared" si="1"/>
        <v>24.064375783999999</v>
      </c>
      <c r="N69" s="9"/>
      <c r="O69" s="22">
        <v>0.19714400000000001</v>
      </c>
      <c r="P69" s="22">
        <v>145.56800000000001</v>
      </c>
      <c r="Q69" s="22">
        <v>-1.78619E-2</v>
      </c>
      <c r="R69" s="22">
        <v>59</v>
      </c>
      <c r="S69" s="22">
        <v>0.19659399999999999</v>
      </c>
      <c r="T69">
        <f t="shared" si="2"/>
        <v>17.861899999999999</v>
      </c>
      <c r="U69">
        <f t="shared" si="3"/>
        <v>3.5213664136</v>
      </c>
      <c r="X69" s="9"/>
      <c r="Y69" s="22">
        <v>1.50284</v>
      </c>
      <c r="Z69" s="22">
        <v>231.12100000000001</v>
      </c>
      <c r="AA69" s="22">
        <v>-1.6043100000000001E-2</v>
      </c>
      <c r="AB69" s="22">
        <v>59</v>
      </c>
      <c r="AC69" s="22">
        <v>1.50146</v>
      </c>
      <c r="AD69">
        <f t="shared" si="4"/>
        <v>16.043100000000003</v>
      </c>
      <c r="AE69">
        <f t="shared" si="5"/>
        <v>24.110212404000002</v>
      </c>
      <c r="AF69" s="9"/>
      <c r="AG69" s="22">
        <v>0.19714400000000001</v>
      </c>
      <c r="AH69" s="22">
        <v>385.55799999999999</v>
      </c>
      <c r="AI69" s="22">
        <v>-1.7816200000000001E-2</v>
      </c>
      <c r="AJ69" s="22">
        <v>59</v>
      </c>
      <c r="AK69" s="22">
        <v>0.19653300000000001</v>
      </c>
      <c r="AL69">
        <f t="shared" si="6"/>
        <v>17.816200000000002</v>
      </c>
      <c r="AM69">
        <f t="shared" si="7"/>
        <v>3.5123569328000008</v>
      </c>
      <c r="AP69" s="9"/>
      <c r="AQ69" s="22">
        <v>1.50284</v>
      </c>
      <c r="AR69" s="22">
        <v>486.66899999999998</v>
      </c>
      <c r="AS69" s="22">
        <v>-1.5783700000000001E-2</v>
      </c>
      <c r="AT69" s="22">
        <v>59</v>
      </c>
      <c r="AU69" s="22">
        <v>1.50238</v>
      </c>
      <c r="AV69">
        <f t="shared" si="8"/>
        <v>15.783700000000001</v>
      </c>
      <c r="AW69">
        <f t="shared" si="9"/>
        <v>23.720375708000002</v>
      </c>
      <c r="AX69" s="9"/>
      <c r="AY69" s="22">
        <v>0.19714400000000001</v>
      </c>
      <c r="AZ69" s="22">
        <v>558.923</v>
      </c>
      <c r="BA69" s="22">
        <v>-1.7810099999999999E-2</v>
      </c>
      <c r="BB69" s="22">
        <v>59</v>
      </c>
      <c r="BC69" s="22">
        <v>0.196716</v>
      </c>
      <c r="BD69">
        <f t="shared" si="10"/>
        <v>17.810099999999998</v>
      </c>
      <c r="BE69">
        <f t="shared" si="11"/>
        <v>3.5111543543999999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79.708699999999993</v>
      </c>
      <c r="I70" s="22">
        <v>-1.60492E-2</v>
      </c>
      <c r="J70" s="22">
        <v>60</v>
      </c>
      <c r="K70" s="22">
        <v>1.4968900000000001</v>
      </c>
      <c r="L70">
        <f t="shared" si="0"/>
        <v>16.049199999999999</v>
      </c>
      <c r="M70">
        <f t="shared" si="1"/>
        <v>24.038491759999999</v>
      </c>
      <c r="N70" s="9"/>
      <c r="O70" s="22">
        <v>0.202179</v>
      </c>
      <c r="P70" s="22">
        <v>145.66900000000001</v>
      </c>
      <c r="Q70" s="22">
        <v>-1.7864999999999999E-2</v>
      </c>
      <c r="R70" s="22">
        <v>60</v>
      </c>
      <c r="S70" s="22">
        <v>0.20175199999999999</v>
      </c>
      <c r="T70">
        <f t="shared" si="2"/>
        <v>17.864999999999998</v>
      </c>
      <c r="U70">
        <f t="shared" si="3"/>
        <v>3.6119278349999995</v>
      </c>
      <c r="X70" s="9"/>
      <c r="Y70" s="22">
        <v>1.4978</v>
      </c>
      <c r="Z70" s="22">
        <v>231.22200000000001</v>
      </c>
      <c r="AA70" s="22">
        <v>-1.60889E-2</v>
      </c>
      <c r="AB70" s="22">
        <v>60</v>
      </c>
      <c r="AC70" s="22">
        <v>1.4968900000000001</v>
      </c>
      <c r="AD70">
        <f t="shared" si="4"/>
        <v>16.088899999999999</v>
      </c>
      <c r="AE70">
        <f t="shared" si="5"/>
        <v>24.097954419999997</v>
      </c>
      <c r="AF70" s="9"/>
      <c r="AG70" s="22">
        <v>0.202179</v>
      </c>
      <c r="AH70" s="22">
        <v>385.65899999999999</v>
      </c>
      <c r="AI70" s="22">
        <v>-1.7810099999999999E-2</v>
      </c>
      <c r="AJ70" s="22">
        <v>60</v>
      </c>
      <c r="AK70" s="22">
        <v>0.20147699999999999</v>
      </c>
      <c r="AL70">
        <f t="shared" si="6"/>
        <v>17.810099999999998</v>
      </c>
      <c r="AM70">
        <f t="shared" si="7"/>
        <v>3.6008282078999998</v>
      </c>
      <c r="AP70" s="9"/>
      <c r="AQ70" s="22">
        <v>1.4978</v>
      </c>
      <c r="AR70" s="22">
        <v>486.77</v>
      </c>
      <c r="AS70" s="22">
        <v>-1.5802E-2</v>
      </c>
      <c r="AT70" s="22">
        <v>60</v>
      </c>
      <c r="AU70" s="22">
        <v>1.49658</v>
      </c>
      <c r="AV70">
        <f t="shared" si="8"/>
        <v>15.802</v>
      </c>
      <c r="AW70">
        <f t="shared" si="9"/>
        <v>23.668235599999999</v>
      </c>
      <c r="AX70" s="9"/>
      <c r="AY70" s="22">
        <v>0.202179</v>
      </c>
      <c r="AZ70" s="22">
        <v>559.024</v>
      </c>
      <c r="BA70" s="22">
        <v>-1.7816200000000001E-2</v>
      </c>
      <c r="BB70" s="22">
        <v>60</v>
      </c>
      <c r="BC70" s="22">
        <v>0.20166000000000001</v>
      </c>
      <c r="BD70">
        <f t="shared" si="10"/>
        <v>17.816200000000002</v>
      </c>
      <c r="BE70">
        <f t="shared" si="11"/>
        <v>3.6020614998000005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79.809399999999997</v>
      </c>
      <c r="I71" s="22">
        <v>-1.6058300000000001E-2</v>
      </c>
      <c r="J71" s="22">
        <v>61</v>
      </c>
      <c r="K71" s="22">
        <v>1.492</v>
      </c>
      <c r="L71">
        <f t="shared" si="0"/>
        <v>16.058300000000003</v>
      </c>
      <c r="M71">
        <f t="shared" si="1"/>
        <v>23.971348491000004</v>
      </c>
      <c r="N71" s="9"/>
      <c r="O71" s="22">
        <v>0.20721400000000001</v>
      </c>
      <c r="P71" s="22">
        <v>145.76900000000001</v>
      </c>
      <c r="Q71" s="22">
        <v>-1.78619E-2</v>
      </c>
      <c r="R71" s="22">
        <v>61</v>
      </c>
      <c r="S71" s="22">
        <v>0.20690900000000001</v>
      </c>
      <c r="T71">
        <f t="shared" si="2"/>
        <v>17.861899999999999</v>
      </c>
      <c r="U71">
        <f t="shared" si="3"/>
        <v>3.7012357465999997</v>
      </c>
      <c r="X71" s="9"/>
      <c r="Y71" s="22">
        <v>1.4927699999999999</v>
      </c>
      <c r="Z71" s="22">
        <v>231.32300000000001</v>
      </c>
      <c r="AA71" s="22">
        <v>-1.6149899999999998E-2</v>
      </c>
      <c r="AB71" s="22">
        <v>61</v>
      </c>
      <c r="AC71" s="22">
        <v>1.492</v>
      </c>
      <c r="AD71">
        <f t="shared" si="4"/>
        <v>16.149899999999999</v>
      </c>
      <c r="AE71">
        <f t="shared" si="5"/>
        <v>24.108086222999997</v>
      </c>
      <c r="AF71" s="9"/>
      <c r="AG71" s="22">
        <v>0.20721400000000001</v>
      </c>
      <c r="AH71" s="22">
        <v>385.76</v>
      </c>
      <c r="AI71" s="22">
        <v>-1.7807E-2</v>
      </c>
      <c r="AJ71" s="22">
        <v>61</v>
      </c>
      <c r="AK71" s="22">
        <v>0.20642099999999999</v>
      </c>
      <c r="AL71">
        <f t="shared" si="6"/>
        <v>17.806999999999999</v>
      </c>
      <c r="AM71">
        <f t="shared" si="7"/>
        <v>3.6898596979999998</v>
      </c>
      <c r="AP71" s="9"/>
      <c r="AQ71" s="22">
        <v>1.4927699999999999</v>
      </c>
      <c r="AR71" s="22">
        <v>486.87</v>
      </c>
      <c r="AS71" s="22">
        <v>-1.58569E-2</v>
      </c>
      <c r="AT71" s="22">
        <v>61</v>
      </c>
      <c r="AU71" s="22">
        <v>1.4917</v>
      </c>
      <c r="AV71">
        <f t="shared" si="8"/>
        <v>15.8569</v>
      </c>
      <c r="AW71">
        <f t="shared" si="9"/>
        <v>23.670704612999998</v>
      </c>
      <c r="AX71" s="9"/>
      <c r="AY71" s="22">
        <v>0.20721400000000001</v>
      </c>
      <c r="AZ71" s="22">
        <v>559.12400000000002</v>
      </c>
      <c r="BA71" s="22">
        <v>-1.7804E-2</v>
      </c>
      <c r="BB71" s="22">
        <v>61</v>
      </c>
      <c r="BC71" s="22">
        <v>0.20672599999999999</v>
      </c>
      <c r="BD71">
        <f t="shared" si="10"/>
        <v>17.804000000000002</v>
      </c>
      <c r="BE71">
        <f t="shared" si="11"/>
        <v>3.6892380560000007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79.9101</v>
      </c>
      <c r="I72" s="22">
        <v>-1.6079699999999999E-2</v>
      </c>
      <c r="J72" s="22">
        <v>62</v>
      </c>
      <c r="K72" s="22">
        <v>1.48712</v>
      </c>
      <c r="L72">
        <f t="shared" si="0"/>
        <v>16.079699999999999</v>
      </c>
      <c r="M72">
        <f t="shared" si="1"/>
        <v>23.922252081</v>
      </c>
      <c r="N72" s="9"/>
      <c r="O72" s="22">
        <v>0.21224999999999999</v>
      </c>
      <c r="P72" s="22">
        <v>145.87</v>
      </c>
      <c r="Q72" s="22">
        <v>-1.7855800000000002E-2</v>
      </c>
      <c r="R72" s="22">
        <v>62</v>
      </c>
      <c r="S72" s="22">
        <v>0.21148700000000001</v>
      </c>
      <c r="T72">
        <f t="shared" si="2"/>
        <v>17.855800000000002</v>
      </c>
      <c r="U72">
        <f t="shared" si="3"/>
        <v>3.7898935500000004</v>
      </c>
      <c r="X72" s="9"/>
      <c r="Y72" s="22">
        <v>1.48773</v>
      </c>
      <c r="Z72" s="22">
        <v>231.42400000000001</v>
      </c>
      <c r="AA72" s="22">
        <v>-1.61713E-2</v>
      </c>
      <c r="AB72" s="22">
        <v>62</v>
      </c>
      <c r="AC72" s="22">
        <v>1.48651</v>
      </c>
      <c r="AD72">
        <f t="shared" si="4"/>
        <v>16.171299999999999</v>
      </c>
      <c r="AE72">
        <f t="shared" si="5"/>
        <v>24.058528148999997</v>
      </c>
      <c r="AF72" s="9"/>
      <c r="AG72" s="22">
        <v>0.21224999999999999</v>
      </c>
      <c r="AH72" s="22">
        <v>385.86</v>
      </c>
      <c r="AI72" s="22">
        <v>-1.7800900000000001E-2</v>
      </c>
      <c r="AJ72" s="22">
        <v>62</v>
      </c>
      <c r="AK72" s="22">
        <v>0.211731</v>
      </c>
      <c r="AL72">
        <f t="shared" si="6"/>
        <v>17.800900000000002</v>
      </c>
      <c r="AM72">
        <f t="shared" si="7"/>
        <v>3.7782410250000003</v>
      </c>
      <c r="AP72" s="9"/>
      <c r="AQ72" s="22">
        <v>1.48773</v>
      </c>
      <c r="AR72" s="22">
        <v>486.971</v>
      </c>
      <c r="AS72" s="22">
        <v>-1.5905800000000001E-2</v>
      </c>
      <c r="AT72" s="22">
        <v>62</v>
      </c>
      <c r="AU72" s="22">
        <v>1.48773</v>
      </c>
      <c r="AV72">
        <f t="shared" si="8"/>
        <v>15.905800000000001</v>
      </c>
      <c r="AW72">
        <f t="shared" si="9"/>
        <v>23.663535834000001</v>
      </c>
      <c r="AX72" s="9"/>
      <c r="AY72" s="22">
        <v>0.21224999999999999</v>
      </c>
      <c r="AZ72" s="22">
        <v>559.22500000000002</v>
      </c>
      <c r="BA72" s="22">
        <v>-1.7804E-2</v>
      </c>
      <c r="BB72" s="22">
        <v>62</v>
      </c>
      <c r="BC72" s="22">
        <v>0.21167</v>
      </c>
      <c r="BD72">
        <f t="shared" si="10"/>
        <v>17.804000000000002</v>
      </c>
      <c r="BE72">
        <f t="shared" si="11"/>
        <v>3.7788990000000005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80.010800000000003</v>
      </c>
      <c r="I73" s="22">
        <v>-1.6091899999999999E-2</v>
      </c>
      <c r="J73" s="22">
        <v>63</v>
      </c>
      <c r="K73" s="22">
        <v>1.48163</v>
      </c>
      <c r="L73">
        <f t="shared" si="0"/>
        <v>16.091899999999999</v>
      </c>
      <c r="M73">
        <f t="shared" si="1"/>
        <v>23.859460129999999</v>
      </c>
      <c r="N73" s="9"/>
      <c r="O73" s="22">
        <v>0.21728500000000001</v>
      </c>
      <c r="P73" s="22">
        <v>145.971</v>
      </c>
      <c r="Q73" s="22">
        <v>-1.78497E-2</v>
      </c>
      <c r="R73" s="22">
        <v>63</v>
      </c>
      <c r="S73" s="22">
        <v>0.216858</v>
      </c>
      <c r="T73">
        <f t="shared" si="2"/>
        <v>17.849699999999999</v>
      </c>
      <c r="U73">
        <f t="shared" si="3"/>
        <v>3.8784720644999999</v>
      </c>
      <c r="X73" s="9"/>
      <c r="Y73" s="22">
        <v>1.4826999999999999</v>
      </c>
      <c r="Z73" s="22">
        <v>231.524</v>
      </c>
      <c r="AA73" s="22">
        <v>-1.6204799999999998E-2</v>
      </c>
      <c r="AB73" s="22">
        <v>63</v>
      </c>
      <c r="AC73" s="22">
        <v>1.48224</v>
      </c>
      <c r="AD73">
        <f t="shared" si="4"/>
        <v>16.204799999999999</v>
      </c>
      <c r="AE73">
        <f t="shared" si="5"/>
        <v>24.026856959999996</v>
      </c>
      <c r="AF73" s="9"/>
      <c r="AG73" s="22">
        <v>0.21728500000000001</v>
      </c>
      <c r="AH73" s="22">
        <v>385.96100000000001</v>
      </c>
      <c r="AI73" s="22">
        <v>-1.7800900000000001E-2</v>
      </c>
      <c r="AJ73" s="22">
        <v>63</v>
      </c>
      <c r="AK73" s="22">
        <v>0.21670500000000001</v>
      </c>
      <c r="AL73">
        <f t="shared" si="6"/>
        <v>17.800900000000002</v>
      </c>
      <c r="AM73">
        <f t="shared" si="7"/>
        <v>3.8678685565000004</v>
      </c>
      <c r="AP73" s="9"/>
      <c r="AQ73" s="22">
        <v>1.4826999999999999</v>
      </c>
      <c r="AR73" s="22">
        <v>487.072</v>
      </c>
      <c r="AS73" s="22">
        <v>-1.59363E-2</v>
      </c>
      <c r="AT73" s="22">
        <v>63</v>
      </c>
      <c r="AU73" s="22">
        <v>1.48132</v>
      </c>
      <c r="AV73">
        <f t="shared" si="8"/>
        <v>15.936300000000001</v>
      </c>
      <c r="AW73">
        <f t="shared" si="9"/>
        <v>23.628752009999999</v>
      </c>
      <c r="AX73" s="9"/>
      <c r="AY73" s="22">
        <v>0.21728500000000001</v>
      </c>
      <c r="AZ73" s="22">
        <v>559.32600000000002</v>
      </c>
      <c r="BA73" s="22">
        <v>-1.7797899999999998E-2</v>
      </c>
      <c r="BB73" s="22">
        <v>63</v>
      </c>
      <c r="BC73" s="22">
        <v>0.21679699999999999</v>
      </c>
      <c r="BD73">
        <f t="shared" si="10"/>
        <v>17.797899999999998</v>
      </c>
      <c r="BE73">
        <f t="shared" si="11"/>
        <v>3.8672167014999999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80.111500000000007</v>
      </c>
      <c r="I74" s="22">
        <v>-1.6113300000000001E-2</v>
      </c>
      <c r="J74" s="22">
        <v>64</v>
      </c>
      <c r="K74" s="22">
        <v>1.47736</v>
      </c>
      <c r="L74">
        <f t="shared" si="0"/>
        <v>16.113299999999999</v>
      </c>
      <c r="M74">
        <f t="shared" si="1"/>
        <v>23.809978877999999</v>
      </c>
      <c r="N74" s="9"/>
      <c r="O74" s="22">
        <v>0.22232099999999999</v>
      </c>
      <c r="P74" s="22">
        <v>146.072</v>
      </c>
      <c r="Q74" s="22">
        <v>-1.7843600000000001E-2</v>
      </c>
      <c r="R74" s="22">
        <v>64</v>
      </c>
      <c r="S74" s="22">
        <v>0.22192400000000001</v>
      </c>
      <c r="T74">
        <f t="shared" si="2"/>
        <v>17.843600000000002</v>
      </c>
      <c r="U74">
        <f t="shared" si="3"/>
        <v>3.9670069956000003</v>
      </c>
      <c r="X74" s="9"/>
      <c r="Y74" s="22">
        <v>1.47766</v>
      </c>
      <c r="Z74" s="22">
        <v>231.625</v>
      </c>
      <c r="AA74" s="22">
        <v>-1.6247600000000001E-2</v>
      </c>
      <c r="AB74" s="22">
        <v>64</v>
      </c>
      <c r="AC74" s="22">
        <v>1.47675</v>
      </c>
      <c r="AD74">
        <f t="shared" si="4"/>
        <v>16.247600000000002</v>
      </c>
      <c r="AE74">
        <f t="shared" si="5"/>
        <v>24.008428616000003</v>
      </c>
      <c r="AF74" s="9"/>
      <c r="AG74" s="22">
        <v>0.22232099999999999</v>
      </c>
      <c r="AH74" s="22">
        <v>386.06200000000001</v>
      </c>
      <c r="AI74" s="22">
        <v>-1.7804E-2</v>
      </c>
      <c r="AJ74" s="22">
        <v>64</v>
      </c>
      <c r="AK74" s="22">
        <v>0.221771</v>
      </c>
      <c r="AL74">
        <f t="shared" si="6"/>
        <v>17.804000000000002</v>
      </c>
      <c r="AM74">
        <f t="shared" si="7"/>
        <v>3.9582030840000004</v>
      </c>
      <c r="AP74" s="9"/>
      <c r="AQ74" s="22">
        <v>1.47766</v>
      </c>
      <c r="AR74" s="22">
        <v>487.17200000000003</v>
      </c>
      <c r="AS74" s="22">
        <v>-1.5976000000000001E-2</v>
      </c>
      <c r="AT74" s="22">
        <v>64</v>
      </c>
      <c r="AU74" s="22">
        <v>1.47675</v>
      </c>
      <c r="AV74">
        <f t="shared" si="8"/>
        <v>15.976000000000001</v>
      </c>
      <c r="AW74">
        <f t="shared" si="9"/>
        <v>23.607096160000001</v>
      </c>
      <c r="AX74" s="9"/>
      <c r="AY74" s="22">
        <v>0.22232099999999999</v>
      </c>
      <c r="AZ74" s="22">
        <v>559.42700000000002</v>
      </c>
      <c r="BA74" s="22">
        <v>-1.77948E-2</v>
      </c>
      <c r="BB74" s="22">
        <v>64</v>
      </c>
      <c r="BC74" s="22">
        <v>0.221802</v>
      </c>
      <c r="BD74">
        <f t="shared" si="10"/>
        <v>17.794799999999999</v>
      </c>
      <c r="BE74">
        <f t="shared" si="11"/>
        <v>3.9561577307999993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80.212199999999996</v>
      </c>
      <c r="I75" s="22">
        <v>-1.61285E-2</v>
      </c>
      <c r="J75" s="22">
        <v>65</v>
      </c>
      <c r="K75" s="22">
        <v>1.4724699999999999</v>
      </c>
      <c r="L75">
        <f t="shared" si="0"/>
        <v>16.128499999999999</v>
      </c>
      <c r="M75">
        <f t="shared" si="1"/>
        <v>23.751312955</v>
      </c>
      <c r="N75" s="9"/>
      <c r="O75" s="22">
        <v>0.227356</v>
      </c>
      <c r="P75" s="22">
        <v>146.172</v>
      </c>
      <c r="Q75" s="22">
        <v>-1.7840600000000002E-2</v>
      </c>
      <c r="R75" s="22">
        <v>65</v>
      </c>
      <c r="S75" s="22">
        <v>0.22665399999999999</v>
      </c>
      <c r="T75">
        <f t="shared" si="2"/>
        <v>17.840600000000002</v>
      </c>
      <c r="U75">
        <f t="shared" si="3"/>
        <v>4.0561674536000005</v>
      </c>
      <c r="X75" s="9"/>
      <c r="Y75" s="22">
        <v>1.4726300000000001</v>
      </c>
      <c r="Z75" s="22">
        <v>231.726</v>
      </c>
      <c r="AA75" s="22">
        <v>-1.6284199999999999E-2</v>
      </c>
      <c r="AB75" s="22">
        <v>65</v>
      </c>
      <c r="AC75" s="22">
        <v>1.47217</v>
      </c>
      <c r="AD75">
        <f t="shared" si="4"/>
        <v>16.284199999999998</v>
      </c>
      <c r="AE75">
        <f t="shared" si="5"/>
        <v>23.980601445999998</v>
      </c>
      <c r="AF75" s="9"/>
      <c r="AG75" s="22">
        <v>0.227356</v>
      </c>
      <c r="AH75" s="22">
        <v>386.16199999999998</v>
      </c>
      <c r="AI75" s="22">
        <v>-1.77948E-2</v>
      </c>
      <c r="AJ75" s="22">
        <v>65</v>
      </c>
      <c r="AK75" s="22">
        <v>0.22677600000000001</v>
      </c>
      <c r="AL75">
        <f t="shared" si="6"/>
        <v>17.794799999999999</v>
      </c>
      <c r="AM75">
        <f t="shared" si="7"/>
        <v>4.0457545487999997</v>
      </c>
      <c r="AP75" s="9"/>
      <c r="AQ75" s="22">
        <v>1.4726300000000001</v>
      </c>
      <c r="AR75" s="22">
        <v>487.27300000000002</v>
      </c>
      <c r="AS75" s="22">
        <v>-1.6000400000000001E-2</v>
      </c>
      <c r="AT75" s="22">
        <v>65</v>
      </c>
      <c r="AU75" s="22">
        <v>1.4724699999999999</v>
      </c>
      <c r="AV75">
        <f t="shared" si="8"/>
        <v>16.000400000000003</v>
      </c>
      <c r="AW75">
        <f t="shared" si="9"/>
        <v>23.562669052000004</v>
      </c>
      <c r="AX75" s="9"/>
      <c r="AY75" s="22">
        <v>0.227356</v>
      </c>
      <c r="AZ75" s="22">
        <v>559.52700000000004</v>
      </c>
      <c r="BA75" s="22">
        <v>-1.77948E-2</v>
      </c>
      <c r="BB75" s="22">
        <v>65</v>
      </c>
      <c r="BC75" s="22">
        <v>0.22686799999999999</v>
      </c>
      <c r="BD75">
        <f t="shared" si="10"/>
        <v>17.794799999999999</v>
      </c>
      <c r="BE75">
        <f t="shared" si="11"/>
        <v>4.0457545487999997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80.313000000000002</v>
      </c>
      <c r="I76" s="22">
        <v>-1.6140700000000001E-2</v>
      </c>
      <c r="J76" s="22">
        <v>66</v>
      </c>
      <c r="K76" s="22">
        <v>1.4666699999999999</v>
      </c>
      <c r="L76">
        <f t="shared" ref="L76:L139" si="12">-I76/$F$2*1000</f>
        <v>16.140700000000002</v>
      </c>
      <c r="M76">
        <f t="shared" ref="M76:M139" si="13">L76*G76</f>
        <v>23.687929913000001</v>
      </c>
      <c r="N76" s="9"/>
      <c r="O76" s="22">
        <v>0.23239099999999999</v>
      </c>
      <c r="P76" s="22">
        <v>146.273</v>
      </c>
      <c r="Q76" s="22">
        <v>-1.7840600000000002E-2</v>
      </c>
      <c r="R76" s="22">
        <v>66</v>
      </c>
      <c r="S76" s="22">
        <v>0.23175000000000001</v>
      </c>
      <c r="T76">
        <f t="shared" ref="T76:T139" si="14">-Q76/$F$2*1000</f>
        <v>17.840600000000002</v>
      </c>
      <c r="U76">
        <f t="shared" ref="U76:U139" si="15">T76*O76</f>
        <v>4.1459948746000004</v>
      </c>
      <c r="X76" s="9"/>
      <c r="Y76" s="22">
        <v>1.46759</v>
      </c>
      <c r="Z76" s="22">
        <v>231.82599999999999</v>
      </c>
      <c r="AA76" s="22">
        <v>-1.6305500000000001E-2</v>
      </c>
      <c r="AB76" s="22">
        <v>66</v>
      </c>
      <c r="AC76" s="22">
        <v>1.46637</v>
      </c>
      <c r="AD76">
        <f t="shared" ref="AD76:AD139" si="16">-AA76/$F$2*1000</f>
        <v>16.305500000000002</v>
      </c>
      <c r="AE76">
        <f t="shared" ref="AE76:AE139" si="17">AD76*Y76</f>
        <v>23.929788745000003</v>
      </c>
      <c r="AF76" s="9"/>
      <c r="AG76" s="22">
        <v>0.23239099999999999</v>
      </c>
      <c r="AH76" s="22">
        <v>386.26299999999998</v>
      </c>
      <c r="AI76" s="22">
        <v>-1.77948E-2</v>
      </c>
      <c r="AJ76" s="22">
        <v>66</v>
      </c>
      <c r="AK76" s="22">
        <v>0.23181199999999999</v>
      </c>
      <c r="AL76">
        <f t="shared" ref="AL76:AL139" si="18">-AI76/$F$2*1000</f>
        <v>17.794799999999999</v>
      </c>
      <c r="AM76">
        <f t="shared" ref="AM76:AM139" si="19">AL76*AG76</f>
        <v>4.1353513667999993</v>
      </c>
      <c r="AP76" s="9"/>
      <c r="AQ76" s="22">
        <v>1.46759</v>
      </c>
      <c r="AR76" s="22">
        <v>487.37400000000002</v>
      </c>
      <c r="AS76" s="22">
        <v>-1.6027799999999998E-2</v>
      </c>
      <c r="AT76" s="22">
        <v>66</v>
      </c>
      <c r="AU76" s="22">
        <v>1.46729</v>
      </c>
      <c r="AV76">
        <f t="shared" ref="AV76:AV139" si="20">-AS76/$F$2*1000</f>
        <v>16.027799999999999</v>
      </c>
      <c r="AW76">
        <f t="shared" ref="AW76:AW139" si="21">AV76*AQ76</f>
        <v>23.522239001999999</v>
      </c>
      <c r="AX76" s="9"/>
      <c r="AY76" s="22">
        <v>0.23239099999999999</v>
      </c>
      <c r="AZ76" s="22">
        <v>559.62800000000004</v>
      </c>
      <c r="BA76" s="22">
        <v>-1.7785599999999999E-2</v>
      </c>
      <c r="BB76" s="22">
        <v>66</v>
      </c>
      <c r="BC76" s="22">
        <v>0.231873</v>
      </c>
      <c r="BD76">
        <f t="shared" ref="BD76:BD139" si="22">-BA76/$F$2*1000</f>
        <v>17.785599999999999</v>
      </c>
      <c r="BE76">
        <f t="shared" ref="BE76:BE139" si="23">BD76*AY76</f>
        <v>4.1332133695999991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80.413700000000006</v>
      </c>
      <c r="I77" s="22">
        <v>-1.6156E-2</v>
      </c>
      <c r="J77" s="22">
        <v>67</v>
      </c>
      <c r="K77" s="22">
        <v>1.46149</v>
      </c>
      <c r="L77">
        <f t="shared" si="12"/>
        <v>16.155999999999999</v>
      </c>
      <c r="M77">
        <f t="shared" si="13"/>
        <v>23.628957799999998</v>
      </c>
      <c r="N77" s="9"/>
      <c r="O77" s="22">
        <v>0.237427</v>
      </c>
      <c r="P77" s="22">
        <v>146.374</v>
      </c>
      <c r="Q77" s="22">
        <v>-1.7837499999999999E-2</v>
      </c>
      <c r="R77" s="22">
        <v>67</v>
      </c>
      <c r="S77" s="22">
        <v>0.23693800000000001</v>
      </c>
      <c r="T77">
        <f t="shared" si="14"/>
        <v>17.837499999999999</v>
      </c>
      <c r="U77">
        <f t="shared" si="15"/>
        <v>4.2351041124999993</v>
      </c>
      <c r="X77" s="9"/>
      <c r="Y77" s="22">
        <v>1.46255</v>
      </c>
      <c r="Z77" s="22">
        <v>231.92699999999999</v>
      </c>
      <c r="AA77" s="22">
        <v>-1.6333E-2</v>
      </c>
      <c r="AB77" s="22">
        <v>67</v>
      </c>
      <c r="AC77" s="22">
        <v>1.4617899999999999</v>
      </c>
      <c r="AD77">
        <f t="shared" si="16"/>
        <v>16.333000000000002</v>
      </c>
      <c r="AE77">
        <f t="shared" si="17"/>
        <v>23.887829150000002</v>
      </c>
      <c r="AF77" s="9"/>
      <c r="AG77" s="22">
        <v>0.237427</v>
      </c>
      <c r="AH77" s="22">
        <v>386.36399999999998</v>
      </c>
      <c r="AI77" s="22">
        <v>-1.7791700000000001E-2</v>
      </c>
      <c r="AJ77" s="22">
        <v>67</v>
      </c>
      <c r="AK77" s="22">
        <v>0.236877</v>
      </c>
      <c r="AL77">
        <f t="shared" si="18"/>
        <v>17.791700000000002</v>
      </c>
      <c r="AM77">
        <f t="shared" si="19"/>
        <v>4.2242299559000003</v>
      </c>
      <c r="AP77" s="9"/>
      <c r="AQ77" s="22">
        <v>1.46255</v>
      </c>
      <c r="AR77" s="22">
        <v>487.47399999999999</v>
      </c>
      <c r="AS77" s="22">
        <v>-1.60614E-2</v>
      </c>
      <c r="AT77" s="22">
        <v>67</v>
      </c>
      <c r="AU77" s="22">
        <v>1.4623999999999999</v>
      </c>
      <c r="AV77">
        <f t="shared" si="20"/>
        <v>16.061399999999999</v>
      </c>
      <c r="AW77">
        <f t="shared" si="21"/>
        <v>23.490600569999998</v>
      </c>
      <c r="AX77" s="9"/>
      <c r="AY77" s="22">
        <v>0.237427</v>
      </c>
      <c r="AZ77" s="22">
        <v>559.72900000000004</v>
      </c>
      <c r="BA77" s="22">
        <v>-1.77795E-2</v>
      </c>
      <c r="BB77" s="22">
        <v>67</v>
      </c>
      <c r="BC77" s="22">
        <v>0.236847</v>
      </c>
      <c r="BD77">
        <f t="shared" si="22"/>
        <v>17.779499999999999</v>
      </c>
      <c r="BE77">
        <f t="shared" si="23"/>
        <v>4.2213333464999998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80.514399999999995</v>
      </c>
      <c r="I78" s="22">
        <v>-1.6174299999999999E-2</v>
      </c>
      <c r="J78" s="22">
        <v>68</v>
      </c>
      <c r="K78" s="22">
        <v>1.4569099999999999</v>
      </c>
      <c r="L78">
        <f t="shared" si="12"/>
        <v>16.174299999999999</v>
      </c>
      <c r="M78">
        <f t="shared" si="13"/>
        <v>23.574365735999997</v>
      </c>
      <c r="N78" s="9"/>
      <c r="O78" s="22">
        <v>0.24246200000000001</v>
      </c>
      <c r="P78" s="22">
        <v>146.47399999999999</v>
      </c>
      <c r="Q78" s="22">
        <v>-1.7828400000000001E-2</v>
      </c>
      <c r="R78" s="22">
        <v>68</v>
      </c>
      <c r="S78" s="22">
        <v>0.24163799999999999</v>
      </c>
      <c r="T78">
        <f t="shared" si="14"/>
        <v>17.828400000000002</v>
      </c>
      <c r="U78">
        <f t="shared" si="15"/>
        <v>4.322709520800001</v>
      </c>
      <c r="X78" s="9"/>
      <c r="Y78" s="22">
        <v>1.4575199999999999</v>
      </c>
      <c r="Z78" s="22">
        <v>232.02799999999999</v>
      </c>
      <c r="AA78" s="22">
        <v>-1.6354400000000002E-2</v>
      </c>
      <c r="AB78" s="22">
        <v>68</v>
      </c>
      <c r="AC78" s="22">
        <v>1.4569099999999999</v>
      </c>
      <c r="AD78">
        <f t="shared" si="16"/>
        <v>16.354400000000002</v>
      </c>
      <c r="AE78">
        <f t="shared" si="17"/>
        <v>23.836865088</v>
      </c>
      <c r="AF78" s="9"/>
      <c r="AG78" s="22">
        <v>0.24246200000000001</v>
      </c>
      <c r="AH78" s="22">
        <v>386.46499999999997</v>
      </c>
      <c r="AI78" s="22">
        <v>-1.7785599999999999E-2</v>
      </c>
      <c r="AJ78" s="22">
        <v>68</v>
      </c>
      <c r="AK78" s="22">
        <v>0.24179100000000001</v>
      </c>
      <c r="AL78">
        <f t="shared" si="18"/>
        <v>17.785599999999999</v>
      </c>
      <c r="AM78">
        <f t="shared" si="19"/>
        <v>4.3123321472000002</v>
      </c>
      <c r="AP78" s="9"/>
      <c r="AQ78" s="22">
        <v>1.4575199999999999</v>
      </c>
      <c r="AR78" s="22">
        <v>487.57499999999999</v>
      </c>
      <c r="AS78" s="22">
        <v>-1.6091899999999999E-2</v>
      </c>
      <c r="AT78" s="22">
        <v>68</v>
      </c>
      <c r="AU78" s="22">
        <v>1.4565999999999999</v>
      </c>
      <c r="AV78">
        <f t="shared" si="20"/>
        <v>16.091899999999999</v>
      </c>
      <c r="AW78">
        <f t="shared" si="21"/>
        <v>23.454266087999997</v>
      </c>
      <c r="AX78" s="9"/>
      <c r="AY78" s="22">
        <v>0.24246200000000001</v>
      </c>
      <c r="AZ78" s="22">
        <v>559.82899999999995</v>
      </c>
      <c r="BA78" s="22">
        <v>-1.7776500000000001E-2</v>
      </c>
      <c r="BB78" s="22">
        <v>68</v>
      </c>
      <c r="BC78" s="22">
        <v>0.242004</v>
      </c>
      <c r="BD78">
        <f t="shared" si="22"/>
        <v>17.776500000000002</v>
      </c>
      <c r="BE78">
        <f t="shared" si="23"/>
        <v>4.3101257430000004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80.615099999999998</v>
      </c>
      <c r="I79" s="22">
        <v>-1.6189599999999998E-2</v>
      </c>
      <c r="J79" s="22">
        <v>69</v>
      </c>
      <c r="K79" s="22">
        <v>1.4514199999999999</v>
      </c>
      <c r="L79">
        <f t="shared" si="12"/>
        <v>16.189599999999999</v>
      </c>
      <c r="M79">
        <f t="shared" si="13"/>
        <v>23.515070207999997</v>
      </c>
      <c r="N79" s="9"/>
      <c r="O79" s="22">
        <v>0.247498</v>
      </c>
      <c r="P79" s="22">
        <v>146.57499999999999</v>
      </c>
      <c r="Q79" s="22">
        <v>-1.7825299999999999E-2</v>
      </c>
      <c r="R79" s="22">
        <v>69</v>
      </c>
      <c r="S79" s="22">
        <v>0.24737500000000001</v>
      </c>
      <c r="T79">
        <f t="shared" si="14"/>
        <v>17.825299999999999</v>
      </c>
      <c r="U79">
        <f t="shared" si="15"/>
        <v>4.4117260993999992</v>
      </c>
      <c r="X79" s="9"/>
      <c r="Y79" s="22">
        <v>1.45248</v>
      </c>
      <c r="Z79" s="22">
        <v>232.12899999999999</v>
      </c>
      <c r="AA79" s="22">
        <v>-1.63727E-2</v>
      </c>
      <c r="AB79" s="22">
        <v>69</v>
      </c>
      <c r="AC79" s="22">
        <v>1.4514199999999999</v>
      </c>
      <c r="AD79">
        <f t="shared" si="16"/>
        <v>16.372700000000002</v>
      </c>
      <c r="AE79">
        <f t="shared" si="17"/>
        <v>23.781019296000004</v>
      </c>
      <c r="AF79" s="9"/>
      <c r="AG79" s="22">
        <v>0.247498</v>
      </c>
      <c r="AH79" s="22">
        <v>386.565</v>
      </c>
      <c r="AI79" s="22">
        <v>-1.7788700000000001E-2</v>
      </c>
      <c r="AJ79" s="22">
        <v>69</v>
      </c>
      <c r="AK79" s="22">
        <v>0.246887</v>
      </c>
      <c r="AL79">
        <f t="shared" si="18"/>
        <v>17.788700000000002</v>
      </c>
      <c r="AM79">
        <f t="shared" si="19"/>
        <v>4.4026676726000007</v>
      </c>
      <c r="AP79" s="9"/>
      <c r="AQ79" s="22">
        <v>1.45248</v>
      </c>
      <c r="AR79" s="22">
        <v>487.67599999999999</v>
      </c>
      <c r="AS79" s="22">
        <v>-1.6107199999999999E-2</v>
      </c>
      <c r="AT79" s="22">
        <v>69</v>
      </c>
      <c r="AU79" s="22">
        <v>1.4517199999999999</v>
      </c>
      <c r="AV79">
        <f t="shared" si="20"/>
        <v>16.107199999999999</v>
      </c>
      <c r="AW79">
        <f t="shared" si="21"/>
        <v>23.395385855999997</v>
      </c>
      <c r="AX79" s="9"/>
      <c r="AY79" s="22">
        <v>0.247498</v>
      </c>
      <c r="AZ79" s="22">
        <v>559.92999999999995</v>
      </c>
      <c r="BA79" s="22">
        <v>-1.7776500000000001E-2</v>
      </c>
      <c r="BB79" s="22">
        <v>69</v>
      </c>
      <c r="BC79" s="22">
        <v>0.246979</v>
      </c>
      <c r="BD79">
        <f t="shared" si="22"/>
        <v>17.776500000000002</v>
      </c>
      <c r="BE79">
        <f t="shared" si="23"/>
        <v>4.3996481970000003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80.715800000000002</v>
      </c>
      <c r="I80" s="22">
        <v>-1.61957E-2</v>
      </c>
      <c r="J80" s="22">
        <v>70</v>
      </c>
      <c r="K80" s="22">
        <v>1.4465300000000001</v>
      </c>
      <c r="L80">
        <f t="shared" si="12"/>
        <v>16.195699999999999</v>
      </c>
      <c r="M80">
        <f t="shared" si="13"/>
        <v>23.442465964999997</v>
      </c>
      <c r="N80" s="9"/>
      <c r="O80" s="22">
        <v>0.25253300000000001</v>
      </c>
      <c r="P80" s="22">
        <v>146.67599999999999</v>
      </c>
      <c r="Q80" s="22">
        <v>-1.78192E-2</v>
      </c>
      <c r="R80" s="22">
        <v>70</v>
      </c>
      <c r="S80" s="22">
        <v>0.25186199999999997</v>
      </c>
      <c r="T80">
        <f t="shared" si="14"/>
        <v>17.819199999999999</v>
      </c>
      <c r="U80">
        <f t="shared" si="15"/>
        <v>4.4999360336000001</v>
      </c>
      <c r="X80" s="9"/>
      <c r="Y80" s="22">
        <v>1.4474499999999999</v>
      </c>
      <c r="Z80" s="22">
        <v>232.22900000000001</v>
      </c>
      <c r="AA80" s="22">
        <v>-1.6384900000000001E-2</v>
      </c>
      <c r="AB80" s="22">
        <v>70</v>
      </c>
      <c r="AC80" s="22">
        <v>1.4465300000000001</v>
      </c>
      <c r="AD80">
        <f t="shared" si="16"/>
        <v>16.384900000000002</v>
      </c>
      <c r="AE80">
        <f t="shared" si="17"/>
        <v>23.716323505000002</v>
      </c>
      <c r="AF80" s="9"/>
      <c r="AG80" s="22">
        <v>0.25253300000000001</v>
      </c>
      <c r="AH80" s="22">
        <v>386.666</v>
      </c>
      <c r="AI80" s="22">
        <v>-1.7782599999999999E-2</v>
      </c>
      <c r="AJ80" s="22">
        <v>70</v>
      </c>
      <c r="AK80" s="22">
        <v>0.251892</v>
      </c>
      <c r="AL80">
        <f t="shared" si="18"/>
        <v>17.782599999999999</v>
      </c>
      <c r="AM80">
        <f t="shared" si="19"/>
        <v>4.4906933257999997</v>
      </c>
      <c r="AP80" s="9"/>
      <c r="AQ80" s="22">
        <v>1.4474499999999999</v>
      </c>
      <c r="AR80" s="22">
        <v>487.77699999999999</v>
      </c>
      <c r="AS80" s="22">
        <v>-1.6137700000000001E-2</v>
      </c>
      <c r="AT80" s="22">
        <v>70</v>
      </c>
      <c r="AU80" s="22">
        <v>1.4468399999999999</v>
      </c>
      <c r="AV80">
        <f t="shared" si="20"/>
        <v>16.137700000000002</v>
      </c>
      <c r="AW80">
        <f t="shared" si="21"/>
        <v>23.358513865000003</v>
      </c>
      <c r="AX80" s="9"/>
      <c r="AY80" s="22">
        <v>0.25253300000000001</v>
      </c>
      <c r="AZ80" s="22">
        <v>560.03099999999995</v>
      </c>
      <c r="BA80" s="22">
        <v>-1.7773400000000002E-2</v>
      </c>
      <c r="BB80" s="22">
        <v>70</v>
      </c>
      <c r="BC80" s="22">
        <v>0.25201400000000002</v>
      </c>
      <c r="BD80">
        <f t="shared" si="22"/>
        <v>17.773400000000002</v>
      </c>
      <c r="BE80">
        <f t="shared" si="23"/>
        <v>4.4883700222000007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80.816500000000005</v>
      </c>
      <c r="I81" s="22">
        <v>-1.61957E-2</v>
      </c>
      <c r="J81" s="22">
        <v>71</v>
      </c>
      <c r="K81" s="22">
        <v>1.4416500000000001</v>
      </c>
      <c r="L81">
        <f t="shared" si="12"/>
        <v>16.195699999999999</v>
      </c>
      <c r="M81">
        <f t="shared" si="13"/>
        <v>23.360839636999998</v>
      </c>
      <c r="N81" s="9"/>
      <c r="O81" s="22">
        <v>0.25756800000000002</v>
      </c>
      <c r="P81" s="22">
        <v>146.77699999999999</v>
      </c>
      <c r="Q81" s="22">
        <v>-1.78192E-2</v>
      </c>
      <c r="R81" s="22">
        <v>71</v>
      </c>
      <c r="S81" s="22">
        <v>0.256714</v>
      </c>
      <c r="T81">
        <f t="shared" si="14"/>
        <v>17.819199999999999</v>
      </c>
      <c r="U81">
        <f t="shared" si="15"/>
        <v>4.5896557056000002</v>
      </c>
      <c r="X81" s="9"/>
      <c r="Y81" s="22">
        <v>1.44241</v>
      </c>
      <c r="Z81" s="22">
        <v>232.33</v>
      </c>
      <c r="AA81" s="22">
        <v>-1.6406299999999999E-2</v>
      </c>
      <c r="AB81" s="22">
        <v>71</v>
      </c>
      <c r="AC81" s="22">
        <v>1.4419599999999999</v>
      </c>
      <c r="AD81">
        <f t="shared" si="16"/>
        <v>16.406299999999998</v>
      </c>
      <c r="AE81">
        <f t="shared" si="17"/>
        <v>23.664611182999998</v>
      </c>
      <c r="AF81" s="9"/>
      <c r="AG81" s="22">
        <v>0.25756800000000002</v>
      </c>
      <c r="AH81" s="22">
        <v>386.767</v>
      </c>
      <c r="AI81" s="22">
        <v>-1.7782599999999999E-2</v>
      </c>
      <c r="AJ81" s="22">
        <v>71</v>
      </c>
      <c r="AK81" s="22">
        <v>0.25698900000000002</v>
      </c>
      <c r="AL81">
        <f t="shared" si="18"/>
        <v>17.782599999999999</v>
      </c>
      <c r="AM81">
        <f t="shared" si="19"/>
        <v>4.5802287167999998</v>
      </c>
      <c r="AP81" s="9"/>
      <c r="AQ81" s="22">
        <v>1.44241</v>
      </c>
      <c r="AR81" s="22">
        <v>487.87700000000001</v>
      </c>
      <c r="AS81" s="22">
        <v>-1.6162099999999999E-2</v>
      </c>
      <c r="AT81" s="22">
        <v>71</v>
      </c>
      <c r="AU81" s="22">
        <v>1.4419599999999999</v>
      </c>
      <c r="AV81">
        <f t="shared" si="20"/>
        <v>16.162099999999999</v>
      </c>
      <c r="AW81">
        <f t="shared" si="21"/>
        <v>23.312374660999996</v>
      </c>
      <c r="AX81" s="9"/>
      <c r="AY81" s="22">
        <v>0.25756800000000002</v>
      </c>
      <c r="AZ81" s="22">
        <v>560.13199999999995</v>
      </c>
      <c r="BA81" s="22">
        <v>-1.7761200000000001E-2</v>
      </c>
      <c r="BB81" s="22">
        <v>71</v>
      </c>
      <c r="BC81" s="22">
        <v>0.25692700000000002</v>
      </c>
      <c r="BD81">
        <f t="shared" si="22"/>
        <v>17.761200000000002</v>
      </c>
      <c r="BE81">
        <f t="shared" si="23"/>
        <v>4.5747167616000013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80.917199999999994</v>
      </c>
      <c r="I82" s="22">
        <v>-1.6201799999999999E-2</v>
      </c>
      <c r="J82" s="22">
        <v>72</v>
      </c>
      <c r="K82" s="22">
        <v>1.4367700000000001</v>
      </c>
      <c r="L82">
        <f t="shared" si="12"/>
        <v>16.201799999999999</v>
      </c>
      <c r="M82">
        <f t="shared" si="13"/>
        <v>23.288143284</v>
      </c>
      <c r="N82" s="9"/>
      <c r="O82" s="22">
        <v>0.262604</v>
      </c>
      <c r="P82" s="22">
        <v>146.87700000000001</v>
      </c>
      <c r="Q82" s="22">
        <v>-1.7816200000000001E-2</v>
      </c>
      <c r="R82" s="22">
        <v>72</v>
      </c>
      <c r="S82" s="22">
        <v>0.26202399999999998</v>
      </c>
      <c r="T82">
        <f t="shared" si="14"/>
        <v>17.816200000000002</v>
      </c>
      <c r="U82">
        <f t="shared" si="15"/>
        <v>4.6786053848000009</v>
      </c>
      <c r="X82" s="9"/>
      <c r="Y82" s="22">
        <v>1.4373800000000001</v>
      </c>
      <c r="Z82" s="22">
        <v>232.43100000000001</v>
      </c>
      <c r="AA82" s="22">
        <v>-1.6424600000000001E-2</v>
      </c>
      <c r="AB82" s="22">
        <v>72</v>
      </c>
      <c r="AC82" s="22">
        <v>1.4364600000000001</v>
      </c>
      <c r="AD82">
        <f t="shared" si="16"/>
        <v>16.424600000000002</v>
      </c>
      <c r="AE82">
        <f t="shared" si="17"/>
        <v>23.608391548000004</v>
      </c>
      <c r="AF82" s="9"/>
      <c r="AG82" s="22">
        <v>0.262604</v>
      </c>
      <c r="AH82" s="22">
        <v>386.86700000000002</v>
      </c>
      <c r="AI82" s="22">
        <v>-1.77795E-2</v>
      </c>
      <c r="AJ82" s="22">
        <v>72</v>
      </c>
      <c r="AK82" s="22">
        <v>0.261963</v>
      </c>
      <c r="AL82">
        <f t="shared" si="18"/>
        <v>17.779499999999999</v>
      </c>
      <c r="AM82">
        <f t="shared" si="19"/>
        <v>4.6689678179999996</v>
      </c>
      <c r="AP82" s="9"/>
      <c r="AQ82" s="22">
        <v>1.4373800000000001</v>
      </c>
      <c r="AR82" s="22">
        <v>487.97800000000001</v>
      </c>
      <c r="AS82" s="22">
        <v>-1.6180400000000001E-2</v>
      </c>
      <c r="AT82" s="22">
        <v>72</v>
      </c>
      <c r="AU82" s="22">
        <v>1.4367700000000001</v>
      </c>
      <c r="AV82">
        <f t="shared" si="20"/>
        <v>16.180400000000002</v>
      </c>
      <c r="AW82">
        <f t="shared" si="21"/>
        <v>23.257383352000005</v>
      </c>
      <c r="AX82" s="9"/>
      <c r="AY82" s="22">
        <v>0.262604</v>
      </c>
      <c r="AZ82" s="22">
        <v>560.23199999999997</v>
      </c>
      <c r="BA82" s="22">
        <v>-1.7761200000000001E-2</v>
      </c>
      <c r="BB82" s="22">
        <v>72</v>
      </c>
      <c r="BC82" s="22">
        <v>0.26223800000000003</v>
      </c>
      <c r="BD82">
        <f t="shared" si="22"/>
        <v>17.761200000000002</v>
      </c>
      <c r="BE82">
        <f t="shared" si="23"/>
        <v>4.6641621648000005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81.017899999999997</v>
      </c>
      <c r="I83" s="22">
        <v>-1.6235400000000001E-2</v>
      </c>
      <c r="J83" s="22">
        <v>73</v>
      </c>
      <c r="K83" s="22">
        <v>1.4321900000000001</v>
      </c>
      <c r="L83">
        <f t="shared" si="12"/>
        <v>16.235400000000002</v>
      </c>
      <c r="M83">
        <f t="shared" si="13"/>
        <v>23.254612836000003</v>
      </c>
      <c r="N83" s="9"/>
      <c r="O83" s="22">
        <v>0.26763900000000002</v>
      </c>
      <c r="P83" s="22">
        <v>146.97800000000001</v>
      </c>
      <c r="Q83" s="22">
        <v>-1.7810099999999999E-2</v>
      </c>
      <c r="R83" s="22">
        <v>73</v>
      </c>
      <c r="S83" s="22">
        <v>0.26705899999999999</v>
      </c>
      <c r="T83">
        <f t="shared" si="14"/>
        <v>17.810099999999998</v>
      </c>
      <c r="U83">
        <f t="shared" si="15"/>
        <v>4.7666773538999996</v>
      </c>
      <c r="X83" s="9"/>
      <c r="Y83" s="22">
        <v>1.4323399999999999</v>
      </c>
      <c r="Z83" s="22">
        <v>232.53100000000001</v>
      </c>
      <c r="AA83" s="22">
        <v>-1.6436800000000001E-2</v>
      </c>
      <c r="AB83" s="22">
        <v>73</v>
      </c>
      <c r="AC83" s="22">
        <v>1.4315800000000001</v>
      </c>
      <c r="AD83">
        <f t="shared" si="16"/>
        <v>16.436800000000002</v>
      </c>
      <c r="AE83">
        <f t="shared" si="17"/>
        <v>23.543086112000001</v>
      </c>
      <c r="AF83" s="9"/>
      <c r="AG83" s="22">
        <v>0.26763900000000002</v>
      </c>
      <c r="AH83" s="22">
        <v>386.96800000000002</v>
      </c>
      <c r="AI83" s="22">
        <v>-1.7773400000000002E-2</v>
      </c>
      <c r="AJ83" s="22">
        <v>73</v>
      </c>
      <c r="AK83" s="22">
        <v>0.26708999999999999</v>
      </c>
      <c r="AL83">
        <f t="shared" si="18"/>
        <v>17.773400000000002</v>
      </c>
      <c r="AM83">
        <f t="shared" si="19"/>
        <v>4.7568550026000009</v>
      </c>
      <c r="AP83" s="9"/>
      <c r="AQ83" s="22">
        <v>1.4323399999999999</v>
      </c>
      <c r="AR83" s="22">
        <v>488.07900000000001</v>
      </c>
      <c r="AS83" s="22">
        <v>-1.61957E-2</v>
      </c>
      <c r="AT83" s="22">
        <v>73</v>
      </c>
      <c r="AU83" s="22">
        <v>1.4315800000000001</v>
      </c>
      <c r="AV83">
        <f t="shared" si="20"/>
        <v>16.195699999999999</v>
      </c>
      <c r="AW83">
        <f t="shared" si="21"/>
        <v>23.197748937999997</v>
      </c>
      <c r="AX83" s="9"/>
      <c r="AY83" s="22">
        <v>0.26763900000000002</v>
      </c>
      <c r="AZ83" s="22">
        <v>560.33299999999997</v>
      </c>
      <c r="BA83" s="22">
        <v>-1.7755099999999999E-2</v>
      </c>
      <c r="BB83" s="22">
        <v>73</v>
      </c>
      <c r="BC83" s="22">
        <v>0.26715100000000003</v>
      </c>
      <c r="BD83">
        <f t="shared" si="22"/>
        <v>17.755099999999999</v>
      </c>
      <c r="BE83">
        <f t="shared" si="23"/>
        <v>4.7519572089000004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81.118600000000001</v>
      </c>
      <c r="I84" s="22">
        <v>-1.6229199999999999E-2</v>
      </c>
      <c r="J84" s="22">
        <v>74</v>
      </c>
      <c r="K84" s="22">
        <v>1.42639</v>
      </c>
      <c r="L84">
        <f t="shared" si="12"/>
        <v>16.229199999999999</v>
      </c>
      <c r="M84">
        <f t="shared" si="13"/>
        <v>23.164099451999999</v>
      </c>
      <c r="N84" s="9"/>
      <c r="O84" s="22">
        <v>0.272675</v>
      </c>
      <c r="P84" s="22">
        <v>147.07900000000001</v>
      </c>
      <c r="Q84" s="22">
        <v>-1.7807E-2</v>
      </c>
      <c r="R84" s="22">
        <v>74</v>
      </c>
      <c r="S84" s="22">
        <v>0.27200299999999999</v>
      </c>
      <c r="T84">
        <f t="shared" si="14"/>
        <v>17.806999999999999</v>
      </c>
      <c r="U84">
        <f t="shared" si="15"/>
        <v>4.8555237249999994</v>
      </c>
      <c r="X84" s="9"/>
      <c r="Y84" s="22">
        <v>1.4273100000000001</v>
      </c>
      <c r="Z84" s="22">
        <v>232.63200000000001</v>
      </c>
      <c r="AA84" s="22">
        <v>-1.6439800000000001E-2</v>
      </c>
      <c r="AB84" s="22">
        <v>74</v>
      </c>
      <c r="AC84" s="22">
        <v>1.4267000000000001</v>
      </c>
      <c r="AD84">
        <f t="shared" si="16"/>
        <v>16.439800000000002</v>
      </c>
      <c r="AE84">
        <f t="shared" si="17"/>
        <v>23.464690938000004</v>
      </c>
      <c r="AF84" s="9"/>
      <c r="AG84" s="22">
        <v>0.272675</v>
      </c>
      <c r="AH84" s="22">
        <v>387.06900000000002</v>
      </c>
      <c r="AI84" s="22">
        <v>-1.7770399999999999E-2</v>
      </c>
      <c r="AJ84" s="22">
        <v>74</v>
      </c>
      <c r="AK84" s="22">
        <v>0.27197300000000002</v>
      </c>
      <c r="AL84">
        <f t="shared" si="18"/>
        <v>17.770399999999999</v>
      </c>
      <c r="AM84">
        <f t="shared" si="19"/>
        <v>4.8455438199999996</v>
      </c>
      <c r="AP84" s="9"/>
      <c r="AQ84" s="22">
        <v>1.4273100000000001</v>
      </c>
      <c r="AR84" s="22">
        <v>488.17899999999997</v>
      </c>
      <c r="AS84" s="22">
        <v>-1.62109E-2</v>
      </c>
      <c r="AT84" s="22">
        <v>74</v>
      </c>
      <c r="AU84" s="22">
        <v>1.42639</v>
      </c>
      <c r="AV84">
        <f t="shared" si="20"/>
        <v>16.210899999999999</v>
      </c>
      <c r="AW84">
        <f t="shared" si="21"/>
        <v>23.137979679000001</v>
      </c>
      <c r="AX84" s="9"/>
      <c r="AY84" s="22">
        <v>0.272675</v>
      </c>
      <c r="AZ84" s="22">
        <v>560.43399999999997</v>
      </c>
      <c r="BA84" s="22">
        <v>-1.7755099999999999E-2</v>
      </c>
      <c r="BB84" s="22">
        <v>74</v>
      </c>
      <c r="BC84" s="22">
        <v>0.272339</v>
      </c>
      <c r="BD84">
        <f t="shared" si="22"/>
        <v>17.755099999999999</v>
      </c>
      <c r="BE84">
        <f t="shared" si="23"/>
        <v>4.8413718924999998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81.219300000000004</v>
      </c>
      <c r="I85" s="22">
        <v>-1.6241499999999999E-2</v>
      </c>
      <c r="J85" s="22">
        <v>75</v>
      </c>
      <c r="K85" s="22">
        <v>1.4212</v>
      </c>
      <c r="L85">
        <f t="shared" si="12"/>
        <v>16.241499999999998</v>
      </c>
      <c r="M85">
        <f t="shared" si="13"/>
        <v>23.099798204999995</v>
      </c>
      <c r="N85" s="9"/>
      <c r="O85" s="22">
        <v>0.27771000000000001</v>
      </c>
      <c r="P85" s="22">
        <v>147.179</v>
      </c>
      <c r="Q85" s="22">
        <v>-1.77948E-2</v>
      </c>
      <c r="R85" s="22">
        <v>75</v>
      </c>
      <c r="S85" s="22">
        <v>0.27722200000000002</v>
      </c>
      <c r="T85">
        <f t="shared" si="14"/>
        <v>17.794799999999999</v>
      </c>
      <c r="U85">
        <f t="shared" si="15"/>
        <v>4.9417939080000002</v>
      </c>
      <c r="X85" s="9"/>
      <c r="Y85" s="22">
        <v>1.4222699999999999</v>
      </c>
      <c r="Z85" s="22">
        <v>232.733</v>
      </c>
      <c r="AA85" s="22">
        <v>-1.64551E-2</v>
      </c>
      <c r="AB85" s="22">
        <v>75</v>
      </c>
      <c r="AC85" s="22">
        <v>1.4215100000000001</v>
      </c>
      <c r="AD85">
        <f t="shared" si="16"/>
        <v>16.455100000000002</v>
      </c>
      <c r="AE85">
        <f t="shared" si="17"/>
        <v>23.403595077000002</v>
      </c>
      <c r="AF85" s="9"/>
      <c r="AG85" s="22">
        <v>0.27771000000000001</v>
      </c>
      <c r="AH85" s="22">
        <v>387.16899999999998</v>
      </c>
      <c r="AI85" s="22">
        <v>-1.77643E-2</v>
      </c>
      <c r="AJ85" s="22">
        <v>75</v>
      </c>
      <c r="AK85" s="22">
        <v>0.27722200000000002</v>
      </c>
      <c r="AL85">
        <f t="shared" si="18"/>
        <v>17.764299999999999</v>
      </c>
      <c r="AM85">
        <f t="shared" si="19"/>
        <v>4.9333237529999998</v>
      </c>
      <c r="AP85" s="9"/>
      <c r="AQ85" s="22">
        <v>1.4222699999999999</v>
      </c>
      <c r="AR85" s="22">
        <v>488.28</v>
      </c>
      <c r="AS85" s="22">
        <v>-1.6223100000000001E-2</v>
      </c>
      <c r="AT85" s="22">
        <v>75</v>
      </c>
      <c r="AU85" s="22">
        <v>1.42242</v>
      </c>
      <c r="AV85">
        <f t="shared" si="20"/>
        <v>16.223100000000002</v>
      </c>
      <c r="AW85">
        <f t="shared" si="21"/>
        <v>23.073628437000004</v>
      </c>
      <c r="AX85" s="9"/>
      <c r="AY85" s="22">
        <v>0.27771000000000001</v>
      </c>
      <c r="AZ85" s="22">
        <v>560.53399999999999</v>
      </c>
      <c r="BA85" s="22">
        <v>-1.7746000000000001E-2</v>
      </c>
      <c r="BB85" s="22">
        <v>75</v>
      </c>
      <c r="BC85" s="22">
        <v>0.27719100000000002</v>
      </c>
      <c r="BD85">
        <f t="shared" si="22"/>
        <v>17.746000000000002</v>
      </c>
      <c r="BE85">
        <f t="shared" si="23"/>
        <v>4.9282416600000012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81.319999999999993</v>
      </c>
      <c r="I86" s="22">
        <v>-1.6244499999999999E-2</v>
      </c>
      <c r="J86" s="22">
        <v>76</v>
      </c>
      <c r="K86" s="22">
        <v>1.4166300000000001</v>
      </c>
      <c r="L86">
        <f t="shared" si="12"/>
        <v>16.244499999999999</v>
      </c>
      <c r="M86">
        <f t="shared" si="13"/>
        <v>23.022355179999998</v>
      </c>
      <c r="N86" s="9"/>
      <c r="O86" s="22">
        <v>0.28274500000000002</v>
      </c>
      <c r="P86" s="22">
        <v>147.28</v>
      </c>
      <c r="Q86" s="22">
        <v>-1.7804E-2</v>
      </c>
      <c r="R86" s="22">
        <v>76</v>
      </c>
      <c r="S86" s="22">
        <v>0.28222700000000001</v>
      </c>
      <c r="T86">
        <f t="shared" si="14"/>
        <v>17.804000000000002</v>
      </c>
      <c r="U86">
        <f t="shared" si="15"/>
        <v>5.0339919800000006</v>
      </c>
      <c r="X86" s="9"/>
      <c r="Y86" s="22">
        <v>1.4172400000000001</v>
      </c>
      <c r="Z86" s="22">
        <v>232.833</v>
      </c>
      <c r="AA86" s="22">
        <v>-1.6482500000000001E-2</v>
      </c>
      <c r="AB86" s="22">
        <v>76</v>
      </c>
      <c r="AC86" s="22">
        <v>1.4166300000000001</v>
      </c>
      <c r="AD86">
        <f t="shared" si="16"/>
        <v>16.482500000000002</v>
      </c>
      <c r="AE86">
        <f t="shared" si="17"/>
        <v>23.359658300000003</v>
      </c>
      <c r="AF86" s="9"/>
      <c r="AG86" s="22">
        <v>0.28274500000000002</v>
      </c>
      <c r="AH86" s="22">
        <v>387.27</v>
      </c>
      <c r="AI86" s="22">
        <v>-1.77521E-2</v>
      </c>
      <c r="AJ86" s="22">
        <v>76</v>
      </c>
      <c r="AK86" s="22">
        <v>0.28204299999999999</v>
      </c>
      <c r="AL86">
        <f t="shared" si="18"/>
        <v>17.752099999999999</v>
      </c>
      <c r="AM86">
        <f t="shared" si="19"/>
        <v>5.0193175145</v>
      </c>
      <c r="AP86" s="9"/>
      <c r="AQ86" s="22">
        <v>1.4172400000000001</v>
      </c>
      <c r="AR86" s="22">
        <v>488.38099999999997</v>
      </c>
      <c r="AS86" s="22">
        <v>-1.6247600000000001E-2</v>
      </c>
      <c r="AT86" s="22">
        <v>76</v>
      </c>
      <c r="AU86" s="22">
        <v>1.4166300000000001</v>
      </c>
      <c r="AV86">
        <f t="shared" si="20"/>
        <v>16.247600000000002</v>
      </c>
      <c r="AW86">
        <f t="shared" si="21"/>
        <v>23.026748624000003</v>
      </c>
      <c r="AX86" s="9"/>
      <c r="AY86" s="22">
        <v>0.28274500000000002</v>
      </c>
      <c r="AZ86" s="22">
        <v>560.63499999999999</v>
      </c>
      <c r="BA86" s="22">
        <v>-1.7739899999999999E-2</v>
      </c>
      <c r="BB86" s="22">
        <v>76</v>
      </c>
      <c r="BC86" s="22">
        <v>0.28228799999999998</v>
      </c>
      <c r="BD86">
        <f t="shared" si="22"/>
        <v>17.739899999999999</v>
      </c>
      <c r="BE86">
        <f t="shared" si="23"/>
        <v>5.0158680254999997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81.420699999999997</v>
      </c>
      <c r="I87" s="22">
        <v>-1.6253699999999999E-2</v>
      </c>
      <c r="J87" s="22">
        <v>77</v>
      </c>
      <c r="K87" s="22">
        <v>1.41113</v>
      </c>
      <c r="L87">
        <f t="shared" si="12"/>
        <v>16.253699999999998</v>
      </c>
      <c r="M87">
        <f t="shared" si="13"/>
        <v>22.953475139999995</v>
      </c>
      <c r="N87" s="9"/>
      <c r="O87" s="22">
        <v>0.28778100000000001</v>
      </c>
      <c r="P87" s="22">
        <v>147.381</v>
      </c>
      <c r="Q87" s="22">
        <v>-1.77948E-2</v>
      </c>
      <c r="R87" s="22">
        <v>77</v>
      </c>
      <c r="S87" s="22">
        <v>0.28714000000000001</v>
      </c>
      <c r="T87">
        <f t="shared" si="14"/>
        <v>17.794799999999999</v>
      </c>
      <c r="U87">
        <f t="shared" si="15"/>
        <v>5.1210053387999999</v>
      </c>
      <c r="X87" s="9"/>
      <c r="Y87" s="22">
        <v>1.4121999999999999</v>
      </c>
      <c r="Z87" s="22">
        <v>232.934</v>
      </c>
      <c r="AA87" s="22">
        <v>-1.6488599999999999E-2</v>
      </c>
      <c r="AB87" s="22">
        <v>77</v>
      </c>
      <c r="AC87" s="22">
        <v>1.41144</v>
      </c>
      <c r="AD87">
        <f t="shared" si="16"/>
        <v>16.488599999999998</v>
      </c>
      <c r="AE87">
        <f t="shared" si="17"/>
        <v>23.285200919999994</v>
      </c>
      <c r="AF87" s="9"/>
      <c r="AG87" s="22">
        <v>0.28778100000000001</v>
      </c>
      <c r="AH87" s="22">
        <v>387.37099999999998</v>
      </c>
      <c r="AI87" s="22">
        <v>-1.7755099999999999E-2</v>
      </c>
      <c r="AJ87" s="22">
        <v>77</v>
      </c>
      <c r="AK87" s="22">
        <v>0.28683500000000001</v>
      </c>
      <c r="AL87">
        <f t="shared" si="18"/>
        <v>17.755099999999999</v>
      </c>
      <c r="AM87">
        <f t="shared" si="19"/>
        <v>5.1095804330999997</v>
      </c>
      <c r="AP87" s="9"/>
      <c r="AQ87" s="22">
        <v>1.4121999999999999</v>
      </c>
      <c r="AR87" s="22">
        <v>488.48200000000003</v>
      </c>
      <c r="AS87" s="22">
        <v>-1.6256699999999999E-2</v>
      </c>
      <c r="AT87" s="22">
        <v>77</v>
      </c>
      <c r="AU87" s="22">
        <v>1.41205</v>
      </c>
      <c r="AV87">
        <f t="shared" si="20"/>
        <v>16.256699999999999</v>
      </c>
      <c r="AW87">
        <f t="shared" si="21"/>
        <v>22.957711739999997</v>
      </c>
      <c r="AX87" s="9"/>
      <c r="AY87" s="22">
        <v>0.28778100000000001</v>
      </c>
      <c r="AZ87" s="22">
        <v>560.73599999999999</v>
      </c>
      <c r="BA87" s="22">
        <v>-1.7746000000000001E-2</v>
      </c>
      <c r="BB87" s="22">
        <v>77</v>
      </c>
      <c r="BC87" s="22">
        <v>0.28720099999999998</v>
      </c>
      <c r="BD87">
        <f t="shared" si="22"/>
        <v>17.746000000000002</v>
      </c>
      <c r="BE87">
        <f t="shared" si="23"/>
        <v>5.1069616260000004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81.5214</v>
      </c>
      <c r="I88" s="22">
        <v>-1.6256699999999999E-2</v>
      </c>
      <c r="J88" s="22">
        <v>78</v>
      </c>
      <c r="K88" s="22">
        <v>1.40656</v>
      </c>
      <c r="L88">
        <f t="shared" si="12"/>
        <v>16.256699999999999</v>
      </c>
      <c r="M88">
        <f t="shared" si="13"/>
        <v>22.875940538999998</v>
      </c>
      <c r="N88" s="9"/>
      <c r="O88" s="22">
        <v>0.29281600000000002</v>
      </c>
      <c r="P88" s="22">
        <v>147.48099999999999</v>
      </c>
      <c r="Q88" s="22">
        <v>-1.7800900000000001E-2</v>
      </c>
      <c r="R88" s="22">
        <v>78</v>
      </c>
      <c r="S88" s="22">
        <v>0.29229699999999997</v>
      </c>
      <c r="T88">
        <f t="shared" si="14"/>
        <v>17.800900000000002</v>
      </c>
      <c r="U88">
        <f t="shared" si="15"/>
        <v>5.2123883344000008</v>
      </c>
      <c r="X88" s="9"/>
      <c r="Y88" s="22">
        <v>1.40717</v>
      </c>
      <c r="Z88" s="22">
        <v>233.035</v>
      </c>
      <c r="AA88" s="22">
        <v>-1.64978E-2</v>
      </c>
      <c r="AB88" s="22">
        <v>78</v>
      </c>
      <c r="AC88" s="22">
        <v>1.40594</v>
      </c>
      <c r="AD88">
        <f t="shared" si="16"/>
        <v>16.497800000000002</v>
      </c>
      <c r="AE88">
        <f t="shared" si="17"/>
        <v>23.215209226000002</v>
      </c>
      <c r="AF88" s="9"/>
      <c r="AG88" s="22">
        <v>0.29281600000000002</v>
      </c>
      <c r="AH88" s="22">
        <v>387.47199999999998</v>
      </c>
      <c r="AI88" s="22">
        <v>-1.77521E-2</v>
      </c>
      <c r="AJ88" s="22">
        <v>78</v>
      </c>
      <c r="AK88" s="22">
        <v>0.29217500000000002</v>
      </c>
      <c r="AL88">
        <f t="shared" si="18"/>
        <v>17.752099999999999</v>
      </c>
      <c r="AM88">
        <f t="shared" si="19"/>
        <v>5.1980989136</v>
      </c>
      <c r="AP88" s="9"/>
      <c r="AQ88" s="22">
        <v>1.40717</v>
      </c>
      <c r="AR88" s="22">
        <v>488.58199999999999</v>
      </c>
      <c r="AS88" s="22">
        <v>-1.6271999999999998E-2</v>
      </c>
      <c r="AT88" s="22">
        <v>78</v>
      </c>
      <c r="AU88" s="22">
        <v>1.40625</v>
      </c>
      <c r="AV88">
        <f t="shared" si="20"/>
        <v>16.271999999999998</v>
      </c>
      <c r="AW88">
        <f t="shared" si="21"/>
        <v>22.897470239999997</v>
      </c>
      <c r="AX88" s="9"/>
      <c r="AY88" s="22">
        <v>0.29281600000000002</v>
      </c>
      <c r="AZ88" s="22">
        <v>560.83600000000001</v>
      </c>
      <c r="BA88" s="22">
        <v>-1.7733800000000001E-2</v>
      </c>
      <c r="BB88" s="22">
        <v>78</v>
      </c>
      <c r="BC88" s="22">
        <v>0.29220600000000002</v>
      </c>
      <c r="BD88">
        <f t="shared" si="22"/>
        <v>17.733800000000002</v>
      </c>
      <c r="BE88">
        <f t="shared" si="23"/>
        <v>5.192740380800001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81.622200000000007</v>
      </c>
      <c r="I89" s="22">
        <v>-1.6268899999999999E-2</v>
      </c>
      <c r="J89" s="22">
        <v>79</v>
      </c>
      <c r="K89" s="22">
        <v>1.40137</v>
      </c>
      <c r="L89">
        <f t="shared" si="12"/>
        <v>16.268899999999999</v>
      </c>
      <c r="M89">
        <f t="shared" si="13"/>
        <v>22.811112757</v>
      </c>
      <c r="N89" s="9"/>
      <c r="O89" s="22">
        <v>0.29785200000000001</v>
      </c>
      <c r="P89" s="22">
        <v>147.58199999999999</v>
      </c>
      <c r="Q89" s="22">
        <v>-1.7788700000000001E-2</v>
      </c>
      <c r="R89" s="22">
        <v>79</v>
      </c>
      <c r="S89" s="22">
        <v>0.29708899999999999</v>
      </c>
      <c r="T89">
        <f t="shared" si="14"/>
        <v>17.788700000000002</v>
      </c>
      <c r="U89">
        <f t="shared" si="15"/>
        <v>5.298399872400001</v>
      </c>
      <c r="X89" s="9"/>
      <c r="Y89" s="22">
        <v>1.4021300000000001</v>
      </c>
      <c r="Z89" s="22">
        <v>233.136</v>
      </c>
      <c r="AA89" s="22">
        <v>-1.6516099999999999E-2</v>
      </c>
      <c r="AB89" s="22">
        <v>79</v>
      </c>
      <c r="AC89" s="22">
        <v>1.40198</v>
      </c>
      <c r="AD89">
        <f t="shared" si="16"/>
        <v>16.516099999999998</v>
      </c>
      <c r="AE89">
        <f t="shared" si="17"/>
        <v>23.157719293</v>
      </c>
      <c r="AF89" s="9"/>
      <c r="AG89" s="22">
        <v>0.29785200000000001</v>
      </c>
      <c r="AH89" s="22">
        <v>387.572</v>
      </c>
      <c r="AI89" s="22">
        <v>-1.77521E-2</v>
      </c>
      <c r="AJ89" s="22">
        <v>79</v>
      </c>
      <c r="AK89" s="22">
        <v>0.29705799999999999</v>
      </c>
      <c r="AL89">
        <f t="shared" si="18"/>
        <v>17.752099999999999</v>
      </c>
      <c r="AM89">
        <f t="shared" si="19"/>
        <v>5.2874984891999999</v>
      </c>
      <c r="AP89" s="9"/>
      <c r="AQ89" s="22">
        <v>1.4021300000000001</v>
      </c>
      <c r="AR89" s="22">
        <v>488.68299999999999</v>
      </c>
      <c r="AS89" s="22">
        <v>-1.62933E-2</v>
      </c>
      <c r="AT89" s="22">
        <v>79</v>
      </c>
      <c r="AU89" s="22">
        <v>1.40076</v>
      </c>
      <c r="AV89">
        <f t="shared" si="20"/>
        <v>16.293299999999999</v>
      </c>
      <c r="AW89">
        <f t="shared" si="21"/>
        <v>22.845324728999998</v>
      </c>
      <c r="AX89" s="9"/>
      <c r="AY89" s="22">
        <v>0.29785200000000001</v>
      </c>
      <c r="AZ89" s="22">
        <v>560.93700000000001</v>
      </c>
      <c r="BA89" s="22">
        <v>-1.7742899999999999E-2</v>
      </c>
      <c r="BB89" s="22">
        <v>79</v>
      </c>
      <c r="BC89" s="22">
        <v>0.29733300000000001</v>
      </c>
      <c r="BD89">
        <f t="shared" si="22"/>
        <v>17.742899999999999</v>
      </c>
      <c r="BE89">
        <f t="shared" si="23"/>
        <v>5.2847582507999995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81.722899999999996</v>
      </c>
      <c r="I90" s="22">
        <v>-1.62811E-2</v>
      </c>
      <c r="J90" s="22">
        <v>80</v>
      </c>
      <c r="K90" s="22">
        <v>1.3964799999999999</v>
      </c>
      <c r="L90">
        <f t="shared" si="12"/>
        <v>16.281099999999999</v>
      </c>
      <c r="M90">
        <f t="shared" si="13"/>
        <v>22.746161998999998</v>
      </c>
      <c r="N90" s="9"/>
      <c r="O90" s="22">
        <v>0.30288700000000002</v>
      </c>
      <c r="P90" s="22">
        <v>147.68299999999999</v>
      </c>
      <c r="Q90" s="22">
        <v>-1.77795E-2</v>
      </c>
      <c r="R90" s="22">
        <v>80</v>
      </c>
      <c r="S90" s="22">
        <v>0.30230699999999999</v>
      </c>
      <c r="T90">
        <f t="shared" si="14"/>
        <v>17.779499999999999</v>
      </c>
      <c r="U90">
        <f t="shared" si="15"/>
        <v>5.3851794164999998</v>
      </c>
      <c r="X90" s="9"/>
      <c r="Y90" s="22">
        <v>1.3970899999999999</v>
      </c>
      <c r="Z90" s="22">
        <v>233.23599999999999</v>
      </c>
      <c r="AA90" s="22">
        <v>-1.6516099999999999E-2</v>
      </c>
      <c r="AB90" s="22">
        <v>80</v>
      </c>
      <c r="AC90" s="22">
        <v>1.3964799999999999</v>
      </c>
      <c r="AD90">
        <f t="shared" si="16"/>
        <v>16.516099999999998</v>
      </c>
      <c r="AE90">
        <f t="shared" si="17"/>
        <v>23.074478148999997</v>
      </c>
      <c r="AF90" s="9"/>
      <c r="AG90" s="22">
        <v>0.30288700000000002</v>
      </c>
      <c r="AH90" s="22">
        <v>387.673</v>
      </c>
      <c r="AI90" s="22">
        <v>-1.7749000000000001E-2</v>
      </c>
      <c r="AJ90" s="22">
        <v>80</v>
      </c>
      <c r="AK90" s="22">
        <v>0.30239899999999997</v>
      </c>
      <c r="AL90">
        <f t="shared" si="18"/>
        <v>17.749000000000002</v>
      </c>
      <c r="AM90">
        <f t="shared" si="19"/>
        <v>5.3759413630000008</v>
      </c>
      <c r="AP90" s="9"/>
      <c r="AQ90" s="22">
        <v>1.3970899999999999</v>
      </c>
      <c r="AR90" s="22">
        <v>488.78399999999999</v>
      </c>
      <c r="AS90" s="22">
        <v>-1.6311599999999999E-2</v>
      </c>
      <c r="AT90" s="22">
        <v>80</v>
      </c>
      <c r="AU90" s="22">
        <v>1.39679</v>
      </c>
      <c r="AV90">
        <f t="shared" si="20"/>
        <v>16.311599999999999</v>
      </c>
      <c r="AW90">
        <f t="shared" si="21"/>
        <v>22.788773243999998</v>
      </c>
      <c r="AX90" s="9"/>
      <c r="AY90" s="22">
        <v>0.30288700000000002</v>
      </c>
      <c r="AZ90" s="22">
        <v>561.03800000000001</v>
      </c>
      <c r="BA90" s="22">
        <v>-1.77246E-2</v>
      </c>
      <c r="BB90" s="22">
        <v>80</v>
      </c>
      <c r="BC90" s="22">
        <v>0.30227700000000002</v>
      </c>
      <c r="BD90">
        <f t="shared" si="22"/>
        <v>17.724599999999999</v>
      </c>
      <c r="BE90">
        <f t="shared" si="23"/>
        <v>5.3685509201999997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81.823599999999999</v>
      </c>
      <c r="I91" s="22">
        <v>-1.6287200000000002E-2</v>
      </c>
      <c r="J91" s="22">
        <v>81</v>
      </c>
      <c r="K91" s="22">
        <v>1.3913</v>
      </c>
      <c r="L91">
        <f t="shared" si="12"/>
        <v>16.287200000000002</v>
      </c>
      <c r="M91">
        <f t="shared" si="13"/>
        <v>22.672759632000005</v>
      </c>
      <c r="N91" s="9"/>
      <c r="O91" s="22">
        <v>0.30792199999999997</v>
      </c>
      <c r="P91" s="22">
        <v>147.78399999999999</v>
      </c>
      <c r="Q91" s="22">
        <v>-1.7776500000000001E-2</v>
      </c>
      <c r="R91" s="22">
        <v>81</v>
      </c>
      <c r="S91" s="22">
        <v>0.30728100000000003</v>
      </c>
      <c r="T91">
        <f t="shared" si="14"/>
        <v>17.776500000000002</v>
      </c>
      <c r="U91">
        <f t="shared" si="15"/>
        <v>5.4737754330000001</v>
      </c>
      <c r="X91" s="9"/>
      <c r="Y91" s="22">
        <v>1.3920600000000001</v>
      </c>
      <c r="Z91" s="22">
        <v>233.33699999999999</v>
      </c>
      <c r="AA91" s="22">
        <v>-1.6528299999999999E-2</v>
      </c>
      <c r="AB91" s="22">
        <v>81</v>
      </c>
      <c r="AC91" s="22">
        <v>1.39069</v>
      </c>
      <c r="AD91">
        <f t="shared" si="16"/>
        <v>16.528299999999998</v>
      </c>
      <c r="AE91">
        <f t="shared" si="17"/>
        <v>23.008385297999997</v>
      </c>
      <c r="AF91" s="9"/>
      <c r="AG91" s="22">
        <v>0.30792199999999997</v>
      </c>
      <c r="AH91" s="22">
        <v>387.774</v>
      </c>
      <c r="AI91" s="22">
        <v>-1.7739899999999999E-2</v>
      </c>
      <c r="AJ91" s="22">
        <v>81</v>
      </c>
      <c r="AK91" s="22">
        <v>0.30734299999999998</v>
      </c>
      <c r="AL91">
        <f t="shared" si="18"/>
        <v>17.739899999999999</v>
      </c>
      <c r="AM91">
        <f t="shared" si="19"/>
        <v>5.4625054877999988</v>
      </c>
      <c r="AP91" s="9"/>
      <c r="AQ91" s="22">
        <v>1.3920600000000001</v>
      </c>
      <c r="AR91" s="22">
        <v>488.88400000000001</v>
      </c>
      <c r="AS91" s="22">
        <v>-1.6317700000000001E-2</v>
      </c>
      <c r="AT91" s="22">
        <v>81</v>
      </c>
      <c r="AU91" s="22">
        <v>1.39191</v>
      </c>
      <c r="AV91">
        <f t="shared" si="20"/>
        <v>16.317700000000002</v>
      </c>
      <c r="AW91">
        <f t="shared" si="21"/>
        <v>22.715217462000005</v>
      </c>
      <c r="AX91" s="9"/>
      <c r="AY91" s="22">
        <v>0.30792199999999997</v>
      </c>
      <c r="AZ91" s="22">
        <v>561.13900000000001</v>
      </c>
      <c r="BA91" s="22">
        <v>-1.7727699999999999E-2</v>
      </c>
      <c r="BB91" s="22">
        <v>81</v>
      </c>
      <c r="BC91" s="22">
        <v>0.30734299999999998</v>
      </c>
      <c r="BD91">
        <f t="shared" si="22"/>
        <v>17.727699999999999</v>
      </c>
      <c r="BE91">
        <f t="shared" si="23"/>
        <v>5.4587488393999992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81.924300000000002</v>
      </c>
      <c r="I92" s="22">
        <v>-1.6296399999999999E-2</v>
      </c>
      <c r="J92" s="22">
        <v>82</v>
      </c>
      <c r="K92" s="22">
        <v>1.3864099999999999</v>
      </c>
      <c r="L92">
        <f t="shared" si="12"/>
        <v>16.296399999999998</v>
      </c>
      <c r="M92">
        <f t="shared" si="13"/>
        <v>22.603432727999998</v>
      </c>
      <c r="N92" s="9"/>
      <c r="O92" s="22">
        <v>0.31295800000000001</v>
      </c>
      <c r="P92" s="22">
        <v>147.88399999999999</v>
      </c>
      <c r="Q92" s="22">
        <v>-1.7776500000000001E-2</v>
      </c>
      <c r="R92" s="22">
        <v>82</v>
      </c>
      <c r="S92" s="22">
        <v>0.31234699999999999</v>
      </c>
      <c r="T92">
        <f t="shared" si="14"/>
        <v>17.776500000000002</v>
      </c>
      <c r="U92">
        <f t="shared" si="15"/>
        <v>5.5632978870000009</v>
      </c>
      <c r="X92" s="9"/>
      <c r="Y92" s="22">
        <v>1.3870199999999999</v>
      </c>
      <c r="Z92" s="22">
        <v>233.43799999999999</v>
      </c>
      <c r="AA92" s="22">
        <v>-1.65375E-2</v>
      </c>
      <c r="AB92" s="22">
        <v>82</v>
      </c>
      <c r="AC92" s="22">
        <v>1.3864099999999999</v>
      </c>
      <c r="AD92">
        <f t="shared" si="16"/>
        <v>16.537500000000001</v>
      </c>
      <c r="AE92">
        <f t="shared" si="17"/>
        <v>22.93784325</v>
      </c>
      <c r="AF92" s="9"/>
      <c r="AG92" s="22">
        <v>0.31295800000000001</v>
      </c>
      <c r="AH92" s="22">
        <v>387.87400000000002</v>
      </c>
      <c r="AI92" s="22">
        <v>-1.7739899999999999E-2</v>
      </c>
      <c r="AJ92" s="22">
        <v>82</v>
      </c>
      <c r="AK92" s="22">
        <v>0.31240800000000002</v>
      </c>
      <c r="AL92">
        <f t="shared" si="18"/>
        <v>17.739899999999999</v>
      </c>
      <c r="AM92">
        <f t="shared" si="19"/>
        <v>5.5518436242</v>
      </c>
      <c r="AP92" s="9"/>
      <c r="AQ92" s="22">
        <v>1.3870199999999999</v>
      </c>
      <c r="AR92" s="22">
        <v>488.98500000000001</v>
      </c>
      <c r="AS92" s="22">
        <v>-1.6336099999999999E-2</v>
      </c>
      <c r="AT92" s="22">
        <v>82</v>
      </c>
      <c r="AU92" s="22">
        <v>1.3857999999999999</v>
      </c>
      <c r="AV92">
        <f t="shared" si="20"/>
        <v>16.336099999999998</v>
      </c>
      <c r="AW92">
        <f t="shared" si="21"/>
        <v>22.658497421999996</v>
      </c>
      <c r="AX92" s="9"/>
      <c r="AY92" s="22">
        <v>0.31295800000000001</v>
      </c>
      <c r="AZ92" s="22">
        <v>561.23900000000003</v>
      </c>
      <c r="BA92" s="22">
        <v>-1.77246E-2</v>
      </c>
      <c r="BB92" s="22">
        <v>82</v>
      </c>
      <c r="BC92" s="22">
        <v>0.31225599999999998</v>
      </c>
      <c r="BD92">
        <f t="shared" si="22"/>
        <v>17.724599999999999</v>
      </c>
      <c r="BE92">
        <f t="shared" si="23"/>
        <v>5.5470553667999996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82.025000000000006</v>
      </c>
      <c r="I93" s="22">
        <v>-1.6302500000000001E-2</v>
      </c>
      <c r="J93" s="22">
        <v>83</v>
      </c>
      <c r="K93" s="22">
        <v>1.38123</v>
      </c>
      <c r="L93">
        <f t="shared" si="12"/>
        <v>16.302500000000002</v>
      </c>
      <c r="M93">
        <f t="shared" si="13"/>
        <v>22.529891975000005</v>
      </c>
      <c r="N93" s="9"/>
      <c r="O93" s="22">
        <v>0.31799300000000003</v>
      </c>
      <c r="P93" s="22">
        <v>147.98500000000001</v>
      </c>
      <c r="Q93" s="22">
        <v>-1.7770399999999999E-2</v>
      </c>
      <c r="R93" s="22">
        <v>83</v>
      </c>
      <c r="S93" s="22">
        <v>0.317444</v>
      </c>
      <c r="T93">
        <f t="shared" si="14"/>
        <v>17.770399999999999</v>
      </c>
      <c r="U93">
        <f t="shared" si="15"/>
        <v>5.6508628072000002</v>
      </c>
      <c r="X93" s="9"/>
      <c r="Y93" s="22">
        <v>1.3819900000000001</v>
      </c>
      <c r="Z93" s="22">
        <v>233.53800000000001</v>
      </c>
      <c r="AA93" s="22">
        <v>-1.65405E-2</v>
      </c>
      <c r="AB93" s="22">
        <v>83</v>
      </c>
      <c r="AC93" s="22">
        <v>1.38184</v>
      </c>
      <c r="AD93">
        <f t="shared" si="16"/>
        <v>16.540499999999998</v>
      </c>
      <c r="AE93">
        <f t="shared" si="17"/>
        <v>22.858805595</v>
      </c>
      <c r="AF93" s="9"/>
      <c r="AG93" s="22">
        <v>0.31799300000000003</v>
      </c>
      <c r="AH93" s="22">
        <v>387.97500000000002</v>
      </c>
      <c r="AI93" s="22">
        <v>-1.7730699999999999E-2</v>
      </c>
      <c r="AJ93" s="22">
        <v>83</v>
      </c>
      <c r="AK93" s="22">
        <v>0.31723000000000001</v>
      </c>
      <c r="AL93">
        <f t="shared" si="18"/>
        <v>17.730699999999999</v>
      </c>
      <c r="AM93">
        <f t="shared" si="19"/>
        <v>5.6382384851000005</v>
      </c>
      <c r="AP93" s="9"/>
      <c r="AQ93" s="22">
        <v>1.3819900000000001</v>
      </c>
      <c r="AR93" s="22">
        <v>489.08600000000001</v>
      </c>
      <c r="AS93" s="22">
        <v>-1.6354400000000002E-2</v>
      </c>
      <c r="AT93" s="22">
        <v>83</v>
      </c>
      <c r="AU93" s="22">
        <v>1.3809199999999999</v>
      </c>
      <c r="AV93">
        <f t="shared" si="20"/>
        <v>16.354400000000002</v>
      </c>
      <c r="AW93">
        <f t="shared" si="21"/>
        <v>22.601617256000004</v>
      </c>
      <c r="AX93" s="9"/>
      <c r="AY93" s="22">
        <v>0.31799300000000003</v>
      </c>
      <c r="AZ93" s="22">
        <v>561.34</v>
      </c>
      <c r="BA93" s="22">
        <v>-1.7718500000000002E-2</v>
      </c>
      <c r="BB93" s="22">
        <v>83</v>
      </c>
      <c r="BC93" s="22">
        <v>0.31747399999999998</v>
      </c>
      <c r="BD93">
        <f t="shared" si="22"/>
        <v>17.718500000000002</v>
      </c>
      <c r="BE93">
        <f t="shared" si="23"/>
        <v>5.634358970500001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82.125699999999995</v>
      </c>
      <c r="I94" s="22">
        <v>-1.6311599999999999E-2</v>
      </c>
      <c r="J94" s="22">
        <v>84</v>
      </c>
      <c r="K94" s="22">
        <v>1.3763399999999999</v>
      </c>
      <c r="L94">
        <f t="shared" si="12"/>
        <v>16.311599999999999</v>
      </c>
      <c r="M94">
        <f t="shared" si="13"/>
        <v>22.460257619999997</v>
      </c>
      <c r="N94" s="9"/>
      <c r="O94" s="22">
        <v>0.32302900000000001</v>
      </c>
      <c r="P94" s="22">
        <v>148.08600000000001</v>
      </c>
      <c r="Q94" s="22">
        <v>-1.77795E-2</v>
      </c>
      <c r="R94" s="22">
        <v>84</v>
      </c>
      <c r="S94" s="22">
        <v>0.32247900000000002</v>
      </c>
      <c r="T94">
        <f t="shared" si="14"/>
        <v>17.779499999999999</v>
      </c>
      <c r="U94">
        <f t="shared" si="15"/>
        <v>5.7432941054999995</v>
      </c>
      <c r="X94" s="9"/>
      <c r="Y94" s="22">
        <v>1.3769499999999999</v>
      </c>
      <c r="Z94" s="22">
        <v>233.63900000000001</v>
      </c>
      <c r="AA94" s="22">
        <v>-1.6555799999999999E-2</v>
      </c>
      <c r="AB94" s="22">
        <v>84</v>
      </c>
      <c r="AC94" s="22">
        <v>1.3769499999999999</v>
      </c>
      <c r="AD94">
        <f t="shared" si="16"/>
        <v>16.555799999999998</v>
      </c>
      <c r="AE94">
        <f t="shared" si="17"/>
        <v>22.796508809999995</v>
      </c>
      <c r="AF94" s="9"/>
      <c r="AG94" s="22">
        <v>0.32302900000000001</v>
      </c>
      <c r="AH94" s="22">
        <v>388.07600000000002</v>
      </c>
      <c r="AI94" s="22">
        <v>-1.7721600000000001E-2</v>
      </c>
      <c r="AJ94" s="22">
        <v>84</v>
      </c>
      <c r="AK94" s="22">
        <v>0.32238800000000001</v>
      </c>
      <c r="AL94">
        <f t="shared" si="18"/>
        <v>17.721600000000002</v>
      </c>
      <c r="AM94">
        <f t="shared" si="19"/>
        <v>5.7245907264000007</v>
      </c>
      <c r="AP94" s="9"/>
      <c r="AQ94" s="22">
        <v>1.3769499999999999</v>
      </c>
      <c r="AR94" s="22">
        <v>489.18700000000001</v>
      </c>
      <c r="AS94" s="22">
        <v>-1.6357400000000001E-2</v>
      </c>
      <c r="AT94" s="22">
        <v>84</v>
      </c>
      <c r="AU94" s="22">
        <v>1.3763399999999999</v>
      </c>
      <c r="AV94">
        <f t="shared" si="20"/>
        <v>16.357400000000002</v>
      </c>
      <c r="AW94">
        <f t="shared" si="21"/>
        <v>22.523321930000002</v>
      </c>
      <c r="AX94" s="9"/>
      <c r="AY94" s="22">
        <v>0.32302900000000001</v>
      </c>
      <c r="AZ94" s="22">
        <v>561.44100000000003</v>
      </c>
      <c r="BA94" s="22">
        <v>-1.7715499999999999E-2</v>
      </c>
      <c r="BB94" s="22">
        <v>84</v>
      </c>
      <c r="BC94" s="22">
        <v>0.32238800000000001</v>
      </c>
      <c r="BD94">
        <f t="shared" si="22"/>
        <v>17.715499999999999</v>
      </c>
      <c r="BE94">
        <f t="shared" si="23"/>
        <v>5.7226202494999994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82.226399999999998</v>
      </c>
      <c r="I95" s="22">
        <v>-1.63208E-2</v>
      </c>
      <c r="J95" s="22">
        <v>85</v>
      </c>
      <c r="K95" s="22">
        <v>1.3714599999999999</v>
      </c>
      <c r="L95">
        <f t="shared" si="12"/>
        <v>16.320799999999998</v>
      </c>
      <c r="M95">
        <f t="shared" si="13"/>
        <v>22.390831935999998</v>
      </c>
      <c r="N95" s="9"/>
      <c r="O95" s="22">
        <v>0.32806400000000002</v>
      </c>
      <c r="P95" s="22">
        <v>148.18600000000001</v>
      </c>
      <c r="Q95" s="22">
        <v>-1.77673E-2</v>
      </c>
      <c r="R95" s="22">
        <v>85</v>
      </c>
      <c r="S95" s="22">
        <v>0.32742300000000002</v>
      </c>
      <c r="T95">
        <f t="shared" si="14"/>
        <v>17.767299999999999</v>
      </c>
      <c r="U95">
        <f t="shared" si="15"/>
        <v>5.8288115072000002</v>
      </c>
      <c r="X95" s="9"/>
      <c r="Y95" s="22">
        <v>1.37192</v>
      </c>
      <c r="Z95" s="22">
        <v>233.74</v>
      </c>
      <c r="AA95" s="22">
        <v>-1.6567999999999999E-2</v>
      </c>
      <c r="AB95" s="22">
        <v>85</v>
      </c>
      <c r="AC95" s="22">
        <v>1.3711500000000001</v>
      </c>
      <c r="AD95">
        <f t="shared" si="16"/>
        <v>16.567999999999998</v>
      </c>
      <c r="AE95">
        <f t="shared" si="17"/>
        <v>22.729970559999998</v>
      </c>
      <c r="AF95" s="9"/>
      <c r="AG95" s="22">
        <v>0.32806400000000002</v>
      </c>
      <c r="AH95" s="22">
        <v>388.17700000000002</v>
      </c>
      <c r="AI95" s="22">
        <v>-1.7727699999999999E-2</v>
      </c>
      <c r="AJ95" s="22">
        <v>85</v>
      </c>
      <c r="AK95" s="22">
        <v>0.32766699999999999</v>
      </c>
      <c r="AL95">
        <f t="shared" si="18"/>
        <v>17.727699999999999</v>
      </c>
      <c r="AM95">
        <f t="shared" si="19"/>
        <v>5.8158201727999996</v>
      </c>
      <c r="AP95" s="9"/>
      <c r="AQ95" s="22">
        <v>1.37192</v>
      </c>
      <c r="AR95" s="22">
        <v>489.28699999999998</v>
      </c>
      <c r="AS95" s="22">
        <v>-1.6369600000000002E-2</v>
      </c>
      <c r="AT95" s="22">
        <v>85</v>
      </c>
      <c r="AU95" s="22">
        <v>1.3711500000000001</v>
      </c>
      <c r="AV95">
        <f t="shared" si="20"/>
        <v>16.369600000000002</v>
      </c>
      <c r="AW95">
        <f t="shared" si="21"/>
        <v>22.457781632000003</v>
      </c>
      <c r="AX95" s="9"/>
      <c r="AY95" s="22">
        <v>0.32806400000000002</v>
      </c>
      <c r="AZ95" s="22">
        <v>561.54100000000005</v>
      </c>
      <c r="BA95" s="22">
        <v>-1.77124E-2</v>
      </c>
      <c r="BB95" s="22">
        <v>85</v>
      </c>
      <c r="BC95" s="22">
        <v>0.32711800000000002</v>
      </c>
      <c r="BD95">
        <f t="shared" si="22"/>
        <v>17.712399999999999</v>
      </c>
      <c r="BE95">
        <f t="shared" si="23"/>
        <v>5.8108007936000003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82.327100000000002</v>
      </c>
      <c r="I96" s="22">
        <v>-1.6323899999999999E-2</v>
      </c>
      <c r="J96" s="22">
        <v>86</v>
      </c>
      <c r="K96" s="22">
        <v>1.3665799999999999</v>
      </c>
      <c r="L96">
        <f t="shared" si="12"/>
        <v>16.323899999999998</v>
      </c>
      <c r="M96">
        <f t="shared" si="13"/>
        <v>22.312812431999998</v>
      </c>
      <c r="N96" s="9"/>
      <c r="O96" s="22">
        <v>0.33309899999999998</v>
      </c>
      <c r="P96" s="22">
        <v>148.28700000000001</v>
      </c>
      <c r="Q96" s="22">
        <v>-1.7755099999999999E-2</v>
      </c>
      <c r="R96" s="22">
        <v>86</v>
      </c>
      <c r="S96" s="22">
        <v>0.332397</v>
      </c>
      <c r="T96">
        <f t="shared" si="14"/>
        <v>17.755099999999999</v>
      </c>
      <c r="U96">
        <f t="shared" si="15"/>
        <v>5.9142060548999993</v>
      </c>
      <c r="X96" s="9"/>
      <c r="Y96" s="22">
        <v>1.3668800000000001</v>
      </c>
      <c r="Z96" s="22">
        <v>233.84100000000001</v>
      </c>
      <c r="AA96" s="22">
        <v>-1.6570999999999999E-2</v>
      </c>
      <c r="AB96" s="22">
        <v>86</v>
      </c>
      <c r="AC96" s="22">
        <v>1.3662700000000001</v>
      </c>
      <c r="AD96">
        <f t="shared" si="16"/>
        <v>16.570999999999998</v>
      </c>
      <c r="AE96">
        <f t="shared" si="17"/>
        <v>22.65056848</v>
      </c>
      <c r="AF96" s="9"/>
      <c r="AG96" s="22">
        <v>0.33309899999999998</v>
      </c>
      <c r="AH96" s="22">
        <v>388.27699999999999</v>
      </c>
      <c r="AI96" s="22">
        <v>-1.7715499999999999E-2</v>
      </c>
      <c r="AJ96" s="22">
        <v>86</v>
      </c>
      <c r="AK96" s="22">
        <v>0.33221400000000001</v>
      </c>
      <c r="AL96">
        <f t="shared" si="18"/>
        <v>17.715499999999999</v>
      </c>
      <c r="AM96">
        <f t="shared" si="19"/>
        <v>5.9010153344999994</v>
      </c>
      <c r="AP96" s="9"/>
      <c r="AQ96" s="22">
        <v>1.3668800000000001</v>
      </c>
      <c r="AR96" s="22">
        <v>489.38799999999998</v>
      </c>
      <c r="AS96" s="22">
        <v>-1.63727E-2</v>
      </c>
      <c r="AT96" s="22">
        <v>86</v>
      </c>
      <c r="AU96" s="22">
        <v>1.3659699999999999</v>
      </c>
      <c r="AV96">
        <f t="shared" si="20"/>
        <v>16.372700000000002</v>
      </c>
      <c r="AW96">
        <f t="shared" si="21"/>
        <v>22.379516176000003</v>
      </c>
      <c r="AX96" s="9"/>
      <c r="AY96" s="22">
        <v>0.33309899999999998</v>
      </c>
      <c r="AZ96" s="22">
        <v>561.64200000000005</v>
      </c>
      <c r="BA96" s="22">
        <v>-1.7703199999999999E-2</v>
      </c>
      <c r="BB96" s="22">
        <v>86</v>
      </c>
      <c r="BC96" s="22">
        <v>0.33245799999999998</v>
      </c>
      <c r="BD96">
        <f t="shared" si="22"/>
        <v>17.703199999999999</v>
      </c>
      <c r="BE96">
        <f t="shared" si="23"/>
        <v>5.8969182167999996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82.427800000000005</v>
      </c>
      <c r="I97" s="22">
        <v>-1.6333E-2</v>
      </c>
      <c r="J97" s="22">
        <v>87</v>
      </c>
      <c r="K97" s="22">
        <v>1.3607800000000001</v>
      </c>
      <c r="L97">
        <f t="shared" si="12"/>
        <v>16.333000000000002</v>
      </c>
      <c r="M97">
        <f t="shared" si="13"/>
        <v>22.243096050000002</v>
      </c>
      <c r="N97" s="9"/>
      <c r="O97" s="22">
        <v>0.33813500000000002</v>
      </c>
      <c r="P97" s="22">
        <v>148.38800000000001</v>
      </c>
      <c r="Q97" s="22">
        <v>-1.7755099999999999E-2</v>
      </c>
      <c r="R97" s="22">
        <v>87</v>
      </c>
      <c r="S97" s="22">
        <v>0.33755499999999999</v>
      </c>
      <c r="T97">
        <f t="shared" si="14"/>
        <v>17.755099999999999</v>
      </c>
      <c r="U97">
        <f t="shared" si="15"/>
        <v>6.0036207384999996</v>
      </c>
      <c r="X97" s="9"/>
      <c r="Y97" s="22">
        <v>1.36185</v>
      </c>
      <c r="Z97" s="22">
        <v>233.941</v>
      </c>
      <c r="AA97" s="22">
        <v>-1.6577100000000001E-2</v>
      </c>
      <c r="AB97" s="22">
        <v>87</v>
      </c>
      <c r="AC97" s="22">
        <v>1.3616900000000001</v>
      </c>
      <c r="AD97">
        <f t="shared" si="16"/>
        <v>16.577100000000002</v>
      </c>
      <c r="AE97">
        <f t="shared" si="17"/>
        <v>22.575523635000003</v>
      </c>
      <c r="AF97" s="9"/>
      <c r="AG97" s="22">
        <v>0.33813500000000002</v>
      </c>
      <c r="AH97" s="22">
        <v>388.37799999999999</v>
      </c>
      <c r="AI97" s="22">
        <v>-1.77094E-2</v>
      </c>
      <c r="AJ97" s="22">
        <v>87</v>
      </c>
      <c r="AK97" s="22">
        <v>0.33758500000000002</v>
      </c>
      <c r="AL97">
        <f t="shared" si="18"/>
        <v>17.709399999999999</v>
      </c>
      <c r="AM97">
        <f t="shared" si="19"/>
        <v>5.988167969</v>
      </c>
      <c r="AP97" s="9"/>
      <c r="AQ97" s="22">
        <v>1.36185</v>
      </c>
      <c r="AR97" s="22">
        <v>489.48899999999998</v>
      </c>
      <c r="AS97" s="22">
        <v>-1.6390999999999999E-2</v>
      </c>
      <c r="AT97" s="22">
        <v>87</v>
      </c>
      <c r="AU97" s="22">
        <v>1.3610800000000001</v>
      </c>
      <c r="AV97">
        <f t="shared" si="20"/>
        <v>16.390999999999998</v>
      </c>
      <c r="AW97">
        <f t="shared" si="21"/>
        <v>22.322083349999996</v>
      </c>
      <c r="AX97" s="9"/>
      <c r="AY97" s="22">
        <v>0.33813500000000002</v>
      </c>
      <c r="AZ97" s="22">
        <v>561.74300000000005</v>
      </c>
      <c r="BA97" s="22">
        <v>-1.7703199999999999E-2</v>
      </c>
      <c r="BB97" s="22">
        <v>87</v>
      </c>
      <c r="BC97" s="22">
        <v>0.33749400000000002</v>
      </c>
      <c r="BD97">
        <f t="shared" si="22"/>
        <v>17.703199999999999</v>
      </c>
      <c r="BE97">
        <f t="shared" si="23"/>
        <v>5.9860715320000004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82.528499999999994</v>
      </c>
      <c r="I98" s="22">
        <v>-1.6339099999999999E-2</v>
      </c>
      <c r="J98" s="22">
        <v>88</v>
      </c>
      <c r="K98" s="22">
        <v>1.3559000000000001</v>
      </c>
      <c r="L98">
        <f t="shared" si="12"/>
        <v>16.339099999999998</v>
      </c>
      <c r="M98">
        <f t="shared" si="13"/>
        <v>22.169054271</v>
      </c>
      <c r="N98" s="9"/>
      <c r="O98" s="22">
        <v>0.34316999999999998</v>
      </c>
      <c r="P98" s="22">
        <v>148.489</v>
      </c>
      <c r="Q98" s="22">
        <v>-1.77521E-2</v>
      </c>
      <c r="R98" s="22">
        <v>88</v>
      </c>
      <c r="S98" s="22">
        <v>0.34231600000000001</v>
      </c>
      <c r="T98">
        <f t="shared" si="14"/>
        <v>17.752099999999999</v>
      </c>
      <c r="U98">
        <f t="shared" si="15"/>
        <v>6.0919881569999994</v>
      </c>
      <c r="X98" s="9"/>
      <c r="Y98" s="22">
        <v>1.3568100000000001</v>
      </c>
      <c r="Z98" s="22">
        <v>234.042</v>
      </c>
      <c r="AA98" s="22">
        <v>-1.6583299999999999E-2</v>
      </c>
      <c r="AB98" s="22">
        <v>88</v>
      </c>
      <c r="AC98" s="22">
        <v>1.3565100000000001</v>
      </c>
      <c r="AD98">
        <f t="shared" si="16"/>
        <v>16.583299999999998</v>
      </c>
      <c r="AE98">
        <f t="shared" si="17"/>
        <v>22.500387272999998</v>
      </c>
      <c r="AF98" s="9"/>
      <c r="AG98" s="22">
        <v>0.34316999999999998</v>
      </c>
      <c r="AH98" s="22">
        <v>388.47899999999998</v>
      </c>
      <c r="AI98" s="22">
        <v>-1.77124E-2</v>
      </c>
      <c r="AJ98" s="22">
        <v>88</v>
      </c>
      <c r="AK98" s="22">
        <v>0.34255999999999998</v>
      </c>
      <c r="AL98">
        <f t="shared" si="18"/>
        <v>17.712399999999999</v>
      </c>
      <c r="AM98">
        <f t="shared" si="19"/>
        <v>6.0783643079999994</v>
      </c>
      <c r="AP98" s="9"/>
      <c r="AQ98" s="22">
        <v>1.3568100000000001</v>
      </c>
      <c r="AR98" s="22">
        <v>489.589</v>
      </c>
      <c r="AS98" s="22">
        <v>-1.64032E-2</v>
      </c>
      <c r="AT98" s="22">
        <v>88</v>
      </c>
      <c r="AU98" s="22">
        <v>1.3565100000000001</v>
      </c>
      <c r="AV98">
        <f t="shared" si="20"/>
        <v>16.403199999999998</v>
      </c>
      <c r="AW98">
        <f t="shared" si="21"/>
        <v>22.256025791999999</v>
      </c>
      <c r="AX98" s="9"/>
      <c r="AY98" s="22">
        <v>0.34316999999999998</v>
      </c>
      <c r="AZ98" s="22">
        <v>561.84400000000005</v>
      </c>
      <c r="BA98" s="22">
        <v>-1.7694100000000001E-2</v>
      </c>
      <c r="BB98" s="22">
        <v>88</v>
      </c>
      <c r="BC98" s="22">
        <v>0.34259000000000001</v>
      </c>
      <c r="BD98">
        <f t="shared" si="22"/>
        <v>17.694100000000002</v>
      </c>
      <c r="BE98">
        <f t="shared" si="23"/>
        <v>6.072084297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82.629199999999997</v>
      </c>
      <c r="I99" s="22">
        <v>-1.6342200000000001E-2</v>
      </c>
      <c r="J99" s="22">
        <v>89</v>
      </c>
      <c r="K99" s="22">
        <v>1.3513200000000001</v>
      </c>
      <c r="L99">
        <f t="shared" si="12"/>
        <v>16.342200000000002</v>
      </c>
      <c r="M99">
        <f t="shared" si="13"/>
        <v>22.091059116000004</v>
      </c>
      <c r="N99" s="9"/>
      <c r="O99" s="22">
        <v>0.34820600000000002</v>
      </c>
      <c r="P99" s="22">
        <v>148.589</v>
      </c>
      <c r="Q99" s="22">
        <v>-1.77521E-2</v>
      </c>
      <c r="R99" s="22">
        <v>89</v>
      </c>
      <c r="S99" s="22">
        <v>0.34787000000000001</v>
      </c>
      <c r="T99">
        <f t="shared" si="14"/>
        <v>17.752099999999999</v>
      </c>
      <c r="U99">
        <f t="shared" si="15"/>
        <v>6.1813877326000002</v>
      </c>
      <c r="X99" s="9"/>
      <c r="Y99" s="22">
        <v>1.35178</v>
      </c>
      <c r="Z99" s="22">
        <v>234.143</v>
      </c>
      <c r="AA99" s="22">
        <v>-1.6583299999999999E-2</v>
      </c>
      <c r="AB99" s="22">
        <v>89</v>
      </c>
      <c r="AC99" s="22">
        <v>1.3507100000000001</v>
      </c>
      <c r="AD99">
        <f t="shared" si="16"/>
        <v>16.583299999999998</v>
      </c>
      <c r="AE99">
        <f t="shared" si="17"/>
        <v>22.416973273999997</v>
      </c>
      <c r="AF99" s="9"/>
      <c r="AG99" s="22">
        <v>0.34820600000000002</v>
      </c>
      <c r="AH99" s="22">
        <v>388.57900000000001</v>
      </c>
      <c r="AI99" s="22">
        <v>-1.7706300000000001E-2</v>
      </c>
      <c r="AJ99" s="22">
        <v>89</v>
      </c>
      <c r="AK99" s="22">
        <v>0.34762599999999999</v>
      </c>
      <c r="AL99">
        <f t="shared" si="18"/>
        <v>17.706300000000002</v>
      </c>
      <c r="AM99">
        <f t="shared" si="19"/>
        <v>6.1654398978000007</v>
      </c>
      <c r="AP99" s="9"/>
      <c r="AQ99" s="22">
        <v>1.35178</v>
      </c>
      <c r="AR99" s="22">
        <v>489.69</v>
      </c>
      <c r="AS99" s="22">
        <v>-1.64154E-2</v>
      </c>
      <c r="AT99" s="22">
        <v>89</v>
      </c>
      <c r="AU99" s="22">
        <v>1.3507100000000001</v>
      </c>
      <c r="AV99">
        <f t="shared" si="20"/>
        <v>16.415400000000002</v>
      </c>
      <c r="AW99">
        <f t="shared" si="21"/>
        <v>22.190009412000002</v>
      </c>
      <c r="AX99" s="9"/>
      <c r="AY99" s="22">
        <v>0.34820600000000002</v>
      </c>
      <c r="AZ99" s="22">
        <v>561.94399999999996</v>
      </c>
      <c r="BA99" s="22">
        <v>-1.7687999999999999E-2</v>
      </c>
      <c r="BB99" s="22">
        <v>89</v>
      </c>
      <c r="BC99" s="22">
        <v>0.34762599999999999</v>
      </c>
      <c r="BD99">
        <f t="shared" si="22"/>
        <v>17.687999999999999</v>
      </c>
      <c r="BE99">
        <f t="shared" si="23"/>
        <v>6.1590677280000001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82.729900000000001</v>
      </c>
      <c r="I100" s="22">
        <v>-1.6351299999999999E-2</v>
      </c>
      <c r="J100" s="22">
        <v>90</v>
      </c>
      <c r="K100" s="22">
        <v>1.34552</v>
      </c>
      <c r="L100">
        <f t="shared" si="12"/>
        <v>16.351299999999998</v>
      </c>
      <c r="M100">
        <f t="shared" si="13"/>
        <v>22.020949761999997</v>
      </c>
      <c r="N100" s="9"/>
      <c r="O100" s="22">
        <v>0.35324100000000003</v>
      </c>
      <c r="P100" s="22">
        <v>148.69</v>
      </c>
      <c r="Q100" s="22">
        <v>-1.7746000000000001E-2</v>
      </c>
      <c r="R100" s="22">
        <v>90</v>
      </c>
      <c r="S100" s="22">
        <v>0.35275299999999998</v>
      </c>
      <c r="T100">
        <f t="shared" si="14"/>
        <v>17.746000000000002</v>
      </c>
      <c r="U100">
        <f t="shared" si="15"/>
        <v>6.2686147860000014</v>
      </c>
      <c r="X100" s="9"/>
      <c r="Y100" s="22">
        <v>1.34674</v>
      </c>
      <c r="Z100" s="22">
        <v>234.24299999999999</v>
      </c>
      <c r="AA100" s="22">
        <v>-1.6583299999999999E-2</v>
      </c>
      <c r="AB100" s="22">
        <v>90</v>
      </c>
      <c r="AC100" s="22">
        <v>1.34613</v>
      </c>
      <c r="AD100">
        <f t="shared" si="16"/>
        <v>16.583299999999998</v>
      </c>
      <c r="AE100">
        <f t="shared" si="17"/>
        <v>22.333393441999998</v>
      </c>
      <c r="AF100" s="9"/>
      <c r="AG100" s="22">
        <v>0.35324100000000003</v>
      </c>
      <c r="AH100" s="22">
        <v>388.68</v>
      </c>
      <c r="AI100" s="22">
        <v>-1.77094E-2</v>
      </c>
      <c r="AJ100" s="22">
        <v>90</v>
      </c>
      <c r="AK100" s="22">
        <v>0.35263100000000003</v>
      </c>
      <c r="AL100">
        <f t="shared" si="18"/>
        <v>17.709399999999999</v>
      </c>
      <c r="AM100">
        <f t="shared" si="19"/>
        <v>6.2556861654000002</v>
      </c>
      <c r="AP100" s="9"/>
      <c r="AQ100" s="22">
        <v>1.34674</v>
      </c>
      <c r="AR100" s="22">
        <v>489.791</v>
      </c>
      <c r="AS100" s="22">
        <v>-1.6418499999999999E-2</v>
      </c>
      <c r="AT100" s="22">
        <v>90</v>
      </c>
      <c r="AU100" s="22">
        <v>1.3458300000000001</v>
      </c>
      <c r="AV100">
        <f t="shared" si="20"/>
        <v>16.418499999999998</v>
      </c>
      <c r="AW100">
        <f t="shared" si="21"/>
        <v>22.111450689999998</v>
      </c>
      <c r="AX100" s="9"/>
      <c r="AY100" s="22">
        <v>0.35324100000000003</v>
      </c>
      <c r="AZ100" s="22">
        <v>562.04499999999996</v>
      </c>
      <c r="BA100" s="22">
        <v>-1.76819E-2</v>
      </c>
      <c r="BB100" s="22">
        <v>90</v>
      </c>
      <c r="BC100" s="22">
        <v>0.35263100000000003</v>
      </c>
      <c r="BD100">
        <f t="shared" si="22"/>
        <v>17.681899999999999</v>
      </c>
      <c r="BE100">
        <f t="shared" si="23"/>
        <v>6.2459720378999997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82.830699999999993</v>
      </c>
      <c r="I101" s="22">
        <v>-1.6357400000000001E-2</v>
      </c>
      <c r="J101" s="22">
        <v>91</v>
      </c>
      <c r="K101" s="22">
        <v>1.34033</v>
      </c>
      <c r="L101">
        <f t="shared" si="12"/>
        <v>16.357400000000002</v>
      </c>
      <c r="M101">
        <f t="shared" si="13"/>
        <v>21.946887154000002</v>
      </c>
      <c r="N101" s="9"/>
      <c r="O101" s="22">
        <v>0.35827599999999998</v>
      </c>
      <c r="P101" s="22">
        <v>148.791</v>
      </c>
      <c r="Q101" s="22">
        <v>-1.7742899999999999E-2</v>
      </c>
      <c r="R101" s="22">
        <v>91</v>
      </c>
      <c r="S101" s="22">
        <v>0.35760500000000001</v>
      </c>
      <c r="T101">
        <f t="shared" si="14"/>
        <v>17.742899999999999</v>
      </c>
      <c r="U101">
        <f t="shared" si="15"/>
        <v>6.3568552403999989</v>
      </c>
      <c r="X101" s="9"/>
      <c r="Y101" s="22">
        <v>1.34171</v>
      </c>
      <c r="Z101" s="22">
        <v>234.34399999999999</v>
      </c>
      <c r="AA101" s="22">
        <v>-1.6595499999999999E-2</v>
      </c>
      <c r="AB101" s="22">
        <v>91</v>
      </c>
      <c r="AC101" s="22">
        <v>1.3412500000000001</v>
      </c>
      <c r="AD101">
        <f t="shared" si="16"/>
        <v>16.595499999999998</v>
      </c>
      <c r="AE101">
        <f t="shared" si="17"/>
        <v>22.266348304999998</v>
      </c>
      <c r="AF101" s="9"/>
      <c r="AG101" s="22">
        <v>0.35827599999999998</v>
      </c>
      <c r="AH101" s="22">
        <v>388.78100000000001</v>
      </c>
      <c r="AI101" s="22">
        <v>-1.7700199999999999E-2</v>
      </c>
      <c r="AJ101" s="22">
        <v>91</v>
      </c>
      <c r="AK101" s="22">
        <v>0.35769699999999999</v>
      </c>
      <c r="AL101">
        <f t="shared" si="18"/>
        <v>17.700199999999999</v>
      </c>
      <c r="AM101">
        <f t="shared" si="19"/>
        <v>6.3415568551999995</v>
      </c>
      <c r="AP101" s="9"/>
      <c r="AQ101" s="22">
        <v>1.34171</v>
      </c>
      <c r="AR101" s="22">
        <v>489.89100000000002</v>
      </c>
      <c r="AS101" s="22">
        <v>-1.6430699999999999E-2</v>
      </c>
      <c r="AT101" s="22">
        <v>91</v>
      </c>
      <c r="AU101" s="22">
        <v>1.34155</v>
      </c>
      <c r="AV101">
        <f t="shared" si="20"/>
        <v>16.430699999999998</v>
      </c>
      <c r="AW101">
        <f t="shared" si="21"/>
        <v>22.045234496999996</v>
      </c>
      <c r="AX101" s="9"/>
      <c r="AY101" s="22">
        <v>0.35827599999999998</v>
      </c>
      <c r="AZ101" s="22">
        <v>562.14599999999996</v>
      </c>
      <c r="BA101" s="22">
        <v>-1.7687999999999999E-2</v>
      </c>
      <c r="BB101" s="22">
        <v>91</v>
      </c>
      <c r="BC101" s="22">
        <v>0.35778799999999999</v>
      </c>
      <c r="BD101">
        <f t="shared" si="22"/>
        <v>17.687999999999999</v>
      </c>
      <c r="BE101">
        <f t="shared" si="23"/>
        <v>6.3371858879999996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82.931399999999996</v>
      </c>
      <c r="I102" s="22">
        <v>-1.6366599999999999E-2</v>
      </c>
      <c r="J102" s="22">
        <v>92</v>
      </c>
      <c r="K102" s="22">
        <v>1.33575</v>
      </c>
      <c r="L102">
        <f t="shared" si="12"/>
        <v>16.366599999999998</v>
      </c>
      <c r="M102">
        <f t="shared" si="13"/>
        <v>21.876743221999998</v>
      </c>
      <c r="N102" s="9"/>
      <c r="O102" s="22">
        <v>0.36331200000000002</v>
      </c>
      <c r="P102" s="22">
        <v>148.89099999999999</v>
      </c>
      <c r="Q102" s="22">
        <v>-1.7746000000000001E-2</v>
      </c>
      <c r="R102" s="22">
        <v>92</v>
      </c>
      <c r="S102" s="22">
        <v>0.36285400000000001</v>
      </c>
      <c r="T102">
        <f t="shared" si="14"/>
        <v>17.746000000000002</v>
      </c>
      <c r="U102">
        <f t="shared" si="15"/>
        <v>6.4473347520000015</v>
      </c>
      <c r="X102" s="9"/>
      <c r="Y102" s="22">
        <v>1.33667</v>
      </c>
      <c r="Z102" s="22">
        <v>234.44499999999999</v>
      </c>
      <c r="AA102" s="22">
        <v>-1.66077E-2</v>
      </c>
      <c r="AB102" s="22">
        <v>92</v>
      </c>
      <c r="AC102" s="22">
        <v>1.33606</v>
      </c>
      <c r="AD102">
        <f t="shared" si="16"/>
        <v>16.607700000000001</v>
      </c>
      <c r="AE102">
        <f t="shared" si="17"/>
        <v>22.199014359000003</v>
      </c>
      <c r="AF102" s="9"/>
      <c r="AG102" s="22">
        <v>0.36331200000000002</v>
      </c>
      <c r="AH102" s="22">
        <v>388.88200000000001</v>
      </c>
      <c r="AI102" s="22">
        <v>-1.76971E-2</v>
      </c>
      <c r="AJ102" s="22">
        <v>92</v>
      </c>
      <c r="AK102" s="22">
        <v>0.36245699999999997</v>
      </c>
      <c r="AL102">
        <f t="shared" si="18"/>
        <v>17.697099999999999</v>
      </c>
      <c r="AM102">
        <f t="shared" si="19"/>
        <v>6.4295687951999998</v>
      </c>
      <c r="AP102" s="9"/>
      <c r="AQ102" s="22">
        <v>1.33667</v>
      </c>
      <c r="AR102" s="22">
        <v>489.99200000000002</v>
      </c>
      <c r="AS102" s="22">
        <v>-1.6439800000000001E-2</v>
      </c>
      <c r="AT102" s="22">
        <v>92</v>
      </c>
      <c r="AU102" s="22">
        <v>1.33575</v>
      </c>
      <c r="AV102">
        <f t="shared" si="20"/>
        <v>16.439800000000002</v>
      </c>
      <c r="AW102">
        <f t="shared" si="21"/>
        <v>21.974587466000003</v>
      </c>
      <c r="AX102" s="9"/>
      <c r="AY102" s="22">
        <v>0.36331200000000002</v>
      </c>
      <c r="AZ102" s="22">
        <v>562.24599999999998</v>
      </c>
      <c r="BA102" s="22">
        <v>-1.7675799999999998E-2</v>
      </c>
      <c r="BB102" s="22">
        <v>92</v>
      </c>
      <c r="BC102" s="22">
        <v>0.36264000000000002</v>
      </c>
      <c r="BD102">
        <f t="shared" si="22"/>
        <v>17.675799999999999</v>
      </c>
      <c r="BE102">
        <f t="shared" si="23"/>
        <v>6.4218302496000002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83.0321</v>
      </c>
      <c r="I103" s="22">
        <v>-1.6366599999999999E-2</v>
      </c>
      <c r="J103" s="22">
        <v>93</v>
      </c>
      <c r="K103" s="22">
        <v>1.33087</v>
      </c>
      <c r="L103">
        <f t="shared" si="12"/>
        <v>16.366599999999998</v>
      </c>
      <c r="M103">
        <f t="shared" si="13"/>
        <v>21.794255558</v>
      </c>
      <c r="N103" s="9"/>
      <c r="O103" s="22">
        <v>0.36834699999999998</v>
      </c>
      <c r="P103" s="22">
        <v>148.99199999999999</v>
      </c>
      <c r="Q103" s="22">
        <v>-1.7742899999999999E-2</v>
      </c>
      <c r="R103" s="22">
        <v>93</v>
      </c>
      <c r="S103" s="22">
        <v>0.36770599999999998</v>
      </c>
      <c r="T103">
        <f t="shared" si="14"/>
        <v>17.742899999999999</v>
      </c>
      <c r="U103">
        <f t="shared" si="15"/>
        <v>6.5355439862999996</v>
      </c>
      <c r="X103" s="9"/>
      <c r="Y103" s="22">
        <v>1.3316300000000001</v>
      </c>
      <c r="Z103" s="22">
        <v>234.54599999999999</v>
      </c>
      <c r="AA103" s="22">
        <v>-1.6610699999999999E-2</v>
      </c>
      <c r="AB103" s="22">
        <v>93</v>
      </c>
      <c r="AC103" s="22">
        <v>1.33118</v>
      </c>
      <c r="AD103">
        <f t="shared" si="16"/>
        <v>16.610699999999998</v>
      </c>
      <c r="AE103">
        <f t="shared" si="17"/>
        <v>22.119306440999999</v>
      </c>
      <c r="AF103" s="9"/>
      <c r="AG103" s="22">
        <v>0.36834699999999998</v>
      </c>
      <c r="AH103" s="22">
        <v>388.98200000000003</v>
      </c>
      <c r="AI103" s="22">
        <v>-1.76971E-2</v>
      </c>
      <c r="AJ103" s="22">
        <v>93</v>
      </c>
      <c r="AK103" s="22">
        <v>0.36770599999999998</v>
      </c>
      <c r="AL103">
        <f t="shared" si="18"/>
        <v>17.697099999999999</v>
      </c>
      <c r="AM103">
        <f t="shared" si="19"/>
        <v>6.5186736936999994</v>
      </c>
      <c r="AP103" s="9"/>
      <c r="AQ103" s="22">
        <v>1.3316300000000001</v>
      </c>
      <c r="AR103" s="22">
        <v>490.09300000000002</v>
      </c>
      <c r="AS103" s="22">
        <v>-1.6452000000000001E-2</v>
      </c>
      <c r="AT103" s="22">
        <v>93</v>
      </c>
      <c r="AU103" s="22">
        <v>1.33087</v>
      </c>
      <c r="AV103">
        <f t="shared" si="20"/>
        <v>16.452000000000002</v>
      </c>
      <c r="AW103">
        <f t="shared" si="21"/>
        <v>21.907976760000004</v>
      </c>
      <c r="AX103" s="9"/>
      <c r="AY103" s="22">
        <v>0.36834699999999998</v>
      </c>
      <c r="AZ103" s="22">
        <v>562.34699999999998</v>
      </c>
      <c r="BA103" s="22">
        <v>-1.7678800000000001E-2</v>
      </c>
      <c r="BB103" s="22">
        <v>93</v>
      </c>
      <c r="BC103" s="22">
        <v>0.36776700000000001</v>
      </c>
      <c r="BD103">
        <f t="shared" si="22"/>
        <v>17.678800000000003</v>
      </c>
      <c r="BE103">
        <f t="shared" si="23"/>
        <v>6.5119329436000006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83.132800000000003</v>
      </c>
      <c r="I104" s="22">
        <v>-1.6381799999999998E-2</v>
      </c>
      <c r="J104" s="22">
        <v>94</v>
      </c>
      <c r="K104" s="22">
        <v>1.32599</v>
      </c>
      <c r="L104">
        <f t="shared" si="12"/>
        <v>16.381799999999998</v>
      </c>
      <c r="M104">
        <f t="shared" si="13"/>
        <v>21.732095879999999</v>
      </c>
      <c r="N104" s="9"/>
      <c r="O104" s="22">
        <v>0.37338300000000002</v>
      </c>
      <c r="P104" s="22">
        <v>149.09299999999999</v>
      </c>
      <c r="Q104" s="22">
        <v>-1.77246E-2</v>
      </c>
      <c r="R104" s="22">
        <v>94</v>
      </c>
      <c r="S104" s="22">
        <v>0.37268099999999998</v>
      </c>
      <c r="T104">
        <f t="shared" si="14"/>
        <v>17.724599999999999</v>
      </c>
      <c r="U104">
        <f t="shared" si="15"/>
        <v>6.6180643217999995</v>
      </c>
      <c r="X104" s="9"/>
      <c r="Y104" s="22">
        <v>1.3266</v>
      </c>
      <c r="Z104" s="22">
        <v>234.64599999999999</v>
      </c>
      <c r="AA104" s="22">
        <v>-1.6625999999999998E-2</v>
      </c>
      <c r="AB104" s="22">
        <v>94</v>
      </c>
      <c r="AC104" s="22">
        <v>1.32568</v>
      </c>
      <c r="AD104">
        <f t="shared" si="16"/>
        <v>16.625999999999998</v>
      </c>
      <c r="AE104">
        <f t="shared" si="17"/>
        <v>22.056051599999996</v>
      </c>
      <c r="AF104" s="9"/>
      <c r="AG104" s="22">
        <v>0.37338300000000002</v>
      </c>
      <c r="AH104" s="22">
        <v>389.08300000000003</v>
      </c>
      <c r="AI104" s="22">
        <v>-1.7690999999999998E-2</v>
      </c>
      <c r="AJ104" s="22">
        <v>94</v>
      </c>
      <c r="AK104" s="22">
        <v>0.37277199999999999</v>
      </c>
      <c r="AL104">
        <f t="shared" si="18"/>
        <v>17.690999999999999</v>
      </c>
      <c r="AM104">
        <f t="shared" si="19"/>
        <v>6.6055186529999999</v>
      </c>
      <c r="AP104" s="9"/>
      <c r="AQ104" s="22">
        <v>1.3266</v>
      </c>
      <c r="AR104" s="22">
        <v>490.19400000000002</v>
      </c>
      <c r="AS104" s="22">
        <v>-1.6445899999999999E-2</v>
      </c>
      <c r="AT104" s="22">
        <v>94</v>
      </c>
      <c r="AU104" s="22">
        <v>1.32629</v>
      </c>
      <c r="AV104">
        <f t="shared" si="20"/>
        <v>16.445899999999998</v>
      </c>
      <c r="AW104">
        <f t="shared" si="21"/>
        <v>21.817130939999998</v>
      </c>
      <c r="AX104" s="9"/>
      <c r="AY104" s="22">
        <v>0.37338300000000002</v>
      </c>
      <c r="AZ104" s="22">
        <v>562.44799999999998</v>
      </c>
      <c r="BA104" s="22">
        <v>-1.76697E-2</v>
      </c>
      <c r="BB104" s="22">
        <v>94</v>
      </c>
      <c r="BC104" s="22">
        <v>0.37277199999999999</v>
      </c>
      <c r="BD104">
        <f t="shared" si="22"/>
        <v>17.669699999999999</v>
      </c>
      <c r="BE104">
        <f t="shared" si="23"/>
        <v>6.5975655950999998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83.233500000000006</v>
      </c>
      <c r="I105" s="22">
        <v>-1.63879E-2</v>
      </c>
      <c r="J105" s="22">
        <v>95</v>
      </c>
      <c r="K105" s="22">
        <v>1.32141</v>
      </c>
      <c r="L105">
        <f t="shared" si="12"/>
        <v>16.387900000000002</v>
      </c>
      <c r="M105">
        <f t="shared" si="13"/>
        <v>21.657593124000005</v>
      </c>
      <c r="N105" s="9"/>
      <c r="O105" s="22">
        <v>0.37841799999999998</v>
      </c>
      <c r="P105" s="22">
        <v>149.19399999999999</v>
      </c>
      <c r="Q105" s="22">
        <v>-1.7730699999999999E-2</v>
      </c>
      <c r="R105" s="22">
        <v>95</v>
      </c>
      <c r="S105" s="22">
        <v>0.37789899999999998</v>
      </c>
      <c r="T105">
        <f t="shared" si="14"/>
        <v>17.730699999999999</v>
      </c>
      <c r="U105">
        <f t="shared" si="15"/>
        <v>6.7096160325999987</v>
      </c>
      <c r="X105" s="9"/>
      <c r="Y105" s="22">
        <v>1.3215600000000001</v>
      </c>
      <c r="Z105" s="22">
        <v>234.74700000000001</v>
      </c>
      <c r="AA105" s="22">
        <v>-1.66351E-2</v>
      </c>
      <c r="AB105" s="22">
        <v>95</v>
      </c>
      <c r="AC105" s="22">
        <v>1.3208</v>
      </c>
      <c r="AD105">
        <f t="shared" si="16"/>
        <v>16.635100000000001</v>
      </c>
      <c r="AE105">
        <f t="shared" si="17"/>
        <v>21.984282756000002</v>
      </c>
      <c r="AF105" s="9"/>
      <c r="AG105" s="22">
        <v>0.37841799999999998</v>
      </c>
      <c r="AH105" s="22">
        <v>389.18400000000003</v>
      </c>
      <c r="AI105" s="22">
        <v>-1.7690999999999998E-2</v>
      </c>
      <c r="AJ105" s="22">
        <v>95</v>
      </c>
      <c r="AK105" s="22">
        <v>0.37759399999999999</v>
      </c>
      <c r="AL105">
        <f t="shared" si="18"/>
        <v>17.690999999999999</v>
      </c>
      <c r="AM105">
        <f t="shared" si="19"/>
        <v>6.6945928379999993</v>
      </c>
      <c r="AP105" s="9"/>
      <c r="AQ105" s="22">
        <v>1.3215600000000001</v>
      </c>
      <c r="AR105" s="22">
        <v>490.29399999999998</v>
      </c>
      <c r="AS105" s="22">
        <v>-1.64703E-2</v>
      </c>
      <c r="AT105" s="22">
        <v>95</v>
      </c>
      <c r="AU105" s="22">
        <v>1.32111</v>
      </c>
      <c r="AV105">
        <f t="shared" si="20"/>
        <v>16.470300000000002</v>
      </c>
      <c r="AW105">
        <f t="shared" si="21"/>
        <v>21.766489668000002</v>
      </c>
      <c r="AX105" s="9"/>
      <c r="AY105" s="22">
        <v>0.37841799999999998</v>
      </c>
      <c r="AZ105" s="22">
        <v>562.548</v>
      </c>
      <c r="BA105" s="22">
        <v>-1.7663600000000002E-2</v>
      </c>
      <c r="BB105" s="22">
        <v>95</v>
      </c>
      <c r="BC105" s="22">
        <v>0.37783800000000001</v>
      </c>
      <c r="BD105">
        <f t="shared" si="22"/>
        <v>17.663600000000002</v>
      </c>
      <c r="BE105">
        <f t="shared" si="23"/>
        <v>6.6842241848000006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83.334199999999996</v>
      </c>
      <c r="I106" s="22">
        <v>-1.6393999999999999E-2</v>
      </c>
      <c r="J106" s="22">
        <v>96</v>
      </c>
      <c r="K106" s="22">
        <v>1.31592</v>
      </c>
      <c r="L106">
        <f t="shared" si="12"/>
        <v>16.393999999999998</v>
      </c>
      <c r="M106">
        <f t="shared" si="13"/>
        <v>21.583192819999997</v>
      </c>
      <c r="N106" s="9"/>
      <c r="O106" s="22">
        <v>0.38345299999999999</v>
      </c>
      <c r="P106" s="22">
        <v>149.29400000000001</v>
      </c>
      <c r="Q106" s="22">
        <v>-1.7721600000000001E-2</v>
      </c>
      <c r="R106" s="22">
        <v>96</v>
      </c>
      <c r="S106" s="22">
        <v>0.38250699999999999</v>
      </c>
      <c r="T106">
        <f t="shared" si="14"/>
        <v>17.721600000000002</v>
      </c>
      <c r="U106">
        <f t="shared" si="15"/>
        <v>6.7954006848000006</v>
      </c>
      <c r="X106" s="9"/>
      <c r="Y106" s="22">
        <v>1.31653</v>
      </c>
      <c r="Z106" s="22">
        <v>234.84800000000001</v>
      </c>
      <c r="AA106" s="22">
        <v>-1.6625999999999998E-2</v>
      </c>
      <c r="AB106" s="22">
        <v>96</v>
      </c>
      <c r="AC106" s="22">
        <v>1.3156099999999999</v>
      </c>
      <c r="AD106">
        <f t="shared" si="16"/>
        <v>16.625999999999998</v>
      </c>
      <c r="AE106">
        <f t="shared" si="17"/>
        <v>21.888627779999997</v>
      </c>
      <c r="AF106" s="9"/>
      <c r="AG106" s="22">
        <v>0.38345299999999999</v>
      </c>
      <c r="AH106" s="22">
        <v>389.28399999999999</v>
      </c>
      <c r="AI106" s="22">
        <v>-1.76849E-2</v>
      </c>
      <c r="AJ106" s="22">
        <v>96</v>
      </c>
      <c r="AK106" s="22">
        <v>0.38293500000000003</v>
      </c>
      <c r="AL106">
        <f t="shared" si="18"/>
        <v>17.684899999999999</v>
      </c>
      <c r="AM106">
        <f t="shared" si="19"/>
        <v>6.7813279596999996</v>
      </c>
      <c r="AP106" s="9"/>
      <c r="AQ106" s="22">
        <v>1.31653</v>
      </c>
      <c r="AR106" s="22">
        <v>490.39499999999998</v>
      </c>
      <c r="AS106" s="22">
        <v>-1.6482500000000001E-2</v>
      </c>
      <c r="AT106" s="22">
        <v>96</v>
      </c>
      <c r="AU106" s="22">
        <v>1.3156099999999999</v>
      </c>
      <c r="AV106">
        <f t="shared" si="20"/>
        <v>16.482500000000002</v>
      </c>
      <c r="AW106">
        <f t="shared" si="21"/>
        <v>21.699705725000001</v>
      </c>
      <c r="AX106" s="9"/>
      <c r="AY106" s="22">
        <v>0.38345299999999999</v>
      </c>
      <c r="AZ106" s="22">
        <v>562.649</v>
      </c>
      <c r="BA106" s="22">
        <v>-1.7660499999999999E-2</v>
      </c>
      <c r="BB106" s="22">
        <v>96</v>
      </c>
      <c r="BC106" s="22">
        <v>0.38287399999999999</v>
      </c>
      <c r="BD106">
        <f t="shared" si="22"/>
        <v>17.660499999999999</v>
      </c>
      <c r="BE106">
        <f t="shared" si="23"/>
        <v>6.7719717064999996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83.434899999999999</v>
      </c>
      <c r="I107" s="22">
        <v>-1.6400100000000001E-2</v>
      </c>
      <c r="J107" s="22">
        <v>97</v>
      </c>
      <c r="K107" s="22">
        <v>1.31073</v>
      </c>
      <c r="L107">
        <f t="shared" si="12"/>
        <v>16.400100000000002</v>
      </c>
      <c r="M107">
        <f t="shared" si="13"/>
        <v>21.508567149000005</v>
      </c>
      <c r="N107" s="9"/>
      <c r="O107" s="22">
        <v>0.38848899999999997</v>
      </c>
      <c r="P107" s="22">
        <v>149.39500000000001</v>
      </c>
      <c r="Q107" s="22">
        <v>-1.7715499999999999E-2</v>
      </c>
      <c r="R107" s="22">
        <v>97</v>
      </c>
      <c r="S107" s="22">
        <v>0.38775599999999999</v>
      </c>
      <c r="T107">
        <f t="shared" si="14"/>
        <v>17.715499999999999</v>
      </c>
      <c r="U107">
        <f t="shared" si="15"/>
        <v>6.8822768794999991</v>
      </c>
      <c r="X107" s="9"/>
      <c r="Y107" s="22">
        <v>1.31149</v>
      </c>
      <c r="Z107" s="22">
        <v>234.94800000000001</v>
      </c>
      <c r="AA107" s="22">
        <v>-1.6638199999999999E-2</v>
      </c>
      <c r="AB107" s="22">
        <v>97</v>
      </c>
      <c r="AC107" s="22">
        <v>1.3104199999999999</v>
      </c>
      <c r="AD107">
        <f t="shared" si="16"/>
        <v>16.638199999999998</v>
      </c>
      <c r="AE107">
        <f t="shared" si="17"/>
        <v>21.820832917999997</v>
      </c>
      <c r="AF107" s="9"/>
      <c r="AG107" s="22">
        <v>0.38848899999999997</v>
      </c>
      <c r="AH107" s="22">
        <v>389.38499999999999</v>
      </c>
      <c r="AI107" s="22">
        <v>-1.76727E-2</v>
      </c>
      <c r="AJ107" s="22">
        <v>97</v>
      </c>
      <c r="AK107" s="22">
        <v>0.38778699999999999</v>
      </c>
      <c r="AL107">
        <f t="shared" si="18"/>
        <v>17.672699999999999</v>
      </c>
      <c r="AM107">
        <f t="shared" si="19"/>
        <v>6.8656495502999988</v>
      </c>
      <c r="AP107" s="9"/>
      <c r="AQ107" s="22">
        <v>1.31149</v>
      </c>
      <c r="AR107" s="22">
        <v>490.49599999999998</v>
      </c>
      <c r="AS107" s="22">
        <v>-1.6473399999999999E-2</v>
      </c>
      <c r="AT107" s="22">
        <v>97</v>
      </c>
      <c r="AU107" s="22">
        <v>1.31073</v>
      </c>
      <c r="AV107">
        <f t="shared" si="20"/>
        <v>16.473399999999998</v>
      </c>
      <c r="AW107">
        <f t="shared" si="21"/>
        <v>21.604699365999998</v>
      </c>
      <c r="AX107" s="9"/>
      <c r="AY107" s="22">
        <v>0.38848899999999997</v>
      </c>
      <c r="AZ107" s="22">
        <v>562.75</v>
      </c>
      <c r="BA107" s="22">
        <v>-1.7651400000000001E-2</v>
      </c>
      <c r="BB107" s="22">
        <v>97</v>
      </c>
      <c r="BC107" s="22">
        <v>0.38793899999999998</v>
      </c>
      <c r="BD107">
        <f t="shared" si="22"/>
        <v>17.651400000000002</v>
      </c>
      <c r="BE107">
        <f t="shared" si="23"/>
        <v>6.8573747346000005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83.535600000000002</v>
      </c>
      <c r="I108" s="22">
        <v>-1.6406299999999999E-2</v>
      </c>
      <c r="J108" s="22">
        <v>98</v>
      </c>
      <c r="K108" s="22">
        <v>1.3055399999999999</v>
      </c>
      <c r="L108">
        <f t="shared" si="12"/>
        <v>16.406299999999998</v>
      </c>
      <c r="M108">
        <f t="shared" si="13"/>
        <v>21.434174697999996</v>
      </c>
      <c r="N108" s="9"/>
      <c r="O108" s="22">
        <v>0.39352399999999998</v>
      </c>
      <c r="P108" s="22">
        <v>149.49600000000001</v>
      </c>
      <c r="Q108" s="22">
        <v>-1.7715499999999999E-2</v>
      </c>
      <c r="R108" s="22">
        <v>98</v>
      </c>
      <c r="S108" s="22">
        <v>0.39288299999999998</v>
      </c>
      <c r="T108">
        <f t="shared" si="14"/>
        <v>17.715499999999999</v>
      </c>
      <c r="U108">
        <f t="shared" si="15"/>
        <v>6.9714744219999991</v>
      </c>
      <c r="X108" s="9"/>
      <c r="Y108" s="22">
        <v>1.30646</v>
      </c>
      <c r="Z108" s="22">
        <v>235.04900000000001</v>
      </c>
      <c r="AA108" s="22">
        <v>-1.6644300000000001E-2</v>
      </c>
      <c r="AB108" s="22">
        <v>98</v>
      </c>
      <c r="AC108" s="22">
        <v>1.3055399999999999</v>
      </c>
      <c r="AD108">
        <f t="shared" si="16"/>
        <v>16.644300000000001</v>
      </c>
      <c r="AE108">
        <f t="shared" si="17"/>
        <v>21.745112177999999</v>
      </c>
      <c r="AF108" s="9"/>
      <c r="AG108" s="22">
        <v>0.39352399999999998</v>
      </c>
      <c r="AH108" s="22">
        <v>389.48599999999999</v>
      </c>
      <c r="AI108" s="22">
        <v>-1.76727E-2</v>
      </c>
      <c r="AJ108" s="22">
        <v>98</v>
      </c>
      <c r="AK108" s="22">
        <v>0.39288299999999998</v>
      </c>
      <c r="AL108">
        <f t="shared" si="18"/>
        <v>17.672699999999999</v>
      </c>
      <c r="AM108">
        <f t="shared" si="19"/>
        <v>6.9546315947999995</v>
      </c>
      <c r="AP108" s="9"/>
      <c r="AQ108" s="22">
        <v>1.30646</v>
      </c>
      <c r="AR108" s="22">
        <v>490.596</v>
      </c>
      <c r="AS108" s="22">
        <v>-1.6482500000000001E-2</v>
      </c>
      <c r="AT108" s="22">
        <v>98</v>
      </c>
      <c r="AU108" s="22">
        <v>1.3055399999999999</v>
      </c>
      <c r="AV108">
        <f t="shared" si="20"/>
        <v>16.482500000000002</v>
      </c>
      <c r="AW108">
        <f t="shared" si="21"/>
        <v>21.533726950000002</v>
      </c>
      <c r="AX108" s="9"/>
      <c r="AY108" s="22">
        <v>0.39352399999999998</v>
      </c>
      <c r="AZ108" s="22">
        <v>562.851</v>
      </c>
      <c r="BA108" s="22">
        <v>-1.7651400000000001E-2</v>
      </c>
      <c r="BB108" s="22">
        <v>98</v>
      </c>
      <c r="BC108" s="22">
        <v>0.39294400000000002</v>
      </c>
      <c r="BD108">
        <f t="shared" si="22"/>
        <v>17.651400000000002</v>
      </c>
      <c r="BE108">
        <f t="shared" si="23"/>
        <v>6.9462495336000005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83.636300000000006</v>
      </c>
      <c r="I109" s="22">
        <v>-1.6409300000000002E-2</v>
      </c>
      <c r="J109" s="22">
        <v>99</v>
      </c>
      <c r="K109" s="22">
        <v>1.3006599999999999</v>
      </c>
      <c r="L109">
        <f t="shared" si="12"/>
        <v>16.409300000000002</v>
      </c>
      <c r="M109">
        <f t="shared" si="13"/>
        <v>21.355391206000004</v>
      </c>
      <c r="N109" s="9"/>
      <c r="O109" s="22">
        <v>0.39856000000000003</v>
      </c>
      <c r="P109" s="22">
        <v>149.596</v>
      </c>
      <c r="Q109" s="22">
        <v>-1.7715499999999999E-2</v>
      </c>
      <c r="R109" s="22">
        <v>99</v>
      </c>
      <c r="S109" s="22">
        <v>0.39800999999999997</v>
      </c>
      <c r="T109">
        <f t="shared" si="14"/>
        <v>17.715499999999999</v>
      </c>
      <c r="U109">
        <f t="shared" si="15"/>
        <v>7.0606896800000003</v>
      </c>
      <c r="X109" s="9"/>
      <c r="Y109" s="22">
        <v>1.30142</v>
      </c>
      <c r="Z109" s="22">
        <v>235.15</v>
      </c>
      <c r="AA109" s="22">
        <v>-1.6653399999999999E-2</v>
      </c>
      <c r="AB109" s="22">
        <v>99</v>
      </c>
      <c r="AC109" s="22">
        <v>1.3003499999999999</v>
      </c>
      <c r="AD109">
        <f t="shared" si="16"/>
        <v>16.653399999999998</v>
      </c>
      <c r="AE109">
        <f t="shared" si="17"/>
        <v>21.673067827999997</v>
      </c>
      <c r="AF109" s="9"/>
      <c r="AG109" s="22">
        <v>0.39856000000000003</v>
      </c>
      <c r="AH109" s="22">
        <v>389.58600000000001</v>
      </c>
      <c r="AI109" s="22">
        <v>-1.7660499999999999E-2</v>
      </c>
      <c r="AJ109" s="22">
        <v>99</v>
      </c>
      <c r="AK109" s="22">
        <v>0.39816299999999999</v>
      </c>
      <c r="AL109">
        <f t="shared" si="18"/>
        <v>17.660499999999999</v>
      </c>
      <c r="AM109">
        <f t="shared" si="19"/>
        <v>7.0387688800000001</v>
      </c>
      <c r="AP109" s="9"/>
      <c r="AQ109" s="22">
        <v>1.30142</v>
      </c>
      <c r="AR109" s="22">
        <v>490.697</v>
      </c>
      <c r="AS109" s="22">
        <v>-1.64978E-2</v>
      </c>
      <c r="AT109" s="22">
        <v>99</v>
      </c>
      <c r="AU109" s="22">
        <v>1.3006599999999999</v>
      </c>
      <c r="AV109">
        <f t="shared" si="20"/>
        <v>16.497800000000002</v>
      </c>
      <c r="AW109">
        <f t="shared" si="21"/>
        <v>21.470566876000003</v>
      </c>
      <c r="AX109" s="9"/>
      <c r="AY109" s="22">
        <v>0.39856000000000003</v>
      </c>
      <c r="AZ109" s="22">
        <v>562.95100000000002</v>
      </c>
      <c r="BA109" s="22">
        <v>-1.76422E-2</v>
      </c>
      <c r="BB109" s="22">
        <v>99</v>
      </c>
      <c r="BC109" s="22">
        <v>0.397949</v>
      </c>
      <c r="BD109">
        <f t="shared" si="22"/>
        <v>17.642199999999999</v>
      </c>
      <c r="BE109">
        <f t="shared" si="23"/>
        <v>7.031475232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83.736999999999995</v>
      </c>
      <c r="I110" s="22">
        <v>-1.6424600000000001E-2</v>
      </c>
      <c r="J110" s="22">
        <v>100</v>
      </c>
      <c r="K110" s="22">
        <v>1.2957799999999999</v>
      </c>
      <c r="L110">
        <f t="shared" si="12"/>
        <v>16.424600000000002</v>
      </c>
      <c r="M110">
        <f t="shared" si="13"/>
        <v>21.292687194000003</v>
      </c>
      <c r="N110" s="9"/>
      <c r="O110" s="22">
        <v>0.40359499999999998</v>
      </c>
      <c r="P110" s="22">
        <v>149.697</v>
      </c>
      <c r="Q110" s="22">
        <v>-1.7706300000000001E-2</v>
      </c>
      <c r="R110" s="22">
        <v>100</v>
      </c>
      <c r="S110" s="22">
        <v>0.40313700000000002</v>
      </c>
      <c r="T110">
        <f t="shared" si="14"/>
        <v>17.706300000000002</v>
      </c>
      <c r="U110">
        <f t="shared" si="15"/>
        <v>7.146174148500001</v>
      </c>
      <c r="X110" s="9"/>
      <c r="Y110" s="22">
        <v>1.2963899999999999</v>
      </c>
      <c r="Z110" s="22">
        <v>235.25</v>
      </c>
      <c r="AA110" s="22">
        <v>-1.6653399999999999E-2</v>
      </c>
      <c r="AB110" s="22">
        <v>100</v>
      </c>
      <c r="AC110" s="22">
        <v>1.2954699999999999</v>
      </c>
      <c r="AD110">
        <f t="shared" si="16"/>
        <v>16.653399999999998</v>
      </c>
      <c r="AE110">
        <f t="shared" si="17"/>
        <v>21.589301225999996</v>
      </c>
      <c r="AF110" s="9"/>
      <c r="AG110" s="22">
        <v>0.40359499999999998</v>
      </c>
      <c r="AH110" s="22">
        <v>389.68700000000001</v>
      </c>
      <c r="AI110" s="22">
        <v>-1.76575E-2</v>
      </c>
      <c r="AJ110" s="22">
        <v>100</v>
      </c>
      <c r="AK110" s="22">
        <v>0.40304600000000002</v>
      </c>
      <c r="AL110">
        <f t="shared" si="18"/>
        <v>17.657499999999999</v>
      </c>
      <c r="AM110">
        <f t="shared" si="19"/>
        <v>7.1264787124999991</v>
      </c>
      <c r="AP110" s="9"/>
      <c r="AQ110" s="22">
        <v>1.2963899999999999</v>
      </c>
      <c r="AR110" s="22">
        <v>490.798</v>
      </c>
      <c r="AS110" s="22">
        <v>-1.6488599999999999E-2</v>
      </c>
      <c r="AT110" s="22">
        <v>100</v>
      </c>
      <c r="AU110" s="22">
        <v>1.2957799999999999</v>
      </c>
      <c r="AV110">
        <f t="shared" si="20"/>
        <v>16.488599999999998</v>
      </c>
      <c r="AW110">
        <f t="shared" si="21"/>
        <v>21.375656153999998</v>
      </c>
      <c r="AX110" s="9"/>
      <c r="AY110" s="22">
        <v>0.40359499999999998</v>
      </c>
      <c r="AZ110" s="22">
        <v>563.05200000000002</v>
      </c>
      <c r="BA110" s="22">
        <v>-1.7633099999999999E-2</v>
      </c>
      <c r="BB110" s="22">
        <v>100</v>
      </c>
      <c r="BC110" s="22">
        <v>0.40307599999999999</v>
      </c>
      <c r="BD110">
        <f t="shared" si="22"/>
        <v>17.633099999999999</v>
      </c>
      <c r="BE110">
        <f t="shared" si="23"/>
        <v>7.1166309944999995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83.837699999999998</v>
      </c>
      <c r="I111" s="22">
        <v>-1.6433699999999999E-2</v>
      </c>
      <c r="J111" s="22">
        <v>101</v>
      </c>
      <c r="K111" s="22">
        <v>1.2905899999999999</v>
      </c>
      <c r="L111">
        <f t="shared" si="12"/>
        <v>16.433699999999998</v>
      </c>
      <c r="M111">
        <f t="shared" si="13"/>
        <v>21.221658494999996</v>
      </c>
      <c r="N111" s="9"/>
      <c r="O111" s="22">
        <v>0.40862999999999999</v>
      </c>
      <c r="P111" s="22">
        <v>149.798</v>
      </c>
      <c r="Q111" s="22">
        <v>-1.7703199999999999E-2</v>
      </c>
      <c r="R111" s="22">
        <v>101</v>
      </c>
      <c r="S111" s="22">
        <v>0.408142</v>
      </c>
      <c r="T111">
        <f t="shared" si="14"/>
        <v>17.703199999999999</v>
      </c>
      <c r="U111">
        <f t="shared" si="15"/>
        <v>7.2340586159999996</v>
      </c>
      <c r="X111" s="9"/>
      <c r="Y111" s="22">
        <v>1.29135</v>
      </c>
      <c r="Z111" s="22">
        <v>235.351</v>
      </c>
      <c r="AA111" s="22">
        <v>-1.6656500000000001E-2</v>
      </c>
      <c r="AB111" s="22">
        <v>101</v>
      </c>
      <c r="AC111" s="22">
        <v>1.2908900000000001</v>
      </c>
      <c r="AD111">
        <f t="shared" si="16"/>
        <v>16.656500000000001</v>
      </c>
      <c r="AE111">
        <f t="shared" si="17"/>
        <v>21.509371275000003</v>
      </c>
      <c r="AF111" s="9"/>
      <c r="AG111" s="22">
        <v>0.40862999999999999</v>
      </c>
      <c r="AH111" s="22">
        <v>389.78800000000001</v>
      </c>
      <c r="AI111" s="22">
        <v>-1.76575E-2</v>
      </c>
      <c r="AJ111" s="22">
        <v>101</v>
      </c>
      <c r="AK111" s="22">
        <v>0.40817300000000001</v>
      </c>
      <c r="AL111">
        <f t="shared" si="18"/>
        <v>17.657499999999999</v>
      </c>
      <c r="AM111">
        <f t="shared" si="19"/>
        <v>7.2153842249999993</v>
      </c>
      <c r="AP111" s="9"/>
      <c r="AQ111" s="22">
        <v>1.29135</v>
      </c>
      <c r="AR111" s="22">
        <v>490.899</v>
      </c>
      <c r="AS111" s="22">
        <v>-1.6503899999999998E-2</v>
      </c>
      <c r="AT111" s="22">
        <v>101</v>
      </c>
      <c r="AU111" s="22">
        <v>1.2905899999999999</v>
      </c>
      <c r="AV111">
        <f t="shared" si="20"/>
        <v>16.503899999999998</v>
      </c>
      <c r="AW111">
        <f t="shared" si="21"/>
        <v>21.312311264999998</v>
      </c>
      <c r="AX111" s="9"/>
      <c r="AY111" s="22">
        <v>0.40862999999999999</v>
      </c>
      <c r="AZ111" s="22">
        <v>563.15300000000002</v>
      </c>
      <c r="BA111" s="22">
        <v>-1.763E-2</v>
      </c>
      <c r="BB111" s="22">
        <v>101</v>
      </c>
      <c r="BC111" s="22">
        <v>0.40799000000000002</v>
      </c>
      <c r="BD111">
        <f t="shared" si="22"/>
        <v>17.63</v>
      </c>
      <c r="BE111">
        <f t="shared" si="23"/>
        <v>7.2041468999999996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83.938400000000001</v>
      </c>
      <c r="I112" s="22">
        <v>-1.64429E-2</v>
      </c>
      <c r="J112" s="22">
        <v>102</v>
      </c>
      <c r="K112" s="22">
        <v>1.2854000000000001</v>
      </c>
      <c r="L112">
        <f t="shared" si="12"/>
        <v>16.442900000000002</v>
      </c>
      <c r="M112">
        <f t="shared" si="13"/>
        <v>21.150831128</v>
      </c>
      <c r="N112" s="9"/>
      <c r="O112" s="22">
        <v>0.41366599999999998</v>
      </c>
      <c r="P112" s="22">
        <v>149.898</v>
      </c>
      <c r="Q112" s="22">
        <v>-1.76971E-2</v>
      </c>
      <c r="R112" s="22">
        <v>102</v>
      </c>
      <c r="S112" s="22">
        <v>0.41320800000000002</v>
      </c>
      <c r="T112">
        <f t="shared" si="14"/>
        <v>17.697099999999999</v>
      </c>
      <c r="U112">
        <f t="shared" si="15"/>
        <v>7.3206885685999996</v>
      </c>
      <c r="X112" s="9"/>
      <c r="Y112" s="22">
        <v>1.2863199999999999</v>
      </c>
      <c r="Z112" s="22">
        <v>235.452</v>
      </c>
      <c r="AA112" s="22">
        <v>-1.6668700000000002E-2</v>
      </c>
      <c r="AB112" s="22">
        <v>102</v>
      </c>
      <c r="AC112" s="22">
        <v>1.2857099999999999</v>
      </c>
      <c r="AD112">
        <f t="shared" si="16"/>
        <v>16.668700000000001</v>
      </c>
      <c r="AE112">
        <f t="shared" si="17"/>
        <v>21.441282183999999</v>
      </c>
      <c r="AF112" s="9"/>
      <c r="AG112" s="22">
        <v>0.41366599999999998</v>
      </c>
      <c r="AH112" s="22">
        <v>389.88900000000001</v>
      </c>
      <c r="AI112" s="22">
        <v>-1.7645299999999999E-2</v>
      </c>
      <c r="AJ112" s="22">
        <v>102</v>
      </c>
      <c r="AK112" s="22">
        <v>0.41275000000000001</v>
      </c>
      <c r="AL112">
        <f t="shared" si="18"/>
        <v>17.645299999999999</v>
      </c>
      <c r="AM112">
        <f t="shared" si="19"/>
        <v>7.2992606697999989</v>
      </c>
      <c r="AP112" s="9"/>
      <c r="AQ112" s="22">
        <v>1.2863199999999999</v>
      </c>
      <c r="AR112" s="22">
        <v>490.99900000000002</v>
      </c>
      <c r="AS112" s="22">
        <v>-1.651E-2</v>
      </c>
      <c r="AT112" s="22">
        <v>102</v>
      </c>
      <c r="AU112" s="22">
        <v>1.2854000000000001</v>
      </c>
      <c r="AV112">
        <f t="shared" si="20"/>
        <v>16.510000000000002</v>
      </c>
      <c r="AW112">
        <f t="shared" si="21"/>
        <v>21.237143200000002</v>
      </c>
      <c r="AX112" s="9"/>
      <c r="AY112" s="22">
        <v>0.41366599999999998</v>
      </c>
      <c r="AZ112" s="22">
        <v>563.25300000000004</v>
      </c>
      <c r="BA112" s="22">
        <v>-1.7623900000000001E-2</v>
      </c>
      <c r="BB112" s="22">
        <v>102</v>
      </c>
      <c r="BC112" s="22">
        <v>0.41305500000000001</v>
      </c>
      <c r="BD112">
        <f t="shared" si="22"/>
        <v>17.623900000000003</v>
      </c>
      <c r="BE112">
        <f t="shared" si="23"/>
        <v>7.2904082174000004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84.039100000000005</v>
      </c>
      <c r="I113" s="22">
        <v>-1.6445899999999999E-2</v>
      </c>
      <c r="J113" s="22">
        <v>103</v>
      </c>
      <c r="K113" s="22">
        <v>1.2802100000000001</v>
      </c>
      <c r="L113">
        <f t="shared" si="12"/>
        <v>16.445899999999998</v>
      </c>
      <c r="M113">
        <f t="shared" si="13"/>
        <v>21.071802751999996</v>
      </c>
      <c r="N113" s="9"/>
      <c r="O113" s="22">
        <v>0.41870099999999999</v>
      </c>
      <c r="P113" s="22">
        <v>149.999</v>
      </c>
      <c r="Q113" s="22">
        <v>-1.7690999999999998E-2</v>
      </c>
      <c r="R113" s="22">
        <v>103</v>
      </c>
      <c r="S113" s="22">
        <v>0.41803000000000001</v>
      </c>
      <c r="T113">
        <f t="shared" si="14"/>
        <v>17.690999999999999</v>
      </c>
      <c r="U113">
        <f t="shared" si="15"/>
        <v>7.4072393909999992</v>
      </c>
      <c r="X113" s="9"/>
      <c r="Y113" s="22">
        <v>1.28128</v>
      </c>
      <c r="Z113" s="22">
        <v>235.553</v>
      </c>
      <c r="AA113" s="22">
        <v>-1.66748E-2</v>
      </c>
      <c r="AB113" s="22">
        <v>103</v>
      </c>
      <c r="AC113" s="22">
        <v>1.2808200000000001</v>
      </c>
      <c r="AD113">
        <f t="shared" si="16"/>
        <v>16.674800000000001</v>
      </c>
      <c r="AE113">
        <f t="shared" si="17"/>
        <v>21.365087744</v>
      </c>
      <c r="AF113" s="9"/>
      <c r="AG113" s="22">
        <v>0.41870099999999999</v>
      </c>
      <c r="AH113" s="22">
        <v>389.98899999999998</v>
      </c>
      <c r="AI113" s="22">
        <v>-1.7645299999999999E-2</v>
      </c>
      <c r="AJ113" s="22">
        <v>103</v>
      </c>
      <c r="AK113" s="22">
        <v>0.41793799999999998</v>
      </c>
      <c r="AL113">
        <f t="shared" si="18"/>
        <v>17.645299999999999</v>
      </c>
      <c r="AM113">
        <f t="shared" si="19"/>
        <v>7.3881047552999997</v>
      </c>
      <c r="AP113" s="9"/>
      <c r="AQ113" s="22">
        <v>1.28128</v>
      </c>
      <c r="AR113" s="22">
        <v>491.1</v>
      </c>
      <c r="AS113" s="22">
        <v>-1.6519200000000001E-2</v>
      </c>
      <c r="AT113" s="22">
        <v>103</v>
      </c>
      <c r="AU113" s="22">
        <v>1.2808200000000001</v>
      </c>
      <c r="AV113">
        <f t="shared" si="20"/>
        <v>16.519200000000001</v>
      </c>
      <c r="AW113">
        <f t="shared" si="21"/>
        <v>21.165720576000002</v>
      </c>
      <c r="AX113" s="9"/>
      <c r="AY113" s="22">
        <v>0.41870099999999999</v>
      </c>
      <c r="AZ113" s="22">
        <v>563.35400000000004</v>
      </c>
      <c r="BA113" s="22">
        <v>-1.7617799999999999E-2</v>
      </c>
      <c r="BB113" s="22">
        <v>103</v>
      </c>
      <c r="BC113" s="22">
        <v>0.41809099999999999</v>
      </c>
      <c r="BD113">
        <f t="shared" si="22"/>
        <v>17.617799999999999</v>
      </c>
      <c r="BE113">
        <f t="shared" si="23"/>
        <v>7.3765904777999998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84.139899999999997</v>
      </c>
      <c r="I114" s="22">
        <v>-1.6448999999999998E-2</v>
      </c>
      <c r="J114" s="22">
        <v>104</v>
      </c>
      <c r="K114" s="22">
        <v>1.27563</v>
      </c>
      <c r="L114">
        <f t="shared" si="12"/>
        <v>16.448999999999998</v>
      </c>
      <c r="M114">
        <f t="shared" si="13"/>
        <v>20.993036249999999</v>
      </c>
      <c r="N114" s="9"/>
      <c r="O114" s="22">
        <v>0.42373699999999997</v>
      </c>
      <c r="P114" s="22">
        <v>150.1</v>
      </c>
      <c r="Q114" s="22">
        <v>-1.7687999999999999E-2</v>
      </c>
      <c r="R114" s="22">
        <v>104</v>
      </c>
      <c r="S114" s="22">
        <v>0.42324800000000001</v>
      </c>
      <c r="T114">
        <f t="shared" si="14"/>
        <v>17.687999999999999</v>
      </c>
      <c r="U114">
        <f t="shared" si="15"/>
        <v>7.4950600559999989</v>
      </c>
      <c r="X114" s="9"/>
      <c r="Y114" s="22">
        <v>1.2762500000000001</v>
      </c>
      <c r="Z114" s="22">
        <v>235.65299999999999</v>
      </c>
      <c r="AA114" s="22">
        <v>-1.6677899999999999E-2</v>
      </c>
      <c r="AB114" s="22">
        <v>104</v>
      </c>
      <c r="AC114" s="22">
        <v>1.2753300000000001</v>
      </c>
      <c r="AD114">
        <f t="shared" si="16"/>
        <v>16.677899999999998</v>
      </c>
      <c r="AE114">
        <f t="shared" si="17"/>
        <v>21.285169874999998</v>
      </c>
      <c r="AF114" s="9"/>
      <c r="AG114" s="22">
        <v>0.42373699999999997</v>
      </c>
      <c r="AH114" s="22">
        <v>390.09</v>
      </c>
      <c r="AI114" s="22">
        <v>-1.7633099999999999E-2</v>
      </c>
      <c r="AJ114" s="22">
        <v>104</v>
      </c>
      <c r="AK114" s="22">
        <v>0.423126</v>
      </c>
      <c r="AL114">
        <f t="shared" si="18"/>
        <v>17.633099999999999</v>
      </c>
      <c r="AM114">
        <f t="shared" si="19"/>
        <v>7.4717968946999989</v>
      </c>
      <c r="AP114" s="9"/>
      <c r="AQ114" s="22">
        <v>1.2762500000000001</v>
      </c>
      <c r="AR114" s="22">
        <v>491.20100000000002</v>
      </c>
      <c r="AS114" s="22">
        <v>-1.65405E-2</v>
      </c>
      <c r="AT114" s="22">
        <v>104</v>
      </c>
      <c r="AU114" s="22">
        <v>1.27502</v>
      </c>
      <c r="AV114">
        <f t="shared" si="20"/>
        <v>16.540499999999998</v>
      </c>
      <c r="AW114">
        <f t="shared" si="21"/>
        <v>21.109813124999999</v>
      </c>
      <c r="AX114" s="9"/>
      <c r="AY114" s="22">
        <v>0.42373699999999997</v>
      </c>
      <c r="AZ114" s="22">
        <v>563.45500000000004</v>
      </c>
      <c r="BA114" s="22">
        <v>-1.76147E-2</v>
      </c>
      <c r="BB114" s="22">
        <v>104</v>
      </c>
      <c r="BC114" s="22">
        <v>0.42288199999999998</v>
      </c>
      <c r="BD114">
        <f t="shared" si="22"/>
        <v>17.614699999999999</v>
      </c>
      <c r="BE114">
        <f t="shared" si="23"/>
        <v>7.4640001338999991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84.240600000000001</v>
      </c>
      <c r="I115" s="22">
        <v>-1.64551E-2</v>
      </c>
      <c r="J115" s="22">
        <v>105</v>
      </c>
      <c r="K115" s="22">
        <v>1.2704500000000001</v>
      </c>
      <c r="L115">
        <f t="shared" si="12"/>
        <v>16.455100000000002</v>
      </c>
      <c r="M115">
        <f t="shared" si="13"/>
        <v>20.917887671000003</v>
      </c>
      <c r="N115" s="9"/>
      <c r="O115" s="22">
        <v>0.42877199999999999</v>
      </c>
      <c r="P115" s="22">
        <v>150.20099999999999</v>
      </c>
      <c r="Q115" s="22">
        <v>-1.76849E-2</v>
      </c>
      <c r="R115" s="22">
        <v>105</v>
      </c>
      <c r="S115" s="22">
        <v>0.428284</v>
      </c>
      <c r="T115">
        <f t="shared" si="14"/>
        <v>17.684899999999999</v>
      </c>
      <c r="U115">
        <f t="shared" si="15"/>
        <v>7.582789942799999</v>
      </c>
      <c r="X115" s="9"/>
      <c r="Y115" s="22">
        <v>1.27121</v>
      </c>
      <c r="Z115" s="22">
        <v>235.75399999999999</v>
      </c>
      <c r="AA115" s="22">
        <v>-1.6687E-2</v>
      </c>
      <c r="AB115" s="22">
        <v>105</v>
      </c>
      <c r="AC115" s="22">
        <v>1.2704500000000001</v>
      </c>
      <c r="AD115">
        <f t="shared" si="16"/>
        <v>16.687000000000001</v>
      </c>
      <c r="AE115">
        <f t="shared" si="17"/>
        <v>21.212681270000001</v>
      </c>
      <c r="AF115" s="9"/>
      <c r="AG115" s="22">
        <v>0.42877199999999999</v>
      </c>
      <c r="AH115" s="22">
        <v>390.19099999999997</v>
      </c>
      <c r="AI115" s="22">
        <v>-1.7636099999999998E-2</v>
      </c>
      <c r="AJ115" s="22">
        <v>105</v>
      </c>
      <c r="AK115" s="22">
        <v>0.42791699999999999</v>
      </c>
      <c r="AL115">
        <f t="shared" si="18"/>
        <v>17.636099999999999</v>
      </c>
      <c r="AM115">
        <f t="shared" si="19"/>
        <v>7.5618658691999991</v>
      </c>
      <c r="AP115" s="9"/>
      <c r="AQ115" s="22">
        <v>1.27121</v>
      </c>
      <c r="AR115" s="22">
        <v>491.30099999999999</v>
      </c>
      <c r="AS115" s="22">
        <v>-1.6546600000000002E-2</v>
      </c>
      <c r="AT115" s="22">
        <v>105</v>
      </c>
      <c r="AU115" s="22">
        <v>1.27014</v>
      </c>
      <c r="AV115">
        <f t="shared" si="20"/>
        <v>16.546600000000002</v>
      </c>
      <c r="AW115">
        <f t="shared" si="21"/>
        <v>21.034203386000002</v>
      </c>
      <c r="AX115" s="9"/>
      <c r="AY115" s="22">
        <v>0.42877199999999999</v>
      </c>
      <c r="AZ115" s="22">
        <v>563.55600000000004</v>
      </c>
      <c r="BA115" s="22">
        <v>-1.7605599999999999E-2</v>
      </c>
      <c r="BB115" s="22">
        <v>105</v>
      </c>
      <c r="BC115" s="22">
        <v>0.427979</v>
      </c>
      <c r="BD115">
        <f t="shared" si="22"/>
        <v>17.605599999999999</v>
      </c>
      <c r="BE115">
        <f t="shared" si="23"/>
        <v>7.5487883231999993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84.341300000000004</v>
      </c>
      <c r="I116" s="22">
        <v>-1.6464199999999998E-2</v>
      </c>
      <c r="J116" s="22">
        <v>106</v>
      </c>
      <c r="K116" s="22">
        <v>1.2652600000000001</v>
      </c>
      <c r="L116">
        <f t="shared" si="12"/>
        <v>16.464199999999998</v>
      </c>
      <c r="M116">
        <f t="shared" si="13"/>
        <v>20.846476113999998</v>
      </c>
      <c r="N116" s="9"/>
      <c r="O116" s="22">
        <v>0.433807</v>
      </c>
      <c r="P116" s="22">
        <v>150.30099999999999</v>
      </c>
      <c r="Q116" s="22">
        <v>-1.7675799999999998E-2</v>
      </c>
      <c r="R116" s="22">
        <v>106</v>
      </c>
      <c r="S116" s="22">
        <v>0.43335000000000001</v>
      </c>
      <c r="T116">
        <f t="shared" si="14"/>
        <v>17.675799999999999</v>
      </c>
      <c r="U116">
        <f t="shared" si="15"/>
        <v>7.6678857705999999</v>
      </c>
      <c r="X116" s="9"/>
      <c r="Y116" s="22">
        <v>1.26617</v>
      </c>
      <c r="Z116" s="22">
        <v>235.85499999999999</v>
      </c>
      <c r="AA116" s="22">
        <v>-1.6687E-2</v>
      </c>
      <c r="AB116" s="22">
        <v>106</v>
      </c>
      <c r="AC116" s="22">
        <v>1.2658700000000001</v>
      </c>
      <c r="AD116">
        <f t="shared" si="16"/>
        <v>16.687000000000001</v>
      </c>
      <c r="AE116">
        <f t="shared" si="17"/>
        <v>21.128578790000002</v>
      </c>
      <c r="AF116" s="9"/>
      <c r="AG116" s="22">
        <v>0.433807</v>
      </c>
      <c r="AH116" s="22">
        <v>390.291</v>
      </c>
      <c r="AI116" s="22">
        <v>-1.763E-2</v>
      </c>
      <c r="AJ116" s="22">
        <v>106</v>
      </c>
      <c r="AK116" s="22">
        <v>0.43335000000000001</v>
      </c>
      <c r="AL116">
        <f t="shared" si="18"/>
        <v>17.63</v>
      </c>
      <c r="AM116">
        <f t="shared" si="19"/>
        <v>7.6480174099999996</v>
      </c>
      <c r="AP116" s="9"/>
      <c r="AQ116" s="22">
        <v>1.26617</v>
      </c>
      <c r="AR116" s="22">
        <v>491.40199999999999</v>
      </c>
      <c r="AS116" s="22">
        <v>-1.6546600000000002E-2</v>
      </c>
      <c r="AT116" s="22">
        <v>106</v>
      </c>
      <c r="AU116" s="22">
        <v>1.2652600000000001</v>
      </c>
      <c r="AV116">
        <f t="shared" si="20"/>
        <v>16.546600000000002</v>
      </c>
      <c r="AW116">
        <f t="shared" si="21"/>
        <v>20.950808522000003</v>
      </c>
      <c r="AX116" s="9"/>
      <c r="AY116" s="22">
        <v>0.433807</v>
      </c>
      <c r="AZ116" s="22">
        <v>563.65599999999995</v>
      </c>
      <c r="BA116" s="22">
        <v>-1.7611700000000001E-2</v>
      </c>
      <c r="BB116" s="22">
        <v>106</v>
      </c>
      <c r="BC116" s="22">
        <v>0.433197</v>
      </c>
      <c r="BD116">
        <f t="shared" si="22"/>
        <v>17.611700000000003</v>
      </c>
      <c r="BE116">
        <f t="shared" si="23"/>
        <v>7.6400787419000009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84.441999999999993</v>
      </c>
      <c r="I117" s="22">
        <v>-1.64703E-2</v>
      </c>
      <c r="J117" s="22">
        <v>107</v>
      </c>
      <c r="K117" s="22">
        <v>1.26068</v>
      </c>
      <c r="L117">
        <f t="shared" si="12"/>
        <v>16.470300000000002</v>
      </c>
      <c r="M117">
        <f t="shared" si="13"/>
        <v>20.771354142</v>
      </c>
      <c r="N117" s="9"/>
      <c r="O117" s="22">
        <v>0.43884299999999998</v>
      </c>
      <c r="P117" s="22">
        <v>150.40199999999999</v>
      </c>
      <c r="Q117" s="22">
        <v>-1.7675799999999998E-2</v>
      </c>
      <c r="R117" s="22">
        <v>107</v>
      </c>
      <c r="S117" s="22">
        <v>0.43804900000000002</v>
      </c>
      <c r="T117">
        <f t="shared" si="14"/>
        <v>17.675799999999999</v>
      </c>
      <c r="U117">
        <f t="shared" si="15"/>
        <v>7.7569010993999994</v>
      </c>
      <c r="X117" s="9"/>
      <c r="Y117" s="22">
        <v>1.2611399999999999</v>
      </c>
      <c r="Z117" s="22">
        <v>235.95500000000001</v>
      </c>
      <c r="AA117" s="22">
        <v>-1.6708400000000002E-2</v>
      </c>
      <c r="AB117" s="22">
        <v>107</v>
      </c>
      <c r="AC117" s="22">
        <v>1.26007</v>
      </c>
      <c r="AD117">
        <f t="shared" si="16"/>
        <v>16.708400000000001</v>
      </c>
      <c r="AE117">
        <f t="shared" si="17"/>
        <v>21.071631576000001</v>
      </c>
      <c r="AF117" s="9"/>
      <c r="AG117" s="22">
        <v>0.43884299999999998</v>
      </c>
      <c r="AH117" s="22">
        <v>390.392</v>
      </c>
      <c r="AI117" s="22">
        <v>-1.7627E-2</v>
      </c>
      <c r="AJ117" s="22">
        <v>107</v>
      </c>
      <c r="AK117" s="22">
        <v>0.438446</v>
      </c>
      <c r="AL117">
        <f t="shared" si="18"/>
        <v>17.626999999999999</v>
      </c>
      <c r="AM117">
        <f t="shared" si="19"/>
        <v>7.7354855609999991</v>
      </c>
      <c r="AP117" s="9"/>
      <c r="AQ117" s="22">
        <v>1.2611399999999999</v>
      </c>
      <c r="AR117" s="22">
        <v>491.50299999999999</v>
      </c>
      <c r="AS117" s="22">
        <v>-1.65527E-2</v>
      </c>
      <c r="AT117" s="22">
        <v>107</v>
      </c>
      <c r="AU117" s="22">
        <v>1.2603800000000001</v>
      </c>
      <c r="AV117">
        <f t="shared" si="20"/>
        <v>16.552700000000002</v>
      </c>
      <c r="AW117">
        <f t="shared" si="21"/>
        <v>20.875272078000002</v>
      </c>
      <c r="AX117" s="9"/>
      <c r="AY117" s="22">
        <v>0.43884299999999998</v>
      </c>
      <c r="AZ117" s="22">
        <v>563.75699999999995</v>
      </c>
      <c r="BA117" s="22">
        <v>-1.7599500000000001E-2</v>
      </c>
      <c r="BB117" s="22">
        <v>107</v>
      </c>
      <c r="BC117" s="22">
        <v>0.43835400000000002</v>
      </c>
      <c r="BD117">
        <f t="shared" si="22"/>
        <v>17.599499999999999</v>
      </c>
      <c r="BE117">
        <f t="shared" si="23"/>
        <v>7.7234173784999989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84.542699999999996</v>
      </c>
      <c r="I118" s="22">
        <v>-1.6476399999999999E-2</v>
      </c>
      <c r="J118" s="22">
        <v>108</v>
      </c>
      <c r="K118" s="22">
        <v>1.25549</v>
      </c>
      <c r="L118">
        <f t="shared" si="12"/>
        <v>16.476399999999998</v>
      </c>
      <c r="M118">
        <f t="shared" si="13"/>
        <v>20.696006039999997</v>
      </c>
      <c r="N118" s="9"/>
      <c r="O118" s="22">
        <v>0.44387799999999999</v>
      </c>
      <c r="P118" s="22">
        <v>150.50299999999999</v>
      </c>
      <c r="Q118" s="22">
        <v>-1.76697E-2</v>
      </c>
      <c r="R118" s="22">
        <v>108</v>
      </c>
      <c r="S118" s="22">
        <v>0.44332899999999997</v>
      </c>
      <c r="T118">
        <f t="shared" si="14"/>
        <v>17.669699999999999</v>
      </c>
      <c r="U118">
        <f t="shared" si="15"/>
        <v>7.8431910965999991</v>
      </c>
      <c r="X118" s="9"/>
      <c r="Y118" s="22">
        <v>1.2561</v>
      </c>
      <c r="Z118" s="22">
        <v>236.05600000000001</v>
      </c>
      <c r="AA118" s="22">
        <v>-1.6711400000000001E-2</v>
      </c>
      <c r="AB118" s="22">
        <v>108</v>
      </c>
      <c r="AC118" s="22">
        <v>1.25519</v>
      </c>
      <c r="AD118">
        <f t="shared" si="16"/>
        <v>16.711400000000001</v>
      </c>
      <c r="AE118">
        <f t="shared" si="17"/>
        <v>20.991189540000001</v>
      </c>
      <c r="AF118" s="9"/>
      <c r="AG118" s="22">
        <v>0.44387799999999999</v>
      </c>
      <c r="AH118" s="22">
        <v>390.49299999999999</v>
      </c>
      <c r="AI118" s="22">
        <v>-1.7627E-2</v>
      </c>
      <c r="AJ118" s="22">
        <v>108</v>
      </c>
      <c r="AK118" s="22">
        <v>0.44339000000000001</v>
      </c>
      <c r="AL118">
        <f t="shared" si="18"/>
        <v>17.626999999999999</v>
      </c>
      <c r="AM118">
        <f t="shared" si="19"/>
        <v>7.8242375059999993</v>
      </c>
      <c r="AP118" s="9"/>
      <c r="AQ118" s="22">
        <v>1.2561</v>
      </c>
      <c r="AR118" s="22">
        <v>491.60399999999998</v>
      </c>
      <c r="AS118" s="22">
        <v>-1.6561900000000001E-2</v>
      </c>
      <c r="AT118" s="22">
        <v>108</v>
      </c>
      <c r="AU118" s="22">
        <v>1.25488</v>
      </c>
      <c r="AV118">
        <f t="shared" si="20"/>
        <v>16.561900000000001</v>
      </c>
      <c r="AW118">
        <f t="shared" si="21"/>
        <v>20.803402590000001</v>
      </c>
      <c r="AX118" s="9"/>
      <c r="AY118" s="22">
        <v>0.44387799999999999</v>
      </c>
      <c r="AZ118" s="22">
        <v>563.85799999999995</v>
      </c>
      <c r="BA118" s="22">
        <v>-1.7596400000000002E-2</v>
      </c>
      <c r="BB118" s="22">
        <v>108</v>
      </c>
      <c r="BC118" s="22">
        <v>0.44317600000000001</v>
      </c>
      <c r="BD118">
        <f t="shared" si="22"/>
        <v>17.596400000000003</v>
      </c>
      <c r="BE118">
        <f t="shared" si="23"/>
        <v>7.8106548392000015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84.6434</v>
      </c>
      <c r="I119" s="22">
        <v>-1.6473399999999999E-2</v>
      </c>
      <c r="J119" s="22">
        <v>109</v>
      </c>
      <c r="K119" s="22">
        <v>1.25092</v>
      </c>
      <c r="L119">
        <f t="shared" si="12"/>
        <v>16.473399999999998</v>
      </c>
      <c r="M119">
        <f t="shared" si="13"/>
        <v>20.609376537999996</v>
      </c>
      <c r="N119" s="9"/>
      <c r="O119" s="22">
        <v>0.44891399999999998</v>
      </c>
      <c r="P119" s="22">
        <v>150.60300000000001</v>
      </c>
      <c r="Q119" s="22">
        <v>-1.7660499999999999E-2</v>
      </c>
      <c r="R119" s="22">
        <v>109</v>
      </c>
      <c r="S119" s="22">
        <v>0.448181</v>
      </c>
      <c r="T119">
        <f t="shared" si="14"/>
        <v>17.660499999999999</v>
      </c>
      <c r="U119">
        <f t="shared" si="15"/>
        <v>7.9280456969999991</v>
      </c>
      <c r="X119" s="9"/>
      <c r="Y119" s="22">
        <v>1.2510699999999999</v>
      </c>
      <c r="Z119" s="22">
        <v>236.15700000000001</v>
      </c>
      <c r="AA119" s="22">
        <v>-1.6720599999999999E-2</v>
      </c>
      <c r="AB119" s="22">
        <v>109</v>
      </c>
      <c r="AC119" s="22">
        <v>1.24969</v>
      </c>
      <c r="AD119">
        <f t="shared" si="16"/>
        <v>16.720599999999997</v>
      </c>
      <c r="AE119">
        <f t="shared" si="17"/>
        <v>20.918641041999994</v>
      </c>
      <c r="AF119" s="9"/>
      <c r="AG119" s="22">
        <v>0.44891399999999998</v>
      </c>
      <c r="AH119" s="22">
        <v>390.59399999999999</v>
      </c>
      <c r="AI119" s="22">
        <v>-1.7627E-2</v>
      </c>
      <c r="AJ119" s="22">
        <v>109</v>
      </c>
      <c r="AK119" s="22">
        <v>0.44827299999999998</v>
      </c>
      <c r="AL119">
        <f t="shared" si="18"/>
        <v>17.626999999999999</v>
      </c>
      <c r="AM119">
        <f t="shared" si="19"/>
        <v>7.9130070779999988</v>
      </c>
      <c r="AP119" s="9"/>
      <c r="AQ119" s="22">
        <v>1.2510699999999999</v>
      </c>
      <c r="AR119" s="22">
        <v>491.70400000000001</v>
      </c>
      <c r="AS119" s="22">
        <v>-1.65649E-2</v>
      </c>
      <c r="AT119" s="22">
        <v>109</v>
      </c>
      <c r="AU119" s="22">
        <v>1.25</v>
      </c>
      <c r="AV119">
        <f t="shared" si="20"/>
        <v>16.564900000000002</v>
      </c>
      <c r="AW119">
        <f t="shared" si="21"/>
        <v>20.723849442999999</v>
      </c>
      <c r="AX119" s="9"/>
      <c r="AY119" s="22">
        <v>0.44891399999999998</v>
      </c>
      <c r="AZ119" s="22">
        <v>563.95799999999997</v>
      </c>
      <c r="BA119" s="22">
        <v>-1.75903E-2</v>
      </c>
      <c r="BB119" s="22">
        <v>109</v>
      </c>
      <c r="BC119" s="22">
        <v>0.44836399999999998</v>
      </c>
      <c r="BD119">
        <f t="shared" si="22"/>
        <v>17.590299999999999</v>
      </c>
      <c r="BE119">
        <f t="shared" si="23"/>
        <v>7.8965319341999995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84.744100000000003</v>
      </c>
      <c r="I120" s="22">
        <v>-1.6476399999999999E-2</v>
      </c>
      <c r="J120" s="22">
        <v>110</v>
      </c>
      <c r="K120" s="22">
        <v>1.24512</v>
      </c>
      <c r="L120">
        <f t="shared" si="12"/>
        <v>16.476399999999998</v>
      </c>
      <c r="M120">
        <f t="shared" si="13"/>
        <v>20.530088691999996</v>
      </c>
      <c r="N120" s="9"/>
      <c r="O120" s="22">
        <v>0.45394899999999999</v>
      </c>
      <c r="P120" s="22">
        <v>150.70400000000001</v>
      </c>
      <c r="Q120" s="22">
        <v>-1.7651400000000001E-2</v>
      </c>
      <c r="R120" s="22">
        <v>110</v>
      </c>
      <c r="S120" s="22">
        <v>0.45343</v>
      </c>
      <c r="T120">
        <f t="shared" si="14"/>
        <v>17.651400000000002</v>
      </c>
      <c r="U120">
        <f t="shared" si="15"/>
        <v>8.0128353786000002</v>
      </c>
      <c r="X120" s="9"/>
      <c r="Y120" s="22">
        <v>1.24603</v>
      </c>
      <c r="Z120" s="22">
        <v>236.25800000000001</v>
      </c>
      <c r="AA120" s="22">
        <v>-1.67297E-2</v>
      </c>
      <c r="AB120" s="22">
        <v>110</v>
      </c>
      <c r="AC120" s="22">
        <v>1.24512</v>
      </c>
      <c r="AD120">
        <f t="shared" si="16"/>
        <v>16.729700000000001</v>
      </c>
      <c r="AE120">
        <f t="shared" si="17"/>
        <v>20.845708091000002</v>
      </c>
      <c r="AF120" s="9"/>
      <c r="AG120" s="22">
        <v>0.45394899999999999</v>
      </c>
      <c r="AH120" s="22">
        <v>390.69400000000002</v>
      </c>
      <c r="AI120" s="22">
        <v>-1.76147E-2</v>
      </c>
      <c r="AJ120" s="22">
        <v>110</v>
      </c>
      <c r="AK120" s="22">
        <v>0.45324700000000001</v>
      </c>
      <c r="AL120">
        <f t="shared" si="18"/>
        <v>17.614699999999999</v>
      </c>
      <c r="AM120">
        <f t="shared" si="19"/>
        <v>7.9961754502999991</v>
      </c>
      <c r="AP120" s="9"/>
      <c r="AQ120" s="22">
        <v>1.24603</v>
      </c>
      <c r="AR120" s="22">
        <v>491.80500000000001</v>
      </c>
      <c r="AS120" s="22">
        <v>-1.6570999999999999E-2</v>
      </c>
      <c r="AT120" s="22">
        <v>110</v>
      </c>
      <c r="AU120" s="22">
        <v>1.24481</v>
      </c>
      <c r="AV120">
        <f t="shared" si="20"/>
        <v>16.570999999999998</v>
      </c>
      <c r="AW120">
        <f t="shared" si="21"/>
        <v>20.647963129999997</v>
      </c>
      <c r="AX120" s="9"/>
      <c r="AY120" s="22">
        <v>0.45394899999999999</v>
      </c>
      <c r="AZ120" s="22">
        <v>564.05899999999997</v>
      </c>
      <c r="BA120" s="22">
        <v>-1.7584200000000001E-2</v>
      </c>
      <c r="BB120" s="22">
        <v>110</v>
      </c>
      <c r="BC120" s="22">
        <v>0.453461</v>
      </c>
      <c r="BD120">
        <f t="shared" si="22"/>
        <v>17.584200000000003</v>
      </c>
      <c r="BE120">
        <f t="shared" si="23"/>
        <v>7.9823300058000015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84.844800000000006</v>
      </c>
      <c r="I121" s="22">
        <v>-1.64856E-2</v>
      </c>
      <c r="J121" s="22">
        <v>111</v>
      </c>
      <c r="K121" s="22">
        <v>1.24054</v>
      </c>
      <c r="L121">
        <f t="shared" si="12"/>
        <v>16.485599999999998</v>
      </c>
      <c r="M121">
        <f t="shared" si="13"/>
        <v>20.458629599999998</v>
      </c>
      <c r="N121" s="9"/>
      <c r="O121" s="22">
        <v>0.458984</v>
      </c>
      <c r="P121" s="22">
        <v>150.80500000000001</v>
      </c>
      <c r="Q121" s="22">
        <v>-1.7651400000000001E-2</v>
      </c>
      <c r="R121" s="22">
        <v>111</v>
      </c>
      <c r="S121" s="22">
        <v>0.45843499999999998</v>
      </c>
      <c r="T121">
        <f t="shared" si="14"/>
        <v>17.651400000000002</v>
      </c>
      <c r="U121">
        <f t="shared" si="15"/>
        <v>8.1017101776000011</v>
      </c>
      <c r="X121" s="9"/>
      <c r="Y121" s="22">
        <v>1.2410000000000001</v>
      </c>
      <c r="Z121" s="22">
        <v>236.358</v>
      </c>
      <c r="AA121" s="22">
        <v>-1.6738900000000001E-2</v>
      </c>
      <c r="AB121" s="22">
        <v>111</v>
      </c>
      <c r="AC121" s="22">
        <v>1.23993</v>
      </c>
      <c r="AD121">
        <f t="shared" si="16"/>
        <v>16.738900000000001</v>
      </c>
      <c r="AE121">
        <f t="shared" si="17"/>
        <v>20.772974900000001</v>
      </c>
      <c r="AF121" s="9"/>
      <c r="AG121" s="22">
        <v>0.458984</v>
      </c>
      <c r="AH121" s="22">
        <v>390.79500000000002</v>
      </c>
      <c r="AI121" s="22">
        <v>-1.7596400000000002E-2</v>
      </c>
      <c r="AJ121" s="22">
        <v>111</v>
      </c>
      <c r="AK121" s="22">
        <v>0.45831300000000003</v>
      </c>
      <c r="AL121">
        <f t="shared" si="18"/>
        <v>17.596400000000003</v>
      </c>
      <c r="AM121">
        <f t="shared" si="19"/>
        <v>8.0764660576000011</v>
      </c>
      <c r="AP121" s="9"/>
      <c r="AQ121" s="22">
        <v>1.2410000000000001</v>
      </c>
      <c r="AR121" s="22">
        <v>491.90600000000001</v>
      </c>
      <c r="AS121" s="22">
        <v>-1.65802E-2</v>
      </c>
      <c r="AT121" s="22">
        <v>111</v>
      </c>
      <c r="AU121" s="22">
        <v>1.2408399999999999</v>
      </c>
      <c r="AV121">
        <f t="shared" si="20"/>
        <v>16.580200000000001</v>
      </c>
      <c r="AW121">
        <f t="shared" si="21"/>
        <v>20.576028200000003</v>
      </c>
      <c r="AX121" s="9"/>
      <c r="AY121" s="22">
        <v>0.458984</v>
      </c>
      <c r="AZ121" s="22">
        <v>564.16</v>
      </c>
      <c r="BA121" s="22">
        <v>-1.7581200000000002E-2</v>
      </c>
      <c r="BB121" s="22">
        <v>111</v>
      </c>
      <c r="BC121" s="22">
        <v>0.45819100000000001</v>
      </c>
      <c r="BD121">
        <f t="shared" si="22"/>
        <v>17.581200000000003</v>
      </c>
      <c r="BE121">
        <f t="shared" si="23"/>
        <v>8.0694895008000014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84.945499999999996</v>
      </c>
      <c r="I122" s="22">
        <v>-1.64978E-2</v>
      </c>
      <c r="J122" s="22">
        <v>112</v>
      </c>
      <c r="K122" s="22">
        <v>1.23505</v>
      </c>
      <c r="L122">
        <f t="shared" si="12"/>
        <v>16.497800000000002</v>
      </c>
      <c r="M122">
        <f t="shared" si="13"/>
        <v>20.390620888000001</v>
      </c>
      <c r="N122" s="9"/>
      <c r="O122" s="22">
        <v>0.46401999999999999</v>
      </c>
      <c r="P122" s="22">
        <v>150.90600000000001</v>
      </c>
      <c r="Q122" s="22">
        <v>-1.7651400000000001E-2</v>
      </c>
      <c r="R122" s="22">
        <v>112</v>
      </c>
      <c r="S122" s="22">
        <v>0.46334799999999998</v>
      </c>
      <c r="T122">
        <f t="shared" si="14"/>
        <v>17.651400000000002</v>
      </c>
      <c r="U122">
        <f t="shared" si="15"/>
        <v>8.1906026280000006</v>
      </c>
      <c r="X122" s="9"/>
      <c r="Y122" s="22">
        <v>1.2359599999999999</v>
      </c>
      <c r="Z122" s="22">
        <v>236.459</v>
      </c>
      <c r="AA122" s="22">
        <v>-1.6751100000000001E-2</v>
      </c>
      <c r="AB122" s="22">
        <v>112</v>
      </c>
      <c r="AC122" s="22">
        <v>1.2347399999999999</v>
      </c>
      <c r="AD122">
        <f t="shared" si="16"/>
        <v>16.751100000000001</v>
      </c>
      <c r="AE122">
        <f t="shared" si="17"/>
        <v>20.703689556</v>
      </c>
      <c r="AF122" s="9"/>
      <c r="AG122" s="22">
        <v>0.46401999999999999</v>
      </c>
      <c r="AH122" s="22">
        <v>390.89600000000002</v>
      </c>
      <c r="AI122" s="22">
        <v>-1.7599500000000001E-2</v>
      </c>
      <c r="AJ122" s="22">
        <v>112</v>
      </c>
      <c r="AK122" s="22">
        <v>0.46365400000000001</v>
      </c>
      <c r="AL122">
        <f t="shared" si="18"/>
        <v>17.599499999999999</v>
      </c>
      <c r="AM122">
        <f t="shared" si="19"/>
        <v>8.1665199899999994</v>
      </c>
      <c r="AP122" s="9"/>
      <c r="AQ122" s="22">
        <v>1.2359599999999999</v>
      </c>
      <c r="AR122" s="22">
        <v>492.00599999999997</v>
      </c>
      <c r="AS122" s="22">
        <v>-1.6583299999999999E-2</v>
      </c>
      <c r="AT122" s="22">
        <v>112</v>
      </c>
      <c r="AU122" s="22">
        <v>1.23505</v>
      </c>
      <c r="AV122">
        <f t="shared" si="20"/>
        <v>16.583299999999998</v>
      </c>
      <c r="AW122">
        <f t="shared" si="21"/>
        <v>20.496295467999996</v>
      </c>
      <c r="AX122" s="9"/>
      <c r="AY122" s="22">
        <v>0.46401999999999999</v>
      </c>
      <c r="AZ122" s="22">
        <v>564.26099999999997</v>
      </c>
      <c r="BA122" s="22">
        <v>-1.7578099999999999E-2</v>
      </c>
      <c r="BB122" s="22">
        <v>112</v>
      </c>
      <c r="BC122" s="22">
        <v>0.46344000000000002</v>
      </c>
      <c r="BD122">
        <f t="shared" si="22"/>
        <v>17.578099999999999</v>
      </c>
      <c r="BE122">
        <f t="shared" si="23"/>
        <v>8.156589962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85.046199999999999</v>
      </c>
      <c r="I123" s="22">
        <v>-1.64978E-2</v>
      </c>
      <c r="J123" s="22">
        <v>113</v>
      </c>
      <c r="K123" s="22">
        <v>1.2301599999999999</v>
      </c>
      <c r="L123">
        <f t="shared" si="12"/>
        <v>16.497800000000002</v>
      </c>
      <c r="M123">
        <f t="shared" si="13"/>
        <v>20.307636954000003</v>
      </c>
      <c r="N123" s="9"/>
      <c r="O123" s="22">
        <v>0.469055</v>
      </c>
      <c r="P123" s="22">
        <v>151.006</v>
      </c>
      <c r="Q123" s="22">
        <v>-1.7645299999999999E-2</v>
      </c>
      <c r="R123" s="22">
        <v>113</v>
      </c>
      <c r="S123" s="22">
        <v>0.46838400000000002</v>
      </c>
      <c r="T123">
        <f t="shared" si="14"/>
        <v>17.645299999999999</v>
      </c>
      <c r="U123">
        <f t="shared" si="15"/>
        <v>8.2766161914999987</v>
      </c>
      <c r="X123" s="9"/>
      <c r="Y123" s="22">
        <v>1.2309300000000001</v>
      </c>
      <c r="Z123" s="22">
        <v>236.56</v>
      </c>
      <c r="AA123" s="22">
        <v>-1.67542E-2</v>
      </c>
      <c r="AB123" s="22">
        <v>113</v>
      </c>
      <c r="AC123" s="22">
        <v>1.2301599999999999</v>
      </c>
      <c r="AD123">
        <f t="shared" si="16"/>
        <v>16.754200000000001</v>
      </c>
      <c r="AE123">
        <f t="shared" si="17"/>
        <v>20.623247406000001</v>
      </c>
      <c r="AF123" s="9"/>
      <c r="AG123" s="22">
        <v>0.469055</v>
      </c>
      <c r="AH123" s="22">
        <v>390.99599999999998</v>
      </c>
      <c r="AI123" s="22">
        <v>-1.7596400000000002E-2</v>
      </c>
      <c r="AJ123" s="22">
        <v>113</v>
      </c>
      <c r="AK123" s="22">
        <v>0.46856700000000001</v>
      </c>
      <c r="AL123">
        <f t="shared" si="18"/>
        <v>17.596400000000003</v>
      </c>
      <c r="AM123">
        <f t="shared" si="19"/>
        <v>8.2536794020000013</v>
      </c>
      <c r="AP123" s="9"/>
      <c r="AQ123" s="22">
        <v>1.2309300000000001</v>
      </c>
      <c r="AR123" s="22">
        <v>492.10700000000003</v>
      </c>
      <c r="AS123" s="22">
        <v>-1.6583299999999999E-2</v>
      </c>
      <c r="AT123" s="22">
        <v>113</v>
      </c>
      <c r="AU123" s="22">
        <v>1.22986</v>
      </c>
      <c r="AV123">
        <f t="shared" si="20"/>
        <v>16.583299999999998</v>
      </c>
      <c r="AW123">
        <f t="shared" si="21"/>
        <v>20.412881468999998</v>
      </c>
      <c r="AX123" s="9"/>
      <c r="AY123" s="22">
        <v>0.469055</v>
      </c>
      <c r="AZ123" s="22">
        <v>564.36099999999999</v>
      </c>
      <c r="BA123" s="22">
        <v>-1.75751E-2</v>
      </c>
      <c r="BB123" s="22">
        <v>113</v>
      </c>
      <c r="BC123" s="22">
        <v>0.46859699999999999</v>
      </c>
      <c r="BD123">
        <f t="shared" si="22"/>
        <v>17.575099999999999</v>
      </c>
      <c r="BE123">
        <f t="shared" si="23"/>
        <v>8.2436885305000001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85.146900000000002</v>
      </c>
      <c r="I124" s="22">
        <v>-1.6516099999999999E-2</v>
      </c>
      <c r="J124" s="22">
        <v>114</v>
      </c>
      <c r="K124" s="22">
        <v>1.2252799999999999</v>
      </c>
      <c r="L124">
        <f t="shared" si="12"/>
        <v>16.516099999999998</v>
      </c>
      <c r="M124">
        <f t="shared" si="13"/>
        <v>20.246921828999998</v>
      </c>
      <c r="N124" s="9"/>
      <c r="O124" s="22">
        <v>0.47409099999999998</v>
      </c>
      <c r="P124" s="22">
        <v>151.107</v>
      </c>
      <c r="Q124" s="22">
        <v>-1.7648299999999999E-2</v>
      </c>
      <c r="R124" s="22">
        <v>114</v>
      </c>
      <c r="S124" s="22">
        <v>0.473663</v>
      </c>
      <c r="T124">
        <f t="shared" si="14"/>
        <v>17.648299999999999</v>
      </c>
      <c r="U124">
        <f t="shared" si="15"/>
        <v>8.3669001952999995</v>
      </c>
      <c r="X124" s="9"/>
      <c r="Y124" s="22">
        <v>1.2258899999999999</v>
      </c>
      <c r="Z124" s="22">
        <v>236.66</v>
      </c>
      <c r="AA124" s="22">
        <v>-1.67572E-2</v>
      </c>
      <c r="AB124" s="22">
        <v>114</v>
      </c>
      <c r="AC124" s="22">
        <v>1.2252799999999999</v>
      </c>
      <c r="AD124">
        <f t="shared" si="16"/>
        <v>16.757200000000001</v>
      </c>
      <c r="AE124">
        <f t="shared" si="17"/>
        <v>20.542483908000001</v>
      </c>
      <c r="AF124" s="9"/>
      <c r="AG124" s="22">
        <v>0.47409099999999998</v>
      </c>
      <c r="AH124" s="22">
        <v>391.09699999999998</v>
      </c>
      <c r="AI124" s="22">
        <v>-1.76025E-2</v>
      </c>
      <c r="AJ124" s="22">
        <v>114</v>
      </c>
      <c r="AK124" s="22">
        <v>0.47363300000000003</v>
      </c>
      <c r="AL124">
        <f t="shared" si="18"/>
        <v>17.602499999999999</v>
      </c>
      <c r="AM124">
        <f t="shared" si="19"/>
        <v>8.3451868274999992</v>
      </c>
      <c r="AP124" s="9"/>
      <c r="AQ124" s="22">
        <v>1.2258899999999999</v>
      </c>
      <c r="AR124" s="22">
        <v>492.20800000000003</v>
      </c>
      <c r="AS124" s="22">
        <v>-1.6601600000000001E-2</v>
      </c>
      <c r="AT124" s="22">
        <v>114</v>
      </c>
      <c r="AU124" s="22">
        <v>1.2246699999999999</v>
      </c>
      <c r="AV124">
        <f t="shared" si="20"/>
        <v>16.601600000000001</v>
      </c>
      <c r="AW124">
        <f t="shared" si="21"/>
        <v>20.351735424000001</v>
      </c>
      <c r="AX124" s="9"/>
      <c r="AY124" s="22">
        <v>0.47409099999999998</v>
      </c>
      <c r="AZ124" s="22">
        <v>564.46199999999999</v>
      </c>
      <c r="BA124" s="22">
        <v>-1.7572000000000001E-2</v>
      </c>
      <c r="BB124" s="22">
        <v>114</v>
      </c>
      <c r="BC124" s="22">
        <v>0.47375499999999998</v>
      </c>
      <c r="BD124">
        <f t="shared" si="22"/>
        <v>17.571999999999999</v>
      </c>
      <c r="BE124">
        <f t="shared" si="23"/>
        <v>8.3307270519999985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85.247600000000006</v>
      </c>
      <c r="I125" s="22">
        <v>-1.6513099999999999E-2</v>
      </c>
      <c r="J125" s="22">
        <v>115</v>
      </c>
      <c r="K125" s="22">
        <v>1.2200899999999999</v>
      </c>
      <c r="L125">
        <f t="shared" si="12"/>
        <v>16.513099999999998</v>
      </c>
      <c r="M125">
        <f t="shared" si="13"/>
        <v>20.160183265999997</v>
      </c>
      <c r="N125" s="9"/>
      <c r="O125" s="22">
        <v>0.479126</v>
      </c>
      <c r="P125" s="22">
        <v>151.208</v>
      </c>
      <c r="Q125" s="22">
        <v>-1.7636099999999998E-2</v>
      </c>
      <c r="R125" s="22">
        <v>115</v>
      </c>
      <c r="S125" s="22">
        <v>0.47839399999999999</v>
      </c>
      <c r="T125">
        <f t="shared" si="14"/>
        <v>17.636099999999999</v>
      </c>
      <c r="U125">
        <f t="shared" si="15"/>
        <v>8.4499140486000002</v>
      </c>
      <c r="X125" s="9"/>
      <c r="Y125" s="22">
        <v>1.2208600000000001</v>
      </c>
      <c r="Z125" s="22">
        <v>236.761</v>
      </c>
      <c r="AA125" s="22">
        <v>-1.67572E-2</v>
      </c>
      <c r="AB125" s="22">
        <v>115</v>
      </c>
      <c r="AC125" s="22">
        <v>1.2194799999999999</v>
      </c>
      <c r="AD125">
        <f t="shared" si="16"/>
        <v>16.757200000000001</v>
      </c>
      <c r="AE125">
        <f t="shared" si="17"/>
        <v>20.458195192000002</v>
      </c>
      <c r="AF125" s="9"/>
      <c r="AG125" s="22">
        <v>0.479126</v>
      </c>
      <c r="AH125" s="22">
        <v>391.19799999999998</v>
      </c>
      <c r="AI125" s="22">
        <v>-1.7593399999999999E-2</v>
      </c>
      <c r="AJ125" s="22">
        <v>115</v>
      </c>
      <c r="AK125" s="22">
        <v>0.478607</v>
      </c>
      <c r="AL125">
        <f t="shared" si="18"/>
        <v>17.593399999999999</v>
      </c>
      <c r="AM125">
        <f t="shared" si="19"/>
        <v>8.4294553683999993</v>
      </c>
      <c r="AP125" s="9"/>
      <c r="AQ125" s="22">
        <v>1.2208600000000001</v>
      </c>
      <c r="AR125" s="22">
        <v>492.30799999999999</v>
      </c>
      <c r="AS125" s="22">
        <v>-1.6610699999999999E-2</v>
      </c>
      <c r="AT125" s="22">
        <v>115</v>
      </c>
      <c r="AU125" s="22">
        <v>1.2197899999999999</v>
      </c>
      <c r="AV125">
        <f t="shared" si="20"/>
        <v>16.610699999999998</v>
      </c>
      <c r="AW125">
        <f t="shared" si="21"/>
        <v>20.279339201999999</v>
      </c>
      <c r="AX125" s="9"/>
      <c r="AY125" s="22">
        <v>0.479126</v>
      </c>
      <c r="AZ125" s="22">
        <v>564.56299999999999</v>
      </c>
      <c r="BA125" s="22">
        <v>-1.7565899999999999E-2</v>
      </c>
      <c r="BB125" s="22">
        <v>115</v>
      </c>
      <c r="BC125" s="22">
        <v>0.47854600000000003</v>
      </c>
      <c r="BD125">
        <f t="shared" si="22"/>
        <v>17.565899999999999</v>
      </c>
      <c r="BE125">
        <f t="shared" si="23"/>
        <v>8.416279403399999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85.348399999999998</v>
      </c>
      <c r="I126" s="22">
        <v>-1.6528299999999999E-2</v>
      </c>
      <c r="J126" s="22">
        <v>116</v>
      </c>
      <c r="K126" s="22">
        <v>1.2155199999999999</v>
      </c>
      <c r="L126">
        <f t="shared" si="12"/>
        <v>16.528299999999998</v>
      </c>
      <c r="M126">
        <f t="shared" si="13"/>
        <v>20.095437705999995</v>
      </c>
      <c r="N126" s="9"/>
      <c r="O126" s="22">
        <v>0.48416100000000001</v>
      </c>
      <c r="P126" s="22">
        <v>151.30799999999999</v>
      </c>
      <c r="Q126" s="22">
        <v>-1.7633099999999999E-2</v>
      </c>
      <c r="R126" s="22">
        <v>116</v>
      </c>
      <c r="S126" s="22">
        <v>0.48358200000000001</v>
      </c>
      <c r="T126">
        <f t="shared" si="14"/>
        <v>17.633099999999999</v>
      </c>
      <c r="U126">
        <f t="shared" si="15"/>
        <v>8.5372593290999994</v>
      </c>
      <c r="X126" s="9"/>
      <c r="Y126" s="22">
        <v>1.2158199999999999</v>
      </c>
      <c r="Z126" s="22">
        <v>236.86199999999999</v>
      </c>
      <c r="AA126" s="22">
        <v>-1.67694E-2</v>
      </c>
      <c r="AB126" s="22">
        <v>116</v>
      </c>
      <c r="AC126" s="22">
        <v>1.2149000000000001</v>
      </c>
      <c r="AD126">
        <f t="shared" si="16"/>
        <v>16.769400000000001</v>
      </c>
      <c r="AE126">
        <f t="shared" si="17"/>
        <v>20.388571907999999</v>
      </c>
      <c r="AF126" s="9"/>
      <c r="AG126" s="22">
        <v>0.48416100000000001</v>
      </c>
      <c r="AH126" s="22">
        <v>391.29899999999998</v>
      </c>
      <c r="AI126" s="22">
        <v>-1.75873E-2</v>
      </c>
      <c r="AJ126" s="22">
        <v>116</v>
      </c>
      <c r="AK126" s="22">
        <v>0.48355100000000001</v>
      </c>
      <c r="AL126">
        <f t="shared" si="18"/>
        <v>17.587299999999999</v>
      </c>
      <c r="AM126">
        <f t="shared" si="19"/>
        <v>8.5150847553000002</v>
      </c>
      <c r="AP126" s="9"/>
      <c r="AQ126" s="22">
        <v>1.2158199999999999</v>
      </c>
      <c r="AR126" s="22">
        <v>492.40899999999999</v>
      </c>
      <c r="AS126" s="22">
        <v>-1.6622899999999999E-2</v>
      </c>
      <c r="AT126" s="22">
        <v>116</v>
      </c>
      <c r="AU126" s="22">
        <v>1.2149000000000001</v>
      </c>
      <c r="AV126">
        <f t="shared" si="20"/>
        <v>16.622899999999998</v>
      </c>
      <c r="AW126">
        <f t="shared" si="21"/>
        <v>20.210454277999997</v>
      </c>
      <c r="AX126" s="9"/>
      <c r="AY126" s="22">
        <v>0.48416100000000001</v>
      </c>
      <c r="AZ126" s="22">
        <v>564.66300000000001</v>
      </c>
      <c r="BA126" s="22">
        <v>-1.7556800000000001E-2</v>
      </c>
      <c r="BB126" s="22">
        <v>116</v>
      </c>
      <c r="BC126" s="22">
        <v>0.48339799999999999</v>
      </c>
      <c r="BD126">
        <f t="shared" si="22"/>
        <v>17.556800000000003</v>
      </c>
      <c r="BE126">
        <f t="shared" si="23"/>
        <v>8.5003178448000014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85.449100000000001</v>
      </c>
      <c r="I127" s="22">
        <v>-1.6528299999999999E-2</v>
      </c>
      <c r="J127" s="22">
        <v>117</v>
      </c>
      <c r="K127" s="22">
        <v>1.2100200000000001</v>
      </c>
      <c r="L127">
        <f t="shared" si="12"/>
        <v>16.528299999999998</v>
      </c>
      <c r="M127">
        <f t="shared" si="13"/>
        <v>20.012135073999996</v>
      </c>
      <c r="N127" s="9"/>
      <c r="O127" s="22">
        <v>0.48919699999999999</v>
      </c>
      <c r="P127" s="22">
        <v>151.40899999999999</v>
      </c>
      <c r="Q127" s="22">
        <v>-1.7633099999999999E-2</v>
      </c>
      <c r="R127" s="22">
        <v>117</v>
      </c>
      <c r="S127" s="22">
        <v>0.48880000000000001</v>
      </c>
      <c r="T127">
        <f t="shared" si="14"/>
        <v>17.633099999999999</v>
      </c>
      <c r="U127">
        <f t="shared" si="15"/>
        <v>8.6260596206999995</v>
      </c>
      <c r="X127" s="9"/>
      <c r="Y127" s="22">
        <v>1.21078</v>
      </c>
      <c r="Z127" s="22">
        <v>236.96299999999999</v>
      </c>
      <c r="AA127" s="22">
        <v>-1.6775499999999999E-2</v>
      </c>
      <c r="AB127" s="22">
        <v>117</v>
      </c>
      <c r="AC127" s="22">
        <v>1.2100200000000001</v>
      </c>
      <c r="AD127">
        <f t="shared" si="16"/>
        <v>16.775499999999997</v>
      </c>
      <c r="AE127">
        <f t="shared" si="17"/>
        <v>20.311439889999996</v>
      </c>
      <c r="AF127" s="9"/>
      <c r="AG127" s="22">
        <v>0.48919699999999999</v>
      </c>
      <c r="AH127" s="22">
        <v>391.399</v>
      </c>
      <c r="AI127" s="22">
        <v>-1.75751E-2</v>
      </c>
      <c r="AJ127" s="22">
        <v>117</v>
      </c>
      <c r="AK127" s="22">
        <v>0.48861700000000002</v>
      </c>
      <c r="AL127">
        <f t="shared" si="18"/>
        <v>17.575099999999999</v>
      </c>
      <c r="AM127">
        <f t="shared" si="19"/>
        <v>8.5976861946999996</v>
      </c>
      <c r="AP127" s="9"/>
      <c r="AQ127" s="22">
        <v>1.21078</v>
      </c>
      <c r="AR127" s="22">
        <v>492.51</v>
      </c>
      <c r="AS127" s="22">
        <v>-1.66321E-2</v>
      </c>
      <c r="AT127" s="22">
        <v>117</v>
      </c>
      <c r="AU127" s="22">
        <v>1.2097199999999999</v>
      </c>
      <c r="AV127">
        <f t="shared" si="20"/>
        <v>16.632100000000001</v>
      </c>
      <c r="AW127">
        <f t="shared" si="21"/>
        <v>20.137814038000002</v>
      </c>
      <c r="AX127" s="9"/>
      <c r="AY127" s="22">
        <v>0.48919699999999999</v>
      </c>
      <c r="AZ127" s="22">
        <v>564.76400000000001</v>
      </c>
      <c r="BA127" s="22">
        <v>-1.7553699999999998E-2</v>
      </c>
      <c r="BB127" s="22">
        <v>117</v>
      </c>
      <c r="BC127" s="22">
        <v>0.488678</v>
      </c>
      <c r="BD127">
        <f t="shared" si="22"/>
        <v>17.553699999999999</v>
      </c>
      <c r="BE127">
        <f t="shared" si="23"/>
        <v>8.5872173789000001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85.549800000000005</v>
      </c>
      <c r="I128" s="22">
        <v>-1.65375E-2</v>
      </c>
      <c r="J128" s="22">
        <v>118</v>
      </c>
      <c r="K128" s="22">
        <v>1.2048300000000001</v>
      </c>
      <c r="L128">
        <f t="shared" si="12"/>
        <v>16.537500000000001</v>
      </c>
      <c r="M128">
        <f t="shared" si="13"/>
        <v>19.940090625000003</v>
      </c>
      <c r="N128" s="9"/>
      <c r="O128" s="22">
        <v>0.494232</v>
      </c>
      <c r="P128" s="22">
        <v>151.51</v>
      </c>
      <c r="Q128" s="22">
        <v>-1.7620799999999999E-2</v>
      </c>
      <c r="R128" s="22">
        <v>118</v>
      </c>
      <c r="S128" s="22">
        <v>0.49377399999999999</v>
      </c>
      <c r="T128">
        <f t="shared" si="14"/>
        <v>17.620799999999999</v>
      </c>
      <c r="U128">
        <f t="shared" si="15"/>
        <v>8.7087632256000003</v>
      </c>
      <c r="X128" s="9"/>
      <c r="Y128" s="22">
        <v>1.2057500000000001</v>
      </c>
      <c r="Z128" s="22">
        <v>237.06299999999999</v>
      </c>
      <c r="AA128" s="22">
        <v>-1.6781600000000001E-2</v>
      </c>
      <c r="AB128" s="22">
        <v>118</v>
      </c>
      <c r="AC128" s="22">
        <v>1.2054400000000001</v>
      </c>
      <c r="AD128">
        <f t="shared" si="16"/>
        <v>16.781600000000001</v>
      </c>
      <c r="AE128">
        <f t="shared" si="17"/>
        <v>20.234414200000003</v>
      </c>
      <c r="AF128" s="9"/>
      <c r="AG128" s="22">
        <v>0.494232</v>
      </c>
      <c r="AH128" s="22">
        <v>391.5</v>
      </c>
      <c r="AI128" s="22">
        <v>-1.7569000000000001E-2</v>
      </c>
      <c r="AJ128" s="22">
        <v>118</v>
      </c>
      <c r="AK128" s="22">
        <v>0.49362200000000001</v>
      </c>
      <c r="AL128">
        <f t="shared" si="18"/>
        <v>17.569000000000003</v>
      </c>
      <c r="AM128">
        <f t="shared" si="19"/>
        <v>8.6831620080000018</v>
      </c>
      <c r="AP128" s="9"/>
      <c r="AQ128" s="22">
        <v>1.2057500000000001</v>
      </c>
      <c r="AR128" s="22">
        <v>492.61099999999999</v>
      </c>
      <c r="AS128" s="22">
        <v>-1.66351E-2</v>
      </c>
      <c r="AT128" s="22">
        <v>118</v>
      </c>
      <c r="AU128" s="22">
        <v>1.2042200000000001</v>
      </c>
      <c r="AV128">
        <f t="shared" si="20"/>
        <v>16.635100000000001</v>
      </c>
      <c r="AW128">
        <f t="shared" si="21"/>
        <v>20.057771825000003</v>
      </c>
      <c r="AX128" s="9"/>
      <c r="AY128" s="22">
        <v>0.494232</v>
      </c>
      <c r="AZ128" s="22">
        <v>564.86500000000001</v>
      </c>
      <c r="BA128" s="22">
        <v>-1.7541500000000002E-2</v>
      </c>
      <c r="BB128" s="22">
        <v>118</v>
      </c>
      <c r="BC128" s="22">
        <v>0.49346899999999999</v>
      </c>
      <c r="BD128">
        <f t="shared" si="22"/>
        <v>17.541500000000003</v>
      </c>
      <c r="BE128">
        <f t="shared" si="23"/>
        <v>8.6695706280000007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85.650499999999994</v>
      </c>
      <c r="I129" s="22">
        <v>-1.6534400000000001E-2</v>
      </c>
      <c r="J129" s="22">
        <v>119</v>
      </c>
      <c r="K129" s="22">
        <v>1.1996500000000001</v>
      </c>
      <c r="L129">
        <f t="shared" si="12"/>
        <v>16.534400000000002</v>
      </c>
      <c r="M129">
        <f t="shared" si="13"/>
        <v>19.853019423999999</v>
      </c>
      <c r="N129" s="9"/>
      <c r="O129" s="22">
        <v>0.49926799999999999</v>
      </c>
      <c r="P129" s="22">
        <v>151.61099999999999</v>
      </c>
      <c r="Q129" s="22">
        <v>-1.7620799999999999E-2</v>
      </c>
      <c r="R129" s="22">
        <v>119</v>
      </c>
      <c r="S129" s="22">
        <v>0.49871799999999999</v>
      </c>
      <c r="T129">
        <f t="shared" si="14"/>
        <v>17.620799999999999</v>
      </c>
      <c r="U129">
        <f t="shared" si="15"/>
        <v>8.7975015744</v>
      </c>
      <c r="X129" s="9"/>
      <c r="Y129" s="22">
        <v>1.2007099999999999</v>
      </c>
      <c r="Z129" s="22">
        <v>237.16399999999999</v>
      </c>
      <c r="AA129" s="22">
        <v>-1.6790800000000002E-2</v>
      </c>
      <c r="AB129" s="22">
        <v>119</v>
      </c>
      <c r="AC129" s="22">
        <v>1.2002600000000001</v>
      </c>
      <c r="AD129">
        <f t="shared" si="16"/>
        <v>16.790800000000001</v>
      </c>
      <c r="AE129">
        <f t="shared" si="17"/>
        <v>20.160881467999999</v>
      </c>
      <c r="AF129" s="9"/>
      <c r="AG129" s="22">
        <v>0.49926799999999999</v>
      </c>
      <c r="AH129" s="22">
        <v>391.601</v>
      </c>
      <c r="AI129" s="22">
        <v>-1.7565899999999999E-2</v>
      </c>
      <c r="AJ129" s="22">
        <v>119</v>
      </c>
      <c r="AK129" s="22">
        <v>0.498749</v>
      </c>
      <c r="AL129">
        <f t="shared" si="18"/>
        <v>17.565899999999999</v>
      </c>
      <c r="AM129">
        <f t="shared" si="19"/>
        <v>8.7700917611999998</v>
      </c>
      <c r="AP129" s="9"/>
      <c r="AQ129" s="22">
        <v>1.2007099999999999</v>
      </c>
      <c r="AR129" s="22">
        <v>492.71100000000001</v>
      </c>
      <c r="AS129" s="22">
        <v>-1.6641199999999998E-2</v>
      </c>
      <c r="AT129" s="22">
        <v>119</v>
      </c>
      <c r="AU129" s="22">
        <v>1.1999500000000001</v>
      </c>
      <c r="AV129">
        <f t="shared" si="20"/>
        <v>16.641199999999998</v>
      </c>
      <c r="AW129">
        <f t="shared" si="21"/>
        <v>19.981255251999997</v>
      </c>
      <c r="AX129" s="9"/>
      <c r="AY129" s="22">
        <v>0.49926799999999999</v>
      </c>
      <c r="AZ129" s="22">
        <v>564.96500000000003</v>
      </c>
      <c r="BA129" s="22">
        <v>-1.7541500000000002E-2</v>
      </c>
      <c r="BB129" s="22">
        <v>119</v>
      </c>
      <c r="BC129" s="22">
        <v>0.49868800000000002</v>
      </c>
      <c r="BD129">
        <f t="shared" si="22"/>
        <v>17.541500000000003</v>
      </c>
      <c r="BE129">
        <f t="shared" si="23"/>
        <v>8.7579096220000014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85.751199999999997</v>
      </c>
      <c r="I130" s="22">
        <v>-1.6543599999999999E-2</v>
      </c>
      <c r="J130" s="22">
        <v>120</v>
      </c>
      <c r="K130" s="22">
        <v>1.19537</v>
      </c>
      <c r="L130">
        <f t="shared" si="12"/>
        <v>16.543599999999998</v>
      </c>
      <c r="M130">
        <f t="shared" si="13"/>
        <v>19.780851647999999</v>
      </c>
      <c r="N130" s="9"/>
      <c r="O130" s="22">
        <v>0.50430299999999995</v>
      </c>
      <c r="P130" s="22">
        <v>151.71100000000001</v>
      </c>
      <c r="Q130" s="22">
        <v>-1.7617799999999999E-2</v>
      </c>
      <c r="R130" s="22">
        <v>120</v>
      </c>
      <c r="S130" s="22">
        <v>0.50372300000000003</v>
      </c>
      <c r="T130">
        <f t="shared" si="14"/>
        <v>17.617799999999999</v>
      </c>
      <c r="U130">
        <f t="shared" si="15"/>
        <v>8.8847093933999979</v>
      </c>
      <c r="X130" s="9"/>
      <c r="Y130" s="22">
        <v>1.1956800000000001</v>
      </c>
      <c r="Z130" s="22">
        <v>237.26499999999999</v>
      </c>
      <c r="AA130" s="22">
        <v>-1.6802999999999998E-2</v>
      </c>
      <c r="AB130" s="22">
        <v>120</v>
      </c>
      <c r="AC130" s="22">
        <v>1.19415</v>
      </c>
      <c r="AD130">
        <f t="shared" si="16"/>
        <v>16.802999999999997</v>
      </c>
      <c r="AE130">
        <f t="shared" si="17"/>
        <v>20.091011039999998</v>
      </c>
      <c r="AF130" s="9"/>
      <c r="AG130" s="22">
        <v>0.50430299999999995</v>
      </c>
      <c r="AH130" s="22">
        <v>391.70100000000002</v>
      </c>
      <c r="AI130" s="22">
        <v>-1.7562899999999999E-2</v>
      </c>
      <c r="AJ130" s="22">
        <v>120</v>
      </c>
      <c r="AK130" s="22">
        <v>0.50399799999999995</v>
      </c>
      <c r="AL130">
        <f t="shared" si="18"/>
        <v>17.562899999999999</v>
      </c>
      <c r="AM130">
        <f t="shared" si="19"/>
        <v>8.8570231586999988</v>
      </c>
      <c r="AP130" s="9"/>
      <c r="AQ130" s="22">
        <v>1.1956800000000001</v>
      </c>
      <c r="AR130" s="22">
        <v>492.81200000000001</v>
      </c>
      <c r="AS130" s="22">
        <v>-1.66473E-2</v>
      </c>
      <c r="AT130" s="22">
        <v>120</v>
      </c>
      <c r="AU130" s="22">
        <v>1.1938500000000001</v>
      </c>
      <c r="AV130">
        <f t="shared" si="20"/>
        <v>16.647300000000001</v>
      </c>
      <c r="AW130">
        <f t="shared" si="21"/>
        <v>19.904843664000001</v>
      </c>
      <c r="AX130" s="9"/>
      <c r="AY130" s="22">
        <v>0.50430299999999995</v>
      </c>
      <c r="AZ130" s="22">
        <v>565.06600000000003</v>
      </c>
      <c r="BA130" s="22">
        <v>-1.75354E-2</v>
      </c>
      <c r="BB130" s="22">
        <v>120</v>
      </c>
      <c r="BC130" s="22">
        <v>0.50372300000000003</v>
      </c>
      <c r="BD130">
        <f t="shared" si="22"/>
        <v>17.535399999999999</v>
      </c>
      <c r="BE130">
        <f t="shared" si="23"/>
        <v>8.8431548261999993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85.851900000000001</v>
      </c>
      <c r="I131" s="22">
        <v>-1.6558799999999999E-2</v>
      </c>
      <c r="J131" s="22">
        <v>121</v>
      </c>
      <c r="K131" s="22">
        <v>1.18988</v>
      </c>
      <c r="L131">
        <f t="shared" si="12"/>
        <v>16.558799999999998</v>
      </c>
      <c r="M131">
        <f t="shared" si="13"/>
        <v>19.715569631999998</v>
      </c>
      <c r="N131" s="9"/>
      <c r="O131" s="22">
        <v>0.50933799999999996</v>
      </c>
      <c r="P131" s="22">
        <v>151.81200000000001</v>
      </c>
      <c r="Q131" s="22">
        <v>-1.7608599999999999E-2</v>
      </c>
      <c r="R131" s="22">
        <v>121</v>
      </c>
      <c r="S131" s="22">
        <v>0.50872799999999996</v>
      </c>
      <c r="T131">
        <f t="shared" si="14"/>
        <v>17.608599999999999</v>
      </c>
      <c r="U131">
        <f t="shared" si="15"/>
        <v>8.9687291067999997</v>
      </c>
      <c r="X131" s="9"/>
      <c r="Y131" s="22">
        <v>1.1906399999999999</v>
      </c>
      <c r="Z131" s="22">
        <v>237.36500000000001</v>
      </c>
      <c r="AA131" s="22">
        <v>-1.6802999999999998E-2</v>
      </c>
      <c r="AB131" s="22">
        <v>121</v>
      </c>
      <c r="AC131" s="22">
        <v>1.1895800000000001</v>
      </c>
      <c r="AD131">
        <f t="shared" si="16"/>
        <v>16.802999999999997</v>
      </c>
      <c r="AE131">
        <f t="shared" si="17"/>
        <v>20.006323919999996</v>
      </c>
      <c r="AF131" s="9"/>
      <c r="AG131" s="22">
        <v>0.50933799999999996</v>
      </c>
      <c r="AH131" s="22">
        <v>391.80200000000002</v>
      </c>
      <c r="AI131" s="22">
        <v>-1.75598E-2</v>
      </c>
      <c r="AJ131" s="22">
        <v>121</v>
      </c>
      <c r="AK131" s="22">
        <v>0.50869799999999998</v>
      </c>
      <c r="AL131">
        <f t="shared" si="18"/>
        <v>17.559799999999999</v>
      </c>
      <c r="AM131">
        <f t="shared" si="19"/>
        <v>8.9438734123999986</v>
      </c>
      <c r="AP131" s="9"/>
      <c r="AQ131" s="22">
        <v>1.1906399999999999</v>
      </c>
      <c r="AR131" s="22">
        <v>492.91300000000001</v>
      </c>
      <c r="AS131" s="22">
        <v>-1.66626E-2</v>
      </c>
      <c r="AT131" s="22">
        <v>121</v>
      </c>
      <c r="AU131" s="22">
        <v>1.18988</v>
      </c>
      <c r="AV131">
        <f t="shared" si="20"/>
        <v>16.662600000000001</v>
      </c>
      <c r="AW131">
        <f t="shared" si="21"/>
        <v>19.839158063999999</v>
      </c>
      <c r="AX131" s="9"/>
      <c r="AY131" s="22">
        <v>0.50933799999999996</v>
      </c>
      <c r="AZ131" s="22">
        <v>565.16700000000003</v>
      </c>
      <c r="BA131" s="22">
        <v>-1.7532300000000001E-2</v>
      </c>
      <c r="BB131" s="22">
        <v>121</v>
      </c>
      <c r="BC131" s="22">
        <v>0.50845300000000004</v>
      </c>
      <c r="BD131">
        <f t="shared" si="22"/>
        <v>17.532299999999999</v>
      </c>
      <c r="BE131">
        <f t="shared" si="23"/>
        <v>8.9298666173999983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85.952600000000004</v>
      </c>
      <c r="I132" s="22">
        <v>-1.6555799999999999E-2</v>
      </c>
      <c r="J132" s="22">
        <v>122</v>
      </c>
      <c r="K132" s="22">
        <v>1.18469</v>
      </c>
      <c r="L132">
        <f t="shared" si="12"/>
        <v>16.555799999999998</v>
      </c>
      <c r="M132">
        <f t="shared" si="13"/>
        <v>19.628722037999999</v>
      </c>
      <c r="N132" s="9"/>
      <c r="O132" s="22">
        <v>0.514374</v>
      </c>
      <c r="P132" s="22">
        <v>151.91300000000001</v>
      </c>
      <c r="Q132" s="22">
        <v>-1.7605599999999999E-2</v>
      </c>
      <c r="R132" s="22">
        <v>122</v>
      </c>
      <c r="S132" s="22">
        <v>0.513733</v>
      </c>
      <c r="T132">
        <f t="shared" si="14"/>
        <v>17.605599999999999</v>
      </c>
      <c r="U132">
        <f t="shared" si="15"/>
        <v>9.0558628943999988</v>
      </c>
      <c r="X132" s="9"/>
      <c r="Y132" s="22">
        <v>1.1856100000000001</v>
      </c>
      <c r="Z132" s="22">
        <v>237.46600000000001</v>
      </c>
      <c r="AA132" s="22">
        <v>-1.68121E-2</v>
      </c>
      <c r="AB132" s="22">
        <v>122</v>
      </c>
      <c r="AC132" s="22">
        <v>1.18469</v>
      </c>
      <c r="AD132">
        <f t="shared" si="16"/>
        <v>16.812100000000001</v>
      </c>
      <c r="AE132">
        <f t="shared" si="17"/>
        <v>19.932593881000003</v>
      </c>
      <c r="AF132" s="9"/>
      <c r="AG132" s="22">
        <v>0.514374</v>
      </c>
      <c r="AH132" s="22">
        <v>391.90300000000002</v>
      </c>
      <c r="AI132" s="22">
        <v>-1.75446E-2</v>
      </c>
      <c r="AJ132" s="22">
        <v>122</v>
      </c>
      <c r="AK132" s="22">
        <v>0.51379399999999997</v>
      </c>
      <c r="AL132">
        <f t="shared" si="18"/>
        <v>17.544599999999999</v>
      </c>
      <c r="AM132">
        <f t="shared" si="19"/>
        <v>9.0244860803999991</v>
      </c>
      <c r="AP132" s="9"/>
      <c r="AQ132" s="22">
        <v>1.1856100000000001</v>
      </c>
      <c r="AR132" s="22">
        <v>493.01299999999998</v>
      </c>
      <c r="AS132" s="22">
        <v>-1.6665599999999999E-2</v>
      </c>
      <c r="AT132" s="22">
        <v>122</v>
      </c>
      <c r="AU132" s="22">
        <v>1.18469</v>
      </c>
      <c r="AV132">
        <f t="shared" si="20"/>
        <v>16.665599999999998</v>
      </c>
      <c r="AW132">
        <f t="shared" si="21"/>
        <v>19.758902015999997</v>
      </c>
      <c r="AX132" s="9"/>
      <c r="AY132" s="22">
        <v>0.514374</v>
      </c>
      <c r="AZ132" s="22">
        <v>565.26800000000003</v>
      </c>
      <c r="BA132" s="22">
        <v>-1.7532300000000001E-2</v>
      </c>
      <c r="BB132" s="22">
        <v>122</v>
      </c>
      <c r="BC132" s="22">
        <v>0.51382399999999995</v>
      </c>
      <c r="BD132">
        <f t="shared" si="22"/>
        <v>17.532299999999999</v>
      </c>
      <c r="BE132">
        <f t="shared" si="23"/>
        <v>9.018159280199999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86.053299999999993</v>
      </c>
      <c r="I133" s="22">
        <v>-1.6561900000000001E-2</v>
      </c>
      <c r="J133" s="22">
        <v>123</v>
      </c>
      <c r="K133" s="22">
        <v>1.17981</v>
      </c>
      <c r="L133">
        <f t="shared" si="12"/>
        <v>16.561900000000001</v>
      </c>
      <c r="M133">
        <f t="shared" si="13"/>
        <v>19.552482283</v>
      </c>
      <c r="N133" s="9"/>
      <c r="O133" s="22">
        <v>0.51940900000000001</v>
      </c>
      <c r="P133" s="22">
        <v>152.01300000000001</v>
      </c>
      <c r="Q133" s="22">
        <v>-1.7605599999999999E-2</v>
      </c>
      <c r="R133" s="22">
        <v>123</v>
      </c>
      <c r="S133" s="22">
        <v>0.51888999999999996</v>
      </c>
      <c r="T133">
        <f t="shared" si="14"/>
        <v>17.605599999999999</v>
      </c>
      <c r="U133">
        <f t="shared" si="15"/>
        <v>9.1445070903999994</v>
      </c>
      <c r="X133" s="9"/>
      <c r="Y133" s="22">
        <v>1.1805699999999999</v>
      </c>
      <c r="Z133" s="22">
        <v>237.56700000000001</v>
      </c>
      <c r="AA133" s="22">
        <v>-1.68243E-2</v>
      </c>
      <c r="AB133" s="22">
        <v>123</v>
      </c>
      <c r="AC133" s="22">
        <v>1.1792</v>
      </c>
      <c r="AD133">
        <f t="shared" si="16"/>
        <v>16.824300000000001</v>
      </c>
      <c r="AE133">
        <f t="shared" si="17"/>
        <v>19.862263850999998</v>
      </c>
      <c r="AF133" s="9"/>
      <c r="AG133" s="22">
        <v>0.51940900000000001</v>
      </c>
      <c r="AH133" s="22">
        <v>392.00299999999999</v>
      </c>
      <c r="AI133" s="22">
        <v>-1.75446E-2</v>
      </c>
      <c r="AJ133" s="22">
        <v>123</v>
      </c>
      <c r="AK133" s="22">
        <v>0.51876800000000001</v>
      </c>
      <c r="AL133">
        <f t="shared" si="18"/>
        <v>17.544599999999999</v>
      </c>
      <c r="AM133">
        <f t="shared" si="19"/>
        <v>9.1128231413999998</v>
      </c>
      <c r="AP133" s="9"/>
      <c r="AQ133" s="22">
        <v>1.1805699999999999</v>
      </c>
      <c r="AR133" s="22">
        <v>493.11399999999998</v>
      </c>
      <c r="AS133" s="22">
        <v>-1.6680899999999999E-2</v>
      </c>
      <c r="AT133" s="22">
        <v>123</v>
      </c>
      <c r="AU133" s="22">
        <v>1.18011</v>
      </c>
      <c r="AV133">
        <f t="shared" si="20"/>
        <v>16.680899999999998</v>
      </c>
      <c r="AW133">
        <f t="shared" si="21"/>
        <v>19.692970112999994</v>
      </c>
      <c r="AX133" s="9"/>
      <c r="AY133" s="22">
        <v>0.51940900000000001</v>
      </c>
      <c r="AZ133" s="22">
        <v>565.36800000000005</v>
      </c>
      <c r="BA133" s="22">
        <v>-1.7517100000000001E-2</v>
      </c>
      <c r="BB133" s="22">
        <v>123</v>
      </c>
      <c r="BC133" s="22">
        <v>0.51867700000000005</v>
      </c>
      <c r="BD133">
        <f t="shared" si="22"/>
        <v>17.517099999999999</v>
      </c>
      <c r="BE133">
        <f t="shared" si="23"/>
        <v>9.0985393938999994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86.153999999999996</v>
      </c>
      <c r="I134" s="22">
        <v>-1.6574100000000001E-2</v>
      </c>
      <c r="J134" s="22">
        <v>124</v>
      </c>
      <c r="K134" s="22">
        <v>1.17401</v>
      </c>
      <c r="L134">
        <f t="shared" si="12"/>
        <v>16.574100000000001</v>
      </c>
      <c r="M134">
        <f t="shared" si="13"/>
        <v>19.483517514000003</v>
      </c>
      <c r="N134" s="9"/>
      <c r="O134" s="22">
        <v>0.52444500000000005</v>
      </c>
      <c r="P134" s="22">
        <v>152.114</v>
      </c>
      <c r="Q134" s="22">
        <v>-1.75903E-2</v>
      </c>
      <c r="R134" s="22">
        <v>124</v>
      </c>
      <c r="S134" s="22">
        <v>0.523895</v>
      </c>
      <c r="T134">
        <f t="shared" si="14"/>
        <v>17.590299999999999</v>
      </c>
      <c r="U134">
        <f t="shared" si="15"/>
        <v>9.2251448835000005</v>
      </c>
      <c r="X134" s="9"/>
      <c r="Y134" s="22">
        <v>1.17554</v>
      </c>
      <c r="Z134" s="22">
        <v>237.667</v>
      </c>
      <c r="AA134" s="22">
        <v>-1.6827399999999999E-2</v>
      </c>
      <c r="AB134" s="22">
        <v>124</v>
      </c>
      <c r="AC134" s="22">
        <v>1.17493</v>
      </c>
      <c r="AD134">
        <f t="shared" si="16"/>
        <v>16.827400000000001</v>
      </c>
      <c r="AE134">
        <f t="shared" si="17"/>
        <v>19.781281796000002</v>
      </c>
      <c r="AF134" s="9"/>
      <c r="AG134" s="22">
        <v>0.52444500000000005</v>
      </c>
      <c r="AH134" s="22">
        <v>392.10399999999998</v>
      </c>
      <c r="AI134" s="22">
        <v>-1.75446E-2</v>
      </c>
      <c r="AJ134" s="22">
        <v>124</v>
      </c>
      <c r="AK134" s="22">
        <v>0.523926</v>
      </c>
      <c r="AL134">
        <f t="shared" si="18"/>
        <v>17.544599999999999</v>
      </c>
      <c r="AM134">
        <f t="shared" si="19"/>
        <v>9.2011777470000009</v>
      </c>
      <c r="AP134" s="9"/>
      <c r="AQ134" s="22">
        <v>1.17554</v>
      </c>
      <c r="AR134" s="22">
        <v>493.21499999999997</v>
      </c>
      <c r="AS134" s="22">
        <v>-1.6684000000000001E-2</v>
      </c>
      <c r="AT134" s="22">
        <v>124</v>
      </c>
      <c r="AU134" s="22">
        <v>1.17462</v>
      </c>
      <c r="AV134">
        <f t="shared" si="20"/>
        <v>16.684000000000001</v>
      </c>
      <c r="AW134">
        <f t="shared" si="21"/>
        <v>19.61270936</v>
      </c>
      <c r="AX134" s="9"/>
      <c r="AY134" s="22">
        <v>0.52444500000000005</v>
      </c>
      <c r="AZ134" s="22">
        <v>565.46900000000005</v>
      </c>
      <c r="BA134" s="22">
        <v>-1.7517100000000001E-2</v>
      </c>
      <c r="BB134" s="22">
        <v>124</v>
      </c>
      <c r="BC134" s="22">
        <v>0.52374299999999996</v>
      </c>
      <c r="BD134">
        <f t="shared" si="22"/>
        <v>17.517099999999999</v>
      </c>
      <c r="BE134">
        <f t="shared" si="23"/>
        <v>9.1867555095000011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86.2547</v>
      </c>
      <c r="I135" s="22">
        <v>-1.6574100000000001E-2</v>
      </c>
      <c r="J135" s="22">
        <v>125</v>
      </c>
      <c r="K135" s="22">
        <v>1.16943</v>
      </c>
      <c r="L135">
        <f t="shared" si="12"/>
        <v>16.574100000000001</v>
      </c>
      <c r="M135">
        <f t="shared" si="13"/>
        <v>19.399984050000004</v>
      </c>
      <c r="N135" s="9"/>
      <c r="O135" s="22">
        <v>0.52947999999999995</v>
      </c>
      <c r="P135" s="22">
        <v>152.215</v>
      </c>
      <c r="Q135" s="22">
        <v>-1.75873E-2</v>
      </c>
      <c r="R135" s="22">
        <v>125</v>
      </c>
      <c r="S135" s="22">
        <v>0.52896100000000001</v>
      </c>
      <c r="T135">
        <f t="shared" si="14"/>
        <v>17.587299999999999</v>
      </c>
      <c r="U135">
        <f t="shared" si="15"/>
        <v>9.3121236039999982</v>
      </c>
      <c r="X135" s="9"/>
      <c r="Y135" s="22">
        <v>1.1705000000000001</v>
      </c>
      <c r="Z135" s="22">
        <v>237.768</v>
      </c>
      <c r="AA135" s="22">
        <v>-1.6833500000000001E-2</v>
      </c>
      <c r="AB135" s="22">
        <v>125</v>
      </c>
      <c r="AC135" s="22">
        <v>1.16943</v>
      </c>
      <c r="AD135">
        <f t="shared" si="16"/>
        <v>16.833500000000001</v>
      </c>
      <c r="AE135">
        <f t="shared" si="17"/>
        <v>19.703611750000004</v>
      </c>
      <c r="AF135" s="9"/>
      <c r="AG135" s="22">
        <v>0.52947999999999995</v>
      </c>
      <c r="AH135" s="22">
        <v>392.20499999999998</v>
      </c>
      <c r="AI135" s="22">
        <v>-1.7541500000000002E-2</v>
      </c>
      <c r="AJ135" s="22">
        <v>125</v>
      </c>
      <c r="AK135" s="22">
        <v>0.52868700000000002</v>
      </c>
      <c r="AL135">
        <f t="shared" si="18"/>
        <v>17.541500000000003</v>
      </c>
      <c r="AM135">
        <f t="shared" si="19"/>
        <v>9.2878734200000004</v>
      </c>
      <c r="AP135" s="9"/>
      <c r="AQ135" s="22">
        <v>1.1705000000000001</v>
      </c>
      <c r="AR135" s="22">
        <v>493.31599999999997</v>
      </c>
      <c r="AS135" s="22">
        <v>-1.6684000000000001E-2</v>
      </c>
      <c r="AT135" s="22">
        <v>125</v>
      </c>
      <c r="AU135" s="22">
        <v>1.17004</v>
      </c>
      <c r="AV135">
        <f t="shared" si="20"/>
        <v>16.684000000000001</v>
      </c>
      <c r="AW135">
        <f t="shared" si="21"/>
        <v>19.528622000000002</v>
      </c>
      <c r="AX135" s="9"/>
      <c r="AY135" s="22">
        <v>0.52947999999999995</v>
      </c>
      <c r="AZ135" s="22">
        <v>565.57000000000005</v>
      </c>
      <c r="BA135" s="22">
        <v>-1.75049E-2</v>
      </c>
      <c r="BB135" s="22">
        <v>125</v>
      </c>
      <c r="BC135" s="22">
        <v>0.52923600000000004</v>
      </c>
      <c r="BD135">
        <f t="shared" si="22"/>
        <v>17.504899999999999</v>
      </c>
      <c r="BE135">
        <f t="shared" si="23"/>
        <v>9.2684944519999988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86.355400000000003</v>
      </c>
      <c r="I136" s="22">
        <v>-1.6583299999999999E-2</v>
      </c>
      <c r="J136" s="22">
        <v>126</v>
      </c>
      <c r="K136" s="22">
        <v>1.16455</v>
      </c>
      <c r="L136">
        <f t="shared" si="12"/>
        <v>16.583299999999998</v>
      </c>
      <c r="M136">
        <f t="shared" si="13"/>
        <v>19.327338650999998</v>
      </c>
      <c r="N136" s="9"/>
      <c r="O136" s="22">
        <v>0.53451499999999996</v>
      </c>
      <c r="P136" s="22">
        <v>152.315</v>
      </c>
      <c r="Q136" s="22">
        <v>-1.7581200000000002E-2</v>
      </c>
      <c r="R136" s="22">
        <v>126</v>
      </c>
      <c r="S136" s="22">
        <v>0.53402700000000003</v>
      </c>
      <c r="T136">
        <f t="shared" si="14"/>
        <v>17.581200000000003</v>
      </c>
      <c r="U136">
        <f t="shared" si="15"/>
        <v>9.3974151180000014</v>
      </c>
      <c r="X136" s="9"/>
      <c r="Y136" s="22">
        <v>1.16547</v>
      </c>
      <c r="Z136" s="22">
        <v>237.869</v>
      </c>
      <c r="AA136" s="22">
        <v>-1.6833500000000001E-2</v>
      </c>
      <c r="AB136" s="22">
        <v>126</v>
      </c>
      <c r="AC136" s="22">
        <v>1.16425</v>
      </c>
      <c r="AD136">
        <f t="shared" si="16"/>
        <v>16.833500000000001</v>
      </c>
      <c r="AE136">
        <f t="shared" si="17"/>
        <v>19.618939245</v>
      </c>
      <c r="AF136" s="9"/>
      <c r="AG136" s="22">
        <v>0.53451499999999996</v>
      </c>
      <c r="AH136" s="22">
        <v>392.30599999999998</v>
      </c>
      <c r="AI136" s="22">
        <v>-1.7529300000000001E-2</v>
      </c>
      <c r="AJ136" s="22">
        <v>126</v>
      </c>
      <c r="AK136" s="22">
        <v>0.53411900000000001</v>
      </c>
      <c r="AL136">
        <f t="shared" si="18"/>
        <v>17.529300000000003</v>
      </c>
      <c r="AM136">
        <f t="shared" si="19"/>
        <v>9.3696737895000002</v>
      </c>
      <c r="AP136" s="9"/>
      <c r="AQ136" s="22">
        <v>1.16547</v>
      </c>
      <c r="AR136" s="22">
        <v>493.416</v>
      </c>
      <c r="AS136" s="22">
        <v>-1.6690099999999999E-2</v>
      </c>
      <c r="AT136" s="22">
        <v>126</v>
      </c>
      <c r="AU136" s="22">
        <v>1.16425</v>
      </c>
      <c r="AV136">
        <f t="shared" si="20"/>
        <v>16.690100000000001</v>
      </c>
      <c r="AW136">
        <f t="shared" si="21"/>
        <v>19.451810847000001</v>
      </c>
      <c r="AX136" s="9"/>
      <c r="AY136" s="22">
        <v>0.53451499999999996</v>
      </c>
      <c r="AZ136" s="22">
        <v>565.66999999999996</v>
      </c>
      <c r="BA136" s="22">
        <v>-1.7498799999999998E-2</v>
      </c>
      <c r="BB136" s="22">
        <v>126</v>
      </c>
      <c r="BC136" s="22">
        <v>0.53390499999999996</v>
      </c>
      <c r="BD136">
        <f t="shared" si="22"/>
        <v>17.498799999999999</v>
      </c>
      <c r="BE136">
        <f t="shared" si="23"/>
        <v>9.3533710819999989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86.456100000000006</v>
      </c>
      <c r="I137" s="22">
        <v>-1.6586299999999998E-2</v>
      </c>
      <c r="J137" s="22">
        <v>127</v>
      </c>
      <c r="K137" s="22">
        <v>1.16028</v>
      </c>
      <c r="L137">
        <f t="shared" si="12"/>
        <v>16.586299999999998</v>
      </c>
      <c r="M137">
        <f t="shared" si="13"/>
        <v>19.247240109</v>
      </c>
      <c r="N137" s="9"/>
      <c r="O137" s="22">
        <v>0.539551</v>
      </c>
      <c r="P137" s="22">
        <v>152.416</v>
      </c>
      <c r="Q137" s="22">
        <v>-1.7581200000000002E-2</v>
      </c>
      <c r="R137" s="22">
        <v>127</v>
      </c>
      <c r="S137" s="22">
        <v>0.53872699999999996</v>
      </c>
      <c r="T137">
        <f t="shared" si="14"/>
        <v>17.581200000000003</v>
      </c>
      <c r="U137">
        <f t="shared" si="15"/>
        <v>9.4859540412000012</v>
      </c>
      <c r="X137" s="9"/>
      <c r="Y137" s="22">
        <v>1.1604300000000001</v>
      </c>
      <c r="Z137" s="22">
        <v>237.97</v>
      </c>
      <c r="AA137" s="22">
        <v>-1.6845700000000002E-2</v>
      </c>
      <c r="AB137" s="22">
        <v>127</v>
      </c>
      <c r="AC137" s="22">
        <v>1.1587499999999999</v>
      </c>
      <c r="AD137">
        <f t="shared" si="16"/>
        <v>16.845700000000001</v>
      </c>
      <c r="AE137">
        <f t="shared" si="17"/>
        <v>19.548255651000002</v>
      </c>
      <c r="AF137" s="9"/>
      <c r="AG137" s="22">
        <v>0.539551</v>
      </c>
      <c r="AH137" s="22">
        <v>392.40600000000001</v>
      </c>
      <c r="AI137" s="22">
        <v>-1.7526199999999999E-2</v>
      </c>
      <c r="AJ137" s="22">
        <v>127</v>
      </c>
      <c r="AK137" s="22">
        <v>0.53891</v>
      </c>
      <c r="AL137">
        <f t="shared" si="18"/>
        <v>17.526199999999999</v>
      </c>
      <c r="AM137">
        <f t="shared" si="19"/>
        <v>9.4562787361999998</v>
      </c>
      <c r="AP137" s="9"/>
      <c r="AQ137" s="22">
        <v>1.1604300000000001</v>
      </c>
      <c r="AR137" s="22">
        <v>493.517</v>
      </c>
      <c r="AS137" s="22">
        <v>-1.67023E-2</v>
      </c>
      <c r="AT137" s="22">
        <v>127</v>
      </c>
      <c r="AU137" s="22">
        <v>1.1599699999999999</v>
      </c>
      <c r="AV137">
        <f t="shared" si="20"/>
        <v>16.702300000000001</v>
      </c>
      <c r="AW137">
        <f t="shared" si="21"/>
        <v>19.381849989000003</v>
      </c>
      <c r="AX137" s="9"/>
      <c r="AY137" s="22">
        <v>0.539551</v>
      </c>
      <c r="AZ137" s="22">
        <v>565.77099999999996</v>
      </c>
      <c r="BA137" s="22">
        <v>-1.74927E-2</v>
      </c>
      <c r="BB137" s="22">
        <v>127</v>
      </c>
      <c r="BC137" s="22">
        <v>0.53900099999999995</v>
      </c>
      <c r="BD137">
        <f t="shared" si="22"/>
        <v>17.492699999999999</v>
      </c>
      <c r="BE137">
        <f t="shared" si="23"/>
        <v>9.4382037777000001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86.556799999999996</v>
      </c>
      <c r="I138" s="22">
        <v>-1.6604600000000001E-2</v>
      </c>
      <c r="J138" s="22">
        <v>128</v>
      </c>
      <c r="K138" s="22">
        <v>1.15509</v>
      </c>
      <c r="L138">
        <f t="shared" si="12"/>
        <v>16.604600000000001</v>
      </c>
      <c r="M138">
        <f t="shared" si="13"/>
        <v>19.18495484</v>
      </c>
      <c r="N138" s="9"/>
      <c r="O138" s="22">
        <v>0.54458600000000001</v>
      </c>
      <c r="P138" s="22">
        <v>152.517</v>
      </c>
      <c r="Q138" s="22">
        <v>-1.7572000000000001E-2</v>
      </c>
      <c r="R138" s="22">
        <v>128</v>
      </c>
      <c r="S138" s="22">
        <v>0.54379299999999997</v>
      </c>
      <c r="T138">
        <f t="shared" si="14"/>
        <v>17.571999999999999</v>
      </c>
      <c r="U138">
        <f t="shared" si="15"/>
        <v>9.5694651919999991</v>
      </c>
      <c r="X138" s="9"/>
      <c r="Y138" s="22">
        <v>1.1554</v>
      </c>
      <c r="Z138" s="22">
        <v>238.07</v>
      </c>
      <c r="AA138" s="22">
        <v>-1.6854899999999999E-2</v>
      </c>
      <c r="AB138" s="22">
        <v>128</v>
      </c>
      <c r="AC138" s="22">
        <v>1.1541699999999999</v>
      </c>
      <c r="AD138">
        <f t="shared" si="16"/>
        <v>16.854900000000001</v>
      </c>
      <c r="AE138">
        <f t="shared" si="17"/>
        <v>19.474151460000002</v>
      </c>
      <c r="AF138" s="9"/>
      <c r="AG138" s="22">
        <v>0.54458600000000001</v>
      </c>
      <c r="AH138" s="22">
        <v>392.50700000000001</v>
      </c>
      <c r="AI138" s="22">
        <v>-1.7532300000000001E-2</v>
      </c>
      <c r="AJ138" s="22">
        <v>128</v>
      </c>
      <c r="AK138" s="22">
        <v>0.54406699999999997</v>
      </c>
      <c r="AL138">
        <f t="shared" si="18"/>
        <v>17.532299999999999</v>
      </c>
      <c r="AM138">
        <f t="shared" si="19"/>
        <v>9.5478451278000005</v>
      </c>
      <c r="AP138" s="9"/>
      <c r="AQ138" s="22">
        <v>1.1554</v>
      </c>
      <c r="AR138" s="22">
        <v>493.61799999999999</v>
      </c>
      <c r="AS138" s="22">
        <v>-1.6705299999999999E-2</v>
      </c>
      <c r="AT138" s="22">
        <v>128</v>
      </c>
      <c r="AU138" s="22">
        <v>1.1554</v>
      </c>
      <c r="AV138">
        <f t="shared" si="20"/>
        <v>16.705299999999998</v>
      </c>
      <c r="AW138">
        <f t="shared" si="21"/>
        <v>19.301303619999995</v>
      </c>
      <c r="AX138" s="9"/>
      <c r="AY138" s="22">
        <v>0.54458600000000001</v>
      </c>
      <c r="AZ138" s="22">
        <v>565.87199999999996</v>
      </c>
      <c r="BA138" s="22">
        <v>-1.7495699999999999E-2</v>
      </c>
      <c r="BB138" s="22">
        <v>128</v>
      </c>
      <c r="BC138" s="22">
        <v>0.54391500000000004</v>
      </c>
      <c r="BD138">
        <f t="shared" si="22"/>
        <v>17.495699999999999</v>
      </c>
      <c r="BE138">
        <f t="shared" si="23"/>
        <v>9.5279132801999999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86.657600000000002</v>
      </c>
      <c r="I139" s="22">
        <v>-1.6604600000000001E-2</v>
      </c>
      <c r="J139" s="22">
        <v>129</v>
      </c>
      <c r="K139" s="22">
        <v>1.15021</v>
      </c>
      <c r="L139">
        <f t="shared" si="12"/>
        <v>16.604600000000001</v>
      </c>
      <c r="M139">
        <f t="shared" si="13"/>
        <v>19.101267656000001</v>
      </c>
      <c r="N139" s="9"/>
      <c r="O139" s="22">
        <v>0.54962200000000005</v>
      </c>
      <c r="P139" s="22">
        <v>152.61799999999999</v>
      </c>
      <c r="Q139" s="22">
        <v>-1.75751E-2</v>
      </c>
      <c r="R139" s="22">
        <v>129</v>
      </c>
      <c r="S139" s="22">
        <v>0.54895000000000005</v>
      </c>
      <c r="T139">
        <f t="shared" si="14"/>
        <v>17.575099999999999</v>
      </c>
      <c r="U139">
        <f t="shared" si="15"/>
        <v>9.6596616122000007</v>
      </c>
      <c r="X139" s="9"/>
      <c r="Y139" s="22">
        <v>1.15036</v>
      </c>
      <c r="Z139" s="22">
        <v>238.17099999999999</v>
      </c>
      <c r="AA139" s="22">
        <v>-1.6857899999999999E-2</v>
      </c>
      <c r="AB139" s="22">
        <v>129</v>
      </c>
      <c r="AC139" s="22">
        <v>1.1505099999999999</v>
      </c>
      <c r="AD139">
        <f t="shared" si="16"/>
        <v>16.857899999999997</v>
      </c>
      <c r="AE139">
        <f t="shared" si="17"/>
        <v>19.392653843999998</v>
      </c>
      <c r="AF139" s="9"/>
      <c r="AG139" s="22">
        <v>0.54962200000000005</v>
      </c>
      <c r="AH139" s="22">
        <v>392.608</v>
      </c>
      <c r="AI139" s="22">
        <v>-1.75201E-2</v>
      </c>
      <c r="AJ139" s="22">
        <v>129</v>
      </c>
      <c r="AK139" s="22">
        <v>0.54895000000000005</v>
      </c>
      <c r="AL139">
        <f t="shared" si="18"/>
        <v>17.520099999999999</v>
      </c>
      <c r="AM139">
        <f t="shared" si="19"/>
        <v>9.6294324022000009</v>
      </c>
      <c r="AP139" s="9"/>
      <c r="AQ139" s="22">
        <v>1.15036</v>
      </c>
      <c r="AR139" s="22">
        <v>493.71800000000002</v>
      </c>
      <c r="AS139" s="22">
        <v>-1.67145E-2</v>
      </c>
      <c r="AT139" s="22">
        <v>129</v>
      </c>
      <c r="AU139" s="22">
        <v>1.1496</v>
      </c>
      <c r="AV139">
        <f t="shared" si="20"/>
        <v>16.714500000000001</v>
      </c>
      <c r="AW139">
        <f t="shared" si="21"/>
        <v>19.227692220000002</v>
      </c>
      <c r="AX139" s="9"/>
      <c r="AY139" s="22">
        <v>0.54962200000000005</v>
      </c>
      <c r="AZ139" s="22">
        <v>565.97299999999996</v>
      </c>
      <c r="BA139" s="22">
        <v>-1.7489600000000001E-2</v>
      </c>
      <c r="BB139" s="22">
        <v>129</v>
      </c>
      <c r="BC139" s="22">
        <v>0.54910300000000001</v>
      </c>
      <c r="BD139">
        <f t="shared" si="22"/>
        <v>17.489599999999999</v>
      </c>
      <c r="BE139">
        <f t="shared" si="23"/>
        <v>9.6126689312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86.758300000000006</v>
      </c>
      <c r="I140" s="22">
        <v>-1.66077E-2</v>
      </c>
      <c r="J140" s="22">
        <v>130</v>
      </c>
      <c r="K140" s="22">
        <v>1.1450199999999999</v>
      </c>
      <c r="L140">
        <f t="shared" ref="L140:L203" si="24">-I140/$F$2*1000</f>
        <v>16.607700000000001</v>
      </c>
      <c r="M140">
        <f t="shared" ref="M140:M203" si="25">L140*G140</f>
        <v>19.021130964000001</v>
      </c>
      <c r="N140" s="9"/>
      <c r="O140" s="22">
        <v>0.55465699999999996</v>
      </c>
      <c r="P140" s="22">
        <v>152.71799999999999</v>
      </c>
      <c r="Q140" s="22">
        <v>-1.7565899999999999E-2</v>
      </c>
      <c r="R140" s="22">
        <v>130</v>
      </c>
      <c r="S140" s="22">
        <v>0.55380200000000002</v>
      </c>
      <c r="T140">
        <f t="shared" ref="T140:T203" si="26">-Q140/$F$2*1000</f>
        <v>17.565899999999999</v>
      </c>
      <c r="U140">
        <f t="shared" ref="U140:U203" si="27">T140*O140</f>
        <v>9.7430493962999982</v>
      </c>
      <c r="X140" s="9"/>
      <c r="Y140" s="22">
        <v>1.1453199999999999</v>
      </c>
      <c r="Z140" s="22">
        <v>238.27199999999999</v>
      </c>
      <c r="AA140" s="22">
        <v>-1.6870099999999999E-2</v>
      </c>
      <c r="AB140" s="22">
        <v>130</v>
      </c>
      <c r="AC140" s="22">
        <v>1.1447099999999999</v>
      </c>
      <c r="AD140">
        <f t="shared" ref="AD140:AD203" si="28">-AA140/$F$2*1000</f>
        <v>16.870100000000001</v>
      </c>
      <c r="AE140">
        <f t="shared" ref="AE140:AE203" si="29">AD140*Y140</f>
        <v>19.321662931999999</v>
      </c>
      <c r="AF140" s="9"/>
      <c r="AG140" s="22">
        <v>0.55465699999999996</v>
      </c>
      <c r="AH140" s="22">
        <v>392.70800000000003</v>
      </c>
      <c r="AI140" s="22">
        <v>-1.7510999999999999E-2</v>
      </c>
      <c r="AJ140" s="22">
        <v>130</v>
      </c>
      <c r="AK140" s="22">
        <v>0.55386400000000002</v>
      </c>
      <c r="AL140">
        <f t="shared" ref="AL140:AL203" si="30">-AI140/$F$2*1000</f>
        <v>17.510999999999999</v>
      </c>
      <c r="AM140">
        <f t="shared" ref="AM140:AM203" si="31">AL140*AG140</f>
        <v>9.7125987269999996</v>
      </c>
      <c r="AP140" s="9"/>
      <c r="AQ140" s="22">
        <v>1.1453199999999999</v>
      </c>
      <c r="AR140" s="22">
        <v>493.81900000000002</v>
      </c>
      <c r="AS140" s="22">
        <v>-1.6723600000000002E-2</v>
      </c>
      <c r="AT140" s="22">
        <v>130</v>
      </c>
      <c r="AU140" s="22">
        <v>1.1447099999999999</v>
      </c>
      <c r="AV140">
        <f t="shared" ref="AV140:AV203" si="32">-AS140/$F$2*1000</f>
        <v>16.723600000000001</v>
      </c>
      <c r="AW140">
        <f t="shared" ref="AW140:AW203" si="33">AV140*AQ140</f>
        <v>19.153873552</v>
      </c>
      <c r="AX140" s="9"/>
      <c r="AY140" s="22">
        <v>0.55465699999999996</v>
      </c>
      <c r="AZ140" s="22">
        <v>566.07299999999998</v>
      </c>
      <c r="BA140" s="22">
        <v>-1.7477400000000001E-2</v>
      </c>
      <c r="BB140" s="22">
        <v>130</v>
      </c>
      <c r="BC140" s="22">
        <v>0.553925</v>
      </c>
      <c r="BD140">
        <f t="shared" ref="BD140:BD203" si="34">-BA140/$F$2*1000</f>
        <v>17.477399999999999</v>
      </c>
      <c r="BE140">
        <f t="shared" ref="BE140:BE203" si="35">BD140*AY140</f>
        <v>9.6939622517999986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86.858999999999995</v>
      </c>
      <c r="I141" s="22">
        <v>-1.66077E-2</v>
      </c>
      <c r="J141" s="22">
        <v>131</v>
      </c>
      <c r="K141" s="22">
        <v>1.1389199999999999</v>
      </c>
      <c r="L141">
        <f t="shared" si="24"/>
        <v>16.607700000000001</v>
      </c>
      <c r="M141">
        <f t="shared" si="25"/>
        <v>18.937594233000002</v>
      </c>
      <c r="N141" s="9"/>
      <c r="O141" s="22">
        <v>0.55969199999999997</v>
      </c>
      <c r="P141" s="22">
        <v>152.81899999999999</v>
      </c>
      <c r="Q141" s="22">
        <v>-1.75598E-2</v>
      </c>
      <c r="R141" s="22">
        <v>131</v>
      </c>
      <c r="S141" s="22">
        <v>0.55892900000000001</v>
      </c>
      <c r="T141">
        <f t="shared" si="26"/>
        <v>17.559799999999999</v>
      </c>
      <c r="U141">
        <f t="shared" si="27"/>
        <v>9.8280795815999991</v>
      </c>
      <c r="X141" s="9"/>
      <c r="Y141" s="22">
        <v>1.14029</v>
      </c>
      <c r="Z141" s="22">
        <v>238.37200000000001</v>
      </c>
      <c r="AA141" s="22">
        <v>-1.6867099999999999E-2</v>
      </c>
      <c r="AB141" s="22">
        <v>131</v>
      </c>
      <c r="AC141" s="22">
        <v>1.1395299999999999</v>
      </c>
      <c r="AD141">
        <f t="shared" si="28"/>
        <v>16.867100000000001</v>
      </c>
      <c r="AE141">
        <f t="shared" si="29"/>
        <v>19.233385459000001</v>
      </c>
      <c r="AF141" s="9"/>
      <c r="AG141" s="22">
        <v>0.55969199999999997</v>
      </c>
      <c r="AH141" s="22">
        <v>392.80900000000003</v>
      </c>
      <c r="AI141" s="22">
        <v>-1.7513999999999998E-2</v>
      </c>
      <c r="AJ141" s="22">
        <v>131</v>
      </c>
      <c r="AK141" s="22">
        <v>0.55905199999999999</v>
      </c>
      <c r="AL141">
        <f t="shared" si="30"/>
        <v>17.513999999999999</v>
      </c>
      <c r="AM141">
        <f t="shared" si="31"/>
        <v>9.8024456879999988</v>
      </c>
      <c r="AP141" s="9"/>
      <c r="AQ141" s="22">
        <v>1.14029</v>
      </c>
      <c r="AR141" s="22">
        <v>493.92</v>
      </c>
      <c r="AS141" s="22">
        <v>-1.67297E-2</v>
      </c>
      <c r="AT141" s="22">
        <v>131</v>
      </c>
      <c r="AU141" s="22">
        <v>1.1392199999999999</v>
      </c>
      <c r="AV141">
        <f t="shared" si="32"/>
        <v>16.729700000000001</v>
      </c>
      <c r="AW141">
        <f t="shared" si="33"/>
        <v>19.076709613000002</v>
      </c>
      <c r="AX141" s="9"/>
      <c r="AY141" s="22">
        <v>0.55969199999999997</v>
      </c>
      <c r="AZ141" s="22">
        <v>566.17399999999998</v>
      </c>
      <c r="BA141" s="22">
        <v>-1.7483499999999999E-2</v>
      </c>
      <c r="BB141" s="22">
        <v>131</v>
      </c>
      <c r="BC141" s="22">
        <v>0.55908199999999997</v>
      </c>
      <c r="BD141">
        <f t="shared" si="34"/>
        <v>17.483499999999999</v>
      </c>
      <c r="BE141">
        <f t="shared" si="35"/>
        <v>9.7853750819999998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86.959699999999998</v>
      </c>
      <c r="I142" s="22">
        <v>-1.6625999999999998E-2</v>
      </c>
      <c r="J142" s="22">
        <v>132</v>
      </c>
      <c r="K142" s="22">
        <v>1.1343399999999999</v>
      </c>
      <c r="L142">
        <f t="shared" si="24"/>
        <v>16.625999999999998</v>
      </c>
      <c r="M142">
        <f t="shared" si="25"/>
        <v>18.8746665</v>
      </c>
      <c r="N142" s="9"/>
      <c r="O142" s="22">
        <v>0.56472800000000001</v>
      </c>
      <c r="P142" s="22">
        <v>152.91999999999999</v>
      </c>
      <c r="Q142" s="22">
        <v>-1.7556800000000001E-2</v>
      </c>
      <c r="R142" s="22">
        <v>132</v>
      </c>
      <c r="S142" s="22">
        <v>0.56411699999999998</v>
      </c>
      <c r="T142">
        <f t="shared" si="26"/>
        <v>17.556800000000003</v>
      </c>
      <c r="U142">
        <f t="shared" si="27"/>
        <v>9.9148165504000012</v>
      </c>
      <c r="X142" s="9"/>
      <c r="Y142" s="22">
        <v>1.1352500000000001</v>
      </c>
      <c r="Z142" s="22">
        <v>238.47300000000001</v>
      </c>
      <c r="AA142" s="22">
        <v>-1.6873200000000001E-2</v>
      </c>
      <c r="AB142" s="22">
        <v>132</v>
      </c>
      <c r="AC142" s="22">
        <v>1.1343399999999999</v>
      </c>
      <c r="AD142">
        <f t="shared" si="28"/>
        <v>16.873200000000001</v>
      </c>
      <c r="AE142">
        <f t="shared" si="29"/>
        <v>19.155300300000004</v>
      </c>
      <c r="AF142" s="9"/>
      <c r="AG142" s="22">
        <v>0.56472800000000001</v>
      </c>
      <c r="AH142" s="22">
        <v>392.91</v>
      </c>
      <c r="AI142" s="22">
        <v>-1.75079E-2</v>
      </c>
      <c r="AJ142" s="22">
        <v>132</v>
      </c>
      <c r="AK142" s="22">
        <v>0.56430100000000005</v>
      </c>
      <c r="AL142">
        <f t="shared" si="30"/>
        <v>17.507899999999999</v>
      </c>
      <c r="AM142">
        <f t="shared" si="31"/>
        <v>9.8872013511999999</v>
      </c>
      <c r="AP142" s="9"/>
      <c r="AQ142" s="22">
        <v>1.1352500000000001</v>
      </c>
      <c r="AR142" s="22">
        <v>494.02100000000002</v>
      </c>
      <c r="AS142" s="22">
        <v>-1.6741900000000001E-2</v>
      </c>
      <c r="AT142" s="22">
        <v>132</v>
      </c>
      <c r="AU142" s="22">
        <v>1.1340300000000001</v>
      </c>
      <c r="AV142">
        <f t="shared" si="32"/>
        <v>16.741900000000001</v>
      </c>
      <c r="AW142">
        <f t="shared" si="33"/>
        <v>19.006241975000002</v>
      </c>
      <c r="AX142" s="9"/>
      <c r="AY142" s="22">
        <v>0.56472800000000001</v>
      </c>
      <c r="AZ142" s="22">
        <v>566.27499999999998</v>
      </c>
      <c r="BA142" s="22">
        <v>-1.7483499999999999E-2</v>
      </c>
      <c r="BB142" s="22">
        <v>132</v>
      </c>
      <c r="BC142" s="22">
        <v>0.564392</v>
      </c>
      <c r="BD142">
        <f t="shared" si="34"/>
        <v>17.483499999999999</v>
      </c>
      <c r="BE142">
        <f t="shared" si="35"/>
        <v>9.8734219880000005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87.060400000000001</v>
      </c>
      <c r="I143" s="22">
        <v>-1.66199E-2</v>
      </c>
      <c r="J143" s="22">
        <v>133</v>
      </c>
      <c r="K143" s="22">
        <v>1.1297600000000001</v>
      </c>
      <c r="L143">
        <f t="shared" si="24"/>
        <v>16.619900000000001</v>
      </c>
      <c r="M143">
        <f t="shared" si="25"/>
        <v>18.784143378000003</v>
      </c>
      <c r="N143" s="9"/>
      <c r="O143" s="22">
        <v>0.56976300000000002</v>
      </c>
      <c r="P143" s="22">
        <v>153.02000000000001</v>
      </c>
      <c r="Q143" s="22">
        <v>-1.75476E-2</v>
      </c>
      <c r="R143" s="22">
        <v>133</v>
      </c>
      <c r="S143" s="22">
        <v>0.568909</v>
      </c>
      <c r="T143">
        <f t="shared" si="26"/>
        <v>17.547599999999999</v>
      </c>
      <c r="U143">
        <f t="shared" si="27"/>
        <v>9.9979732188000003</v>
      </c>
      <c r="X143" s="9"/>
      <c r="Y143" s="22">
        <v>1.13022</v>
      </c>
      <c r="Z143" s="22">
        <v>238.57400000000001</v>
      </c>
      <c r="AA143" s="22">
        <v>-1.6888400000000001E-2</v>
      </c>
      <c r="AB143" s="22">
        <v>133</v>
      </c>
      <c r="AC143" s="22">
        <v>1.1297600000000001</v>
      </c>
      <c r="AD143">
        <f t="shared" si="28"/>
        <v>16.888400000000001</v>
      </c>
      <c r="AE143">
        <f t="shared" si="29"/>
        <v>19.087607448</v>
      </c>
      <c r="AF143" s="9"/>
      <c r="AG143" s="22">
        <v>0.56976300000000002</v>
      </c>
      <c r="AH143" s="22">
        <v>393.01100000000002</v>
      </c>
      <c r="AI143" s="22">
        <v>-1.75049E-2</v>
      </c>
      <c r="AJ143" s="22">
        <v>133</v>
      </c>
      <c r="AK143" s="22">
        <v>0.56899999999999995</v>
      </c>
      <c r="AL143">
        <f t="shared" si="30"/>
        <v>17.504899999999999</v>
      </c>
      <c r="AM143">
        <f t="shared" si="31"/>
        <v>9.9736443386999998</v>
      </c>
      <c r="AP143" s="9"/>
      <c r="AQ143" s="22">
        <v>1.13022</v>
      </c>
      <c r="AR143" s="22">
        <v>494.12099999999998</v>
      </c>
      <c r="AS143" s="22">
        <v>-1.6747999999999999E-2</v>
      </c>
      <c r="AT143" s="22">
        <v>133</v>
      </c>
      <c r="AU143" s="22">
        <v>1.1285400000000001</v>
      </c>
      <c r="AV143">
        <f t="shared" si="32"/>
        <v>16.747999999999998</v>
      </c>
      <c r="AW143">
        <f t="shared" si="33"/>
        <v>18.928924559999999</v>
      </c>
      <c r="AX143" s="9"/>
      <c r="AY143" s="22">
        <v>0.56976300000000002</v>
      </c>
      <c r="AZ143" s="22">
        <v>566.375</v>
      </c>
      <c r="BA143" s="22">
        <v>-1.7468299999999999E-2</v>
      </c>
      <c r="BB143" s="22">
        <v>133</v>
      </c>
      <c r="BC143" s="22">
        <v>0.56906100000000004</v>
      </c>
      <c r="BD143">
        <f t="shared" si="34"/>
        <v>17.468299999999999</v>
      </c>
      <c r="BE143">
        <f t="shared" si="35"/>
        <v>9.9527910129000006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87.161100000000005</v>
      </c>
      <c r="I144" s="22">
        <v>-1.66321E-2</v>
      </c>
      <c r="J144" s="22">
        <v>134</v>
      </c>
      <c r="K144" s="22">
        <v>1.1245700000000001</v>
      </c>
      <c r="L144">
        <f t="shared" si="24"/>
        <v>16.632100000000001</v>
      </c>
      <c r="M144">
        <f t="shared" si="25"/>
        <v>18.714106278000003</v>
      </c>
      <c r="N144" s="9"/>
      <c r="O144" s="22">
        <v>0.57479899999999995</v>
      </c>
      <c r="P144" s="22">
        <v>153.12100000000001</v>
      </c>
      <c r="Q144" s="22">
        <v>-1.75476E-2</v>
      </c>
      <c r="R144" s="22">
        <v>134</v>
      </c>
      <c r="S144" s="22">
        <v>0.57440199999999997</v>
      </c>
      <c r="T144">
        <f t="shared" si="26"/>
        <v>17.547599999999999</v>
      </c>
      <c r="U144">
        <f t="shared" si="27"/>
        <v>10.086342932399999</v>
      </c>
      <c r="X144" s="9"/>
      <c r="Y144" s="22">
        <v>1.1251800000000001</v>
      </c>
      <c r="Z144" s="22">
        <v>238.67500000000001</v>
      </c>
      <c r="AA144" s="22">
        <v>-1.6888400000000001E-2</v>
      </c>
      <c r="AB144" s="22">
        <v>134</v>
      </c>
      <c r="AC144" s="22">
        <v>1.1242700000000001</v>
      </c>
      <c r="AD144">
        <f t="shared" si="28"/>
        <v>16.888400000000001</v>
      </c>
      <c r="AE144">
        <f t="shared" si="29"/>
        <v>19.002489912000001</v>
      </c>
      <c r="AF144" s="9"/>
      <c r="AG144" s="22">
        <v>0.57479899999999995</v>
      </c>
      <c r="AH144" s="22">
        <v>393.11099999999999</v>
      </c>
      <c r="AI144" s="22">
        <v>-1.74805E-2</v>
      </c>
      <c r="AJ144" s="22">
        <v>134</v>
      </c>
      <c r="AK144" s="22">
        <v>0.57415799999999995</v>
      </c>
      <c r="AL144">
        <f t="shared" si="30"/>
        <v>17.480499999999999</v>
      </c>
      <c r="AM144">
        <f t="shared" si="31"/>
        <v>10.047773919499999</v>
      </c>
      <c r="AP144" s="9"/>
      <c r="AQ144" s="22">
        <v>1.1251800000000001</v>
      </c>
      <c r="AR144" s="22">
        <v>494.22199999999998</v>
      </c>
      <c r="AS144" s="22">
        <v>-1.67572E-2</v>
      </c>
      <c r="AT144" s="22">
        <v>134</v>
      </c>
      <c r="AU144" s="22">
        <v>1.1242700000000001</v>
      </c>
      <c r="AV144">
        <f t="shared" si="32"/>
        <v>16.757200000000001</v>
      </c>
      <c r="AW144">
        <f t="shared" si="33"/>
        <v>18.854866296000001</v>
      </c>
      <c r="AX144" s="9"/>
      <c r="AY144" s="22">
        <v>0.57479899999999995</v>
      </c>
      <c r="AZ144" s="22">
        <v>566.476</v>
      </c>
      <c r="BA144" s="22">
        <v>-1.74652E-2</v>
      </c>
      <c r="BB144" s="22">
        <v>134</v>
      </c>
      <c r="BC144" s="22">
        <v>0.57406599999999997</v>
      </c>
      <c r="BD144">
        <f t="shared" si="34"/>
        <v>17.465199999999999</v>
      </c>
      <c r="BE144">
        <f t="shared" si="35"/>
        <v>10.0389794948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87.261799999999994</v>
      </c>
      <c r="I145" s="22">
        <v>-1.66351E-2</v>
      </c>
      <c r="J145" s="22">
        <v>135</v>
      </c>
      <c r="K145" s="22">
        <v>1.1196900000000001</v>
      </c>
      <c r="L145">
        <f t="shared" si="24"/>
        <v>16.635100000000001</v>
      </c>
      <c r="M145">
        <f t="shared" si="25"/>
        <v>18.633807265000002</v>
      </c>
      <c r="N145" s="9"/>
      <c r="O145" s="22">
        <v>0.57983399999999996</v>
      </c>
      <c r="P145" s="22">
        <v>153.22200000000001</v>
      </c>
      <c r="Q145" s="22">
        <v>-1.75354E-2</v>
      </c>
      <c r="R145" s="22">
        <v>135</v>
      </c>
      <c r="S145" s="22">
        <v>0.57913199999999998</v>
      </c>
      <c r="T145">
        <f t="shared" si="26"/>
        <v>17.535399999999999</v>
      </c>
      <c r="U145">
        <f t="shared" si="27"/>
        <v>10.167621123599998</v>
      </c>
      <c r="X145" s="9"/>
      <c r="Y145" s="22">
        <v>1.12015</v>
      </c>
      <c r="Z145" s="22">
        <v>238.77500000000001</v>
      </c>
      <c r="AA145" s="22">
        <v>-1.68945E-2</v>
      </c>
      <c r="AB145" s="22">
        <v>135</v>
      </c>
      <c r="AC145" s="22">
        <v>1.1190800000000001</v>
      </c>
      <c r="AD145">
        <f t="shared" si="28"/>
        <v>16.894500000000001</v>
      </c>
      <c r="AE145">
        <f t="shared" si="29"/>
        <v>18.924374175000001</v>
      </c>
      <c r="AF145" s="9"/>
      <c r="AG145" s="22">
        <v>0.57983399999999996</v>
      </c>
      <c r="AH145" s="22">
        <v>393.21199999999999</v>
      </c>
      <c r="AI145" s="22">
        <v>-1.7483499999999999E-2</v>
      </c>
      <c r="AJ145" s="22">
        <v>135</v>
      </c>
      <c r="AK145" s="22">
        <v>0.57922399999999996</v>
      </c>
      <c r="AL145">
        <f t="shared" si="30"/>
        <v>17.483499999999999</v>
      </c>
      <c r="AM145">
        <f t="shared" si="31"/>
        <v>10.137527738999999</v>
      </c>
      <c r="AP145" s="9"/>
      <c r="AQ145" s="22">
        <v>1.12015</v>
      </c>
      <c r="AR145" s="22">
        <v>494.32299999999998</v>
      </c>
      <c r="AS145" s="22">
        <v>-1.6763299999999998E-2</v>
      </c>
      <c r="AT145" s="22">
        <v>135</v>
      </c>
      <c r="AU145" s="22">
        <v>1.1196900000000001</v>
      </c>
      <c r="AV145">
        <f t="shared" si="32"/>
        <v>16.763299999999997</v>
      </c>
      <c r="AW145">
        <f t="shared" si="33"/>
        <v>18.777410494999998</v>
      </c>
      <c r="AX145" s="9"/>
      <c r="AY145" s="22">
        <v>0.57983399999999996</v>
      </c>
      <c r="AZ145" s="22">
        <v>566.577</v>
      </c>
      <c r="BA145" s="22">
        <v>-1.745E-2</v>
      </c>
      <c r="BB145" s="22">
        <v>135</v>
      </c>
      <c r="BC145" s="22">
        <v>0.57910200000000001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87.362499999999997</v>
      </c>
      <c r="I146" s="22">
        <v>-1.6650399999999999E-2</v>
      </c>
      <c r="J146" s="22">
        <v>136</v>
      </c>
      <c r="K146" s="22">
        <v>1.1145</v>
      </c>
      <c r="L146">
        <f t="shared" si="24"/>
        <v>16.650399999999998</v>
      </c>
      <c r="M146">
        <f t="shared" si="25"/>
        <v>18.567027543999998</v>
      </c>
      <c r="N146" s="9"/>
      <c r="O146" s="22">
        <v>0.58486899999999997</v>
      </c>
      <c r="P146" s="22">
        <v>153.32300000000001</v>
      </c>
      <c r="Q146" s="22">
        <v>-1.7538499999999999E-2</v>
      </c>
      <c r="R146" s="22">
        <v>136</v>
      </c>
      <c r="S146" s="22">
        <v>0.58401499999999995</v>
      </c>
      <c r="T146">
        <f t="shared" si="26"/>
        <v>17.538499999999999</v>
      </c>
      <c r="U146">
        <f t="shared" si="27"/>
        <v>10.257724956499999</v>
      </c>
      <c r="X146" s="9"/>
      <c r="Y146" s="22">
        <v>1.11511</v>
      </c>
      <c r="Z146" s="22">
        <v>238.876</v>
      </c>
      <c r="AA146" s="22">
        <v>-1.6900600000000002E-2</v>
      </c>
      <c r="AB146" s="22">
        <v>136</v>
      </c>
      <c r="AC146" s="22">
        <v>1.1142000000000001</v>
      </c>
      <c r="AD146">
        <f t="shared" si="28"/>
        <v>16.900600000000001</v>
      </c>
      <c r="AE146">
        <f t="shared" si="29"/>
        <v>18.846028066000002</v>
      </c>
      <c r="AF146" s="9"/>
      <c r="AG146" s="22">
        <v>0.58486899999999997</v>
      </c>
      <c r="AH146" s="22">
        <v>393.31299999999999</v>
      </c>
      <c r="AI146" s="22">
        <v>-1.7477400000000001E-2</v>
      </c>
      <c r="AJ146" s="22">
        <v>136</v>
      </c>
      <c r="AK146" s="22">
        <v>0.58435099999999995</v>
      </c>
      <c r="AL146">
        <f t="shared" si="30"/>
        <v>17.477399999999999</v>
      </c>
      <c r="AM146">
        <f t="shared" si="31"/>
        <v>10.2219894606</v>
      </c>
      <c r="AP146" s="9"/>
      <c r="AQ146" s="22">
        <v>1.11511</v>
      </c>
      <c r="AR146" s="22">
        <v>494.423</v>
      </c>
      <c r="AS146" s="22">
        <v>-1.6775499999999999E-2</v>
      </c>
      <c r="AT146" s="22">
        <v>136</v>
      </c>
      <c r="AU146" s="22">
        <v>1.1142000000000001</v>
      </c>
      <c r="AV146">
        <f t="shared" si="32"/>
        <v>16.775499999999997</v>
      </c>
      <c r="AW146">
        <f t="shared" si="33"/>
        <v>18.706527804999997</v>
      </c>
      <c r="AX146" s="9"/>
      <c r="AY146" s="22">
        <v>0.58486899999999997</v>
      </c>
      <c r="AZ146" s="22">
        <v>566.678</v>
      </c>
      <c r="BA146" s="22">
        <v>-1.7443799999999999E-2</v>
      </c>
      <c r="BB146" s="22">
        <v>136</v>
      </c>
      <c r="BC146" s="22">
        <v>0.584198</v>
      </c>
      <c r="BD146">
        <f t="shared" si="34"/>
        <v>17.4438</v>
      </c>
      <c r="BE146">
        <f t="shared" si="35"/>
        <v>10.202337862199998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87.463200000000001</v>
      </c>
      <c r="I147" s="22">
        <v>-1.6656500000000001E-2</v>
      </c>
      <c r="J147" s="22">
        <v>137</v>
      </c>
      <c r="K147" s="22">
        <v>1.10931</v>
      </c>
      <c r="L147">
        <f t="shared" si="24"/>
        <v>16.656500000000001</v>
      </c>
      <c r="M147">
        <f t="shared" si="25"/>
        <v>18.490047520000001</v>
      </c>
      <c r="N147" s="9"/>
      <c r="O147" s="22">
        <v>0.58990500000000001</v>
      </c>
      <c r="P147" s="22">
        <v>153.423</v>
      </c>
      <c r="Q147" s="22">
        <v>-1.7523199999999999E-2</v>
      </c>
      <c r="R147" s="22">
        <v>137</v>
      </c>
      <c r="S147" s="22">
        <v>0.58892800000000001</v>
      </c>
      <c r="T147">
        <f t="shared" si="26"/>
        <v>17.523199999999999</v>
      </c>
      <c r="U147">
        <f t="shared" si="27"/>
        <v>10.337023296</v>
      </c>
      <c r="X147" s="9"/>
      <c r="Y147" s="22">
        <v>1.11008</v>
      </c>
      <c r="Z147" s="22">
        <v>238.977</v>
      </c>
      <c r="AA147" s="22">
        <v>-1.6909799999999999E-2</v>
      </c>
      <c r="AB147" s="22">
        <v>137</v>
      </c>
      <c r="AC147" s="22">
        <v>1.1090100000000001</v>
      </c>
      <c r="AD147">
        <f t="shared" si="28"/>
        <v>16.909800000000001</v>
      </c>
      <c r="AE147">
        <f t="shared" si="29"/>
        <v>18.771230784</v>
      </c>
      <c r="AF147" s="9"/>
      <c r="AG147" s="22">
        <v>0.58990500000000001</v>
      </c>
      <c r="AH147" s="22">
        <v>393.41300000000001</v>
      </c>
      <c r="AI147" s="22">
        <v>-1.7471299999999999E-2</v>
      </c>
      <c r="AJ147" s="22">
        <v>137</v>
      </c>
      <c r="AK147" s="22">
        <v>0.58929399999999998</v>
      </c>
      <c r="AL147">
        <f t="shared" si="30"/>
        <v>17.471299999999999</v>
      </c>
      <c r="AM147">
        <f t="shared" si="31"/>
        <v>10.306407226499999</v>
      </c>
      <c r="AP147" s="9"/>
      <c r="AQ147" s="22">
        <v>1.11008</v>
      </c>
      <c r="AR147" s="22">
        <v>494.524</v>
      </c>
      <c r="AS147" s="22">
        <v>-1.6775499999999999E-2</v>
      </c>
      <c r="AT147" s="22">
        <v>137</v>
      </c>
      <c r="AU147" s="22">
        <v>1.10931</v>
      </c>
      <c r="AV147">
        <f t="shared" si="32"/>
        <v>16.775499999999997</v>
      </c>
      <c r="AW147">
        <f t="shared" si="33"/>
        <v>18.622147039999998</v>
      </c>
      <c r="AX147" s="9"/>
      <c r="AY147" s="22">
        <v>0.58990500000000001</v>
      </c>
      <c r="AZ147" s="22">
        <v>566.77800000000002</v>
      </c>
      <c r="BA147" s="22">
        <v>-1.7443799999999999E-2</v>
      </c>
      <c r="BB147" s="22">
        <v>137</v>
      </c>
      <c r="BC147" s="22">
        <v>0.58901999999999999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87.563900000000004</v>
      </c>
      <c r="I148" s="22">
        <v>-1.6668700000000002E-2</v>
      </c>
      <c r="J148" s="22">
        <v>138</v>
      </c>
      <c r="K148" s="22">
        <v>1.10443</v>
      </c>
      <c r="L148">
        <f t="shared" si="24"/>
        <v>16.668700000000001</v>
      </c>
      <c r="M148">
        <f t="shared" si="25"/>
        <v>18.419580248000003</v>
      </c>
      <c r="N148" s="9"/>
      <c r="O148" s="22">
        <v>0.59494000000000002</v>
      </c>
      <c r="P148" s="22">
        <v>153.524</v>
      </c>
      <c r="Q148" s="22">
        <v>-1.7529300000000001E-2</v>
      </c>
      <c r="R148" s="22">
        <v>138</v>
      </c>
      <c r="S148" s="22">
        <v>0.594086</v>
      </c>
      <c r="T148">
        <f t="shared" si="26"/>
        <v>17.529300000000003</v>
      </c>
      <c r="U148">
        <f t="shared" si="27"/>
        <v>10.428881742000002</v>
      </c>
      <c r="X148" s="9"/>
      <c r="Y148" s="22">
        <v>1.10504</v>
      </c>
      <c r="Z148" s="22">
        <v>239.077</v>
      </c>
      <c r="AA148" s="22">
        <v>-1.6909799999999999E-2</v>
      </c>
      <c r="AB148" s="22">
        <v>138</v>
      </c>
      <c r="AC148" s="22">
        <v>1.1041300000000001</v>
      </c>
      <c r="AD148">
        <f t="shared" si="28"/>
        <v>16.909800000000001</v>
      </c>
      <c r="AE148">
        <f t="shared" si="29"/>
        <v>18.686005392000002</v>
      </c>
      <c r="AF148" s="9"/>
      <c r="AG148" s="22">
        <v>0.59494000000000002</v>
      </c>
      <c r="AH148" s="22">
        <v>393.51400000000001</v>
      </c>
      <c r="AI148" s="22">
        <v>-1.7477400000000001E-2</v>
      </c>
      <c r="AJ148" s="22">
        <v>138</v>
      </c>
      <c r="AK148" s="22">
        <v>0.59411599999999998</v>
      </c>
      <c r="AL148">
        <f t="shared" si="30"/>
        <v>17.477399999999999</v>
      </c>
      <c r="AM148">
        <f t="shared" si="31"/>
        <v>10.398004356</v>
      </c>
      <c r="AP148" s="9"/>
      <c r="AQ148" s="22">
        <v>1.10504</v>
      </c>
      <c r="AR148" s="22">
        <v>494.625</v>
      </c>
      <c r="AS148" s="22">
        <v>-1.67847E-2</v>
      </c>
      <c r="AT148" s="22">
        <v>138</v>
      </c>
      <c r="AU148" s="22">
        <v>1.1041300000000001</v>
      </c>
      <c r="AV148">
        <f t="shared" si="32"/>
        <v>16.784700000000001</v>
      </c>
      <c r="AW148">
        <f t="shared" si="33"/>
        <v>18.547764888</v>
      </c>
      <c r="AX148" s="9"/>
      <c r="AY148" s="22">
        <v>0.59494000000000002</v>
      </c>
      <c r="AZ148" s="22">
        <v>566.87900000000002</v>
      </c>
      <c r="BA148" s="22">
        <v>-1.74377E-2</v>
      </c>
      <c r="BB148" s="22">
        <v>138</v>
      </c>
      <c r="BC148" s="22">
        <v>0.59423800000000004</v>
      </c>
      <c r="BD148">
        <f t="shared" si="34"/>
        <v>17.4377</v>
      </c>
      <c r="BE148">
        <f t="shared" si="35"/>
        <v>10.374385238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87.664599999999993</v>
      </c>
      <c r="I149" s="22">
        <v>-1.66748E-2</v>
      </c>
      <c r="J149" s="22">
        <v>139</v>
      </c>
      <c r="K149" s="22">
        <v>1.09955</v>
      </c>
      <c r="L149">
        <f t="shared" si="24"/>
        <v>16.674800000000001</v>
      </c>
      <c r="M149">
        <f t="shared" si="25"/>
        <v>18.342446748</v>
      </c>
      <c r="N149" s="9"/>
      <c r="O149" s="22">
        <v>0.59997599999999995</v>
      </c>
      <c r="P149" s="22">
        <v>153.625</v>
      </c>
      <c r="Q149" s="22">
        <v>-1.7523199999999999E-2</v>
      </c>
      <c r="R149" s="22">
        <v>139</v>
      </c>
      <c r="S149" s="22">
        <v>0.59915200000000002</v>
      </c>
      <c r="T149">
        <f t="shared" si="26"/>
        <v>17.523199999999999</v>
      </c>
      <c r="U149">
        <f t="shared" si="27"/>
        <v>10.513499443199999</v>
      </c>
      <c r="X149" s="9"/>
      <c r="Y149" s="22">
        <v>1.1000099999999999</v>
      </c>
      <c r="Z149" s="22">
        <v>239.178</v>
      </c>
      <c r="AA149" s="22">
        <v>-1.6915900000000001E-2</v>
      </c>
      <c r="AB149" s="22">
        <v>139</v>
      </c>
      <c r="AC149" s="22">
        <v>1.09894</v>
      </c>
      <c r="AD149">
        <f t="shared" si="28"/>
        <v>16.915900000000001</v>
      </c>
      <c r="AE149">
        <f t="shared" si="29"/>
        <v>18.607659159000001</v>
      </c>
      <c r="AF149" s="9"/>
      <c r="AG149" s="22">
        <v>0.59997599999999995</v>
      </c>
      <c r="AH149" s="22">
        <v>393.61500000000001</v>
      </c>
      <c r="AI149" s="22">
        <v>-1.7474400000000001E-2</v>
      </c>
      <c r="AJ149" s="22">
        <v>139</v>
      </c>
      <c r="AK149" s="22">
        <v>0.599213</v>
      </c>
      <c r="AL149">
        <f t="shared" si="30"/>
        <v>17.474400000000003</v>
      </c>
      <c r="AM149">
        <f t="shared" si="31"/>
        <v>10.484220614400002</v>
      </c>
      <c r="AP149" s="9"/>
      <c r="AQ149" s="22">
        <v>1.1000099999999999</v>
      </c>
      <c r="AR149" s="22">
        <v>494.72500000000002</v>
      </c>
      <c r="AS149" s="22">
        <v>-1.6787699999999999E-2</v>
      </c>
      <c r="AT149" s="22">
        <v>139</v>
      </c>
      <c r="AU149" s="22">
        <v>1.09894</v>
      </c>
      <c r="AV149">
        <f t="shared" si="32"/>
        <v>16.787699999999997</v>
      </c>
      <c r="AW149">
        <f t="shared" si="33"/>
        <v>18.466637876999997</v>
      </c>
      <c r="AX149" s="9"/>
      <c r="AY149" s="22">
        <v>0.59997599999999995</v>
      </c>
      <c r="AZ149" s="22">
        <v>566.98</v>
      </c>
      <c r="BA149" s="22">
        <v>-1.74255E-2</v>
      </c>
      <c r="BB149" s="22">
        <v>139</v>
      </c>
      <c r="BC149" s="22">
        <v>0.59912100000000001</v>
      </c>
      <c r="BD149">
        <f t="shared" si="34"/>
        <v>17.4255</v>
      </c>
      <c r="BE149">
        <f t="shared" si="35"/>
        <v>10.454881788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87.765299999999996</v>
      </c>
      <c r="I150" s="22">
        <v>-1.6668700000000002E-2</v>
      </c>
      <c r="J150" s="22">
        <v>140</v>
      </c>
      <c r="K150" s="22">
        <v>1.09406</v>
      </c>
      <c r="L150">
        <f t="shared" si="24"/>
        <v>16.668700000000001</v>
      </c>
      <c r="M150">
        <f t="shared" si="25"/>
        <v>18.251726439000002</v>
      </c>
      <c r="N150" s="9"/>
      <c r="O150" s="22">
        <v>0.60501099999999997</v>
      </c>
      <c r="P150" s="22">
        <v>153.72499999999999</v>
      </c>
      <c r="Q150" s="22">
        <v>-1.7526199999999999E-2</v>
      </c>
      <c r="R150" s="22">
        <v>140</v>
      </c>
      <c r="S150" s="22">
        <v>0.60403399999999996</v>
      </c>
      <c r="T150">
        <f t="shared" si="26"/>
        <v>17.526199999999999</v>
      </c>
      <c r="U150">
        <f t="shared" si="27"/>
        <v>10.6035437882</v>
      </c>
      <c r="X150" s="9"/>
      <c r="Y150" s="22">
        <v>1.09497</v>
      </c>
      <c r="Z150" s="22">
        <v>239.279</v>
      </c>
      <c r="AA150" s="22">
        <v>-1.6922E-2</v>
      </c>
      <c r="AB150" s="22">
        <v>140</v>
      </c>
      <c r="AC150" s="22">
        <v>1.09406</v>
      </c>
      <c r="AD150">
        <f t="shared" si="28"/>
        <v>16.922000000000001</v>
      </c>
      <c r="AE150">
        <f t="shared" si="29"/>
        <v>18.529082340000002</v>
      </c>
      <c r="AF150" s="9"/>
      <c r="AG150" s="22">
        <v>0.60501099999999997</v>
      </c>
      <c r="AH150" s="22">
        <v>393.71499999999997</v>
      </c>
      <c r="AI150" s="22">
        <v>-1.74652E-2</v>
      </c>
      <c r="AJ150" s="22">
        <v>140</v>
      </c>
      <c r="AK150" s="22">
        <v>0.60443100000000005</v>
      </c>
      <c r="AL150">
        <f t="shared" si="30"/>
        <v>17.465199999999999</v>
      </c>
      <c r="AM150">
        <f t="shared" si="31"/>
        <v>10.566638117199998</v>
      </c>
      <c r="AP150" s="9"/>
      <c r="AQ150" s="22">
        <v>1.09497</v>
      </c>
      <c r="AR150" s="22">
        <v>494.82600000000002</v>
      </c>
      <c r="AS150" s="22">
        <v>-1.67969E-2</v>
      </c>
      <c r="AT150" s="22">
        <v>140</v>
      </c>
      <c r="AU150" s="22">
        <v>1.09406</v>
      </c>
      <c r="AV150">
        <f t="shared" si="32"/>
        <v>16.796900000000001</v>
      </c>
      <c r="AW150">
        <f t="shared" si="33"/>
        <v>18.392101593</v>
      </c>
      <c r="AX150" s="9"/>
      <c r="AY150" s="22">
        <v>0.60501099999999997</v>
      </c>
      <c r="AZ150" s="22">
        <v>567.08000000000004</v>
      </c>
      <c r="BA150" s="22">
        <v>-1.74225E-2</v>
      </c>
      <c r="BB150" s="22">
        <v>140</v>
      </c>
      <c r="BC150" s="22">
        <v>0.60433999999999999</v>
      </c>
      <c r="BD150">
        <f t="shared" si="34"/>
        <v>17.422499999999999</v>
      </c>
      <c r="BE150">
        <f t="shared" si="35"/>
        <v>10.540804147499999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87.866100000000003</v>
      </c>
      <c r="I151" s="22">
        <v>-1.6680899999999999E-2</v>
      </c>
      <c r="J151" s="22">
        <v>141</v>
      </c>
      <c r="K151" s="22">
        <v>1.08887</v>
      </c>
      <c r="L151">
        <f t="shared" si="24"/>
        <v>16.680899999999998</v>
      </c>
      <c r="M151">
        <f t="shared" si="25"/>
        <v>18.181180145999996</v>
      </c>
      <c r="N151" s="9"/>
      <c r="O151" s="22">
        <v>0.61004599999999998</v>
      </c>
      <c r="P151" s="22">
        <v>153.82599999999999</v>
      </c>
      <c r="Q151" s="22">
        <v>-1.75079E-2</v>
      </c>
      <c r="R151" s="22">
        <v>141</v>
      </c>
      <c r="S151" s="22">
        <v>0.609344</v>
      </c>
      <c r="T151">
        <f t="shared" si="26"/>
        <v>17.507899999999999</v>
      </c>
      <c r="U151">
        <f t="shared" si="27"/>
        <v>10.6806243634</v>
      </c>
      <c r="X151" s="9"/>
      <c r="Y151" s="22">
        <v>1.0899399999999999</v>
      </c>
      <c r="Z151" s="22">
        <v>239.38</v>
      </c>
      <c r="AA151" s="22">
        <v>-1.6922E-2</v>
      </c>
      <c r="AB151" s="22">
        <v>141</v>
      </c>
      <c r="AC151" s="22">
        <v>1.08917</v>
      </c>
      <c r="AD151">
        <f t="shared" si="28"/>
        <v>16.922000000000001</v>
      </c>
      <c r="AE151">
        <f t="shared" si="29"/>
        <v>18.443964680000001</v>
      </c>
      <c r="AF151" s="9"/>
      <c r="AG151" s="22">
        <v>0.61004599999999998</v>
      </c>
      <c r="AH151" s="22">
        <v>393.81599999999997</v>
      </c>
      <c r="AI151" s="22">
        <v>-1.7459100000000002E-2</v>
      </c>
      <c r="AJ151" s="22">
        <v>141</v>
      </c>
      <c r="AK151" s="22">
        <v>0.60943599999999998</v>
      </c>
      <c r="AL151">
        <f t="shared" si="30"/>
        <v>17.459100000000003</v>
      </c>
      <c r="AM151">
        <f t="shared" si="31"/>
        <v>10.650854118600002</v>
      </c>
      <c r="AP151" s="9"/>
      <c r="AQ151" s="22">
        <v>1.0899399999999999</v>
      </c>
      <c r="AR151" s="22">
        <v>494.92700000000002</v>
      </c>
      <c r="AS151" s="22">
        <v>-1.6802999999999998E-2</v>
      </c>
      <c r="AT151" s="22">
        <v>141</v>
      </c>
      <c r="AU151" s="22">
        <v>1.08887</v>
      </c>
      <c r="AV151">
        <f t="shared" si="32"/>
        <v>16.802999999999997</v>
      </c>
      <c r="AW151">
        <f t="shared" si="33"/>
        <v>18.314261819999995</v>
      </c>
      <c r="AX151" s="9"/>
      <c r="AY151" s="22">
        <v>0.61004599999999998</v>
      </c>
      <c r="AZ151" s="22">
        <v>567.18100000000004</v>
      </c>
      <c r="BA151" s="22">
        <v>-1.74225E-2</v>
      </c>
      <c r="BB151" s="22">
        <v>141</v>
      </c>
      <c r="BC151" s="22">
        <v>0.609406</v>
      </c>
      <c r="BD151">
        <f t="shared" si="34"/>
        <v>17.422499999999999</v>
      </c>
      <c r="BE151">
        <f t="shared" si="35"/>
        <v>10.628526434999999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87.966800000000006</v>
      </c>
      <c r="I152" s="22">
        <v>-1.6677899999999999E-2</v>
      </c>
      <c r="J152" s="22">
        <v>142</v>
      </c>
      <c r="K152" s="22">
        <v>1.0839799999999999</v>
      </c>
      <c r="L152">
        <f t="shared" si="24"/>
        <v>16.677899999999998</v>
      </c>
      <c r="M152">
        <f t="shared" si="25"/>
        <v>18.093853709999998</v>
      </c>
      <c r="N152" s="9"/>
      <c r="O152" s="22">
        <v>0.61508200000000002</v>
      </c>
      <c r="P152" s="22">
        <v>153.92699999999999</v>
      </c>
      <c r="Q152" s="22">
        <v>-1.75079E-2</v>
      </c>
      <c r="R152" s="22">
        <v>142</v>
      </c>
      <c r="S152" s="22">
        <v>0.61441000000000001</v>
      </c>
      <c r="T152">
        <f t="shared" si="26"/>
        <v>17.507899999999999</v>
      </c>
      <c r="U152">
        <f t="shared" si="27"/>
        <v>10.7687941478</v>
      </c>
      <c r="X152" s="9"/>
      <c r="Y152" s="22">
        <v>1.0849</v>
      </c>
      <c r="Z152" s="22">
        <v>239.48</v>
      </c>
      <c r="AA152" s="22">
        <v>-1.6937299999999999E-2</v>
      </c>
      <c r="AB152" s="22">
        <v>142</v>
      </c>
      <c r="AC152" s="22">
        <v>1.08368</v>
      </c>
      <c r="AD152">
        <f t="shared" si="28"/>
        <v>16.9373</v>
      </c>
      <c r="AE152">
        <f t="shared" si="29"/>
        <v>18.375276769999999</v>
      </c>
      <c r="AF152" s="9"/>
      <c r="AG152" s="22">
        <v>0.61508200000000002</v>
      </c>
      <c r="AH152" s="22">
        <v>393.91699999999997</v>
      </c>
      <c r="AI152" s="22">
        <v>-1.745E-2</v>
      </c>
      <c r="AJ152" s="22">
        <v>142</v>
      </c>
      <c r="AK152" s="22">
        <v>0.61444100000000001</v>
      </c>
      <c r="AL152">
        <f t="shared" si="30"/>
        <v>17.45</v>
      </c>
      <c r="AM152">
        <f t="shared" si="31"/>
        <v>10.733180900000001</v>
      </c>
      <c r="AP152" s="9"/>
      <c r="AQ152" s="22">
        <v>1.0849</v>
      </c>
      <c r="AR152" s="22">
        <v>495.02800000000002</v>
      </c>
      <c r="AS152" s="22">
        <v>-1.6821300000000001E-2</v>
      </c>
      <c r="AT152" s="22">
        <v>142</v>
      </c>
      <c r="AU152" s="22">
        <v>1.0839799999999999</v>
      </c>
      <c r="AV152">
        <f t="shared" si="32"/>
        <v>16.821300000000001</v>
      </c>
      <c r="AW152">
        <f t="shared" si="33"/>
        <v>18.24942837</v>
      </c>
      <c r="AX152" s="9"/>
      <c r="AY152" s="22">
        <v>0.61508200000000002</v>
      </c>
      <c r="AZ152" s="22">
        <v>567.28200000000004</v>
      </c>
      <c r="BA152" s="22">
        <v>-1.7416399999999999E-2</v>
      </c>
      <c r="BB152" s="22">
        <v>142</v>
      </c>
      <c r="BC152" s="22">
        <v>0.61444100000000001</v>
      </c>
      <c r="BD152">
        <f t="shared" si="34"/>
        <v>17.416399999999999</v>
      </c>
      <c r="BE152">
        <f t="shared" si="35"/>
        <v>10.7125141448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88.067499999999995</v>
      </c>
      <c r="I153" s="22">
        <v>-1.6684000000000001E-2</v>
      </c>
      <c r="J153" s="22">
        <v>143</v>
      </c>
      <c r="K153" s="22">
        <v>1.07819</v>
      </c>
      <c r="L153">
        <f t="shared" si="24"/>
        <v>16.684000000000001</v>
      </c>
      <c r="M153">
        <f t="shared" si="25"/>
        <v>18.016384240000001</v>
      </c>
      <c r="N153" s="9"/>
      <c r="O153" s="22">
        <v>0.62011700000000003</v>
      </c>
      <c r="P153" s="22">
        <v>154.02799999999999</v>
      </c>
      <c r="Q153" s="22">
        <v>-1.7510999999999999E-2</v>
      </c>
      <c r="R153" s="22">
        <v>143</v>
      </c>
      <c r="S153" s="22">
        <v>0.61947600000000003</v>
      </c>
      <c r="T153">
        <f t="shared" si="26"/>
        <v>17.510999999999999</v>
      </c>
      <c r="U153">
        <f t="shared" si="27"/>
        <v>10.858868787</v>
      </c>
      <c r="X153" s="9"/>
      <c r="Y153" s="22">
        <v>1.07986</v>
      </c>
      <c r="Z153" s="22">
        <v>239.58099999999999</v>
      </c>
      <c r="AA153" s="22">
        <v>-1.6937299999999999E-2</v>
      </c>
      <c r="AB153" s="22">
        <v>143</v>
      </c>
      <c r="AC153" s="22">
        <v>1.0790999999999999</v>
      </c>
      <c r="AD153">
        <f t="shared" si="28"/>
        <v>16.9373</v>
      </c>
      <c r="AE153">
        <f t="shared" si="29"/>
        <v>18.289912778000001</v>
      </c>
      <c r="AF153" s="9"/>
      <c r="AG153" s="22">
        <v>0.62011700000000003</v>
      </c>
      <c r="AH153" s="22">
        <v>394.01799999999997</v>
      </c>
      <c r="AI153" s="22">
        <v>-1.7443799999999999E-2</v>
      </c>
      <c r="AJ153" s="22">
        <v>143</v>
      </c>
      <c r="AK153" s="22">
        <v>0.61938499999999996</v>
      </c>
      <c r="AL153">
        <f t="shared" si="30"/>
        <v>17.4438</v>
      </c>
      <c r="AM153">
        <f t="shared" si="31"/>
        <v>10.817196924600001</v>
      </c>
      <c r="AP153" s="9"/>
      <c r="AQ153" s="22">
        <v>1.07986</v>
      </c>
      <c r="AR153" s="22">
        <v>495.12799999999999</v>
      </c>
      <c r="AS153" s="22">
        <v>-1.6827399999999999E-2</v>
      </c>
      <c r="AT153" s="22">
        <v>143</v>
      </c>
      <c r="AU153" s="22">
        <v>1.07941</v>
      </c>
      <c r="AV153">
        <f t="shared" si="32"/>
        <v>16.827400000000001</v>
      </c>
      <c r="AW153">
        <f t="shared" si="33"/>
        <v>18.171236164000003</v>
      </c>
      <c r="AX153" s="9"/>
      <c r="AY153" s="22">
        <v>0.62011700000000003</v>
      </c>
      <c r="AZ153" s="22">
        <v>567.38199999999995</v>
      </c>
      <c r="BA153" s="22">
        <v>-1.74103E-2</v>
      </c>
      <c r="BB153" s="22">
        <v>143</v>
      </c>
      <c r="BC153" s="22">
        <v>0.61917100000000003</v>
      </c>
      <c r="BD153">
        <f t="shared" si="34"/>
        <v>17.410299999999999</v>
      </c>
      <c r="BE153">
        <f t="shared" si="35"/>
        <v>10.796423005099999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88.168199999999999</v>
      </c>
      <c r="I154" s="22">
        <v>-1.6693099999999999E-2</v>
      </c>
      <c r="J154" s="22">
        <v>144</v>
      </c>
      <c r="K154" s="22">
        <v>1.0745199999999999</v>
      </c>
      <c r="L154">
        <f t="shared" si="24"/>
        <v>16.693099999999998</v>
      </c>
      <c r="M154">
        <f t="shared" si="25"/>
        <v>17.942244672999998</v>
      </c>
      <c r="N154" s="9"/>
      <c r="O154" s="22">
        <v>0.62515299999999996</v>
      </c>
      <c r="P154" s="22">
        <v>154.12799999999999</v>
      </c>
      <c r="Q154" s="22">
        <v>-1.7489600000000001E-2</v>
      </c>
      <c r="R154" s="22">
        <v>144</v>
      </c>
      <c r="S154" s="22">
        <v>0.62454200000000004</v>
      </c>
      <c r="T154">
        <f t="shared" si="26"/>
        <v>17.489599999999999</v>
      </c>
      <c r="U154">
        <f t="shared" si="27"/>
        <v>10.9336759088</v>
      </c>
      <c r="X154" s="9"/>
      <c r="Y154" s="22">
        <v>1.07483</v>
      </c>
      <c r="Z154" s="22">
        <v>239.68199999999999</v>
      </c>
      <c r="AA154" s="22">
        <v>-1.69464E-2</v>
      </c>
      <c r="AB154" s="22">
        <v>144</v>
      </c>
      <c r="AC154" s="22">
        <v>1.07422</v>
      </c>
      <c r="AD154">
        <f t="shared" si="28"/>
        <v>16.946400000000001</v>
      </c>
      <c r="AE154">
        <f t="shared" si="29"/>
        <v>18.214499111999999</v>
      </c>
      <c r="AF154" s="9"/>
      <c r="AG154" s="22">
        <v>0.62515299999999996</v>
      </c>
      <c r="AH154" s="22">
        <v>394.11799999999999</v>
      </c>
      <c r="AI154" s="22">
        <v>-1.7434700000000001E-2</v>
      </c>
      <c r="AJ154" s="22">
        <v>144</v>
      </c>
      <c r="AK154" s="22">
        <v>0.62451199999999996</v>
      </c>
      <c r="AL154">
        <f t="shared" si="30"/>
        <v>17.434699999999999</v>
      </c>
      <c r="AM154">
        <f t="shared" si="31"/>
        <v>10.899355009099999</v>
      </c>
      <c r="AP154" s="9"/>
      <c r="AQ154" s="22">
        <v>1.07483</v>
      </c>
      <c r="AR154" s="22">
        <v>495.22899999999998</v>
      </c>
      <c r="AS154" s="22">
        <v>-1.6821300000000001E-2</v>
      </c>
      <c r="AT154" s="22">
        <v>144</v>
      </c>
      <c r="AU154" s="22">
        <v>1.0732999999999999</v>
      </c>
      <c r="AV154">
        <f t="shared" si="32"/>
        <v>16.821300000000001</v>
      </c>
      <c r="AW154">
        <f t="shared" si="33"/>
        <v>18.080037878999999</v>
      </c>
      <c r="AX154" s="9"/>
      <c r="AY154" s="22">
        <v>0.62515299999999996</v>
      </c>
      <c r="AZ154" s="22">
        <v>567.48299999999995</v>
      </c>
      <c r="BA154" s="22">
        <v>-1.7407200000000001E-2</v>
      </c>
      <c r="BB154" s="22">
        <v>144</v>
      </c>
      <c r="BC154" s="22">
        <v>0.62423700000000004</v>
      </c>
      <c r="BD154">
        <f t="shared" si="34"/>
        <v>17.4072</v>
      </c>
      <c r="BE154">
        <f t="shared" si="35"/>
        <v>10.882163301599999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88.268900000000002</v>
      </c>
      <c r="I155" s="22">
        <v>-1.6696200000000001E-2</v>
      </c>
      <c r="J155" s="22">
        <v>145</v>
      </c>
      <c r="K155" s="22">
        <v>1.0690299999999999</v>
      </c>
      <c r="L155">
        <f t="shared" si="24"/>
        <v>16.696200000000001</v>
      </c>
      <c r="M155">
        <f t="shared" si="25"/>
        <v>17.861427798000001</v>
      </c>
      <c r="N155" s="9"/>
      <c r="O155" s="22">
        <v>0.63018799999999997</v>
      </c>
      <c r="P155" s="22">
        <v>154.22900000000001</v>
      </c>
      <c r="Q155" s="22">
        <v>-1.74927E-2</v>
      </c>
      <c r="R155" s="22">
        <v>145</v>
      </c>
      <c r="S155" s="22">
        <v>0.62960799999999995</v>
      </c>
      <c r="T155">
        <f t="shared" si="26"/>
        <v>17.492699999999999</v>
      </c>
      <c r="U155">
        <f t="shared" si="27"/>
        <v>11.0236896276</v>
      </c>
      <c r="X155" s="9"/>
      <c r="Y155" s="22">
        <v>1.06979</v>
      </c>
      <c r="Z155" s="22">
        <v>239.78200000000001</v>
      </c>
      <c r="AA155" s="22">
        <v>-1.6955600000000001E-2</v>
      </c>
      <c r="AB155" s="22">
        <v>145</v>
      </c>
      <c r="AC155" s="22">
        <v>1.0690299999999999</v>
      </c>
      <c r="AD155">
        <f t="shared" si="28"/>
        <v>16.9556</v>
      </c>
      <c r="AE155">
        <f t="shared" si="29"/>
        <v>18.138931324000001</v>
      </c>
      <c r="AF155" s="9"/>
      <c r="AG155" s="22">
        <v>0.63018799999999997</v>
      </c>
      <c r="AH155" s="22">
        <v>394.21899999999999</v>
      </c>
      <c r="AI155" s="22">
        <v>-1.74377E-2</v>
      </c>
      <c r="AJ155" s="22">
        <v>145</v>
      </c>
      <c r="AK155" s="22">
        <v>0.62939500000000004</v>
      </c>
      <c r="AL155">
        <f t="shared" si="30"/>
        <v>17.4377</v>
      </c>
      <c r="AM155">
        <f t="shared" si="31"/>
        <v>10.989029287599999</v>
      </c>
      <c r="AP155" s="9"/>
      <c r="AQ155" s="22">
        <v>1.06979</v>
      </c>
      <c r="AR155" s="22">
        <v>495.33</v>
      </c>
      <c r="AS155" s="22">
        <v>-1.68396E-2</v>
      </c>
      <c r="AT155" s="22">
        <v>145</v>
      </c>
      <c r="AU155" s="22">
        <v>1.0690299999999999</v>
      </c>
      <c r="AV155">
        <f t="shared" si="32"/>
        <v>16.839600000000001</v>
      </c>
      <c r="AW155">
        <f t="shared" si="33"/>
        <v>18.014835684000001</v>
      </c>
      <c r="AX155" s="9"/>
      <c r="AY155" s="22">
        <v>0.63018799999999997</v>
      </c>
      <c r="AZ155" s="22">
        <v>567.58399999999995</v>
      </c>
      <c r="BA155" s="22">
        <v>-1.7388899999999999E-2</v>
      </c>
      <c r="BB155" s="22">
        <v>145</v>
      </c>
      <c r="BC155" s="22">
        <v>0.62994399999999995</v>
      </c>
      <c r="BD155">
        <f t="shared" si="34"/>
        <v>17.3889</v>
      </c>
      <c r="BE155">
        <f t="shared" si="35"/>
        <v>10.958276113199998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88.369600000000005</v>
      </c>
      <c r="I156" s="22">
        <v>-1.6696200000000001E-2</v>
      </c>
      <c r="J156" s="22">
        <v>146</v>
      </c>
      <c r="K156" s="22">
        <v>1.0632299999999999</v>
      </c>
      <c r="L156">
        <f t="shared" si="24"/>
        <v>16.696200000000001</v>
      </c>
      <c r="M156">
        <f t="shared" si="25"/>
        <v>17.777445912000001</v>
      </c>
      <c r="N156" s="9"/>
      <c r="O156" s="22">
        <v>0.63522299999999998</v>
      </c>
      <c r="P156" s="22">
        <v>154.33000000000001</v>
      </c>
      <c r="Q156" s="22">
        <v>-1.74805E-2</v>
      </c>
      <c r="R156" s="22">
        <v>146</v>
      </c>
      <c r="S156" s="22">
        <v>0.63439900000000005</v>
      </c>
      <c r="T156">
        <f t="shared" si="26"/>
        <v>17.480499999999999</v>
      </c>
      <c r="U156">
        <f t="shared" si="27"/>
        <v>11.104015651499999</v>
      </c>
      <c r="X156" s="9"/>
      <c r="Y156" s="22">
        <v>1.0647599999999999</v>
      </c>
      <c r="Z156" s="22">
        <v>239.88300000000001</v>
      </c>
      <c r="AA156" s="22">
        <v>-1.69617E-2</v>
      </c>
      <c r="AB156" s="22">
        <v>146</v>
      </c>
      <c r="AC156" s="22">
        <v>1.0635399999999999</v>
      </c>
      <c r="AD156">
        <f t="shared" si="28"/>
        <v>16.9617</v>
      </c>
      <c r="AE156">
        <f t="shared" si="29"/>
        <v>18.060139692</v>
      </c>
      <c r="AF156" s="9"/>
      <c r="AG156" s="22">
        <v>0.63522299999999998</v>
      </c>
      <c r="AH156" s="22">
        <v>394.32</v>
      </c>
      <c r="AI156" s="22">
        <v>-1.7431599999999998E-2</v>
      </c>
      <c r="AJ156" s="22">
        <v>146</v>
      </c>
      <c r="AK156" s="22">
        <v>0.63467399999999996</v>
      </c>
      <c r="AL156">
        <f t="shared" si="30"/>
        <v>17.4316</v>
      </c>
      <c r="AM156">
        <f t="shared" si="31"/>
        <v>11.072953246799999</v>
      </c>
      <c r="AP156" s="9"/>
      <c r="AQ156" s="22">
        <v>1.0647599999999999</v>
      </c>
      <c r="AR156" s="22">
        <v>495.43</v>
      </c>
      <c r="AS156" s="22">
        <v>-1.68396E-2</v>
      </c>
      <c r="AT156" s="22">
        <v>146</v>
      </c>
      <c r="AU156" s="22">
        <v>1.0635399999999999</v>
      </c>
      <c r="AV156">
        <f t="shared" si="32"/>
        <v>16.839600000000001</v>
      </c>
      <c r="AW156">
        <f t="shared" si="33"/>
        <v>17.930132495999999</v>
      </c>
      <c r="AX156" s="9"/>
      <c r="AY156" s="22">
        <v>0.63522299999999998</v>
      </c>
      <c r="AZ156" s="22">
        <v>567.68499999999995</v>
      </c>
      <c r="BA156" s="22">
        <v>-1.7395000000000001E-2</v>
      </c>
      <c r="BB156" s="22">
        <v>146</v>
      </c>
      <c r="BC156" s="22">
        <v>0.63446000000000002</v>
      </c>
      <c r="BD156">
        <f t="shared" si="34"/>
        <v>17.395</v>
      </c>
      <c r="BE156">
        <f t="shared" si="35"/>
        <v>11.049704085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88.470299999999995</v>
      </c>
      <c r="I157" s="22">
        <v>-1.6711400000000001E-2</v>
      </c>
      <c r="J157" s="22">
        <v>147</v>
      </c>
      <c r="K157" s="22">
        <v>1.0583499999999999</v>
      </c>
      <c r="L157">
        <f t="shared" si="24"/>
        <v>16.711400000000001</v>
      </c>
      <c r="M157">
        <f t="shared" si="25"/>
        <v>17.709404808000002</v>
      </c>
      <c r="N157" s="9"/>
      <c r="O157" s="22">
        <v>0.64025900000000002</v>
      </c>
      <c r="P157" s="22">
        <v>154.43</v>
      </c>
      <c r="Q157" s="22">
        <v>-1.7477400000000001E-2</v>
      </c>
      <c r="R157" s="22">
        <v>147</v>
      </c>
      <c r="S157" s="22">
        <v>0.63958700000000002</v>
      </c>
      <c r="T157">
        <f t="shared" si="26"/>
        <v>17.477399999999999</v>
      </c>
      <c r="U157">
        <f t="shared" si="27"/>
        <v>11.190062646599999</v>
      </c>
      <c r="X157" s="9"/>
      <c r="Y157" s="22">
        <v>1.05972</v>
      </c>
      <c r="Z157" s="22">
        <v>239.98400000000001</v>
      </c>
      <c r="AA157" s="22">
        <v>-1.6970800000000001E-2</v>
      </c>
      <c r="AB157" s="22">
        <v>147</v>
      </c>
      <c r="AC157" s="22">
        <v>1.0583499999999999</v>
      </c>
      <c r="AD157">
        <f t="shared" si="28"/>
        <v>16.970800000000001</v>
      </c>
      <c r="AE157">
        <f t="shared" si="29"/>
        <v>17.984296176000001</v>
      </c>
      <c r="AF157" s="9"/>
      <c r="AG157" s="22">
        <v>0.64025900000000002</v>
      </c>
      <c r="AH157" s="22">
        <v>394.42</v>
      </c>
      <c r="AI157" s="22">
        <v>-1.74255E-2</v>
      </c>
      <c r="AJ157" s="22">
        <v>147</v>
      </c>
      <c r="AK157" s="22">
        <v>0.63949599999999995</v>
      </c>
      <c r="AL157">
        <f t="shared" si="30"/>
        <v>17.4255</v>
      </c>
      <c r="AM157">
        <f t="shared" si="31"/>
        <v>11.1568332045</v>
      </c>
      <c r="AP157" s="9"/>
      <c r="AQ157" s="22">
        <v>1.05972</v>
      </c>
      <c r="AR157" s="22">
        <v>495.53100000000001</v>
      </c>
      <c r="AS157" s="22">
        <v>-1.6836500000000001E-2</v>
      </c>
      <c r="AT157" s="22">
        <v>147</v>
      </c>
      <c r="AU157" s="22">
        <v>1.0583499999999999</v>
      </c>
      <c r="AV157">
        <f t="shared" si="32"/>
        <v>16.836500000000001</v>
      </c>
      <c r="AW157">
        <f t="shared" si="33"/>
        <v>17.841975780000002</v>
      </c>
      <c r="AX157" s="9"/>
      <c r="AY157" s="22">
        <v>0.64025900000000002</v>
      </c>
      <c r="AZ157" s="22">
        <v>567.78499999999997</v>
      </c>
      <c r="BA157" s="22">
        <v>-1.7385899999999999E-2</v>
      </c>
      <c r="BB157" s="22">
        <v>147</v>
      </c>
      <c r="BC157" s="22">
        <v>0.63946499999999995</v>
      </c>
      <c r="BD157">
        <f t="shared" si="34"/>
        <v>17.385899999999999</v>
      </c>
      <c r="BE157">
        <f t="shared" si="35"/>
        <v>11.1314789481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88.570999999999998</v>
      </c>
      <c r="I158" s="22">
        <v>-1.67145E-2</v>
      </c>
      <c r="J158" s="22">
        <v>148</v>
      </c>
      <c r="K158" s="22">
        <v>1.0534699999999999</v>
      </c>
      <c r="L158">
        <f t="shared" si="24"/>
        <v>16.714500000000001</v>
      </c>
      <c r="M158">
        <f t="shared" si="25"/>
        <v>17.628616004999998</v>
      </c>
      <c r="N158" s="9"/>
      <c r="O158" s="22">
        <v>0.64529400000000003</v>
      </c>
      <c r="P158" s="22">
        <v>154.53100000000001</v>
      </c>
      <c r="Q158" s="22">
        <v>-1.74652E-2</v>
      </c>
      <c r="R158" s="22">
        <v>148</v>
      </c>
      <c r="S158" s="22">
        <v>0.64477499999999999</v>
      </c>
      <c r="T158">
        <f t="shared" si="26"/>
        <v>17.465199999999999</v>
      </c>
      <c r="U158">
        <f t="shared" si="27"/>
        <v>11.270188768800001</v>
      </c>
      <c r="X158" s="9"/>
      <c r="Y158" s="22">
        <v>1.0546899999999999</v>
      </c>
      <c r="Z158" s="22">
        <v>240.084</v>
      </c>
      <c r="AA158" s="22">
        <v>-1.6983000000000002E-2</v>
      </c>
      <c r="AB158" s="22">
        <v>148</v>
      </c>
      <c r="AC158" s="22">
        <v>1.0537700000000001</v>
      </c>
      <c r="AD158">
        <f t="shared" si="28"/>
        <v>16.983000000000001</v>
      </c>
      <c r="AE158">
        <f t="shared" si="29"/>
        <v>17.911800270000001</v>
      </c>
      <c r="AF158" s="9"/>
      <c r="AG158" s="22">
        <v>0.64529400000000003</v>
      </c>
      <c r="AH158" s="22">
        <v>394.52100000000002</v>
      </c>
      <c r="AI158" s="22">
        <v>-1.74133E-2</v>
      </c>
      <c r="AJ158" s="22">
        <v>148</v>
      </c>
      <c r="AK158" s="22">
        <v>0.64446999999999999</v>
      </c>
      <c r="AL158">
        <f t="shared" si="30"/>
        <v>17.4133</v>
      </c>
      <c r="AM158">
        <f t="shared" si="31"/>
        <v>11.2366980102</v>
      </c>
      <c r="AP158" s="9"/>
      <c r="AQ158" s="22">
        <v>1.0546899999999999</v>
      </c>
      <c r="AR158" s="22">
        <v>495.63200000000001</v>
      </c>
      <c r="AS158" s="22">
        <v>-1.68518E-2</v>
      </c>
      <c r="AT158" s="22">
        <v>148</v>
      </c>
      <c r="AU158" s="22">
        <v>1.0534699999999999</v>
      </c>
      <c r="AV158">
        <f t="shared" si="32"/>
        <v>16.851800000000001</v>
      </c>
      <c r="AW158">
        <f t="shared" si="33"/>
        <v>17.773424941999998</v>
      </c>
      <c r="AX158" s="9"/>
      <c r="AY158" s="22">
        <v>0.64529400000000003</v>
      </c>
      <c r="AZ158" s="22">
        <v>567.88599999999997</v>
      </c>
      <c r="BA158" s="22">
        <v>-1.73828E-2</v>
      </c>
      <c r="BB158" s="22">
        <v>148</v>
      </c>
      <c r="BC158" s="22">
        <v>0.64465300000000003</v>
      </c>
      <c r="BD158">
        <f t="shared" si="34"/>
        <v>17.3828</v>
      </c>
      <c r="BE158">
        <f t="shared" si="35"/>
        <v>11.2170165432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88.671700000000001</v>
      </c>
      <c r="I159" s="22">
        <v>-1.6723600000000002E-2</v>
      </c>
      <c r="J159" s="22">
        <v>149</v>
      </c>
      <c r="K159" s="22">
        <v>1.0491900000000001</v>
      </c>
      <c r="L159">
        <f t="shared" si="24"/>
        <v>16.723600000000001</v>
      </c>
      <c r="M159">
        <f t="shared" si="25"/>
        <v>17.553926740000001</v>
      </c>
      <c r="N159" s="9"/>
      <c r="O159" s="22">
        <v>0.65032999999999996</v>
      </c>
      <c r="P159" s="22">
        <v>154.63200000000001</v>
      </c>
      <c r="Q159" s="22">
        <v>-1.7459100000000002E-2</v>
      </c>
      <c r="R159" s="22">
        <v>149</v>
      </c>
      <c r="S159" s="22">
        <v>0.64978000000000002</v>
      </c>
      <c r="T159">
        <f t="shared" si="26"/>
        <v>17.459100000000003</v>
      </c>
      <c r="U159">
        <f t="shared" si="27"/>
        <v>11.354176503000001</v>
      </c>
      <c r="X159" s="9"/>
      <c r="Y159" s="22">
        <v>1.04965</v>
      </c>
      <c r="Z159" s="22">
        <v>240.185</v>
      </c>
      <c r="AA159" s="22">
        <v>-1.6979999999999999E-2</v>
      </c>
      <c r="AB159" s="22">
        <v>149</v>
      </c>
      <c r="AC159" s="22">
        <v>1.0485800000000001</v>
      </c>
      <c r="AD159">
        <f t="shared" si="28"/>
        <v>16.979999999999997</v>
      </c>
      <c r="AE159">
        <f t="shared" si="29"/>
        <v>17.823056999999995</v>
      </c>
      <c r="AF159" s="9"/>
      <c r="AG159" s="22">
        <v>0.65032999999999996</v>
      </c>
      <c r="AH159" s="22">
        <v>394.62200000000001</v>
      </c>
      <c r="AI159" s="22">
        <v>-1.74103E-2</v>
      </c>
      <c r="AJ159" s="22">
        <v>149</v>
      </c>
      <c r="AK159" s="22">
        <v>0.65002400000000005</v>
      </c>
      <c r="AL159">
        <f t="shared" si="30"/>
        <v>17.410299999999999</v>
      </c>
      <c r="AM159">
        <f t="shared" si="31"/>
        <v>11.322440399</v>
      </c>
      <c r="AP159" s="9"/>
      <c r="AQ159" s="22">
        <v>1.04965</v>
      </c>
      <c r="AR159" s="22">
        <v>495.733</v>
      </c>
      <c r="AS159" s="22">
        <v>-1.6864000000000001E-2</v>
      </c>
      <c r="AT159" s="22">
        <v>149</v>
      </c>
      <c r="AU159" s="22">
        <v>1.0495000000000001</v>
      </c>
      <c r="AV159">
        <f t="shared" si="32"/>
        <v>16.864000000000001</v>
      </c>
      <c r="AW159">
        <f t="shared" si="33"/>
        <v>17.7012976</v>
      </c>
      <c r="AX159" s="9"/>
      <c r="AY159" s="22">
        <v>0.65032999999999996</v>
      </c>
      <c r="AZ159" s="22">
        <v>567.98699999999997</v>
      </c>
      <c r="BA159" s="22">
        <v>-1.7379800000000001E-2</v>
      </c>
      <c r="BB159" s="22">
        <v>149</v>
      </c>
      <c r="BC159" s="22">
        <v>0.64968899999999996</v>
      </c>
      <c r="BD159">
        <f t="shared" si="34"/>
        <v>17.379799999999999</v>
      </c>
      <c r="BE159">
        <f t="shared" si="35"/>
        <v>11.302605333999999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88.772400000000005</v>
      </c>
      <c r="I160" s="22">
        <v>-1.6732799999999999E-2</v>
      </c>
      <c r="J160" s="22">
        <v>150</v>
      </c>
      <c r="K160" s="22">
        <v>1.0434000000000001</v>
      </c>
      <c r="L160">
        <f t="shared" si="24"/>
        <v>16.732799999999997</v>
      </c>
      <c r="M160">
        <f t="shared" si="25"/>
        <v>17.479417536</v>
      </c>
      <c r="N160" s="9"/>
      <c r="O160" s="22">
        <v>0.65536499999999998</v>
      </c>
      <c r="P160" s="22">
        <v>154.732</v>
      </c>
      <c r="Q160" s="22">
        <v>-1.7462200000000001E-2</v>
      </c>
      <c r="R160" s="22">
        <v>150</v>
      </c>
      <c r="S160" s="22">
        <v>0.654694</v>
      </c>
      <c r="T160">
        <f t="shared" si="26"/>
        <v>17.462199999999999</v>
      </c>
      <c r="U160">
        <f t="shared" si="27"/>
        <v>11.444114702999999</v>
      </c>
      <c r="X160" s="9"/>
      <c r="Y160" s="22">
        <v>1.0446200000000001</v>
      </c>
      <c r="Z160" s="22">
        <v>240.286</v>
      </c>
      <c r="AA160" s="22">
        <v>-1.6998300000000001E-2</v>
      </c>
      <c r="AB160" s="22">
        <v>150</v>
      </c>
      <c r="AC160" s="22">
        <v>1.0440100000000001</v>
      </c>
      <c r="AD160">
        <f t="shared" si="28"/>
        <v>16.9983</v>
      </c>
      <c r="AE160">
        <f t="shared" si="29"/>
        <v>17.756764146000002</v>
      </c>
      <c r="AF160" s="9"/>
      <c r="AG160" s="22">
        <v>0.65536499999999998</v>
      </c>
      <c r="AH160" s="22">
        <v>394.72300000000001</v>
      </c>
      <c r="AI160" s="22">
        <v>-1.7404200000000002E-2</v>
      </c>
      <c r="AJ160" s="22">
        <v>150</v>
      </c>
      <c r="AK160" s="22">
        <v>0.65475499999999998</v>
      </c>
      <c r="AL160">
        <f t="shared" si="30"/>
        <v>17.404200000000003</v>
      </c>
      <c r="AM160">
        <f t="shared" si="31"/>
        <v>11.406103533000001</v>
      </c>
      <c r="AP160" s="9"/>
      <c r="AQ160" s="22">
        <v>1.0446200000000001</v>
      </c>
      <c r="AR160" s="22">
        <v>495.83300000000003</v>
      </c>
      <c r="AS160" s="22">
        <v>-1.6864000000000001E-2</v>
      </c>
      <c r="AT160" s="22">
        <v>150</v>
      </c>
      <c r="AU160" s="22">
        <v>1.0434000000000001</v>
      </c>
      <c r="AV160">
        <f t="shared" si="32"/>
        <v>16.864000000000001</v>
      </c>
      <c r="AW160">
        <f t="shared" si="33"/>
        <v>17.616471680000004</v>
      </c>
      <c r="AX160" s="9"/>
      <c r="AY160" s="22">
        <v>0.65536499999999998</v>
      </c>
      <c r="AZ160" s="22">
        <v>568.08699999999999</v>
      </c>
      <c r="BA160" s="22">
        <v>-1.7376699999999998E-2</v>
      </c>
      <c r="BB160" s="22">
        <v>150</v>
      </c>
      <c r="BC160" s="22">
        <v>0.65478499999999995</v>
      </c>
      <c r="BD160">
        <f t="shared" si="34"/>
        <v>17.3767</v>
      </c>
      <c r="BE160">
        <f t="shared" si="35"/>
        <v>11.388080995499999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88.873099999999994</v>
      </c>
      <c r="I161" s="22">
        <v>-1.6735799999999999E-2</v>
      </c>
      <c r="J161" s="22">
        <v>151</v>
      </c>
      <c r="K161" s="22">
        <v>1.0382100000000001</v>
      </c>
      <c r="L161">
        <f t="shared" si="24"/>
        <v>16.735799999999998</v>
      </c>
      <c r="M161">
        <f t="shared" si="25"/>
        <v>17.398202963999996</v>
      </c>
      <c r="N161" s="9"/>
      <c r="O161" s="22">
        <v>0.66039999999999999</v>
      </c>
      <c r="P161" s="22">
        <v>154.833</v>
      </c>
      <c r="Q161" s="22">
        <v>-1.7462200000000001E-2</v>
      </c>
      <c r="R161" s="22">
        <v>151</v>
      </c>
      <c r="S161" s="22">
        <v>0.65976000000000001</v>
      </c>
      <c r="T161">
        <f t="shared" si="26"/>
        <v>17.462199999999999</v>
      </c>
      <c r="U161">
        <f t="shared" si="27"/>
        <v>11.53203688</v>
      </c>
      <c r="X161" s="9"/>
      <c r="Y161" s="22">
        <v>1.0395799999999999</v>
      </c>
      <c r="Z161" s="22">
        <v>240.387</v>
      </c>
      <c r="AA161" s="22">
        <v>-1.70013E-2</v>
      </c>
      <c r="AB161" s="22">
        <v>151</v>
      </c>
      <c r="AC161" s="22">
        <v>1.0382100000000001</v>
      </c>
      <c r="AD161">
        <f t="shared" si="28"/>
        <v>17.001300000000001</v>
      </c>
      <c r="AE161">
        <f t="shared" si="29"/>
        <v>17.674211453999998</v>
      </c>
      <c r="AF161" s="9"/>
      <c r="AG161" s="22">
        <v>0.66039999999999999</v>
      </c>
      <c r="AH161" s="22">
        <v>394.82299999999998</v>
      </c>
      <c r="AI161" s="22">
        <v>-1.7404200000000002E-2</v>
      </c>
      <c r="AJ161" s="22">
        <v>151</v>
      </c>
      <c r="AK161" s="22">
        <v>0.65969800000000001</v>
      </c>
      <c r="AL161">
        <f t="shared" si="30"/>
        <v>17.404200000000003</v>
      </c>
      <c r="AM161">
        <f t="shared" si="31"/>
        <v>11.493733680000002</v>
      </c>
      <c r="AP161" s="9"/>
      <c r="AQ161" s="22">
        <v>1.0395799999999999</v>
      </c>
      <c r="AR161" s="22">
        <v>495.93400000000003</v>
      </c>
      <c r="AS161" s="22">
        <v>-1.6876200000000001E-2</v>
      </c>
      <c r="AT161" s="22">
        <v>151</v>
      </c>
      <c r="AU161" s="22">
        <v>1.0388200000000001</v>
      </c>
      <c r="AV161">
        <f t="shared" si="32"/>
        <v>16.876200000000001</v>
      </c>
      <c r="AW161">
        <f t="shared" si="33"/>
        <v>17.544159996000001</v>
      </c>
      <c r="AX161" s="9"/>
      <c r="AY161" s="22">
        <v>0.66039999999999999</v>
      </c>
      <c r="AZ161" s="22">
        <v>568.18799999999999</v>
      </c>
      <c r="BA161" s="22">
        <v>-1.73676E-2</v>
      </c>
      <c r="BB161" s="22">
        <v>151</v>
      </c>
      <c r="BC161" s="22">
        <v>0.65966800000000003</v>
      </c>
      <c r="BD161">
        <f t="shared" si="34"/>
        <v>17.367599999999999</v>
      </c>
      <c r="BE161">
        <f t="shared" si="35"/>
        <v>11.469563039999999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88.973799999999997</v>
      </c>
      <c r="I162" s="22">
        <v>-1.6735799999999999E-2</v>
      </c>
      <c r="J162" s="22">
        <v>152</v>
      </c>
      <c r="K162" s="22">
        <v>1.0333300000000001</v>
      </c>
      <c r="L162">
        <f t="shared" si="24"/>
        <v>16.735799999999998</v>
      </c>
      <c r="M162">
        <f t="shared" si="25"/>
        <v>17.314021889999999</v>
      </c>
      <c r="N162" s="9"/>
      <c r="O162" s="22">
        <v>0.66543600000000003</v>
      </c>
      <c r="P162" s="22">
        <v>154.934</v>
      </c>
      <c r="Q162" s="22">
        <v>-1.7456099999999999E-2</v>
      </c>
      <c r="R162" s="22">
        <v>152</v>
      </c>
      <c r="S162" s="22">
        <v>0.66449000000000003</v>
      </c>
      <c r="T162">
        <f t="shared" si="26"/>
        <v>17.456099999999999</v>
      </c>
      <c r="U162">
        <f t="shared" si="27"/>
        <v>11.615917359599999</v>
      </c>
      <c r="X162" s="9"/>
      <c r="Y162" s="22">
        <v>1.0345500000000001</v>
      </c>
      <c r="Z162" s="22">
        <v>240.48699999999999</v>
      </c>
      <c r="AA162" s="22">
        <v>-1.7010500000000001E-2</v>
      </c>
      <c r="AB162" s="22">
        <v>152</v>
      </c>
      <c r="AC162" s="22">
        <v>1.0333300000000001</v>
      </c>
      <c r="AD162">
        <f t="shared" si="28"/>
        <v>17.0105</v>
      </c>
      <c r="AE162">
        <f t="shared" si="29"/>
        <v>17.598212775</v>
      </c>
      <c r="AF162" s="9"/>
      <c r="AG162" s="22">
        <v>0.66543600000000003</v>
      </c>
      <c r="AH162" s="22">
        <v>394.92399999999998</v>
      </c>
      <c r="AI162" s="22">
        <v>-1.7395000000000001E-2</v>
      </c>
      <c r="AJ162" s="22">
        <v>152</v>
      </c>
      <c r="AK162" s="22">
        <v>0.664856</v>
      </c>
      <c r="AL162">
        <f t="shared" si="30"/>
        <v>17.395</v>
      </c>
      <c r="AM162">
        <f t="shared" si="31"/>
        <v>11.57525922</v>
      </c>
      <c r="AP162" s="9"/>
      <c r="AQ162" s="22">
        <v>1.0345500000000001</v>
      </c>
      <c r="AR162" s="22">
        <v>496.03500000000003</v>
      </c>
      <c r="AS162" s="22">
        <v>-1.68915E-2</v>
      </c>
      <c r="AT162" s="22">
        <v>152</v>
      </c>
      <c r="AU162" s="22">
        <v>1.03302</v>
      </c>
      <c r="AV162">
        <f t="shared" si="32"/>
        <v>16.891500000000001</v>
      </c>
      <c r="AW162">
        <f t="shared" si="33"/>
        <v>17.475101325000001</v>
      </c>
      <c r="AX162" s="9"/>
      <c r="AY162" s="22">
        <v>0.66543600000000003</v>
      </c>
      <c r="AZ162" s="22">
        <v>568.28899999999999</v>
      </c>
      <c r="BA162" s="22">
        <v>-1.7355300000000001E-2</v>
      </c>
      <c r="BB162" s="22">
        <v>152</v>
      </c>
      <c r="BC162" s="22">
        <v>0.66467299999999996</v>
      </c>
      <c r="BD162">
        <f t="shared" si="34"/>
        <v>17.3553</v>
      </c>
      <c r="BE162">
        <f t="shared" si="35"/>
        <v>11.5488414108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89.0745</v>
      </c>
      <c r="I163" s="22">
        <v>-1.6726700000000001E-2</v>
      </c>
      <c r="J163" s="22">
        <v>153</v>
      </c>
      <c r="K163" s="22">
        <v>1.0287500000000001</v>
      </c>
      <c r="L163">
        <f t="shared" si="24"/>
        <v>16.726700000000001</v>
      </c>
      <c r="M163">
        <f t="shared" si="25"/>
        <v>17.220304917</v>
      </c>
      <c r="N163" s="9"/>
      <c r="O163" s="22">
        <v>0.67047100000000004</v>
      </c>
      <c r="P163" s="22">
        <v>155.035</v>
      </c>
      <c r="Q163" s="22">
        <v>-1.7443799999999999E-2</v>
      </c>
      <c r="R163" s="22">
        <v>153</v>
      </c>
      <c r="S163" s="22">
        <v>0.66989100000000001</v>
      </c>
      <c r="T163">
        <f t="shared" si="26"/>
        <v>17.4438</v>
      </c>
      <c r="U163">
        <f t="shared" si="27"/>
        <v>11.6955620298</v>
      </c>
      <c r="X163" s="9"/>
      <c r="Y163" s="22">
        <v>1.0295099999999999</v>
      </c>
      <c r="Z163" s="22">
        <v>240.58799999999999</v>
      </c>
      <c r="AA163" s="22">
        <v>-1.70166E-2</v>
      </c>
      <c r="AB163" s="22">
        <v>153</v>
      </c>
      <c r="AC163" s="22">
        <v>1.0281400000000001</v>
      </c>
      <c r="AD163">
        <f t="shared" si="28"/>
        <v>17.0166</v>
      </c>
      <c r="AE163">
        <f t="shared" si="29"/>
        <v>17.518759866</v>
      </c>
      <c r="AF163" s="9"/>
      <c r="AG163" s="22">
        <v>0.67047100000000004</v>
      </c>
      <c r="AH163" s="22">
        <v>395.02499999999998</v>
      </c>
      <c r="AI163" s="22">
        <v>-1.7392000000000001E-2</v>
      </c>
      <c r="AJ163" s="22">
        <v>153</v>
      </c>
      <c r="AK163" s="22">
        <v>0.66973899999999997</v>
      </c>
      <c r="AL163">
        <f t="shared" si="30"/>
        <v>17.391999999999999</v>
      </c>
      <c r="AM163">
        <f t="shared" si="31"/>
        <v>11.660831632000001</v>
      </c>
      <c r="AP163" s="9"/>
      <c r="AQ163" s="22">
        <v>1.0295099999999999</v>
      </c>
      <c r="AR163" s="22">
        <v>496.13499999999999</v>
      </c>
      <c r="AS163" s="22">
        <v>-1.68945E-2</v>
      </c>
      <c r="AT163" s="22">
        <v>153</v>
      </c>
      <c r="AU163" s="22">
        <v>1.0287500000000001</v>
      </c>
      <c r="AV163">
        <f t="shared" si="32"/>
        <v>16.894500000000001</v>
      </c>
      <c r="AW163">
        <f t="shared" si="33"/>
        <v>17.393056694999999</v>
      </c>
      <c r="AX163" s="9"/>
      <c r="AY163" s="22">
        <v>0.67047100000000004</v>
      </c>
      <c r="AZ163" s="22">
        <v>568.39</v>
      </c>
      <c r="BA163" s="22">
        <v>-1.7361499999999998E-2</v>
      </c>
      <c r="BB163" s="22">
        <v>153</v>
      </c>
      <c r="BC163" s="22">
        <v>0.66952500000000004</v>
      </c>
      <c r="BD163">
        <f t="shared" si="34"/>
        <v>17.361499999999999</v>
      </c>
      <c r="BE163">
        <f t="shared" si="35"/>
        <v>11.6403822665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89.175299999999993</v>
      </c>
      <c r="I164" s="22">
        <v>-1.6747999999999999E-2</v>
      </c>
      <c r="J164" s="22">
        <v>154</v>
      </c>
      <c r="K164" s="22">
        <v>1.02386</v>
      </c>
      <c r="L164">
        <f t="shared" si="24"/>
        <v>16.747999999999998</v>
      </c>
      <c r="M164">
        <f t="shared" si="25"/>
        <v>17.157991039999999</v>
      </c>
      <c r="N164" s="9"/>
      <c r="O164" s="22">
        <v>0.67550699999999997</v>
      </c>
      <c r="P164" s="22">
        <v>155.13499999999999</v>
      </c>
      <c r="Q164" s="22">
        <v>-1.745E-2</v>
      </c>
      <c r="R164" s="22">
        <v>154</v>
      </c>
      <c r="S164" s="22">
        <v>0.67471300000000001</v>
      </c>
      <c r="T164">
        <f t="shared" si="26"/>
        <v>17.45</v>
      </c>
      <c r="U164">
        <f t="shared" si="27"/>
        <v>11.78759715</v>
      </c>
      <c r="X164" s="9"/>
      <c r="Y164" s="22">
        <v>1.0244800000000001</v>
      </c>
      <c r="Z164" s="22">
        <v>240.68899999999999</v>
      </c>
      <c r="AA164" s="22">
        <v>-1.70166E-2</v>
      </c>
      <c r="AB164" s="22">
        <v>154</v>
      </c>
      <c r="AC164" s="22">
        <v>1.02356</v>
      </c>
      <c r="AD164">
        <f t="shared" si="28"/>
        <v>17.0166</v>
      </c>
      <c r="AE164">
        <f t="shared" si="29"/>
        <v>17.433166368000002</v>
      </c>
      <c r="AF164" s="9"/>
      <c r="AG164" s="22">
        <v>0.67550699999999997</v>
      </c>
      <c r="AH164" s="22">
        <v>395.125</v>
      </c>
      <c r="AI164" s="22">
        <v>-1.7379800000000001E-2</v>
      </c>
      <c r="AJ164" s="22">
        <v>154</v>
      </c>
      <c r="AK164" s="22">
        <v>0.67489600000000005</v>
      </c>
      <c r="AL164">
        <f t="shared" si="30"/>
        <v>17.379799999999999</v>
      </c>
      <c r="AM164">
        <f t="shared" si="31"/>
        <v>11.7401765586</v>
      </c>
      <c r="AP164" s="9"/>
      <c r="AQ164" s="22">
        <v>1.0244800000000001</v>
      </c>
      <c r="AR164" s="22">
        <v>496.23599999999999</v>
      </c>
      <c r="AS164" s="22">
        <v>-1.6897599999999999E-2</v>
      </c>
      <c r="AT164" s="22">
        <v>154</v>
      </c>
      <c r="AU164" s="22">
        <v>1.02264</v>
      </c>
      <c r="AV164">
        <f t="shared" si="32"/>
        <v>16.897599999999997</v>
      </c>
      <c r="AW164">
        <f t="shared" si="33"/>
        <v>17.311253247999996</v>
      </c>
      <c r="AX164" s="9"/>
      <c r="AY164" s="22">
        <v>0.67550699999999997</v>
      </c>
      <c r="AZ164" s="22">
        <v>568.49</v>
      </c>
      <c r="BA164" s="22">
        <v>-1.73584E-2</v>
      </c>
      <c r="BB164" s="22">
        <v>154</v>
      </c>
      <c r="BC164" s="22">
        <v>0.67483499999999996</v>
      </c>
      <c r="BD164">
        <f t="shared" si="34"/>
        <v>17.3584</v>
      </c>
      <c r="BE164">
        <f t="shared" si="35"/>
        <v>11.725720708799999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89.275999999999996</v>
      </c>
      <c r="I165" s="22">
        <v>-1.67572E-2</v>
      </c>
      <c r="J165" s="22">
        <v>155</v>
      </c>
      <c r="K165" s="22">
        <v>1.01837</v>
      </c>
      <c r="L165">
        <f t="shared" si="24"/>
        <v>16.757200000000001</v>
      </c>
      <c r="M165">
        <f t="shared" si="25"/>
        <v>17.082959968000001</v>
      </c>
      <c r="N165" s="9"/>
      <c r="O165" s="22">
        <v>0.68054199999999998</v>
      </c>
      <c r="P165" s="22">
        <v>155.23599999999999</v>
      </c>
      <c r="Q165" s="22">
        <v>-1.7443799999999999E-2</v>
      </c>
      <c r="R165" s="22">
        <v>155</v>
      </c>
      <c r="S165" s="22">
        <v>0.68008400000000002</v>
      </c>
      <c r="T165">
        <f t="shared" si="26"/>
        <v>17.4438</v>
      </c>
      <c r="U165">
        <f t="shared" si="27"/>
        <v>11.8712385396</v>
      </c>
      <c r="X165" s="9"/>
      <c r="Y165" s="22">
        <v>1.0194399999999999</v>
      </c>
      <c r="Z165" s="22">
        <v>240.78899999999999</v>
      </c>
      <c r="AA165" s="22">
        <v>-1.7031899999999999E-2</v>
      </c>
      <c r="AB165" s="22">
        <v>155</v>
      </c>
      <c r="AC165" s="22">
        <v>1.01868</v>
      </c>
      <c r="AD165">
        <f t="shared" si="28"/>
        <v>17.0319</v>
      </c>
      <c r="AE165">
        <f t="shared" si="29"/>
        <v>17.363000136</v>
      </c>
      <c r="AF165" s="9"/>
      <c r="AG165" s="22">
        <v>0.68054199999999998</v>
      </c>
      <c r="AH165" s="22">
        <v>395.226</v>
      </c>
      <c r="AI165" s="22">
        <v>-1.7373699999999999E-2</v>
      </c>
      <c r="AJ165" s="22">
        <v>155</v>
      </c>
      <c r="AK165" s="22">
        <v>0.67993199999999998</v>
      </c>
      <c r="AL165">
        <f t="shared" si="30"/>
        <v>17.373699999999999</v>
      </c>
      <c r="AM165">
        <f t="shared" si="31"/>
        <v>11.823532545399999</v>
      </c>
      <c r="AP165" s="9"/>
      <c r="AQ165" s="22">
        <v>1.0194399999999999</v>
      </c>
      <c r="AR165" s="22">
        <v>496.33699999999999</v>
      </c>
      <c r="AS165" s="22">
        <v>-1.69067E-2</v>
      </c>
      <c r="AT165" s="22">
        <v>155</v>
      </c>
      <c r="AU165" s="22">
        <v>1.01837</v>
      </c>
      <c r="AV165">
        <f t="shared" si="32"/>
        <v>16.906700000000001</v>
      </c>
      <c r="AW165">
        <f t="shared" si="33"/>
        <v>17.235366247999998</v>
      </c>
      <c r="AX165" s="9"/>
      <c r="AY165" s="22">
        <v>0.68054199999999998</v>
      </c>
      <c r="AZ165" s="22">
        <v>568.59100000000001</v>
      </c>
      <c r="BA165" s="22">
        <v>-1.7346199999999999E-2</v>
      </c>
      <c r="BB165" s="22">
        <v>155</v>
      </c>
      <c r="BC165" s="22">
        <v>0.68005400000000005</v>
      </c>
      <c r="BD165">
        <f t="shared" si="34"/>
        <v>17.3462</v>
      </c>
      <c r="BE165">
        <f t="shared" si="35"/>
        <v>11.8048176404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89.3767</v>
      </c>
      <c r="I166" s="22">
        <v>-1.6763299999999998E-2</v>
      </c>
      <c r="J166" s="22">
        <v>156</v>
      </c>
      <c r="K166" s="22">
        <v>1.01318</v>
      </c>
      <c r="L166">
        <f t="shared" si="24"/>
        <v>16.763299999999997</v>
      </c>
      <c r="M166">
        <f t="shared" si="25"/>
        <v>17.004691519999998</v>
      </c>
      <c r="N166" s="9"/>
      <c r="O166" s="22">
        <v>0.68557699999999999</v>
      </c>
      <c r="P166" s="22">
        <v>155.33699999999999</v>
      </c>
      <c r="Q166" s="22">
        <v>-1.7434700000000001E-2</v>
      </c>
      <c r="R166" s="22">
        <v>156</v>
      </c>
      <c r="S166" s="22">
        <v>0.68487500000000001</v>
      </c>
      <c r="T166">
        <f t="shared" si="26"/>
        <v>17.434699999999999</v>
      </c>
      <c r="U166">
        <f t="shared" si="27"/>
        <v>11.952829321899999</v>
      </c>
      <c r="X166" s="9"/>
      <c r="Y166" s="22">
        <v>1.0144</v>
      </c>
      <c r="Z166" s="22">
        <v>240.89</v>
      </c>
      <c r="AA166" s="22">
        <v>-1.7041000000000001E-2</v>
      </c>
      <c r="AB166" s="22">
        <v>156</v>
      </c>
      <c r="AC166" s="22">
        <v>1.01379</v>
      </c>
      <c r="AD166">
        <f t="shared" si="28"/>
        <v>17.041</v>
      </c>
      <c r="AE166">
        <f t="shared" si="29"/>
        <v>17.286390399999998</v>
      </c>
      <c r="AF166" s="9"/>
      <c r="AG166" s="22">
        <v>0.68557699999999999</v>
      </c>
      <c r="AH166" s="22">
        <v>395.327</v>
      </c>
      <c r="AI166" s="22">
        <v>-1.7364500000000001E-2</v>
      </c>
      <c r="AJ166" s="22">
        <v>156</v>
      </c>
      <c r="AK166" s="22">
        <v>0.68478399999999995</v>
      </c>
      <c r="AL166">
        <f t="shared" si="30"/>
        <v>17.364500000000003</v>
      </c>
      <c r="AM166">
        <f t="shared" si="31"/>
        <v>11.904701816500001</v>
      </c>
      <c r="AP166" s="9"/>
      <c r="AQ166" s="22">
        <v>1.0144</v>
      </c>
      <c r="AR166" s="22">
        <v>496.43799999999999</v>
      </c>
      <c r="AS166" s="22">
        <v>-1.6912799999999999E-2</v>
      </c>
      <c r="AT166" s="22">
        <v>156</v>
      </c>
      <c r="AU166" s="22">
        <v>1.01318</v>
      </c>
      <c r="AV166">
        <f t="shared" si="32"/>
        <v>16.912799999999997</v>
      </c>
      <c r="AW166">
        <f t="shared" si="33"/>
        <v>17.156344319999995</v>
      </c>
      <c r="AX166" s="9"/>
      <c r="AY166" s="22">
        <v>0.68557699999999999</v>
      </c>
      <c r="AZ166" s="22">
        <v>568.69200000000001</v>
      </c>
      <c r="BA166" s="22">
        <v>-1.7333999999999999E-2</v>
      </c>
      <c r="BB166" s="22">
        <v>156</v>
      </c>
      <c r="BC166" s="22">
        <v>0.68505899999999997</v>
      </c>
      <c r="BD166">
        <f t="shared" si="34"/>
        <v>17.334</v>
      </c>
      <c r="BE166">
        <f t="shared" si="35"/>
        <v>11.883791717999999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89.477400000000003</v>
      </c>
      <c r="I167" s="22">
        <v>-1.6778600000000001E-2</v>
      </c>
      <c r="J167" s="22">
        <v>157</v>
      </c>
      <c r="K167" s="22">
        <v>1.00861</v>
      </c>
      <c r="L167">
        <f t="shared" si="24"/>
        <v>16.778600000000001</v>
      </c>
      <c r="M167">
        <f t="shared" si="25"/>
        <v>16.935815482000002</v>
      </c>
      <c r="N167" s="9"/>
      <c r="O167" s="22">
        <v>0.69061300000000003</v>
      </c>
      <c r="P167" s="22">
        <v>155.43700000000001</v>
      </c>
      <c r="Q167" s="22">
        <v>-1.7431599999999998E-2</v>
      </c>
      <c r="R167" s="22">
        <v>157</v>
      </c>
      <c r="S167" s="22">
        <v>0.690002</v>
      </c>
      <c r="T167">
        <f t="shared" si="26"/>
        <v>17.4316</v>
      </c>
      <c r="U167">
        <f t="shared" si="27"/>
        <v>12.038489570799999</v>
      </c>
      <c r="X167" s="9"/>
      <c r="Y167" s="22">
        <v>1.0093700000000001</v>
      </c>
      <c r="Z167" s="22">
        <v>240.99100000000001</v>
      </c>
      <c r="AA167" s="22">
        <v>-1.70441E-2</v>
      </c>
      <c r="AB167" s="22">
        <v>157</v>
      </c>
      <c r="AC167" s="22">
        <v>1.00861</v>
      </c>
      <c r="AD167">
        <f t="shared" si="28"/>
        <v>17.0441</v>
      </c>
      <c r="AE167">
        <f t="shared" si="29"/>
        <v>17.203803217000001</v>
      </c>
      <c r="AF167" s="9"/>
      <c r="AG167" s="22">
        <v>0.69061300000000003</v>
      </c>
      <c r="AH167" s="22">
        <v>395.428</v>
      </c>
      <c r="AI167" s="22">
        <v>-1.7373699999999999E-2</v>
      </c>
      <c r="AJ167" s="22">
        <v>157</v>
      </c>
      <c r="AK167" s="22">
        <v>0.68994100000000003</v>
      </c>
      <c r="AL167">
        <f t="shared" si="30"/>
        <v>17.373699999999999</v>
      </c>
      <c r="AM167">
        <f t="shared" si="31"/>
        <v>11.998503078100001</v>
      </c>
      <c r="AP167" s="9"/>
      <c r="AQ167" s="22">
        <v>1.0093700000000001</v>
      </c>
      <c r="AR167" s="22">
        <v>496.53800000000001</v>
      </c>
      <c r="AS167" s="22">
        <v>-1.6918900000000001E-2</v>
      </c>
      <c r="AT167" s="22">
        <v>157</v>
      </c>
      <c r="AU167" s="22">
        <v>1.0083</v>
      </c>
      <c r="AV167">
        <f t="shared" si="32"/>
        <v>16.918900000000001</v>
      </c>
      <c r="AW167">
        <f t="shared" si="33"/>
        <v>17.077430093000004</v>
      </c>
      <c r="AX167" s="9"/>
      <c r="AY167" s="22">
        <v>0.69061300000000003</v>
      </c>
      <c r="AZ167" s="22">
        <v>568.79200000000003</v>
      </c>
      <c r="BA167" s="22">
        <v>-1.73279E-2</v>
      </c>
      <c r="BB167" s="22">
        <v>157</v>
      </c>
      <c r="BC167" s="22">
        <v>0.68984999999999996</v>
      </c>
      <c r="BD167">
        <f t="shared" si="34"/>
        <v>17.3279</v>
      </c>
      <c r="BE167">
        <f t="shared" si="35"/>
        <v>11.9668730027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89.578100000000006</v>
      </c>
      <c r="I168" s="22">
        <v>-1.6778600000000001E-2</v>
      </c>
      <c r="J168" s="22">
        <v>158</v>
      </c>
      <c r="K168" s="22">
        <v>1.0037199999999999</v>
      </c>
      <c r="L168">
        <f t="shared" si="24"/>
        <v>16.778600000000001</v>
      </c>
      <c r="M168">
        <f t="shared" si="25"/>
        <v>16.851251338000001</v>
      </c>
      <c r="N168" s="9"/>
      <c r="O168" s="22">
        <v>0.69564800000000004</v>
      </c>
      <c r="P168" s="22">
        <v>155.53800000000001</v>
      </c>
      <c r="Q168" s="22">
        <v>-1.7428599999999999E-2</v>
      </c>
      <c r="R168" s="22">
        <v>158</v>
      </c>
      <c r="S168" s="22">
        <v>0.69506800000000002</v>
      </c>
      <c r="T168">
        <f t="shared" si="26"/>
        <v>17.428599999999999</v>
      </c>
      <c r="U168">
        <f t="shared" si="27"/>
        <v>12.1241707328</v>
      </c>
      <c r="X168" s="9"/>
      <c r="Y168" s="22">
        <v>1.0043299999999999</v>
      </c>
      <c r="Z168" s="22">
        <v>241.09200000000001</v>
      </c>
      <c r="AA168" s="22">
        <v>-1.70441E-2</v>
      </c>
      <c r="AB168" s="22">
        <v>158</v>
      </c>
      <c r="AC168" s="22">
        <v>1.0031099999999999</v>
      </c>
      <c r="AD168">
        <f t="shared" si="28"/>
        <v>17.0441</v>
      </c>
      <c r="AE168">
        <f t="shared" si="29"/>
        <v>17.117900952999999</v>
      </c>
      <c r="AF168" s="9"/>
      <c r="AG168" s="22">
        <v>0.69564800000000004</v>
      </c>
      <c r="AH168" s="22">
        <v>395.52800000000002</v>
      </c>
      <c r="AI168" s="22">
        <v>-1.7355300000000001E-2</v>
      </c>
      <c r="AJ168" s="22">
        <v>158</v>
      </c>
      <c r="AK168" s="22">
        <v>0.69494599999999995</v>
      </c>
      <c r="AL168">
        <f t="shared" si="30"/>
        <v>17.3553</v>
      </c>
      <c r="AM168">
        <f t="shared" si="31"/>
        <v>12.0731797344</v>
      </c>
      <c r="AP168" s="9"/>
      <c r="AQ168" s="22">
        <v>1.0043299999999999</v>
      </c>
      <c r="AR168" s="22">
        <v>496.63900000000001</v>
      </c>
      <c r="AS168" s="22">
        <v>-1.6928100000000001E-2</v>
      </c>
      <c r="AT168" s="22">
        <v>158</v>
      </c>
      <c r="AU168" s="22">
        <v>1.0037199999999999</v>
      </c>
      <c r="AV168">
        <f t="shared" si="32"/>
        <v>16.928100000000001</v>
      </c>
      <c r="AW168">
        <f t="shared" si="33"/>
        <v>17.001398673000001</v>
      </c>
      <c r="AX168" s="9"/>
      <c r="AY168" s="22">
        <v>0.69564800000000004</v>
      </c>
      <c r="AZ168" s="22">
        <v>568.89300000000003</v>
      </c>
      <c r="BA168" s="22">
        <v>-1.7333999999999999E-2</v>
      </c>
      <c r="BB168" s="22">
        <v>158</v>
      </c>
      <c r="BC168" s="22">
        <v>0.69500700000000004</v>
      </c>
      <c r="BD168">
        <f t="shared" si="34"/>
        <v>17.334</v>
      </c>
      <c r="BE168">
        <f t="shared" si="35"/>
        <v>12.058362432000001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89.678799999999995</v>
      </c>
      <c r="I169" s="22">
        <v>-1.6790800000000002E-2</v>
      </c>
      <c r="J169" s="22">
        <v>159</v>
      </c>
      <c r="K169" s="22">
        <v>0.99822999999999995</v>
      </c>
      <c r="L169">
        <f t="shared" si="24"/>
        <v>16.790800000000001</v>
      </c>
      <c r="M169">
        <f t="shared" si="25"/>
        <v>16.779012858400002</v>
      </c>
      <c r="N169" s="9"/>
      <c r="O169" s="22">
        <v>0.70068399999999997</v>
      </c>
      <c r="P169" s="22">
        <v>155.63900000000001</v>
      </c>
      <c r="Q169" s="22">
        <v>-1.74255E-2</v>
      </c>
      <c r="R169" s="22">
        <v>159</v>
      </c>
      <c r="S169" s="22">
        <v>0.69979899999999995</v>
      </c>
      <c r="T169">
        <f t="shared" si="26"/>
        <v>17.4255</v>
      </c>
      <c r="U169">
        <f t="shared" si="27"/>
        <v>12.209769042</v>
      </c>
      <c r="X169" s="9"/>
      <c r="Y169" s="22">
        <v>0.99929800000000002</v>
      </c>
      <c r="Z169" s="22">
        <v>241.19200000000001</v>
      </c>
      <c r="AA169" s="22">
        <v>-1.7053200000000001E-2</v>
      </c>
      <c r="AB169" s="22">
        <v>159</v>
      </c>
      <c r="AC169" s="22">
        <v>0.99822999999999995</v>
      </c>
      <c r="AD169">
        <f t="shared" si="28"/>
        <v>17.0532</v>
      </c>
      <c r="AE169">
        <f t="shared" si="29"/>
        <v>17.041228653600001</v>
      </c>
      <c r="AF169" s="9"/>
      <c r="AG169" s="22">
        <v>0.70068399999999997</v>
      </c>
      <c r="AH169" s="22">
        <v>395.62900000000002</v>
      </c>
      <c r="AI169" s="22">
        <v>-1.7346199999999999E-2</v>
      </c>
      <c r="AJ169" s="22">
        <v>159</v>
      </c>
      <c r="AK169" s="22">
        <v>0.70010399999999995</v>
      </c>
      <c r="AL169">
        <f t="shared" si="30"/>
        <v>17.3462</v>
      </c>
      <c r="AM169">
        <f t="shared" si="31"/>
        <v>12.154204800799999</v>
      </c>
      <c r="AP169" s="9"/>
      <c r="AQ169" s="22">
        <v>0.99929800000000002</v>
      </c>
      <c r="AR169" s="22">
        <v>496.74</v>
      </c>
      <c r="AS169" s="22">
        <v>-1.6943400000000001E-2</v>
      </c>
      <c r="AT169" s="22">
        <v>159</v>
      </c>
      <c r="AU169" s="22">
        <v>0.99883999999999995</v>
      </c>
      <c r="AV169">
        <f t="shared" si="32"/>
        <v>16.9434</v>
      </c>
      <c r="AW169">
        <f t="shared" si="33"/>
        <v>16.931505733200002</v>
      </c>
      <c r="AX169" s="9"/>
      <c r="AY169" s="22">
        <v>0.70068399999999997</v>
      </c>
      <c r="AZ169" s="22">
        <v>568.99400000000003</v>
      </c>
      <c r="BA169" s="22">
        <v>-1.7321799999999998E-2</v>
      </c>
      <c r="BB169" s="22">
        <v>159</v>
      </c>
      <c r="BC169" s="22">
        <v>0.69992100000000002</v>
      </c>
      <c r="BD169">
        <f t="shared" si="34"/>
        <v>17.3218</v>
      </c>
      <c r="BE169">
        <f t="shared" si="35"/>
        <v>12.1371081112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89.779499999999999</v>
      </c>
      <c r="I170" s="22">
        <v>-1.6790800000000002E-2</v>
      </c>
      <c r="J170" s="22">
        <v>160</v>
      </c>
      <c r="K170" s="22">
        <v>0.99304199999999998</v>
      </c>
      <c r="L170">
        <f t="shared" si="24"/>
        <v>16.790800000000001</v>
      </c>
      <c r="M170">
        <f t="shared" si="25"/>
        <v>16.694471180400001</v>
      </c>
      <c r="N170" s="9"/>
      <c r="O170" s="22">
        <v>0.70571899999999999</v>
      </c>
      <c r="P170" s="22">
        <v>155.74</v>
      </c>
      <c r="Q170" s="22">
        <v>-1.74225E-2</v>
      </c>
      <c r="R170" s="22">
        <v>160</v>
      </c>
      <c r="S170" s="22">
        <v>0.70510899999999999</v>
      </c>
      <c r="T170">
        <f t="shared" si="26"/>
        <v>17.422499999999999</v>
      </c>
      <c r="U170">
        <f t="shared" si="27"/>
        <v>12.2953892775</v>
      </c>
      <c r="X170" s="9"/>
      <c r="Y170" s="22">
        <v>0.99426300000000001</v>
      </c>
      <c r="Z170" s="22">
        <v>241.29300000000001</v>
      </c>
      <c r="AA170" s="22">
        <v>-1.70563E-2</v>
      </c>
      <c r="AB170" s="22">
        <v>160</v>
      </c>
      <c r="AC170" s="22">
        <v>0.99395800000000001</v>
      </c>
      <c r="AD170">
        <f t="shared" si="28"/>
        <v>17.0563</v>
      </c>
      <c r="AE170">
        <f t="shared" si="29"/>
        <v>16.958448006899999</v>
      </c>
      <c r="AF170" s="9"/>
      <c r="AG170" s="22">
        <v>0.70571899999999999</v>
      </c>
      <c r="AH170" s="22">
        <v>395.73</v>
      </c>
      <c r="AI170" s="22">
        <v>-1.7346199999999999E-2</v>
      </c>
      <c r="AJ170" s="22">
        <v>160</v>
      </c>
      <c r="AK170" s="22">
        <v>0.70510899999999999</v>
      </c>
      <c r="AL170">
        <f t="shared" si="30"/>
        <v>17.3462</v>
      </c>
      <c r="AM170">
        <f t="shared" si="31"/>
        <v>12.241542917799999</v>
      </c>
      <c r="AP170" s="9"/>
      <c r="AQ170" s="22">
        <v>0.99426300000000001</v>
      </c>
      <c r="AR170" s="22">
        <v>496.84</v>
      </c>
      <c r="AS170" s="22">
        <v>-1.6952499999999999E-2</v>
      </c>
      <c r="AT170" s="22">
        <v>160</v>
      </c>
      <c r="AU170" s="22">
        <v>0.99273699999999998</v>
      </c>
      <c r="AV170">
        <f t="shared" si="32"/>
        <v>16.952500000000001</v>
      </c>
      <c r="AW170">
        <f t="shared" si="33"/>
        <v>16.855243507499999</v>
      </c>
      <c r="AX170" s="9"/>
      <c r="AY170" s="22">
        <v>0.70571899999999999</v>
      </c>
      <c r="AZ170" s="22">
        <v>569.09500000000003</v>
      </c>
      <c r="BA170" s="22">
        <v>-1.7312600000000001E-2</v>
      </c>
      <c r="BB170" s="22">
        <v>160</v>
      </c>
      <c r="BC170" s="22">
        <v>0.70516999999999996</v>
      </c>
      <c r="BD170">
        <f t="shared" si="34"/>
        <v>17.3126</v>
      </c>
      <c r="BE170">
        <f t="shared" si="35"/>
        <v>12.2178307594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89.880200000000002</v>
      </c>
      <c r="I171" s="22">
        <v>-1.6793800000000001E-2</v>
      </c>
      <c r="J171" s="22">
        <v>161</v>
      </c>
      <c r="K171" s="22">
        <v>0.98877000000000004</v>
      </c>
      <c r="L171">
        <f t="shared" si="24"/>
        <v>16.793800000000001</v>
      </c>
      <c r="M171">
        <f t="shared" si="25"/>
        <v>16.612880392600001</v>
      </c>
      <c r="N171" s="9"/>
      <c r="O171" s="22">
        <v>0.710754</v>
      </c>
      <c r="P171" s="22">
        <v>155.84</v>
      </c>
      <c r="Q171" s="22">
        <v>-1.7416399999999999E-2</v>
      </c>
      <c r="R171" s="22">
        <v>161</v>
      </c>
      <c r="S171" s="22">
        <v>0.71005200000000002</v>
      </c>
      <c r="T171">
        <f t="shared" si="26"/>
        <v>17.416399999999999</v>
      </c>
      <c r="U171">
        <f t="shared" si="27"/>
        <v>12.378775965599999</v>
      </c>
      <c r="X171" s="9"/>
      <c r="Y171" s="22">
        <v>0.98922699999999997</v>
      </c>
      <c r="Z171" s="22">
        <v>241.39400000000001</v>
      </c>
      <c r="AA171" s="22">
        <v>-1.7062399999999998E-2</v>
      </c>
      <c r="AB171" s="22">
        <v>161</v>
      </c>
      <c r="AC171" s="22">
        <v>0.98846400000000001</v>
      </c>
      <c r="AD171">
        <f t="shared" si="28"/>
        <v>17.062399999999997</v>
      </c>
      <c r="AE171">
        <f t="shared" si="29"/>
        <v>16.878586764799998</v>
      </c>
      <c r="AF171" s="9"/>
      <c r="AG171" s="22">
        <v>0.710754</v>
      </c>
      <c r="AH171" s="22">
        <v>395.83</v>
      </c>
      <c r="AI171" s="22">
        <v>-1.7333999999999999E-2</v>
      </c>
      <c r="AJ171" s="22">
        <v>161</v>
      </c>
      <c r="AK171" s="22">
        <v>0.71011400000000002</v>
      </c>
      <c r="AL171">
        <f t="shared" si="30"/>
        <v>17.334</v>
      </c>
      <c r="AM171">
        <f t="shared" si="31"/>
        <v>12.320209836</v>
      </c>
      <c r="AP171" s="9"/>
      <c r="AQ171" s="22">
        <v>0.98922699999999997</v>
      </c>
      <c r="AR171" s="22">
        <v>496.94099999999997</v>
      </c>
      <c r="AS171" s="22">
        <v>-1.6952499999999999E-2</v>
      </c>
      <c r="AT171" s="22">
        <v>161</v>
      </c>
      <c r="AU171" s="22">
        <v>0.98846400000000001</v>
      </c>
      <c r="AV171">
        <f t="shared" si="32"/>
        <v>16.952500000000001</v>
      </c>
      <c r="AW171">
        <f t="shared" si="33"/>
        <v>16.769870717500002</v>
      </c>
      <c r="AX171" s="9"/>
      <c r="AY171" s="22">
        <v>0.710754</v>
      </c>
      <c r="AZ171" s="22">
        <v>569.19500000000005</v>
      </c>
      <c r="BA171" s="22">
        <v>-1.7318699999999999E-2</v>
      </c>
      <c r="BB171" s="22">
        <v>161</v>
      </c>
      <c r="BC171" s="22">
        <v>0.710175</v>
      </c>
      <c r="BD171">
        <f t="shared" si="34"/>
        <v>17.3187</v>
      </c>
      <c r="BE171">
        <f t="shared" si="35"/>
        <v>12.309335299799999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89.980900000000005</v>
      </c>
      <c r="I172" s="22">
        <v>-1.6802999999999998E-2</v>
      </c>
      <c r="J172" s="22">
        <v>162</v>
      </c>
      <c r="K172" s="22">
        <v>0.98297100000000004</v>
      </c>
      <c r="L172">
        <f t="shared" si="24"/>
        <v>16.802999999999997</v>
      </c>
      <c r="M172">
        <f t="shared" si="25"/>
        <v>16.537378175999997</v>
      </c>
      <c r="N172" s="9"/>
      <c r="O172" s="22">
        <v>0.71579000000000004</v>
      </c>
      <c r="P172" s="22">
        <v>155.941</v>
      </c>
      <c r="Q172" s="22">
        <v>-1.74133E-2</v>
      </c>
      <c r="R172" s="22">
        <v>162</v>
      </c>
      <c r="S172" s="22">
        <v>0.71505700000000005</v>
      </c>
      <c r="T172">
        <f t="shared" si="26"/>
        <v>17.4133</v>
      </c>
      <c r="U172">
        <f t="shared" si="27"/>
        <v>12.464266007000001</v>
      </c>
      <c r="X172" s="9"/>
      <c r="Y172" s="22">
        <v>0.98419199999999996</v>
      </c>
      <c r="Z172" s="22">
        <v>241.494</v>
      </c>
      <c r="AA172" s="22">
        <v>-1.7074599999999999E-2</v>
      </c>
      <c r="AB172" s="22">
        <v>162</v>
      </c>
      <c r="AC172" s="22">
        <v>0.98327600000000004</v>
      </c>
      <c r="AD172">
        <f t="shared" si="28"/>
        <v>17.0746</v>
      </c>
      <c r="AE172">
        <f t="shared" si="29"/>
        <v>16.804684723200001</v>
      </c>
      <c r="AF172" s="9"/>
      <c r="AG172" s="22">
        <v>0.71579000000000004</v>
      </c>
      <c r="AH172" s="22">
        <v>395.93099999999998</v>
      </c>
      <c r="AI172" s="22">
        <v>-1.73279E-2</v>
      </c>
      <c r="AJ172" s="22">
        <v>162</v>
      </c>
      <c r="AK172" s="22">
        <v>0.71514900000000003</v>
      </c>
      <c r="AL172">
        <f t="shared" si="30"/>
        <v>17.3279</v>
      </c>
      <c r="AM172">
        <f t="shared" si="31"/>
        <v>12.403137541</v>
      </c>
      <c r="AP172" s="9"/>
      <c r="AQ172" s="22">
        <v>0.98419199999999996</v>
      </c>
      <c r="AR172" s="22">
        <v>497.04199999999997</v>
      </c>
      <c r="AS172" s="22">
        <v>-1.69617E-2</v>
      </c>
      <c r="AT172" s="22">
        <v>162</v>
      </c>
      <c r="AU172" s="22">
        <v>0.98297100000000004</v>
      </c>
      <c r="AV172">
        <f t="shared" si="32"/>
        <v>16.9617</v>
      </c>
      <c r="AW172">
        <f t="shared" si="33"/>
        <v>16.693569446399998</v>
      </c>
      <c r="AX172" s="9"/>
      <c r="AY172" s="22">
        <v>0.71579000000000004</v>
      </c>
      <c r="AZ172" s="22">
        <v>569.29600000000005</v>
      </c>
      <c r="BA172" s="22">
        <v>-1.7303499999999999E-2</v>
      </c>
      <c r="BB172" s="22">
        <v>162</v>
      </c>
      <c r="BC172" s="22">
        <v>0.71505700000000005</v>
      </c>
      <c r="BD172">
        <f t="shared" si="34"/>
        <v>17.3035</v>
      </c>
      <c r="BE172">
        <f t="shared" si="35"/>
        <v>12.385672265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90.081599999999995</v>
      </c>
      <c r="I173" s="22">
        <v>-1.67969E-2</v>
      </c>
      <c r="J173" s="22">
        <v>163</v>
      </c>
      <c r="K173" s="22">
        <v>0.97839399999999999</v>
      </c>
      <c r="L173">
        <f t="shared" si="24"/>
        <v>16.796900000000001</v>
      </c>
      <c r="M173">
        <f t="shared" si="25"/>
        <v>16.446785416400001</v>
      </c>
      <c r="N173" s="9"/>
      <c r="O173" s="22">
        <v>0.72082500000000005</v>
      </c>
      <c r="P173" s="22">
        <v>156.042</v>
      </c>
      <c r="Q173" s="22">
        <v>-1.7404200000000002E-2</v>
      </c>
      <c r="R173" s="22">
        <v>163</v>
      </c>
      <c r="S173" s="22">
        <v>0.72012299999999996</v>
      </c>
      <c r="T173">
        <f t="shared" si="26"/>
        <v>17.404200000000003</v>
      </c>
      <c r="U173">
        <f t="shared" si="27"/>
        <v>12.545382465000003</v>
      </c>
      <c r="X173" s="9"/>
      <c r="Y173" s="22">
        <v>0.97915600000000003</v>
      </c>
      <c r="Z173" s="22">
        <v>241.595</v>
      </c>
      <c r="AA173" s="22">
        <v>-1.70715E-2</v>
      </c>
      <c r="AB173" s="22">
        <v>163</v>
      </c>
      <c r="AC173" s="22">
        <v>0.97869899999999999</v>
      </c>
      <c r="AD173">
        <f t="shared" si="28"/>
        <v>17.0715</v>
      </c>
      <c r="AE173">
        <f t="shared" si="29"/>
        <v>16.715661654000002</v>
      </c>
      <c r="AF173" s="9"/>
      <c r="AG173" s="22">
        <v>0.72082500000000005</v>
      </c>
      <c r="AH173" s="22">
        <v>396.03199999999998</v>
      </c>
      <c r="AI173" s="22">
        <v>-1.7324800000000001E-2</v>
      </c>
      <c r="AJ173" s="22">
        <v>163</v>
      </c>
      <c r="AK173" s="22">
        <v>0.72024500000000002</v>
      </c>
      <c r="AL173">
        <f t="shared" si="30"/>
        <v>17.3248</v>
      </c>
      <c r="AM173">
        <f t="shared" si="31"/>
        <v>12.48814896</v>
      </c>
      <c r="AP173" s="9"/>
      <c r="AQ173" s="22">
        <v>0.97915600000000003</v>
      </c>
      <c r="AR173" s="22">
        <v>497.142</v>
      </c>
      <c r="AS173" s="22">
        <v>-1.6958600000000001E-2</v>
      </c>
      <c r="AT173" s="22">
        <v>163</v>
      </c>
      <c r="AU173" s="22">
        <v>0.97839399999999999</v>
      </c>
      <c r="AV173">
        <f t="shared" si="32"/>
        <v>16.958600000000001</v>
      </c>
      <c r="AW173">
        <f t="shared" si="33"/>
        <v>16.6051149416</v>
      </c>
      <c r="AX173" s="9"/>
      <c r="AY173" s="22">
        <v>0.72082500000000005</v>
      </c>
      <c r="AZ173" s="22">
        <v>569.39700000000005</v>
      </c>
      <c r="BA173" s="22">
        <v>-1.7297400000000001E-2</v>
      </c>
      <c r="BB173" s="22">
        <v>163</v>
      </c>
      <c r="BC173" s="22">
        <v>0.72021500000000005</v>
      </c>
      <c r="BD173">
        <f t="shared" si="34"/>
        <v>17.2974</v>
      </c>
      <c r="BE173">
        <f t="shared" si="35"/>
        <v>12.468398355000001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90.182299999999998</v>
      </c>
      <c r="I174" s="22">
        <v>-1.68091E-2</v>
      </c>
      <c r="J174" s="22">
        <v>164</v>
      </c>
      <c r="K174" s="22">
        <v>0.97412100000000001</v>
      </c>
      <c r="L174">
        <f t="shared" si="24"/>
        <v>16.809100000000001</v>
      </c>
      <c r="M174">
        <f t="shared" si="25"/>
        <v>16.374097301100001</v>
      </c>
      <c r="N174" s="9"/>
      <c r="O174" s="22">
        <v>0.72586099999999998</v>
      </c>
      <c r="P174" s="22">
        <v>156.142</v>
      </c>
      <c r="Q174" s="22">
        <v>-1.7392000000000001E-2</v>
      </c>
      <c r="R174" s="22">
        <v>164</v>
      </c>
      <c r="S174" s="22">
        <v>0.72512799999999999</v>
      </c>
      <c r="T174">
        <f t="shared" si="26"/>
        <v>17.391999999999999</v>
      </c>
      <c r="U174">
        <f t="shared" si="27"/>
        <v>12.624174512</v>
      </c>
      <c r="X174" s="9"/>
      <c r="Y174" s="22">
        <v>0.97412100000000001</v>
      </c>
      <c r="Z174" s="22">
        <v>241.696</v>
      </c>
      <c r="AA174" s="22">
        <v>-1.70837E-2</v>
      </c>
      <c r="AB174" s="22">
        <v>164</v>
      </c>
      <c r="AC174" s="22">
        <v>0.97289999999999999</v>
      </c>
      <c r="AD174">
        <f t="shared" si="28"/>
        <v>17.0837</v>
      </c>
      <c r="AE174">
        <f t="shared" si="29"/>
        <v>16.641590927700001</v>
      </c>
      <c r="AF174" s="9"/>
      <c r="AG174" s="22">
        <v>0.72586099999999998</v>
      </c>
      <c r="AH174" s="22">
        <v>396.13200000000001</v>
      </c>
      <c r="AI174" s="22">
        <v>-1.73157E-2</v>
      </c>
      <c r="AJ174" s="22">
        <v>164</v>
      </c>
      <c r="AK174" s="22">
        <v>0.72531100000000004</v>
      </c>
      <c r="AL174">
        <f t="shared" si="30"/>
        <v>17.3157</v>
      </c>
      <c r="AM174">
        <f t="shared" si="31"/>
        <v>12.568791317699999</v>
      </c>
      <c r="AP174" s="9"/>
      <c r="AQ174" s="22">
        <v>0.97412100000000001</v>
      </c>
      <c r="AR174" s="22">
        <v>497.24299999999999</v>
      </c>
      <c r="AS174" s="22">
        <v>-1.69617E-2</v>
      </c>
      <c r="AT174" s="22">
        <v>164</v>
      </c>
      <c r="AU174" s="22">
        <v>0.97351100000000002</v>
      </c>
      <c r="AV174">
        <f t="shared" si="32"/>
        <v>16.9617</v>
      </c>
      <c r="AW174">
        <f t="shared" si="33"/>
        <v>16.522748165700001</v>
      </c>
      <c r="AX174" s="9"/>
      <c r="AY174" s="22">
        <v>0.72586099999999998</v>
      </c>
      <c r="AZ174" s="22">
        <v>569.49699999999996</v>
      </c>
      <c r="BA174" s="22">
        <v>-1.73004E-2</v>
      </c>
      <c r="BB174" s="22">
        <v>164</v>
      </c>
      <c r="BC174" s="22">
        <v>0.72531100000000004</v>
      </c>
      <c r="BD174">
        <f t="shared" si="34"/>
        <v>17.3004</v>
      </c>
      <c r="BE174">
        <f t="shared" si="35"/>
        <v>12.557685644399999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90.283000000000001</v>
      </c>
      <c r="I175" s="22">
        <v>-1.6818199999999998E-2</v>
      </c>
      <c r="J175" s="22">
        <v>165</v>
      </c>
      <c r="K175" s="22">
        <v>0.96862800000000004</v>
      </c>
      <c r="L175">
        <f t="shared" si="24"/>
        <v>16.818199999999997</v>
      </c>
      <c r="M175">
        <f t="shared" si="25"/>
        <v>16.298282165199996</v>
      </c>
      <c r="N175" s="9"/>
      <c r="O175" s="22">
        <v>0.73089599999999999</v>
      </c>
      <c r="P175" s="22">
        <v>156.24299999999999</v>
      </c>
      <c r="Q175" s="22">
        <v>-1.7388899999999999E-2</v>
      </c>
      <c r="R175" s="22">
        <v>165</v>
      </c>
      <c r="S175" s="22">
        <v>0.73028599999999999</v>
      </c>
      <c r="T175">
        <f t="shared" si="26"/>
        <v>17.3889</v>
      </c>
      <c r="U175">
        <f t="shared" si="27"/>
        <v>12.7094774544</v>
      </c>
      <c r="X175" s="9"/>
      <c r="Y175" s="22">
        <v>0.969086</v>
      </c>
      <c r="Z175" s="22">
        <v>241.79599999999999</v>
      </c>
      <c r="AA175" s="22">
        <v>-1.70837E-2</v>
      </c>
      <c r="AB175" s="22">
        <v>165</v>
      </c>
      <c r="AC175" s="22">
        <v>0.96832300000000004</v>
      </c>
      <c r="AD175">
        <f t="shared" si="28"/>
        <v>17.0837</v>
      </c>
      <c r="AE175">
        <f t="shared" si="29"/>
        <v>16.555574498199999</v>
      </c>
      <c r="AF175" s="9"/>
      <c r="AG175" s="22">
        <v>0.73089599999999999</v>
      </c>
      <c r="AH175" s="22">
        <v>396.233</v>
      </c>
      <c r="AI175" s="22">
        <v>-1.7306499999999999E-2</v>
      </c>
      <c r="AJ175" s="22">
        <v>165</v>
      </c>
      <c r="AK175" s="22">
        <v>0.73028599999999999</v>
      </c>
      <c r="AL175">
        <f t="shared" si="30"/>
        <v>17.3065</v>
      </c>
      <c r="AM175">
        <f t="shared" si="31"/>
        <v>12.649251624</v>
      </c>
      <c r="AP175" s="9"/>
      <c r="AQ175" s="22">
        <v>0.969086</v>
      </c>
      <c r="AR175" s="22">
        <v>497.34399999999999</v>
      </c>
      <c r="AS175" s="22">
        <v>-1.6970800000000001E-2</v>
      </c>
      <c r="AT175" s="22">
        <v>165</v>
      </c>
      <c r="AU175" s="22">
        <v>0.96801800000000005</v>
      </c>
      <c r="AV175">
        <f t="shared" si="32"/>
        <v>16.970800000000001</v>
      </c>
      <c r="AW175">
        <f t="shared" si="33"/>
        <v>16.4461646888</v>
      </c>
      <c r="AX175" s="9"/>
      <c r="AY175" s="22">
        <v>0.73089599999999999</v>
      </c>
      <c r="AZ175" s="22">
        <v>569.59799999999996</v>
      </c>
      <c r="BA175" s="22">
        <v>-1.7294299999999999E-2</v>
      </c>
      <c r="BB175" s="22">
        <v>165</v>
      </c>
      <c r="BC175" s="22">
        <v>0.73034699999999997</v>
      </c>
      <c r="BD175">
        <f t="shared" si="34"/>
        <v>17.2943</v>
      </c>
      <c r="BE175">
        <f t="shared" si="35"/>
        <v>12.6403346928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90.383799999999994</v>
      </c>
      <c r="I176" s="22">
        <v>-1.6815199999999999E-2</v>
      </c>
      <c r="J176" s="22">
        <v>166</v>
      </c>
      <c r="K176" s="22">
        <v>0.96313499999999996</v>
      </c>
      <c r="L176">
        <f t="shared" si="24"/>
        <v>16.815199999999997</v>
      </c>
      <c r="M176">
        <f t="shared" si="25"/>
        <v>16.210693559999996</v>
      </c>
      <c r="N176" s="9"/>
      <c r="O176" s="22">
        <v>0.735931</v>
      </c>
      <c r="P176" s="22">
        <v>156.34399999999999</v>
      </c>
      <c r="Q176" s="22">
        <v>-1.7385899999999999E-2</v>
      </c>
      <c r="R176" s="22">
        <v>166</v>
      </c>
      <c r="S176" s="22">
        <v>0.73516800000000004</v>
      </c>
      <c r="T176">
        <f t="shared" si="26"/>
        <v>17.385899999999999</v>
      </c>
      <c r="U176">
        <f t="shared" si="27"/>
        <v>12.7948227729</v>
      </c>
      <c r="X176" s="9"/>
      <c r="Y176" s="22">
        <v>0.96404999999999996</v>
      </c>
      <c r="Z176" s="22">
        <v>241.89699999999999</v>
      </c>
      <c r="AA176" s="22">
        <v>-1.7089799999999999E-2</v>
      </c>
      <c r="AB176" s="22">
        <v>166</v>
      </c>
      <c r="AC176" s="22">
        <v>0.96282999999999996</v>
      </c>
      <c r="AD176">
        <f t="shared" si="28"/>
        <v>17.0898</v>
      </c>
      <c r="AE176">
        <f t="shared" si="29"/>
        <v>16.475421690000001</v>
      </c>
      <c r="AF176" s="9"/>
      <c r="AG176" s="22">
        <v>0.735931</v>
      </c>
      <c r="AH176" s="22">
        <v>396.334</v>
      </c>
      <c r="AI176" s="22">
        <v>-1.7306499999999999E-2</v>
      </c>
      <c r="AJ176" s="22">
        <v>166</v>
      </c>
      <c r="AK176" s="22">
        <v>0.73519900000000005</v>
      </c>
      <c r="AL176">
        <f t="shared" si="30"/>
        <v>17.3065</v>
      </c>
      <c r="AM176">
        <f t="shared" si="31"/>
        <v>12.7363898515</v>
      </c>
      <c r="AP176" s="9"/>
      <c r="AQ176" s="22">
        <v>0.96404999999999996</v>
      </c>
      <c r="AR176" s="22">
        <v>497.44499999999999</v>
      </c>
      <c r="AS176" s="22">
        <v>-1.6983000000000002E-2</v>
      </c>
      <c r="AT176" s="22">
        <v>166</v>
      </c>
      <c r="AU176" s="22">
        <v>0.96343999999999996</v>
      </c>
      <c r="AV176">
        <f t="shared" si="32"/>
        <v>16.983000000000001</v>
      </c>
      <c r="AW176">
        <f t="shared" si="33"/>
        <v>16.372461149999999</v>
      </c>
      <c r="AX176" s="9"/>
      <c r="AY176" s="22">
        <v>0.735931</v>
      </c>
      <c r="AZ176" s="22">
        <v>569.69899999999996</v>
      </c>
      <c r="BA176" s="22">
        <v>-1.72882E-2</v>
      </c>
      <c r="BB176" s="22">
        <v>166</v>
      </c>
      <c r="BC176" s="22">
        <v>0.73526000000000002</v>
      </c>
      <c r="BD176">
        <f t="shared" si="34"/>
        <v>17.2882</v>
      </c>
      <c r="BE176">
        <f t="shared" si="35"/>
        <v>12.7229223142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90.484499999999997</v>
      </c>
      <c r="I177" s="22">
        <v>-1.68243E-2</v>
      </c>
      <c r="J177" s="22">
        <v>167</v>
      </c>
      <c r="K177" s="22">
        <v>0.95794699999999999</v>
      </c>
      <c r="L177">
        <f t="shared" si="24"/>
        <v>16.824300000000001</v>
      </c>
      <c r="M177">
        <f t="shared" si="25"/>
        <v>16.134756064499999</v>
      </c>
      <c r="N177" s="9"/>
      <c r="O177" s="22">
        <v>0.74096700000000004</v>
      </c>
      <c r="P177" s="22">
        <v>156.44499999999999</v>
      </c>
      <c r="Q177" s="22">
        <v>-1.7373699999999999E-2</v>
      </c>
      <c r="R177" s="22">
        <v>167</v>
      </c>
      <c r="S177" s="22">
        <v>0.74032600000000004</v>
      </c>
      <c r="T177">
        <f t="shared" si="26"/>
        <v>17.373699999999999</v>
      </c>
      <c r="U177">
        <f t="shared" si="27"/>
        <v>12.873338367900001</v>
      </c>
      <c r="X177" s="9"/>
      <c r="Y177" s="22">
        <v>0.95901499999999995</v>
      </c>
      <c r="Z177" s="22">
        <v>241.99799999999999</v>
      </c>
      <c r="AA177" s="22">
        <v>-1.7095900000000001E-2</v>
      </c>
      <c r="AB177" s="22">
        <v>167</v>
      </c>
      <c r="AC177" s="22">
        <v>0.95794699999999999</v>
      </c>
      <c r="AD177">
        <f t="shared" si="28"/>
        <v>17.0959</v>
      </c>
      <c r="AE177">
        <f t="shared" si="29"/>
        <v>16.395224538499999</v>
      </c>
      <c r="AF177" s="9"/>
      <c r="AG177" s="22">
        <v>0.74096700000000004</v>
      </c>
      <c r="AH177" s="22">
        <v>396.435</v>
      </c>
      <c r="AI177" s="22">
        <v>-1.7303499999999999E-2</v>
      </c>
      <c r="AJ177" s="22">
        <v>167</v>
      </c>
      <c r="AK177" s="22">
        <v>0.74038700000000002</v>
      </c>
      <c r="AL177">
        <f t="shared" si="30"/>
        <v>17.3035</v>
      </c>
      <c r="AM177">
        <f t="shared" si="31"/>
        <v>12.821322484500001</v>
      </c>
      <c r="AP177" s="9"/>
      <c r="AQ177" s="22">
        <v>0.95901499999999995</v>
      </c>
      <c r="AR177" s="22">
        <v>497.54500000000002</v>
      </c>
      <c r="AS177" s="22">
        <v>-1.70013E-2</v>
      </c>
      <c r="AT177" s="22">
        <v>167</v>
      </c>
      <c r="AU177" s="22">
        <v>0.95764199999999999</v>
      </c>
      <c r="AV177">
        <f t="shared" si="32"/>
        <v>17.001300000000001</v>
      </c>
      <c r="AW177">
        <f t="shared" si="33"/>
        <v>16.304501719499999</v>
      </c>
      <c r="AX177" s="9"/>
      <c r="AY177" s="22">
        <v>0.74096700000000004</v>
      </c>
      <c r="AZ177" s="22">
        <v>569.79899999999998</v>
      </c>
      <c r="BA177" s="22">
        <v>-1.7269900000000001E-2</v>
      </c>
      <c r="BB177" s="22">
        <v>167</v>
      </c>
      <c r="BC177" s="22">
        <v>0.74032600000000004</v>
      </c>
      <c r="BD177">
        <f t="shared" si="34"/>
        <v>17.2699</v>
      </c>
      <c r="BE177">
        <f t="shared" si="35"/>
        <v>12.7964259933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90.5852</v>
      </c>
      <c r="I178" s="22">
        <v>-1.6827399999999999E-2</v>
      </c>
      <c r="J178" s="22">
        <v>168</v>
      </c>
      <c r="K178" s="22">
        <v>0.95336900000000002</v>
      </c>
      <c r="L178">
        <f t="shared" si="24"/>
        <v>16.827400000000001</v>
      </c>
      <c r="M178">
        <f t="shared" si="25"/>
        <v>16.052986224600001</v>
      </c>
      <c r="N178" s="9"/>
      <c r="O178" s="22">
        <v>0.74600200000000005</v>
      </c>
      <c r="P178" s="22">
        <v>156.54499999999999</v>
      </c>
      <c r="Q178" s="22">
        <v>-1.7364500000000001E-2</v>
      </c>
      <c r="R178" s="22">
        <v>168</v>
      </c>
      <c r="S178" s="22">
        <v>0.74542200000000003</v>
      </c>
      <c r="T178">
        <f t="shared" si="26"/>
        <v>17.364500000000003</v>
      </c>
      <c r="U178">
        <f t="shared" si="27"/>
        <v>12.953951729000003</v>
      </c>
      <c r="X178" s="9"/>
      <c r="Y178" s="22">
        <v>0.95397900000000002</v>
      </c>
      <c r="Z178" s="22">
        <v>242.09899999999999</v>
      </c>
      <c r="AA178" s="22">
        <v>-1.71112E-2</v>
      </c>
      <c r="AB178" s="22">
        <v>168</v>
      </c>
      <c r="AC178" s="22">
        <v>0.95245400000000002</v>
      </c>
      <c r="AD178">
        <f t="shared" si="28"/>
        <v>17.1112</v>
      </c>
      <c r="AE178">
        <f t="shared" si="29"/>
        <v>16.323725464799999</v>
      </c>
      <c r="AF178" s="9"/>
      <c r="AG178" s="22">
        <v>0.74600200000000005</v>
      </c>
      <c r="AH178" s="22">
        <v>396.53500000000003</v>
      </c>
      <c r="AI178" s="22">
        <v>-1.7294299999999999E-2</v>
      </c>
      <c r="AJ178" s="22">
        <v>168</v>
      </c>
      <c r="AK178" s="22">
        <v>0.74536100000000005</v>
      </c>
      <c r="AL178">
        <f t="shared" si="30"/>
        <v>17.2943</v>
      </c>
      <c r="AM178">
        <f t="shared" si="31"/>
        <v>12.901582388600001</v>
      </c>
      <c r="AP178" s="9"/>
      <c r="AQ178" s="22">
        <v>0.95397900000000002</v>
      </c>
      <c r="AR178" s="22">
        <v>497.64600000000002</v>
      </c>
      <c r="AS178" s="22">
        <v>-1.6992199999999999E-2</v>
      </c>
      <c r="AT178" s="22">
        <v>168</v>
      </c>
      <c r="AU178" s="22">
        <v>0.95306400000000002</v>
      </c>
      <c r="AV178">
        <f t="shared" si="32"/>
        <v>16.9922</v>
      </c>
      <c r="AW178">
        <f t="shared" si="33"/>
        <v>16.210201963799999</v>
      </c>
      <c r="AX178" s="9"/>
      <c r="AY178" s="22">
        <v>0.74600200000000005</v>
      </c>
      <c r="AZ178" s="22">
        <v>569.9</v>
      </c>
      <c r="BA178" s="22">
        <v>-1.7266799999999999E-2</v>
      </c>
      <c r="BB178" s="22">
        <v>168</v>
      </c>
      <c r="BC178" s="22">
        <v>0.74529999999999996</v>
      </c>
      <c r="BD178">
        <f t="shared" si="34"/>
        <v>17.2668</v>
      </c>
      <c r="BE178">
        <f t="shared" si="35"/>
        <v>12.881067333600001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90.685900000000004</v>
      </c>
      <c r="I179" s="22">
        <v>-1.6842699999999999E-2</v>
      </c>
      <c r="J179" s="22">
        <v>169</v>
      </c>
      <c r="K179" s="22">
        <v>0.94787600000000005</v>
      </c>
      <c r="L179">
        <f t="shared" si="24"/>
        <v>16.842699999999997</v>
      </c>
      <c r="M179">
        <f t="shared" si="25"/>
        <v>15.982779108799997</v>
      </c>
      <c r="N179" s="9"/>
      <c r="O179" s="22">
        <v>0.75103799999999998</v>
      </c>
      <c r="P179" s="22">
        <v>156.64599999999999</v>
      </c>
      <c r="Q179" s="22">
        <v>-1.7361499999999998E-2</v>
      </c>
      <c r="R179" s="22">
        <v>169</v>
      </c>
      <c r="S179" s="22">
        <v>0.75036599999999998</v>
      </c>
      <c r="T179">
        <f t="shared" si="26"/>
        <v>17.361499999999999</v>
      </c>
      <c r="U179">
        <f t="shared" si="27"/>
        <v>13.039146236999999</v>
      </c>
      <c r="X179" s="9"/>
      <c r="Y179" s="22">
        <v>0.94894400000000001</v>
      </c>
      <c r="Z179" s="22">
        <v>242.19900000000001</v>
      </c>
      <c r="AA179" s="22">
        <v>-1.71082E-2</v>
      </c>
      <c r="AB179" s="22">
        <v>169</v>
      </c>
      <c r="AC179" s="22">
        <v>0.94787600000000005</v>
      </c>
      <c r="AD179">
        <f t="shared" si="28"/>
        <v>17.1082</v>
      </c>
      <c r="AE179">
        <f t="shared" si="29"/>
        <v>16.2347237408</v>
      </c>
      <c r="AF179" s="9"/>
      <c r="AG179" s="22">
        <v>0.75103799999999998</v>
      </c>
      <c r="AH179" s="22">
        <v>396.63600000000002</v>
      </c>
      <c r="AI179" s="22">
        <v>-1.7294299999999999E-2</v>
      </c>
      <c r="AJ179" s="22">
        <v>169</v>
      </c>
      <c r="AK179" s="22">
        <v>0.75027500000000003</v>
      </c>
      <c r="AL179">
        <f t="shared" si="30"/>
        <v>17.2943</v>
      </c>
      <c r="AM179">
        <f t="shared" si="31"/>
        <v>12.988676483399999</v>
      </c>
      <c r="AP179" s="9"/>
      <c r="AQ179" s="22">
        <v>0.94894400000000001</v>
      </c>
      <c r="AR179" s="22">
        <v>497.74700000000001</v>
      </c>
      <c r="AS179" s="22">
        <v>-1.7004399999999999E-2</v>
      </c>
      <c r="AT179" s="22">
        <v>169</v>
      </c>
      <c r="AU179" s="22">
        <v>0.94879199999999997</v>
      </c>
      <c r="AV179">
        <f t="shared" si="32"/>
        <v>17.0044</v>
      </c>
      <c r="AW179">
        <f t="shared" si="33"/>
        <v>16.136223353600002</v>
      </c>
      <c r="AX179" s="9"/>
      <c r="AY179" s="22">
        <v>0.75103799999999998</v>
      </c>
      <c r="AZ179" s="22">
        <v>570.00099999999998</v>
      </c>
      <c r="BA179" s="22">
        <v>-1.7272900000000001E-2</v>
      </c>
      <c r="BB179" s="22">
        <v>169</v>
      </c>
      <c r="BC179" s="22">
        <v>0.75027500000000003</v>
      </c>
      <c r="BD179">
        <f t="shared" si="34"/>
        <v>17.2729</v>
      </c>
      <c r="BE179">
        <f t="shared" si="35"/>
        <v>12.9726042702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90.786600000000007</v>
      </c>
      <c r="I180" s="22">
        <v>-1.6848800000000001E-2</v>
      </c>
      <c r="J180" s="22">
        <v>170</v>
      </c>
      <c r="K180" s="22">
        <v>0.94268799999999997</v>
      </c>
      <c r="L180">
        <f t="shared" si="24"/>
        <v>16.848800000000001</v>
      </c>
      <c r="M180">
        <f t="shared" si="25"/>
        <v>15.9037339592</v>
      </c>
      <c r="N180" s="9"/>
      <c r="O180" s="22">
        <v>0.756073</v>
      </c>
      <c r="P180" s="22">
        <v>156.74700000000001</v>
      </c>
      <c r="Q180" s="22">
        <v>-1.7355300000000001E-2</v>
      </c>
      <c r="R180" s="22">
        <v>170</v>
      </c>
      <c r="S180" s="22">
        <v>0.75592000000000004</v>
      </c>
      <c r="T180">
        <f t="shared" si="26"/>
        <v>17.3553</v>
      </c>
      <c r="U180">
        <f t="shared" si="27"/>
        <v>13.1218737369</v>
      </c>
      <c r="X180" s="9"/>
      <c r="Y180" s="22">
        <v>0.943909</v>
      </c>
      <c r="Z180" s="22">
        <v>242.3</v>
      </c>
      <c r="AA180" s="22">
        <v>-1.7120400000000001E-2</v>
      </c>
      <c r="AB180" s="22">
        <v>170</v>
      </c>
      <c r="AC180" s="22">
        <v>0.94299299999999997</v>
      </c>
      <c r="AD180">
        <f t="shared" si="28"/>
        <v>17.1204</v>
      </c>
      <c r="AE180">
        <f t="shared" si="29"/>
        <v>16.160099643599999</v>
      </c>
      <c r="AF180" s="9"/>
      <c r="AG180" s="22">
        <v>0.756073</v>
      </c>
      <c r="AH180" s="22">
        <v>396.73700000000002</v>
      </c>
      <c r="AI180" s="22">
        <v>-1.7294299999999999E-2</v>
      </c>
      <c r="AJ180" s="22">
        <v>170</v>
      </c>
      <c r="AK180" s="22">
        <v>0.75439500000000004</v>
      </c>
      <c r="AL180">
        <f t="shared" si="30"/>
        <v>17.2943</v>
      </c>
      <c r="AM180">
        <f t="shared" si="31"/>
        <v>13.075753283899999</v>
      </c>
      <c r="AP180" s="9"/>
      <c r="AQ180" s="22">
        <v>0.943909</v>
      </c>
      <c r="AR180" s="22">
        <v>497.84699999999998</v>
      </c>
      <c r="AS180" s="22">
        <v>-1.6998300000000001E-2</v>
      </c>
      <c r="AT180" s="22">
        <v>170</v>
      </c>
      <c r="AU180" s="22">
        <v>0.94268799999999997</v>
      </c>
      <c r="AV180">
        <f t="shared" si="32"/>
        <v>16.9983</v>
      </c>
      <c r="AW180">
        <f t="shared" si="33"/>
        <v>16.044848354700001</v>
      </c>
      <c r="AX180" s="9"/>
      <c r="AY180" s="22">
        <v>0.756073</v>
      </c>
      <c r="AZ180" s="22">
        <v>570.10199999999998</v>
      </c>
      <c r="BA180" s="22">
        <v>-1.7257700000000001E-2</v>
      </c>
      <c r="BB180" s="22">
        <v>170</v>
      </c>
      <c r="BC180" s="22">
        <v>0.75531000000000004</v>
      </c>
      <c r="BD180">
        <f t="shared" si="34"/>
        <v>17.2577</v>
      </c>
      <c r="BE180">
        <f t="shared" si="35"/>
        <v>13.048081012099999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90.887299999999996</v>
      </c>
      <c r="I181" s="22">
        <v>-1.6845700000000002E-2</v>
      </c>
      <c r="J181" s="22">
        <v>171</v>
      </c>
      <c r="K181" s="22">
        <v>0.93811</v>
      </c>
      <c r="L181">
        <f t="shared" si="24"/>
        <v>16.845700000000001</v>
      </c>
      <c r="M181">
        <f t="shared" si="25"/>
        <v>15.8159728961</v>
      </c>
      <c r="N181" s="9"/>
      <c r="O181" s="22">
        <v>0.76110800000000001</v>
      </c>
      <c r="P181" s="22">
        <v>156.84700000000001</v>
      </c>
      <c r="Q181" s="22">
        <v>-1.7352300000000001E-2</v>
      </c>
      <c r="R181" s="22">
        <v>171</v>
      </c>
      <c r="S181" s="22">
        <v>0.76049800000000001</v>
      </c>
      <c r="T181">
        <f t="shared" si="26"/>
        <v>17.3523</v>
      </c>
      <c r="U181">
        <f t="shared" si="27"/>
        <v>13.206974348399999</v>
      </c>
      <c r="X181" s="9"/>
      <c r="Y181" s="22">
        <v>0.93887299999999996</v>
      </c>
      <c r="Z181" s="22">
        <v>242.40100000000001</v>
      </c>
      <c r="AA181" s="22">
        <v>-1.7129499999999999E-2</v>
      </c>
      <c r="AB181" s="22">
        <v>171</v>
      </c>
      <c r="AC181" s="22">
        <v>0.93811</v>
      </c>
      <c r="AD181">
        <f t="shared" si="28"/>
        <v>17.1295</v>
      </c>
      <c r="AE181">
        <f t="shared" si="29"/>
        <v>16.0824250535</v>
      </c>
      <c r="AF181" s="9"/>
      <c r="AG181" s="22">
        <v>0.76110800000000001</v>
      </c>
      <c r="AH181" s="22">
        <v>396.83699999999999</v>
      </c>
      <c r="AI181" s="22">
        <v>-1.7285200000000001E-2</v>
      </c>
      <c r="AJ181" s="22">
        <v>171</v>
      </c>
      <c r="AK181" s="22">
        <v>0.76049800000000001</v>
      </c>
      <c r="AL181">
        <f t="shared" si="30"/>
        <v>17.2852</v>
      </c>
      <c r="AM181">
        <f t="shared" si="31"/>
        <v>13.1559040016</v>
      </c>
      <c r="AP181" s="9"/>
      <c r="AQ181" s="22">
        <v>0.93887299999999996</v>
      </c>
      <c r="AR181" s="22">
        <v>497.94799999999998</v>
      </c>
      <c r="AS181" s="22">
        <v>-1.7013500000000001E-2</v>
      </c>
      <c r="AT181" s="22">
        <v>171</v>
      </c>
      <c r="AU181" s="22">
        <v>0.93811</v>
      </c>
      <c r="AV181">
        <f t="shared" si="32"/>
        <v>17.013500000000001</v>
      </c>
      <c r="AW181">
        <f t="shared" si="33"/>
        <v>15.9735157855</v>
      </c>
      <c r="AX181" s="9"/>
      <c r="AY181" s="22">
        <v>0.76110800000000001</v>
      </c>
      <c r="AZ181" s="22">
        <v>570.202</v>
      </c>
      <c r="BA181" s="22">
        <v>-1.7254599999999998E-2</v>
      </c>
      <c r="BB181" s="22">
        <v>171</v>
      </c>
      <c r="BC181" s="22">
        <v>0.75958300000000001</v>
      </c>
      <c r="BD181">
        <f t="shared" si="34"/>
        <v>17.2546</v>
      </c>
      <c r="BE181">
        <f t="shared" si="35"/>
        <v>13.132614096799999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90.988</v>
      </c>
      <c r="I182" s="22">
        <v>-1.68518E-2</v>
      </c>
      <c r="J182" s="22">
        <v>172</v>
      </c>
      <c r="K182" s="22">
        <v>0.93292200000000003</v>
      </c>
      <c r="L182">
        <f t="shared" si="24"/>
        <v>16.851800000000001</v>
      </c>
      <c r="M182">
        <f t="shared" si="25"/>
        <v>15.736851208399999</v>
      </c>
      <c r="N182" s="9"/>
      <c r="O182" s="22">
        <v>0.76614400000000005</v>
      </c>
      <c r="P182" s="22">
        <v>156.94800000000001</v>
      </c>
      <c r="Q182" s="22">
        <v>-1.73431E-2</v>
      </c>
      <c r="R182" s="22">
        <v>172</v>
      </c>
      <c r="S182" s="22">
        <v>0.76446499999999995</v>
      </c>
      <c r="T182">
        <f t="shared" si="26"/>
        <v>17.3431</v>
      </c>
      <c r="U182">
        <f t="shared" si="27"/>
        <v>13.287312006400001</v>
      </c>
      <c r="X182" s="9"/>
      <c r="Y182" s="22">
        <v>0.93383799999999995</v>
      </c>
      <c r="Z182" s="22">
        <v>242.501</v>
      </c>
      <c r="AA182" s="22">
        <v>-1.7141699999999999E-2</v>
      </c>
      <c r="AB182" s="22">
        <v>172</v>
      </c>
      <c r="AC182" s="22">
        <v>0.93261700000000003</v>
      </c>
      <c r="AD182">
        <f t="shared" si="28"/>
        <v>17.1417</v>
      </c>
      <c r="AE182">
        <f t="shared" si="29"/>
        <v>16.0075708446</v>
      </c>
      <c r="AF182" s="9"/>
      <c r="AG182" s="22">
        <v>0.76614400000000005</v>
      </c>
      <c r="AH182" s="22">
        <v>396.93799999999999</v>
      </c>
      <c r="AI182" s="22">
        <v>-1.7282100000000002E-2</v>
      </c>
      <c r="AJ182" s="22">
        <v>172</v>
      </c>
      <c r="AK182" s="22">
        <v>0.76507599999999998</v>
      </c>
      <c r="AL182">
        <f t="shared" si="30"/>
        <v>17.282100000000003</v>
      </c>
      <c r="AM182">
        <f t="shared" si="31"/>
        <v>13.240577222400004</v>
      </c>
      <c r="AP182" s="9"/>
      <c r="AQ182" s="22">
        <v>0.93383799999999995</v>
      </c>
      <c r="AR182" s="22">
        <v>498.04899999999998</v>
      </c>
      <c r="AS182" s="22">
        <v>-1.7025800000000001E-2</v>
      </c>
      <c r="AT182" s="22">
        <v>172</v>
      </c>
      <c r="AU182" s="22">
        <v>0.93261700000000003</v>
      </c>
      <c r="AV182">
        <f t="shared" si="32"/>
        <v>17.0258</v>
      </c>
      <c r="AW182">
        <f t="shared" si="33"/>
        <v>15.899339020399999</v>
      </c>
      <c r="AX182" s="9"/>
      <c r="AY182" s="22">
        <v>0.76614400000000005</v>
      </c>
      <c r="AZ182" s="22">
        <v>570.303</v>
      </c>
      <c r="BA182" s="22">
        <v>-1.72485E-2</v>
      </c>
      <c r="BB182" s="22">
        <v>172</v>
      </c>
      <c r="BC182" s="22">
        <v>0.76538099999999998</v>
      </c>
      <c r="BD182">
        <f t="shared" si="34"/>
        <v>17.2485</v>
      </c>
      <c r="BE182">
        <f t="shared" si="35"/>
        <v>13.214834784000001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91.088700000000003</v>
      </c>
      <c r="I183" s="22">
        <v>-1.68518E-2</v>
      </c>
      <c r="J183" s="22">
        <v>173</v>
      </c>
      <c r="K183" s="22">
        <v>0.92864999999999998</v>
      </c>
      <c r="L183">
        <f t="shared" si="24"/>
        <v>16.851800000000001</v>
      </c>
      <c r="M183">
        <f t="shared" si="25"/>
        <v>15.6519855436</v>
      </c>
      <c r="N183" s="9"/>
      <c r="O183" s="22">
        <v>0.77117899999999995</v>
      </c>
      <c r="P183" s="22">
        <v>157.04900000000001</v>
      </c>
      <c r="Q183" s="22">
        <v>-1.73431E-2</v>
      </c>
      <c r="R183" s="22">
        <v>173</v>
      </c>
      <c r="S183" s="22">
        <v>0.77056899999999995</v>
      </c>
      <c r="T183">
        <f t="shared" si="26"/>
        <v>17.3431</v>
      </c>
      <c r="U183">
        <f t="shared" si="27"/>
        <v>13.374634514899999</v>
      </c>
      <c r="X183" s="9"/>
      <c r="Y183" s="22">
        <v>0.92880200000000002</v>
      </c>
      <c r="Z183" s="22">
        <v>242.602</v>
      </c>
      <c r="AA183" s="22">
        <v>-1.7141699999999999E-2</v>
      </c>
      <c r="AB183" s="22">
        <v>173</v>
      </c>
      <c r="AC183" s="22">
        <v>0.92834499999999998</v>
      </c>
      <c r="AD183">
        <f t="shared" si="28"/>
        <v>17.1417</v>
      </c>
      <c r="AE183">
        <f t="shared" si="29"/>
        <v>15.9212452434</v>
      </c>
      <c r="AF183" s="9"/>
      <c r="AG183" s="22">
        <v>0.77117899999999995</v>
      </c>
      <c r="AH183" s="22">
        <v>397.03899999999999</v>
      </c>
      <c r="AI183" s="22">
        <v>-1.7272900000000001E-2</v>
      </c>
      <c r="AJ183" s="22">
        <v>173</v>
      </c>
      <c r="AK183" s="22">
        <v>0.77026399999999995</v>
      </c>
      <c r="AL183">
        <f t="shared" si="30"/>
        <v>17.2729</v>
      </c>
      <c r="AM183">
        <f t="shared" si="31"/>
        <v>13.320497749099999</v>
      </c>
      <c r="AP183" s="9"/>
      <c r="AQ183" s="22">
        <v>0.92880200000000002</v>
      </c>
      <c r="AR183" s="22">
        <v>498.15</v>
      </c>
      <c r="AS183" s="22">
        <v>-1.7034899999999999E-2</v>
      </c>
      <c r="AT183" s="22">
        <v>173</v>
      </c>
      <c r="AU183" s="22">
        <v>0.92773399999999995</v>
      </c>
      <c r="AV183">
        <f t="shared" si="32"/>
        <v>17.0349</v>
      </c>
      <c r="AW183">
        <f t="shared" si="33"/>
        <v>15.822049189800001</v>
      </c>
      <c r="AX183" s="9"/>
      <c r="AY183" s="22">
        <v>0.77117899999999995</v>
      </c>
      <c r="AZ183" s="22">
        <v>570.404</v>
      </c>
      <c r="BA183" s="22">
        <v>-1.72363E-2</v>
      </c>
      <c r="BB183" s="22">
        <v>173</v>
      </c>
      <c r="BC183" s="22">
        <v>0.77026399999999995</v>
      </c>
      <c r="BD183">
        <f t="shared" si="34"/>
        <v>17.2363</v>
      </c>
      <c r="BE183">
        <f t="shared" si="35"/>
        <v>13.292272597699998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91.189400000000006</v>
      </c>
      <c r="I184" s="22">
        <v>-1.6854899999999999E-2</v>
      </c>
      <c r="J184" s="22">
        <v>174</v>
      </c>
      <c r="K184" s="22">
        <v>0.92346200000000001</v>
      </c>
      <c r="L184">
        <f t="shared" si="24"/>
        <v>16.854900000000001</v>
      </c>
      <c r="M184">
        <f t="shared" si="25"/>
        <v>15.5700004083</v>
      </c>
      <c r="N184" s="9"/>
      <c r="O184" s="22">
        <v>0.77621499999999999</v>
      </c>
      <c r="P184" s="22">
        <v>157.149</v>
      </c>
      <c r="Q184" s="22">
        <v>-1.73309E-2</v>
      </c>
      <c r="R184" s="22">
        <v>174</v>
      </c>
      <c r="S184" s="22">
        <v>0.775146</v>
      </c>
      <c r="T184">
        <f t="shared" si="26"/>
        <v>17.3309</v>
      </c>
      <c r="U184">
        <f t="shared" si="27"/>
        <v>13.4525045435</v>
      </c>
      <c r="X184" s="9"/>
      <c r="Y184" s="22">
        <v>0.923767</v>
      </c>
      <c r="Z184" s="22">
        <v>242.703</v>
      </c>
      <c r="AA184" s="22">
        <v>-1.7147800000000001E-2</v>
      </c>
      <c r="AB184" s="22">
        <v>174</v>
      </c>
      <c r="AC184" s="22">
        <v>0.92346200000000001</v>
      </c>
      <c r="AD184">
        <f t="shared" si="28"/>
        <v>17.1478</v>
      </c>
      <c r="AE184">
        <f t="shared" si="29"/>
        <v>15.8405717626</v>
      </c>
      <c r="AF184" s="9"/>
      <c r="AG184" s="22">
        <v>0.77621499999999999</v>
      </c>
      <c r="AH184" s="22">
        <v>397.14</v>
      </c>
      <c r="AI184" s="22">
        <v>-1.7257700000000001E-2</v>
      </c>
      <c r="AJ184" s="22">
        <v>174</v>
      </c>
      <c r="AK184" s="22">
        <v>0.775146</v>
      </c>
      <c r="AL184">
        <f t="shared" si="30"/>
        <v>17.2577</v>
      </c>
      <c r="AM184">
        <f t="shared" si="31"/>
        <v>13.395685605499999</v>
      </c>
      <c r="AP184" s="9"/>
      <c r="AQ184" s="22">
        <v>0.923767</v>
      </c>
      <c r="AR184" s="22">
        <v>498.25</v>
      </c>
      <c r="AS184" s="22">
        <v>-1.7038000000000001E-2</v>
      </c>
      <c r="AT184" s="22">
        <v>174</v>
      </c>
      <c r="AU184" s="22">
        <v>0.92315700000000001</v>
      </c>
      <c r="AV184">
        <f t="shared" si="32"/>
        <v>17.038</v>
      </c>
      <c r="AW184">
        <f t="shared" si="33"/>
        <v>15.739142146000001</v>
      </c>
      <c r="AX184" s="9"/>
      <c r="AY184" s="22">
        <v>0.77621499999999999</v>
      </c>
      <c r="AZ184" s="22">
        <v>570.50400000000002</v>
      </c>
      <c r="BA184" s="22">
        <v>-1.7239399999999998E-2</v>
      </c>
      <c r="BB184" s="22">
        <v>174</v>
      </c>
      <c r="BC184" s="22">
        <v>0.77545200000000003</v>
      </c>
      <c r="BD184">
        <f t="shared" si="34"/>
        <v>17.2394</v>
      </c>
      <c r="BE184">
        <f t="shared" si="35"/>
        <v>13.381480870999999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91.290099999999995</v>
      </c>
      <c r="I185" s="22">
        <v>-1.6867099999999999E-2</v>
      </c>
      <c r="J185" s="22">
        <v>175</v>
      </c>
      <c r="K185" s="22">
        <v>0.91735800000000001</v>
      </c>
      <c r="L185">
        <f t="shared" si="24"/>
        <v>16.867100000000001</v>
      </c>
      <c r="M185">
        <f t="shared" si="25"/>
        <v>15.496344517200001</v>
      </c>
      <c r="N185" s="9"/>
      <c r="O185" s="22">
        <v>0.78125</v>
      </c>
      <c r="P185" s="22">
        <v>157.25</v>
      </c>
      <c r="Q185" s="22">
        <v>-1.7333999999999999E-2</v>
      </c>
      <c r="R185" s="22">
        <v>175</v>
      </c>
      <c r="S185" s="22">
        <v>0.780945</v>
      </c>
      <c r="T185">
        <f t="shared" si="26"/>
        <v>17.334</v>
      </c>
      <c r="U185">
        <f t="shared" si="27"/>
        <v>13.542187499999999</v>
      </c>
      <c r="X185" s="9"/>
      <c r="Y185" s="22">
        <v>0.91873199999999999</v>
      </c>
      <c r="Z185" s="22">
        <v>242.804</v>
      </c>
      <c r="AA185" s="22">
        <v>-1.71539E-2</v>
      </c>
      <c r="AB185" s="22">
        <v>175</v>
      </c>
      <c r="AC185" s="22">
        <v>0.91827400000000003</v>
      </c>
      <c r="AD185">
        <f t="shared" si="28"/>
        <v>17.1539</v>
      </c>
      <c r="AE185">
        <f t="shared" si="29"/>
        <v>15.7598368548</v>
      </c>
      <c r="AF185" s="9"/>
      <c r="AG185" s="22">
        <v>0.78125</v>
      </c>
      <c r="AH185" s="22">
        <v>397.24</v>
      </c>
      <c r="AI185" s="22">
        <v>-1.7263799999999999E-2</v>
      </c>
      <c r="AJ185" s="22">
        <v>175</v>
      </c>
      <c r="AK185" s="22">
        <v>0.78033399999999997</v>
      </c>
      <c r="AL185">
        <f t="shared" si="30"/>
        <v>17.2638</v>
      </c>
      <c r="AM185">
        <f t="shared" si="31"/>
        <v>13.487343749999999</v>
      </c>
      <c r="AP185" s="9"/>
      <c r="AQ185" s="22">
        <v>0.91873199999999999</v>
      </c>
      <c r="AR185" s="22">
        <v>498.351</v>
      </c>
      <c r="AS185" s="22">
        <v>-1.70441E-2</v>
      </c>
      <c r="AT185" s="22">
        <v>175</v>
      </c>
      <c r="AU185" s="22">
        <v>0.91827400000000003</v>
      </c>
      <c r="AV185">
        <f t="shared" si="32"/>
        <v>17.0441</v>
      </c>
      <c r="AW185">
        <f t="shared" si="33"/>
        <v>15.6589600812</v>
      </c>
      <c r="AX185" s="9"/>
      <c r="AY185" s="22">
        <v>0.78125</v>
      </c>
      <c r="AZ185" s="22">
        <v>570.60500000000002</v>
      </c>
      <c r="BA185" s="22">
        <v>-1.72211E-2</v>
      </c>
      <c r="BB185" s="22">
        <v>175</v>
      </c>
      <c r="BC185" s="22">
        <v>0.78002899999999997</v>
      </c>
      <c r="BD185">
        <f t="shared" si="34"/>
        <v>17.2211</v>
      </c>
      <c r="BE185">
        <f t="shared" si="35"/>
        <v>13.453984374999999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91.390799999999999</v>
      </c>
      <c r="I186" s="22">
        <v>-1.6873200000000001E-2</v>
      </c>
      <c r="J186" s="22">
        <v>176</v>
      </c>
      <c r="K186" s="22">
        <v>0.91278099999999995</v>
      </c>
      <c r="L186">
        <f t="shared" si="24"/>
        <v>16.873200000000001</v>
      </c>
      <c r="M186">
        <f t="shared" si="25"/>
        <v>15.416975347199999</v>
      </c>
      <c r="N186" s="9"/>
      <c r="O186" s="22">
        <v>0.78628500000000001</v>
      </c>
      <c r="P186" s="22">
        <v>157.351</v>
      </c>
      <c r="Q186" s="22">
        <v>-1.7324800000000001E-2</v>
      </c>
      <c r="R186" s="22">
        <v>176</v>
      </c>
      <c r="S186" s="22">
        <v>0.78552200000000005</v>
      </c>
      <c r="T186">
        <f t="shared" si="26"/>
        <v>17.3248</v>
      </c>
      <c r="U186">
        <f t="shared" si="27"/>
        <v>13.622230368</v>
      </c>
      <c r="X186" s="9"/>
      <c r="Y186" s="22">
        <v>0.91369599999999995</v>
      </c>
      <c r="Z186" s="22">
        <v>242.904</v>
      </c>
      <c r="AA186" s="22">
        <v>-1.7169199999999999E-2</v>
      </c>
      <c r="AB186" s="22">
        <v>176</v>
      </c>
      <c r="AC186" s="22">
        <v>0.91247599999999995</v>
      </c>
      <c r="AD186">
        <f t="shared" si="28"/>
        <v>17.1692</v>
      </c>
      <c r="AE186">
        <f t="shared" si="29"/>
        <v>15.6874293632</v>
      </c>
      <c r="AF186" s="9"/>
      <c r="AG186" s="22">
        <v>0.78628500000000001</v>
      </c>
      <c r="AH186" s="22">
        <v>397.34100000000001</v>
      </c>
      <c r="AI186" s="22">
        <v>-1.7239399999999998E-2</v>
      </c>
      <c r="AJ186" s="22">
        <v>176</v>
      </c>
      <c r="AK186" s="22">
        <v>0.78552200000000005</v>
      </c>
      <c r="AL186">
        <f t="shared" si="30"/>
        <v>17.2394</v>
      </c>
      <c r="AM186">
        <f t="shared" si="31"/>
        <v>13.555081629</v>
      </c>
      <c r="AP186" s="9"/>
      <c r="AQ186" s="22">
        <v>0.91369599999999995</v>
      </c>
      <c r="AR186" s="22">
        <v>498.452</v>
      </c>
      <c r="AS186" s="22">
        <v>-1.70441E-2</v>
      </c>
      <c r="AT186" s="22">
        <v>176</v>
      </c>
      <c r="AU186" s="22">
        <v>0.91217000000000004</v>
      </c>
      <c r="AV186">
        <f t="shared" si="32"/>
        <v>17.0441</v>
      </c>
      <c r="AW186">
        <f t="shared" si="33"/>
        <v>15.5731259936</v>
      </c>
      <c r="AX186" s="9"/>
      <c r="AY186" s="22">
        <v>0.78628500000000001</v>
      </c>
      <c r="AZ186" s="22">
        <v>570.70600000000002</v>
      </c>
      <c r="BA186" s="22">
        <v>-1.7230200000000001E-2</v>
      </c>
      <c r="BB186" s="22">
        <v>176</v>
      </c>
      <c r="BC186" s="22">
        <v>0.78582799999999997</v>
      </c>
      <c r="BD186">
        <f t="shared" si="34"/>
        <v>17.2302</v>
      </c>
      <c r="BE186">
        <f t="shared" si="35"/>
        <v>13.547847807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91.491500000000002</v>
      </c>
      <c r="I187" s="22">
        <v>-1.6876200000000001E-2</v>
      </c>
      <c r="J187" s="22">
        <v>177</v>
      </c>
      <c r="K187" s="22">
        <v>0.90759299999999998</v>
      </c>
      <c r="L187">
        <f t="shared" si="24"/>
        <v>16.876200000000001</v>
      </c>
      <c r="M187">
        <f t="shared" si="25"/>
        <v>15.334744768200002</v>
      </c>
      <c r="N187" s="9"/>
      <c r="O187" s="22">
        <v>0.79132100000000005</v>
      </c>
      <c r="P187" s="22">
        <v>157.452</v>
      </c>
      <c r="Q187" s="22">
        <v>-1.7333999999999999E-2</v>
      </c>
      <c r="R187" s="22">
        <v>177</v>
      </c>
      <c r="S187" s="22">
        <v>0.79040500000000002</v>
      </c>
      <c r="T187">
        <f t="shared" si="26"/>
        <v>17.334</v>
      </c>
      <c r="U187">
        <f t="shared" si="27"/>
        <v>13.716758214</v>
      </c>
      <c r="X187" s="9"/>
      <c r="Y187" s="22">
        <v>0.90866100000000005</v>
      </c>
      <c r="Z187" s="22">
        <v>243.005</v>
      </c>
      <c r="AA187" s="22">
        <v>-1.7169199999999999E-2</v>
      </c>
      <c r="AB187" s="22">
        <v>177</v>
      </c>
      <c r="AC187" s="22">
        <v>0.90789799999999998</v>
      </c>
      <c r="AD187">
        <f t="shared" si="28"/>
        <v>17.1692</v>
      </c>
      <c r="AE187">
        <f t="shared" si="29"/>
        <v>15.600982441200001</v>
      </c>
      <c r="AF187" s="9"/>
      <c r="AG187" s="22">
        <v>0.79132100000000005</v>
      </c>
      <c r="AH187" s="22">
        <v>397.44200000000001</v>
      </c>
      <c r="AI187" s="22">
        <v>-1.7239399999999998E-2</v>
      </c>
      <c r="AJ187" s="22">
        <v>177</v>
      </c>
      <c r="AK187" s="22">
        <v>0.79071000000000002</v>
      </c>
      <c r="AL187">
        <f t="shared" si="30"/>
        <v>17.2394</v>
      </c>
      <c r="AM187">
        <f t="shared" si="31"/>
        <v>13.641899247400001</v>
      </c>
      <c r="AP187" s="9"/>
      <c r="AQ187" s="22">
        <v>0.90866100000000005</v>
      </c>
      <c r="AR187" s="22">
        <v>498.55200000000002</v>
      </c>
      <c r="AS187" s="22">
        <v>-1.7062399999999998E-2</v>
      </c>
      <c r="AT187" s="22">
        <v>177</v>
      </c>
      <c r="AU187" s="22">
        <v>0.90789799999999998</v>
      </c>
      <c r="AV187">
        <f t="shared" si="32"/>
        <v>17.062399999999997</v>
      </c>
      <c r="AW187">
        <f t="shared" si="33"/>
        <v>15.503937446399998</v>
      </c>
      <c r="AX187" s="9"/>
      <c r="AY187" s="22">
        <v>0.79132100000000005</v>
      </c>
      <c r="AZ187" s="22">
        <v>570.80700000000002</v>
      </c>
      <c r="BA187" s="22">
        <v>-1.7202800000000001E-2</v>
      </c>
      <c r="BB187" s="22">
        <v>177</v>
      </c>
      <c r="BC187" s="22">
        <v>0.79101600000000005</v>
      </c>
      <c r="BD187">
        <f t="shared" si="34"/>
        <v>17.2028</v>
      </c>
      <c r="BE187">
        <f t="shared" si="35"/>
        <v>13.612936898800001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91.592200000000005</v>
      </c>
      <c r="I188" s="22">
        <v>-1.6882299999999999E-2</v>
      </c>
      <c r="J188" s="22">
        <v>178</v>
      </c>
      <c r="K188" s="22">
        <v>0.90332000000000001</v>
      </c>
      <c r="L188">
        <f t="shared" si="24"/>
        <v>16.882300000000001</v>
      </c>
      <c r="M188">
        <f t="shared" si="25"/>
        <v>15.2552683375</v>
      </c>
      <c r="N188" s="9"/>
      <c r="O188" s="22">
        <v>0.79635599999999995</v>
      </c>
      <c r="P188" s="22">
        <v>157.55199999999999</v>
      </c>
      <c r="Q188" s="22">
        <v>-1.73309E-2</v>
      </c>
      <c r="R188" s="22">
        <v>178</v>
      </c>
      <c r="S188" s="22">
        <v>0.79589799999999999</v>
      </c>
      <c r="T188">
        <f t="shared" si="26"/>
        <v>17.3309</v>
      </c>
      <c r="U188">
        <f t="shared" si="27"/>
        <v>13.801566200399998</v>
      </c>
      <c r="X188" s="9"/>
      <c r="Y188" s="22">
        <v>0.90362500000000001</v>
      </c>
      <c r="Z188" s="22">
        <v>243.10599999999999</v>
      </c>
      <c r="AA188" s="22">
        <v>-1.7175300000000001E-2</v>
      </c>
      <c r="AB188" s="22">
        <v>178</v>
      </c>
      <c r="AC188" s="22">
        <v>0.90362500000000001</v>
      </c>
      <c r="AD188">
        <f t="shared" si="28"/>
        <v>17.1753</v>
      </c>
      <c r="AE188">
        <f t="shared" si="29"/>
        <v>15.520030462499999</v>
      </c>
      <c r="AF188" s="9"/>
      <c r="AG188" s="22">
        <v>0.79635599999999995</v>
      </c>
      <c r="AH188" s="22">
        <v>397.54199999999997</v>
      </c>
      <c r="AI188" s="22">
        <v>-1.7227200000000002E-2</v>
      </c>
      <c r="AJ188" s="22">
        <v>178</v>
      </c>
      <c r="AK188" s="22">
        <v>0.79559299999999999</v>
      </c>
      <c r="AL188">
        <f t="shared" si="30"/>
        <v>17.2272</v>
      </c>
      <c r="AM188">
        <f t="shared" si="31"/>
        <v>13.718984083199999</v>
      </c>
      <c r="AP188" s="9"/>
      <c r="AQ188" s="22">
        <v>0.90362500000000001</v>
      </c>
      <c r="AR188" s="22">
        <v>498.65300000000002</v>
      </c>
      <c r="AS188" s="22">
        <v>-1.7065400000000001E-2</v>
      </c>
      <c r="AT188" s="22">
        <v>178</v>
      </c>
      <c r="AU188" s="22">
        <v>0.90301500000000001</v>
      </c>
      <c r="AV188">
        <f t="shared" si="32"/>
        <v>17.0654</v>
      </c>
      <c r="AW188">
        <f t="shared" si="33"/>
        <v>15.420722075</v>
      </c>
      <c r="AX188" s="9"/>
      <c r="AY188" s="22">
        <v>0.79635599999999995</v>
      </c>
      <c r="AZ188" s="22">
        <v>570.90700000000004</v>
      </c>
      <c r="BA188" s="22">
        <v>-1.72058E-2</v>
      </c>
      <c r="BB188" s="22">
        <v>178</v>
      </c>
      <c r="BC188" s="22">
        <v>0.79528799999999999</v>
      </c>
      <c r="BD188">
        <f t="shared" si="34"/>
        <v>17.2058</v>
      </c>
      <c r="BE188">
        <f t="shared" si="35"/>
        <v>13.701942064799999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91.692999999999998</v>
      </c>
      <c r="I189" s="22">
        <v>-1.6897599999999999E-2</v>
      </c>
      <c r="J189" s="22">
        <v>179</v>
      </c>
      <c r="K189" s="22">
        <v>0.89752200000000004</v>
      </c>
      <c r="L189">
        <f t="shared" si="24"/>
        <v>16.897599999999997</v>
      </c>
      <c r="M189">
        <f t="shared" si="25"/>
        <v>15.184014383999997</v>
      </c>
      <c r="N189" s="9"/>
      <c r="O189" s="22">
        <v>0.80139199999999999</v>
      </c>
      <c r="P189" s="22">
        <v>157.65299999999999</v>
      </c>
      <c r="Q189" s="22">
        <v>-1.73157E-2</v>
      </c>
      <c r="R189" s="22">
        <v>179</v>
      </c>
      <c r="S189" s="22">
        <v>0.80078099999999997</v>
      </c>
      <c r="T189">
        <f t="shared" si="26"/>
        <v>17.3157</v>
      </c>
      <c r="U189">
        <f t="shared" si="27"/>
        <v>13.876663454399999</v>
      </c>
      <c r="X189" s="9"/>
      <c r="Y189" s="22">
        <v>0.89859</v>
      </c>
      <c r="Z189" s="22">
        <v>243.20599999999999</v>
      </c>
      <c r="AA189" s="22">
        <v>-1.7184399999999999E-2</v>
      </c>
      <c r="AB189" s="22">
        <v>179</v>
      </c>
      <c r="AC189" s="22">
        <v>0.89782700000000004</v>
      </c>
      <c r="AD189">
        <f t="shared" si="28"/>
        <v>17.1844</v>
      </c>
      <c r="AE189">
        <f t="shared" si="29"/>
        <v>15.441729995999999</v>
      </c>
      <c r="AF189" s="9"/>
      <c r="AG189" s="22">
        <v>0.80139199999999999</v>
      </c>
      <c r="AH189" s="22">
        <v>397.64299999999997</v>
      </c>
      <c r="AI189" s="22">
        <v>-1.7230200000000001E-2</v>
      </c>
      <c r="AJ189" s="22">
        <v>179</v>
      </c>
      <c r="AK189" s="22">
        <v>0.80078099999999997</v>
      </c>
      <c r="AL189">
        <f t="shared" si="30"/>
        <v>17.2302</v>
      </c>
      <c r="AM189">
        <f t="shared" si="31"/>
        <v>13.808144438399999</v>
      </c>
      <c r="AP189" s="9"/>
      <c r="AQ189" s="22">
        <v>0.89859</v>
      </c>
      <c r="AR189" s="22">
        <v>498.75400000000002</v>
      </c>
      <c r="AS189" s="22">
        <v>-1.7074599999999999E-2</v>
      </c>
      <c r="AT189" s="22">
        <v>179</v>
      </c>
      <c r="AU189" s="22">
        <v>0.89752200000000004</v>
      </c>
      <c r="AV189">
        <f t="shared" si="32"/>
        <v>17.0746</v>
      </c>
      <c r="AW189">
        <f t="shared" si="33"/>
        <v>15.343064814</v>
      </c>
      <c r="AX189" s="9"/>
      <c r="AY189" s="22">
        <v>0.80139199999999999</v>
      </c>
      <c r="AZ189" s="22">
        <v>571.00800000000004</v>
      </c>
      <c r="BA189" s="22">
        <v>-1.7199699999999998E-2</v>
      </c>
      <c r="BB189" s="22">
        <v>179</v>
      </c>
      <c r="BC189" s="22">
        <v>0.80078099999999997</v>
      </c>
      <c r="BD189">
        <f t="shared" si="34"/>
        <v>17.1997</v>
      </c>
      <c r="BE189">
        <f t="shared" si="35"/>
        <v>13.7837019824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91.793700000000001</v>
      </c>
      <c r="I190" s="22">
        <v>-1.6903700000000001E-2</v>
      </c>
      <c r="J190" s="22">
        <v>180</v>
      </c>
      <c r="K190" s="22">
        <v>0.89233399999999996</v>
      </c>
      <c r="L190">
        <f t="shared" si="24"/>
        <v>16.903700000000001</v>
      </c>
      <c r="M190">
        <f t="shared" si="25"/>
        <v>15.1043856535</v>
      </c>
      <c r="N190" s="9"/>
      <c r="O190" s="22">
        <v>0.806427</v>
      </c>
      <c r="P190" s="22">
        <v>157.75399999999999</v>
      </c>
      <c r="Q190" s="22">
        <v>-1.7312600000000001E-2</v>
      </c>
      <c r="R190" s="22">
        <v>180</v>
      </c>
      <c r="S190" s="22">
        <v>0.80596900000000005</v>
      </c>
      <c r="T190">
        <f t="shared" si="26"/>
        <v>17.3126</v>
      </c>
      <c r="U190">
        <f t="shared" si="27"/>
        <v>13.961348080200001</v>
      </c>
      <c r="X190" s="9"/>
      <c r="Y190" s="22">
        <v>0.89355499999999999</v>
      </c>
      <c r="Z190" s="22">
        <v>243.30699999999999</v>
      </c>
      <c r="AA190" s="22">
        <v>-1.7184399999999999E-2</v>
      </c>
      <c r="AB190" s="22">
        <v>180</v>
      </c>
      <c r="AC190" s="22">
        <v>0.89294399999999996</v>
      </c>
      <c r="AD190">
        <f t="shared" si="28"/>
        <v>17.1844</v>
      </c>
      <c r="AE190">
        <f t="shared" si="29"/>
        <v>15.355206541999999</v>
      </c>
      <c r="AF190" s="9"/>
      <c r="AG190" s="22">
        <v>0.806427</v>
      </c>
      <c r="AH190" s="22">
        <v>397.74400000000003</v>
      </c>
      <c r="AI190" s="22">
        <v>-1.72211E-2</v>
      </c>
      <c r="AJ190" s="22">
        <v>180</v>
      </c>
      <c r="AK190" s="22">
        <v>0.80566400000000005</v>
      </c>
      <c r="AL190">
        <f t="shared" si="30"/>
        <v>17.2211</v>
      </c>
      <c r="AM190">
        <f t="shared" si="31"/>
        <v>13.8875600097</v>
      </c>
      <c r="AP190" s="9"/>
      <c r="AQ190" s="22">
        <v>0.89355499999999999</v>
      </c>
      <c r="AR190" s="22">
        <v>498.85500000000002</v>
      </c>
      <c r="AS190" s="22">
        <v>-1.7089799999999999E-2</v>
      </c>
      <c r="AT190" s="22">
        <v>180</v>
      </c>
      <c r="AU190" s="22">
        <v>0.89294399999999996</v>
      </c>
      <c r="AV190">
        <f t="shared" si="32"/>
        <v>17.0898</v>
      </c>
      <c r="AW190">
        <f t="shared" si="33"/>
        <v>15.270676239</v>
      </c>
      <c r="AX190" s="9"/>
      <c r="AY190" s="22">
        <v>0.806427</v>
      </c>
      <c r="AZ190" s="22">
        <v>571.10900000000004</v>
      </c>
      <c r="BA190" s="22">
        <v>-1.7199699999999998E-2</v>
      </c>
      <c r="BB190" s="22">
        <v>180</v>
      </c>
      <c r="BC190" s="22">
        <v>0.80566400000000005</v>
      </c>
      <c r="BD190">
        <f t="shared" si="34"/>
        <v>17.1997</v>
      </c>
      <c r="BE190">
        <f t="shared" si="35"/>
        <v>13.870302471900001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91.894400000000005</v>
      </c>
      <c r="I191" s="22">
        <v>-1.6909799999999999E-2</v>
      </c>
      <c r="J191" s="22">
        <v>181</v>
      </c>
      <c r="K191" s="22">
        <v>0.88806200000000002</v>
      </c>
      <c r="L191">
        <f t="shared" si="24"/>
        <v>16.909800000000001</v>
      </c>
      <c r="M191">
        <f t="shared" si="25"/>
        <v>15.0246785862</v>
      </c>
      <c r="N191" s="9"/>
      <c r="O191" s="22">
        <v>0.81146200000000002</v>
      </c>
      <c r="P191" s="22">
        <v>157.85400000000001</v>
      </c>
      <c r="Q191" s="22">
        <v>-1.7309600000000001E-2</v>
      </c>
      <c r="R191" s="22">
        <v>181</v>
      </c>
      <c r="S191" s="22">
        <v>0.81024200000000002</v>
      </c>
      <c r="T191">
        <f t="shared" si="26"/>
        <v>17.3096</v>
      </c>
      <c r="U191">
        <f t="shared" si="27"/>
        <v>14.046082635199999</v>
      </c>
      <c r="X191" s="9"/>
      <c r="Y191" s="22">
        <v>0.88851899999999995</v>
      </c>
      <c r="Z191" s="22">
        <v>243.40799999999999</v>
      </c>
      <c r="AA191" s="22">
        <v>-1.7199699999999998E-2</v>
      </c>
      <c r="AB191" s="22">
        <v>181</v>
      </c>
      <c r="AC191" s="22">
        <v>0.88775599999999999</v>
      </c>
      <c r="AD191">
        <f t="shared" si="28"/>
        <v>17.1997</v>
      </c>
      <c r="AE191">
        <f t="shared" si="29"/>
        <v>15.2822602443</v>
      </c>
      <c r="AF191" s="9"/>
      <c r="AG191" s="22">
        <v>0.81146200000000002</v>
      </c>
      <c r="AH191" s="22">
        <v>397.84500000000003</v>
      </c>
      <c r="AI191" s="22">
        <v>-1.7218000000000001E-2</v>
      </c>
      <c r="AJ191" s="22">
        <v>181</v>
      </c>
      <c r="AK191" s="22">
        <v>0.81024200000000002</v>
      </c>
      <c r="AL191">
        <f t="shared" si="30"/>
        <v>17.218</v>
      </c>
      <c r="AM191">
        <f t="shared" si="31"/>
        <v>13.971752716000001</v>
      </c>
      <c r="AP191" s="9"/>
      <c r="AQ191" s="22">
        <v>0.88851899999999995</v>
      </c>
      <c r="AR191" s="22">
        <v>498.95499999999998</v>
      </c>
      <c r="AS191" s="22">
        <v>-1.7095900000000001E-2</v>
      </c>
      <c r="AT191" s="22">
        <v>181</v>
      </c>
      <c r="AU191" s="22">
        <v>0.88806200000000002</v>
      </c>
      <c r="AV191">
        <f t="shared" si="32"/>
        <v>17.0959</v>
      </c>
      <c r="AW191">
        <f t="shared" si="33"/>
        <v>15.1900319721</v>
      </c>
      <c r="AX191" s="9"/>
      <c r="AY191" s="22">
        <v>0.81146200000000002</v>
      </c>
      <c r="AZ191" s="22">
        <v>571.20899999999995</v>
      </c>
      <c r="BA191" s="22">
        <v>-1.7184399999999999E-2</v>
      </c>
      <c r="BB191" s="22">
        <v>181</v>
      </c>
      <c r="BC191" s="22">
        <v>0.81054700000000002</v>
      </c>
      <c r="BD191">
        <f t="shared" si="34"/>
        <v>17.1844</v>
      </c>
      <c r="BE191">
        <f t="shared" si="35"/>
        <v>13.9444875928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91.995099999999994</v>
      </c>
      <c r="I192" s="22">
        <v>-1.6912799999999999E-2</v>
      </c>
      <c r="J192" s="22">
        <v>182</v>
      </c>
      <c r="K192" s="22">
        <v>0.88256800000000002</v>
      </c>
      <c r="L192">
        <f t="shared" si="24"/>
        <v>16.912799999999997</v>
      </c>
      <c r="M192">
        <f t="shared" si="25"/>
        <v>14.942188195199998</v>
      </c>
      <c r="N192" s="9"/>
      <c r="O192" s="22">
        <v>0.81649799999999995</v>
      </c>
      <c r="P192" s="22">
        <v>157.95500000000001</v>
      </c>
      <c r="Q192" s="22">
        <v>-1.7306499999999999E-2</v>
      </c>
      <c r="R192" s="22">
        <v>182</v>
      </c>
      <c r="S192" s="22">
        <v>0.81634499999999999</v>
      </c>
      <c r="T192">
        <f t="shared" si="26"/>
        <v>17.3065</v>
      </c>
      <c r="U192">
        <f t="shared" si="27"/>
        <v>14.130722636999998</v>
      </c>
      <c r="X192" s="9"/>
      <c r="Y192" s="22">
        <v>0.88348400000000005</v>
      </c>
      <c r="Z192" s="22">
        <v>243.50899999999999</v>
      </c>
      <c r="AA192" s="22">
        <v>-1.7202800000000001E-2</v>
      </c>
      <c r="AB192" s="22">
        <v>182</v>
      </c>
      <c r="AC192" s="22">
        <v>0.88226300000000002</v>
      </c>
      <c r="AD192">
        <f t="shared" si="28"/>
        <v>17.2028</v>
      </c>
      <c r="AE192">
        <f t="shared" si="29"/>
        <v>15.198398555200001</v>
      </c>
      <c r="AF192" s="9"/>
      <c r="AG192" s="22">
        <v>0.81649799999999995</v>
      </c>
      <c r="AH192" s="22">
        <v>397.94499999999999</v>
      </c>
      <c r="AI192" s="22">
        <v>-1.7211899999999999E-2</v>
      </c>
      <c r="AJ192" s="22">
        <v>182</v>
      </c>
      <c r="AK192" s="22">
        <v>0.81573499999999999</v>
      </c>
      <c r="AL192">
        <f t="shared" si="30"/>
        <v>17.2119</v>
      </c>
      <c r="AM192">
        <f t="shared" si="31"/>
        <v>14.0534819262</v>
      </c>
      <c r="AP192" s="9"/>
      <c r="AQ192" s="22">
        <v>0.88348400000000005</v>
      </c>
      <c r="AR192" s="22">
        <v>499.05599999999998</v>
      </c>
      <c r="AS192" s="22">
        <v>-1.7095900000000001E-2</v>
      </c>
      <c r="AT192" s="22">
        <v>182</v>
      </c>
      <c r="AU192" s="22">
        <v>0.88226300000000002</v>
      </c>
      <c r="AV192">
        <f t="shared" si="32"/>
        <v>17.0959</v>
      </c>
      <c r="AW192">
        <f t="shared" si="33"/>
        <v>15.103954115600001</v>
      </c>
      <c r="AX192" s="9"/>
      <c r="AY192" s="22">
        <v>0.81649799999999995</v>
      </c>
      <c r="AZ192" s="22">
        <v>571.30999999999995</v>
      </c>
      <c r="BA192" s="22">
        <v>-1.7172199999999999E-2</v>
      </c>
      <c r="BB192" s="22">
        <v>182</v>
      </c>
      <c r="BC192" s="22">
        <v>0.81542999999999999</v>
      </c>
      <c r="BD192">
        <f t="shared" si="34"/>
        <v>17.1722</v>
      </c>
      <c r="BE192">
        <f t="shared" si="35"/>
        <v>14.021066955599998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92.095799999999997</v>
      </c>
      <c r="I193" s="22">
        <v>-1.6912799999999999E-2</v>
      </c>
      <c r="J193" s="22">
        <v>183</v>
      </c>
      <c r="K193" s="22">
        <v>0.87799099999999997</v>
      </c>
      <c r="L193">
        <f t="shared" si="24"/>
        <v>16.912799999999997</v>
      </c>
      <c r="M193">
        <f t="shared" si="25"/>
        <v>14.857015334399998</v>
      </c>
      <c r="N193" s="9"/>
      <c r="O193" s="22">
        <v>0.82153299999999996</v>
      </c>
      <c r="P193" s="22">
        <v>158.05600000000001</v>
      </c>
      <c r="Q193" s="22">
        <v>-1.72882E-2</v>
      </c>
      <c r="R193" s="22">
        <v>183</v>
      </c>
      <c r="S193" s="22">
        <v>0.82061799999999996</v>
      </c>
      <c r="T193">
        <f t="shared" si="26"/>
        <v>17.2882</v>
      </c>
      <c r="U193">
        <f t="shared" si="27"/>
        <v>14.2028268106</v>
      </c>
      <c r="X193" s="9"/>
      <c r="Y193" s="22">
        <v>0.87844800000000001</v>
      </c>
      <c r="Z193" s="22">
        <v>243.60900000000001</v>
      </c>
      <c r="AA193" s="22">
        <v>-1.7202800000000001E-2</v>
      </c>
      <c r="AB193" s="22">
        <v>183</v>
      </c>
      <c r="AC193" s="22">
        <v>0.87738000000000005</v>
      </c>
      <c r="AD193">
        <f t="shared" si="28"/>
        <v>17.2028</v>
      </c>
      <c r="AE193">
        <f t="shared" si="29"/>
        <v>15.1117652544</v>
      </c>
      <c r="AF193" s="9"/>
      <c r="AG193" s="22">
        <v>0.82153299999999996</v>
      </c>
      <c r="AH193" s="22">
        <v>398.04599999999999</v>
      </c>
      <c r="AI193" s="22">
        <v>-1.7215000000000001E-2</v>
      </c>
      <c r="AJ193" s="22">
        <v>183</v>
      </c>
      <c r="AK193" s="22">
        <v>0.82092299999999996</v>
      </c>
      <c r="AL193">
        <f t="shared" si="30"/>
        <v>17.215</v>
      </c>
      <c r="AM193">
        <f t="shared" si="31"/>
        <v>14.142690594999999</v>
      </c>
      <c r="AP193" s="9"/>
      <c r="AQ193" s="22">
        <v>0.87844800000000001</v>
      </c>
      <c r="AR193" s="22">
        <v>499.15699999999998</v>
      </c>
      <c r="AS193" s="22">
        <v>-1.7095900000000001E-2</v>
      </c>
      <c r="AT193" s="22">
        <v>183</v>
      </c>
      <c r="AU193" s="22">
        <v>0.87768599999999997</v>
      </c>
      <c r="AV193">
        <f t="shared" si="32"/>
        <v>17.0959</v>
      </c>
      <c r="AW193">
        <f t="shared" si="33"/>
        <v>15.017859163200001</v>
      </c>
      <c r="AX193" s="9"/>
      <c r="AY193" s="22">
        <v>0.82153299999999996</v>
      </c>
      <c r="AZ193" s="22">
        <v>571.41099999999994</v>
      </c>
      <c r="BA193" s="22">
        <v>-1.7178300000000001E-2</v>
      </c>
      <c r="BB193" s="22">
        <v>183</v>
      </c>
      <c r="BC193" s="22">
        <v>0.82061799999999996</v>
      </c>
      <c r="BD193">
        <f t="shared" si="34"/>
        <v>17.1783</v>
      </c>
      <c r="BE193">
        <f t="shared" si="35"/>
        <v>14.1125403339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92.1965</v>
      </c>
      <c r="I194" s="22">
        <v>-1.6928100000000001E-2</v>
      </c>
      <c r="J194" s="22">
        <v>184</v>
      </c>
      <c r="K194" s="22">
        <v>0.872803</v>
      </c>
      <c r="L194">
        <f t="shared" si="24"/>
        <v>16.928100000000001</v>
      </c>
      <c r="M194">
        <f t="shared" si="25"/>
        <v>14.7852226053</v>
      </c>
      <c r="N194" s="9"/>
      <c r="O194" s="22">
        <v>0.826569</v>
      </c>
      <c r="P194" s="22">
        <v>158.15700000000001</v>
      </c>
      <c r="Q194" s="22">
        <v>-1.7279099999999999E-2</v>
      </c>
      <c r="R194" s="22">
        <v>184</v>
      </c>
      <c r="S194" s="22">
        <v>0.82580600000000004</v>
      </c>
      <c r="T194">
        <f t="shared" si="26"/>
        <v>17.2791</v>
      </c>
      <c r="U194">
        <f t="shared" si="27"/>
        <v>14.2823684079</v>
      </c>
      <c r="X194" s="9"/>
      <c r="Y194" s="22">
        <v>0.87341299999999999</v>
      </c>
      <c r="Z194" s="22">
        <v>243.71</v>
      </c>
      <c r="AA194" s="22">
        <v>-1.72058E-2</v>
      </c>
      <c r="AB194" s="22">
        <v>184</v>
      </c>
      <c r="AC194" s="22">
        <v>0.873108</v>
      </c>
      <c r="AD194">
        <f t="shared" si="28"/>
        <v>17.2058</v>
      </c>
      <c r="AE194">
        <f t="shared" si="29"/>
        <v>15.0277693954</v>
      </c>
      <c r="AF194" s="9"/>
      <c r="AG194" s="22">
        <v>0.826569</v>
      </c>
      <c r="AH194" s="22">
        <v>398.14699999999999</v>
      </c>
      <c r="AI194" s="22">
        <v>-1.7196699999999999E-2</v>
      </c>
      <c r="AJ194" s="22">
        <v>184</v>
      </c>
      <c r="AK194" s="22">
        <v>0.82611100000000004</v>
      </c>
      <c r="AL194">
        <f t="shared" si="30"/>
        <v>17.1967</v>
      </c>
      <c r="AM194">
        <f t="shared" si="31"/>
        <v>14.2142591223</v>
      </c>
      <c r="AP194" s="9"/>
      <c r="AQ194" s="22">
        <v>0.87341299999999999</v>
      </c>
      <c r="AR194" s="22">
        <v>499.25700000000001</v>
      </c>
      <c r="AS194" s="22">
        <v>-1.71112E-2</v>
      </c>
      <c r="AT194" s="22">
        <v>184</v>
      </c>
      <c r="AU194" s="22">
        <v>0.873108</v>
      </c>
      <c r="AV194">
        <f t="shared" si="32"/>
        <v>17.1112</v>
      </c>
      <c r="AW194">
        <f t="shared" si="33"/>
        <v>14.9451445256</v>
      </c>
      <c r="AX194" s="9"/>
      <c r="AY194" s="22">
        <v>0.826569</v>
      </c>
      <c r="AZ194" s="22">
        <v>571.51199999999994</v>
      </c>
      <c r="BA194" s="22">
        <v>-1.7172199999999999E-2</v>
      </c>
      <c r="BB194" s="22">
        <v>184</v>
      </c>
      <c r="BC194" s="22">
        <v>0.82611100000000004</v>
      </c>
      <c r="BD194">
        <f t="shared" si="34"/>
        <v>17.1722</v>
      </c>
      <c r="BE194">
        <f t="shared" si="35"/>
        <v>14.194008181799999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92.297200000000004</v>
      </c>
      <c r="I195" s="22">
        <v>-1.6937299999999999E-2</v>
      </c>
      <c r="J195" s="22">
        <v>185</v>
      </c>
      <c r="K195" s="22">
        <v>0.86731000000000003</v>
      </c>
      <c r="L195">
        <f t="shared" si="24"/>
        <v>16.9373</v>
      </c>
      <c r="M195">
        <f t="shared" si="25"/>
        <v>14.7079786994</v>
      </c>
      <c r="N195" s="9"/>
      <c r="O195" s="22">
        <v>0.83160400000000001</v>
      </c>
      <c r="P195" s="22">
        <v>158.25700000000001</v>
      </c>
      <c r="Q195" s="22">
        <v>-1.7279099999999999E-2</v>
      </c>
      <c r="R195" s="22">
        <v>185</v>
      </c>
      <c r="S195" s="22">
        <v>0.83099400000000001</v>
      </c>
      <c r="T195">
        <f t="shared" si="26"/>
        <v>17.2791</v>
      </c>
      <c r="U195">
        <f t="shared" si="27"/>
        <v>14.369368676400001</v>
      </c>
      <c r="X195" s="9"/>
      <c r="Y195" s="22">
        <v>0.86837799999999998</v>
      </c>
      <c r="Z195" s="22">
        <v>243.81100000000001</v>
      </c>
      <c r="AA195" s="22">
        <v>-1.7215000000000001E-2</v>
      </c>
      <c r="AB195" s="22">
        <v>185</v>
      </c>
      <c r="AC195" s="22">
        <v>0.86761500000000003</v>
      </c>
      <c r="AD195">
        <f t="shared" si="28"/>
        <v>17.215</v>
      </c>
      <c r="AE195">
        <f t="shared" si="29"/>
        <v>14.94912727</v>
      </c>
      <c r="AF195" s="9"/>
      <c r="AG195" s="22">
        <v>0.83160400000000001</v>
      </c>
      <c r="AH195" s="22">
        <v>398.24700000000001</v>
      </c>
      <c r="AI195" s="22">
        <v>-1.7184399999999999E-2</v>
      </c>
      <c r="AJ195" s="22">
        <v>185</v>
      </c>
      <c r="AK195" s="22">
        <v>0.83099400000000001</v>
      </c>
      <c r="AL195">
        <f t="shared" si="30"/>
        <v>17.1844</v>
      </c>
      <c r="AM195">
        <f t="shared" si="31"/>
        <v>14.290615777600001</v>
      </c>
      <c r="AP195" s="9"/>
      <c r="AQ195" s="22">
        <v>0.86837799999999998</v>
      </c>
      <c r="AR195" s="22">
        <v>499.358</v>
      </c>
      <c r="AS195" s="22">
        <v>-1.7117299999999998E-2</v>
      </c>
      <c r="AT195" s="22">
        <v>185</v>
      </c>
      <c r="AU195" s="22">
        <v>0.86731000000000003</v>
      </c>
      <c r="AV195">
        <f t="shared" si="32"/>
        <v>17.1173</v>
      </c>
      <c r="AW195">
        <f t="shared" si="33"/>
        <v>14.864286739400001</v>
      </c>
      <c r="AX195" s="9"/>
      <c r="AY195" s="22">
        <v>0.83160400000000001</v>
      </c>
      <c r="AZ195" s="22">
        <v>571.61199999999997</v>
      </c>
      <c r="BA195" s="22">
        <v>-1.71661E-2</v>
      </c>
      <c r="BB195" s="22">
        <v>185</v>
      </c>
      <c r="BC195" s="22">
        <v>0.83007799999999998</v>
      </c>
      <c r="BD195">
        <f t="shared" si="34"/>
        <v>17.1661</v>
      </c>
      <c r="BE195">
        <f t="shared" si="35"/>
        <v>14.275397424399999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92.397900000000007</v>
      </c>
      <c r="I196" s="22">
        <v>-1.69464E-2</v>
      </c>
      <c r="J196" s="22">
        <v>186</v>
      </c>
      <c r="K196" s="22">
        <v>0.86242700000000005</v>
      </c>
      <c r="L196">
        <f t="shared" si="24"/>
        <v>16.946400000000001</v>
      </c>
      <c r="M196">
        <f t="shared" si="25"/>
        <v>14.630538868800002</v>
      </c>
      <c r="N196" s="9"/>
      <c r="O196" s="22">
        <v>0.83663900000000002</v>
      </c>
      <c r="P196" s="22">
        <v>158.358</v>
      </c>
      <c r="Q196" s="22">
        <v>-1.7282100000000002E-2</v>
      </c>
      <c r="R196" s="22">
        <v>186</v>
      </c>
      <c r="S196" s="22">
        <v>0.83618199999999998</v>
      </c>
      <c r="T196">
        <f t="shared" si="26"/>
        <v>17.282100000000003</v>
      </c>
      <c r="U196">
        <f t="shared" si="27"/>
        <v>14.458878861900002</v>
      </c>
      <c r="X196" s="9"/>
      <c r="Y196" s="22">
        <v>0.86334200000000005</v>
      </c>
      <c r="Z196" s="22">
        <v>243.911</v>
      </c>
      <c r="AA196" s="22">
        <v>-1.7218000000000001E-2</v>
      </c>
      <c r="AB196" s="22">
        <v>186</v>
      </c>
      <c r="AC196" s="22">
        <v>0.86242700000000005</v>
      </c>
      <c r="AD196">
        <f t="shared" si="28"/>
        <v>17.218</v>
      </c>
      <c r="AE196">
        <f t="shared" si="29"/>
        <v>14.865022556000001</v>
      </c>
      <c r="AF196" s="9"/>
      <c r="AG196" s="22">
        <v>0.83663900000000002</v>
      </c>
      <c r="AH196" s="22">
        <v>398.34800000000001</v>
      </c>
      <c r="AI196" s="22">
        <v>-1.7184399999999999E-2</v>
      </c>
      <c r="AJ196" s="22">
        <v>186</v>
      </c>
      <c r="AK196" s="22">
        <v>0.83618199999999998</v>
      </c>
      <c r="AL196">
        <f t="shared" si="30"/>
        <v>17.1844</v>
      </c>
      <c r="AM196">
        <f t="shared" si="31"/>
        <v>14.377139231600001</v>
      </c>
      <c r="AP196" s="9"/>
      <c r="AQ196" s="22">
        <v>0.86334200000000005</v>
      </c>
      <c r="AR196" s="22">
        <v>499.459</v>
      </c>
      <c r="AS196" s="22">
        <v>-1.7117299999999998E-2</v>
      </c>
      <c r="AT196" s="22">
        <v>186</v>
      </c>
      <c r="AU196" s="22">
        <v>0.86242700000000005</v>
      </c>
      <c r="AV196">
        <f t="shared" si="32"/>
        <v>17.1173</v>
      </c>
      <c r="AW196">
        <f t="shared" si="33"/>
        <v>14.778084016600001</v>
      </c>
      <c r="AX196" s="9"/>
      <c r="AY196" s="22">
        <v>0.83663900000000002</v>
      </c>
      <c r="AZ196" s="22">
        <v>571.71299999999997</v>
      </c>
      <c r="BA196" s="22">
        <v>-1.71539E-2</v>
      </c>
      <c r="BB196" s="22">
        <v>186</v>
      </c>
      <c r="BC196" s="22">
        <v>0.83648699999999998</v>
      </c>
      <c r="BD196">
        <f t="shared" si="34"/>
        <v>17.1539</v>
      </c>
      <c r="BE196">
        <f t="shared" si="35"/>
        <v>14.351621742100001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92.498599999999996</v>
      </c>
      <c r="I197" s="22">
        <v>-1.69464E-2</v>
      </c>
      <c r="J197" s="22">
        <v>187</v>
      </c>
      <c r="K197" s="22">
        <v>0.85754399999999997</v>
      </c>
      <c r="L197">
        <f t="shared" si="24"/>
        <v>16.946400000000001</v>
      </c>
      <c r="M197">
        <f t="shared" si="25"/>
        <v>14.545213744800002</v>
      </c>
      <c r="N197" s="9"/>
      <c r="O197" s="22">
        <v>0.84167499999999995</v>
      </c>
      <c r="P197" s="22">
        <v>158.459</v>
      </c>
      <c r="Q197" s="22">
        <v>-1.7269900000000001E-2</v>
      </c>
      <c r="R197" s="22">
        <v>187</v>
      </c>
      <c r="S197" s="22">
        <v>0.84075900000000003</v>
      </c>
      <c r="T197">
        <f t="shared" si="26"/>
        <v>17.2699</v>
      </c>
      <c r="U197">
        <f t="shared" si="27"/>
        <v>14.535643082499998</v>
      </c>
      <c r="X197" s="9"/>
      <c r="Y197" s="22">
        <v>0.85830700000000004</v>
      </c>
      <c r="Z197" s="22">
        <v>244.012</v>
      </c>
      <c r="AA197" s="22">
        <v>-1.7230200000000001E-2</v>
      </c>
      <c r="AB197" s="22">
        <v>187</v>
      </c>
      <c r="AC197" s="22">
        <v>0.85754399999999997</v>
      </c>
      <c r="AD197">
        <f t="shared" si="28"/>
        <v>17.2302</v>
      </c>
      <c r="AE197">
        <f t="shared" si="29"/>
        <v>14.788801271400001</v>
      </c>
      <c r="AF197" s="9"/>
      <c r="AG197" s="22">
        <v>0.84167499999999995</v>
      </c>
      <c r="AH197" s="22">
        <v>398.44900000000001</v>
      </c>
      <c r="AI197" s="22">
        <v>-1.7175300000000001E-2</v>
      </c>
      <c r="AJ197" s="22">
        <v>187</v>
      </c>
      <c r="AK197" s="22">
        <v>0.83984400000000003</v>
      </c>
      <c r="AL197">
        <f t="shared" si="30"/>
        <v>17.1753</v>
      </c>
      <c r="AM197">
        <f t="shared" si="31"/>
        <v>14.456020627499999</v>
      </c>
      <c r="AP197" s="9"/>
      <c r="AQ197" s="22">
        <v>0.85830700000000004</v>
      </c>
      <c r="AR197" s="22">
        <v>499.55900000000003</v>
      </c>
      <c r="AS197" s="22">
        <v>-1.7117299999999998E-2</v>
      </c>
      <c r="AT197" s="22">
        <v>187</v>
      </c>
      <c r="AU197" s="22">
        <v>0.85723899999999997</v>
      </c>
      <c r="AV197">
        <f t="shared" si="32"/>
        <v>17.1173</v>
      </c>
      <c r="AW197">
        <f t="shared" si="33"/>
        <v>14.6918984111</v>
      </c>
      <c r="AX197" s="9"/>
      <c r="AY197" s="22">
        <v>0.84167499999999995</v>
      </c>
      <c r="AZ197" s="22">
        <v>571.81399999999996</v>
      </c>
      <c r="BA197" s="22">
        <v>-1.7147800000000001E-2</v>
      </c>
      <c r="BB197" s="22">
        <v>187</v>
      </c>
      <c r="BC197" s="22">
        <v>0.84136999999999995</v>
      </c>
      <c r="BD197">
        <f t="shared" si="34"/>
        <v>17.1478</v>
      </c>
      <c r="BE197">
        <f t="shared" si="35"/>
        <v>14.432874564999999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92.599299999999999</v>
      </c>
      <c r="I198" s="22">
        <v>-1.6952499999999999E-2</v>
      </c>
      <c r="J198" s="22">
        <v>188</v>
      </c>
      <c r="K198" s="22">
        <v>0.852356</v>
      </c>
      <c r="L198">
        <f t="shared" si="24"/>
        <v>16.952500000000001</v>
      </c>
      <c r="M198">
        <f t="shared" si="25"/>
        <v>14.4650766275</v>
      </c>
      <c r="N198" s="9"/>
      <c r="O198" s="22">
        <v>0.84670999999999996</v>
      </c>
      <c r="P198" s="22">
        <v>158.559</v>
      </c>
      <c r="Q198" s="22">
        <v>-1.7266799999999999E-2</v>
      </c>
      <c r="R198" s="22">
        <v>188</v>
      </c>
      <c r="S198" s="22">
        <v>0.845947</v>
      </c>
      <c r="T198">
        <f t="shared" si="26"/>
        <v>17.2668</v>
      </c>
      <c r="U198">
        <f t="shared" si="27"/>
        <v>14.619972228</v>
      </c>
      <c r="X198" s="9"/>
      <c r="Y198" s="22">
        <v>0.853271</v>
      </c>
      <c r="Z198" s="22">
        <v>244.113</v>
      </c>
      <c r="AA198" s="22">
        <v>-1.72363E-2</v>
      </c>
      <c r="AB198" s="22">
        <v>188</v>
      </c>
      <c r="AC198" s="22">
        <v>0.852966</v>
      </c>
      <c r="AD198">
        <f t="shared" si="28"/>
        <v>17.2363</v>
      </c>
      <c r="AE198">
        <f t="shared" si="29"/>
        <v>14.707234937300001</v>
      </c>
      <c r="AF198" s="9"/>
      <c r="AG198" s="22">
        <v>0.84670999999999996</v>
      </c>
      <c r="AH198" s="22">
        <v>398.54899999999998</v>
      </c>
      <c r="AI198" s="22">
        <v>-1.7175300000000001E-2</v>
      </c>
      <c r="AJ198" s="22">
        <v>188</v>
      </c>
      <c r="AK198" s="22">
        <v>0.846252</v>
      </c>
      <c r="AL198">
        <f t="shared" si="30"/>
        <v>17.1753</v>
      </c>
      <c r="AM198">
        <f t="shared" si="31"/>
        <v>14.542498262999999</v>
      </c>
      <c r="AP198" s="9"/>
      <c r="AQ198" s="22">
        <v>0.853271</v>
      </c>
      <c r="AR198" s="22">
        <v>499.66</v>
      </c>
      <c r="AS198" s="22">
        <v>-1.7129499999999999E-2</v>
      </c>
      <c r="AT198" s="22">
        <v>188</v>
      </c>
      <c r="AU198" s="22">
        <v>0.852661</v>
      </c>
      <c r="AV198">
        <f t="shared" si="32"/>
        <v>17.1295</v>
      </c>
      <c r="AW198">
        <f t="shared" si="33"/>
        <v>14.6161055945</v>
      </c>
      <c r="AX198" s="9"/>
      <c r="AY198" s="22">
        <v>0.84670999999999996</v>
      </c>
      <c r="AZ198" s="22">
        <v>571.91399999999999</v>
      </c>
      <c r="BA198" s="22">
        <v>-1.7144800000000002E-2</v>
      </c>
      <c r="BB198" s="22">
        <v>188</v>
      </c>
      <c r="BC198" s="22">
        <v>0.845642</v>
      </c>
      <c r="BD198">
        <f t="shared" si="34"/>
        <v>17.1448</v>
      </c>
      <c r="BE198">
        <f t="shared" si="35"/>
        <v>14.516673608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92.7</v>
      </c>
      <c r="I199" s="22">
        <v>-1.6958600000000001E-2</v>
      </c>
      <c r="J199" s="22">
        <v>189</v>
      </c>
      <c r="K199" s="22">
        <v>0.84747300000000003</v>
      </c>
      <c r="L199">
        <f t="shared" si="24"/>
        <v>16.958600000000001</v>
      </c>
      <c r="M199">
        <f t="shared" si="25"/>
        <v>14.384895029600001</v>
      </c>
      <c r="N199" s="9"/>
      <c r="O199" s="22">
        <v>0.851746</v>
      </c>
      <c r="P199" s="22">
        <v>158.66</v>
      </c>
      <c r="Q199" s="22">
        <v>-1.7263799999999999E-2</v>
      </c>
      <c r="R199" s="22">
        <v>189</v>
      </c>
      <c r="S199" s="22">
        <v>0.85082999999999998</v>
      </c>
      <c r="T199">
        <f t="shared" si="26"/>
        <v>17.2638</v>
      </c>
      <c r="U199">
        <f t="shared" si="27"/>
        <v>14.704372594800001</v>
      </c>
      <c r="X199" s="9"/>
      <c r="Y199" s="22">
        <v>0.84823599999999999</v>
      </c>
      <c r="Z199" s="22">
        <v>244.21299999999999</v>
      </c>
      <c r="AA199" s="22">
        <v>-1.72333E-2</v>
      </c>
      <c r="AB199" s="22">
        <v>189</v>
      </c>
      <c r="AC199" s="22">
        <v>0.84747300000000003</v>
      </c>
      <c r="AD199">
        <f t="shared" si="28"/>
        <v>17.2333</v>
      </c>
      <c r="AE199">
        <f t="shared" si="29"/>
        <v>14.617905458799999</v>
      </c>
      <c r="AF199" s="9"/>
      <c r="AG199" s="22">
        <v>0.851746</v>
      </c>
      <c r="AH199" s="22">
        <v>398.65</v>
      </c>
      <c r="AI199" s="22">
        <v>-1.7172199999999999E-2</v>
      </c>
      <c r="AJ199" s="22">
        <v>189</v>
      </c>
      <c r="AK199" s="22">
        <v>0.85052499999999998</v>
      </c>
      <c r="AL199">
        <f t="shared" si="30"/>
        <v>17.1722</v>
      </c>
      <c r="AM199">
        <f t="shared" si="31"/>
        <v>14.6263526612</v>
      </c>
      <c r="AP199" s="9"/>
      <c r="AQ199" s="22">
        <v>0.84823599999999999</v>
      </c>
      <c r="AR199" s="22">
        <v>499.76100000000002</v>
      </c>
      <c r="AS199" s="22">
        <v>-1.7135600000000001E-2</v>
      </c>
      <c r="AT199" s="22">
        <v>189</v>
      </c>
      <c r="AU199" s="22">
        <v>0.84747300000000003</v>
      </c>
      <c r="AV199">
        <f t="shared" si="32"/>
        <v>17.1356</v>
      </c>
      <c r="AW199">
        <f t="shared" si="33"/>
        <v>14.5350328016</v>
      </c>
      <c r="AX199" s="9"/>
      <c r="AY199" s="22">
        <v>0.851746</v>
      </c>
      <c r="AZ199" s="22">
        <v>572.01499999999999</v>
      </c>
      <c r="BA199" s="22">
        <v>-1.7135600000000001E-2</v>
      </c>
      <c r="BB199" s="22">
        <v>189</v>
      </c>
      <c r="BC199" s="22">
        <v>0.85113499999999997</v>
      </c>
      <c r="BD199">
        <f t="shared" si="34"/>
        <v>17.1356</v>
      </c>
      <c r="BE199">
        <f t="shared" si="35"/>
        <v>14.595178757599999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92.800700000000006</v>
      </c>
      <c r="I200" s="22">
        <v>-1.6967800000000002E-2</v>
      </c>
      <c r="J200" s="22">
        <v>190</v>
      </c>
      <c r="K200" s="22">
        <v>0.84258999999999995</v>
      </c>
      <c r="L200">
        <f t="shared" si="24"/>
        <v>16.9678</v>
      </c>
      <c r="M200">
        <f t="shared" si="25"/>
        <v>14.3072659278</v>
      </c>
      <c r="N200" s="9"/>
      <c r="O200" s="22">
        <v>0.85678100000000001</v>
      </c>
      <c r="P200" s="22">
        <v>158.761</v>
      </c>
      <c r="Q200" s="22">
        <v>-1.72485E-2</v>
      </c>
      <c r="R200" s="22">
        <v>190</v>
      </c>
      <c r="S200" s="22">
        <v>0.85632299999999995</v>
      </c>
      <c r="T200">
        <f t="shared" si="26"/>
        <v>17.2485</v>
      </c>
      <c r="U200">
        <f t="shared" si="27"/>
        <v>14.7781870785</v>
      </c>
      <c r="X200" s="9"/>
      <c r="Y200" s="22">
        <v>0.84320099999999998</v>
      </c>
      <c r="Z200" s="22">
        <v>244.31399999999999</v>
      </c>
      <c r="AA200" s="22">
        <v>-1.7242400000000001E-2</v>
      </c>
      <c r="AB200" s="22">
        <v>190</v>
      </c>
      <c r="AC200" s="22">
        <v>0.84258999999999995</v>
      </c>
      <c r="AD200">
        <f t="shared" si="28"/>
        <v>17.2424</v>
      </c>
      <c r="AE200">
        <f t="shared" si="29"/>
        <v>14.538808922399999</v>
      </c>
      <c r="AF200" s="9"/>
      <c r="AG200" s="22">
        <v>0.85678100000000001</v>
      </c>
      <c r="AH200" s="22">
        <v>398.75099999999998</v>
      </c>
      <c r="AI200" s="22">
        <v>-1.7160000000000002E-2</v>
      </c>
      <c r="AJ200" s="22">
        <v>190</v>
      </c>
      <c r="AK200" s="22">
        <v>0.85601799999999995</v>
      </c>
      <c r="AL200">
        <f t="shared" si="30"/>
        <v>17.16</v>
      </c>
      <c r="AM200">
        <f t="shared" si="31"/>
        <v>14.702361960000001</v>
      </c>
      <c r="AP200" s="9"/>
      <c r="AQ200" s="22">
        <v>0.84320099999999998</v>
      </c>
      <c r="AR200" s="22">
        <v>499.86200000000002</v>
      </c>
      <c r="AS200" s="22">
        <v>-1.71387E-2</v>
      </c>
      <c r="AT200" s="22">
        <v>190</v>
      </c>
      <c r="AU200" s="22">
        <v>0.84167499999999995</v>
      </c>
      <c r="AV200">
        <f t="shared" si="32"/>
        <v>17.1387</v>
      </c>
      <c r="AW200">
        <f t="shared" si="33"/>
        <v>14.4513689787</v>
      </c>
      <c r="AX200" s="9"/>
      <c r="AY200" s="22">
        <v>0.85678100000000001</v>
      </c>
      <c r="AZ200" s="22">
        <v>572.11599999999999</v>
      </c>
      <c r="BA200" s="22">
        <v>-1.7132600000000001E-2</v>
      </c>
      <c r="BB200" s="22">
        <v>190</v>
      </c>
      <c r="BC200" s="22">
        <v>0.85632299999999995</v>
      </c>
      <c r="BD200">
        <f t="shared" si="34"/>
        <v>17.1326</v>
      </c>
      <c r="BE200">
        <f t="shared" si="35"/>
        <v>14.678886160600001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92.901499999999999</v>
      </c>
      <c r="I201" s="22">
        <v>-1.69739E-2</v>
      </c>
      <c r="J201" s="22">
        <v>191</v>
      </c>
      <c r="K201" s="22">
        <v>0.83709699999999998</v>
      </c>
      <c r="L201">
        <f t="shared" si="24"/>
        <v>16.9739</v>
      </c>
      <c r="M201">
        <f t="shared" si="25"/>
        <v>14.226928893500002</v>
      </c>
      <c r="N201" s="9"/>
      <c r="O201" s="22">
        <v>0.86181600000000003</v>
      </c>
      <c r="P201" s="22">
        <v>158.86199999999999</v>
      </c>
      <c r="Q201" s="22">
        <v>-1.72455E-2</v>
      </c>
      <c r="R201" s="22">
        <v>191</v>
      </c>
      <c r="S201" s="22">
        <v>0.86120600000000003</v>
      </c>
      <c r="T201">
        <f t="shared" si="26"/>
        <v>17.2455</v>
      </c>
      <c r="U201">
        <f t="shared" si="27"/>
        <v>14.862447828000001</v>
      </c>
      <c r="X201" s="9"/>
      <c r="Y201" s="22">
        <v>0.83816500000000005</v>
      </c>
      <c r="Z201" s="22">
        <v>244.41499999999999</v>
      </c>
      <c r="AA201" s="22">
        <v>-1.7251599999999999E-2</v>
      </c>
      <c r="AB201" s="22">
        <v>191</v>
      </c>
      <c r="AC201" s="22">
        <v>0.83740199999999998</v>
      </c>
      <c r="AD201">
        <f t="shared" si="28"/>
        <v>17.2516</v>
      </c>
      <c r="AE201">
        <f t="shared" si="29"/>
        <v>14.459687314</v>
      </c>
      <c r="AF201" s="9"/>
      <c r="AG201" s="22">
        <v>0.86181600000000003</v>
      </c>
      <c r="AH201" s="22">
        <v>398.85199999999998</v>
      </c>
      <c r="AI201" s="22">
        <v>-1.71509E-2</v>
      </c>
      <c r="AJ201" s="22">
        <v>191</v>
      </c>
      <c r="AK201" s="22">
        <v>0.86120600000000003</v>
      </c>
      <c r="AL201">
        <f t="shared" si="30"/>
        <v>17.1509</v>
      </c>
      <c r="AM201">
        <f t="shared" si="31"/>
        <v>14.780920034400001</v>
      </c>
      <c r="AP201" s="9"/>
      <c r="AQ201" s="22">
        <v>0.83816500000000005</v>
      </c>
      <c r="AR201" s="22">
        <v>499.96199999999999</v>
      </c>
      <c r="AS201" s="22">
        <v>-1.7147800000000001E-2</v>
      </c>
      <c r="AT201" s="22">
        <v>191</v>
      </c>
      <c r="AU201" s="22">
        <v>0.83770800000000001</v>
      </c>
      <c r="AV201">
        <f t="shared" si="32"/>
        <v>17.1478</v>
      </c>
      <c r="AW201">
        <f t="shared" si="33"/>
        <v>14.372685787000002</v>
      </c>
      <c r="AX201" s="9"/>
      <c r="AY201" s="22">
        <v>0.86181600000000003</v>
      </c>
      <c r="AZ201" s="22">
        <v>572.21600000000001</v>
      </c>
      <c r="BA201" s="22">
        <v>-1.7126499999999999E-2</v>
      </c>
      <c r="BB201" s="22">
        <v>191</v>
      </c>
      <c r="BC201" s="22">
        <v>0.86059600000000003</v>
      </c>
      <c r="BD201">
        <f t="shared" si="34"/>
        <v>17.1265</v>
      </c>
      <c r="BE201">
        <f t="shared" si="35"/>
        <v>14.759891724000001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93.002200000000002</v>
      </c>
      <c r="I202" s="22">
        <v>-1.69769E-2</v>
      </c>
      <c r="J202" s="22">
        <v>192</v>
      </c>
      <c r="K202" s="22">
        <v>0.83252000000000004</v>
      </c>
      <c r="L202">
        <f t="shared" si="24"/>
        <v>16.976900000000001</v>
      </c>
      <c r="M202">
        <f t="shared" si="25"/>
        <v>14.143964697000001</v>
      </c>
      <c r="N202" s="9"/>
      <c r="O202" s="22">
        <v>0.86685199999999996</v>
      </c>
      <c r="P202" s="22">
        <v>158.96199999999999</v>
      </c>
      <c r="Q202" s="22">
        <v>-1.72363E-2</v>
      </c>
      <c r="R202" s="22">
        <v>192</v>
      </c>
      <c r="S202" s="22">
        <v>0.866089</v>
      </c>
      <c r="T202">
        <f t="shared" si="26"/>
        <v>17.2363</v>
      </c>
      <c r="U202">
        <f t="shared" si="27"/>
        <v>14.941321127599998</v>
      </c>
      <c r="X202" s="9"/>
      <c r="Y202" s="22">
        <v>0.83313000000000004</v>
      </c>
      <c r="Z202" s="22">
        <v>244.51599999999999</v>
      </c>
      <c r="AA202" s="22">
        <v>-1.72607E-2</v>
      </c>
      <c r="AB202" s="22">
        <v>192</v>
      </c>
      <c r="AC202" s="22">
        <v>0.83252000000000004</v>
      </c>
      <c r="AD202">
        <f t="shared" si="28"/>
        <v>17.2607</v>
      </c>
      <c r="AE202">
        <f t="shared" si="29"/>
        <v>14.380406991000001</v>
      </c>
      <c r="AF202" s="9"/>
      <c r="AG202" s="22">
        <v>0.86685199999999996</v>
      </c>
      <c r="AH202" s="22">
        <v>398.952</v>
      </c>
      <c r="AI202" s="22">
        <v>-1.7147800000000001E-2</v>
      </c>
      <c r="AJ202" s="22">
        <v>192</v>
      </c>
      <c r="AK202" s="22">
        <v>0.865479</v>
      </c>
      <c r="AL202">
        <f t="shared" si="30"/>
        <v>17.1478</v>
      </c>
      <c r="AM202">
        <f t="shared" si="31"/>
        <v>14.8646047256</v>
      </c>
      <c r="AP202" s="9"/>
      <c r="AQ202" s="22">
        <v>0.83313000000000004</v>
      </c>
      <c r="AR202" s="22">
        <v>500.06299999999999</v>
      </c>
      <c r="AS202" s="22">
        <v>-1.7147800000000001E-2</v>
      </c>
      <c r="AT202" s="22">
        <v>192</v>
      </c>
      <c r="AU202" s="22">
        <v>0.83252000000000004</v>
      </c>
      <c r="AV202">
        <f t="shared" si="32"/>
        <v>17.1478</v>
      </c>
      <c r="AW202">
        <f t="shared" si="33"/>
        <v>14.286346614000001</v>
      </c>
      <c r="AX202" s="9"/>
      <c r="AY202" s="22">
        <v>0.86685199999999996</v>
      </c>
      <c r="AZ202" s="22">
        <v>572.31700000000001</v>
      </c>
      <c r="BA202" s="22">
        <v>-1.7117299999999998E-2</v>
      </c>
      <c r="BB202" s="22">
        <v>192</v>
      </c>
      <c r="BC202" s="22">
        <v>0.866089</v>
      </c>
      <c r="BD202">
        <f t="shared" si="34"/>
        <v>17.1173</v>
      </c>
      <c r="BE202">
        <f t="shared" si="35"/>
        <v>14.838165739599999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93.102900000000005</v>
      </c>
      <c r="I203" s="22">
        <v>-1.69769E-2</v>
      </c>
      <c r="J203" s="22">
        <v>193</v>
      </c>
      <c r="K203" s="22">
        <v>0.82794199999999996</v>
      </c>
      <c r="L203">
        <f t="shared" si="24"/>
        <v>16.976900000000001</v>
      </c>
      <c r="M203">
        <f t="shared" si="25"/>
        <v>14.058469028600001</v>
      </c>
      <c r="N203" s="9"/>
      <c r="O203" s="22">
        <v>0.87188699999999997</v>
      </c>
      <c r="P203" s="22">
        <v>159.06299999999999</v>
      </c>
      <c r="Q203" s="22">
        <v>-1.7227200000000002E-2</v>
      </c>
      <c r="R203" s="22">
        <v>193</v>
      </c>
      <c r="S203" s="22">
        <v>0.87097199999999997</v>
      </c>
      <c r="T203">
        <f t="shared" si="26"/>
        <v>17.2272</v>
      </c>
      <c r="U203">
        <f t="shared" si="27"/>
        <v>15.020171726399999</v>
      </c>
      <c r="X203" s="9"/>
      <c r="Y203" s="22">
        <v>0.828094</v>
      </c>
      <c r="Z203" s="22">
        <v>244.61600000000001</v>
      </c>
      <c r="AA203" s="22">
        <v>-1.7269900000000001E-2</v>
      </c>
      <c r="AB203" s="22">
        <v>193</v>
      </c>
      <c r="AC203" s="22">
        <v>0.82763699999999996</v>
      </c>
      <c r="AD203">
        <f t="shared" si="28"/>
        <v>17.2699</v>
      </c>
      <c r="AE203">
        <f t="shared" si="29"/>
        <v>14.301100570599999</v>
      </c>
      <c r="AF203" s="9"/>
      <c r="AG203" s="22">
        <v>0.87188699999999997</v>
      </c>
      <c r="AH203" s="22">
        <v>399.053</v>
      </c>
      <c r="AI203" s="22">
        <v>-1.7144800000000002E-2</v>
      </c>
      <c r="AJ203" s="22">
        <v>193</v>
      </c>
      <c r="AK203" s="22">
        <v>0.87127699999999997</v>
      </c>
      <c r="AL203">
        <f t="shared" si="30"/>
        <v>17.1448</v>
      </c>
      <c r="AM203">
        <f t="shared" si="31"/>
        <v>14.9483282376</v>
      </c>
      <c r="AP203" s="9"/>
      <c r="AQ203" s="22">
        <v>0.828094</v>
      </c>
      <c r="AR203" s="22">
        <v>500.16399999999999</v>
      </c>
      <c r="AS203" s="22">
        <v>-1.7156999999999999E-2</v>
      </c>
      <c r="AT203" s="22">
        <v>193</v>
      </c>
      <c r="AU203" s="22">
        <v>0.82733199999999996</v>
      </c>
      <c r="AV203">
        <f t="shared" si="32"/>
        <v>17.157</v>
      </c>
      <c r="AW203">
        <f t="shared" si="33"/>
        <v>14.207608757999999</v>
      </c>
      <c r="AX203" s="9"/>
      <c r="AY203" s="22">
        <v>0.87188699999999997</v>
      </c>
      <c r="AZ203" s="22">
        <v>572.41800000000001</v>
      </c>
      <c r="BA203" s="22">
        <v>-1.7114299999999999E-2</v>
      </c>
      <c r="BB203" s="22">
        <v>193</v>
      </c>
      <c r="BC203" s="22">
        <v>0.87097199999999997</v>
      </c>
      <c r="BD203">
        <f t="shared" si="34"/>
        <v>17.1143</v>
      </c>
      <c r="BE203">
        <f t="shared" si="35"/>
        <v>14.9217356841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93.203599999999994</v>
      </c>
      <c r="I204" s="22">
        <v>-1.6983000000000002E-2</v>
      </c>
      <c r="J204" s="22">
        <v>194</v>
      </c>
      <c r="K204" s="22">
        <v>0.82275399999999999</v>
      </c>
      <c r="L204">
        <f t="shared" ref="L204:L267" si="36">-I204/$F$2*1000</f>
        <v>16.983000000000001</v>
      </c>
      <c r="M204">
        <f t="shared" ref="M204:M267" si="37">L204*G204</f>
        <v>13.978010997</v>
      </c>
      <c r="N204" s="9"/>
      <c r="O204" s="22">
        <v>0.87692300000000001</v>
      </c>
      <c r="P204" s="22">
        <v>159.16399999999999</v>
      </c>
      <c r="Q204" s="22">
        <v>-1.7224099999999999E-2</v>
      </c>
      <c r="R204" s="22">
        <v>194</v>
      </c>
      <c r="S204" s="22">
        <v>0.87554900000000002</v>
      </c>
      <c r="T204">
        <f t="shared" ref="T204:T267" si="38">-Q204/$F$2*1000</f>
        <v>17.2241</v>
      </c>
      <c r="U204">
        <f t="shared" ref="U204:U267" si="39">T204*O204</f>
        <v>15.1042094443</v>
      </c>
      <c r="X204" s="9"/>
      <c r="Y204" s="22">
        <v>0.82305899999999999</v>
      </c>
      <c r="Z204" s="22">
        <v>244.71700000000001</v>
      </c>
      <c r="AA204" s="22">
        <v>-1.7269900000000001E-2</v>
      </c>
      <c r="AB204" s="22">
        <v>194</v>
      </c>
      <c r="AC204" s="22">
        <v>0.82214399999999999</v>
      </c>
      <c r="AD204">
        <f t="shared" ref="AD204:AD267" si="40">-AA204/$F$2*1000</f>
        <v>17.2699</v>
      </c>
      <c r="AE204">
        <f t="shared" ref="AE204:AE267" si="41">AD204*Y204</f>
        <v>14.2141466241</v>
      </c>
      <c r="AF204" s="9"/>
      <c r="AG204" s="22">
        <v>0.87692300000000001</v>
      </c>
      <c r="AH204" s="22">
        <v>399.154</v>
      </c>
      <c r="AI204" s="22">
        <v>-1.7132600000000001E-2</v>
      </c>
      <c r="AJ204" s="22">
        <v>194</v>
      </c>
      <c r="AK204" s="22">
        <v>0.87585400000000002</v>
      </c>
      <c r="AL204">
        <f t="shared" ref="AL204:AL267" si="42">-AI204/$F$2*1000</f>
        <v>17.1326</v>
      </c>
      <c r="AM204">
        <f t="shared" ref="AM204:AM267" si="43">AL204*AG204</f>
        <v>15.0239709898</v>
      </c>
      <c r="AP204" s="9"/>
      <c r="AQ204" s="22">
        <v>0.82305899999999999</v>
      </c>
      <c r="AR204" s="22">
        <v>500.26400000000001</v>
      </c>
      <c r="AS204" s="22">
        <v>-1.7163100000000001E-2</v>
      </c>
      <c r="AT204" s="22">
        <v>194</v>
      </c>
      <c r="AU204" s="22">
        <v>0.82275399999999999</v>
      </c>
      <c r="AV204">
        <f t="shared" ref="AV204:AV267" si="44">-AS204/$F$2*1000</f>
        <v>17.1631</v>
      </c>
      <c r="AW204">
        <f t="shared" ref="AW204:AW267" si="45">AV204*AQ204</f>
        <v>14.126243922900001</v>
      </c>
      <c r="AX204" s="9"/>
      <c r="AY204" s="22">
        <v>0.87692300000000001</v>
      </c>
      <c r="AZ204" s="22">
        <v>572.51900000000001</v>
      </c>
      <c r="BA204" s="22">
        <v>-1.7105100000000002E-2</v>
      </c>
      <c r="BB204" s="22">
        <v>194</v>
      </c>
      <c r="BC204" s="22">
        <v>0.87616000000000005</v>
      </c>
      <c r="BD204">
        <f t="shared" ref="BD204:BD267" si="46">-BA204/$F$2*1000</f>
        <v>17.1051</v>
      </c>
      <c r="BE204">
        <f t="shared" ref="BE204:BE267" si="47">BD204*AY204</f>
        <v>14.999855607300001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93.304299999999998</v>
      </c>
      <c r="I205" s="22">
        <v>-1.69891E-2</v>
      </c>
      <c r="J205" s="22">
        <v>195</v>
      </c>
      <c r="K205" s="22">
        <v>0.81756600000000001</v>
      </c>
      <c r="L205">
        <f t="shared" si="36"/>
        <v>16.989100000000001</v>
      </c>
      <c r="M205">
        <f t="shared" si="37"/>
        <v>13.897491538400001</v>
      </c>
      <c r="N205" s="9"/>
      <c r="O205" s="22">
        <v>0.88195800000000002</v>
      </c>
      <c r="P205" s="22">
        <v>159.26400000000001</v>
      </c>
      <c r="Q205" s="22">
        <v>-1.72211E-2</v>
      </c>
      <c r="R205" s="22">
        <v>195</v>
      </c>
      <c r="S205" s="22">
        <v>0.88073699999999999</v>
      </c>
      <c r="T205">
        <f t="shared" si="38"/>
        <v>17.2211</v>
      </c>
      <c r="U205">
        <f t="shared" si="39"/>
        <v>15.188286913800001</v>
      </c>
      <c r="X205" s="9"/>
      <c r="Y205" s="22">
        <v>0.81802399999999997</v>
      </c>
      <c r="Z205" s="22">
        <v>244.81800000000001</v>
      </c>
      <c r="AA205" s="22">
        <v>-1.7269900000000001E-2</v>
      </c>
      <c r="AB205" s="22">
        <v>195</v>
      </c>
      <c r="AC205" s="22">
        <v>0.81695600000000002</v>
      </c>
      <c r="AD205">
        <f t="shared" si="40"/>
        <v>17.2699</v>
      </c>
      <c r="AE205">
        <f t="shared" si="41"/>
        <v>14.1271926776</v>
      </c>
      <c r="AF205" s="9"/>
      <c r="AG205" s="22">
        <v>0.88195800000000002</v>
      </c>
      <c r="AH205" s="22">
        <v>399.25400000000002</v>
      </c>
      <c r="AI205" s="22">
        <v>-1.7126499999999999E-2</v>
      </c>
      <c r="AJ205" s="22">
        <v>195</v>
      </c>
      <c r="AK205" s="22">
        <v>0.88104199999999999</v>
      </c>
      <c r="AL205">
        <f t="shared" si="42"/>
        <v>17.1265</v>
      </c>
      <c r="AM205">
        <f t="shared" si="43"/>
        <v>15.104853687</v>
      </c>
      <c r="AP205" s="9"/>
      <c r="AQ205" s="22">
        <v>0.81802399999999997</v>
      </c>
      <c r="AR205" s="22">
        <v>500.36500000000001</v>
      </c>
      <c r="AS205" s="22">
        <v>-1.7181399999999999E-2</v>
      </c>
      <c r="AT205" s="22">
        <v>195</v>
      </c>
      <c r="AU205" s="22">
        <v>0.81726100000000002</v>
      </c>
      <c r="AV205">
        <f t="shared" si="44"/>
        <v>17.1814</v>
      </c>
      <c r="AW205">
        <f t="shared" si="45"/>
        <v>14.0547975536</v>
      </c>
      <c r="AX205" s="9"/>
      <c r="AY205" s="22">
        <v>0.88195800000000002</v>
      </c>
      <c r="AZ205" s="22">
        <v>572.61900000000003</v>
      </c>
      <c r="BA205" s="22">
        <v>-1.7099E-2</v>
      </c>
      <c r="BB205" s="22">
        <v>195</v>
      </c>
      <c r="BC205" s="22">
        <v>0.88073699999999999</v>
      </c>
      <c r="BD205">
        <f t="shared" si="46"/>
        <v>17.099</v>
      </c>
      <c r="BE205">
        <f t="shared" si="47"/>
        <v>15.080599842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93.405000000000001</v>
      </c>
      <c r="I206" s="22">
        <v>-1.70013E-2</v>
      </c>
      <c r="J206" s="22">
        <v>196</v>
      </c>
      <c r="K206" s="22">
        <v>0.81207300000000004</v>
      </c>
      <c r="L206">
        <f t="shared" si="36"/>
        <v>17.001300000000001</v>
      </c>
      <c r="M206">
        <f t="shared" si="37"/>
        <v>13.821852884400002</v>
      </c>
      <c r="N206" s="9"/>
      <c r="O206" s="22">
        <v>0.88699300000000003</v>
      </c>
      <c r="P206" s="22">
        <v>159.36500000000001</v>
      </c>
      <c r="Q206" s="22">
        <v>-1.7211899999999999E-2</v>
      </c>
      <c r="R206" s="22">
        <v>196</v>
      </c>
      <c r="S206" s="22">
        <v>0.88653599999999999</v>
      </c>
      <c r="T206">
        <f t="shared" si="38"/>
        <v>17.2119</v>
      </c>
      <c r="U206">
        <f t="shared" si="39"/>
        <v>15.266834816700001</v>
      </c>
      <c r="X206" s="9"/>
      <c r="Y206" s="22">
        <v>0.81298800000000004</v>
      </c>
      <c r="Z206" s="22">
        <v>244.91800000000001</v>
      </c>
      <c r="AA206" s="22">
        <v>-1.7279099999999999E-2</v>
      </c>
      <c r="AB206" s="22">
        <v>196</v>
      </c>
      <c r="AC206" s="22">
        <v>0.81298800000000004</v>
      </c>
      <c r="AD206">
        <f t="shared" si="40"/>
        <v>17.2791</v>
      </c>
      <c r="AE206">
        <f t="shared" si="41"/>
        <v>14.047700950800001</v>
      </c>
      <c r="AF206" s="9"/>
      <c r="AG206" s="22">
        <v>0.88699300000000003</v>
      </c>
      <c r="AH206" s="22">
        <v>399.35500000000002</v>
      </c>
      <c r="AI206" s="22">
        <v>-1.7117299999999998E-2</v>
      </c>
      <c r="AJ206" s="22">
        <v>196</v>
      </c>
      <c r="AK206" s="22">
        <v>0.88592499999999996</v>
      </c>
      <c r="AL206">
        <f t="shared" si="42"/>
        <v>17.1173</v>
      </c>
      <c r="AM206">
        <f t="shared" si="43"/>
        <v>15.182925278900001</v>
      </c>
      <c r="AP206" s="9"/>
      <c r="AQ206" s="22">
        <v>0.81298800000000004</v>
      </c>
      <c r="AR206" s="22">
        <v>500.46600000000001</v>
      </c>
      <c r="AS206" s="22">
        <v>-1.7187500000000001E-2</v>
      </c>
      <c r="AT206" s="22">
        <v>196</v>
      </c>
      <c r="AU206" s="22">
        <v>0.81176800000000005</v>
      </c>
      <c r="AV206">
        <f t="shared" si="44"/>
        <v>17.1875</v>
      </c>
      <c r="AW206">
        <f t="shared" si="45"/>
        <v>13.973231250000001</v>
      </c>
      <c r="AX206" s="9"/>
      <c r="AY206" s="22">
        <v>0.88699300000000003</v>
      </c>
      <c r="AZ206" s="22">
        <v>572.72</v>
      </c>
      <c r="BA206" s="22">
        <v>-1.7086799999999999E-2</v>
      </c>
      <c r="BB206" s="22">
        <v>196</v>
      </c>
      <c r="BC206" s="22">
        <v>0.88561999999999996</v>
      </c>
      <c r="BD206">
        <f t="shared" si="46"/>
        <v>17.0868</v>
      </c>
      <c r="BE206">
        <f t="shared" si="47"/>
        <v>15.155871992400002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93.505700000000004</v>
      </c>
      <c r="I207" s="22">
        <v>-1.7004399999999999E-2</v>
      </c>
      <c r="J207" s="22">
        <v>197</v>
      </c>
      <c r="K207" s="22">
        <v>0.80749499999999996</v>
      </c>
      <c r="L207">
        <f t="shared" si="36"/>
        <v>17.0044</v>
      </c>
      <c r="M207">
        <f t="shared" si="37"/>
        <v>13.738755993200002</v>
      </c>
      <c r="N207" s="9"/>
      <c r="O207" s="22">
        <v>0.89202899999999996</v>
      </c>
      <c r="P207" s="22">
        <v>159.46600000000001</v>
      </c>
      <c r="Q207" s="22">
        <v>-1.7211899999999999E-2</v>
      </c>
      <c r="R207" s="22">
        <v>197</v>
      </c>
      <c r="S207" s="22">
        <v>0.89080800000000004</v>
      </c>
      <c r="T207">
        <f t="shared" si="38"/>
        <v>17.2119</v>
      </c>
      <c r="U207">
        <f t="shared" si="39"/>
        <v>15.3535139451</v>
      </c>
      <c r="X207" s="9"/>
      <c r="Y207" s="22">
        <v>0.80795300000000003</v>
      </c>
      <c r="Z207" s="22">
        <v>245.01900000000001</v>
      </c>
      <c r="AA207" s="22">
        <v>-1.7291299999999999E-2</v>
      </c>
      <c r="AB207" s="22">
        <v>197</v>
      </c>
      <c r="AC207" s="22">
        <v>0.80749499999999996</v>
      </c>
      <c r="AD207">
        <f t="shared" si="40"/>
        <v>17.2913</v>
      </c>
      <c r="AE207">
        <f t="shared" si="41"/>
        <v>13.970557708899999</v>
      </c>
      <c r="AF207" s="9"/>
      <c r="AG207" s="22">
        <v>0.89202899999999996</v>
      </c>
      <c r="AH207" s="22">
        <v>399.45600000000002</v>
      </c>
      <c r="AI207" s="22">
        <v>-1.7126499999999999E-2</v>
      </c>
      <c r="AJ207" s="22">
        <v>197</v>
      </c>
      <c r="AK207" s="22">
        <v>0.89141800000000004</v>
      </c>
      <c r="AL207">
        <f t="shared" si="42"/>
        <v>17.1265</v>
      </c>
      <c r="AM207">
        <f t="shared" si="43"/>
        <v>15.2773346685</v>
      </c>
      <c r="AP207" s="9"/>
      <c r="AQ207" s="22">
        <v>0.80795300000000003</v>
      </c>
      <c r="AR207" s="22">
        <v>500.56700000000001</v>
      </c>
      <c r="AS207" s="22">
        <v>-1.71906E-2</v>
      </c>
      <c r="AT207" s="22">
        <v>197</v>
      </c>
      <c r="AU207" s="22">
        <v>0.80657999999999996</v>
      </c>
      <c r="AV207">
        <f t="shared" si="44"/>
        <v>17.1906</v>
      </c>
      <c r="AW207">
        <f t="shared" si="45"/>
        <v>13.8891968418</v>
      </c>
      <c r="AX207" s="9"/>
      <c r="AY207" s="22">
        <v>0.89202899999999996</v>
      </c>
      <c r="AZ207" s="22">
        <v>572.82100000000003</v>
      </c>
      <c r="BA207" s="22">
        <v>-1.7089799999999999E-2</v>
      </c>
      <c r="BB207" s="22">
        <v>197</v>
      </c>
      <c r="BC207" s="22">
        <v>0.89111300000000004</v>
      </c>
      <c r="BD207">
        <f t="shared" si="46"/>
        <v>17.0898</v>
      </c>
      <c r="BE207">
        <f t="shared" si="47"/>
        <v>15.2445972042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93.606399999999994</v>
      </c>
      <c r="I208" s="22">
        <v>-1.7004399999999999E-2</v>
      </c>
      <c r="J208" s="22">
        <v>198</v>
      </c>
      <c r="K208" s="22">
        <v>0.80261199999999999</v>
      </c>
      <c r="L208">
        <f t="shared" si="36"/>
        <v>17.0044</v>
      </c>
      <c r="M208">
        <f t="shared" si="37"/>
        <v>13.6531218348</v>
      </c>
      <c r="N208" s="9"/>
      <c r="O208" s="22">
        <v>0.89706399999999997</v>
      </c>
      <c r="P208" s="22">
        <v>159.566</v>
      </c>
      <c r="Q208" s="22">
        <v>-1.72058E-2</v>
      </c>
      <c r="R208" s="22">
        <v>198</v>
      </c>
      <c r="S208" s="22">
        <v>0.89599600000000001</v>
      </c>
      <c r="T208">
        <f t="shared" si="38"/>
        <v>17.2058</v>
      </c>
      <c r="U208">
        <f t="shared" si="39"/>
        <v>15.434703771199999</v>
      </c>
      <c r="X208" s="9"/>
      <c r="Y208" s="22">
        <v>0.80291699999999999</v>
      </c>
      <c r="Z208" s="22">
        <v>245.12</v>
      </c>
      <c r="AA208" s="22">
        <v>-1.7294299999999999E-2</v>
      </c>
      <c r="AB208" s="22">
        <v>198</v>
      </c>
      <c r="AC208" s="22">
        <v>0.80230699999999999</v>
      </c>
      <c r="AD208">
        <f t="shared" si="40"/>
        <v>17.2943</v>
      </c>
      <c r="AE208">
        <f t="shared" si="41"/>
        <v>13.8858874731</v>
      </c>
      <c r="AF208" s="9"/>
      <c r="AG208" s="22">
        <v>0.89706399999999997</v>
      </c>
      <c r="AH208" s="22">
        <v>399.55700000000002</v>
      </c>
      <c r="AI208" s="22">
        <v>-1.7120400000000001E-2</v>
      </c>
      <c r="AJ208" s="22">
        <v>198</v>
      </c>
      <c r="AK208" s="22">
        <v>0.89599600000000001</v>
      </c>
      <c r="AL208">
        <f t="shared" si="42"/>
        <v>17.1204</v>
      </c>
      <c r="AM208">
        <f t="shared" si="43"/>
        <v>15.3580945056</v>
      </c>
      <c r="AP208" s="9"/>
      <c r="AQ208" s="22">
        <v>0.80291699999999999</v>
      </c>
      <c r="AR208" s="22">
        <v>500.66699999999997</v>
      </c>
      <c r="AS208" s="22">
        <v>-1.7196699999999999E-2</v>
      </c>
      <c r="AT208" s="22">
        <v>198</v>
      </c>
      <c r="AU208" s="22">
        <v>0.80230699999999999</v>
      </c>
      <c r="AV208">
        <f t="shared" si="44"/>
        <v>17.1967</v>
      </c>
      <c r="AW208">
        <f t="shared" si="45"/>
        <v>13.807522773900001</v>
      </c>
      <c r="AX208" s="9"/>
      <c r="AY208" s="22">
        <v>0.89706399999999997</v>
      </c>
      <c r="AZ208" s="22">
        <v>572.92100000000005</v>
      </c>
      <c r="BA208" s="22">
        <v>-1.7077599999999998E-2</v>
      </c>
      <c r="BB208" s="22">
        <v>198</v>
      </c>
      <c r="BC208" s="22">
        <v>0.89630100000000001</v>
      </c>
      <c r="BD208">
        <f t="shared" si="46"/>
        <v>17.077599999999997</v>
      </c>
      <c r="BE208">
        <f t="shared" si="47"/>
        <v>15.319700166399997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93.707099999999997</v>
      </c>
      <c r="I209" s="22">
        <v>-1.7007399999999999E-2</v>
      </c>
      <c r="J209" s="22">
        <v>199</v>
      </c>
      <c r="K209" s="22">
        <v>0.79681400000000002</v>
      </c>
      <c r="L209">
        <f t="shared" si="36"/>
        <v>17.007400000000001</v>
      </c>
      <c r="M209">
        <f t="shared" si="37"/>
        <v>13.569898326800001</v>
      </c>
      <c r="N209" s="9"/>
      <c r="O209" s="22">
        <v>0.90210000000000001</v>
      </c>
      <c r="P209" s="22">
        <v>159.667</v>
      </c>
      <c r="Q209" s="22">
        <v>-1.72058E-2</v>
      </c>
      <c r="R209" s="22">
        <v>199</v>
      </c>
      <c r="S209" s="22">
        <v>0.90179399999999998</v>
      </c>
      <c r="T209">
        <f t="shared" si="38"/>
        <v>17.2058</v>
      </c>
      <c r="U209">
        <f t="shared" si="39"/>
        <v>15.521352180000001</v>
      </c>
      <c r="X209" s="9"/>
      <c r="Y209" s="22">
        <v>0.79788199999999998</v>
      </c>
      <c r="Z209" s="22">
        <v>245.221</v>
      </c>
      <c r="AA209" s="22">
        <v>-1.7297400000000001E-2</v>
      </c>
      <c r="AB209" s="22">
        <v>199</v>
      </c>
      <c r="AC209" s="22">
        <v>0.79681400000000002</v>
      </c>
      <c r="AD209">
        <f t="shared" si="40"/>
        <v>17.2974</v>
      </c>
      <c r="AE209">
        <f t="shared" si="41"/>
        <v>13.801284106799999</v>
      </c>
      <c r="AF209" s="9"/>
      <c r="AG209" s="22">
        <v>0.90210000000000001</v>
      </c>
      <c r="AH209" s="22">
        <v>399.65699999999998</v>
      </c>
      <c r="AI209" s="22">
        <v>-1.71082E-2</v>
      </c>
      <c r="AJ209" s="22">
        <v>199</v>
      </c>
      <c r="AK209" s="22">
        <v>0.90148899999999998</v>
      </c>
      <c r="AL209">
        <f t="shared" si="42"/>
        <v>17.1082</v>
      </c>
      <c r="AM209">
        <f t="shared" si="43"/>
        <v>15.43330722</v>
      </c>
      <c r="AP209" s="9"/>
      <c r="AQ209" s="22">
        <v>0.79788199999999998</v>
      </c>
      <c r="AR209" s="22">
        <v>500.76799999999997</v>
      </c>
      <c r="AS209" s="22">
        <v>-1.7208899999999999E-2</v>
      </c>
      <c r="AT209" s="22">
        <v>199</v>
      </c>
      <c r="AU209" s="22">
        <v>0.79742400000000002</v>
      </c>
      <c r="AV209">
        <f t="shared" si="44"/>
        <v>17.2089</v>
      </c>
      <c r="AW209">
        <f t="shared" si="45"/>
        <v>13.7306715498</v>
      </c>
      <c r="AX209" s="9"/>
      <c r="AY209" s="22">
        <v>0.90210000000000001</v>
      </c>
      <c r="AZ209" s="22">
        <v>573.02200000000005</v>
      </c>
      <c r="BA209" s="22">
        <v>-1.70685E-2</v>
      </c>
      <c r="BB209" s="22">
        <v>199</v>
      </c>
      <c r="BC209" s="22">
        <v>0.90087899999999999</v>
      </c>
      <c r="BD209">
        <f t="shared" si="46"/>
        <v>17.0685</v>
      </c>
      <c r="BE209">
        <f t="shared" si="47"/>
        <v>15.39749385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93.8078</v>
      </c>
      <c r="I210" s="22">
        <v>-1.7120400000000001E-2</v>
      </c>
      <c r="J210" s="22">
        <v>200</v>
      </c>
      <c r="K210" s="22">
        <v>0.79254199999999997</v>
      </c>
      <c r="L210">
        <f t="shared" si="36"/>
        <v>17.1204</v>
      </c>
      <c r="M210">
        <f t="shared" si="37"/>
        <v>13.573857778799999</v>
      </c>
      <c r="N210" s="9"/>
      <c r="O210" s="22">
        <v>0.90713500000000002</v>
      </c>
      <c r="P210" s="22">
        <v>159.768</v>
      </c>
      <c r="Q210" s="22">
        <v>-1.7199699999999998E-2</v>
      </c>
      <c r="R210" s="22">
        <v>200</v>
      </c>
      <c r="S210" s="22">
        <v>0.90698199999999995</v>
      </c>
      <c r="T210">
        <f t="shared" si="38"/>
        <v>17.1997</v>
      </c>
      <c r="U210">
        <f t="shared" si="39"/>
        <v>15.6024498595</v>
      </c>
      <c r="X210" s="9"/>
      <c r="Y210" s="22">
        <v>0.79284699999999997</v>
      </c>
      <c r="Z210" s="22">
        <v>245.321</v>
      </c>
      <c r="AA210" s="22">
        <v>-1.7312600000000001E-2</v>
      </c>
      <c r="AB210" s="22">
        <v>200</v>
      </c>
      <c r="AC210" s="22">
        <v>0.79162600000000005</v>
      </c>
      <c r="AD210">
        <f t="shared" si="40"/>
        <v>17.3126</v>
      </c>
      <c r="AE210">
        <f t="shared" si="41"/>
        <v>13.7262429722</v>
      </c>
      <c r="AF210" s="9"/>
      <c r="AG210" s="22">
        <v>0.90713500000000002</v>
      </c>
      <c r="AH210" s="22">
        <v>399.75799999999998</v>
      </c>
      <c r="AI210" s="22">
        <v>-1.7114299999999999E-2</v>
      </c>
      <c r="AJ210" s="22">
        <v>200</v>
      </c>
      <c r="AK210" s="22">
        <v>0.90667699999999996</v>
      </c>
      <c r="AL210">
        <f t="shared" si="42"/>
        <v>17.1143</v>
      </c>
      <c r="AM210">
        <f t="shared" si="43"/>
        <v>15.524980530500001</v>
      </c>
      <c r="AP210" s="9"/>
      <c r="AQ210" s="22">
        <v>0.79284699999999997</v>
      </c>
      <c r="AR210" s="22">
        <v>500.86900000000003</v>
      </c>
      <c r="AS210" s="22">
        <v>-1.7215000000000001E-2</v>
      </c>
      <c r="AT210" s="22">
        <v>200</v>
      </c>
      <c r="AU210" s="22">
        <v>0.79193100000000005</v>
      </c>
      <c r="AV210">
        <f t="shared" si="44"/>
        <v>17.215</v>
      </c>
      <c r="AW210">
        <f t="shared" si="45"/>
        <v>13.648861105</v>
      </c>
      <c r="AX210" s="9"/>
      <c r="AY210" s="22">
        <v>0.90713500000000002</v>
      </c>
      <c r="AZ210" s="22">
        <v>573.12300000000005</v>
      </c>
      <c r="BA210" s="22">
        <v>-1.70563E-2</v>
      </c>
      <c r="BB210" s="22">
        <v>200</v>
      </c>
      <c r="BC210" s="22">
        <v>0.90576199999999996</v>
      </c>
      <c r="BD210">
        <f t="shared" si="46"/>
        <v>17.0563</v>
      </c>
      <c r="BE210">
        <f t="shared" si="47"/>
        <v>15.4723667005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93.908500000000004</v>
      </c>
      <c r="I211" s="22">
        <v>-1.7282100000000002E-2</v>
      </c>
      <c r="J211" s="22">
        <v>201</v>
      </c>
      <c r="K211" s="22">
        <v>0.787659</v>
      </c>
      <c r="L211">
        <f t="shared" si="36"/>
        <v>17.282100000000003</v>
      </c>
      <c r="M211">
        <f t="shared" si="37"/>
        <v>13.615028483100003</v>
      </c>
      <c r="N211" s="9"/>
      <c r="O211" s="22">
        <v>0.91217000000000004</v>
      </c>
      <c r="P211" s="22">
        <v>159.869</v>
      </c>
      <c r="Q211" s="22">
        <v>-1.71936E-2</v>
      </c>
      <c r="R211" s="22">
        <v>201</v>
      </c>
      <c r="S211" s="22">
        <v>0.91186500000000004</v>
      </c>
      <c r="T211">
        <f t="shared" si="38"/>
        <v>17.1936</v>
      </c>
      <c r="U211">
        <f t="shared" si="39"/>
        <v>15.683486112000001</v>
      </c>
      <c r="X211" s="9"/>
      <c r="Y211" s="22">
        <v>0.78781100000000004</v>
      </c>
      <c r="Z211" s="22">
        <v>245.422</v>
      </c>
      <c r="AA211" s="22">
        <v>-1.7309600000000001E-2</v>
      </c>
      <c r="AB211" s="22">
        <v>201</v>
      </c>
      <c r="AC211" s="22">
        <v>0.787354</v>
      </c>
      <c r="AD211">
        <f t="shared" si="40"/>
        <v>17.3096</v>
      </c>
      <c r="AE211">
        <f t="shared" si="41"/>
        <v>13.6366932856</v>
      </c>
      <c r="AF211" s="9"/>
      <c r="AG211" s="22">
        <v>0.91217000000000004</v>
      </c>
      <c r="AH211" s="22">
        <v>399.85899999999998</v>
      </c>
      <c r="AI211" s="22">
        <v>-1.7102099999999999E-2</v>
      </c>
      <c r="AJ211" s="22">
        <v>201</v>
      </c>
      <c r="AK211" s="22">
        <v>0.91156000000000004</v>
      </c>
      <c r="AL211">
        <f t="shared" si="42"/>
        <v>17.1021</v>
      </c>
      <c r="AM211">
        <f t="shared" si="43"/>
        <v>15.600022557000001</v>
      </c>
      <c r="AP211" s="9"/>
      <c r="AQ211" s="22">
        <v>0.78781100000000004</v>
      </c>
      <c r="AR211" s="22">
        <v>500.96899999999999</v>
      </c>
      <c r="AS211" s="22">
        <v>-1.7224099999999999E-2</v>
      </c>
      <c r="AT211" s="22">
        <v>201</v>
      </c>
      <c r="AU211" s="22">
        <v>0.78674299999999997</v>
      </c>
      <c r="AV211">
        <f t="shared" si="44"/>
        <v>17.2241</v>
      </c>
      <c r="AW211">
        <f t="shared" si="45"/>
        <v>13.5693354451</v>
      </c>
      <c r="AX211" s="9"/>
      <c r="AY211" s="22">
        <v>0.91217000000000004</v>
      </c>
      <c r="AZ211" s="22">
        <v>573.22400000000005</v>
      </c>
      <c r="BA211" s="22">
        <v>-1.70563E-2</v>
      </c>
      <c r="BB211" s="22">
        <v>201</v>
      </c>
      <c r="BC211" s="22">
        <v>0.91125500000000004</v>
      </c>
      <c r="BD211">
        <f t="shared" si="46"/>
        <v>17.0563</v>
      </c>
      <c r="BE211">
        <f t="shared" si="47"/>
        <v>15.558245171000001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94.009200000000007</v>
      </c>
      <c r="I212" s="22">
        <v>-1.7276E-2</v>
      </c>
      <c r="J212" s="22">
        <v>202</v>
      </c>
      <c r="K212" s="22">
        <v>0.78186</v>
      </c>
      <c r="L212">
        <f t="shared" si="36"/>
        <v>17.276</v>
      </c>
      <c r="M212">
        <f t="shared" si="37"/>
        <v>13.523238176</v>
      </c>
      <c r="N212" s="9"/>
      <c r="O212" s="22">
        <v>0.91720599999999997</v>
      </c>
      <c r="P212" s="22">
        <v>159.96899999999999</v>
      </c>
      <c r="Q212" s="22">
        <v>-1.71906E-2</v>
      </c>
      <c r="R212" s="22">
        <v>202</v>
      </c>
      <c r="S212" s="22">
        <v>0.91644300000000001</v>
      </c>
      <c r="T212">
        <f t="shared" si="38"/>
        <v>17.1906</v>
      </c>
      <c r="U212">
        <f t="shared" si="39"/>
        <v>15.7673214636</v>
      </c>
      <c r="X212" s="9"/>
      <c r="Y212" s="22">
        <v>0.78277600000000003</v>
      </c>
      <c r="Z212" s="22">
        <v>245.523</v>
      </c>
      <c r="AA212" s="22">
        <v>-1.7324800000000001E-2</v>
      </c>
      <c r="AB212" s="22">
        <v>202</v>
      </c>
      <c r="AC212" s="22">
        <v>0.78216600000000003</v>
      </c>
      <c r="AD212">
        <f t="shared" si="40"/>
        <v>17.3248</v>
      </c>
      <c r="AE212">
        <f t="shared" si="41"/>
        <v>13.5614376448</v>
      </c>
      <c r="AF212" s="9"/>
      <c r="AG212" s="22">
        <v>0.91720599999999997</v>
      </c>
      <c r="AH212" s="22">
        <v>399.959</v>
      </c>
      <c r="AI212" s="22">
        <v>-1.7095900000000001E-2</v>
      </c>
      <c r="AJ212" s="22">
        <v>202</v>
      </c>
      <c r="AK212" s="22">
        <v>0.91644300000000001</v>
      </c>
      <c r="AL212">
        <f t="shared" si="42"/>
        <v>17.0959</v>
      </c>
      <c r="AM212">
        <f t="shared" si="43"/>
        <v>15.6804620554</v>
      </c>
      <c r="AP212" s="9"/>
      <c r="AQ212" s="22">
        <v>0.78277600000000003</v>
      </c>
      <c r="AR212" s="22">
        <v>501.07</v>
      </c>
      <c r="AS212" s="22">
        <v>-1.7224099999999999E-2</v>
      </c>
      <c r="AT212" s="22">
        <v>202</v>
      </c>
      <c r="AU212" s="22">
        <v>0.781555</v>
      </c>
      <c r="AV212">
        <f t="shared" si="44"/>
        <v>17.2241</v>
      </c>
      <c r="AW212">
        <f t="shared" si="45"/>
        <v>13.482612101600001</v>
      </c>
      <c r="AX212" s="9"/>
      <c r="AY212" s="22">
        <v>0.91720599999999997</v>
      </c>
      <c r="AZ212" s="22">
        <v>573.32399999999996</v>
      </c>
      <c r="BA212" s="22">
        <v>-1.7053200000000001E-2</v>
      </c>
      <c r="BB212" s="22">
        <v>202</v>
      </c>
      <c r="BC212" s="22">
        <v>0.91583300000000001</v>
      </c>
      <c r="BD212">
        <f t="shared" si="46"/>
        <v>17.0532</v>
      </c>
      <c r="BE212">
        <f t="shared" si="47"/>
        <v>15.641297359199999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94.109899999999996</v>
      </c>
      <c r="I213" s="22">
        <v>-1.7282100000000002E-2</v>
      </c>
      <c r="J213" s="22">
        <v>203</v>
      </c>
      <c r="K213" s="22">
        <v>0.77697799999999995</v>
      </c>
      <c r="L213">
        <f t="shared" si="36"/>
        <v>17.282100000000003</v>
      </c>
      <c r="M213">
        <f t="shared" si="37"/>
        <v>13.440980454000002</v>
      </c>
      <c r="N213" s="9"/>
      <c r="O213" s="22">
        <v>0.92224099999999998</v>
      </c>
      <c r="P213" s="22">
        <v>160.07</v>
      </c>
      <c r="Q213" s="22">
        <v>-1.7169199999999999E-2</v>
      </c>
      <c r="R213" s="22">
        <v>203</v>
      </c>
      <c r="S213" s="22">
        <v>0.92132599999999998</v>
      </c>
      <c r="T213">
        <f t="shared" si="38"/>
        <v>17.1692</v>
      </c>
      <c r="U213">
        <f t="shared" si="39"/>
        <v>15.8341401772</v>
      </c>
      <c r="X213" s="9"/>
      <c r="Y213" s="22">
        <v>0.77773999999999999</v>
      </c>
      <c r="Z213" s="22">
        <v>245.62299999999999</v>
      </c>
      <c r="AA213" s="22">
        <v>-1.73157E-2</v>
      </c>
      <c r="AB213" s="22">
        <v>203</v>
      </c>
      <c r="AC213" s="22">
        <v>0.77758799999999995</v>
      </c>
      <c r="AD213">
        <f t="shared" si="40"/>
        <v>17.3157</v>
      </c>
      <c r="AE213">
        <f t="shared" si="41"/>
        <v>13.467112517999999</v>
      </c>
      <c r="AF213" s="9"/>
      <c r="AG213" s="22">
        <v>0.92224099999999998</v>
      </c>
      <c r="AH213" s="22">
        <v>400.06</v>
      </c>
      <c r="AI213" s="22">
        <v>-1.7089799999999999E-2</v>
      </c>
      <c r="AJ213" s="22">
        <v>203</v>
      </c>
      <c r="AK213" s="22">
        <v>0.92163099999999998</v>
      </c>
      <c r="AL213">
        <f t="shared" si="42"/>
        <v>17.0898</v>
      </c>
      <c r="AM213">
        <f t="shared" si="43"/>
        <v>15.7609142418</v>
      </c>
      <c r="AP213" s="9"/>
      <c r="AQ213" s="22">
        <v>0.77773999999999999</v>
      </c>
      <c r="AR213" s="22">
        <v>501.17099999999999</v>
      </c>
      <c r="AS213" s="22">
        <v>-1.72333E-2</v>
      </c>
      <c r="AT213" s="22">
        <v>203</v>
      </c>
      <c r="AU213" s="22">
        <v>0.77697799999999995</v>
      </c>
      <c r="AV213">
        <f t="shared" si="44"/>
        <v>17.2333</v>
      </c>
      <c r="AW213">
        <f t="shared" si="45"/>
        <v>13.403026742</v>
      </c>
      <c r="AX213" s="9"/>
      <c r="AY213" s="22">
        <v>0.92224099999999998</v>
      </c>
      <c r="AZ213" s="22">
        <v>573.42499999999995</v>
      </c>
      <c r="BA213" s="22">
        <v>-1.7053200000000001E-2</v>
      </c>
      <c r="BB213" s="22">
        <v>203</v>
      </c>
      <c r="BC213" s="22">
        <v>0.92102099999999998</v>
      </c>
      <c r="BD213">
        <f t="shared" si="46"/>
        <v>17.0532</v>
      </c>
      <c r="BE213">
        <f t="shared" si="47"/>
        <v>15.7271602212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94.210700000000003</v>
      </c>
      <c r="I214" s="22">
        <v>-1.7285200000000001E-2</v>
      </c>
      <c r="J214" s="22">
        <v>204</v>
      </c>
      <c r="K214" s="22">
        <v>0.77178999999999998</v>
      </c>
      <c r="L214">
        <f t="shared" si="36"/>
        <v>17.2852</v>
      </c>
      <c r="M214">
        <f t="shared" si="37"/>
        <v>13.356360466</v>
      </c>
      <c r="N214" s="9"/>
      <c r="O214" s="22">
        <v>0.92727700000000002</v>
      </c>
      <c r="P214" s="22">
        <v>160.17099999999999</v>
      </c>
      <c r="Q214" s="22">
        <v>-1.7163100000000001E-2</v>
      </c>
      <c r="R214" s="22">
        <v>204</v>
      </c>
      <c r="S214" s="22">
        <v>0.92651399999999995</v>
      </c>
      <c r="T214">
        <f t="shared" si="38"/>
        <v>17.1631</v>
      </c>
      <c r="U214">
        <f t="shared" si="39"/>
        <v>15.9149478787</v>
      </c>
      <c r="X214" s="9"/>
      <c r="Y214" s="22">
        <v>0.77270499999999998</v>
      </c>
      <c r="Z214" s="22">
        <v>245.72399999999999</v>
      </c>
      <c r="AA214" s="22">
        <v>-1.7337000000000002E-2</v>
      </c>
      <c r="AB214" s="22">
        <v>204</v>
      </c>
      <c r="AC214" s="22">
        <v>0.77209499999999998</v>
      </c>
      <c r="AD214">
        <f t="shared" si="40"/>
        <v>17.337000000000003</v>
      </c>
      <c r="AE214">
        <f t="shared" si="41"/>
        <v>13.396386585000002</v>
      </c>
      <c r="AF214" s="9"/>
      <c r="AG214" s="22">
        <v>0.92727700000000002</v>
      </c>
      <c r="AH214" s="22">
        <v>400.161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0.77270499999999998</v>
      </c>
      <c r="AR214" s="22">
        <v>501.27100000000002</v>
      </c>
      <c r="AS214" s="22">
        <v>-1.72455E-2</v>
      </c>
      <c r="AT214" s="22">
        <v>204</v>
      </c>
      <c r="AU214" s="22">
        <v>0.77178999999999998</v>
      </c>
      <c r="AV214">
        <f t="shared" si="44"/>
        <v>17.2455</v>
      </c>
      <c r="AW214">
        <f t="shared" si="45"/>
        <v>13.3256840775</v>
      </c>
      <c r="AX214" s="9"/>
      <c r="AY214" s="22">
        <v>0.92727700000000002</v>
      </c>
      <c r="AZ214" s="22">
        <v>573.52599999999995</v>
      </c>
      <c r="BA214" s="22">
        <v>-1.7047099999999999E-2</v>
      </c>
      <c r="BB214" s="22">
        <v>204</v>
      </c>
      <c r="BC214" s="22">
        <v>0.92651399999999995</v>
      </c>
      <c r="BD214">
        <f t="shared" si="46"/>
        <v>17.0471</v>
      </c>
      <c r="BE214">
        <f t="shared" si="47"/>
        <v>15.807383746700001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94.311400000000006</v>
      </c>
      <c r="I215" s="22">
        <v>-1.7285200000000001E-2</v>
      </c>
      <c r="J215" s="22">
        <v>205</v>
      </c>
      <c r="K215" s="22">
        <v>0.76660200000000001</v>
      </c>
      <c r="L215">
        <f t="shared" si="36"/>
        <v>17.2852</v>
      </c>
      <c r="M215">
        <f t="shared" si="37"/>
        <v>13.269329484</v>
      </c>
      <c r="N215" s="9"/>
      <c r="O215" s="22">
        <v>0.93231200000000003</v>
      </c>
      <c r="P215" s="22">
        <v>160.27099999999999</v>
      </c>
      <c r="Q215" s="22">
        <v>-1.7163100000000001E-2</v>
      </c>
      <c r="R215" s="22">
        <v>205</v>
      </c>
      <c r="S215" s="22">
        <v>0.93170200000000003</v>
      </c>
      <c r="T215">
        <f t="shared" si="38"/>
        <v>17.1631</v>
      </c>
      <c r="U215">
        <f t="shared" si="39"/>
        <v>16.001364087199999</v>
      </c>
      <c r="X215" s="9"/>
      <c r="Y215" s="22">
        <v>0.76766999999999996</v>
      </c>
      <c r="Z215" s="22">
        <v>245.82499999999999</v>
      </c>
      <c r="AA215" s="22">
        <v>-1.7337000000000002E-2</v>
      </c>
      <c r="AB215" s="22">
        <v>205</v>
      </c>
      <c r="AC215" s="22">
        <v>0.76721200000000001</v>
      </c>
      <c r="AD215">
        <f t="shared" si="40"/>
        <v>17.337000000000003</v>
      </c>
      <c r="AE215">
        <f t="shared" si="41"/>
        <v>13.309094790000001</v>
      </c>
      <c r="AF215" s="9"/>
      <c r="AG215" s="22">
        <v>0.93231200000000003</v>
      </c>
      <c r="AH215" s="22">
        <v>400.262</v>
      </c>
      <c r="AI215" s="22">
        <v>-1.70685E-2</v>
      </c>
      <c r="AJ215" s="22">
        <v>205</v>
      </c>
      <c r="AK215" s="22">
        <v>0.930786</v>
      </c>
      <c r="AL215">
        <f t="shared" si="42"/>
        <v>17.0685</v>
      </c>
      <c r="AM215">
        <f t="shared" si="43"/>
        <v>15.913167372</v>
      </c>
      <c r="AP215" s="9"/>
      <c r="AQ215" s="22">
        <v>0.76766999999999996</v>
      </c>
      <c r="AR215" s="22">
        <v>501.37200000000001</v>
      </c>
      <c r="AS215" s="22">
        <v>-1.7257700000000001E-2</v>
      </c>
      <c r="AT215" s="22">
        <v>205</v>
      </c>
      <c r="AU215" s="22">
        <v>0.76721200000000001</v>
      </c>
      <c r="AV215">
        <f t="shared" si="44"/>
        <v>17.2577</v>
      </c>
      <c r="AW215">
        <f t="shared" si="45"/>
        <v>13.248218559</v>
      </c>
      <c r="AX215" s="9"/>
      <c r="AY215" s="22">
        <v>0.93231200000000003</v>
      </c>
      <c r="AZ215" s="22">
        <v>573.62599999999998</v>
      </c>
      <c r="BA215" s="22">
        <v>-1.7041000000000001E-2</v>
      </c>
      <c r="BB215" s="22">
        <v>205</v>
      </c>
      <c r="BC215" s="22">
        <v>0.93200700000000003</v>
      </c>
      <c r="BD215">
        <f t="shared" si="46"/>
        <v>17.041</v>
      </c>
      <c r="BE215">
        <f t="shared" si="47"/>
        <v>15.887528792000001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94.412099999999995</v>
      </c>
      <c r="I216" s="22">
        <v>-1.7291299999999999E-2</v>
      </c>
      <c r="J216" s="22">
        <v>206</v>
      </c>
      <c r="K216" s="22">
        <v>0.76232900000000003</v>
      </c>
      <c r="L216">
        <f t="shared" si="36"/>
        <v>17.2913</v>
      </c>
      <c r="M216">
        <f t="shared" si="37"/>
        <v>13.1869332842</v>
      </c>
      <c r="N216" s="9"/>
      <c r="O216" s="22">
        <v>0.93734700000000004</v>
      </c>
      <c r="P216" s="22">
        <v>160.37200000000001</v>
      </c>
      <c r="Q216" s="22">
        <v>-1.7163100000000001E-2</v>
      </c>
      <c r="R216" s="22">
        <v>206</v>
      </c>
      <c r="S216" s="22">
        <v>0.93658399999999997</v>
      </c>
      <c r="T216">
        <f t="shared" si="38"/>
        <v>17.1631</v>
      </c>
      <c r="U216">
        <f t="shared" si="39"/>
        <v>16.0877802957</v>
      </c>
      <c r="X216" s="9"/>
      <c r="Y216" s="22">
        <v>0.76263400000000003</v>
      </c>
      <c r="Z216" s="22">
        <v>245.92599999999999</v>
      </c>
      <c r="AA216" s="22">
        <v>-1.7340100000000001E-2</v>
      </c>
      <c r="AB216" s="22">
        <v>206</v>
      </c>
      <c r="AC216" s="22">
        <v>0.76171900000000003</v>
      </c>
      <c r="AD216">
        <f t="shared" si="40"/>
        <v>17.3401</v>
      </c>
      <c r="AE216">
        <f t="shared" si="41"/>
        <v>13.224149823399999</v>
      </c>
      <c r="AF216" s="9"/>
      <c r="AG216" s="22">
        <v>0.93734700000000004</v>
      </c>
      <c r="AH216" s="22">
        <v>400.36200000000002</v>
      </c>
      <c r="AI216" s="22">
        <v>-1.70563E-2</v>
      </c>
      <c r="AJ216" s="22">
        <v>206</v>
      </c>
      <c r="AK216" s="22">
        <v>0.93627899999999997</v>
      </c>
      <c r="AL216">
        <f t="shared" si="42"/>
        <v>17.0563</v>
      </c>
      <c r="AM216">
        <f t="shared" si="43"/>
        <v>15.987671636100002</v>
      </c>
      <c r="AP216" s="9"/>
      <c r="AQ216" s="22">
        <v>0.76263400000000003</v>
      </c>
      <c r="AR216" s="22">
        <v>501.47300000000001</v>
      </c>
      <c r="AS216" s="22">
        <v>-1.72607E-2</v>
      </c>
      <c r="AT216" s="22">
        <v>206</v>
      </c>
      <c r="AU216" s="22">
        <v>0.76202400000000003</v>
      </c>
      <c r="AV216">
        <f t="shared" si="44"/>
        <v>17.2607</v>
      </c>
      <c r="AW216">
        <f t="shared" si="45"/>
        <v>13.1635966838</v>
      </c>
      <c r="AX216" s="9"/>
      <c r="AY216" s="22">
        <v>0.93734700000000004</v>
      </c>
      <c r="AZ216" s="22">
        <v>573.72699999999998</v>
      </c>
      <c r="BA216" s="22">
        <v>-1.7038000000000001E-2</v>
      </c>
      <c r="BB216" s="22">
        <v>206</v>
      </c>
      <c r="BC216" s="22">
        <v>0.93689</v>
      </c>
      <c r="BD216">
        <f t="shared" si="46"/>
        <v>17.038</v>
      </c>
      <c r="BE216">
        <f t="shared" si="47"/>
        <v>15.970518186000001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94.512799999999999</v>
      </c>
      <c r="I217" s="22">
        <v>-1.7306499999999999E-2</v>
      </c>
      <c r="J217" s="22">
        <v>207</v>
      </c>
      <c r="K217" s="22">
        <v>0.75744599999999995</v>
      </c>
      <c r="L217">
        <f t="shared" si="36"/>
        <v>17.3065</v>
      </c>
      <c r="M217">
        <f t="shared" si="37"/>
        <v>13.111387093499999</v>
      </c>
      <c r="N217" s="9"/>
      <c r="O217" s="22">
        <v>0.94238299999999997</v>
      </c>
      <c r="P217" s="22">
        <v>160.47300000000001</v>
      </c>
      <c r="Q217" s="22">
        <v>-1.7156999999999999E-2</v>
      </c>
      <c r="R217" s="22">
        <v>207</v>
      </c>
      <c r="S217" s="22">
        <v>0.94146700000000005</v>
      </c>
      <c r="T217">
        <f t="shared" si="38"/>
        <v>17.157</v>
      </c>
      <c r="U217">
        <f t="shared" si="39"/>
        <v>16.168465130999998</v>
      </c>
      <c r="X217" s="9"/>
      <c r="Y217" s="22">
        <v>0.75759900000000002</v>
      </c>
      <c r="Z217" s="22">
        <v>246.02600000000001</v>
      </c>
      <c r="AA217" s="22">
        <v>-1.73431E-2</v>
      </c>
      <c r="AB217" s="22">
        <v>207</v>
      </c>
      <c r="AC217" s="22">
        <v>0.75683599999999995</v>
      </c>
      <c r="AD217">
        <f t="shared" si="40"/>
        <v>17.3431</v>
      </c>
      <c r="AE217">
        <f t="shared" si="41"/>
        <v>13.139115216900001</v>
      </c>
      <c r="AF217" s="9"/>
      <c r="AG217" s="22">
        <v>0.94238299999999997</v>
      </c>
      <c r="AH217" s="22">
        <v>400.46300000000002</v>
      </c>
      <c r="AI217" s="22">
        <v>-1.7062399999999998E-2</v>
      </c>
      <c r="AJ217" s="22">
        <v>207</v>
      </c>
      <c r="AK217" s="22">
        <v>0.94177200000000005</v>
      </c>
      <c r="AL217">
        <f t="shared" si="42"/>
        <v>17.062399999999997</v>
      </c>
      <c r="AM217">
        <f t="shared" si="43"/>
        <v>16.079315699199995</v>
      </c>
      <c r="AP217" s="9"/>
      <c r="AQ217" s="22">
        <v>0.75759900000000002</v>
      </c>
      <c r="AR217" s="22">
        <v>501.57400000000001</v>
      </c>
      <c r="AS217" s="22">
        <v>-1.7257700000000001E-2</v>
      </c>
      <c r="AT217" s="22">
        <v>207</v>
      </c>
      <c r="AU217" s="22">
        <v>0.75653099999999995</v>
      </c>
      <c r="AV217">
        <f t="shared" si="44"/>
        <v>17.2577</v>
      </c>
      <c r="AW217">
        <f t="shared" si="45"/>
        <v>13.0744162623</v>
      </c>
      <c r="AX217" s="9"/>
      <c r="AY217" s="22">
        <v>0.94238299999999997</v>
      </c>
      <c r="AZ217" s="22">
        <v>573.82799999999997</v>
      </c>
      <c r="BA217" s="22">
        <v>-1.70288E-2</v>
      </c>
      <c r="BB217" s="22">
        <v>207</v>
      </c>
      <c r="BC217" s="22">
        <v>0.94146700000000005</v>
      </c>
      <c r="BD217">
        <f t="shared" si="46"/>
        <v>17.0288</v>
      </c>
      <c r="BE217">
        <f t="shared" si="47"/>
        <v>16.047651630400001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94.613500000000002</v>
      </c>
      <c r="I218" s="22">
        <v>-1.7306499999999999E-2</v>
      </c>
      <c r="J218" s="22">
        <v>208</v>
      </c>
      <c r="K218" s="22">
        <v>0.75073199999999995</v>
      </c>
      <c r="L218">
        <f t="shared" si="36"/>
        <v>17.3065</v>
      </c>
      <c r="M218">
        <f t="shared" si="37"/>
        <v>13.024231559499999</v>
      </c>
      <c r="N218" s="9"/>
      <c r="O218" s="22">
        <v>0.94741799999999998</v>
      </c>
      <c r="P218" s="22">
        <v>160.57400000000001</v>
      </c>
      <c r="Q218" s="22">
        <v>-1.71509E-2</v>
      </c>
      <c r="R218" s="22">
        <v>208</v>
      </c>
      <c r="S218" s="22">
        <v>0.94635000000000002</v>
      </c>
      <c r="T218">
        <f t="shared" si="38"/>
        <v>17.1509</v>
      </c>
      <c r="U218">
        <f t="shared" si="39"/>
        <v>16.2490713762</v>
      </c>
      <c r="X218" s="9"/>
      <c r="Y218" s="22">
        <v>0.75256299999999998</v>
      </c>
      <c r="Z218" s="22">
        <v>246.12700000000001</v>
      </c>
      <c r="AA218" s="22">
        <v>-1.7352300000000001E-2</v>
      </c>
      <c r="AB218" s="22">
        <v>208</v>
      </c>
      <c r="AC218" s="22">
        <v>0.75225799999999998</v>
      </c>
      <c r="AD218">
        <f t="shared" si="40"/>
        <v>17.3523</v>
      </c>
      <c r="AE218">
        <f t="shared" si="41"/>
        <v>13.0586989449</v>
      </c>
      <c r="AF218" s="9"/>
      <c r="AG218" s="22">
        <v>0.94741799999999998</v>
      </c>
      <c r="AH218" s="22">
        <v>400.56400000000002</v>
      </c>
      <c r="AI218" s="22">
        <v>-1.7059299999999999E-2</v>
      </c>
      <c r="AJ218" s="22">
        <v>208</v>
      </c>
      <c r="AK218" s="22">
        <v>0.94665500000000002</v>
      </c>
      <c r="AL218">
        <f t="shared" si="42"/>
        <v>17.0593</v>
      </c>
      <c r="AM218">
        <f t="shared" si="43"/>
        <v>16.162287887400002</v>
      </c>
      <c r="AP218" s="9"/>
      <c r="AQ218" s="22">
        <v>0.75256299999999998</v>
      </c>
      <c r="AR218" s="22">
        <v>501.67399999999998</v>
      </c>
      <c r="AS218" s="22">
        <v>-1.72607E-2</v>
      </c>
      <c r="AT218" s="22">
        <v>208</v>
      </c>
      <c r="AU218" s="22">
        <v>0.75164799999999998</v>
      </c>
      <c r="AV218">
        <f t="shared" si="44"/>
        <v>17.2607</v>
      </c>
      <c r="AW218">
        <f t="shared" si="45"/>
        <v>12.989764174099999</v>
      </c>
      <c r="AX218" s="9"/>
      <c r="AY218" s="22">
        <v>0.94741799999999998</v>
      </c>
      <c r="AZ218" s="22">
        <v>573.92899999999997</v>
      </c>
      <c r="BA218" s="22">
        <v>-1.7013500000000001E-2</v>
      </c>
      <c r="BB218" s="22">
        <v>208</v>
      </c>
      <c r="BC218" s="22">
        <v>0.94635000000000002</v>
      </c>
      <c r="BD218">
        <f t="shared" si="46"/>
        <v>17.013500000000001</v>
      </c>
      <c r="BE218">
        <f t="shared" si="47"/>
        <v>16.118896143000001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94.714200000000005</v>
      </c>
      <c r="I219" s="22">
        <v>-1.7318699999999999E-2</v>
      </c>
      <c r="J219" s="22">
        <v>209</v>
      </c>
      <c r="K219" s="22">
        <v>0.74710100000000002</v>
      </c>
      <c r="L219">
        <f t="shared" si="36"/>
        <v>17.3187</v>
      </c>
      <c r="M219">
        <f t="shared" si="37"/>
        <v>12.946213173599999</v>
      </c>
      <c r="N219" s="9"/>
      <c r="O219" s="22">
        <v>0.95245400000000002</v>
      </c>
      <c r="P219" s="22">
        <v>160.67400000000001</v>
      </c>
      <c r="Q219" s="22">
        <v>-1.7141699999999999E-2</v>
      </c>
      <c r="R219" s="22">
        <v>209</v>
      </c>
      <c r="S219" s="22">
        <v>0.95153799999999999</v>
      </c>
      <c r="T219">
        <f t="shared" si="38"/>
        <v>17.1417</v>
      </c>
      <c r="U219">
        <f t="shared" si="39"/>
        <v>16.3266807318</v>
      </c>
      <c r="X219" s="9"/>
      <c r="Y219" s="22">
        <v>0.74752799999999997</v>
      </c>
      <c r="Z219" s="22">
        <v>246.22800000000001</v>
      </c>
      <c r="AA219" s="22">
        <v>-1.73706E-2</v>
      </c>
      <c r="AB219" s="22">
        <v>209</v>
      </c>
      <c r="AC219" s="22">
        <v>0.74685699999999999</v>
      </c>
      <c r="AD219">
        <f t="shared" si="40"/>
        <v>17.3706</v>
      </c>
      <c r="AE219">
        <f t="shared" si="41"/>
        <v>12.9850098768</v>
      </c>
      <c r="AF219" s="9"/>
      <c r="AG219" s="22">
        <v>0.95245400000000002</v>
      </c>
      <c r="AH219" s="22">
        <v>400.66399999999999</v>
      </c>
      <c r="AI219" s="22">
        <v>-1.7047099999999999E-2</v>
      </c>
      <c r="AJ219" s="22">
        <v>209</v>
      </c>
      <c r="AK219" s="22">
        <v>0.951233</v>
      </c>
      <c r="AL219">
        <f t="shared" si="42"/>
        <v>17.0471</v>
      </c>
      <c r="AM219">
        <f t="shared" si="43"/>
        <v>16.2365785834</v>
      </c>
      <c r="AP219" s="9"/>
      <c r="AQ219" s="22">
        <v>0.74752799999999997</v>
      </c>
      <c r="AR219" s="22">
        <v>501.77499999999998</v>
      </c>
      <c r="AS219" s="22">
        <v>-1.7266799999999999E-2</v>
      </c>
      <c r="AT219" s="22">
        <v>209</v>
      </c>
      <c r="AU219" s="22">
        <v>0.74667399999999995</v>
      </c>
      <c r="AV219">
        <f t="shared" si="44"/>
        <v>17.2668</v>
      </c>
      <c r="AW219">
        <f t="shared" si="45"/>
        <v>12.907416470399999</v>
      </c>
      <c r="AX219" s="9"/>
      <c r="AY219" s="22">
        <v>0.95245400000000002</v>
      </c>
      <c r="AZ219" s="22">
        <v>574.029</v>
      </c>
      <c r="BA219" s="22">
        <v>-1.7007399999999999E-2</v>
      </c>
      <c r="BB219" s="22">
        <v>209</v>
      </c>
      <c r="BC219" s="22">
        <v>0.95153799999999999</v>
      </c>
      <c r="BD219">
        <f t="shared" si="46"/>
        <v>17.007400000000001</v>
      </c>
      <c r="BE219">
        <f t="shared" si="47"/>
        <v>16.198766159600002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94.814899999999994</v>
      </c>
      <c r="I220" s="22">
        <v>-1.73157E-2</v>
      </c>
      <c r="J220" s="22">
        <v>210</v>
      </c>
      <c r="K220" s="22">
        <v>0.74194300000000002</v>
      </c>
      <c r="L220">
        <f t="shared" si="36"/>
        <v>17.3157</v>
      </c>
      <c r="M220">
        <f t="shared" si="37"/>
        <v>12.856786040099999</v>
      </c>
      <c r="N220" s="9"/>
      <c r="O220" s="22">
        <v>0.95748900000000003</v>
      </c>
      <c r="P220" s="22">
        <v>160.77500000000001</v>
      </c>
      <c r="Q220" s="22">
        <v>-1.7129499999999999E-2</v>
      </c>
      <c r="R220" s="22">
        <v>210</v>
      </c>
      <c r="S220" s="22">
        <v>0.95733599999999996</v>
      </c>
      <c r="T220">
        <f t="shared" si="38"/>
        <v>17.1295</v>
      </c>
      <c r="U220">
        <f t="shared" si="39"/>
        <v>16.401307825500002</v>
      </c>
      <c r="X220" s="9"/>
      <c r="Y220" s="22">
        <v>0.74249299999999996</v>
      </c>
      <c r="Z220" s="22">
        <v>246.328</v>
      </c>
      <c r="AA220" s="22">
        <v>-1.73706E-2</v>
      </c>
      <c r="AB220" s="22">
        <v>210</v>
      </c>
      <c r="AC220" s="22">
        <v>0.74197400000000002</v>
      </c>
      <c r="AD220">
        <f t="shared" si="40"/>
        <v>17.3706</v>
      </c>
      <c r="AE220">
        <f t="shared" si="41"/>
        <v>12.897548905799999</v>
      </c>
      <c r="AF220" s="9"/>
      <c r="AG220" s="22">
        <v>0.95748900000000003</v>
      </c>
      <c r="AH220" s="22">
        <v>400.76499999999999</v>
      </c>
      <c r="AI220" s="22">
        <v>-1.70441E-2</v>
      </c>
      <c r="AJ220" s="22">
        <v>210</v>
      </c>
      <c r="AK220" s="22">
        <v>0.95642099999999997</v>
      </c>
      <c r="AL220">
        <f t="shared" si="42"/>
        <v>17.0441</v>
      </c>
      <c r="AM220">
        <f t="shared" si="43"/>
        <v>16.3195382649</v>
      </c>
      <c r="AP220" s="9"/>
      <c r="AQ220" s="22">
        <v>0.74249299999999996</v>
      </c>
      <c r="AR220" s="22">
        <v>501.87599999999998</v>
      </c>
      <c r="AS220" s="22">
        <v>-1.7279099999999999E-2</v>
      </c>
      <c r="AT220" s="22">
        <v>210</v>
      </c>
      <c r="AU220" s="22">
        <v>0.74191300000000004</v>
      </c>
      <c r="AV220">
        <f t="shared" si="44"/>
        <v>17.2791</v>
      </c>
      <c r="AW220">
        <f t="shared" si="45"/>
        <v>12.829610796299999</v>
      </c>
      <c r="AX220" s="9"/>
      <c r="AY220" s="22">
        <v>0.95748900000000003</v>
      </c>
      <c r="AZ220" s="22">
        <v>574.13</v>
      </c>
      <c r="BA220" s="22">
        <v>-1.7004399999999999E-2</v>
      </c>
      <c r="BB220" s="22">
        <v>210</v>
      </c>
      <c r="BC220" s="22">
        <v>0.95642099999999997</v>
      </c>
      <c r="BD220">
        <f t="shared" si="46"/>
        <v>17.0044</v>
      </c>
      <c r="BE220">
        <f t="shared" si="47"/>
        <v>16.281525951600003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94.915599999999998</v>
      </c>
      <c r="I221" s="22">
        <v>-1.73279E-2</v>
      </c>
      <c r="J221" s="22">
        <v>211</v>
      </c>
      <c r="K221" s="22">
        <v>0.73675500000000005</v>
      </c>
      <c r="L221">
        <f t="shared" si="36"/>
        <v>17.3279</v>
      </c>
      <c r="M221">
        <f t="shared" si="37"/>
        <v>12.778581150300001</v>
      </c>
      <c r="N221" s="9"/>
      <c r="O221" s="22">
        <v>0.96252400000000005</v>
      </c>
      <c r="P221" s="22">
        <v>160.876</v>
      </c>
      <c r="Q221" s="22">
        <v>-1.7126499999999999E-2</v>
      </c>
      <c r="R221" s="22">
        <v>211</v>
      </c>
      <c r="S221" s="22">
        <v>0.96130400000000005</v>
      </c>
      <c r="T221">
        <f t="shared" si="38"/>
        <v>17.1265</v>
      </c>
      <c r="U221">
        <f t="shared" si="39"/>
        <v>16.484667286000001</v>
      </c>
      <c r="X221" s="9"/>
      <c r="Y221" s="22">
        <v>0.73745700000000003</v>
      </c>
      <c r="Z221" s="22">
        <v>246.429</v>
      </c>
      <c r="AA221" s="22">
        <v>-1.7376699999999998E-2</v>
      </c>
      <c r="AB221" s="22">
        <v>211</v>
      </c>
      <c r="AC221" s="22">
        <v>0.73693799999999998</v>
      </c>
      <c r="AD221">
        <f t="shared" si="40"/>
        <v>17.3767</v>
      </c>
      <c r="AE221">
        <f t="shared" si="41"/>
        <v>12.8145690519</v>
      </c>
      <c r="AF221" s="9"/>
      <c r="AG221" s="22">
        <v>0.96252400000000005</v>
      </c>
      <c r="AH221" s="22">
        <v>400.86599999999999</v>
      </c>
      <c r="AI221" s="22">
        <v>-1.7034899999999999E-2</v>
      </c>
      <c r="AJ221" s="22">
        <v>211</v>
      </c>
      <c r="AK221" s="22">
        <v>0.96130400000000005</v>
      </c>
      <c r="AL221">
        <f t="shared" si="42"/>
        <v>17.0349</v>
      </c>
      <c r="AM221">
        <f t="shared" si="43"/>
        <v>16.3965000876</v>
      </c>
      <c r="AP221" s="9"/>
      <c r="AQ221" s="22">
        <v>0.73745700000000003</v>
      </c>
      <c r="AR221" s="22">
        <v>501.976</v>
      </c>
      <c r="AS221" s="22">
        <v>-1.7294299999999999E-2</v>
      </c>
      <c r="AT221" s="22">
        <v>211</v>
      </c>
      <c r="AU221" s="22">
        <v>0.73678600000000005</v>
      </c>
      <c r="AV221">
        <f t="shared" si="44"/>
        <v>17.2943</v>
      </c>
      <c r="AW221">
        <f t="shared" si="45"/>
        <v>12.7538025951</v>
      </c>
      <c r="AX221" s="9"/>
      <c r="AY221" s="22">
        <v>0.96252400000000005</v>
      </c>
      <c r="AZ221" s="22">
        <v>574.23099999999999</v>
      </c>
      <c r="BA221" s="22">
        <v>-1.70013E-2</v>
      </c>
      <c r="BB221" s="22">
        <v>211</v>
      </c>
      <c r="BC221" s="22">
        <v>0.96099900000000005</v>
      </c>
      <c r="BD221">
        <f t="shared" si="46"/>
        <v>17.001300000000001</v>
      </c>
      <c r="BE221">
        <f t="shared" si="47"/>
        <v>16.364159281200003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95.016300000000001</v>
      </c>
      <c r="I222" s="22">
        <v>-1.7321799999999998E-2</v>
      </c>
      <c r="J222" s="22">
        <v>212</v>
      </c>
      <c r="K222" s="22">
        <v>0.73138400000000003</v>
      </c>
      <c r="L222">
        <f t="shared" si="36"/>
        <v>17.3218</v>
      </c>
      <c r="M222">
        <f t="shared" si="37"/>
        <v>12.686867399600001</v>
      </c>
      <c r="N222" s="9"/>
      <c r="O222" s="22">
        <v>0.96755999999999998</v>
      </c>
      <c r="P222" s="22">
        <v>160.976</v>
      </c>
      <c r="Q222" s="22">
        <v>-1.71234E-2</v>
      </c>
      <c r="R222" s="22">
        <v>212</v>
      </c>
      <c r="S222" s="22">
        <v>0.96710200000000002</v>
      </c>
      <c r="T222">
        <f t="shared" si="38"/>
        <v>17.1234</v>
      </c>
      <c r="U222">
        <f t="shared" si="39"/>
        <v>16.567916904</v>
      </c>
      <c r="X222" s="9"/>
      <c r="Y222" s="22">
        <v>0.73242200000000002</v>
      </c>
      <c r="Z222" s="22">
        <v>246.53</v>
      </c>
      <c r="AA222" s="22">
        <v>-1.73828E-2</v>
      </c>
      <c r="AB222" s="22">
        <v>212</v>
      </c>
      <c r="AC222" s="22">
        <v>0.73172000000000004</v>
      </c>
      <c r="AD222">
        <f t="shared" si="40"/>
        <v>17.3828</v>
      </c>
      <c r="AE222">
        <f t="shared" si="41"/>
        <v>12.7315451416</v>
      </c>
      <c r="AF222" s="9"/>
      <c r="AG222" s="22">
        <v>0.96755999999999998</v>
      </c>
      <c r="AH222" s="22">
        <v>400.96600000000001</v>
      </c>
      <c r="AI222" s="22">
        <v>-1.70288E-2</v>
      </c>
      <c r="AJ222" s="22">
        <v>212</v>
      </c>
      <c r="AK222" s="22">
        <v>0.96618700000000002</v>
      </c>
      <c r="AL222">
        <f t="shared" si="42"/>
        <v>17.0288</v>
      </c>
      <c r="AM222">
        <f t="shared" si="43"/>
        <v>16.476385728</v>
      </c>
      <c r="AP222" s="9"/>
      <c r="AQ222" s="22">
        <v>0.73242200000000002</v>
      </c>
      <c r="AR222" s="22">
        <v>502.077</v>
      </c>
      <c r="AS222" s="22">
        <v>-1.7291299999999999E-2</v>
      </c>
      <c r="AT222" s="22">
        <v>212</v>
      </c>
      <c r="AU222" s="22">
        <v>0.73193399999999997</v>
      </c>
      <c r="AV222">
        <f t="shared" si="44"/>
        <v>17.2913</v>
      </c>
      <c r="AW222">
        <f t="shared" si="45"/>
        <v>12.6645285286</v>
      </c>
      <c r="AX222" s="9"/>
      <c r="AY222" s="22">
        <v>0.96755999999999998</v>
      </c>
      <c r="AZ222" s="22">
        <v>574.33100000000002</v>
      </c>
      <c r="BA222" s="22">
        <v>-1.6992199999999999E-2</v>
      </c>
      <c r="BB222" s="22">
        <v>212</v>
      </c>
      <c r="BC222" s="22">
        <v>0.96710200000000002</v>
      </c>
      <c r="BD222">
        <f t="shared" si="46"/>
        <v>16.9922</v>
      </c>
      <c r="BE222">
        <f t="shared" si="47"/>
        <v>16.440973031999999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95.117000000000004</v>
      </c>
      <c r="I223" s="22">
        <v>-1.73431E-2</v>
      </c>
      <c r="J223" s="22">
        <v>213</v>
      </c>
      <c r="K223" s="22">
        <v>0.72699000000000003</v>
      </c>
      <c r="L223">
        <f t="shared" si="36"/>
        <v>17.3431</v>
      </c>
      <c r="M223">
        <f t="shared" si="37"/>
        <v>12.615128136599999</v>
      </c>
      <c r="N223" s="9"/>
      <c r="O223" s="22">
        <v>0.97259499999999999</v>
      </c>
      <c r="P223" s="22">
        <v>161.077</v>
      </c>
      <c r="Q223" s="22">
        <v>-1.7117299999999998E-2</v>
      </c>
      <c r="R223" s="22">
        <v>213</v>
      </c>
      <c r="S223" s="22">
        <v>0.97137499999999999</v>
      </c>
      <c r="T223">
        <f t="shared" si="38"/>
        <v>17.1173</v>
      </c>
      <c r="U223">
        <f t="shared" si="39"/>
        <v>16.648200393500002</v>
      </c>
      <c r="X223" s="9"/>
      <c r="Y223" s="22">
        <v>0.72738599999999998</v>
      </c>
      <c r="Z223" s="22">
        <v>246.63</v>
      </c>
      <c r="AA223" s="22">
        <v>-1.73828E-2</v>
      </c>
      <c r="AB223" s="22">
        <v>213</v>
      </c>
      <c r="AC223" s="22">
        <v>0.72668500000000003</v>
      </c>
      <c r="AD223">
        <f t="shared" si="40"/>
        <v>17.3828</v>
      </c>
      <c r="AE223">
        <f t="shared" si="41"/>
        <v>12.6440053608</v>
      </c>
      <c r="AF223" s="9"/>
      <c r="AG223" s="22">
        <v>0.97259499999999999</v>
      </c>
      <c r="AH223" s="22">
        <v>401.06700000000001</v>
      </c>
      <c r="AI223" s="22">
        <v>-1.70288E-2</v>
      </c>
      <c r="AJ223" s="22">
        <v>213</v>
      </c>
      <c r="AK223" s="22">
        <v>0.97167999999999999</v>
      </c>
      <c r="AL223">
        <f t="shared" si="42"/>
        <v>17.0288</v>
      </c>
      <c r="AM223">
        <f t="shared" si="43"/>
        <v>16.562125735999999</v>
      </c>
      <c r="AP223" s="9"/>
      <c r="AQ223" s="22">
        <v>0.72738599999999998</v>
      </c>
      <c r="AR223" s="22">
        <v>502.178</v>
      </c>
      <c r="AS223" s="22">
        <v>-1.7297400000000001E-2</v>
      </c>
      <c r="AT223" s="22">
        <v>213</v>
      </c>
      <c r="AU223" s="22">
        <v>0.72665400000000002</v>
      </c>
      <c r="AV223">
        <f t="shared" si="44"/>
        <v>17.2974</v>
      </c>
      <c r="AW223">
        <f t="shared" si="45"/>
        <v>12.581886596399999</v>
      </c>
      <c r="AX223" s="9"/>
      <c r="AY223" s="22">
        <v>0.97259499999999999</v>
      </c>
      <c r="AZ223" s="22">
        <v>574.43200000000002</v>
      </c>
      <c r="BA223" s="22">
        <v>-1.6983000000000002E-2</v>
      </c>
      <c r="BB223" s="22">
        <v>213</v>
      </c>
      <c r="BC223" s="22">
        <v>0.97198499999999999</v>
      </c>
      <c r="BD223">
        <f t="shared" si="46"/>
        <v>16.983000000000001</v>
      </c>
      <c r="BE223">
        <f t="shared" si="47"/>
        <v>16.517580885000001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95.217699999999994</v>
      </c>
      <c r="I224" s="22">
        <v>-1.7340100000000001E-2</v>
      </c>
      <c r="J224" s="22">
        <v>214</v>
      </c>
      <c r="K224" s="22">
        <v>0.720947</v>
      </c>
      <c r="L224">
        <f t="shared" si="36"/>
        <v>17.3401</v>
      </c>
      <c r="M224">
        <f t="shared" si="37"/>
        <v>12.525638575099999</v>
      </c>
      <c r="N224" s="9"/>
      <c r="O224" s="22">
        <v>0.97763100000000003</v>
      </c>
      <c r="P224" s="22">
        <v>161.178</v>
      </c>
      <c r="Q224" s="22">
        <v>-1.7114299999999999E-2</v>
      </c>
      <c r="R224" s="22">
        <v>214</v>
      </c>
      <c r="S224" s="22">
        <v>0.97625700000000004</v>
      </c>
      <c r="T224">
        <f t="shared" si="38"/>
        <v>17.1143</v>
      </c>
      <c r="U224">
        <f t="shared" si="39"/>
        <v>16.731470223300001</v>
      </c>
      <c r="X224" s="9"/>
      <c r="Y224" s="22">
        <v>0.72235099999999997</v>
      </c>
      <c r="Z224" s="22">
        <v>246.73099999999999</v>
      </c>
      <c r="AA224" s="22">
        <v>-1.7395000000000001E-2</v>
      </c>
      <c r="AB224" s="22">
        <v>214</v>
      </c>
      <c r="AC224" s="22">
        <v>0.72161900000000001</v>
      </c>
      <c r="AD224">
        <f t="shared" si="40"/>
        <v>17.395</v>
      </c>
      <c r="AE224">
        <f t="shared" si="41"/>
        <v>12.565295644999999</v>
      </c>
      <c r="AF224" s="9"/>
      <c r="AG224" s="22">
        <v>0.97763100000000003</v>
      </c>
      <c r="AH224" s="22">
        <v>401.16800000000001</v>
      </c>
      <c r="AI224" s="22">
        <v>-1.7010500000000001E-2</v>
      </c>
      <c r="AJ224" s="22">
        <v>214</v>
      </c>
      <c r="AK224" s="22">
        <v>0.97625700000000004</v>
      </c>
      <c r="AL224">
        <f t="shared" si="42"/>
        <v>17.0105</v>
      </c>
      <c r="AM224">
        <f t="shared" si="43"/>
        <v>16.629992125499999</v>
      </c>
      <c r="AP224" s="9"/>
      <c r="AQ224" s="22">
        <v>0.72235099999999997</v>
      </c>
      <c r="AR224" s="22">
        <v>502.279</v>
      </c>
      <c r="AS224" s="22">
        <v>-1.7312600000000001E-2</v>
      </c>
      <c r="AT224" s="22">
        <v>214</v>
      </c>
      <c r="AU224" s="22">
        <v>0.72183200000000003</v>
      </c>
      <c r="AV224">
        <f t="shared" si="44"/>
        <v>17.3126</v>
      </c>
      <c r="AW224">
        <f t="shared" si="45"/>
        <v>12.5057739226</v>
      </c>
      <c r="AX224" s="9"/>
      <c r="AY224" s="22">
        <v>0.97763100000000003</v>
      </c>
      <c r="AZ224" s="22">
        <v>574.53300000000002</v>
      </c>
      <c r="BA224" s="22">
        <v>-1.6983000000000002E-2</v>
      </c>
      <c r="BB224" s="22">
        <v>214</v>
      </c>
      <c r="BC224" s="22">
        <v>0.97686799999999996</v>
      </c>
      <c r="BD224">
        <f t="shared" si="46"/>
        <v>16.983000000000001</v>
      </c>
      <c r="BE224">
        <f t="shared" si="47"/>
        <v>16.603107273000003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95.318399999999997</v>
      </c>
      <c r="I225" s="22">
        <v>-1.7340100000000001E-2</v>
      </c>
      <c r="J225" s="22">
        <v>215</v>
      </c>
      <c r="K225" s="22">
        <v>0.716553</v>
      </c>
      <c r="L225">
        <f t="shared" si="36"/>
        <v>17.3401</v>
      </c>
      <c r="M225">
        <f t="shared" si="37"/>
        <v>12.4383311716</v>
      </c>
      <c r="N225" s="9"/>
      <c r="O225" s="22">
        <v>0.98266600000000004</v>
      </c>
      <c r="P225" s="22">
        <v>161.27799999999999</v>
      </c>
      <c r="Q225" s="22">
        <v>-1.7114299999999999E-2</v>
      </c>
      <c r="R225" s="22">
        <v>215</v>
      </c>
      <c r="S225" s="22">
        <v>0.98266600000000004</v>
      </c>
      <c r="T225">
        <f t="shared" si="38"/>
        <v>17.1143</v>
      </c>
      <c r="U225">
        <f t="shared" si="39"/>
        <v>16.8176407238</v>
      </c>
      <c r="X225" s="9"/>
      <c r="Y225" s="22">
        <v>0.71731599999999995</v>
      </c>
      <c r="Z225" s="22">
        <v>246.83199999999999</v>
      </c>
      <c r="AA225" s="22">
        <v>-1.7404200000000002E-2</v>
      </c>
      <c r="AB225" s="22">
        <v>215</v>
      </c>
      <c r="AC225" s="22">
        <v>0.71664399999999995</v>
      </c>
      <c r="AD225">
        <f t="shared" si="40"/>
        <v>17.404200000000003</v>
      </c>
      <c r="AE225">
        <f t="shared" si="41"/>
        <v>12.484311127200002</v>
      </c>
      <c r="AF225" s="9"/>
      <c r="AG225" s="22">
        <v>0.98266600000000004</v>
      </c>
      <c r="AH225" s="22">
        <v>401.26900000000001</v>
      </c>
      <c r="AI225" s="22">
        <v>-1.7013500000000001E-2</v>
      </c>
      <c r="AJ225" s="22">
        <v>215</v>
      </c>
      <c r="AK225" s="22">
        <v>0.98205600000000004</v>
      </c>
      <c r="AL225">
        <f t="shared" si="42"/>
        <v>17.013500000000001</v>
      </c>
      <c r="AM225">
        <f t="shared" si="43"/>
        <v>16.718587991</v>
      </c>
      <c r="AP225" s="9"/>
      <c r="AQ225" s="22">
        <v>0.71731599999999995</v>
      </c>
      <c r="AR225" s="22">
        <v>502.37900000000002</v>
      </c>
      <c r="AS225" s="22">
        <v>-1.73157E-2</v>
      </c>
      <c r="AT225" s="22">
        <v>215</v>
      </c>
      <c r="AU225" s="22">
        <v>0.71673600000000004</v>
      </c>
      <c r="AV225">
        <f t="shared" si="44"/>
        <v>17.3157</v>
      </c>
      <c r="AW225">
        <f t="shared" si="45"/>
        <v>12.420828661199998</v>
      </c>
      <c r="AX225" s="9"/>
      <c r="AY225" s="22">
        <v>0.98266600000000004</v>
      </c>
      <c r="AZ225" s="22">
        <v>574.63300000000004</v>
      </c>
      <c r="BA225" s="22">
        <v>-1.6983000000000002E-2</v>
      </c>
      <c r="BB225" s="22">
        <v>215</v>
      </c>
      <c r="BC225" s="22">
        <v>0.98144500000000001</v>
      </c>
      <c r="BD225">
        <f t="shared" si="46"/>
        <v>16.983000000000001</v>
      </c>
      <c r="BE225">
        <f t="shared" si="47"/>
        <v>16.688616678000002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95.419200000000004</v>
      </c>
      <c r="I226" s="22">
        <v>-1.73431E-2</v>
      </c>
      <c r="J226" s="22">
        <v>216</v>
      </c>
      <c r="K226" s="22">
        <v>0.71167000000000002</v>
      </c>
      <c r="L226">
        <f t="shared" si="36"/>
        <v>17.3431</v>
      </c>
      <c r="M226">
        <f t="shared" si="37"/>
        <v>12.353143268</v>
      </c>
      <c r="N226" s="9"/>
      <c r="O226" s="22">
        <v>0.98770100000000005</v>
      </c>
      <c r="P226" s="22">
        <v>161.37899999999999</v>
      </c>
      <c r="Q226" s="22">
        <v>-1.7105100000000002E-2</v>
      </c>
      <c r="R226" s="22">
        <v>216</v>
      </c>
      <c r="S226" s="22">
        <v>0.98693799999999998</v>
      </c>
      <c r="T226">
        <f t="shared" si="38"/>
        <v>17.1051</v>
      </c>
      <c r="U226">
        <f t="shared" si="39"/>
        <v>16.894724375100001</v>
      </c>
      <c r="X226" s="9"/>
      <c r="Y226" s="22">
        <v>0.71228000000000002</v>
      </c>
      <c r="Z226" s="22">
        <v>246.93299999999999</v>
      </c>
      <c r="AA226" s="22">
        <v>-1.74103E-2</v>
      </c>
      <c r="AB226" s="22">
        <v>216</v>
      </c>
      <c r="AC226" s="22">
        <v>0.71157800000000004</v>
      </c>
      <c r="AD226">
        <f t="shared" si="40"/>
        <v>17.410299999999999</v>
      </c>
      <c r="AE226">
        <f t="shared" si="41"/>
        <v>12.401008484</v>
      </c>
      <c r="AF226" s="9"/>
      <c r="AG226" s="22">
        <v>0.98770100000000005</v>
      </c>
      <c r="AH226" s="22">
        <v>401.36900000000003</v>
      </c>
      <c r="AI226" s="22">
        <v>-1.6998300000000001E-2</v>
      </c>
      <c r="AJ226" s="22">
        <v>216</v>
      </c>
      <c r="AK226" s="22">
        <v>0.98693799999999998</v>
      </c>
      <c r="AL226">
        <f t="shared" si="42"/>
        <v>16.9983</v>
      </c>
      <c r="AM226">
        <f t="shared" si="43"/>
        <v>16.789237908300002</v>
      </c>
      <c r="AP226" s="9"/>
      <c r="AQ226" s="22">
        <v>0.71228000000000002</v>
      </c>
      <c r="AR226" s="22">
        <v>502.48</v>
      </c>
      <c r="AS226" s="22">
        <v>-1.7324800000000001E-2</v>
      </c>
      <c r="AT226" s="22">
        <v>216</v>
      </c>
      <c r="AU226" s="22">
        <v>0.71185299999999996</v>
      </c>
      <c r="AV226">
        <f t="shared" si="44"/>
        <v>17.3248</v>
      </c>
      <c r="AW226">
        <f t="shared" si="45"/>
        <v>12.340108544</v>
      </c>
      <c r="AX226" s="9"/>
      <c r="AY226" s="22">
        <v>0.98770100000000005</v>
      </c>
      <c r="AZ226" s="22">
        <v>574.73400000000004</v>
      </c>
      <c r="BA226" s="22">
        <v>-1.69739E-2</v>
      </c>
      <c r="BB226" s="22">
        <v>216</v>
      </c>
      <c r="BC226" s="22">
        <v>0.98693799999999998</v>
      </c>
      <c r="BD226">
        <f t="shared" si="46"/>
        <v>16.9739</v>
      </c>
      <c r="BE226">
        <f t="shared" si="47"/>
        <v>16.765138003900002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95.519900000000007</v>
      </c>
      <c r="I227" s="22">
        <v>-1.73584E-2</v>
      </c>
      <c r="J227" s="22">
        <v>217</v>
      </c>
      <c r="K227" s="22">
        <v>0.70651200000000003</v>
      </c>
      <c r="L227">
        <f t="shared" si="36"/>
        <v>17.3584</v>
      </c>
      <c r="M227">
        <f t="shared" si="37"/>
        <v>12.276641608</v>
      </c>
      <c r="N227" s="9"/>
      <c r="O227" s="22">
        <v>0.99273699999999998</v>
      </c>
      <c r="P227" s="22">
        <v>161.47999999999999</v>
      </c>
      <c r="Q227" s="22">
        <v>-1.7102099999999999E-2</v>
      </c>
      <c r="R227" s="22">
        <v>217</v>
      </c>
      <c r="S227" s="22">
        <v>0.99243199999999998</v>
      </c>
      <c r="T227">
        <f t="shared" si="38"/>
        <v>17.1021</v>
      </c>
      <c r="U227">
        <f t="shared" si="39"/>
        <v>16.977887447699999</v>
      </c>
      <c r="X227" s="9"/>
      <c r="Y227" s="22">
        <v>0.70724500000000001</v>
      </c>
      <c r="Z227" s="22">
        <v>247.03299999999999</v>
      </c>
      <c r="AA227" s="22">
        <v>-1.7404200000000002E-2</v>
      </c>
      <c r="AB227" s="22">
        <v>217</v>
      </c>
      <c r="AC227" s="22">
        <v>0.70657300000000001</v>
      </c>
      <c r="AD227">
        <f t="shared" si="40"/>
        <v>17.404200000000003</v>
      </c>
      <c r="AE227">
        <f t="shared" si="41"/>
        <v>12.309033429000003</v>
      </c>
      <c r="AF227" s="9"/>
      <c r="AG227" s="22">
        <v>0.99273699999999998</v>
      </c>
      <c r="AH227" s="22">
        <v>401.47</v>
      </c>
      <c r="AI227" s="22">
        <v>-1.6992199999999999E-2</v>
      </c>
      <c r="AJ227" s="22">
        <v>217</v>
      </c>
      <c r="AK227" s="22">
        <v>0.99151599999999995</v>
      </c>
      <c r="AL227">
        <f t="shared" si="42"/>
        <v>16.9922</v>
      </c>
      <c r="AM227">
        <f t="shared" si="43"/>
        <v>16.8687856514</v>
      </c>
      <c r="AP227" s="9"/>
      <c r="AQ227" s="22">
        <v>0.70724500000000001</v>
      </c>
      <c r="AR227" s="22">
        <v>502.58100000000002</v>
      </c>
      <c r="AS227" s="22">
        <v>-1.7318699999999999E-2</v>
      </c>
      <c r="AT227" s="22">
        <v>217</v>
      </c>
      <c r="AU227" s="22">
        <v>0.70657300000000001</v>
      </c>
      <c r="AV227">
        <f t="shared" si="44"/>
        <v>17.3187</v>
      </c>
      <c r="AW227">
        <f t="shared" si="45"/>
        <v>12.2485639815</v>
      </c>
      <c r="AX227" s="9"/>
      <c r="AY227" s="22">
        <v>0.99273699999999998</v>
      </c>
      <c r="AZ227" s="22">
        <v>574.83500000000004</v>
      </c>
      <c r="BA227" s="22">
        <v>-1.6967800000000002E-2</v>
      </c>
      <c r="BB227" s="22">
        <v>217</v>
      </c>
      <c r="BC227" s="22">
        <v>0.99243199999999998</v>
      </c>
      <c r="BD227">
        <f t="shared" si="46"/>
        <v>16.9678</v>
      </c>
      <c r="BE227">
        <f t="shared" si="47"/>
        <v>16.844562868600001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95.620599999999996</v>
      </c>
      <c r="I228" s="22">
        <v>-1.73584E-2</v>
      </c>
      <c r="J228" s="22">
        <v>218</v>
      </c>
      <c r="K228" s="22">
        <v>0.70150800000000002</v>
      </c>
      <c r="L228">
        <f t="shared" si="36"/>
        <v>17.3584</v>
      </c>
      <c r="M228">
        <f t="shared" si="37"/>
        <v>12.189224705599999</v>
      </c>
      <c r="N228" s="9"/>
      <c r="O228" s="22">
        <v>0.99777199999999999</v>
      </c>
      <c r="P228" s="22">
        <v>161.58099999999999</v>
      </c>
      <c r="Q228" s="22">
        <v>-1.7095900000000001E-2</v>
      </c>
      <c r="R228" s="22">
        <v>218</v>
      </c>
      <c r="S228" s="22">
        <v>0.99700900000000003</v>
      </c>
      <c r="T228">
        <f t="shared" si="38"/>
        <v>17.0959</v>
      </c>
      <c r="U228">
        <f t="shared" si="39"/>
        <v>17.057810334799999</v>
      </c>
      <c r="X228" s="9"/>
      <c r="Y228" s="22">
        <v>0.70220899999999997</v>
      </c>
      <c r="Z228" s="22">
        <v>247.13399999999999</v>
      </c>
      <c r="AA228" s="22">
        <v>-1.74133E-2</v>
      </c>
      <c r="AB228" s="22">
        <v>218</v>
      </c>
      <c r="AC228" s="22">
        <v>0.70172100000000004</v>
      </c>
      <c r="AD228">
        <f t="shared" si="40"/>
        <v>17.4133</v>
      </c>
      <c r="AE228">
        <f t="shared" si="41"/>
        <v>12.227775979699999</v>
      </c>
      <c r="AF228" s="9"/>
      <c r="AG228" s="22">
        <v>0.99777199999999999</v>
      </c>
      <c r="AH228" s="22">
        <v>401.57100000000003</v>
      </c>
      <c r="AI228" s="22">
        <v>-1.6995199999999999E-2</v>
      </c>
      <c r="AJ228" s="22">
        <v>218</v>
      </c>
      <c r="AK228" s="22">
        <v>0.99731400000000003</v>
      </c>
      <c r="AL228">
        <f t="shared" si="42"/>
        <v>16.995199999999997</v>
      </c>
      <c r="AM228">
        <f t="shared" si="43"/>
        <v>16.957334694399997</v>
      </c>
      <c r="AP228" s="9"/>
      <c r="AQ228" s="22">
        <v>0.70220899999999997</v>
      </c>
      <c r="AR228" s="22">
        <v>502.68099999999998</v>
      </c>
      <c r="AS228" s="22">
        <v>-1.73309E-2</v>
      </c>
      <c r="AT228" s="22">
        <v>218</v>
      </c>
      <c r="AU228" s="22">
        <v>0.70169099999999995</v>
      </c>
      <c r="AV228">
        <f t="shared" si="44"/>
        <v>17.3309</v>
      </c>
      <c r="AW228">
        <f t="shared" si="45"/>
        <v>12.169913958099999</v>
      </c>
      <c r="AX228" s="9"/>
      <c r="AY228" s="22">
        <v>0.99777199999999999</v>
      </c>
      <c r="AZ228" s="22">
        <v>574.93600000000004</v>
      </c>
      <c r="BA228" s="22">
        <v>-1.69617E-2</v>
      </c>
      <c r="BB228" s="22">
        <v>218</v>
      </c>
      <c r="BC228" s="22">
        <v>0.99731400000000003</v>
      </c>
      <c r="BD228">
        <f t="shared" si="46"/>
        <v>16.9617</v>
      </c>
      <c r="BE228">
        <f t="shared" si="47"/>
        <v>16.923909332400001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95.721299999999999</v>
      </c>
      <c r="I229" s="22">
        <v>-1.7361499999999998E-2</v>
      </c>
      <c r="J229" s="22">
        <v>219</v>
      </c>
      <c r="K229" s="22">
        <v>0.69613599999999998</v>
      </c>
      <c r="L229">
        <f t="shared" si="36"/>
        <v>17.361499999999999</v>
      </c>
      <c r="M229">
        <f t="shared" si="37"/>
        <v>12.103986400999998</v>
      </c>
      <c r="N229" s="9"/>
      <c r="O229" s="22">
        <v>1.00281</v>
      </c>
      <c r="P229" s="22">
        <v>161.68100000000001</v>
      </c>
      <c r="Q229" s="22">
        <v>-1.70837E-2</v>
      </c>
      <c r="R229" s="22">
        <v>219</v>
      </c>
      <c r="S229" s="22">
        <v>1.00159</v>
      </c>
      <c r="T229">
        <f t="shared" si="38"/>
        <v>17.0837</v>
      </c>
      <c r="U229">
        <f t="shared" si="39"/>
        <v>17.131705196999999</v>
      </c>
      <c r="X229" s="9"/>
      <c r="Y229" s="22">
        <v>0.69717399999999996</v>
      </c>
      <c r="Z229" s="22">
        <v>247.23500000000001</v>
      </c>
      <c r="AA229" s="22">
        <v>-1.74225E-2</v>
      </c>
      <c r="AB229" s="22">
        <v>219</v>
      </c>
      <c r="AC229" s="22">
        <v>0.69668600000000003</v>
      </c>
      <c r="AD229">
        <f t="shared" si="40"/>
        <v>17.422499999999999</v>
      </c>
      <c r="AE229">
        <f t="shared" si="41"/>
        <v>12.146514014999999</v>
      </c>
      <c r="AF229" s="9"/>
      <c r="AG229" s="22">
        <v>1.00281</v>
      </c>
      <c r="AH229" s="22">
        <v>401.67099999999999</v>
      </c>
      <c r="AI229" s="22">
        <v>-1.70013E-2</v>
      </c>
      <c r="AJ229" s="22">
        <v>219</v>
      </c>
      <c r="AK229" s="22">
        <v>1.0022</v>
      </c>
      <c r="AL229">
        <f t="shared" si="42"/>
        <v>17.001300000000001</v>
      </c>
      <c r="AM229">
        <f t="shared" si="43"/>
        <v>17.049073653000001</v>
      </c>
      <c r="AP229" s="9"/>
      <c r="AQ229" s="22">
        <v>0.69717399999999996</v>
      </c>
      <c r="AR229" s="22">
        <v>502.78199999999998</v>
      </c>
      <c r="AS229" s="22">
        <v>-1.7333999999999999E-2</v>
      </c>
      <c r="AT229" s="22">
        <v>219</v>
      </c>
      <c r="AU229" s="22">
        <v>0.69647199999999998</v>
      </c>
      <c r="AV229">
        <f t="shared" si="44"/>
        <v>17.334</v>
      </c>
      <c r="AW229">
        <f t="shared" si="45"/>
        <v>12.084814115999999</v>
      </c>
      <c r="AX229" s="9"/>
      <c r="AY229" s="22">
        <v>1.00281</v>
      </c>
      <c r="AZ229" s="22">
        <v>575.03599999999994</v>
      </c>
      <c r="BA229" s="22">
        <v>-1.6955600000000001E-2</v>
      </c>
      <c r="BB229" s="22">
        <v>219</v>
      </c>
      <c r="BC229" s="22">
        <v>1.0018899999999999</v>
      </c>
      <c r="BD229">
        <f t="shared" si="46"/>
        <v>16.9556</v>
      </c>
      <c r="BE229">
        <f t="shared" si="47"/>
        <v>17.003245236000001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95.822000000000003</v>
      </c>
      <c r="I230" s="22">
        <v>-1.73676E-2</v>
      </c>
      <c r="J230" s="22">
        <v>220</v>
      </c>
      <c r="K230" s="22">
        <v>0.69171099999999996</v>
      </c>
      <c r="L230">
        <f t="shared" si="36"/>
        <v>17.367599999999999</v>
      </c>
      <c r="M230">
        <f t="shared" si="37"/>
        <v>12.020793296399999</v>
      </c>
      <c r="N230" s="9"/>
      <c r="O230" s="22">
        <v>1.0078400000000001</v>
      </c>
      <c r="P230" s="22">
        <v>161.78200000000001</v>
      </c>
      <c r="Q230" s="22">
        <v>-1.7077599999999998E-2</v>
      </c>
      <c r="R230" s="22">
        <v>220</v>
      </c>
      <c r="S230" s="22">
        <v>1.00708</v>
      </c>
      <c r="T230">
        <f t="shared" si="38"/>
        <v>17.077599999999997</v>
      </c>
      <c r="U230">
        <f t="shared" si="39"/>
        <v>17.211488383999999</v>
      </c>
      <c r="X230" s="9"/>
      <c r="Y230" s="22">
        <v>0.69213899999999995</v>
      </c>
      <c r="Z230" s="22">
        <v>247.33500000000001</v>
      </c>
      <c r="AA230" s="22">
        <v>-1.7440799999999999E-2</v>
      </c>
      <c r="AB230" s="22">
        <v>220</v>
      </c>
      <c r="AC230" s="22">
        <v>0.69158900000000001</v>
      </c>
      <c r="AD230">
        <f t="shared" si="40"/>
        <v>17.440799999999999</v>
      </c>
      <c r="AE230">
        <f t="shared" si="41"/>
        <v>12.071457871199998</v>
      </c>
      <c r="AF230" s="9"/>
      <c r="AG230" s="22">
        <v>1.0078400000000001</v>
      </c>
      <c r="AH230" s="22">
        <v>401.77199999999999</v>
      </c>
      <c r="AI230" s="22">
        <v>-1.6986100000000001E-2</v>
      </c>
      <c r="AJ230" s="22">
        <v>220</v>
      </c>
      <c r="AK230" s="22">
        <v>1.00708</v>
      </c>
      <c r="AL230">
        <f t="shared" si="42"/>
        <v>16.9861</v>
      </c>
      <c r="AM230">
        <f t="shared" si="43"/>
        <v>17.119271024000003</v>
      </c>
      <c r="AP230" s="9"/>
      <c r="AQ230" s="22">
        <v>0.69213899999999995</v>
      </c>
      <c r="AR230" s="22">
        <v>502.88299999999998</v>
      </c>
      <c r="AS230" s="22">
        <v>-1.7337000000000002E-2</v>
      </c>
      <c r="AT230" s="22">
        <v>220</v>
      </c>
      <c r="AU230" s="22">
        <v>0.69140599999999997</v>
      </c>
      <c r="AV230">
        <f t="shared" si="44"/>
        <v>17.337000000000003</v>
      </c>
      <c r="AW230">
        <f t="shared" si="45"/>
        <v>11.999613843000001</v>
      </c>
      <c r="AX230" s="9"/>
      <c r="AY230" s="22">
        <v>1.0078400000000001</v>
      </c>
      <c r="AZ230" s="22">
        <v>575.13699999999994</v>
      </c>
      <c r="BA230" s="22">
        <v>-1.69464E-2</v>
      </c>
      <c r="BB230" s="22">
        <v>220</v>
      </c>
      <c r="BC230" s="22">
        <v>1.0067699999999999</v>
      </c>
      <c r="BD230">
        <f t="shared" si="46"/>
        <v>16.946400000000001</v>
      </c>
      <c r="BE230">
        <f t="shared" si="47"/>
        <v>17.079259776000001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95.922700000000006</v>
      </c>
      <c r="I231" s="22">
        <v>-1.7379800000000001E-2</v>
      </c>
      <c r="J231" s="22">
        <v>221</v>
      </c>
      <c r="K231" s="22">
        <v>0.68618800000000002</v>
      </c>
      <c r="L231">
        <f t="shared" si="36"/>
        <v>17.379799999999999</v>
      </c>
      <c r="M231">
        <f t="shared" si="37"/>
        <v>11.9417127194</v>
      </c>
      <c r="N231" s="9"/>
      <c r="O231" s="22">
        <v>1.01288</v>
      </c>
      <c r="P231" s="22">
        <v>161.88300000000001</v>
      </c>
      <c r="Q231" s="22">
        <v>-1.7077599999999998E-2</v>
      </c>
      <c r="R231" s="22">
        <v>221</v>
      </c>
      <c r="S231" s="22">
        <v>1.01196</v>
      </c>
      <c r="T231">
        <f t="shared" si="38"/>
        <v>17.077599999999997</v>
      </c>
      <c r="U231">
        <f t="shared" si="39"/>
        <v>17.297559487999997</v>
      </c>
      <c r="X231" s="9"/>
      <c r="Y231" s="22">
        <v>0.68710300000000002</v>
      </c>
      <c r="Z231" s="22">
        <v>247.43600000000001</v>
      </c>
      <c r="AA231" s="22">
        <v>-1.7440799999999999E-2</v>
      </c>
      <c r="AB231" s="22">
        <v>221</v>
      </c>
      <c r="AC231" s="22">
        <v>0.68658399999999997</v>
      </c>
      <c r="AD231">
        <f t="shared" si="40"/>
        <v>17.440799999999999</v>
      </c>
      <c r="AE231">
        <f t="shared" si="41"/>
        <v>11.983626002399999</v>
      </c>
      <c r="AF231" s="9"/>
      <c r="AG231" s="22">
        <v>1.01288</v>
      </c>
      <c r="AH231" s="22">
        <v>401.87299999999999</v>
      </c>
      <c r="AI231" s="22">
        <v>-1.69769E-2</v>
      </c>
      <c r="AJ231" s="22">
        <v>221</v>
      </c>
      <c r="AK231" s="22">
        <v>1.01196</v>
      </c>
      <c r="AL231">
        <f t="shared" si="42"/>
        <v>16.976900000000001</v>
      </c>
      <c r="AM231">
        <f t="shared" si="43"/>
        <v>17.195562471999999</v>
      </c>
      <c r="AP231" s="9"/>
      <c r="AQ231" s="22">
        <v>0.68710300000000002</v>
      </c>
      <c r="AR231" s="22">
        <v>502.98399999999998</v>
      </c>
      <c r="AS231" s="22">
        <v>-1.7340100000000001E-2</v>
      </c>
      <c r="AT231" s="22">
        <v>221</v>
      </c>
      <c r="AU231" s="22">
        <v>0.68640100000000004</v>
      </c>
      <c r="AV231">
        <f t="shared" si="44"/>
        <v>17.3401</v>
      </c>
      <c r="AW231">
        <f t="shared" si="45"/>
        <v>11.9144347303</v>
      </c>
      <c r="AX231" s="9"/>
      <c r="AY231" s="22">
        <v>1.01288</v>
      </c>
      <c r="AZ231" s="22">
        <v>575.23800000000006</v>
      </c>
      <c r="BA231" s="22">
        <v>-1.69342E-2</v>
      </c>
      <c r="BB231" s="22">
        <v>221</v>
      </c>
      <c r="BC231" s="22">
        <v>1.01196</v>
      </c>
      <c r="BD231">
        <f t="shared" si="46"/>
        <v>16.934200000000001</v>
      </c>
      <c r="BE231">
        <f t="shared" si="47"/>
        <v>17.152312496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96.023399999999995</v>
      </c>
      <c r="I232" s="22">
        <v>-1.7376699999999998E-2</v>
      </c>
      <c r="J232" s="22">
        <v>222</v>
      </c>
      <c r="K232" s="22">
        <v>0.681427</v>
      </c>
      <c r="L232">
        <f t="shared" si="36"/>
        <v>17.3767</v>
      </c>
      <c r="M232">
        <f t="shared" si="37"/>
        <v>11.852091015599999</v>
      </c>
      <c r="N232" s="9"/>
      <c r="O232" s="22">
        <v>1.0179100000000001</v>
      </c>
      <c r="P232" s="22">
        <v>161.983</v>
      </c>
      <c r="Q232" s="22">
        <v>-1.7077599999999998E-2</v>
      </c>
      <c r="R232" s="22">
        <v>222</v>
      </c>
      <c r="S232" s="22">
        <v>1.01685</v>
      </c>
      <c r="T232">
        <f t="shared" si="38"/>
        <v>17.077599999999997</v>
      </c>
      <c r="U232">
        <f t="shared" si="39"/>
        <v>17.383459815999998</v>
      </c>
      <c r="X232" s="9"/>
      <c r="Y232" s="22">
        <v>0.68206800000000001</v>
      </c>
      <c r="Z232" s="22">
        <v>247.53700000000001</v>
      </c>
      <c r="AA232" s="22">
        <v>-1.7440799999999999E-2</v>
      </c>
      <c r="AB232" s="22">
        <v>222</v>
      </c>
      <c r="AC232" s="22">
        <v>0.68133500000000002</v>
      </c>
      <c r="AD232">
        <f t="shared" si="40"/>
        <v>17.440799999999999</v>
      </c>
      <c r="AE232">
        <f t="shared" si="41"/>
        <v>11.8958115744</v>
      </c>
      <c r="AF232" s="9"/>
      <c r="AG232" s="22">
        <v>1.0179100000000001</v>
      </c>
      <c r="AH232" s="22">
        <v>401.97399999999999</v>
      </c>
      <c r="AI232" s="22">
        <v>-1.69739E-2</v>
      </c>
      <c r="AJ232" s="22">
        <v>222</v>
      </c>
      <c r="AK232" s="22">
        <v>1.01654</v>
      </c>
      <c r="AL232">
        <f t="shared" si="42"/>
        <v>16.9739</v>
      </c>
      <c r="AM232">
        <f t="shared" si="43"/>
        <v>17.277902549000004</v>
      </c>
      <c r="AP232" s="9"/>
      <c r="AQ232" s="22">
        <v>0.68206800000000001</v>
      </c>
      <c r="AR232" s="22">
        <v>503.084</v>
      </c>
      <c r="AS232" s="22">
        <v>-1.7349199999999999E-2</v>
      </c>
      <c r="AT232" s="22">
        <v>222</v>
      </c>
      <c r="AU232" s="22">
        <v>0.68167100000000003</v>
      </c>
      <c r="AV232">
        <f t="shared" si="44"/>
        <v>17.3492</v>
      </c>
      <c r="AW232">
        <f t="shared" si="45"/>
        <v>11.8333341456</v>
      </c>
      <c r="AX232" s="9"/>
      <c r="AY232" s="22">
        <v>1.0179100000000001</v>
      </c>
      <c r="AZ232" s="22">
        <v>575.33799999999997</v>
      </c>
      <c r="BA232" s="22">
        <v>-1.69342E-2</v>
      </c>
      <c r="BB232" s="22">
        <v>222</v>
      </c>
      <c r="BC232" s="22">
        <v>1.01715</v>
      </c>
      <c r="BD232">
        <f t="shared" si="46"/>
        <v>16.934200000000001</v>
      </c>
      <c r="BE232">
        <f t="shared" si="47"/>
        <v>17.237491522000003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96.124099999999999</v>
      </c>
      <c r="I233" s="22">
        <v>-1.7395000000000001E-2</v>
      </c>
      <c r="J233" s="22">
        <v>223</v>
      </c>
      <c r="K233" s="22">
        <v>0.67678799999999995</v>
      </c>
      <c r="L233">
        <f t="shared" si="36"/>
        <v>17.395</v>
      </c>
      <c r="M233">
        <f t="shared" si="37"/>
        <v>11.776971639999999</v>
      </c>
      <c r="N233" s="9"/>
      <c r="O233" s="22">
        <v>1.02295</v>
      </c>
      <c r="P233" s="22">
        <v>162.084</v>
      </c>
      <c r="Q233" s="22">
        <v>-1.7053200000000001E-2</v>
      </c>
      <c r="R233" s="22">
        <v>223</v>
      </c>
      <c r="S233" s="22">
        <v>1.02234</v>
      </c>
      <c r="T233">
        <f t="shared" si="38"/>
        <v>17.0532</v>
      </c>
      <c r="U233">
        <f t="shared" si="39"/>
        <v>17.444570940000002</v>
      </c>
      <c r="X233" s="9"/>
      <c r="Y233" s="22">
        <v>0.67703199999999997</v>
      </c>
      <c r="Z233" s="22">
        <v>247.63800000000001</v>
      </c>
      <c r="AA233" s="22">
        <v>-1.745E-2</v>
      </c>
      <c r="AB233" s="22">
        <v>223</v>
      </c>
      <c r="AC233" s="22">
        <v>0.67648299999999995</v>
      </c>
      <c r="AD233">
        <f t="shared" si="40"/>
        <v>17.45</v>
      </c>
      <c r="AE233">
        <f t="shared" si="41"/>
        <v>11.814208399999998</v>
      </c>
      <c r="AF233" s="9"/>
      <c r="AG233" s="22">
        <v>1.02295</v>
      </c>
      <c r="AH233" s="22">
        <v>402.07400000000001</v>
      </c>
      <c r="AI233" s="22">
        <v>-1.6970800000000001E-2</v>
      </c>
      <c r="AJ233" s="22">
        <v>223</v>
      </c>
      <c r="AK233" s="22">
        <v>1.02203</v>
      </c>
      <c r="AL233">
        <f t="shared" si="42"/>
        <v>16.970800000000001</v>
      </c>
      <c r="AM233">
        <f t="shared" si="43"/>
        <v>17.360279860000002</v>
      </c>
      <c r="AP233" s="9"/>
      <c r="AQ233" s="22">
        <v>0.67703199999999997</v>
      </c>
      <c r="AR233" s="22">
        <v>503.185</v>
      </c>
      <c r="AS233" s="22">
        <v>-1.7361499999999998E-2</v>
      </c>
      <c r="AT233" s="22">
        <v>223</v>
      </c>
      <c r="AU233" s="22">
        <v>0.67636099999999999</v>
      </c>
      <c r="AV233">
        <f t="shared" si="44"/>
        <v>17.361499999999999</v>
      </c>
      <c r="AW233">
        <f t="shared" si="45"/>
        <v>11.754291067999999</v>
      </c>
      <c r="AX233" s="9"/>
      <c r="AY233" s="22">
        <v>1.02295</v>
      </c>
      <c r="AZ233" s="22">
        <v>575.43899999999996</v>
      </c>
      <c r="BA233" s="22">
        <v>-1.6922E-2</v>
      </c>
      <c r="BB233" s="22">
        <v>223</v>
      </c>
      <c r="BC233" s="22">
        <v>1.02203</v>
      </c>
      <c r="BD233">
        <f t="shared" si="46"/>
        <v>16.922000000000001</v>
      </c>
      <c r="BE233">
        <f t="shared" si="47"/>
        <v>17.310359900000002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96.224800000000002</v>
      </c>
      <c r="I234" s="22">
        <v>-1.7392000000000001E-2</v>
      </c>
      <c r="J234" s="22">
        <v>224</v>
      </c>
      <c r="K234" s="22">
        <v>0.67150900000000002</v>
      </c>
      <c r="L234">
        <f t="shared" si="36"/>
        <v>17.391999999999999</v>
      </c>
      <c r="M234">
        <f t="shared" si="37"/>
        <v>11.687371824</v>
      </c>
      <c r="N234" s="9"/>
      <c r="O234" s="22">
        <v>1.0279799999999999</v>
      </c>
      <c r="P234" s="22">
        <v>162.185</v>
      </c>
      <c r="Q234" s="22">
        <v>-1.7050200000000001E-2</v>
      </c>
      <c r="R234" s="22">
        <v>224</v>
      </c>
      <c r="S234" s="22">
        <v>1.0275300000000001</v>
      </c>
      <c r="T234">
        <f t="shared" si="38"/>
        <v>17.0502</v>
      </c>
      <c r="U234">
        <f t="shared" si="39"/>
        <v>17.527264595999998</v>
      </c>
      <c r="X234" s="9"/>
      <c r="Y234" s="22">
        <v>0.67199699999999996</v>
      </c>
      <c r="Z234" s="22">
        <v>247.738</v>
      </c>
      <c r="AA234" s="22">
        <v>-1.7446900000000001E-2</v>
      </c>
      <c r="AB234" s="22">
        <v>224</v>
      </c>
      <c r="AC234" s="22">
        <v>0.67138699999999996</v>
      </c>
      <c r="AD234">
        <f t="shared" si="40"/>
        <v>17.446900000000003</v>
      </c>
      <c r="AE234">
        <f t="shared" si="41"/>
        <v>11.7242644593</v>
      </c>
      <c r="AF234" s="9"/>
      <c r="AG234" s="22">
        <v>1.0279799999999999</v>
      </c>
      <c r="AH234" s="22">
        <v>402.17500000000001</v>
      </c>
      <c r="AI234" s="22">
        <v>-1.69617E-2</v>
      </c>
      <c r="AJ234" s="22">
        <v>224</v>
      </c>
      <c r="AK234" s="22">
        <v>1.02722</v>
      </c>
      <c r="AL234">
        <f t="shared" si="42"/>
        <v>16.9617</v>
      </c>
      <c r="AM234">
        <f t="shared" si="43"/>
        <v>17.436288365999999</v>
      </c>
      <c r="AP234" s="9"/>
      <c r="AQ234" s="22">
        <v>0.67199699999999996</v>
      </c>
      <c r="AR234" s="22">
        <v>503.286</v>
      </c>
      <c r="AS234" s="22">
        <v>-1.7355300000000001E-2</v>
      </c>
      <c r="AT234" s="22">
        <v>224</v>
      </c>
      <c r="AU234" s="22">
        <v>0.67095899999999997</v>
      </c>
      <c r="AV234">
        <f t="shared" si="44"/>
        <v>17.3553</v>
      </c>
      <c r="AW234">
        <f t="shared" si="45"/>
        <v>11.662709534099999</v>
      </c>
      <c r="AX234" s="9"/>
      <c r="AY234" s="22">
        <v>1.0279799999999999</v>
      </c>
      <c r="AZ234" s="22">
        <v>575.54</v>
      </c>
      <c r="BA234" s="22">
        <v>-1.6909799999999999E-2</v>
      </c>
      <c r="BB234" s="22">
        <v>224</v>
      </c>
      <c r="BC234" s="22">
        <v>1.02722</v>
      </c>
      <c r="BD234">
        <f t="shared" si="46"/>
        <v>16.909800000000001</v>
      </c>
      <c r="BE234">
        <f t="shared" si="47"/>
        <v>17.382936204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96.325500000000005</v>
      </c>
      <c r="I235" s="22">
        <v>-1.7395000000000001E-2</v>
      </c>
      <c r="J235" s="22">
        <v>225</v>
      </c>
      <c r="K235" s="22">
        <v>0.666412</v>
      </c>
      <c r="L235">
        <f t="shared" si="36"/>
        <v>17.395</v>
      </c>
      <c r="M235">
        <f t="shared" si="37"/>
        <v>11.601803990000001</v>
      </c>
      <c r="N235" s="9"/>
      <c r="O235" s="22">
        <v>1.03302</v>
      </c>
      <c r="P235" s="22">
        <v>162.286</v>
      </c>
      <c r="Q235" s="22">
        <v>-1.70441E-2</v>
      </c>
      <c r="R235" s="22">
        <v>225</v>
      </c>
      <c r="S235" s="22">
        <v>1.0318000000000001</v>
      </c>
      <c r="T235">
        <f t="shared" si="38"/>
        <v>17.0441</v>
      </c>
      <c r="U235">
        <f t="shared" si="39"/>
        <v>17.606896182</v>
      </c>
      <c r="X235" s="9"/>
      <c r="Y235" s="22">
        <v>0.66696200000000005</v>
      </c>
      <c r="Z235" s="22">
        <v>247.839</v>
      </c>
      <c r="AA235" s="22">
        <v>-1.7468299999999999E-2</v>
      </c>
      <c r="AB235" s="22">
        <v>225</v>
      </c>
      <c r="AC235" s="22">
        <v>0.66629000000000005</v>
      </c>
      <c r="AD235">
        <f t="shared" si="40"/>
        <v>17.468299999999999</v>
      </c>
      <c r="AE235">
        <f t="shared" si="41"/>
        <v>11.6506923046</v>
      </c>
      <c r="AF235" s="9"/>
      <c r="AG235" s="22">
        <v>1.03302</v>
      </c>
      <c r="AH235" s="22">
        <v>402.27600000000001</v>
      </c>
      <c r="AI235" s="22">
        <v>-1.6955600000000001E-2</v>
      </c>
      <c r="AJ235" s="22">
        <v>225</v>
      </c>
      <c r="AK235" s="22">
        <v>1.0321</v>
      </c>
      <c r="AL235">
        <f t="shared" si="42"/>
        <v>16.9556</v>
      </c>
      <c r="AM235">
        <f t="shared" si="43"/>
        <v>17.515473912000001</v>
      </c>
      <c r="AP235" s="9"/>
      <c r="AQ235" s="22">
        <v>0.66696200000000005</v>
      </c>
      <c r="AR235" s="22">
        <v>503.38600000000002</v>
      </c>
      <c r="AS235" s="22">
        <v>-1.7364500000000001E-2</v>
      </c>
      <c r="AT235" s="22">
        <v>225</v>
      </c>
      <c r="AU235" s="22">
        <v>0.66598500000000005</v>
      </c>
      <c r="AV235">
        <f t="shared" si="44"/>
        <v>17.364500000000003</v>
      </c>
      <c r="AW235">
        <f t="shared" si="45"/>
        <v>11.581461649000003</v>
      </c>
      <c r="AX235" s="9"/>
      <c r="AY235" s="22">
        <v>1.03302</v>
      </c>
      <c r="AZ235" s="22">
        <v>575.64099999999996</v>
      </c>
      <c r="BA235" s="22">
        <v>-1.6915900000000001E-2</v>
      </c>
      <c r="BB235" s="22">
        <v>225</v>
      </c>
      <c r="BC235" s="22">
        <v>1.0321</v>
      </c>
      <c r="BD235">
        <f t="shared" si="46"/>
        <v>16.915900000000001</v>
      </c>
      <c r="BE235">
        <f t="shared" si="47"/>
        <v>17.474463018000002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96.426199999999994</v>
      </c>
      <c r="I236" s="22">
        <v>-1.7407200000000001E-2</v>
      </c>
      <c r="J236" s="22">
        <v>226</v>
      </c>
      <c r="K236" s="22">
        <v>0.66119399999999995</v>
      </c>
      <c r="L236">
        <f t="shared" si="36"/>
        <v>17.4072</v>
      </c>
      <c r="M236">
        <f t="shared" si="37"/>
        <v>11.522278267200001</v>
      </c>
      <c r="N236" s="9"/>
      <c r="O236" s="22">
        <v>1.03806</v>
      </c>
      <c r="P236" s="22">
        <v>162.386</v>
      </c>
      <c r="Q236" s="22">
        <v>-1.70441E-2</v>
      </c>
      <c r="R236" s="22">
        <v>226</v>
      </c>
      <c r="S236" s="22">
        <v>1.0369900000000001</v>
      </c>
      <c r="T236">
        <f t="shared" si="38"/>
        <v>17.0441</v>
      </c>
      <c r="U236">
        <f t="shared" si="39"/>
        <v>17.692798446000001</v>
      </c>
      <c r="X236" s="9"/>
      <c r="Y236" s="22">
        <v>0.66192600000000001</v>
      </c>
      <c r="Z236" s="22">
        <v>247.94</v>
      </c>
      <c r="AA236" s="22">
        <v>-1.74652E-2</v>
      </c>
      <c r="AB236" s="22">
        <v>226</v>
      </c>
      <c r="AC236" s="22">
        <v>0.66131600000000001</v>
      </c>
      <c r="AD236">
        <f t="shared" si="40"/>
        <v>17.465199999999999</v>
      </c>
      <c r="AE236">
        <f t="shared" si="41"/>
        <v>11.5606699752</v>
      </c>
      <c r="AF236" s="9"/>
      <c r="AG236" s="22">
        <v>1.03806</v>
      </c>
      <c r="AH236" s="22">
        <v>402.37599999999998</v>
      </c>
      <c r="AI236" s="22">
        <v>-1.6955600000000001E-2</v>
      </c>
      <c r="AJ236" s="22">
        <v>226</v>
      </c>
      <c r="AK236" s="22">
        <v>1.03668</v>
      </c>
      <c r="AL236">
        <f t="shared" si="42"/>
        <v>16.9556</v>
      </c>
      <c r="AM236">
        <f t="shared" si="43"/>
        <v>17.600930135999999</v>
      </c>
      <c r="AP236" s="9"/>
      <c r="AQ236" s="22">
        <v>0.66192600000000001</v>
      </c>
      <c r="AR236" s="22">
        <v>503.48700000000002</v>
      </c>
      <c r="AS236" s="22">
        <v>-1.73676E-2</v>
      </c>
      <c r="AT236" s="22">
        <v>226</v>
      </c>
      <c r="AU236" s="22">
        <v>0.66134599999999999</v>
      </c>
      <c r="AV236">
        <f t="shared" si="44"/>
        <v>17.367599999999999</v>
      </c>
      <c r="AW236">
        <f t="shared" si="45"/>
        <v>11.496065997600001</v>
      </c>
      <c r="AX236" s="9"/>
      <c r="AY236" s="22">
        <v>1.03806</v>
      </c>
      <c r="AZ236" s="22">
        <v>575.74099999999999</v>
      </c>
      <c r="BA236" s="22">
        <v>-1.6903700000000001E-2</v>
      </c>
      <c r="BB236" s="22">
        <v>226</v>
      </c>
      <c r="BC236" s="22">
        <v>1.03668</v>
      </c>
      <c r="BD236">
        <f t="shared" si="46"/>
        <v>16.903700000000001</v>
      </c>
      <c r="BE236">
        <f t="shared" si="47"/>
        <v>17.547054822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96.526899999999998</v>
      </c>
      <c r="I237" s="22">
        <v>-1.7416399999999999E-2</v>
      </c>
      <c r="J237" s="22">
        <v>227</v>
      </c>
      <c r="K237" s="22">
        <v>0.65652500000000003</v>
      </c>
      <c r="L237">
        <f t="shared" si="36"/>
        <v>17.416399999999999</v>
      </c>
      <c r="M237">
        <f t="shared" si="37"/>
        <v>11.4406764124</v>
      </c>
      <c r="N237" s="9"/>
      <c r="O237" s="22">
        <v>1.0430900000000001</v>
      </c>
      <c r="P237" s="22">
        <v>162.48699999999999</v>
      </c>
      <c r="Q237" s="22">
        <v>-1.7034899999999999E-2</v>
      </c>
      <c r="R237" s="22">
        <v>227</v>
      </c>
      <c r="S237" s="22">
        <v>1.0421800000000001</v>
      </c>
      <c r="T237">
        <f t="shared" si="38"/>
        <v>17.0349</v>
      </c>
      <c r="U237">
        <f t="shared" si="39"/>
        <v>17.768933841000003</v>
      </c>
      <c r="X237" s="9"/>
      <c r="Y237" s="22">
        <v>0.656891</v>
      </c>
      <c r="Z237" s="22">
        <v>248.04</v>
      </c>
      <c r="AA237" s="22">
        <v>-1.7471299999999999E-2</v>
      </c>
      <c r="AB237" s="22">
        <v>227</v>
      </c>
      <c r="AC237" s="22">
        <v>0.65603599999999995</v>
      </c>
      <c r="AD237">
        <f t="shared" si="40"/>
        <v>17.471299999999999</v>
      </c>
      <c r="AE237">
        <f t="shared" si="41"/>
        <v>11.4767397283</v>
      </c>
      <c r="AF237" s="9"/>
      <c r="AG237" s="22">
        <v>1.0430900000000001</v>
      </c>
      <c r="AH237" s="22">
        <v>402.47699999999998</v>
      </c>
      <c r="AI237" s="22">
        <v>-1.69342E-2</v>
      </c>
      <c r="AJ237" s="22">
        <v>227</v>
      </c>
      <c r="AK237" s="22">
        <v>1.0418700000000001</v>
      </c>
      <c r="AL237">
        <f t="shared" si="42"/>
        <v>16.934200000000001</v>
      </c>
      <c r="AM237">
        <f t="shared" si="43"/>
        <v>17.663894678000002</v>
      </c>
      <c r="AP237" s="9"/>
      <c r="AQ237" s="22">
        <v>0.656891</v>
      </c>
      <c r="AR237" s="22">
        <v>503.58800000000002</v>
      </c>
      <c r="AS237" s="22">
        <v>-1.73828E-2</v>
      </c>
      <c r="AT237" s="22">
        <v>227</v>
      </c>
      <c r="AU237" s="22">
        <v>0.65618900000000002</v>
      </c>
      <c r="AV237">
        <f t="shared" si="44"/>
        <v>17.3828</v>
      </c>
      <c r="AW237">
        <f t="shared" si="45"/>
        <v>11.4186048748</v>
      </c>
      <c r="AX237" s="9"/>
      <c r="AY237" s="22">
        <v>1.0430900000000001</v>
      </c>
      <c r="AZ237" s="22">
        <v>575.84199999999998</v>
      </c>
      <c r="BA237" s="22">
        <v>-1.68915E-2</v>
      </c>
      <c r="BB237" s="22">
        <v>227</v>
      </c>
      <c r="BC237" s="22">
        <v>1.0418700000000001</v>
      </c>
      <c r="BD237">
        <f t="shared" si="46"/>
        <v>16.891500000000001</v>
      </c>
      <c r="BE237">
        <f t="shared" si="47"/>
        <v>17.619354735000002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96.627600000000001</v>
      </c>
      <c r="I238" s="22">
        <v>-1.7419400000000002E-2</v>
      </c>
      <c r="J238" s="22">
        <v>228</v>
      </c>
      <c r="K238" s="22">
        <v>0.65109300000000003</v>
      </c>
      <c r="L238">
        <f t="shared" si="36"/>
        <v>17.419400000000003</v>
      </c>
      <c r="M238">
        <f t="shared" si="37"/>
        <v>11.354922987000002</v>
      </c>
      <c r="N238" s="9"/>
      <c r="O238" s="22">
        <v>1.04813</v>
      </c>
      <c r="P238" s="22">
        <v>162.58799999999999</v>
      </c>
      <c r="Q238" s="22">
        <v>-1.7031899999999999E-2</v>
      </c>
      <c r="R238" s="22">
        <v>228</v>
      </c>
      <c r="S238" s="22">
        <v>1.0467500000000001</v>
      </c>
      <c r="T238">
        <f t="shared" si="38"/>
        <v>17.0319</v>
      </c>
      <c r="U238">
        <f t="shared" si="39"/>
        <v>17.851645347000002</v>
      </c>
      <c r="X238" s="9"/>
      <c r="Y238" s="22">
        <v>0.65185499999999996</v>
      </c>
      <c r="Z238" s="22">
        <v>248.14099999999999</v>
      </c>
      <c r="AA238" s="22">
        <v>-1.7474400000000001E-2</v>
      </c>
      <c r="AB238" s="22">
        <v>228</v>
      </c>
      <c r="AC238" s="22">
        <v>0.65127599999999997</v>
      </c>
      <c r="AD238">
        <f t="shared" si="40"/>
        <v>17.474400000000003</v>
      </c>
      <c r="AE238">
        <f t="shared" si="41"/>
        <v>11.390775012000001</v>
      </c>
      <c r="AF238" s="9"/>
      <c r="AG238" s="22">
        <v>1.04813</v>
      </c>
      <c r="AH238" s="22">
        <v>402.57799999999997</v>
      </c>
      <c r="AI238" s="22">
        <v>-1.6928100000000001E-2</v>
      </c>
      <c r="AJ238" s="22">
        <v>228</v>
      </c>
      <c r="AK238" s="22">
        <v>1.0470600000000001</v>
      </c>
      <c r="AL238">
        <f t="shared" si="42"/>
        <v>16.928100000000001</v>
      </c>
      <c r="AM238">
        <f t="shared" si="43"/>
        <v>17.742849453000002</v>
      </c>
      <c r="AP238" s="9"/>
      <c r="AQ238" s="22">
        <v>0.65185499999999996</v>
      </c>
      <c r="AR238" s="22">
        <v>503.68799999999999</v>
      </c>
      <c r="AS238" s="22">
        <v>-1.73828E-2</v>
      </c>
      <c r="AT238" s="22">
        <v>228</v>
      </c>
      <c r="AU238" s="22">
        <v>0.65118399999999999</v>
      </c>
      <c r="AV238">
        <f t="shared" si="44"/>
        <v>17.3828</v>
      </c>
      <c r="AW238">
        <f t="shared" si="45"/>
        <v>11.331065094</v>
      </c>
      <c r="AX238" s="9"/>
      <c r="AY238" s="22">
        <v>1.04813</v>
      </c>
      <c r="AZ238" s="22">
        <v>575.94299999999998</v>
      </c>
      <c r="BA238" s="22">
        <v>-1.6882299999999999E-2</v>
      </c>
      <c r="BB238" s="22">
        <v>228</v>
      </c>
      <c r="BC238" s="22">
        <v>1.0473600000000001</v>
      </c>
      <c r="BD238">
        <f t="shared" si="46"/>
        <v>16.882300000000001</v>
      </c>
      <c r="BE238">
        <f t="shared" si="47"/>
        <v>17.694845099000002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96.728399999999993</v>
      </c>
      <c r="I239" s="22">
        <v>-1.74255E-2</v>
      </c>
      <c r="J239" s="22">
        <v>229</v>
      </c>
      <c r="K239" s="22">
        <v>0.64581299999999997</v>
      </c>
      <c r="L239">
        <f t="shared" si="36"/>
        <v>17.4255</v>
      </c>
      <c r="M239">
        <f t="shared" si="37"/>
        <v>11.271161909999998</v>
      </c>
      <c r="N239" s="9"/>
      <c r="O239" s="22">
        <v>1.0531600000000001</v>
      </c>
      <c r="P239" s="22">
        <v>162.68799999999999</v>
      </c>
      <c r="Q239" s="22">
        <v>-1.7034899999999999E-2</v>
      </c>
      <c r="R239" s="22">
        <v>229</v>
      </c>
      <c r="S239" s="22">
        <v>1.0519400000000001</v>
      </c>
      <c r="T239">
        <f t="shared" si="38"/>
        <v>17.0349</v>
      </c>
      <c r="U239">
        <f t="shared" si="39"/>
        <v>17.940475284000001</v>
      </c>
      <c r="X239" s="9"/>
      <c r="Y239" s="22">
        <v>0.64681999999999995</v>
      </c>
      <c r="Z239" s="22">
        <v>248.24199999999999</v>
      </c>
      <c r="AA239" s="22">
        <v>-1.7477400000000001E-2</v>
      </c>
      <c r="AB239" s="22">
        <v>229</v>
      </c>
      <c r="AC239" s="22">
        <v>0.64605699999999999</v>
      </c>
      <c r="AD239">
        <f t="shared" si="40"/>
        <v>17.477399999999999</v>
      </c>
      <c r="AE239">
        <f t="shared" si="41"/>
        <v>11.304731867999999</v>
      </c>
      <c r="AF239" s="9"/>
      <c r="AG239" s="22">
        <v>1.0531600000000001</v>
      </c>
      <c r="AH239" s="22">
        <v>402.67899999999997</v>
      </c>
      <c r="AI239" s="22">
        <v>-1.6918900000000001E-2</v>
      </c>
      <c r="AJ239" s="22">
        <v>229</v>
      </c>
      <c r="AK239" s="22">
        <v>1.0528599999999999</v>
      </c>
      <c r="AL239">
        <f t="shared" si="42"/>
        <v>16.918900000000001</v>
      </c>
      <c r="AM239">
        <f t="shared" si="43"/>
        <v>17.818308724000001</v>
      </c>
      <c r="AP239" s="9"/>
      <c r="AQ239" s="22">
        <v>0.64681999999999995</v>
      </c>
      <c r="AR239" s="22">
        <v>503.78899999999999</v>
      </c>
      <c r="AS239" s="22">
        <v>-1.7392000000000001E-2</v>
      </c>
      <c r="AT239" s="22">
        <v>229</v>
      </c>
      <c r="AU239" s="22">
        <v>0.64630100000000001</v>
      </c>
      <c r="AV239">
        <f t="shared" si="44"/>
        <v>17.391999999999999</v>
      </c>
      <c r="AW239">
        <f t="shared" si="45"/>
        <v>11.249493439999998</v>
      </c>
      <c r="AX239" s="9"/>
      <c r="AY239" s="22">
        <v>1.0531600000000001</v>
      </c>
      <c r="AZ239" s="22">
        <v>576.04300000000001</v>
      </c>
      <c r="BA239" s="22">
        <v>-1.6882299999999999E-2</v>
      </c>
      <c r="BB239" s="22">
        <v>229</v>
      </c>
      <c r="BC239" s="22">
        <v>1.0516399999999999</v>
      </c>
      <c r="BD239">
        <f t="shared" si="46"/>
        <v>16.882300000000001</v>
      </c>
      <c r="BE239">
        <f t="shared" si="47"/>
        <v>17.779763068000001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96.829099999999997</v>
      </c>
      <c r="I240" s="22">
        <v>-1.7428599999999999E-2</v>
      </c>
      <c r="J240" s="22">
        <v>230</v>
      </c>
      <c r="K240" s="22">
        <v>0.64099099999999998</v>
      </c>
      <c r="L240">
        <f t="shared" si="36"/>
        <v>17.428599999999999</v>
      </c>
      <c r="M240">
        <f t="shared" si="37"/>
        <v>11.185414051</v>
      </c>
      <c r="N240" s="9"/>
      <c r="O240" s="22">
        <v>1.0582</v>
      </c>
      <c r="P240" s="22">
        <v>162.78899999999999</v>
      </c>
      <c r="Q240" s="22">
        <v>-1.7019699999999999E-2</v>
      </c>
      <c r="R240" s="22">
        <v>230</v>
      </c>
      <c r="S240" s="22">
        <v>1.0568200000000001</v>
      </c>
      <c r="T240">
        <f t="shared" si="38"/>
        <v>17.0197</v>
      </c>
      <c r="U240">
        <f t="shared" si="39"/>
        <v>18.010246540000001</v>
      </c>
      <c r="X240" s="9"/>
      <c r="Y240" s="22">
        <v>0.64178500000000005</v>
      </c>
      <c r="Z240" s="22">
        <v>248.34299999999999</v>
      </c>
      <c r="AA240" s="22">
        <v>-1.7483499999999999E-2</v>
      </c>
      <c r="AB240" s="22">
        <v>230</v>
      </c>
      <c r="AC240" s="22">
        <v>0.64108299999999996</v>
      </c>
      <c r="AD240">
        <f t="shared" si="40"/>
        <v>17.483499999999999</v>
      </c>
      <c r="AE240">
        <f t="shared" si="41"/>
        <v>11.220648047500001</v>
      </c>
      <c r="AF240" s="9"/>
      <c r="AG240" s="22">
        <v>1.0582</v>
      </c>
      <c r="AH240" s="22">
        <v>402.779</v>
      </c>
      <c r="AI240" s="22">
        <v>-1.6922E-2</v>
      </c>
      <c r="AJ240" s="22">
        <v>230</v>
      </c>
      <c r="AK240" s="22">
        <v>1.0571299999999999</v>
      </c>
      <c r="AL240">
        <f t="shared" si="42"/>
        <v>16.922000000000001</v>
      </c>
      <c r="AM240">
        <f t="shared" si="43"/>
        <v>17.906860400000003</v>
      </c>
      <c r="AP240" s="9"/>
      <c r="AQ240" s="22">
        <v>0.64178500000000005</v>
      </c>
      <c r="AR240" s="22">
        <v>503.89</v>
      </c>
      <c r="AS240" s="22">
        <v>-1.7395000000000001E-2</v>
      </c>
      <c r="AT240" s="22">
        <v>230</v>
      </c>
      <c r="AU240" s="22">
        <v>0.64114400000000005</v>
      </c>
      <c r="AV240">
        <f t="shared" si="44"/>
        <v>17.395</v>
      </c>
      <c r="AW240">
        <f t="shared" si="45"/>
        <v>11.163850075000001</v>
      </c>
      <c r="AX240" s="9"/>
      <c r="AY240" s="22">
        <v>1.0582</v>
      </c>
      <c r="AZ240" s="22">
        <v>576.14400000000001</v>
      </c>
      <c r="BA240" s="22">
        <v>-1.6882299999999999E-2</v>
      </c>
      <c r="BB240" s="22">
        <v>230</v>
      </c>
      <c r="BC240" s="22">
        <v>1.0577399999999999</v>
      </c>
      <c r="BD240">
        <f t="shared" si="46"/>
        <v>16.882300000000001</v>
      </c>
      <c r="BE240">
        <f t="shared" si="47"/>
        <v>17.86484986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96.9298</v>
      </c>
      <c r="I241" s="22">
        <v>-1.7431599999999998E-2</v>
      </c>
      <c r="J241" s="22">
        <v>231</v>
      </c>
      <c r="K241" s="22">
        <v>0.63601700000000005</v>
      </c>
      <c r="L241">
        <f t="shared" si="36"/>
        <v>17.4316</v>
      </c>
      <c r="M241">
        <f t="shared" si="37"/>
        <v>11.099553868399999</v>
      </c>
      <c r="N241" s="9"/>
      <c r="O241" s="22">
        <v>1.0632299999999999</v>
      </c>
      <c r="P241" s="22">
        <v>162.88999999999999</v>
      </c>
      <c r="Q241" s="22">
        <v>-1.70166E-2</v>
      </c>
      <c r="R241" s="22">
        <v>231</v>
      </c>
      <c r="S241" s="22">
        <v>1.0620099999999999</v>
      </c>
      <c r="T241">
        <f t="shared" si="38"/>
        <v>17.0166</v>
      </c>
      <c r="U241">
        <f t="shared" si="39"/>
        <v>18.092559617999999</v>
      </c>
      <c r="X241" s="9"/>
      <c r="Y241" s="22">
        <v>0.63674900000000001</v>
      </c>
      <c r="Z241" s="22">
        <v>248.44300000000001</v>
      </c>
      <c r="AA241" s="22">
        <v>-1.7489600000000001E-2</v>
      </c>
      <c r="AB241" s="22">
        <v>231</v>
      </c>
      <c r="AC241" s="22">
        <v>0.63613900000000001</v>
      </c>
      <c r="AD241">
        <f t="shared" si="40"/>
        <v>17.489599999999999</v>
      </c>
      <c r="AE241">
        <f t="shared" si="41"/>
        <v>11.136485310399999</v>
      </c>
      <c r="AF241" s="9"/>
      <c r="AG241" s="22">
        <v>1.0632299999999999</v>
      </c>
      <c r="AH241" s="22">
        <v>402.88</v>
      </c>
      <c r="AI241" s="22">
        <v>-1.6909799999999999E-2</v>
      </c>
      <c r="AJ241" s="22">
        <v>231</v>
      </c>
      <c r="AK241" s="22">
        <v>1.0620099999999999</v>
      </c>
      <c r="AL241">
        <f t="shared" si="42"/>
        <v>16.909800000000001</v>
      </c>
      <c r="AM241">
        <f t="shared" si="43"/>
        <v>17.979006653999999</v>
      </c>
      <c r="AP241" s="9"/>
      <c r="AQ241" s="22">
        <v>0.63674900000000001</v>
      </c>
      <c r="AR241" s="22">
        <v>503.99099999999999</v>
      </c>
      <c r="AS241" s="22">
        <v>-1.74103E-2</v>
      </c>
      <c r="AT241" s="22">
        <v>231</v>
      </c>
      <c r="AU241" s="22">
        <v>0.63616899999999998</v>
      </c>
      <c r="AV241">
        <f t="shared" si="44"/>
        <v>17.410299999999999</v>
      </c>
      <c r="AW241">
        <f t="shared" si="45"/>
        <v>11.085991114700001</v>
      </c>
      <c r="AX241" s="9"/>
      <c r="AY241" s="22">
        <v>1.0632299999999999</v>
      </c>
      <c r="AZ241" s="22">
        <v>576.245</v>
      </c>
      <c r="BA241" s="22">
        <v>-1.6870099999999999E-2</v>
      </c>
      <c r="BB241" s="22">
        <v>231</v>
      </c>
      <c r="BC241" s="22">
        <v>1.0629299999999999</v>
      </c>
      <c r="BD241">
        <f t="shared" si="46"/>
        <v>16.870100000000001</v>
      </c>
      <c r="BE241">
        <f t="shared" si="47"/>
        <v>17.936796423000001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97.030500000000004</v>
      </c>
      <c r="I242" s="22">
        <v>-1.7443799999999999E-2</v>
      </c>
      <c r="J242" s="22">
        <v>232</v>
      </c>
      <c r="K242" s="22">
        <v>0.63104199999999999</v>
      </c>
      <c r="L242">
        <f t="shared" si="36"/>
        <v>17.4438</v>
      </c>
      <c r="M242">
        <f t="shared" si="37"/>
        <v>11.0194926732</v>
      </c>
      <c r="N242" s="9"/>
      <c r="O242" s="22">
        <v>1.0682700000000001</v>
      </c>
      <c r="P242" s="22">
        <v>162.99100000000001</v>
      </c>
      <c r="Q242" s="22">
        <v>-1.70166E-2</v>
      </c>
      <c r="R242" s="22">
        <v>232</v>
      </c>
      <c r="S242" s="22">
        <v>1.0674999999999999</v>
      </c>
      <c r="T242">
        <f t="shared" si="38"/>
        <v>17.0166</v>
      </c>
      <c r="U242">
        <f t="shared" si="39"/>
        <v>18.178323282000001</v>
      </c>
      <c r="X242" s="9"/>
      <c r="Y242" s="22">
        <v>0.631714</v>
      </c>
      <c r="Z242" s="22">
        <v>248.54400000000001</v>
      </c>
      <c r="AA242" s="22">
        <v>-1.7486600000000001E-2</v>
      </c>
      <c r="AB242" s="22">
        <v>232</v>
      </c>
      <c r="AC242" s="22">
        <v>0.63113399999999997</v>
      </c>
      <c r="AD242">
        <f t="shared" si="40"/>
        <v>17.486600000000003</v>
      </c>
      <c r="AE242">
        <f t="shared" si="41"/>
        <v>11.046530032400002</v>
      </c>
      <c r="AF242" s="9"/>
      <c r="AG242" s="22">
        <v>1.0682700000000001</v>
      </c>
      <c r="AH242" s="22">
        <v>402.98099999999999</v>
      </c>
      <c r="AI242" s="22">
        <v>-1.6900600000000002E-2</v>
      </c>
      <c r="AJ242" s="22">
        <v>232</v>
      </c>
      <c r="AK242" s="22">
        <v>1.0671999999999999</v>
      </c>
      <c r="AL242">
        <f t="shared" si="42"/>
        <v>16.900600000000001</v>
      </c>
      <c r="AM242">
        <f t="shared" si="43"/>
        <v>18.054403962000002</v>
      </c>
      <c r="AP242" s="9"/>
      <c r="AQ242" s="22">
        <v>0.631714</v>
      </c>
      <c r="AR242" s="22">
        <v>504.09100000000001</v>
      </c>
      <c r="AS242" s="22">
        <v>-1.74133E-2</v>
      </c>
      <c r="AT242" s="22">
        <v>232</v>
      </c>
      <c r="AU242" s="22">
        <v>0.63116499999999998</v>
      </c>
      <c r="AV242">
        <f t="shared" si="44"/>
        <v>17.4133</v>
      </c>
      <c r="AW242">
        <f t="shared" si="45"/>
        <v>11.000225396199999</v>
      </c>
      <c r="AX242" s="9"/>
      <c r="AY242" s="22">
        <v>1.0682700000000001</v>
      </c>
      <c r="AZ242" s="22">
        <v>576.34500000000003</v>
      </c>
      <c r="BA242" s="22">
        <v>-1.6864000000000001E-2</v>
      </c>
      <c r="BB242" s="22">
        <v>232</v>
      </c>
      <c r="BC242" s="22">
        <v>1.0668899999999999</v>
      </c>
      <c r="BD242">
        <f t="shared" si="46"/>
        <v>16.864000000000001</v>
      </c>
      <c r="BE242">
        <f t="shared" si="47"/>
        <v>18.015305280000003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97.131200000000007</v>
      </c>
      <c r="I243" s="22">
        <v>-1.7440799999999999E-2</v>
      </c>
      <c r="J243" s="22">
        <v>233</v>
      </c>
      <c r="K243" s="22">
        <v>0.625946</v>
      </c>
      <c r="L243">
        <f t="shared" si="36"/>
        <v>17.440799999999999</v>
      </c>
      <c r="M243">
        <f t="shared" si="37"/>
        <v>10.929765662399999</v>
      </c>
      <c r="N243" s="9"/>
      <c r="O243" s="22">
        <v>1.0732999999999999</v>
      </c>
      <c r="P243" s="22">
        <v>163.09100000000001</v>
      </c>
      <c r="Q243" s="22">
        <v>-1.7007399999999999E-2</v>
      </c>
      <c r="R243" s="22">
        <v>233</v>
      </c>
      <c r="S243" s="22">
        <v>1.07239</v>
      </c>
      <c r="T243">
        <f t="shared" si="38"/>
        <v>17.007400000000001</v>
      </c>
      <c r="U243">
        <f t="shared" si="39"/>
        <v>18.254042419999998</v>
      </c>
      <c r="X243" s="9"/>
      <c r="Y243" s="22">
        <v>0.62667799999999996</v>
      </c>
      <c r="Z243" s="22">
        <v>248.64500000000001</v>
      </c>
      <c r="AA243" s="22">
        <v>-1.7495699999999999E-2</v>
      </c>
      <c r="AB243" s="22">
        <v>233</v>
      </c>
      <c r="AC243" s="22">
        <v>0.62582400000000005</v>
      </c>
      <c r="AD243">
        <f t="shared" si="40"/>
        <v>17.495699999999999</v>
      </c>
      <c r="AE243">
        <f t="shared" si="41"/>
        <v>10.964170284599998</v>
      </c>
      <c r="AF243" s="9"/>
      <c r="AG243" s="22">
        <v>1.0732999999999999</v>
      </c>
      <c r="AH243" s="22">
        <v>403.08100000000002</v>
      </c>
      <c r="AI243" s="22">
        <v>-1.68945E-2</v>
      </c>
      <c r="AJ243" s="22">
        <v>233</v>
      </c>
      <c r="AK243" s="22">
        <v>1.0726899999999999</v>
      </c>
      <c r="AL243">
        <f t="shared" si="42"/>
        <v>16.894500000000001</v>
      </c>
      <c r="AM243">
        <f t="shared" si="43"/>
        <v>18.132866849999999</v>
      </c>
      <c r="AP243" s="9"/>
      <c r="AQ243" s="22">
        <v>0.62667799999999996</v>
      </c>
      <c r="AR243" s="22">
        <v>504.19200000000001</v>
      </c>
      <c r="AS243" s="22">
        <v>-1.74225E-2</v>
      </c>
      <c r="AT243" s="22">
        <v>233</v>
      </c>
      <c r="AU243" s="22">
        <v>0.62591600000000003</v>
      </c>
      <c r="AV243">
        <f t="shared" si="44"/>
        <v>17.422499999999999</v>
      </c>
      <c r="AW243">
        <f t="shared" si="45"/>
        <v>10.918297454999999</v>
      </c>
      <c r="AX243" s="9"/>
      <c r="AY243" s="22">
        <v>1.0732999999999999</v>
      </c>
      <c r="AZ243" s="22">
        <v>576.44600000000003</v>
      </c>
      <c r="BA243" s="22">
        <v>-1.6848800000000001E-2</v>
      </c>
      <c r="BB243" s="22">
        <v>233</v>
      </c>
      <c r="BC243" s="22">
        <v>1.0726899999999999</v>
      </c>
      <c r="BD243">
        <f t="shared" si="46"/>
        <v>16.848800000000001</v>
      </c>
      <c r="BE243">
        <f t="shared" si="47"/>
        <v>18.08381704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97.231899999999996</v>
      </c>
      <c r="I244" s="22">
        <v>-1.745E-2</v>
      </c>
      <c r="J244" s="22">
        <v>234</v>
      </c>
      <c r="K244" s="22">
        <v>0.62100200000000005</v>
      </c>
      <c r="L244">
        <f t="shared" si="36"/>
        <v>17.45</v>
      </c>
      <c r="M244">
        <f t="shared" si="37"/>
        <v>10.847670349999998</v>
      </c>
      <c r="N244" s="9"/>
      <c r="O244" s="22">
        <v>1.0783400000000001</v>
      </c>
      <c r="P244" s="22">
        <v>163.19200000000001</v>
      </c>
      <c r="Q244" s="22">
        <v>-1.70013E-2</v>
      </c>
      <c r="R244" s="22">
        <v>234</v>
      </c>
      <c r="S244" s="22">
        <v>1.07758</v>
      </c>
      <c r="T244">
        <f t="shared" si="38"/>
        <v>17.001300000000001</v>
      </c>
      <c r="U244">
        <f t="shared" si="39"/>
        <v>18.333181842000002</v>
      </c>
      <c r="X244" s="9"/>
      <c r="Y244" s="22">
        <v>0.62164299999999995</v>
      </c>
      <c r="Z244" s="22">
        <v>248.745</v>
      </c>
      <c r="AA244" s="22">
        <v>-1.75079E-2</v>
      </c>
      <c r="AB244" s="22">
        <v>234</v>
      </c>
      <c r="AC244" s="22">
        <v>0.62085000000000001</v>
      </c>
      <c r="AD244">
        <f t="shared" si="40"/>
        <v>17.507899999999999</v>
      </c>
      <c r="AE244">
        <f t="shared" si="41"/>
        <v>10.883663479699999</v>
      </c>
      <c r="AF244" s="9"/>
      <c r="AG244" s="22">
        <v>1.0783400000000001</v>
      </c>
      <c r="AH244" s="22">
        <v>403.18200000000002</v>
      </c>
      <c r="AI244" s="22">
        <v>-1.68945E-2</v>
      </c>
      <c r="AJ244" s="22">
        <v>234</v>
      </c>
      <c r="AK244" s="22">
        <v>1.07758</v>
      </c>
      <c r="AL244">
        <f t="shared" si="42"/>
        <v>16.894500000000001</v>
      </c>
      <c r="AM244">
        <f t="shared" si="43"/>
        <v>18.218015130000001</v>
      </c>
      <c r="AP244" s="9"/>
      <c r="AQ244" s="22">
        <v>0.62164299999999995</v>
      </c>
      <c r="AR244" s="22">
        <v>504.29300000000001</v>
      </c>
      <c r="AS244" s="22">
        <v>-1.7431599999999998E-2</v>
      </c>
      <c r="AT244" s="22">
        <v>234</v>
      </c>
      <c r="AU244" s="22">
        <v>0.62100200000000005</v>
      </c>
      <c r="AV244">
        <f t="shared" si="44"/>
        <v>17.4316</v>
      </c>
      <c r="AW244">
        <f t="shared" si="45"/>
        <v>10.836232118799998</v>
      </c>
      <c r="AX244" s="9"/>
      <c r="AY244" s="22">
        <v>1.0783400000000001</v>
      </c>
      <c r="AZ244" s="22">
        <v>576.54700000000003</v>
      </c>
      <c r="BA244" s="22">
        <v>-1.6854899999999999E-2</v>
      </c>
      <c r="BB244" s="22">
        <v>234</v>
      </c>
      <c r="BC244" s="22">
        <v>1.0772699999999999</v>
      </c>
      <c r="BD244">
        <f t="shared" si="46"/>
        <v>16.854900000000001</v>
      </c>
      <c r="BE244">
        <f t="shared" si="47"/>
        <v>18.175312866000002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97.332599999999999</v>
      </c>
      <c r="I245" s="22">
        <v>-1.7453E-2</v>
      </c>
      <c r="J245" s="22">
        <v>235</v>
      </c>
      <c r="K245" s="22">
        <v>0.61575299999999999</v>
      </c>
      <c r="L245">
        <f t="shared" si="36"/>
        <v>17.452999999999999</v>
      </c>
      <c r="M245">
        <f t="shared" si="37"/>
        <v>10.761659424000001</v>
      </c>
      <c r="N245" s="9"/>
      <c r="O245" s="22">
        <v>1.0833699999999999</v>
      </c>
      <c r="P245" s="22">
        <v>163.29300000000001</v>
      </c>
      <c r="Q245" s="22">
        <v>-1.6998300000000001E-2</v>
      </c>
      <c r="R245" s="22">
        <v>235</v>
      </c>
      <c r="S245" s="22">
        <v>1.08246</v>
      </c>
      <c r="T245">
        <f t="shared" si="38"/>
        <v>16.9983</v>
      </c>
      <c r="U245">
        <f t="shared" si="39"/>
        <v>18.415448270999999</v>
      </c>
      <c r="X245" s="9"/>
      <c r="Y245" s="22">
        <v>0.61660800000000004</v>
      </c>
      <c r="Z245" s="22">
        <v>248.846</v>
      </c>
      <c r="AA245" s="22">
        <v>-1.7510999999999999E-2</v>
      </c>
      <c r="AB245" s="22">
        <v>235</v>
      </c>
      <c r="AC245" s="22">
        <v>0.61602800000000002</v>
      </c>
      <c r="AD245">
        <f t="shared" si="40"/>
        <v>17.510999999999999</v>
      </c>
      <c r="AE245">
        <f t="shared" si="41"/>
        <v>10.797422688000001</v>
      </c>
      <c r="AF245" s="9"/>
      <c r="AG245" s="22">
        <v>1.0833699999999999</v>
      </c>
      <c r="AH245" s="22">
        <v>403.28300000000002</v>
      </c>
      <c r="AI245" s="22">
        <v>-1.6882299999999999E-2</v>
      </c>
      <c r="AJ245" s="22">
        <v>235</v>
      </c>
      <c r="AK245" s="22">
        <v>1.08246</v>
      </c>
      <c r="AL245">
        <f t="shared" si="42"/>
        <v>16.882300000000001</v>
      </c>
      <c r="AM245">
        <f t="shared" si="43"/>
        <v>18.289777351000001</v>
      </c>
      <c r="AP245" s="9"/>
      <c r="AQ245" s="22">
        <v>0.61660800000000004</v>
      </c>
      <c r="AR245" s="22">
        <v>504.39299999999997</v>
      </c>
      <c r="AS245" s="22">
        <v>-1.74377E-2</v>
      </c>
      <c r="AT245" s="22">
        <v>235</v>
      </c>
      <c r="AU245" s="22">
        <v>0.61587499999999995</v>
      </c>
      <c r="AV245">
        <f t="shared" si="44"/>
        <v>17.4377</v>
      </c>
      <c r="AW245">
        <f t="shared" si="45"/>
        <v>10.752225321600001</v>
      </c>
      <c r="AX245" s="9"/>
      <c r="AY245" s="22">
        <v>1.0833699999999999</v>
      </c>
      <c r="AZ245" s="22">
        <v>576.64800000000002</v>
      </c>
      <c r="BA245" s="22">
        <v>-1.6845700000000002E-2</v>
      </c>
      <c r="BB245" s="22">
        <v>235</v>
      </c>
      <c r="BC245" s="22">
        <v>1.0821499999999999</v>
      </c>
      <c r="BD245">
        <f t="shared" si="46"/>
        <v>16.845700000000001</v>
      </c>
      <c r="BE245">
        <f t="shared" si="47"/>
        <v>18.250126008999999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97.433300000000003</v>
      </c>
      <c r="I246" s="22">
        <v>-1.745E-2</v>
      </c>
      <c r="J246" s="22">
        <v>236</v>
      </c>
      <c r="K246" s="22">
        <v>0.61090100000000003</v>
      </c>
      <c r="L246">
        <f t="shared" si="36"/>
        <v>17.45</v>
      </c>
      <c r="M246">
        <f t="shared" si="37"/>
        <v>10.6719314</v>
      </c>
      <c r="N246" s="9"/>
      <c r="O246" s="22">
        <v>1.0884100000000001</v>
      </c>
      <c r="P246" s="22">
        <v>163.393</v>
      </c>
      <c r="Q246" s="22">
        <v>-1.6995199999999999E-2</v>
      </c>
      <c r="R246" s="22">
        <v>236</v>
      </c>
      <c r="S246" s="22">
        <v>1.08673</v>
      </c>
      <c r="T246">
        <f t="shared" si="38"/>
        <v>16.995199999999997</v>
      </c>
      <c r="U246">
        <f t="shared" si="39"/>
        <v>18.497745631999997</v>
      </c>
      <c r="X246" s="9"/>
      <c r="Y246" s="22">
        <v>0.611572</v>
      </c>
      <c r="Z246" s="22">
        <v>248.947</v>
      </c>
      <c r="AA246" s="22">
        <v>-1.75201E-2</v>
      </c>
      <c r="AB246" s="22">
        <v>236</v>
      </c>
      <c r="AC246" s="22">
        <v>0.61120600000000003</v>
      </c>
      <c r="AD246">
        <f t="shared" si="40"/>
        <v>17.520099999999999</v>
      </c>
      <c r="AE246">
        <f t="shared" si="41"/>
        <v>10.7148025972</v>
      </c>
      <c r="AF246" s="9"/>
      <c r="AG246" s="22">
        <v>1.0884100000000001</v>
      </c>
      <c r="AH246" s="22">
        <v>403.38299999999998</v>
      </c>
      <c r="AI246" s="22">
        <v>-1.6873200000000001E-2</v>
      </c>
      <c r="AJ246" s="22">
        <v>236</v>
      </c>
      <c r="AK246" s="22">
        <v>1.08734</v>
      </c>
      <c r="AL246">
        <f t="shared" si="42"/>
        <v>16.873200000000001</v>
      </c>
      <c r="AM246">
        <f t="shared" si="43"/>
        <v>18.364959612000003</v>
      </c>
      <c r="AP246" s="9"/>
      <c r="AQ246" s="22">
        <v>0.611572</v>
      </c>
      <c r="AR246" s="22">
        <v>504.49400000000003</v>
      </c>
      <c r="AS246" s="22">
        <v>-1.7431599999999998E-2</v>
      </c>
      <c r="AT246" s="22">
        <v>236</v>
      </c>
      <c r="AU246" s="22">
        <v>0.61102299999999998</v>
      </c>
      <c r="AV246">
        <f t="shared" si="44"/>
        <v>17.4316</v>
      </c>
      <c r="AW246">
        <f t="shared" si="45"/>
        <v>10.660678475199999</v>
      </c>
      <c r="AX246" s="9"/>
      <c r="AY246" s="22">
        <v>1.0884100000000001</v>
      </c>
      <c r="AZ246" s="22">
        <v>576.74800000000005</v>
      </c>
      <c r="BA246" s="22">
        <v>-1.68396E-2</v>
      </c>
      <c r="BB246" s="22">
        <v>236</v>
      </c>
      <c r="BC246" s="22">
        <v>1.08673</v>
      </c>
      <c r="BD246">
        <f t="shared" si="46"/>
        <v>16.839600000000001</v>
      </c>
      <c r="BE246">
        <f t="shared" si="47"/>
        <v>18.328389036000001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97.534000000000006</v>
      </c>
      <c r="I247" s="22">
        <v>-1.7459100000000002E-2</v>
      </c>
      <c r="J247" s="22">
        <v>237</v>
      </c>
      <c r="K247" s="22">
        <v>0.60601799999999995</v>
      </c>
      <c r="L247">
        <f t="shared" si="36"/>
        <v>17.459100000000003</v>
      </c>
      <c r="M247">
        <f t="shared" si="37"/>
        <v>10.589590136700002</v>
      </c>
      <c r="N247" s="9"/>
      <c r="O247" s="22">
        <v>1.09344</v>
      </c>
      <c r="P247" s="22">
        <v>163.494</v>
      </c>
      <c r="Q247" s="22">
        <v>-1.69891E-2</v>
      </c>
      <c r="R247" s="22">
        <v>237</v>
      </c>
      <c r="S247" s="22">
        <v>1.09283</v>
      </c>
      <c r="T247">
        <f t="shared" si="38"/>
        <v>16.989100000000001</v>
      </c>
      <c r="U247">
        <f t="shared" si="39"/>
        <v>18.576561504000001</v>
      </c>
      <c r="X247" s="9"/>
      <c r="Y247" s="22">
        <v>0.60653699999999999</v>
      </c>
      <c r="Z247" s="22">
        <v>249.047</v>
      </c>
      <c r="AA247" s="22">
        <v>-1.7517100000000001E-2</v>
      </c>
      <c r="AB247" s="22">
        <v>237</v>
      </c>
      <c r="AC247" s="22">
        <v>0.60586499999999999</v>
      </c>
      <c r="AD247">
        <f t="shared" si="40"/>
        <v>17.517099999999999</v>
      </c>
      <c r="AE247">
        <f t="shared" si="41"/>
        <v>10.624769282699999</v>
      </c>
      <c r="AF247" s="9"/>
      <c r="AG247" s="22">
        <v>1.09344</v>
      </c>
      <c r="AH247" s="22">
        <v>403.48399999999998</v>
      </c>
      <c r="AI247" s="22">
        <v>-1.6873200000000001E-2</v>
      </c>
      <c r="AJ247" s="22">
        <v>237</v>
      </c>
      <c r="AK247" s="22">
        <v>1.09222</v>
      </c>
      <c r="AL247">
        <f t="shared" si="42"/>
        <v>16.873200000000001</v>
      </c>
      <c r="AM247">
        <f t="shared" si="43"/>
        <v>18.449831807999999</v>
      </c>
      <c r="AP247" s="9"/>
      <c r="AQ247" s="22">
        <v>0.60653699999999999</v>
      </c>
      <c r="AR247" s="22">
        <v>504.59500000000003</v>
      </c>
      <c r="AS247" s="22">
        <v>-1.745E-2</v>
      </c>
      <c r="AT247" s="22">
        <v>237</v>
      </c>
      <c r="AU247" s="22">
        <v>0.60562099999999996</v>
      </c>
      <c r="AV247">
        <f t="shared" si="44"/>
        <v>17.45</v>
      </c>
      <c r="AW247">
        <f t="shared" si="45"/>
        <v>10.584070649999999</v>
      </c>
      <c r="AX247" s="9"/>
      <c r="AY247" s="22">
        <v>1.09344</v>
      </c>
      <c r="AZ247" s="22">
        <v>576.84900000000005</v>
      </c>
      <c r="BA247" s="22">
        <v>-1.6833500000000001E-2</v>
      </c>
      <c r="BB247" s="22">
        <v>237</v>
      </c>
      <c r="BC247" s="22">
        <v>1.09283</v>
      </c>
      <c r="BD247">
        <f t="shared" si="46"/>
        <v>16.833500000000001</v>
      </c>
      <c r="BE247">
        <f t="shared" si="47"/>
        <v>18.406422240000001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97.634699999999995</v>
      </c>
      <c r="I248" s="22">
        <v>-1.7468299999999999E-2</v>
      </c>
      <c r="J248" s="22">
        <v>238</v>
      </c>
      <c r="K248" s="22">
        <v>0.60089099999999995</v>
      </c>
      <c r="L248">
        <f t="shared" si="36"/>
        <v>17.468299999999999</v>
      </c>
      <c r="M248">
        <f t="shared" si="37"/>
        <v>10.5071999183</v>
      </c>
      <c r="N248" s="9"/>
      <c r="O248" s="22">
        <v>1.0984799999999999</v>
      </c>
      <c r="P248" s="22">
        <v>163.595</v>
      </c>
      <c r="Q248" s="22">
        <v>-1.69891E-2</v>
      </c>
      <c r="R248" s="22">
        <v>238</v>
      </c>
      <c r="S248" s="22">
        <v>1.09772</v>
      </c>
      <c r="T248">
        <f t="shared" si="38"/>
        <v>16.989100000000001</v>
      </c>
      <c r="U248">
        <f t="shared" si="39"/>
        <v>18.662186567999999</v>
      </c>
      <c r="X248" s="9"/>
      <c r="Y248" s="22">
        <v>0.60150099999999995</v>
      </c>
      <c r="Z248" s="22">
        <v>249.148</v>
      </c>
      <c r="AA248" s="22">
        <v>-1.7529300000000001E-2</v>
      </c>
      <c r="AB248" s="22">
        <v>238</v>
      </c>
      <c r="AC248" s="22">
        <v>0.60040300000000002</v>
      </c>
      <c r="AD248">
        <f t="shared" si="40"/>
        <v>17.529300000000003</v>
      </c>
      <c r="AE248">
        <f t="shared" si="41"/>
        <v>10.543891479300001</v>
      </c>
      <c r="AF248" s="9"/>
      <c r="AG248" s="22">
        <v>1.0984799999999999</v>
      </c>
      <c r="AH248" s="22">
        <v>403.58499999999998</v>
      </c>
      <c r="AI248" s="22">
        <v>-1.6864000000000001E-2</v>
      </c>
      <c r="AJ248" s="22">
        <v>238</v>
      </c>
      <c r="AK248" s="22">
        <v>1.09741</v>
      </c>
      <c r="AL248">
        <f t="shared" si="42"/>
        <v>16.864000000000001</v>
      </c>
      <c r="AM248">
        <f t="shared" si="43"/>
        <v>18.524766719999999</v>
      </c>
      <c r="AP248" s="9"/>
      <c r="AQ248" s="22">
        <v>0.60150099999999995</v>
      </c>
      <c r="AR248" s="22">
        <v>504.69600000000003</v>
      </c>
      <c r="AS248" s="22">
        <v>-1.7453E-2</v>
      </c>
      <c r="AT248" s="22">
        <v>238</v>
      </c>
      <c r="AU248" s="22">
        <v>0.60082999999999998</v>
      </c>
      <c r="AV248">
        <f t="shared" si="44"/>
        <v>17.452999999999999</v>
      </c>
      <c r="AW248">
        <f t="shared" si="45"/>
        <v>10.497996952999999</v>
      </c>
      <c r="AX248" s="9"/>
      <c r="AY248" s="22">
        <v>1.0984799999999999</v>
      </c>
      <c r="AZ248" s="22">
        <v>576.95000000000005</v>
      </c>
      <c r="BA248" s="22">
        <v>-1.6833500000000001E-2</v>
      </c>
      <c r="BB248" s="22">
        <v>238</v>
      </c>
      <c r="BC248" s="22">
        <v>1.09772</v>
      </c>
      <c r="BD248">
        <f t="shared" si="46"/>
        <v>16.833500000000001</v>
      </c>
      <c r="BE248">
        <f t="shared" si="47"/>
        <v>18.49126308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97.735399999999998</v>
      </c>
      <c r="I249" s="22">
        <v>-1.7486600000000001E-2</v>
      </c>
      <c r="J249" s="22">
        <v>239</v>
      </c>
      <c r="K249" s="22">
        <v>0.595947</v>
      </c>
      <c r="L249">
        <f t="shared" si="36"/>
        <v>17.486600000000003</v>
      </c>
      <c r="M249">
        <f t="shared" si="37"/>
        <v>10.430162355600002</v>
      </c>
      <c r="N249" s="9"/>
      <c r="O249" s="22">
        <v>1.1035200000000001</v>
      </c>
      <c r="P249" s="22">
        <v>163.69499999999999</v>
      </c>
      <c r="Q249" s="22">
        <v>-1.6979999999999999E-2</v>
      </c>
      <c r="R249" s="22">
        <v>239</v>
      </c>
      <c r="S249" s="22">
        <v>1.10321</v>
      </c>
      <c r="T249">
        <f t="shared" si="38"/>
        <v>16.979999999999997</v>
      </c>
      <c r="U249">
        <f t="shared" si="39"/>
        <v>18.737769599999996</v>
      </c>
      <c r="X249" s="9"/>
      <c r="Y249" s="22">
        <v>0.59646600000000005</v>
      </c>
      <c r="Z249" s="22">
        <v>249.249</v>
      </c>
      <c r="AA249" s="22">
        <v>-1.7529300000000001E-2</v>
      </c>
      <c r="AB249" s="22">
        <v>239</v>
      </c>
      <c r="AC249" s="22">
        <v>0.59582500000000005</v>
      </c>
      <c r="AD249">
        <f t="shared" si="40"/>
        <v>17.529300000000003</v>
      </c>
      <c r="AE249">
        <f t="shared" si="41"/>
        <v>10.455631453800002</v>
      </c>
      <c r="AF249" s="9"/>
      <c r="AG249" s="22">
        <v>1.1035200000000001</v>
      </c>
      <c r="AH249" s="22">
        <v>403.68599999999998</v>
      </c>
      <c r="AI249" s="22">
        <v>-1.68518E-2</v>
      </c>
      <c r="AJ249" s="22">
        <v>239</v>
      </c>
      <c r="AK249" s="22">
        <v>1.10229</v>
      </c>
      <c r="AL249">
        <f t="shared" si="42"/>
        <v>16.851800000000001</v>
      </c>
      <c r="AM249">
        <f t="shared" si="43"/>
        <v>18.596298336</v>
      </c>
      <c r="AP249" s="9"/>
      <c r="AQ249" s="22">
        <v>0.59646600000000005</v>
      </c>
      <c r="AR249" s="22">
        <v>504.79599999999999</v>
      </c>
      <c r="AS249" s="22">
        <v>-1.7462200000000001E-2</v>
      </c>
      <c r="AT249" s="22">
        <v>239</v>
      </c>
      <c r="AU249" s="22">
        <v>0.59576399999999996</v>
      </c>
      <c r="AV249">
        <f t="shared" si="44"/>
        <v>17.462199999999999</v>
      </c>
      <c r="AW249">
        <f t="shared" si="45"/>
        <v>10.415608585200001</v>
      </c>
      <c r="AX249" s="9"/>
      <c r="AY249" s="22">
        <v>1.1035200000000001</v>
      </c>
      <c r="AZ249" s="22">
        <v>577.04999999999995</v>
      </c>
      <c r="BA249" s="22">
        <v>-1.6821300000000001E-2</v>
      </c>
      <c r="BB249" s="22">
        <v>239</v>
      </c>
      <c r="BC249" s="22">
        <v>1.10229</v>
      </c>
      <c r="BD249">
        <f t="shared" si="46"/>
        <v>16.821300000000001</v>
      </c>
      <c r="BE249">
        <f t="shared" si="47"/>
        <v>18.562640976000001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97.836100000000002</v>
      </c>
      <c r="I250" s="22">
        <v>-1.7489600000000001E-2</v>
      </c>
      <c r="J250" s="22">
        <v>240</v>
      </c>
      <c r="K250" s="22">
        <v>0.59072899999999995</v>
      </c>
      <c r="L250">
        <f t="shared" si="36"/>
        <v>17.489599999999999</v>
      </c>
      <c r="M250">
        <f t="shared" si="37"/>
        <v>10.343891617600001</v>
      </c>
      <c r="N250" s="9"/>
      <c r="O250" s="22">
        <v>1.1085499999999999</v>
      </c>
      <c r="P250" s="22">
        <v>163.79599999999999</v>
      </c>
      <c r="Q250" s="22">
        <v>-1.6967800000000002E-2</v>
      </c>
      <c r="R250" s="22">
        <v>240</v>
      </c>
      <c r="S250" s="22">
        <v>1.10809</v>
      </c>
      <c r="T250">
        <f t="shared" si="38"/>
        <v>16.9678</v>
      </c>
      <c r="U250">
        <f t="shared" si="39"/>
        <v>18.809654689999999</v>
      </c>
      <c r="X250" s="9"/>
      <c r="Y250" s="22">
        <v>0.59143100000000004</v>
      </c>
      <c r="Z250" s="22">
        <v>249.35</v>
      </c>
      <c r="AA250" s="22">
        <v>-1.7541500000000002E-2</v>
      </c>
      <c r="AB250" s="22">
        <v>240</v>
      </c>
      <c r="AC250" s="22">
        <v>0.59063699999999997</v>
      </c>
      <c r="AD250">
        <f t="shared" si="40"/>
        <v>17.541500000000003</v>
      </c>
      <c r="AE250">
        <f t="shared" si="41"/>
        <v>10.374586886500003</v>
      </c>
      <c r="AF250" s="9"/>
      <c r="AG250" s="22">
        <v>1.1085499999999999</v>
      </c>
      <c r="AH250" s="22">
        <v>403.786</v>
      </c>
      <c r="AI250" s="22">
        <v>-1.6854899999999999E-2</v>
      </c>
      <c r="AJ250" s="22">
        <v>240</v>
      </c>
      <c r="AK250" s="22">
        <v>1.1077900000000001</v>
      </c>
      <c r="AL250">
        <f t="shared" si="42"/>
        <v>16.854900000000001</v>
      </c>
      <c r="AM250">
        <f t="shared" si="43"/>
        <v>18.684499395</v>
      </c>
      <c r="AP250" s="9"/>
      <c r="AQ250" s="22">
        <v>0.59143100000000004</v>
      </c>
      <c r="AR250" s="22">
        <v>504.89699999999999</v>
      </c>
      <c r="AS250" s="22">
        <v>-1.7459100000000002E-2</v>
      </c>
      <c r="AT250" s="22">
        <v>240</v>
      </c>
      <c r="AU250" s="22">
        <v>0.59082000000000001</v>
      </c>
      <c r="AV250">
        <f t="shared" si="44"/>
        <v>17.459100000000003</v>
      </c>
      <c r="AW250">
        <f t="shared" si="45"/>
        <v>10.325852972100002</v>
      </c>
      <c r="AX250" s="9"/>
      <c r="AY250" s="22">
        <v>1.1085499999999999</v>
      </c>
      <c r="AZ250" s="22">
        <v>577.15099999999995</v>
      </c>
      <c r="BA250" s="22">
        <v>-1.6818199999999998E-2</v>
      </c>
      <c r="BB250" s="22">
        <v>240</v>
      </c>
      <c r="BC250" s="22">
        <v>1.10748</v>
      </c>
      <c r="BD250">
        <f t="shared" si="46"/>
        <v>16.818199999999997</v>
      </c>
      <c r="BE250">
        <f t="shared" si="47"/>
        <v>18.643815609999997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97.936899999999994</v>
      </c>
      <c r="I251" s="22">
        <v>-1.7489600000000001E-2</v>
      </c>
      <c r="J251" s="22">
        <v>241</v>
      </c>
      <c r="K251" s="22">
        <v>0.58584599999999998</v>
      </c>
      <c r="L251">
        <f t="shared" si="36"/>
        <v>17.489599999999999</v>
      </c>
      <c r="M251">
        <f t="shared" si="37"/>
        <v>10.255813992</v>
      </c>
      <c r="N251" s="9"/>
      <c r="O251" s="22">
        <v>1.1135900000000001</v>
      </c>
      <c r="P251" s="22">
        <v>163.89699999999999</v>
      </c>
      <c r="Q251" s="22">
        <v>-1.6967800000000002E-2</v>
      </c>
      <c r="R251" s="22">
        <v>241</v>
      </c>
      <c r="S251" s="22">
        <v>1.11267</v>
      </c>
      <c r="T251">
        <f t="shared" si="38"/>
        <v>16.9678</v>
      </c>
      <c r="U251">
        <f t="shared" si="39"/>
        <v>18.895172402000004</v>
      </c>
      <c r="X251" s="9"/>
      <c r="Y251" s="22">
        <v>0.586395</v>
      </c>
      <c r="Z251" s="22">
        <v>249.45</v>
      </c>
      <c r="AA251" s="22">
        <v>-1.75446E-2</v>
      </c>
      <c r="AB251" s="22">
        <v>241</v>
      </c>
      <c r="AC251" s="22">
        <v>0.58581499999999997</v>
      </c>
      <c r="AD251">
        <f t="shared" si="40"/>
        <v>17.544599999999999</v>
      </c>
      <c r="AE251">
        <f t="shared" si="41"/>
        <v>10.288065717</v>
      </c>
      <c r="AF251" s="9"/>
      <c r="AG251" s="22">
        <v>1.1135900000000001</v>
      </c>
      <c r="AH251" s="22">
        <v>403.887</v>
      </c>
      <c r="AI251" s="22">
        <v>-1.6848800000000001E-2</v>
      </c>
      <c r="AJ251" s="22">
        <v>241</v>
      </c>
      <c r="AK251" s="22">
        <v>1.11328</v>
      </c>
      <c r="AL251">
        <f t="shared" si="42"/>
        <v>16.848800000000001</v>
      </c>
      <c r="AM251">
        <f t="shared" si="43"/>
        <v>18.762655192</v>
      </c>
      <c r="AP251" s="9"/>
      <c r="AQ251" s="22">
        <v>0.586395</v>
      </c>
      <c r="AR251" s="22">
        <v>504.99799999999999</v>
      </c>
      <c r="AS251" s="22">
        <v>-1.7462200000000001E-2</v>
      </c>
      <c r="AT251" s="22">
        <v>241</v>
      </c>
      <c r="AU251" s="22">
        <v>0.58584599999999998</v>
      </c>
      <c r="AV251">
        <f t="shared" si="44"/>
        <v>17.462199999999999</v>
      </c>
      <c r="AW251">
        <f t="shared" si="45"/>
        <v>10.239746769</v>
      </c>
      <c r="AX251" s="9"/>
      <c r="AY251" s="22">
        <v>1.1135900000000001</v>
      </c>
      <c r="AZ251" s="22">
        <v>577.25199999999995</v>
      </c>
      <c r="BA251" s="22">
        <v>-1.68121E-2</v>
      </c>
      <c r="BB251" s="22">
        <v>241</v>
      </c>
      <c r="BC251" s="22">
        <v>1.11267</v>
      </c>
      <c r="BD251">
        <f t="shared" si="46"/>
        <v>16.812100000000001</v>
      </c>
      <c r="BE251">
        <f t="shared" si="47"/>
        <v>18.721786439000002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98.037599999999998</v>
      </c>
      <c r="I252" s="22">
        <v>-1.74927E-2</v>
      </c>
      <c r="J252" s="22">
        <v>242</v>
      </c>
      <c r="K252" s="22">
        <v>0.58081099999999997</v>
      </c>
      <c r="L252">
        <f t="shared" si="36"/>
        <v>17.492699999999999</v>
      </c>
      <c r="M252">
        <f t="shared" si="37"/>
        <v>10.169556071999999</v>
      </c>
      <c r="N252" s="9"/>
      <c r="O252" s="22">
        <v>1.1186199999999999</v>
      </c>
      <c r="P252" s="22">
        <v>163.99799999999999</v>
      </c>
      <c r="Q252" s="22">
        <v>-1.6970800000000001E-2</v>
      </c>
      <c r="R252" s="22">
        <v>242</v>
      </c>
      <c r="S252" s="22">
        <v>1.1178600000000001</v>
      </c>
      <c r="T252">
        <f t="shared" si="38"/>
        <v>16.970800000000001</v>
      </c>
      <c r="U252">
        <f t="shared" si="39"/>
        <v>18.983876295999998</v>
      </c>
      <c r="X252" s="9"/>
      <c r="Y252" s="22">
        <v>0.58135999999999999</v>
      </c>
      <c r="Z252" s="22">
        <v>249.55099999999999</v>
      </c>
      <c r="AA252" s="22">
        <v>-1.7556800000000001E-2</v>
      </c>
      <c r="AB252" s="22">
        <v>242</v>
      </c>
      <c r="AC252" s="22">
        <v>0.58090200000000003</v>
      </c>
      <c r="AD252">
        <f t="shared" si="40"/>
        <v>17.556800000000003</v>
      </c>
      <c r="AE252">
        <f t="shared" si="41"/>
        <v>10.206821248000001</v>
      </c>
      <c r="AF252" s="9"/>
      <c r="AG252" s="22">
        <v>1.1186199999999999</v>
      </c>
      <c r="AH252" s="22">
        <v>403.988</v>
      </c>
      <c r="AI252" s="22">
        <v>-1.6842699999999999E-2</v>
      </c>
      <c r="AJ252" s="22">
        <v>242</v>
      </c>
      <c r="AK252" s="22">
        <v>1.1178600000000001</v>
      </c>
      <c r="AL252">
        <f t="shared" si="42"/>
        <v>16.842699999999997</v>
      </c>
      <c r="AM252">
        <f t="shared" si="43"/>
        <v>18.840581073999996</v>
      </c>
      <c r="AP252" s="9"/>
      <c r="AQ252" s="22">
        <v>0.58135999999999999</v>
      </c>
      <c r="AR252" s="22">
        <v>505.09800000000001</v>
      </c>
      <c r="AS252" s="22">
        <v>-1.7468299999999999E-2</v>
      </c>
      <c r="AT252" s="22">
        <v>242</v>
      </c>
      <c r="AU252" s="22">
        <v>0.580627</v>
      </c>
      <c r="AV252">
        <f t="shared" si="44"/>
        <v>17.468299999999999</v>
      </c>
      <c r="AW252">
        <f t="shared" si="45"/>
        <v>10.155370888</v>
      </c>
      <c r="AX252" s="9"/>
      <c r="AY252" s="22">
        <v>1.1186199999999999</v>
      </c>
      <c r="AZ252" s="22">
        <v>577.35299999999995</v>
      </c>
      <c r="BA252" s="22">
        <v>-1.6802999999999998E-2</v>
      </c>
      <c r="BB252" s="22">
        <v>242</v>
      </c>
      <c r="BC252" s="22">
        <v>1.1172500000000001</v>
      </c>
      <c r="BD252">
        <f t="shared" si="46"/>
        <v>16.802999999999997</v>
      </c>
      <c r="BE252">
        <f t="shared" si="47"/>
        <v>18.796171859999998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98.138300000000001</v>
      </c>
      <c r="I253" s="22">
        <v>-1.7495699999999999E-2</v>
      </c>
      <c r="J253" s="22">
        <v>243</v>
      </c>
      <c r="K253" s="22">
        <v>0.57550000000000001</v>
      </c>
      <c r="L253">
        <f t="shared" si="36"/>
        <v>17.495699999999999</v>
      </c>
      <c r="M253">
        <f t="shared" si="37"/>
        <v>10.083191806799999</v>
      </c>
      <c r="N253" s="9"/>
      <c r="O253" s="22">
        <v>1.1236600000000001</v>
      </c>
      <c r="P253" s="22">
        <v>164.09800000000001</v>
      </c>
      <c r="Q253" s="22">
        <v>-1.6949499999999999E-2</v>
      </c>
      <c r="R253" s="22">
        <v>243</v>
      </c>
      <c r="S253" s="22">
        <v>1.1224400000000001</v>
      </c>
      <c r="T253">
        <f t="shared" si="38"/>
        <v>16.9495</v>
      </c>
      <c r="U253">
        <f t="shared" si="39"/>
        <v>19.045475170000003</v>
      </c>
      <c r="X253" s="9"/>
      <c r="Y253" s="22">
        <v>0.57632399999999995</v>
      </c>
      <c r="Z253" s="22">
        <v>249.65199999999999</v>
      </c>
      <c r="AA253" s="22">
        <v>-1.7562899999999999E-2</v>
      </c>
      <c r="AB253" s="22">
        <v>243</v>
      </c>
      <c r="AC253" s="22">
        <v>0.57568399999999997</v>
      </c>
      <c r="AD253">
        <f t="shared" si="40"/>
        <v>17.562899999999999</v>
      </c>
      <c r="AE253">
        <f t="shared" si="41"/>
        <v>10.121920779599998</v>
      </c>
      <c r="AF253" s="9"/>
      <c r="AG253" s="22">
        <v>1.1236600000000001</v>
      </c>
      <c r="AH253" s="22">
        <v>404.08800000000002</v>
      </c>
      <c r="AI253" s="22">
        <v>-1.68243E-2</v>
      </c>
      <c r="AJ253" s="22">
        <v>243</v>
      </c>
      <c r="AK253" s="22">
        <v>1.1227400000000001</v>
      </c>
      <c r="AL253">
        <f t="shared" si="42"/>
        <v>16.824300000000001</v>
      </c>
      <c r="AM253">
        <f t="shared" si="43"/>
        <v>18.904792938000003</v>
      </c>
      <c r="AP253" s="9"/>
      <c r="AQ253" s="22">
        <v>0.57632399999999995</v>
      </c>
      <c r="AR253" s="22">
        <v>505.19900000000001</v>
      </c>
      <c r="AS253" s="22">
        <v>-1.7489600000000001E-2</v>
      </c>
      <c r="AT253" s="22">
        <v>243</v>
      </c>
      <c r="AU253" s="22">
        <v>0.575928</v>
      </c>
      <c r="AV253">
        <f t="shared" si="44"/>
        <v>17.489599999999999</v>
      </c>
      <c r="AW253">
        <f t="shared" si="45"/>
        <v>10.079676230399999</v>
      </c>
      <c r="AX253" s="9"/>
      <c r="AY253" s="22">
        <v>1.1236600000000001</v>
      </c>
      <c r="AZ253" s="22">
        <v>577.45299999999997</v>
      </c>
      <c r="BA253" s="22">
        <v>-1.68091E-2</v>
      </c>
      <c r="BB253" s="22">
        <v>243</v>
      </c>
      <c r="BC253" s="22">
        <v>1.1227400000000001</v>
      </c>
      <c r="BD253">
        <f t="shared" si="46"/>
        <v>16.809100000000001</v>
      </c>
      <c r="BE253">
        <f t="shared" si="47"/>
        <v>18.887713306000002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98.239000000000004</v>
      </c>
      <c r="I254" s="22">
        <v>-1.75079E-2</v>
      </c>
      <c r="J254" s="22">
        <v>244</v>
      </c>
      <c r="K254" s="22">
        <v>0.57037400000000005</v>
      </c>
      <c r="L254">
        <f t="shared" si="36"/>
        <v>17.507899999999999</v>
      </c>
      <c r="M254">
        <f t="shared" si="37"/>
        <v>10.002070683100001</v>
      </c>
      <c r="N254" s="9"/>
      <c r="O254" s="22">
        <v>1.12869</v>
      </c>
      <c r="P254" s="22">
        <v>164.19900000000001</v>
      </c>
      <c r="Q254" s="22">
        <v>-1.6937299999999999E-2</v>
      </c>
      <c r="R254" s="22">
        <v>244</v>
      </c>
      <c r="S254" s="22">
        <v>1.1279300000000001</v>
      </c>
      <c r="T254">
        <f t="shared" si="38"/>
        <v>16.9373</v>
      </c>
      <c r="U254">
        <f t="shared" si="39"/>
        <v>19.116961137000001</v>
      </c>
      <c r="X254" s="9"/>
      <c r="Y254" s="22">
        <v>0.57128900000000005</v>
      </c>
      <c r="Z254" s="22">
        <v>249.75200000000001</v>
      </c>
      <c r="AA254" s="22">
        <v>-1.7562899999999999E-2</v>
      </c>
      <c r="AB254" s="22">
        <v>244</v>
      </c>
      <c r="AC254" s="22">
        <v>0.570496</v>
      </c>
      <c r="AD254">
        <f t="shared" si="40"/>
        <v>17.562899999999999</v>
      </c>
      <c r="AE254">
        <f t="shared" si="41"/>
        <v>10.0334915781</v>
      </c>
      <c r="AF254" s="9"/>
      <c r="AG254" s="22">
        <v>1.12869</v>
      </c>
      <c r="AH254" s="22">
        <v>404.18900000000002</v>
      </c>
      <c r="AI254" s="22">
        <v>-1.6806000000000001E-2</v>
      </c>
      <c r="AJ254" s="22">
        <v>244</v>
      </c>
      <c r="AK254" s="22">
        <v>1.1279300000000001</v>
      </c>
      <c r="AL254">
        <f t="shared" si="42"/>
        <v>16.806000000000001</v>
      </c>
      <c r="AM254">
        <f t="shared" si="43"/>
        <v>18.968764140000001</v>
      </c>
      <c r="AP254" s="9"/>
      <c r="AQ254" s="22">
        <v>0.57128900000000005</v>
      </c>
      <c r="AR254" s="22">
        <v>505.3</v>
      </c>
      <c r="AS254" s="22">
        <v>-1.7483499999999999E-2</v>
      </c>
      <c r="AT254" s="22">
        <v>244</v>
      </c>
      <c r="AU254" s="22">
        <v>0.57089199999999996</v>
      </c>
      <c r="AV254">
        <f t="shared" si="44"/>
        <v>17.483499999999999</v>
      </c>
      <c r="AW254">
        <f t="shared" si="45"/>
        <v>9.9881312315000006</v>
      </c>
      <c r="AX254" s="9"/>
      <c r="AY254" s="22">
        <v>1.12869</v>
      </c>
      <c r="AZ254" s="22">
        <v>577.55399999999997</v>
      </c>
      <c r="BA254" s="22">
        <v>-1.6790800000000002E-2</v>
      </c>
      <c r="BB254" s="22">
        <v>244</v>
      </c>
      <c r="BC254" s="22">
        <v>1.1273200000000001</v>
      </c>
      <c r="BD254">
        <f t="shared" si="46"/>
        <v>16.790800000000001</v>
      </c>
      <c r="BE254">
        <f t="shared" si="47"/>
        <v>18.951608052000001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98.339699999999993</v>
      </c>
      <c r="I255" s="22">
        <v>-1.7501800000000001E-2</v>
      </c>
      <c r="J255" s="22">
        <v>245</v>
      </c>
      <c r="K255" s="22">
        <v>0.56579599999999997</v>
      </c>
      <c r="L255">
        <f t="shared" si="36"/>
        <v>17.501800000000003</v>
      </c>
      <c r="M255">
        <f t="shared" si="37"/>
        <v>9.9104642572000028</v>
      </c>
      <c r="N255" s="9"/>
      <c r="O255" s="22">
        <v>1.1337299999999999</v>
      </c>
      <c r="P255" s="22">
        <v>164.3</v>
      </c>
      <c r="Q255" s="22">
        <v>-1.6943400000000001E-2</v>
      </c>
      <c r="R255" s="22">
        <v>245</v>
      </c>
      <c r="S255" s="22">
        <v>1.1328100000000001</v>
      </c>
      <c r="T255">
        <f t="shared" si="38"/>
        <v>16.9434</v>
      </c>
      <c r="U255">
        <f t="shared" si="39"/>
        <v>19.209240882</v>
      </c>
      <c r="X255" s="9"/>
      <c r="Y255" s="22">
        <v>0.56625400000000004</v>
      </c>
      <c r="Z255" s="22">
        <v>249.85300000000001</v>
      </c>
      <c r="AA255" s="22">
        <v>-1.7578099999999999E-2</v>
      </c>
      <c r="AB255" s="22">
        <v>245</v>
      </c>
      <c r="AC255" s="22">
        <v>0.56552100000000005</v>
      </c>
      <c r="AD255">
        <f t="shared" si="40"/>
        <v>17.578099999999999</v>
      </c>
      <c r="AE255">
        <f t="shared" si="41"/>
        <v>9.9536694374000003</v>
      </c>
      <c r="AF255" s="9"/>
      <c r="AG255" s="22">
        <v>1.1337299999999999</v>
      </c>
      <c r="AH255" s="22">
        <v>404.29</v>
      </c>
      <c r="AI255" s="22">
        <v>-1.6806000000000001E-2</v>
      </c>
      <c r="AJ255" s="22">
        <v>245</v>
      </c>
      <c r="AK255" s="22">
        <v>1.1331199999999999</v>
      </c>
      <c r="AL255">
        <f t="shared" si="42"/>
        <v>16.806000000000001</v>
      </c>
      <c r="AM255">
        <f t="shared" si="43"/>
        <v>19.05346638</v>
      </c>
      <c r="AP255" s="9"/>
      <c r="AQ255" s="22">
        <v>0.56625400000000004</v>
      </c>
      <c r="AR255" s="22">
        <v>505.40100000000001</v>
      </c>
      <c r="AS255" s="22">
        <v>-1.74927E-2</v>
      </c>
      <c r="AT255" s="22">
        <v>245</v>
      </c>
      <c r="AU255" s="22">
        <v>0.56542999999999999</v>
      </c>
      <c r="AV255">
        <f t="shared" si="44"/>
        <v>17.492699999999999</v>
      </c>
      <c r="AW255">
        <f t="shared" si="45"/>
        <v>9.9053113457999995</v>
      </c>
      <c r="AX255" s="9"/>
      <c r="AY255" s="22">
        <v>1.1337299999999999</v>
      </c>
      <c r="AZ255" s="22">
        <v>577.65499999999997</v>
      </c>
      <c r="BA255" s="22">
        <v>-1.6778600000000001E-2</v>
      </c>
      <c r="BB255" s="22">
        <v>245</v>
      </c>
      <c r="BC255" s="22">
        <v>1.1328100000000001</v>
      </c>
      <c r="BD255">
        <f t="shared" si="46"/>
        <v>16.778600000000001</v>
      </c>
      <c r="BE255">
        <f t="shared" si="47"/>
        <v>19.022402178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98.440399999999997</v>
      </c>
      <c r="I256" s="22">
        <v>-1.7517100000000001E-2</v>
      </c>
      <c r="J256" s="22">
        <v>246</v>
      </c>
      <c r="K256" s="22">
        <v>0.560608</v>
      </c>
      <c r="L256">
        <f t="shared" si="36"/>
        <v>17.517099999999999</v>
      </c>
      <c r="M256">
        <f t="shared" si="37"/>
        <v>9.8309118277999996</v>
      </c>
      <c r="N256" s="9"/>
      <c r="O256" s="22">
        <v>1.13876</v>
      </c>
      <c r="P256" s="22">
        <v>164.4</v>
      </c>
      <c r="Q256" s="22">
        <v>-1.69342E-2</v>
      </c>
      <c r="R256" s="22">
        <v>246</v>
      </c>
      <c r="S256" s="22">
        <v>1.1386099999999999</v>
      </c>
      <c r="T256">
        <f t="shared" si="38"/>
        <v>16.934200000000001</v>
      </c>
      <c r="U256">
        <f t="shared" si="39"/>
        <v>19.283989592000001</v>
      </c>
      <c r="X256" s="9"/>
      <c r="Y256" s="22">
        <v>0.56121799999999999</v>
      </c>
      <c r="Z256" s="22">
        <v>249.95400000000001</v>
      </c>
      <c r="AA256" s="22">
        <v>-1.7581200000000002E-2</v>
      </c>
      <c r="AB256" s="22">
        <v>246</v>
      </c>
      <c r="AC256" s="22">
        <v>0.56036399999999997</v>
      </c>
      <c r="AD256">
        <f t="shared" si="40"/>
        <v>17.581200000000003</v>
      </c>
      <c r="AE256">
        <f t="shared" si="41"/>
        <v>9.8668859016000017</v>
      </c>
      <c r="AF256" s="9"/>
      <c r="AG256" s="22">
        <v>1.13876</v>
      </c>
      <c r="AH256" s="22">
        <v>404.39100000000002</v>
      </c>
      <c r="AI256" s="22">
        <v>-1.67969E-2</v>
      </c>
      <c r="AJ256" s="22">
        <v>246</v>
      </c>
      <c r="AK256" s="22">
        <v>1.1379999999999999</v>
      </c>
      <c r="AL256">
        <f t="shared" si="42"/>
        <v>16.796900000000001</v>
      </c>
      <c r="AM256">
        <f t="shared" si="43"/>
        <v>19.127637844000002</v>
      </c>
      <c r="AP256" s="9"/>
      <c r="AQ256" s="22">
        <v>0.56121799999999999</v>
      </c>
      <c r="AR256" s="22">
        <v>505.50099999999998</v>
      </c>
      <c r="AS256" s="22">
        <v>-1.7501800000000001E-2</v>
      </c>
      <c r="AT256" s="22">
        <v>246</v>
      </c>
      <c r="AU256" s="22">
        <v>0.56048600000000004</v>
      </c>
      <c r="AV256">
        <f t="shared" si="44"/>
        <v>17.501800000000003</v>
      </c>
      <c r="AW256">
        <f t="shared" si="45"/>
        <v>9.822325192400001</v>
      </c>
      <c r="AX256" s="9"/>
      <c r="AY256" s="22">
        <v>1.13876</v>
      </c>
      <c r="AZ256" s="22">
        <v>577.755</v>
      </c>
      <c r="BA256" s="22">
        <v>-1.6778600000000001E-2</v>
      </c>
      <c r="BB256" s="22">
        <v>246</v>
      </c>
      <c r="BC256" s="22">
        <v>1.1379999999999999</v>
      </c>
      <c r="BD256">
        <f t="shared" si="46"/>
        <v>16.778600000000001</v>
      </c>
      <c r="BE256">
        <f t="shared" si="47"/>
        <v>19.106798535999999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98.5411</v>
      </c>
      <c r="I257" s="22">
        <v>-1.7517100000000001E-2</v>
      </c>
      <c r="J257" s="22">
        <v>247</v>
      </c>
      <c r="K257" s="22">
        <v>0.55508400000000002</v>
      </c>
      <c r="L257">
        <f t="shared" si="36"/>
        <v>17.517099999999999</v>
      </c>
      <c r="M257">
        <f t="shared" si="37"/>
        <v>9.7427132292999996</v>
      </c>
      <c r="N257" s="9"/>
      <c r="O257" s="22">
        <v>1.1437999999999999</v>
      </c>
      <c r="P257" s="22">
        <v>164.501</v>
      </c>
      <c r="Q257" s="22">
        <v>-1.69312E-2</v>
      </c>
      <c r="R257" s="22">
        <v>247</v>
      </c>
      <c r="S257" s="22">
        <v>1.1431899999999999</v>
      </c>
      <c r="T257">
        <f t="shared" si="38"/>
        <v>16.9312</v>
      </c>
      <c r="U257">
        <f t="shared" si="39"/>
        <v>19.365906559999999</v>
      </c>
      <c r="X257" s="9"/>
      <c r="Y257" s="22">
        <v>0.55618299999999998</v>
      </c>
      <c r="Z257" s="22">
        <v>250.05500000000001</v>
      </c>
      <c r="AA257" s="22">
        <v>-1.7584200000000001E-2</v>
      </c>
      <c r="AB257" s="22">
        <v>247</v>
      </c>
      <c r="AC257" s="22">
        <v>0.55542000000000002</v>
      </c>
      <c r="AD257">
        <f t="shared" si="40"/>
        <v>17.584200000000003</v>
      </c>
      <c r="AE257">
        <f t="shared" si="41"/>
        <v>9.7800331086000014</v>
      </c>
      <c r="AF257" s="9"/>
      <c r="AG257" s="22">
        <v>1.1437999999999999</v>
      </c>
      <c r="AH257" s="22">
        <v>404.49099999999999</v>
      </c>
      <c r="AI257" s="22">
        <v>-1.67969E-2</v>
      </c>
      <c r="AJ257" s="22">
        <v>247</v>
      </c>
      <c r="AK257" s="22">
        <v>1.1422699999999999</v>
      </c>
      <c r="AL257">
        <f t="shared" si="42"/>
        <v>16.796900000000001</v>
      </c>
      <c r="AM257">
        <f t="shared" si="43"/>
        <v>19.21229422</v>
      </c>
      <c r="AP257" s="9"/>
      <c r="AQ257" s="22">
        <v>0.55618299999999998</v>
      </c>
      <c r="AR257" s="22">
        <v>505.60199999999998</v>
      </c>
      <c r="AS257" s="22">
        <v>-1.7498799999999998E-2</v>
      </c>
      <c r="AT257" s="22">
        <v>247</v>
      </c>
      <c r="AU257" s="22">
        <v>0.55551099999999998</v>
      </c>
      <c r="AV257">
        <f t="shared" si="44"/>
        <v>17.498799999999999</v>
      </c>
      <c r="AW257">
        <f t="shared" si="45"/>
        <v>9.7325350803999999</v>
      </c>
      <c r="AX257" s="9"/>
      <c r="AY257" s="22">
        <v>1.1437999999999999</v>
      </c>
      <c r="AZ257" s="22">
        <v>577.85599999999999</v>
      </c>
      <c r="BA257" s="22">
        <v>-1.6775499999999999E-2</v>
      </c>
      <c r="BB257" s="22">
        <v>247</v>
      </c>
      <c r="BC257" s="22">
        <v>1.1428799999999999</v>
      </c>
      <c r="BD257">
        <f t="shared" si="46"/>
        <v>16.775499999999997</v>
      </c>
      <c r="BE257">
        <f t="shared" si="47"/>
        <v>19.187816899999994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98.641800000000003</v>
      </c>
      <c r="I258" s="22">
        <v>-1.7513999999999998E-2</v>
      </c>
      <c r="J258" s="22">
        <v>248</v>
      </c>
      <c r="K258" s="22">
        <v>0.55059800000000003</v>
      </c>
      <c r="L258">
        <f t="shared" si="36"/>
        <v>17.513999999999999</v>
      </c>
      <c r="M258">
        <f t="shared" si="37"/>
        <v>9.652788558000001</v>
      </c>
      <c r="N258" s="9"/>
      <c r="O258" s="22">
        <v>1.14883</v>
      </c>
      <c r="P258" s="22">
        <v>164.602</v>
      </c>
      <c r="Q258" s="22">
        <v>-1.6924999999999999E-2</v>
      </c>
      <c r="R258" s="22">
        <v>248</v>
      </c>
      <c r="S258" s="22">
        <v>1.14838</v>
      </c>
      <c r="T258">
        <f t="shared" si="38"/>
        <v>16.925000000000001</v>
      </c>
      <c r="U258">
        <f t="shared" si="39"/>
        <v>19.44394775</v>
      </c>
      <c r="X258" s="9"/>
      <c r="Y258" s="22">
        <v>0.55114700000000005</v>
      </c>
      <c r="Z258" s="22">
        <v>250.155</v>
      </c>
      <c r="AA258" s="22">
        <v>-1.7593399999999999E-2</v>
      </c>
      <c r="AB258" s="22">
        <v>248</v>
      </c>
      <c r="AC258" s="22">
        <v>0.55059800000000003</v>
      </c>
      <c r="AD258">
        <f t="shared" si="40"/>
        <v>17.593399999999999</v>
      </c>
      <c r="AE258">
        <f t="shared" si="41"/>
        <v>9.6965496297999998</v>
      </c>
      <c r="AF258" s="9"/>
      <c r="AG258" s="22">
        <v>1.14883</v>
      </c>
      <c r="AH258" s="22">
        <v>404.59199999999998</v>
      </c>
      <c r="AI258" s="22">
        <v>-1.6781600000000001E-2</v>
      </c>
      <c r="AJ258" s="22">
        <v>248</v>
      </c>
      <c r="AK258" s="22">
        <v>1.1480699999999999</v>
      </c>
      <c r="AL258">
        <f t="shared" si="42"/>
        <v>16.781600000000001</v>
      </c>
      <c r="AM258">
        <f t="shared" si="43"/>
        <v>19.279205528000002</v>
      </c>
      <c r="AP258" s="9"/>
      <c r="AQ258" s="22">
        <v>0.55114700000000005</v>
      </c>
      <c r="AR258" s="22">
        <v>505.70299999999997</v>
      </c>
      <c r="AS258" s="22">
        <v>-1.7513999999999998E-2</v>
      </c>
      <c r="AT258" s="22">
        <v>248</v>
      </c>
      <c r="AU258" s="22">
        <v>0.55075099999999999</v>
      </c>
      <c r="AV258">
        <f t="shared" si="44"/>
        <v>17.513999999999999</v>
      </c>
      <c r="AW258">
        <f t="shared" si="45"/>
        <v>9.652788558000001</v>
      </c>
      <c r="AX258" s="9"/>
      <c r="AY258" s="22">
        <v>1.14883</v>
      </c>
      <c r="AZ258" s="22">
        <v>577.95699999999999</v>
      </c>
      <c r="BA258" s="22">
        <v>-1.6763299999999998E-2</v>
      </c>
      <c r="BB258" s="22">
        <v>248</v>
      </c>
      <c r="BC258" s="22">
        <v>1.1474599999999999</v>
      </c>
      <c r="BD258">
        <f t="shared" si="46"/>
        <v>16.763299999999997</v>
      </c>
      <c r="BE258">
        <f t="shared" si="47"/>
        <v>19.258181938999996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98.742500000000007</v>
      </c>
      <c r="I259" s="22">
        <v>-1.7523199999999999E-2</v>
      </c>
      <c r="J259" s="22">
        <v>249</v>
      </c>
      <c r="K259" s="22">
        <v>0.54544099999999995</v>
      </c>
      <c r="L259">
        <f t="shared" si="36"/>
        <v>17.523199999999999</v>
      </c>
      <c r="M259">
        <f t="shared" si="37"/>
        <v>9.5696297984000012</v>
      </c>
      <c r="N259" s="9"/>
      <c r="O259" s="22">
        <v>1.15387</v>
      </c>
      <c r="P259" s="22">
        <v>164.703</v>
      </c>
      <c r="Q259" s="22">
        <v>-1.6922E-2</v>
      </c>
      <c r="R259" s="22">
        <v>249</v>
      </c>
      <c r="S259" s="22">
        <v>1.15265</v>
      </c>
      <c r="T259">
        <f t="shared" si="38"/>
        <v>16.922000000000001</v>
      </c>
      <c r="U259">
        <f t="shared" si="39"/>
        <v>19.52578814</v>
      </c>
      <c r="X259" s="9"/>
      <c r="Y259" s="22">
        <v>0.54611200000000004</v>
      </c>
      <c r="Z259" s="22">
        <v>250.256</v>
      </c>
      <c r="AA259" s="22">
        <v>-1.75903E-2</v>
      </c>
      <c r="AB259" s="22">
        <v>249</v>
      </c>
      <c r="AC259" s="22">
        <v>0.545319</v>
      </c>
      <c r="AD259">
        <f t="shared" si="40"/>
        <v>17.590299999999999</v>
      </c>
      <c r="AE259">
        <f t="shared" si="41"/>
        <v>9.6062739136000008</v>
      </c>
      <c r="AF259" s="9"/>
      <c r="AG259" s="22">
        <v>1.15387</v>
      </c>
      <c r="AH259" s="22">
        <v>404.69299999999998</v>
      </c>
      <c r="AI259" s="22">
        <v>-1.6787699999999999E-2</v>
      </c>
      <c r="AJ259" s="22">
        <v>249</v>
      </c>
      <c r="AK259" s="22">
        <v>1.15326</v>
      </c>
      <c r="AL259">
        <f t="shared" si="42"/>
        <v>16.787699999999997</v>
      </c>
      <c r="AM259">
        <f t="shared" si="43"/>
        <v>19.370823398999995</v>
      </c>
      <c r="AP259" s="9"/>
      <c r="AQ259" s="22">
        <v>0.54611200000000004</v>
      </c>
      <c r="AR259" s="22">
        <v>505.803</v>
      </c>
      <c r="AS259" s="22">
        <v>-1.7513999999999998E-2</v>
      </c>
      <c r="AT259" s="22">
        <v>249</v>
      </c>
      <c r="AU259" s="22">
        <v>0.54553200000000002</v>
      </c>
      <c r="AV259">
        <f t="shared" si="44"/>
        <v>17.513999999999999</v>
      </c>
      <c r="AW259">
        <f t="shared" si="45"/>
        <v>9.5646055680000011</v>
      </c>
      <c r="AX259" s="9"/>
      <c r="AY259" s="22">
        <v>1.15387</v>
      </c>
      <c r="AZ259" s="22">
        <v>578.05799999999999</v>
      </c>
      <c r="BA259" s="22">
        <v>-1.6766400000000001E-2</v>
      </c>
      <c r="BB259" s="22">
        <v>249</v>
      </c>
      <c r="BC259" s="22">
        <v>1.15265</v>
      </c>
      <c r="BD259">
        <f t="shared" si="46"/>
        <v>16.766400000000001</v>
      </c>
      <c r="BE259">
        <f t="shared" si="47"/>
        <v>19.346245968000002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98.843199999999996</v>
      </c>
      <c r="I260" s="22">
        <v>-1.7526199999999999E-2</v>
      </c>
      <c r="J260" s="22">
        <v>250</v>
      </c>
      <c r="K260" s="22">
        <v>0.54010000000000002</v>
      </c>
      <c r="L260">
        <f t="shared" si="36"/>
        <v>17.526199999999999</v>
      </c>
      <c r="M260">
        <f t="shared" si="37"/>
        <v>9.4830237174000001</v>
      </c>
      <c r="N260" s="9"/>
      <c r="O260" s="22">
        <v>1.1589100000000001</v>
      </c>
      <c r="P260" s="22">
        <v>164.803</v>
      </c>
      <c r="Q260" s="22">
        <v>-1.6922E-2</v>
      </c>
      <c r="R260" s="22">
        <v>250</v>
      </c>
      <c r="S260" s="22">
        <v>1.1575299999999999</v>
      </c>
      <c r="T260">
        <f t="shared" si="38"/>
        <v>16.922000000000001</v>
      </c>
      <c r="U260">
        <f t="shared" si="39"/>
        <v>19.611075020000001</v>
      </c>
      <c r="X260" s="9"/>
      <c r="Y260" s="22">
        <v>0.54107700000000003</v>
      </c>
      <c r="Z260" s="22">
        <v>250.357</v>
      </c>
      <c r="AA260" s="22">
        <v>-1.7593399999999999E-2</v>
      </c>
      <c r="AB260" s="22">
        <v>250</v>
      </c>
      <c r="AC260" s="22">
        <v>0.54034400000000005</v>
      </c>
      <c r="AD260">
        <f t="shared" si="40"/>
        <v>17.593399999999999</v>
      </c>
      <c r="AE260">
        <f t="shared" si="41"/>
        <v>9.5193840917999992</v>
      </c>
      <c r="AF260" s="9"/>
      <c r="AG260" s="22">
        <v>1.1589100000000001</v>
      </c>
      <c r="AH260" s="22">
        <v>404.79300000000001</v>
      </c>
      <c r="AI260" s="22">
        <v>-1.67847E-2</v>
      </c>
      <c r="AJ260" s="22">
        <v>250</v>
      </c>
      <c r="AK260" s="22">
        <v>1.1581399999999999</v>
      </c>
      <c r="AL260">
        <f t="shared" si="42"/>
        <v>16.784700000000001</v>
      </c>
      <c r="AM260">
        <f t="shared" si="43"/>
        <v>19.451956677000002</v>
      </c>
      <c r="AP260" s="9"/>
      <c r="AQ260" s="22">
        <v>0.54107700000000003</v>
      </c>
      <c r="AR260" s="22">
        <v>505.904</v>
      </c>
      <c r="AS260" s="22">
        <v>-1.7529300000000001E-2</v>
      </c>
      <c r="AT260" s="22">
        <v>250</v>
      </c>
      <c r="AU260" s="22">
        <v>0.54043600000000003</v>
      </c>
      <c r="AV260">
        <f t="shared" si="44"/>
        <v>17.529300000000003</v>
      </c>
      <c r="AW260">
        <f t="shared" si="45"/>
        <v>9.4847010561000022</v>
      </c>
      <c r="AX260" s="9"/>
      <c r="AY260" s="22">
        <v>1.1589100000000001</v>
      </c>
      <c r="AZ260" s="22">
        <v>578.15800000000002</v>
      </c>
      <c r="BA260" s="22">
        <v>-1.6763299999999998E-2</v>
      </c>
      <c r="BB260" s="22">
        <v>250</v>
      </c>
      <c r="BC260" s="22">
        <v>1.1575299999999999</v>
      </c>
      <c r="BD260">
        <f t="shared" si="46"/>
        <v>16.763299999999997</v>
      </c>
      <c r="BE260">
        <f t="shared" si="47"/>
        <v>19.427156003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98.943899999999999</v>
      </c>
      <c r="I261" s="22">
        <v>-1.7532300000000001E-2</v>
      </c>
      <c r="J261" s="22">
        <v>251</v>
      </c>
      <c r="K261" s="22">
        <v>0.53537000000000001</v>
      </c>
      <c r="L261">
        <f t="shared" si="36"/>
        <v>17.532299999999999</v>
      </c>
      <c r="M261">
        <f t="shared" si="37"/>
        <v>9.3980316242999997</v>
      </c>
      <c r="N261" s="9"/>
      <c r="O261" s="22">
        <v>1.16394</v>
      </c>
      <c r="P261" s="22">
        <v>164.904</v>
      </c>
      <c r="Q261" s="22">
        <v>-1.6915900000000001E-2</v>
      </c>
      <c r="R261" s="22">
        <v>251</v>
      </c>
      <c r="S261" s="22">
        <v>1.1630199999999999</v>
      </c>
      <c r="T261">
        <f t="shared" si="38"/>
        <v>16.915900000000001</v>
      </c>
      <c r="U261">
        <f t="shared" si="39"/>
        <v>19.689092645999999</v>
      </c>
      <c r="X261" s="9"/>
      <c r="Y261" s="22">
        <v>0.53604099999999999</v>
      </c>
      <c r="Z261" s="22">
        <v>250.45699999999999</v>
      </c>
      <c r="AA261" s="22">
        <v>-1.76025E-2</v>
      </c>
      <c r="AB261" s="22">
        <v>251</v>
      </c>
      <c r="AC261" s="22">
        <v>0.53546099999999996</v>
      </c>
      <c r="AD261">
        <f t="shared" si="40"/>
        <v>17.602499999999999</v>
      </c>
      <c r="AE261">
        <f t="shared" si="41"/>
        <v>9.4356617024999991</v>
      </c>
      <c r="AF261" s="9"/>
      <c r="AG261" s="22">
        <v>1.16394</v>
      </c>
      <c r="AH261" s="22">
        <v>404.89400000000001</v>
      </c>
      <c r="AI261" s="22">
        <v>-1.6787699999999999E-2</v>
      </c>
      <c r="AJ261" s="22">
        <v>251</v>
      </c>
      <c r="AK261" s="22">
        <v>1.1630199999999999</v>
      </c>
      <c r="AL261">
        <f t="shared" si="42"/>
        <v>16.787699999999997</v>
      </c>
      <c r="AM261">
        <f t="shared" si="43"/>
        <v>19.539875537999997</v>
      </c>
      <c r="AP261" s="9"/>
      <c r="AQ261" s="22">
        <v>0.53604099999999999</v>
      </c>
      <c r="AR261" s="22">
        <v>506.005</v>
      </c>
      <c r="AS261" s="22">
        <v>-1.7529300000000001E-2</v>
      </c>
      <c r="AT261" s="22">
        <v>251</v>
      </c>
      <c r="AU261" s="22">
        <v>0.53543099999999999</v>
      </c>
      <c r="AV261">
        <f t="shared" si="44"/>
        <v>17.529300000000003</v>
      </c>
      <c r="AW261">
        <f t="shared" si="45"/>
        <v>9.396423501300001</v>
      </c>
      <c r="AX261" s="9"/>
      <c r="AY261" s="22">
        <v>1.16394</v>
      </c>
      <c r="AZ261" s="22">
        <v>578.25900000000001</v>
      </c>
      <c r="BA261" s="22">
        <v>-1.67542E-2</v>
      </c>
      <c r="BB261" s="22">
        <v>251</v>
      </c>
      <c r="BC261" s="22">
        <v>1.1630199999999999</v>
      </c>
      <c r="BD261">
        <f t="shared" si="46"/>
        <v>16.754200000000001</v>
      </c>
      <c r="BE261">
        <f t="shared" si="47"/>
        <v>19.500883548000001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99.044600000000003</v>
      </c>
      <c r="I262" s="22">
        <v>-1.75354E-2</v>
      </c>
      <c r="J262" s="22">
        <v>252</v>
      </c>
      <c r="K262" s="22">
        <v>0.53024300000000002</v>
      </c>
      <c r="L262">
        <f t="shared" si="36"/>
        <v>17.535399999999999</v>
      </c>
      <c r="M262">
        <f t="shared" si="37"/>
        <v>9.3114026123999984</v>
      </c>
      <c r="N262" s="9"/>
      <c r="O262" s="22">
        <v>1.1689799999999999</v>
      </c>
      <c r="P262" s="22">
        <v>165.005</v>
      </c>
      <c r="Q262" s="22">
        <v>-1.6903700000000001E-2</v>
      </c>
      <c r="R262" s="22">
        <v>252</v>
      </c>
      <c r="S262" s="22">
        <v>1.16821</v>
      </c>
      <c r="T262">
        <f t="shared" si="38"/>
        <v>16.903700000000001</v>
      </c>
      <c r="U262">
        <f t="shared" si="39"/>
        <v>19.760087226</v>
      </c>
      <c r="X262" s="9"/>
      <c r="Y262" s="22">
        <v>0.53100599999999998</v>
      </c>
      <c r="Z262" s="22">
        <v>250.55799999999999</v>
      </c>
      <c r="AA262" s="22">
        <v>-1.76147E-2</v>
      </c>
      <c r="AB262" s="22">
        <v>252</v>
      </c>
      <c r="AC262" s="22">
        <v>0.53036499999999998</v>
      </c>
      <c r="AD262">
        <f t="shared" si="40"/>
        <v>17.614699999999999</v>
      </c>
      <c r="AE262">
        <f t="shared" si="41"/>
        <v>9.3535113881999994</v>
      </c>
      <c r="AF262" s="9"/>
      <c r="AG262" s="22">
        <v>1.1689799999999999</v>
      </c>
      <c r="AH262" s="22">
        <v>404.995</v>
      </c>
      <c r="AI262" s="22">
        <v>-1.6778600000000001E-2</v>
      </c>
      <c r="AJ262" s="22">
        <v>252</v>
      </c>
      <c r="AK262" s="22">
        <v>1.16791</v>
      </c>
      <c r="AL262">
        <f t="shared" si="42"/>
        <v>16.778600000000001</v>
      </c>
      <c r="AM262">
        <f t="shared" si="43"/>
        <v>19.613847828000001</v>
      </c>
      <c r="AP262" s="9"/>
      <c r="AQ262" s="22">
        <v>0.53100599999999998</v>
      </c>
      <c r="AR262" s="22">
        <v>506.10500000000002</v>
      </c>
      <c r="AS262" s="22">
        <v>-1.7529300000000001E-2</v>
      </c>
      <c r="AT262" s="22">
        <v>252</v>
      </c>
      <c r="AU262" s="22">
        <v>0.53012099999999995</v>
      </c>
      <c r="AV262">
        <f t="shared" si="44"/>
        <v>17.529300000000003</v>
      </c>
      <c r="AW262">
        <f t="shared" si="45"/>
        <v>9.3081634758000007</v>
      </c>
      <c r="AX262" s="9"/>
      <c r="AY262" s="22">
        <v>1.1689799999999999</v>
      </c>
      <c r="AZ262" s="22">
        <v>578.36</v>
      </c>
      <c r="BA262" s="22">
        <v>-1.6747999999999999E-2</v>
      </c>
      <c r="BB262" s="22">
        <v>252</v>
      </c>
      <c r="BC262" s="22">
        <v>1.16852</v>
      </c>
      <c r="BD262">
        <f t="shared" si="46"/>
        <v>16.747999999999998</v>
      </c>
      <c r="BE262">
        <f t="shared" si="47"/>
        <v>19.578077039999997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99.145300000000006</v>
      </c>
      <c r="I263" s="22">
        <v>-1.7550699999999999E-2</v>
      </c>
      <c r="J263" s="22">
        <v>253</v>
      </c>
      <c r="K263" s="22">
        <v>0.52563499999999996</v>
      </c>
      <c r="L263">
        <f t="shared" si="36"/>
        <v>17.550699999999999</v>
      </c>
      <c r="M263">
        <f t="shared" si="37"/>
        <v>9.2311416790000003</v>
      </c>
      <c r="N263" s="9"/>
      <c r="O263" s="22">
        <v>1.17401</v>
      </c>
      <c r="P263" s="22">
        <v>165.10499999999999</v>
      </c>
      <c r="Q263" s="22">
        <v>-1.6897599999999999E-2</v>
      </c>
      <c r="R263" s="22">
        <v>253</v>
      </c>
      <c r="S263" s="22">
        <v>1.17279</v>
      </c>
      <c r="T263">
        <f t="shared" si="38"/>
        <v>16.897599999999997</v>
      </c>
      <c r="U263">
        <f t="shared" si="39"/>
        <v>19.837951375999996</v>
      </c>
      <c r="X263" s="9"/>
      <c r="Y263" s="22">
        <v>0.52597000000000005</v>
      </c>
      <c r="Z263" s="22">
        <v>250.65899999999999</v>
      </c>
      <c r="AA263" s="22">
        <v>-1.7608599999999999E-2</v>
      </c>
      <c r="AB263" s="22">
        <v>253</v>
      </c>
      <c r="AC263" s="22">
        <v>0.52526899999999999</v>
      </c>
      <c r="AD263">
        <f t="shared" si="40"/>
        <v>17.608599999999999</v>
      </c>
      <c r="AE263">
        <f t="shared" si="41"/>
        <v>9.2615953419999997</v>
      </c>
      <c r="AF263" s="9"/>
      <c r="AG263" s="22">
        <v>1.17401</v>
      </c>
      <c r="AH263" s="22">
        <v>405.09500000000003</v>
      </c>
      <c r="AI263" s="22">
        <v>-1.6778600000000001E-2</v>
      </c>
      <c r="AJ263" s="22">
        <v>253</v>
      </c>
      <c r="AK263" s="22">
        <v>1.1731</v>
      </c>
      <c r="AL263">
        <f t="shared" si="42"/>
        <v>16.778600000000001</v>
      </c>
      <c r="AM263">
        <f t="shared" si="43"/>
        <v>19.698244186</v>
      </c>
      <c r="AP263" s="9"/>
      <c r="AQ263" s="22">
        <v>0.52597000000000005</v>
      </c>
      <c r="AR263" s="22">
        <v>506.20600000000002</v>
      </c>
      <c r="AS263" s="22">
        <v>-1.7538499999999999E-2</v>
      </c>
      <c r="AT263" s="22">
        <v>253</v>
      </c>
      <c r="AU263" s="22">
        <v>0.52526899999999999</v>
      </c>
      <c r="AV263">
        <f t="shared" si="44"/>
        <v>17.538499999999999</v>
      </c>
      <c r="AW263">
        <f t="shared" si="45"/>
        <v>9.2247248450000008</v>
      </c>
      <c r="AX263" s="9"/>
      <c r="AY263" s="22">
        <v>1.17401</v>
      </c>
      <c r="AZ263" s="22">
        <v>578.46</v>
      </c>
      <c r="BA263" s="22">
        <v>-1.6735799999999999E-2</v>
      </c>
      <c r="BB263" s="22">
        <v>253</v>
      </c>
      <c r="BC263" s="22">
        <v>1.1731</v>
      </c>
      <c r="BD263">
        <f t="shared" si="46"/>
        <v>16.735799999999998</v>
      </c>
      <c r="BE263">
        <f t="shared" si="47"/>
        <v>19.647996557999996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99.246099999999998</v>
      </c>
      <c r="I264" s="22">
        <v>-1.7556800000000001E-2</v>
      </c>
      <c r="J264" s="22">
        <v>254</v>
      </c>
      <c r="K264" s="22">
        <v>0.52026399999999995</v>
      </c>
      <c r="L264">
        <f t="shared" si="36"/>
        <v>17.556800000000003</v>
      </c>
      <c r="M264">
        <f t="shared" si="37"/>
        <v>9.1459516080000025</v>
      </c>
      <c r="N264" s="9"/>
      <c r="O264" s="22">
        <v>1.1790499999999999</v>
      </c>
      <c r="P264" s="22">
        <v>165.20599999999999</v>
      </c>
      <c r="Q264" s="22">
        <v>-1.68945E-2</v>
      </c>
      <c r="R264" s="22">
        <v>254</v>
      </c>
      <c r="S264" s="22">
        <v>1.17828</v>
      </c>
      <c r="T264">
        <f t="shared" si="38"/>
        <v>16.894500000000001</v>
      </c>
      <c r="U264">
        <f t="shared" si="39"/>
        <v>19.919460224999998</v>
      </c>
      <c r="X264" s="9"/>
      <c r="Y264" s="22">
        <v>0.52093500000000004</v>
      </c>
      <c r="Z264" s="22">
        <v>250.76</v>
      </c>
      <c r="AA264" s="22">
        <v>-1.7617799999999999E-2</v>
      </c>
      <c r="AB264" s="22">
        <v>254</v>
      </c>
      <c r="AC264" s="22">
        <v>0.52047699999999997</v>
      </c>
      <c r="AD264">
        <f t="shared" si="40"/>
        <v>17.617799999999999</v>
      </c>
      <c r="AE264">
        <f t="shared" si="41"/>
        <v>9.177728643</v>
      </c>
      <c r="AF264" s="9"/>
      <c r="AG264" s="22">
        <v>1.1790499999999999</v>
      </c>
      <c r="AH264" s="22">
        <v>405.19600000000003</v>
      </c>
      <c r="AI264" s="22">
        <v>-1.6775499999999999E-2</v>
      </c>
      <c r="AJ264" s="22">
        <v>254</v>
      </c>
      <c r="AK264" s="22">
        <v>1.17737</v>
      </c>
      <c r="AL264">
        <f t="shared" si="42"/>
        <v>16.775499999999997</v>
      </c>
      <c r="AM264">
        <f t="shared" si="43"/>
        <v>19.779153274999995</v>
      </c>
      <c r="AP264" s="9"/>
      <c r="AQ264" s="22">
        <v>0.52093500000000004</v>
      </c>
      <c r="AR264" s="22">
        <v>506.30700000000002</v>
      </c>
      <c r="AS264" s="22">
        <v>-1.7541500000000002E-2</v>
      </c>
      <c r="AT264" s="22">
        <v>254</v>
      </c>
      <c r="AU264" s="22">
        <v>0.52026399999999995</v>
      </c>
      <c r="AV264">
        <f t="shared" si="44"/>
        <v>17.541500000000003</v>
      </c>
      <c r="AW264">
        <f t="shared" si="45"/>
        <v>9.1379813025000018</v>
      </c>
      <c r="AX264" s="9"/>
      <c r="AY264" s="22">
        <v>1.1790499999999999</v>
      </c>
      <c r="AZ264" s="22">
        <v>578.56100000000004</v>
      </c>
      <c r="BA264" s="22">
        <v>-1.6726700000000001E-2</v>
      </c>
      <c r="BB264" s="22">
        <v>254</v>
      </c>
      <c r="BC264" s="22">
        <v>1.17859</v>
      </c>
      <c r="BD264">
        <f t="shared" si="46"/>
        <v>16.726700000000001</v>
      </c>
      <c r="BE264">
        <f t="shared" si="47"/>
        <v>19.721615634999999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99.346800000000002</v>
      </c>
      <c r="I265" s="22">
        <v>-1.7562899999999999E-2</v>
      </c>
      <c r="J265" s="22">
        <v>255</v>
      </c>
      <c r="K265" s="22">
        <v>0.514984</v>
      </c>
      <c r="L265">
        <f t="shared" si="36"/>
        <v>17.562899999999999</v>
      </c>
      <c r="M265">
        <f t="shared" si="37"/>
        <v>9.0607001099999991</v>
      </c>
      <c r="N265" s="9"/>
      <c r="O265" s="22">
        <v>1.18408</v>
      </c>
      <c r="P265" s="22">
        <v>165.30699999999999</v>
      </c>
      <c r="Q265" s="22">
        <v>-1.6888400000000001E-2</v>
      </c>
      <c r="R265" s="22">
        <v>255</v>
      </c>
      <c r="S265" s="22">
        <v>1.1837800000000001</v>
      </c>
      <c r="T265">
        <f t="shared" si="38"/>
        <v>16.888400000000001</v>
      </c>
      <c r="U265">
        <f t="shared" si="39"/>
        <v>19.997216672</v>
      </c>
      <c r="X265" s="9"/>
      <c r="Y265" s="22">
        <v>0.51590000000000003</v>
      </c>
      <c r="Z265" s="22">
        <v>250.86</v>
      </c>
      <c r="AA265" s="22">
        <v>-1.7620799999999999E-2</v>
      </c>
      <c r="AB265" s="22">
        <v>255</v>
      </c>
      <c r="AC265" s="22">
        <v>0.515289</v>
      </c>
      <c r="AD265">
        <f t="shared" si="40"/>
        <v>17.620799999999999</v>
      </c>
      <c r="AE265">
        <f t="shared" si="41"/>
        <v>9.0905707200000005</v>
      </c>
      <c r="AF265" s="9"/>
      <c r="AG265" s="22">
        <v>1.18408</v>
      </c>
      <c r="AH265" s="22">
        <v>405.29700000000003</v>
      </c>
      <c r="AI265" s="22">
        <v>-1.6766400000000001E-2</v>
      </c>
      <c r="AJ265" s="22">
        <v>255</v>
      </c>
      <c r="AK265" s="22">
        <v>1.1831700000000001</v>
      </c>
      <c r="AL265">
        <f t="shared" si="42"/>
        <v>16.766400000000001</v>
      </c>
      <c r="AM265">
        <f t="shared" si="43"/>
        <v>19.852758912000002</v>
      </c>
      <c r="AP265" s="9"/>
      <c r="AQ265" s="22">
        <v>0.51590000000000003</v>
      </c>
      <c r="AR265" s="22">
        <v>506.40800000000002</v>
      </c>
      <c r="AS265" s="22">
        <v>-1.7553699999999998E-2</v>
      </c>
      <c r="AT265" s="22">
        <v>255</v>
      </c>
      <c r="AU265" s="22">
        <v>0.515289</v>
      </c>
      <c r="AV265">
        <f t="shared" si="44"/>
        <v>17.553699999999999</v>
      </c>
      <c r="AW265">
        <f t="shared" si="45"/>
        <v>9.05595383</v>
      </c>
      <c r="AX265" s="9"/>
      <c r="AY265" s="22">
        <v>1.18408</v>
      </c>
      <c r="AZ265" s="22">
        <v>578.66200000000003</v>
      </c>
      <c r="BA265" s="22">
        <v>-1.6708400000000002E-2</v>
      </c>
      <c r="BB265" s="22">
        <v>255</v>
      </c>
      <c r="BC265" s="22">
        <v>1.18347</v>
      </c>
      <c r="BD265">
        <f t="shared" si="46"/>
        <v>16.708400000000001</v>
      </c>
      <c r="BE265">
        <f t="shared" si="47"/>
        <v>19.784082272000003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99.447500000000005</v>
      </c>
      <c r="I266" s="22">
        <v>-1.7562899999999999E-2</v>
      </c>
      <c r="J266" s="22">
        <v>256</v>
      </c>
      <c r="K266" s="22">
        <v>0.51010100000000003</v>
      </c>
      <c r="L266">
        <f t="shared" si="36"/>
        <v>17.562899999999999</v>
      </c>
      <c r="M266">
        <f t="shared" si="37"/>
        <v>8.9722533455999987</v>
      </c>
      <c r="N266" s="9"/>
      <c r="O266" s="22">
        <v>1.18912</v>
      </c>
      <c r="P266" s="22">
        <v>165.40799999999999</v>
      </c>
      <c r="Q266" s="22">
        <v>-1.68793E-2</v>
      </c>
      <c r="R266" s="22">
        <v>256</v>
      </c>
      <c r="S266" s="22">
        <v>1.1880500000000001</v>
      </c>
      <c r="T266">
        <f t="shared" si="38"/>
        <v>16.879300000000001</v>
      </c>
      <c r="U266">
        <f t="shared" si="39"/>
        <v>20.071513216</v>
      </c>
      <c r="X266" s="9"/>
      <c r="Y266" s="22">
        <v>0.51086399999999998</v>
      </c>
      <c r="Z266" s="22">
        <v>250.96100000000001</v>
      </c>
      <c r="AA266" s="22">
        <v>-1.763E-2</v>
      </c>
      <c r="AB266" s="22">
        <v>256</v>
      </c>
      <c r="AC266" s="22">
        <v>0.51019300000000001</v>
      </c>
      <c r="AD266">
        <f t="shared" si="40"/>
        <v>17.63</v>
      </c>
      <c r="AE266">
        <f t="shared" si="41"/>
        <v>9.0065323199999998</v>
      </c>
      <c r="AF266" s="9"/>
      <c r="AG266" s="22">
        <v>1.18912</v>
      </c>
      <c r="AH266" s="22">
        <v>405.39800000000002</v>
      </c>
      <c r="AI266" s="22">
        <v>-1.67542E-2</v>
      </c>
      <c r="AJ266" s="22">
        <v>256</v>
      </c>
      <c r="AK266" s="22">
        <v>1.18866</v>
      </c>
      <c r="AL266">
        <f t="shared" si="42"/>
        <v>16.754200000000001</v>
      </c>
      <c r="AM266">
        <f t="shared" si="43"/>
        <v>19.922754304000001</v>
      </c>
      <c r="AP266" s="9"/>
      <c r="AQ266" s="22">
        <v>0.51086399999999998</v>
      </c>
      <c r="AR266" s="22">
        <v>506.50799999999998</v>
      </c>
      <c r="AS266" s="22">
        <v>-1.7553699999999998E-2</v>
      </c>
      <c r="AT266" s="22">
        <v>256</v>
      </c>
      <c r="AU266" s="22">
        <v>0.51022299999999998</v>
      </c>
      <c r="AV266">
        <f t="shared" si="44"/>
        <v>17.553699999999999</v>
      </c>
      <c r="AW266">
        <f t="shared" si="45"/>
        <v>8.9675533967999996</v>
      </c>
      <c r="AX266" s="9"/>
      <c r="AY266" s="22">
        <v>1.18912</v>
      </c>
      <c r="AZ266" s="22">
        <v>578.76199999999994</v>
      </c>
      <c r="BA266" s="22">
        <v>-1.6705299999999999E-2</v>
      </c>
      <c r="BB266" s="22">
        <v>256</v>
      </c>
      <c r="BC266" s="22">
        <v>1.18896</v>
      </c>
      <c r="BD266">
        <f t="shared" si="46"/>
        <v>16.705299999999998</v>
      </c>
      <c r="BE266">
        <f t="shared" si="47"/>
        <v>19.864606335999998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99.548199999999994</v>
      </c>
      <c r="I267" s="22">
        <v>-1.7578099999999999E-2</v>
      </c>
      <c r="J267" s="22">
        <v>257</v>
      </c>
      <c r="K267" s="22">
        <v>0.50567600000000001</v>
      </c>
      <c r="L267">
        <f t="shared" si="36"/>
        <v>17.578099999999999</v>
      </c>
      <c r="M267">
        <f t="shared" si="37"/>
        <v>8.8915127449</v>
      </c>
      <c r="N267" s="9"/>
      <c r="O267" s="22">
        <v>1.19415</v>
      </c>
      <c r="P267" s="22">
        <v>165.50800000000001</v>
      </c>
      <c r="Q267" s="22">
        <v>-1.6876200000000001E-2</v>
      </c>
      <c r="R267" s="22">
        <v>257</v>
      </c>
      <c r="S267" s="22">
        <v>1.19354</v>
      </c>
      <c r="T267">
        <f t="shared" si="38"/>
        <v>16.876200000000001</v>
      </c>
      <c r="U267">
        <f t="shared" si="39"/>
        <v>20.152714230000001</v>
      </c>
      <c r="X267" s="9"/>
      <c r="Y267" s="22">
        <v>0.50582899999999997</v>
      </c>
      <c r="Z267" s="22">
        <v>251.06200000000001</v>
      </c>
      <c r="AA267" s="22">
        <v>-1.7636099999999998E-2</v>
      </c>
      <c r="AB267" s="22">
        <v>257</v>
      </c>
      <c r="AC267" s="22">
        <v>0.50534100000000004</v>
      </c>
      <c r="AD267">
        <f t="shared" si="40"/>
        <v>17.636099999999999</v>
      </c>
      <c r="AE267">
        <f t="shared" si="41"/>
        <v>8.9208508268999989</v>
      </c>
      <c r="AF267" s="9"/>
      <c r="AG267" s="22">
        <v>1.19415</v>
      </c>
      <c r="AH267" s="22">
        <v>405.49799999999999</v>
      </c>
      <c r="AI267" s="22">
        <v>-1.67542E-2</v>
      </c>
      <c r="AJ267" s="22">
        <v>257</v>
      </c>
      <c r="AK267" s="22">
        <v>1.19293</v>
      </c>
      <c r="AL267">
        <f t="shared" si="42"/>
        <v>16.754200000000001</v>
      </c>
      <c r="AM267">
        <f t="shared" si="43"/>
        <v>20.007027930000003</v>
      </c>
      <c r="AP267" s="9"/>
      <c r="AQ267" s="22">
        <v>0.50582899999999997</v>
      </c>
      <c r="AR267" s="22">
        <v>506.60899999999998</v>
      </c>
      <c r="AS267" s="22">
        <v>-1.7569000000000001E-2</v>
      </c>
      <c r="AT267" s="22">
        <v>257</v>
      </c>
      <c r="AU267" s="22">
        <v>0.50521899999999997</v>
      </c>
      <c r="AV267">
        <f t="shared" si="44"/>
        <v>17.569000000000003</v>
      </c>
      <c r="AW267">
        <f t="shared" si="45"/>
        <v>8.8869097010000004</v>
      </c>
      <c r="AX267" s="9"/>
      <c r="AY267" s="22">
        <v>1.19415</v>
      </c>
      <c r="AZ267" s="22">
        <v>578.86300000000006</v>
      </c>
      <c r="BA267" s="22">
        <v>-1.6696200000000001E-2</v>
      </c>
      <c r="BB267" s="22">
        <v>257</v>
      </c>
      <c r="BC267" s="22">
        <v>1.1926300000000001</v>
      </c>
      <c r="BD267">
        <f t="shared" si="46"/>
        <v>16.696200000000001</v>
      </c>
      <c r="BE267">
        <f t="shared" si="47"/>
        <v>19.937767230000002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99.648899999999998</v>
      </c>
      <c r="I268" s="22">
        <v>-1.7572000000000001E-2</v>
      </c>
      <c r="J268" s="22">
        <v>258</v>
      </c>
      <c r="K268" s="22">
        <v>0.50018300000000004</v>
      </c>
      <c r="L268">
        <f t="shared" ref="L268:L331" si="48">-I268/$F$2*1000</f>
        <v>17.571999999999999</v>
      </c>
      <c r="M268">
        <f t="shared" ref="M268:M331" si="49">L268*G268</f>
        <v>8.7999345959999999</v>
      </c>
      <c r="N268" s="9"/>
      <c r="O268" s="22">
        <v>1.19919</v>
      </c>
      <c r="P268" s="22">
        <v>165.60900000000001</v>
      </c>
      <c r="Q268" s="22">
        <v>-1.6867099999999999E-2</v>
      </c>
      <c r="R268" s="22">
        <v>258</v>
      </c>
      <c r="S268" s="22">
        <v>1.1984300000000001</v>
      </c>
      <c r="T268">
        <f t="shared" ref="T268:T331" si="50">-Q268/$F$2*1000</f>
        <v>16.867100000000001</v>
      </c>
      <c r="U268">
        <f t="shared" ref="U268:U331" si="51">T268*O268</f>
        <v>20.226857648999999</v>
      </c>
      <c r="X268" s="9"/>
      <c r="Y268" s="22">
        <v>0.50079300000000004</v>
      </c>
      <c r="Z268" s="22">
        <v>251.16200000000001</v>
      </c>
      <c r="AA268" s="22">
        <v>-1.7639200000000001E-2</v>
      </c>
      <c r="AB268" s="22">
        <v>258</v>
      </c>
      <c r="AC268" s="22">
        <v>0.500305</v>
      </c>
      <c r="AD268">
        <f t="shared" ref="AD268:AD331" si="52">-AA268/$F$2*1000</f>
        <v>17.639200000000002</v>
      </c>
      <c r="AE268">
        <f t="shared" ref="AE268:AE331" si="53">AD268*Y268</f>
        <v>8.8335878856000019</v>
      </c>
      <c r="AF268" s="9"/>
      <c r="AG268" s="22">
        <v>1.19919</v>
      </c>
      <c r="AH268" s="22">
        <v>405.59899999999999</v>
      </c>
      <c r="AI268" s="22">
        <v>-1.67542E-2</v>
      </c>
      <c r="AJ268" s="22">
        <v>258</v>
      </c>
      <c r="AK268" s="22">
        <v>1.1984300000000001</v>
      </c>
      <c r="AL268">
        <f t="shared" ref="AL268:AL331" si="54">-AI268/$F$2*1000</f>
        <v>16.754200000000001</v>
      </c>
      <c r="AM268">
        <f t="shared" ref="AM268:AM331" si="55">AL268*AG268</f>
        <v>20.091469098000001</v>
      </c>
      <c r="AP268" s="9"/>
      <c r="AQ268" s="22">
        <v>0.50079300000000004</v>
      </c>
      <c r="AR268" s="22">
        <v>506.71</v>
      </c>
      <c r="AS268" s="22">
        <v>-1.7572000000000001E-2</v>
      </c>
      <c r="AT268" s="22">
        <v>258</v>
      </c>
      <c r="AU268" s="22">
        <v>0.50015299999999996</v>
      </c>
      <c r="AV268">
        <f t="shared" ref="AV268:AV331" si="56">-AS268/$F$2*1000</f>
        <v>17.571999999999999</v>
      </c>
      <c r="AW268">
        <f t="shared" ref="AW268:AW331" si="57">AV268*AQ268</f>
        <v>8.7999345959999999</v>
      </c>
      <c r="AX268" s="9"/>
      <c r="AY268" s="22">
        <v>1.19919</v>
      </c>
      <c r="AZ268" s="22">
        <v>578.96400000000006</v>
      </c>
      <c r="BA268" s="22">
        <v>-1.6696200000000001E-2</v>
      </c>
      <c r="BB268" s="22">
        <v>258</v>
      </c>
      <c r="BC268" s="22">
        <v>1.1981200000000001</v>
      </c>
      <c r="BD268">
        <f t="shared" ref="BD268:BD331" si="58">-BA268/$F$2*1000</f>
        <v>16.696200000000001</v>
      </c>
      <c r="BE268">
        <f t="shared" ref="BE268:BE331" si="59">BD268*AY268</f>
        <v>20.021916078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99.749600000000001</v>
      </c>
      <c r="I269" s="22">
        <v>-1.7572000000000001E-2</v>
      </c>
      <c r="J269" s="22">
        <v>259</v>
      </c>
      <c r="K269" s="22">
        <v>0.49517800000000001</v>
      </c>
      <c r="L269">
        <f t="shared" si="48"/>
        <v>17.571999999999999</v>
      </c>
      <c r="M269">
        <f t="shared" si="49"/>
        <v>8.7114595759999993</v>
      </c>
      <c r="N269" s="9"/>
      <c r="O269" s="22">
        <v>1.2042200000000001</v>
      </c>
      <c r="P269" s="22">
        <v>165.71</v>
      </c>
      <c r="Q269" s="22">
        <v>-1.6870099999999999E-2</v>
      </c>
      <c r="R269" s="22">
        <v>259</v>
      </c>
      <c r="S269" s="22">
        <v>1.2036100000000001</v>
      </c>
      <c r="T269">
        <f t="shared" si="50"/>
        <v>16.870100000000001</v>
      </c>
      <c r="U269">
        <f t="shared" si="51"/>
        <v>20.315311822000002</v>
      </c>
      <c r="X269" s="9"/>
      <c r="Y269" s="22">
        <v>0.49575799999999998</v>
      </c>
      <c r="Z269" s="22">
        <v>251.26300000000001</v>
      </c>
      <c r="AA269" s="22">
        <v>-1.76422E-2</v>
      </c>
      <c r="AB269" s="22">
        <v>259</v>
      </c>
      <c r="AC269" s="22">
        <v>0.495087</v>
      </c>
      <c r="AD269">
        <f t="shared" si="52"/>
        <v>17.642199999999999</v>
      </c>
      <c r="AE269">
        <f t="shared" si="53"/>
        <v>8.7462617875999999</v>
      </c>
      <c r="AF269" s="9"/>
      <c r="AG269" s="22">
        <v>1.2042200000000001</v>
      </c>
      <c r="AH269" s="22">
        <v>405.7</v>
      </c>
      <c r="AI269" s="22">
        <v>-1.6747999999999999E-2</v>
      </c>
      <c r="AJ269" s="22">
        <v>259</v>
      </c>
      <c r="AK269" s="22">
        <v>1.2033100000000001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0.49575799999999998</v>
      </c>
      <c r="AR269" s="22">
        <v>506.81</v>
      </c>
      <c r="AS269" s="22">
        <v>-1.7578099999999999E-2</v>
      </c>
      <c r="AT269" s="22">
        <v>259</v>
      </c>
      <c r="AU269" s="22">
        <v>0.49514799999999998</v>
      </c>
      <c r="AV269">
        <f t="shared" si="56"/>
        <v>17.578099999999999</v>
      </c>
      <c r="AW269">
        <f t="shared" si="57"/>
        <v>8.7144836997999988</v>
      </c>
      <c r="AX269" s="9"/>
      <c r="AY269" s="22">
        <v>1.2042200000000001</v>
      </c>
      <c r="AZ269" s="22">
        <v>579.06500000000005</v>
      </c>
      <c r="BA269" s="22">
        <v>-1.6684000000000001E-2</v>
      </c>
      <c r="BB269" s="22">
        <v>259</v>
      </c>
      <c r="BC269" s="22">
        <v>1.2039200000000001</v>
      </c>
      <c r="BD269">
        <f t="shared" si="58"/>
        <v>16.684000000000001</v>
      </c>
      <c r="BE269">
        <f t="shared" si="59"/>
        <v>20.091206480000004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99.850300000000004</v>
      </c>
      <c r="I270" s="22">
        <v>-1.75903E-2</v>
      </c>
      <c r="J270" s="22">
        <v>260</v>
      </c>
      <c r="K270" s="22">
        <v>0.49005100000000001</v>
      </c>
      <c r="L270">
        <f t="shared" si="48"/>
        <v>17.590299999999999</v>
      </c>
      <c r="M270">
        <f t="shared" si="49"/>
        <v>8.6319647868999994</v>
      </c>
      <c r="N270" s="9"/>
      <c r="O270" s="22">
        <v>1.20926</v>
      </c>
      <c r="P270" s="22">
        <v>165.81</v>
      </c>
      <c r="Q270" s="22">
        <v>-1.6857899999999999E-2</v>
      </c>
      <c r="R270" s="22">
        <v>260</v>
      </c>
      <c r="S270" s="22">
        <v>1.2075800000000001</v>
      </c>
      <c r="T270">
        <f t="shared" si="50"/>
        <v>16.857899999999997</v>
      </c>
      <c r="U270">
        <f t="shared" si="51"/>
        <v>20.385584153999996</v>
      </c>
      <c r="X270" s="9"/>
      <c r="Y270" s="22">
        <v>0.49072300000000002</v>
      </c>
      <c r="Z270" s="22">
        <v>251.364</v>
      </c>
      <c r="AA270" s="22">
        <v>-1.76575E-2</v>
      </c>
      <c r="AB270" s="22">
        <v>260</v>
      </c>
      <c r="AC270" s="22">
        <v>0.49002099999999998</v>
      </c>
      <c r="AD270">
        <f t="shared" si="52"/>
        <v>17.657499999999999</v>
      </c>
      <c r="AE270">
        <f t="shared" si="53"/>
        <v>8.6649413724999995</v>
      </c>
      <c r="AF270" s="9"/>
      <c r="AG270" s="22">
        <v>1.20926</v>
      </c>
      <c r="AH270" s="22">
        <v>405.8</v>
      </c>
      <c r="AI270" s="22">
        <v>-1.6738900000000001E-2</v>
      </c>
      <c r="AJ270" s="22">
        <v>260</v>
      </c>
      <c r="AK270" s="22">
        <v>1.2081900000000001</v>
      </c>
      <c r="AL270">
        <f t="shared" si="54"/>
        <v>16.738900000000001</v>
      </c>
      <c r="AM270">
        <f t="shared" si="55"/>
        <v>20.241682214000001</v>
      </c>
      <c r="AP270" s="9"/>
      <c r="AQ270" s="22">
        <v>0.49072300000000002</v>
      </c>
      <c r="AR270" s="22">
        <v>506.911</v>
      </c>
      <c r="AS270" s="22">
        <v>-1.7578099999999999E-2</v>
      </c>
      <c r="AT270" s="22">
        <v>260</v>
      </c>
      <c r="AU270" s="22">
        <v>0.49011199999999999</v>
      </c>
      <c r="AV270">
        <f t="shared" si="56"/>
        <v>17.578099999999999</v>
      </c>
      <c r="AW270">
        <f t="shared" si="57"/>
        <v>8.6259779663000007</v>
      </c>
      <c r="AX270" s="9"/>
      <c r="AY270" s="22">
        <v>1.20926</v>
      </c>
      <c r="AZ270" s="22">
        <v>579.16499999999996</v>
      </c>
      <c r="BA270" s="22">
        <v>-1.6677899999999999E-2</v>
      </c>
      <c r="BB270" s="22">
        <v>260</v>
      </c>
      <c r="BC270" s="22">
        <v>1.2078899999999999</v>
      </c>
      <c r="BD270">
        <f t="shared" si="58"/>
        <v>16.677899999999998</v>
      </c>
      <c r="BE270">
        <f t="shared" si="59"/>
        <v>20.167917353999997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99.950999999999993</v>
      </c>
      <c r="I271" s="22">
        <v>-1.7596400000000002E-2</v>
      </c>
      <c r="J271" s="22">
        <v>261</v>
      </c>
      <c r="K271" s="22">
        <v>0.48529099999999997</v>
      </c>
      <c r="L271">
        <f t="shared" si="48"/>
        <v>17.596400000000003</v>
      </c>
      <c r="M271">
        <f t="shared" si="49"/>
        <v>8.5463427268000007</v>
      </c>
      <c r="N271" s="9"/>
      <c r="O271" s="22">
        <v>1.2142900000000001</v>
      </c>
      <c r="P271" s="22">
        <v>165.911</v>
      </c>
      <c r="Q271" s="22">
        <v>-1.6854899999999999E-2</v>
      </c>
      <c r="R271" s="22">
        <v>261</v>
      </c>
      <c r="S271" s="22">
        <v>1.2136800000000001</v>
      </c>
      <c r="T271">
        <f t="shared" si="50"/>
        <v>16.854900000000001</v>
      </c>
      <c r="U271">
        <f t="shared" si="51"/>
        <v>20.466736521000001</v>
      </c>
      <c r="X271" s="9"/>
      <c r="Y271" s="22">
        <v>0.48568699999999998</v>
      </c>
      <c r="Z271" s="22">
        <v>251.464</v>
      </c>
      <c r="AA271" s="22">
        <v>-1.7666600000000001E-2</v>
      </c>
      <c r="AB271" s="22">
        <v>261</v>
      </c>
      <c r="AC271" s="22">
        <v>0.48504599999999998</v>
      </c>
      <c r="AD271">
        <f t="shared" si="52"/>
        <v>17.666600000000003</v>
      </c>
      <c r="AE271">
        <f t="shared" si="53"/>
        <v>8.5804379542000007</v>
      </c>
      <c r="AF271" s="9"/>
      <c r="AG271" s="22">
        <v>1.2142900000000001</v>
      </c>
      <c r="AH271" s="22">
        <v>405.90100000000001</v>
      </c>
      <c r="AI271" s="22">
        <v>-1.6726700000000001E-2</v>
      </c>
      <c r="AJ271" s="22">
        <v>261</v>
      </c>
      <c r="AK271" s="22">
        <v>1.2136800000000001</v>
      </c>
      <c r="AL271">
        <f t="shared" si="54"/>
        <v>16.726700000000001</v>
      </c>
      <c r="AM271">
        <f t="shared" si="55"/>
        <v>20.311064543000004</v>
      </c>
      <c r="AP271" s="9"/>
      <c r="AQ271" s="22">
        <v>0.48568699999999998</v>
      </c>
      <c r="AR271" s="22">
        <v>507.012</v>
      </c>
      <c r="AS271" s="22">
        <v>-1.7581200000000002E-2</v>
      </c>
      <c r="AT271" s="22">
        <v>261</v>
      </c>
      <c r="AU271" s="22">
        <v>0.485016</v>
      </c>
      <c r="AV271">
        <f t="shared" si="56"/>
        <v>17.581200000000003</v>
      </c>
      <c r="AW271">
        <f t="shared" si="57"/>
        <v>8.5389602844000017</v>
      </c>
      <c r="AX271" s="9"/>
      <c r="AY271" s="22">
        <v>1.2142900000000001</v>
      </c>
      <c r="AZ271" s="22">
        <v>579.26599999999996</v>
      </c>
      <c r="BA271" s="22">
        <v>-1.66748E-2</v>
      </c>
      <c r="BB271" s="22">
        <v>261</v>
      </c>
      <c r="BC271" s="22">
        <v>1.2136800000000001</v>
      </c>
      <c r="BD271">
        <f t="shared" si="58"/>
        <v>16.674800000000001</v>
      </c>
      <c r="BE271">
        <f t="shared" si="59"/>
        <v>20.248042892000004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100.05200000000001</v>
      </c>
      <c r="I272" s="22">
        <v>-1.7593399999999999E-2</v>
      </c>
      <c r="J272" s="22">
        <v>262</v>
      </c>
      <c r="K272" s="22">
        <v>0.48046899999999998</v>
      </c>
      <c r="L272">
        <f t="shared" si="48"/>
        <v>17.593399999999999</v>
      </c>
      <c r="M272">
        <f t="shared" si="49"/>
        <v>8.4563028968000005</v>
      </c>
      <c r="N272" s="9"/>
      <c r="O272" s="22">
        <v>1.21933</v>
      </c>
      <c r="P272" s="22">
        <v>166.012</v>
      </c>
      <c r="Q272" s="22">
        <v>-1.6857899999999999E-2</v>
      </c>
      <c r="R272" s="22">
        <v>262</v>
      </c>
      <c r="S272" s="22">
        <v>1.2185699999999999</v>
      </c>
      <c r="T272">
        <f t="shared" si="50"/>
        <v>16.857899999999997</v>
      </c>
      <c r="U272">
        <f t="shared" si="51"/>
        <v>20.555343206999996</v>
      </c>
      <c r="X272" s="9"/>
      <c r="Y272" s="22">
        <v>0.48065200000000002</v>
      </c>
      <c r="Z272" s="22">
        <v>251.565</v>
      </c>
      <c r="AA272" s="22">
        <v>-1.7660499999999999E-2</v>
      </c>
      <c r="AB272" s="22">
        <v>262</v>
      </c>
      <c r="AC272" s="22">
        <v>0.47967500000000002</v>
      </c>
      <c r="AD272">
        <f t="shared" si="52"/>
        <v>17.660499999999999</v>
      </c>
      <c r="AE272">
        <f t="shared" si="53"/>
        <v>8.4885546460000008</v>
      </c>
      <c r="AF272" s="9"/>
      <c r="AG272" s="22">
        <v>1.21933</v>
      </c>
      <c r="AH272" s="22">
        <v>406.00200000000001</v>
      </c>
      <c r="AI272" s="22">
        <v>-1.67145E-2</v>
      </c>
      <c r="AJ272" s="22">
        <v>262</v>
      </c>
      <c r="AK272" s="22">
        <v>1.2185699999999999</v>
      </c>
      <c r="AL272">
        <f t="shared" si="54"/>
        <v>16.714500000000001</v>
      </c>
      <c r="AM272">
        <f t="shared" si="55"/>
        <v>20.380491285000002</v>
      </c>
      <c r="AP272" s="9"/>
      <c r="AQ272" s="22">
        <v>0.48065200000000002</v>
      </c>
      <c r="AR272" s="22">
        <v>507.113</v>
      </c>
      <c r="AS272" s="22">
        <v>-1.7584200000000001E-2</v>
      </c>
      <c r="AT272" s="22">
        <v>262</v>
      </c>
      <c r="AU272" s="22">
        <v>0.48019400000000001</v>
      </c>
      <c r="AV272">
        <f t="shared" si="56"/>
        <v>17.584200000000003</v>
      </c>
      <c r="AW272">
        <f t="shared" si="57"/>
        <v>8.4518808984000025</v>
      </c>
      <c r="AX272" s="9"/>
      <c r="AY272" s="22">
        <v>1.21933</v>
      </c>
      <c r="AZ272" s="22">
        <v>579.36699999999996</v>
      </c>
      <c r="BA272" s="22">
        <v>-1.6677899999999999E-2</v>
      </c>
      <c r="BB272" s="22">
        <v>262</v>
      </c>
      <c r="BC272" s="22">
        <v>1.2176499999999999</v>
      </c>
      <c r="BD272">
        <f t="shared" si="58"/>
        <v>16.677899999999998</v>
      </c>
      <c r="BE272">
        <f t="shared" si="59"/>
        <v>20.335863806999999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100.152</v>
      </c>
      <c r="I273" s="22">
        <v>-1.7599500000000001E-2</v>
      </c>
      <c r="J273" s="22">
        <v>263</v>
      </c>
      <c r="K273" s="22">
        <v>0.47518899999999997</v>
      </c>
      <c r="L273">
        <f t="shared" si="48"/>
        <v>17.599499999999999</v>
      </c>
      <c r="M273">
        <f t="shared" si="49"/>
        <v>8.3706037919999989</v>
      </c>
      <c r="N273" s="9"/>
      <c r="O273" s="22">
        <v>1.22437</v>
      </c>
      <c r="P273" s="22">
        <v>166.11199999999999</v>
      </c>
      <c r="Q273" s="22">
        <v>-1.6836500000000001E-2</v>
      </c>
      <c r="R273" s="22">
        <v>263</v>
      </c>
      <c r="S273" s="22">
        <v>1.2231399999999999</v>
      </c>
      <c r="T273">
        <f t="shared" si="50"/>
        <v>16.836500000000001</v>
      </c>
      <c r="U273">
        <f t="shared" si="51"/>
        <v>20.614105505000001</v>
      </c>
      <c r="X273" s="9"/>
      <c r="Y273" s="22">
        <v>0.47561599999999998</v>
      </c>
      <c r="Z273" s="22">
        <v>251.666</v>
      </c>
      <c r="AA273" s="22">
        <v>-1.7666600000000001E-2</v>
      </c>
      <c r="AB273" s="22">
        <v>263</v>
      </c>
      <c r="AC273" s="22">
        <v>0.47491499999999998</v>
      </c>
      <c r="AD273">
        <f t="shared" si="52"/>
        <v>17.666600000000003</v>
      </c>
      <c r="AE273">
        <f t="shared" si="53"/>
        <v>8.4025176256000016</v>
      </c>
      <c r="AF273" s="9"/>
      <c r="AG273" s="22">
        <v>1.22437</v>
      </c>
      <c r="AH273" s="22">
        <v>406.10300000000001</v>
      </c>
      <c r="AI273" s="22">
        <v>-1.6708400000000002E-2</v>
      </c>
      <c r="AJ273" s="22">
        <v>263</v>
      </c>
      <c r="AK273" s="22">
        <v>1.2237499999999999</v>
      </c>
      <c r="AL273">
        <f t="shared" si="54"/>
        <v>16.708400000000001</v>
      </c>
      <c r="AM273">
        <f t="shared" si="55"/>
        <v>20.457263707999999</v>
      </c>
      <c r="AP273" s="9"/>
      <c r="AQ273" s="22">
        <v>0.47561599999999998</v>
      </c>
      <c r="AR273" s="22">
        <v>507.21300000000002</v>
      </c>
      <c r="AS273" s="22">
        <v>-1.7599500000000001E-2</v>
      </c>
      <c r="AT273" s="22">
        <v>263</v>
      </c>
      <c r="AU273" s="22">
        <v>0.47503699999999999</v>
      </c>
      <c r="AV273">
        <f t="shared" si="56"/>
        <v>17.599499999999999</v>
      </c>
      <c r="AW273">
        <f t="shared" si="57"/>
        <v>8.3706037919999989</v>
      </c>
      <c r="AX273" s="9"/>
      <c r="AY273" s="22">
        <v>1.22437</v>
      </c>
      <c r="AZ273" s="22">
        <v>579.46699999999998</v>
      </c>
      <c r="BA273" s="22">
        <v>-1.6659500000000001E-2</v>
      </c>
      <c r="BB273" s="22">
        <v>263</v>
      </c>
      <c r="BC273" s="22">
        <v>1.2234499999999999</v>
      </c>
      <c r="BD273">
        <f t="shared" si="58"/>
        <v>16.659500000000001</v>
      </c>
      <c r="BE273">
        <f t="shared" si="59"/>
        <v>20.397392015000001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100.253</v>
      </c>
      <c r="I274" s="22">
        <v>-1.76025E-2</v>
      </c>
      <c r="J274" s="22">
        <v>264</v>
      </c>
      <c r="K274" s="22">
        <v>0.47039799999999998</v>
      </c>
      <c r="L274">
        <f t="shared" si="48"/>
        <v>17.602499999999999</v>
      </c>
      <c r="M274">
        <f t="shared" si="49"/>
        <v>8.2834020524999996</v>
      </c>
      <c r="N274" s="9"/>
      <c r="O274" s="22">
        <v>1.2294</v>
      </c>
      <c r="P274" s="22">
        <v>166.21299999999999</v>
      </c>
      <c r="Q274" s="22">
        <v>-1.6836500000000001E-2</v>
      </c>
      <c r="R274" s="22">
        <v>264</v>
      </c>
      <c r="S274" s="22">
        <v>1.22864</v>
      </c>
      <c r="T274">
        <f t="shared" si="50"/>
        <v>16.836500000000001</v>
      </c>
      <c r="U274">
        <f t="shared" si="51"/>
        <v>20.698793100000003</v>
      </c>
      <c r="X274" s="9"/>
      <c r="Y274" s="22">
        <v>0.47058100000000003</v>
      </c>
      <c r="Z274" s="22">
        <v>251.767</v>
      </c>
      <c r="AA274" s="22">
        <v>-1.76727E-2</v>
      </c>
      <c r="AB274" s="22">
        <v>264</v>
      </c>
      <c r="AC274" s="22">
        <v>0.47021499999999999</v>
      </c>
      <c r="AD274">
        <f t="shared" si="52"/>
        <v>17.672699999999999</v>
      </c>
      <c r="AE274">
        <f t="shared" si="53"/>
        <v>8.3164368386999996</v>
      </c>
      <c r="AF274" s="9"/>
      <c r="AG274" s="22">
        <v>1.2294</v>
      </c>
      <c r="AH274" s="22">
        <v>406.20299999999997</v>
      </c>
      <c r="AI274" s="22">
        <v>-1.67023E-2</v>
      </c>
      <c r="AJ274" s="22">
        <v>264</v>
      </c>
      <c r="AK274" s="22">
        <v>1.22864</v>
      </c>
      <c r="AL274">
        <f t="shared" si="54"/>
        <v>16.702300000000001</v>
      </c>
      <c r="AM274">
        <f t="shared" si="55"/>
        <v>20.533807620000001</v>
      </c>
      <c r="AP274" s="9"/>
      <c r="AQ274" s="22">
        <v>0.47058100000000003</v>
      </c>
      <c r="AR274" s="22">
        <v>507.31400000000002</v>
      </c>
      <c r="AS274" s="22">
        <v>-1.7599500000000001E-2</v>
      </c>
      <c r="AT274" s="22">
        <v>264</v>
      </c>
      <c r="AU274" s="22">
        <v>0.46987899999999999</v>
      </c>
      <c r="AV274">
        <f t="shared" si="56"/>
        <v>17.599499999999999</v>
      </c>
      <c r="AW274">
        <f t="shared" si="57"/>
        <v>8.2819903094999994</v>
      </c>
      <c r="AX274" s="9"/>
      <c r="AY274" s="22">
        <v>1.2294</v>
      </c>
      <c r="AZ274" s="22">
        <v>579.56799999999998</v>
      </c>
      <c r="BA274" s="22">
        <v>-1.6656500000000001E-2</v>
      </c>
      <c r="BB274" s="22">
        <v>264</v>
      </c>
      <c r="BC274" s="22">
        <v>1.2283299999999999</v>
      </c>
      <c r="BD274">
        <f t="shared" si="58"/>
        <v>16.656500000000001</v>
      </c>
      <c r="BE274">
        <f t="shared" si="59"/>
        <v>20.477501100000001</v>
      </c>
    </row>
    <row r="275" spans="6:101">
      <c r="F275" s="9"/>
      <c r="G275" s="22">
        <v>0.46554600000000002</v>
      </c>
      <c r="H275" s="22">
        <v>100.354</v>
      </c>
      <c r="I275" s="22">
        <v>-1.7617799999999999E-2</v>
      </c>
      <c r="J275" s="22">
        <v>265</v>
      </c>
      <c r="K275" s="22">
        <v>0.46487400000000001</v>
      </c>
      <c r="L275">
        <f t="shared" si="48"/>
        <v>17.617799999999999</v>
      </c>
      <c r="M275">
        <f t="shared" si="49"/>
        <v>8.2018963187999994</v>
      </c>
      <c r="N275" s="9"/>
      <c r="O275" s="22">
        <v>1.23444</v>
      </c>
      <c r="P275" s="22">
        <v>166.31399999999999</v>
      </c>
      <c r="Q275" s="22">
        <v>-1.68396E-2</v>
      </c>
      <c r="R275" s="22">
        <v>265</v>
      </c>
      <c r="S275" s="22">
        <v>1.23322</v>
      </c>
      <c r="T275">
        <f t="shared" si="50"/>
        <v>16.839600000000001</v>
      </c>
      <c r="U275">
        <f t="shared" si="51"/>
        <v>20.787475824000001</v>
      </c>
      <c r="X275" s="9"/>
      <c r="Y275" s="22">
        <v>0.46554600000000002</v>
      </c>
      <c r="Z275" s="22">
        <v>251.86699999999999</v>
      </c>
      <c r="AA275" s="22">
        <v>-1.7675799999999998E-2</v>
      </c>
      <c r="AB275" s="22">
        <v>265</v>
      </c>
      <c r="AC275" s="22">
        <v>0.46496599999999999</v>
      </c>
      <c r="AD275">
        <f t="shared" si="52"/>
        <v>17.675799999999999</v>
      </c>
      <c r="AE275">
        <f t="shared" si="53"/>
        <v>8.2288979867999998</v>
      </c>
      <c r="AF275" s="9"/>
      <c r="AG275" s="22">
        <v>1.23444</v>
      </c>
      <c r="AH275" s="22">
        <v>406.30399999999997</v>
      </c>
      <c r="AI275" s="22">
        <v>-1.6687E-2</v>
      </c>
      <c r="AJ275" s="22">
        <v>265</v>
      </c>
      <c r="AK275" s="22">
        <v>1.2335199999999999</v>
      </c>
      <c r="AL275">
        <f t="shared" si="54"/>
        <v>16.687000000000001</v>
      </c>
      <c r="AM275">
        <f t="shared" si="55"/>
        <v>20.599100280000002</v>
      </c>
      <c r="AP275" s="9"/>
      <c r="AQ275" s="22">
        <v>0.46554600000000002</v>
      </c>
      <c r="AR275" s="22">
        <v>507.41500000000002</v>
      </c>
      <c r="AS275" s="22">
        <v>-1.7608599999999999E-2</v>
      </c>
      <c r="AT275" s="22">
        <v>265</v>
      </c>
      <c r="AU275" s="22">
        <v>0.465424</v>
      </c>
      <c r="AV275">
        <f t="shared" si="56"/>
        <v>17.608599999999999</v>
      </c>
      <c r="AW275">
        <f t="shared" si="57"/>
        <v>8.1976132956000001</v>
      </c>
      <c r="AX275" s="9"/>
      <c r="AY275" s="22">
        <v>1.23444</v>
      </c>
      <c r="AZ275" s="22">
        <v>579.66899999999998</v>
      </c>
      <c r="BA275" s="22">
        <v>-1.6638199999999999E-2</v>
      </c>
      <c r="BB275" s="22">
        <v>265</v>
      </c>
      <c r="BC275" s="22">
        <v>1.23322</v>
      </c>
      <c r="BD275">
        <f t="shared" si="58"/>
        <v>16.638199999999998</v>
      </c>
      <c r="BE275">
        <f t="shared" si="59"/>
        <v>20.538859607999996</v>
      </c>
    </row>
    <row r="276" spans="6:101">
      <c r="F276" s="9"/>
      <c r="G276" s="22">
        <v>0.46050999999999997</v>
      </c>
      <c r="H276" s="22">
        <v>100.455</v>
      </c>
      <c r="I276" s="22">
        <v>-1.7620799999999999E-2</v>
      </c>
      <c r="J276" s="22">
        <v>266</v>
      </c>
      <c r="K276" s="22">
        <v>0.459839</v>
      </c>
      <c r="L276">
        <f t="shared" si="48"/>
        <v>17.620799999999999</v>
      </c>
      <c r="M276">
        <f t="shared" si="49"/>
        <v>8.1145546079999988</v>
      </c>
      <c r="N276" s="9"/>
      <c r="O276" s="22">
        <v>1.2394700000000001</v>
      </c>
      <c r="P276" s="22">
        <v>166.41499999999999</v>
      </c>
      <c r="Q276" s="22">
        <v>-1.68243E-2</v>
      </c>
      <c r="R276" s="22">
        <v>266</v>
      </c>
      <c r="S276" s="22">
        <v>1.2383999999999999</v>
      </c>
      <c r="T276">
        <f t="shared" si="50"/>
        <v>16.824300000000001</v>
      </c>
      <c r="U276">
        <f t="shared" si="51"/>
        <v>20.853215121000002</v>
      </c>
      <c r="X276" s="9"/>
      <c r="Y276" s="22">
        <v>0.46050999999999997</v>
      </c>
      <c r="Z276" s="22">
        <v>251.96799999999999</v>
      </c>
      <c r="AA276" s="22">
        <v>-1.7690999999999998E-2</v>
      </c>
      <c r="AB276" s="22">
        <v>266</v>
      </c>
      <c r="AC276" s="22">
        <v>0.45989999999999998</v>
      </c>
      <c r="AD276">
        <f t="shared" si="52"/>
        <v>17.690999999999999</v>
      </c>
      <c r="AE276">
        <f t="shared" si="53"/>
        <v>8.1468824099999999</v>
      </c>
      <c r="AF276" s="9"/>
      <c r="AG276" s="22">
        <v>1.2394700000000001</v>
      </c>
      <c r="AH276" s="22">
        <v>406.40499999999997</v>
      </c>
      <c r="AI276" s="22">
        <v>-1.6693099999999999E-2</v>
      </c>
      <c r="AJ276" s="22">
        <v>266</v>
      </c>
      <c r="AK276" s="22">
        <v>1.23932</v>
      </c>
      <c r="AL276">
        <f t="shared" si="54"/>
        <v>16.693099999999998</v>
      </c>
      <c r="AM276">
        <f t="shared" si="55"/>
        <v>20.690596656999997</v>
      </c>
      <c r="AP276" s="9"/>
      <c r="AQ276" s="22">
        <v>0.46050999999999997</v>
      </c>
      <c r="AR276" s="22">
        <v>507.51499999999999</v>
      </c>
      <c r="AS276" s="22">
        <v>-1.7611700000000001E-2</v>
      </c>
      <c r="AT276" s="22">
        <v>266</v>
      </c>
      <c r="AU276" s="22">
        <v>0.45999099999999998</v>
      </c>
      <c r="AV276">
        <f t="shared" si="56"/>
        <v>17.611700000000003</v>
      </c>
      <c r="AW276">
        <f t="shared" si="57"/>
        <v>8.1103639670000014</v>
      </c>
      <c r="AX276" s="9"/>
      <c r="AY276" s="22">
        <v>1.2394700000000001</v>
      </c>
      <c r="AZ276" s="22">
        <v>579.77</v>
      </c>
      <c r="BA276" s="22">
        <v>-1.66351E-2</v>
      </c>
      <c r="BB276" s="22">
        <v>266</v>
      </c>
      <c r="BC276" s="22">
        <v>1.23871</v>
      </c>
      <c r="BD276">
        <f t="shared" si="58"/>
        <v>16.635100000000001</v>
      </c>
      <c r="BE276">
        <f t="shared" si="59"/>
        <v>20.618707397000001</v>
      </c>
    </row>
    <row r="277" spans="6:101">
      <c r="F277" s="9"/>
      <c r="G277" s="22">
        <v>0.45547500000000002</v>
      </c>
      <c r="H277" s="22">
        <v>100.55500000000001</v>
      </c>
      <c r="I277" s="22">
        <v>-1.7620799999999999E-2</v>
      </c>
      <c r="J277" s="22">
        <v>267</v>
      </c>
      <c r="K277" s="22">
        <v>0.45517000000000002</v>
      </c>
      <c r="L277">
        <f t="shared" si="48"/>
        <v>17.620799999999999</v>
      </c>
      <c r="M277">
        <f t="shared" si="49"/>
        <v>8.0258338800000004</v>
      </c>
      <c r="N277" s="9"/>
      <c r="O277" s="22">
        <v>1.24451</v>
      </c>
      <c r="P277" s="22">
        <v>166.51499999999999</v>
      </c>
      <c r="Q277" s="22">
        <v>-1.6821300000000001E-2</v>
      </c>
      <c r="R277" s="22">
        <v>267</v>
      </c>
      <c r="S277" s="22">
        <v>1.24359</v>
      </c>
      <c r="T277">
        <f t="shared" si="50"/>
        <v>16.821300000000001</v>
      </c>
      <c r="U277">
        <f t="shared" si="51"/>
        <v>20.934276063000002</v>
      </c>
      <c r="X277" s="9"/>
      <c r="Y277" s="22">
        <v>0.45547500000000002</v>
      </c>
      <c r="Z277" s="22">
        <v>252.06899999999999</v>
      </c>
      <c r="AA277" s="22">
        <v>-1.7694100000000001E-2</v>
      </c>
      <c r="AB277" s="22">
        <v>267</v>
      </c>
      <c r="AC277" s="22">
        <v>0.45495600000000003</v>
      </c>
      <c r="AD277">
        <f t="shared" si="52"/>
        <v>17.694100000000002</v>
      </c>
      <c r="AE277">
        <f t="shared" si="53"/>
        <v>8.059220197500002</v>
      </c>
      <c r="AF277" s="9"/>
      <c r="AG277" s="22">
        <v>1.24451</v>
      </c>
      <c r="AH277" s="22">
        <v>406.505</v>
      </c>
      <c r="AI277" s="22">
        <v>-1.6677899999999999E-2</v>
      </c>
      <c r="AJ277" s="22">
        <v>267</v>
      </c>
      <c r="AK277" s="22">
        <v>1.2442</v>
      </c>
      <c r="AL277">
        <f t="shared" si="54"/>
        <v>16.677899999999998</v>
      </c>
      <c r="AM277">
        <f t="shared" si="55"/>
        <v>20.755813328999999</v>
      </c>
      <c r="AP277" s="9"/>
      <c r="AQ277" s="22">
        <v>0.45547500000000002</v>
      </c>
      <c r="AR277" s="22">
        <v>507.61599999999999</v>
      </c>
      <c r="AS277" s="22">
        <v>-1.7617799999999999E-2</v>
      </c>
      <c r="AT277" s="22">
        <v>267</v>
      </c>
      <c r="AU277" s="22">
        <v>0.45489499999999999</v>
      </c>
      <c r="AV277">
        <f t="shared" si="56"/>
        <v>17.617799999999999</v>
      </c>
      <c r="AW277">
        <f t="shared" si="57"/>
        <v>8.0244674549999999</v>
      </c>
      <c r="AX277" s="9"/>
      <c r="AY277" s="22">
        <v>1.24451</v>
      </c>
      <c r="AZ277" s="22">
        <v>579.87</v>
      </c>
      <c r="BA277" s="22">
        <v>-1.6629000000000001E-2</v>
      </c>
      <c r="BB277" s="22">
        <v>267</v>
      </c>
      <c r="BC277" s="22">
        <v>1.24329</v>
      </c>
      <c r="BD277">
        <f t="shared" si="58"/>
        <v>16.629000000000001</v>
      </c>
      <c r="BE277">
        <f t="shared" si="59"/>
        <v>20.694956790000003</v>
      </c>
    </row>
    <row r="278" spans="6:101">
      <c r="F278" s="9"/>
      <c r="G278" s="22">
        <v>0.45043899999999998</v>
      </c>
      <c r="H278" s="22">
        <v>100.65600000000001</v>
      </c>
      <c r="I278" s="22">
        <v>-1.7620799999999999E-2</v>
      </c>
      <c r="J278" s="22">
        <v>268</v>
      </c>
      <c r="K278" s="22">
        <v>0.449799</v>
      </c>
      <c r="L278">
        <f t="shared" si="48"/>
        <v>17.620799999999999</v>
      </c>
      <c r="M278">
        <f t="shared" si="49"/>
        <v>7.9370955311999989</v>
      </c>
      <c r="N278" s="9"/>
      <c r="O278" s="22">
        <v>1.2495400000000001</v>
      </c>
      <c r="P278" s="22">
        <v>166.61600000000001</v>
      </c>
      <c r="Q278" s="22">
        <v>-1.6815199999999999E-2</v>
      </c>
      <c r="R278" s="22">
        <v>268</v>
      </c>
      <c r="S278" s="22">
        <v>1.24878</v>
      </c>
      <c r="T278">
        <f t="shared" si="50"/>
        <v>16.815199999999997</v>
      </c>
      <c r="U278">
        <f t="shared" si="51"/>
        <v>21.011265007999999</v>
      </c>
      <c r="X278" s="9"/>
      <c r="Y278" s="22">
        <v>0.45043899999999998</v>
      </c>
      <c r="Z278" s="22">
        <v>252.16900000000001</v>
      </c>
      <c r="AA278" s="22">
        <v>-1.76971E-2</v>
      </c>
      <c r="AB278" s="22">
        <v>268</v>
      </c>
      <c r="AC278" s="22">
        <v>0.44970700000000002</v>
      </c>
      <c r="AD278">
        <f t="shared" si="52"/>
        <v>17.697099999999999</v>
      </c>
      <c r="AE278">
        <f t="shared" si="53"/>
        <v>7.9714640268999988</v>
      </c>
      <c r="AF278" s="9"/>
      <c r="AG278" s="22">
        <v>1.2495400000000001</v>
      </c>
      <c r="AH278" s="22">
        <v>406.60599999999999</v>
      </c>
      <c r="AI278" s="22">
        <v>-1.6684000000000001E-2</v>
      </c>
      <c r="AJ278" s="22">
        <v>268</v>
      </c>
      <c r="AK278" s="22">
        <v>1.24878</v>
      </c>
      <c r="AL278">
        <f t="shared" si="54"/>
        <v>16.684000000000001</v>
      </c>
      <c r="AM278">
        <f t="shared" si="55"/>
        <v>20.847325360000003</v>
      </c>
      <c r="AP278" s="9"/>
      <c r="AQ278" s="22">
        <v>0.45043899999999998</v>
      </c>
      <c r="AR278" s="22">
        <v>507.71699999999998</v>
      </c>
      <c r="AS278" s="22">
        <v>-1.7617799999999999E-2</v>
      </c>
      <c r="AT278" s="22">
        <v>268</v>
      </c>
      <c r="AU278" s="22">
        <v>0.45004300000000003</v>
      </c>
      <c r="AV278">
        <f t="shared" si="56"/>
        <v>17.617799999999999</v>
      </c>
      <c r="AW278">
        <f t="shared" si="57"/>
        <v>7.9357442141999988</v>
      </c>
      <c r="AX278" s="9"/>
      <c r="AY278" s="22">
        <v>1.2495400000000001</v>
      </c>
      <c r="AZ278" s="22">
        <v>579.971</v>
      </c>
      <c r="BA278" s="22">
        <v>-1.6622899999999999E-2</v>
      </c>
      <c r="BB278" s="22">
        <v>268</v>
      </c>
      <c r="BC278" s="22">
        <v>1.24878</v>
      </c>
      <c r="BD278">
        <f t="shared" si="58"/>
        <v>16.622899999999998</v>
      </c>
      <c r="BE278">
        <f t="shared" si="59"/>
        <v>20.770978465999999</v>
      </c>
    </row>
    <row r="279" spans="6:101">
      <c r="F279" s="9"/>
      <c r="G279" s="22">
        <v>0.44540400000000002</v>
      </c>
      <c r="H279" s="22">
        <v>100.75700000000001</v>
      </c>
      <c r="I279" s="22">
        <v>-1.763E-2</v>
      </c>
      <c r="J279" s="22">
        <v>269</v>
      </c>
      <c r="K279" s="22">
        <v>0.44500699999999999</v>
      </c>
      <c r="L279">
        <f t="shared" si="48"/>
        <v>17.63</v>
      </c>
      <c r="M279">
        <f t="shared" si="49"/>
        <v>7.8524725200000001</v>
      </c>
      <c r="N279" s="9"/>
      <c r="O279" s="22">
        <v>1.25458</v>
      </c>
      <c r="P279" s="22">
        <v>166.71700000000001</v>
      </c>
      <c r="Q279" s="22">
        <v>-1.6802999999999998E-2</v>
      </c>
      <c r="R279" s="22">
        <v>269</v>
      </c>
      <c r="S279" s="22">
        <v>1.25427</v>
      </c>
      <c r="T279">
        <f t="shared" si="50"/>
        <v>16.802999999999997</v>
      </c>
      <c r="U279">
        <f t="shared" si="51"/>
        <v>21.080707739999998</v>
      </c>
      <c r="X279" s="9"/>
      <c r="Y279" s="22">
        <v>0.44540400000000002</v>
      </c>
      <c r="Z279" s="22">
        <v>252.27</v>
      </c>
      <c r="AA279" s="22">
        <v>-1.7703199999999999E-2</v>
      </c>
      <c r="AB279" s="22">
        <v>269</v>
      </c>
      <c r="AC279" s="22">
        <v>0.44497700000000001</v>
      </c>
      <c r="AD279">
        <f t="shared" si="52"/>
        <v>17.703199999999999</v>
      </c>
      <c r="AE279">
        <f t="shared" si="53"/>
        <v>7.8850760928000003</v>
      </c>
      <c r="AF279" s="9"/>
      <c r="AG279" s="22">
        <v>1.25458</v>
      </c>
      <c r="AH279" s="22">
        <v>406.70699999999999</v>
      </c>
      <c r="AI279" s="22">
        <v>-1.66748E-2</v>
      </c>
      <c r="AJ279" s="22">
        <v>269</v>
      </c>
      <c r="AK279" s="22">
        <v>1.25397</v>
      </c>
      <c r="AL279">
        <f t="shared" si="54"/>
        <v>16.674800000000001</v>
      </c>
      <c r="AM279">
        <f t="shared" si="55"/>
        <v>20.919870584000002</v>
      </c>
      <c r="AP279" s="9"/>
      <c r="AQ279" s="22">
        <v>0.44540400000000002</v>
      </c>
      <c r="AR279" s="22">
        <v>507.81799999999998</v>
      </c>
      <c r="AS279" s="22">
        <v>-1.7633099999999999E-2</v>
      </c>
      <c r="AT279" s="22">
        <v>269</v>
      </c>
      <c r="AU279" s="22">
        <v>0.44476300000000002</v>
      </c>
      <c r="AV279">
        <f t="shared" si="56"/>
        <v>17.633099999999999</v>
      </c>
      <c r="AW279">
        <f t="shared" si="57"/>
        <v>7.8538532724000003</v>
      </c>
      <c r="AX279" s="9"/>
      <c r="AY279" s="22">
        <v>1.25458</v>
      </c>
      <c r="AZ279" s="22">
        <v>580.072</v>
      </c>
      <c r="BA279" s="22">
        <v>-1.6616800000000001E-2</v>
      </c>
      <c r="BB279" s="22">
        <v>269</v>
      </c>
      <c r="BC279" s="22">
        <v>1.25397</v>
      </c>
      <c r="BD279">
        <f t="shared" si="58"/>
        <v>16.616800000000001</v>
      </c>
      <c r="BE279">
        <f t="shared" si="59"/>
        <v>20.847104944000002</v>
      </c>
    </row>
    <row r="280" spans="6:101">
      <c r="F280" s="9"/>
      <c r="G280" s="22">
        <v>0.44036900000000001</v>
      </c>
      <c r="H280" s="22">
        <v>100.857</v>
      </c>
      <c r="I280" s="22">
        <v>-1.7639200000000001E-2</v>
      </c>
      <c r="J280" s="22">
        <v>270</v>
      </c>
      <c r="K280" s="22">
        <v>0.439697</v>
      </c>
      <c r="L280">
        <f t="shared" si="48"/>
        <v>17.639200000000002</v>
      </c>
      <c r="M280">
        <f t="shared" si="49"/>
        <v>7.7677568648000008</v>
      </c>
      <c r="N280" s="9"/>
      <c r="O280" s="22">
        <v>1.2596099999999999</v>
      </c>
      <c r="P280" s="22">
        <v>166.81700000000001</v>
      </c>
      <c r="Q280" s="22">
        <v>-1.6806000000000001E-2</v>
      </c>
      <c r="R280" s="22">
        <v>270</v>
      </c>
      <c r="S280" s="22">
        <v>1.2591600000000001</v>
      </c>
      <c r="T280">
        <f t="shared" si="50"/>
        <v>16.806000000000001</v>
      </c>
      <c r="U280">
        <f t="shared" si="51"/>
        <v>21.16900566</v>
      </c>
      <c r="X280" s="9"/>
      <c r="Y280" s="22">
        <v>0.44036900000000001</v>
      </c>
      <c r="Z280" s="22">
        <v>252.37100000000001</v>
      </c>
      <c r="AA280" s="22">
        <v>-1.77094E-2</v>
      </c>
      <c r="AB280" s="22">
        <v>270</v>
      </c>
      <c r="AC280" s="22">
        <v>0.43975799999999998</v>
      </c>
      <c r="AD280">
        <f t="shared" si="52"/>
        <v>17.709399999999999</v>
      </c>
      <c r="AE280">
        <f t="shared" si="53"/>
        <v>7.7986707685999992</v>
      </c>
      <c r="AF280" s="9"/>
      <c r="AG280" s="22">
        <v>1.2596099999999999</v>
      </c>
      <c r="AH280" s="22">
        <v>406.80799999999999</v>
      </c>
      <c r="AI280" s="22">
        <v>-1.66626E-2</v>
      </c>
      <c r="AJ280" s="22">
        <v>270</v>
      </c>
      <c r="AK280" s="22">
        <v>1.25885</v>
      </c>
      <c r="AL280">
        <f t="shared" si="54"/>
        <v>16.662600000000001</v>
      </c>
      <c r="AM280">
        <f t="shared" si="55"/>
        <v>20.988377585999999</v>
      </c>
      <c r="AP280" s="9"/>
      <c r="AQ280" s="22">
        <v>0.44036900000000001</v>
      </c>
      <c r="AR280" s="22">
        <v>507.91800000000001</v>
      </c>
      <c r="AS280" s="22">
        <v>-1.7639200000000001E-2</v>
      </c>
      <c r="AT280" s="22">
        <v>270</v>
      </c>
      <c r="AU280" s="22">
        <v>0.43985000000000002</v>
      </c>
      <c r="AV280">
        <f t="shared" si="56"/>
        <v>17.639200000000002</v>
      </c>
      <c r="AW280">
        <f t="shared" si="57"/>
        <v>7.7677568648000008</v>
      </c>
      <c r="AX280" s="9"/>
      <c r="AY280" s="22">
        <v>1.2596099999999999</v>
      </c>
      <c r="AZ280" s="22">
        <v>580.17200000000003</v>
      </c>
      <c r="BA280" s="22">
        <v>-1.66077E-2</v>
      </c>
      <c r="BB280" s="22">
        <v>270</v>
      </c>
      <c r="BC280" s="22">
        <v>1.25885</v>
      </c>
      <c r="BD280">
        <f t="shared" si="58"/>
        <v>16.607700000000001</v>
      </c>
      <c r="BE280">
        <f t="shared" si="59"/>
        <v>20.919224997000001</v>
      </c>
    </row>
    <row r="281" spans="6:101">
      <c r="F281" s="9"/>
      <c r="G281" s="22">
        <v>0.43533300000000003</v>
      </c>
      <c r="H281" s="22">
        <v>100.958</v>
      </c>
      <c r="I281" s="22">
        <v>-1.76422E-2</v>
      </c>
      <c r="J281" s="22">
        <v>271</v>
      </c>
      <c r="K281" s="22">
        <v>0.43512000000000001</v>
      </c>
      <c r="L281">
        <f t="shared" si="48"/>
        <v>17.642199999999999</v>
      </c>
      <c r="M281">
        <f t="shared" si="49"/>
        <v>7.6802318526000004</v>
      </c>
      <c r="N281" s="9"/>
      <c r="O281" s="22">
        <v>1.2646500000000001</v>
      </c>
      <c r="P281" s="22">
        <v>166.91800000000001</v>
      </c>
      <c r="Q281" s="22">
        <v>-1.67847E-2</v>
      </c>
      <c r="R281" s="22">
        <v>271</v>
      </c>
      <c r="S281" s="22">
        <v>1.26373</v>
      </c>
      <c r="T281">
        <f t="shared" si="50"/>
        <v>16.784700000000001</v>
      </c>
      <c r="U281">
        <f t="shared" si="51"/>
        <v>21.226770855000002</v>
      </c>
      <c r="X281" s="9"/>
      <c r="Y281" s="22">
        <v>0.43533300000000003</v>
      </c>
      <c r="Z281" s="22">
        <v>252.47200000000001</v>
      </c>
      <c r="AA281" s="22">
        <v>-1.77094E-2</v>
      </c>
      <c r="AB281" s="22">
        <v>271</v>
      </c>
      <c r="AC281" s="22">
        <v>0.43472300000000003</v>
      </c>
      <c r="AD281">
        <f t="shared" si="52"/>
        <v>17.709399999999999</v>
      </c>
      <c r="AE281">
        <f t="shared" si="53"/>
        <v>7.7094862301999996</v>
      </c>
      <c r="AF281" s="9"/>
      <c r="AG281" s="22">
        <v>1.2646500000000001</v>
      </c>
      <c r="AH281" s="22">
        <v>406.90800000000002</v>
      </c>
      <c r="AI281" s="22">
        <v>-1.6653399999999999E-2</v>
      </c>
      <c r="AJ281" s="22">
        <v>271</v>
      </c>
      <c r="AK281" s="22">
        <v>1.2640400000000001</v>
      </c>
      <c r="AL281">
        <f t="shared" si="54"/>
        <v>16.653399999999998</v>
      </c>
      <c r="AM281">
        <f t="shared" si="55"/>
        <v>21.060722309999999</v>
      </c>
      <c r="AP281" s="9"/>
      <c r="AQ281" s="22">
        <v>0.43533300000000003</v>
      </c>
      <c r="AR281" s="22">
        <v>508.01900000000001</v>
      </c>
      <c r="AS281" s="22">
        <v>-1.76422E-2</v>
      </c>
      <c r="AT281" s="22">
        <v>271</v>
      </c>
      <c r="AU281" s="22">
        <v>0.43460100000000002</v>
      </c>
      <c r="AV281">
        <f t="shared" si="56"/>
        <v>17.642199999999999</v>
      </c>
      <c r="AW281">
        <f t="shared" si="57"/>
        <v>7.6802318526000004</v>
      </c>
      <c r="AX281" s="9"/>
      <c r="AY281" s="22">
        <v>1.2646500000000001</v>
      </c>
      <c r="AZ281" s="22">
        <v>580.27300000000002</v>
      </c>
      <c r="BA281" s="22">
        <v>-1.6601600000000001E-2</v>
      </c>
      <c r="BB281" s="22">
        <v>271</v>
      </c>
      <c r="BC281" s="22">
        <v>1.2640400000000001</v>
      </c>
      <c r="BD281">
        <f t="shared" si="58"/>
        <v>16.601600000000001</v>
      </c>
      <c r="BE281">
        <f t="shared" si="59"/>
        <v>20.995213440000004</v>
      </c>
    </row>
    <row r="282" spans="6:101">
      <c r="F282" s="9"/>
      <c r="G282" s="22">
        <v>0.43029800000000001</v>
      </c>
      <c r="H282" s="22">
        <v>101.059</v>
      </c>
      <c r="I282" s="22">
        <v>-1.7639200000000001E-2</v>
      </c>
      <c r="J282" s="22">
        <v>272</v>
      </c>
      <c r="K282" s="22">
        <v>0.42984</v>
      </c>
      <c r="L282">
        <f t="shared" si="48"/>
        <v>17.639200000000002</v>
      </c>
      <c r="M282">
        <f t="shared" si="49"/>
        <v>7.5901124816000012</v>
      </c>
      <c r="N282" s="9"/>
      <c r="O282" s="22">
        <v>1.2696799999999999</v>
      </c>
      <c r="P282" s="22">
        <v>167.01900000000001</v>
      </c>
      <c r="Q282" s="22">
        <v>-1.6778600000000001E-2</v>
      </c>
      <c r="R282" s="22">
        <v>272</v>
      </c>
      <c r="S282" s="22">
        <v>1.2686200000000001</v>
      </c>
      <c r="T282">
        <f t="shared" si="50"/>
        <v>16.778600000000001</v>
      </c>
      <c r="U282">
        <f t="shared" si="51"/>
        <v>21.303452847999999</v>
      </c>
      <c r="X282" s="9"/>
      <c r="Y282" s="22">
        <v>0.43029800000000001</v>
      </c>
      <c r="Z282" s="22">
        <v>252.572</v>
      </c>
      <c r="AA282" s="22">
        <v>-1.7718500000000002E-2</v>
      </c>
      <c r="AB282" s="22">
        <v>272</v>
      </c>
      <c r="AC282" s="22">
        <v>0.42968800000000001</v>
      </c>
      <c r="AD282">
        <f t="shared" si="52"/>
        <v>17.718500000000002</v>
      </c>
      <c r="AE282">
        <f t="shared" si="53"/>
        <v>7.624235113000001</v>
      </c>
      <c r="AF282" s="9"/>
      <c r="AG282" s="22">
        <v>1.2696799999999999</v>
      </c>
      <c r="AH282" s="22">
        <v>407.00900000000001</v>
      </c>
      <c r="AI282" s="22">
        <v>-1.6638199999999999E-2</v>
      </c>
      <c r="AJ282" s="22">
        <v>272</v>
      </c>
      <c r="AK282" s="22">
        <v>1.2692300000000001</v>
      </c>
      <c r="AL282">
        <f t="shared" si="54"/>
        <v>16.638199999999998</v>
      </c>
      <c r="AM282">
        <f t="shared" si="55"/>
        <v>21.125189775999996</v>
      </c>
      <c r="AP282" s="9"/>
      <c r="AQ282" s="22">
        <v>0.43029800000000001</v>
      </c>
      <c r="AR282" s="22">
        <v>508.12</v>
      </c>
      <c r="AS282" s="22">
        <v>-1.76422E-2</v>
      </c>
      <c r="AT282" s="22">
        <v>272</v>
      </c>
      <c r="AU282" s="22">
        <v>0.42965700000000001</v>
      </c>
      <c r="AV282">
        <f t="shared" si="56"/>
        <v>17.642199999999999</v>
      </c>
      <c r="AW282">
        <f t="shared" si="57"/>
        <v>7.5914033755999997</v>
      </c>
      <c r="AX282" s="9"/>
      <c r="AY282" s="22">
        <v>1.2696799999999999</v>
      </c>
      <c r="AZ282" s="22">
        <v>580.37400000000002</v>
      </c>
      <c r="BA282" s="22">
        <v>-1.6583299999999999E-2</v>
      </c>
      <c r="BB282" s="22">
        <v>272</v>
      </c>
      <c r="BC282" s="22">
        <v>1.2686200000000001</v>
      </c>
      <c r="BD282">
        <f t="shared" si="58"/>
        <v>16.583299999999998</v>
      </c>
      <c r="BE282">
        <f t="shared" si="59"/>
        <v>21.055484343999996</v>
      </c>
    </row>
    <row r="283" spans="6:101">
      <c r="F283" s="9"/>
      <c r="G283" s="22">
        <v>0.42526199999999997</v>
      </c>
      <c r="H283" s="22">
        <v>101.16</v>
      </c>
      <c r="I283" s="22">
        <v>-1.7648299999999999E-2</v>
      </c>
      <c r="J283" s="22">
        <v>273</v>
      </c>
      <c r="K283" s="22">
        <v>0.42446899999999999</v>
      </c>
      <c r="L283">
        <f t="shared" si="48"/>
        <v>17.648299999999999</v>
      </c>
      <c r="M283">
        <f t="shared" si="49"/>
        <v>7.5051513545999988</v>
      </c>
      <c r="N283" s="9"/>
      <c r="O283" s="22">
        <v>1.2747200000000001</v>
      </c>
      <c r="P283" s="22">
        <v>167.12</v>
      </c>
      <c r="Q283" s="22">
        <v>-1.6772499999999999E-2</v>
      </c>
      <c r="R283" s="22">
        <v>273</v>
      </c>
      <c r="S283" s="22">
        <v>1.2738</v>
      </c>
      <c r="T283">
        <f t="shared" si="50"/>
        <v>16.772500000000001</v>
      </c>
      <c r="U283">
        <f t="shared" si="51"/>
        <v>21.380241200000004</v>
      </c>
      <c r="X283" s="9"/>
      <c r="Y283" s="22">
        <v>0.42526199999999997</v>
      </c>
      <c r="Z283" s="22">
        <v>252.673</v>
      </c>
      <c r="AA283" s="22">
        <v>-1.77246E-2</v>
      </c>
      <c r="AB283" s="22">
        <v>273</v>
      </c>
      <c r="AC283" s="22">
        <v>0.42474400000000001</v>
      </c>
      <c r="AD283">
        <f t="shared" si="52"/>
        <v>17.724599999999999</v>
      </c>
      <c r="AE283">
        <f t="shared" si="53"/>
        <v>7.5375988451999989</v>
      </c>
      <c r="AF283" s="9"/>
      <c r="AG283" s="22">
        <v>1.2747200000000001</v>
      </c>
      <c r="AH283" s="22">
        <v>407.11</v>
      </c>
      <c r="AI283" s="22">
        <v>-1.66351E-2</v>
      </c>
      <c r="AJ283" s="22">
        <v>273</v>
      </c>
      <c r="AK283" s="22">
        <v>1.2735000000000001</v>
      </c>
      <c r="AL283">
        <f t="shared" si="54"/>
        <v>16.635100000000001</v>
      </c>
      <c r="AM283">
        <f t="shared" si="55"/>
        <v>21.205094672000001</v>
      </c>
      <c r="AP283" s="9"/>
      <c r="AQ283" s="22">
        <v>0.42526199999999997</v>
      </c>
      <c r="AR283" s="22">
        <v>508.22</v>
      </c>
      <c r="AS283" s="22">
        <v>-1.7651400000000001E-2</v>
      </c>
      <c r="AT283" s="22">
        <v>273</v>
      </c>
      <c r="AU283" s="22">
        <v>0.42477399999999998</v>
      </c>
      <c r="AV283">
        <f t="shared" si="56"/>
        <v>17.651400000000002</v>
      </c>
      <c r="AW283">
        <f t="shared" si="57"/>
        <v>7.5064696668000002</v>
      </c>
      <c r="AX283" s="9"/>
      <c r="AY283" s="22">
        <v>1.2747200000000001</v>
      </c>
      <c r="AZ283" s="22">
        <v>580.47500000000002</v>
      </c>
      <c r="BA283" s="22">
        <v>-1.6583299999999999E-2</v>
      </c>
      <c r="BB283" s="22">
        <v>273</v>
      </c>
      <c r="BC283" s="22">
        <v>1.2741100000000001</v>
      </c>
      <c r="BD283">
        <f t="shared" si="58"/>
        <v>16.583299999999998</v>
      </c>
      <c r="BE283">
        <f t="shared" si="59"/>
        <v>21.139064175999998</v>
      </c>
    </row>
    <row r="284" spans="6:101">
      <c r="F284" s="9"/>
      <c r="G284" s="22">
        <v>0.42022700000000002</v>
      </c>
      <c r="H284" s="22">
        <v>101.26</v>
      </c>
      <c r="I284" s="22">
        <v>-1.76575E-2</v>
      </c>
      <c r="J284" s="22">
        <v>274</v>
      </c>
      <c r="K284" s="22">
        <v>0.41973899999999997</v>
      </c>
      <c r="L284">
        <f t="shared" si="48"/>
        <v>17.657499999999999</v>
      </c>
      <c r="M284">
        <f t="shared" si="49"/>
        <v>7.4201582524999994</v>
      </c>
      <c r="N284" s="9"/>
      <c r="O284" s="22">
        <v>1.2797499999999999</v>
      </c>
      <c r="P284" s="22">
        <v>167.22</v>
      </c>
      <c r="Q284" s="22">
        <v>-1.6766400000000001E-2</v>
      </c>
      <c r="R284" s="22">
        <v>274</v>
      </c>
      <c r="S284" s="22">
        <v>1.2789900000000001</v>
      </c>
      <c r="T284">
        <f t="shared" si="50"/>
        <v>16.766400000000001</v>
      </c>
      <c r="U284">
        <f t="shared" si="51"/>
        <v>21.456800399999999</v>
      </c>
      <c r="X284" s="9"/>
      <c r="Y284" s="22">
        <v>0.42022700000000002</v>
      </c>
      <c r="Z284" s="22">
        <v>252.774</v>
      </c>
      <c r="AA284" s="22">
        <v>-1.7730699999999999E-2</v>
      </c>
      <c r="AB284" s="22">
        <v>274</v>
      </c>
      <c r="AC284" s="22">
        <v>0.41973899999999997</v>
      </c>
      <c r="AD284">
        <f t="shared" si="52"/>
        <v>17.730699999999999</v>
      </c>
      <c r="AE284">
        <f t="shared" si="53"/>
        <v>7.4509188688999997</v>
      </c>
      <c r="AF284" s="9"/>
      <c r="AG284" s="22">
        <v>1.2797499999999999</v>
      </c>
      <c r="AH284" s="22">
        <v>407.21</v>
      </c>
      <c r="AI284" s="22">
        <v>-1.6629000000000001E-2</v>
      </c>
      <c r="AJ284" s="22">
        <v>274</v>
      </c>
      <c r="AK284" s="22">
        <v>1.2786900000000001</v>
      </c>
      <c r="AL284">
        <f t="shared" si="54"/>
        <v>16.629000000000001</v>
      </c>
      <c r="AM284">
        <f t="shared" si="55"/>
        <v>21.28096275</v>
      </c>
      <c r="AP284" s="9"/>
      <c r="AQ284" s="22">
        <v>0.42022700000000002</v>
      </c>
      <c r="AR284" s="22">
        <v>508.32100000000003</v>
      </c>
      <c r="AS284" s="22">
        <v>-1.7651400000000001E-2</v>
      </c>
      <c r="AT284" s="22">
        <v>274</v>
      </c>
      <c r="AU284" s="22">
        <v>0.41934199999999999</v>
      </c>
      <c r="AV284">
        <f t="shared" si="56"/>
        <v>17.651400000000002</v>
      </c>
      <c r="AW284">
        <f t="shared" si="57"/>
        <v>7.417594867800001</v>
      </c>
      <c r="AX284" s="9"/>
      <c r="AY284" s="22">
        <v>1.2797499999999999</v>
      </c>
      <c r="AZ284" s="22">
        <v>580.57500000000005</v>
      </c>
      <c r="BA284" s="22">
        <v>-1.65802E-2</v>
      </c>
      <c r="BB284" s="22">
        <v>274</v>
      </c>
      <c r="BC284" s="22">
        <v>1.2789900000000001</v>
      </c>
      <c r="BD284">
        <f t="shared" si="58"/>
        <v>16.580200000000001</v>
      </c>
      <c r="BE284">
        <f t="shared" si="59"/>
        <v>21.218510950000002</v>
      </c>
    </row>
    <row r="285" spans="6:101">
      <c r="F285" s="9"/>
      <c r="G285" s="22">
        <v>0.41519200000000001</v>
      </c>
      <c r="H285" s="22">
        <v>101.361</v>
      </c>
      <c r="I285" s="22">
        <v>-1.76575E-2</v>
      </c>
      <c r="J285" s="22">
        <v>275</v>
      </c>
      <c r="K285" s="22">
        <v>0.41436800000000001</v>
      </c>
      <c r="L285">
        <f t="shared" si="48"/>
        <v>17.657499999999999</v>
      </c>
      <c r="M285">
        <f t="shared" si="49"/>
        <v>7.33125274</v>
      </c>
      <c r="N285" s="9"/>
      <c r="O285" s="22">
        <v>1.2847900000000001</v>
      </c>
      <c r="P285" s="22">
        <v>167.321</v>
      </c>
      <c r="Q285" s="22">
        <v>-1.67572E-2</v>
      </c>
      <c r="R285" s="22">
        <v>275</v>
      </c>
      <c r="S285" s="22">
        <v>1.2841800000000001</v>
      </c>
      <c r="T285">
        <f t="shared" si="50"/>
        <v>16.757200000000001</v>
      </c>
      <c r="U285">
        <f t="shared" si="51"/>
        <v>21.529482988000002</v>
      </c>
      <c r="X285" s="9"/>
      <c r="Y285" s="22">
        <v>0.41519200000000001</v>
      </c>
      <c r="Z285" s="22">
        <v>252.874</v>
      </c>
      <c r="AA285" s="22">
        <v>-1.7730699999999999E-2</v>
      </c>
      <c r="AB285" s="22">
        <v>275</v>
      </c>
      <c r="AC285" s="22">
        <v>0.41442899999999999</v>
      </c>
      <c r="AD285">
        <f t="shared" si="52"/>
        <v>17.730699999999999</v>
      </c>
      <c r="AE285">
        <f t="shared" si="53"/>
        <v>7.3616447943999992</v>
      </c>
      <c r="AF285" s="9"/>
      <c r="AG285" s="22">
        <v>1.2847900000000001</v>
      </c>
      <c r="AH285" s="22">
        <v>407.31099999999998</v>
      </c>
      <c r="AI285" s="22">
        <v>-1.6622899999999999E-2</v>
      </c>
      <c r="AJ285" s="22">
        <v>275</v>
      </c>
      <c r="AK285" s="22">
        <v>1.2844800000000001</v>
      </c>
      <c r="AL285">
        <f t="shared" si="54"/>
        <v>16.622899999999998</v>
      </c>
      <c r="AM285">
        <f t="shared" si="55"/>
        <v>21.356935691</v>
      </c>
      <c r="AP285" s="9"/>
      <c r="AQ285" s="22">
        <v>0.41519200000000001</v>
      </c>
      <c r="AR285" s="22">
        <v>508.42200000000003</v>
      </c>
      <c r="AS285" s="22">
        <v>-1.7666600000000001E-2</v>
      </c>
      <c r="AT285" s="22">
        <v>275</v>
      </c>
      <c r="AU285" s="22">
        <v>0.41445900000000002</v>
      </c>
      <c r="AV285">
        <f t="shared" si="56"/>
        <v>17.666600000000003</v>
      </c>
      <c r="AW285">
        <f t="shared" si="57"/>
        <v>7.3350309872000015</v>
      </c>
      <c r="AX285" s="9"/>
      <c r="AY285" s="22">
        <v>1.2847900000000001</v>
      </c>
      <c r="AZ285" s="22">
        <v>580.67600000000004</v>
      </c>
      <c r="BA285" s="22">
        <v>-1.6567999999999999E-2</v>
      </c>
      <c r="BB285" s="22">
        <v>275</v>
      </c>
      <c r="BC285" s="22">
        <v>1.2835700000000001</v>
      </c>
      <c r="BD285">
        <f t="shared" si="58"/>
        <v>16.567999999999998</v>
      </c>
      <c r="BE285">
        <f t="shared" si="59"/>
        <v>21.28640072</v>
      </c>
    </row>
    <row r="286" spans="6:101">
      <c r="F286" s="9"/>
      <c r="G286" s="22">
        <v>0.41015600000000002</v>
      </c>
      <c r="H286" s="22">
        <v>101.462</v>
      </c>
      <c r="I286" s="22">
        <v>-1.7663600000000002E-2</v>
      </c>
      <c r="J286" s="22">
        <v>276</v>
      </c>
      <c r="K286" s="22">
        <v>0.40939300000000001</v>
      </c>
      <c r="L286">
        <f t="shared" si="48"/>
        <v>17.663600000000002</v>
      </c>
      <c r="M286">
        <f t="shared" si="49"/>
        <v>7.244831521600001</v>
      </c>
      <c r="N286" s="9"/>
      <c r="O286" s="22">
        <v>1.28983</v>
      </c>
      <c r="P286" s="22">
        <v>167.422</v>
      </c>
      <c r="Q286" s="22">
        <v>-1.6738900000000001E-2</v>
      </c>
      <c r="R286" s="22">
        <v>276</v>
      </c>
      <c r="S286" s="22">
        <v>1.2893699999999999</v>
      </c>
      <c r="T286">
        <f t="shared" si="50"/>
        <v>16.738900000000001</v>
      </c>
      <c r="U286">
        <f t="shared" si="51"/>
        <v>21.590335387000003</v>
      </c>
      <c r="X286" s="9"/>
      <c r="Y286" s="22">
        <v>0.41015600000000002</v>
      </c>
      <c r="Z286" s="22">
        <v>252.97499999999999</v>
      </c>
      <c r="AA286" s="22">
        <v>-1.7733800000000001E-2</v>
      </c>
      <c r="AB286" s="22">
        <v>276</v>
      </c>
      <c r="AC286" s="22">
        <v>0.409576</v>
      </c>
      <c r="AD286">
        <f t="shared" si="52"/>
        <v>17.733800000000002</v>
      </c>
      <c r="AE286">
        <f t="shared" si="53"/>
        <v>7.2736244728000017</v>
      </c>
      <c r="AF286" s="9"/>
      <c r="AG286" s="22">
        <v>1.28983</v>
      </c>
      <c r="AH286" s="22">
        <v>407.41199999999998</v>
      </c>
      <c r="AI286" s="22">
        <v>-1.6622899999999999E-2</v>
      </c>
      <c r="AJ286" s="22">
        <v>276</v>
      </c>
      <c r="AK286" s="22">
        <v>1.2890600000000001</v>
      </c>
      <c r="AL286">
        <f t="shared" si="54"/>
        <v>16.622899999999998</v>
      </c>
      <c r="AM286">
        <f t="shared" si="55"/>
        <v>21.440715106999999</v>
      </c>
      <c r="AP286" s="9"/>
      <c r="AQ286" s="22">
        <v>0.41015600000000002</v>
      </c>
      <c r="AR286" s="22">
        <v>508.52199999999999</v>
      </c>
      <c r="AS286" s="22">
        <v>-1.7666600000000001E-2</v>
      </c>
      <c r="AT286" s="22">
        <v>276</v>
      </c>
      <c r="AU286" s="22">
        <v>0.40978999999999999</v>
      </c>
      <c r="AV286">
        <f t="shared" si="56"/>
        <v>17.666600000000003</v>
      </c>
      <c r="AW286">
        <f t="shared" si="57"/>
        <v>7.2460619896000011</v>
      </c>
      <c r="AX286" s="9"/>
      <c r="AY286" s="22">
        <v>1.28983</v>
      </c>
      <c r="AZ286" s="22">
        <v>580.77700000000004</v>
      </c>
      <c r="BA286" s="22">
        <v>-1.6558799999999999E-2</v>
      </c>
      <c r="BB286" s="22">
        <v>276</v>
      </c>
      <c r="BC286" s="22">
        <v>1.2893699999999999</v>
      </c>
      <c r="BD286">
        <f t="shared" si="58"/>
        <v>16.558799999999998</v>
      </c>
      <c r="BE286">
        <f t="shared" si="59"/>
        <v>21.358037003999996</v>
      </c>
    </row>
    <row r="287" spans="6:101">
      <c r="F287" s="9"/>
      <c r="G287" s="22">
        <v>0.40512100000000001</v>
      </c>
      <c r="H287" s="22">
        <v>101.562</v>
      </c>
      <c r="I287" s="22">
        <v>-1.76727E-2</v>
      </c>
      <c r="J287" s="22">
        <v>277</v>
      </c>
      <c r="K287" s="22">
        <v>0.40475499999999998</v>
      </c>
      <c r="L287">
        <f t="shared" si="48"/>
        <v>17.672699999999999</v>
      </c>
      <c r="M287">
        <f t="shared" si="49"/>
        <v>7.1595818966999998</v>
      </c>
      <c r="N287" s="9"/>
      <c r="O287" s="22">
        <v>1.2948599999999999</v>
      </c>
      <c r="P287" s="22">
        <v>167.52199999999999</v>
      </c>
      <c r="Q287" s="22">
        <v>-1.6738900000000001E-2</v>
      </c>
      <c r="R287" s="22">
        <v>277</v>
      </c>
      <c r="S287" s="22">
        <v>1.2942499999999999</v>
      </c>
      <c r="T287">
        <f t="shared" si="50"/>
        <v>16.738900000000001</v>
      </c>
      <c r="U287">
        <f t="shared" si="51"/>
        <v>21.674532054</v>
      </c>
      <c r="X287" s="9"/>
      <c r="Y287" s="22">
        <v>0.40512100000000001</v>
      </c>
      <c r="Z287" s="22">
        <v>253.07599999999999</v>
      </c>
      <c r="AA287" s="22">
        <v>-1.77368E-2</v>
      </c>
      <c r="AB287" s="22">
        <v>277</v>
      </c>
      <c r="AC287" s="22">
        <v>0.40450999999999998</v>
      </c>
      <c r="AD287">
        <f t="shared" si="52"/>
        <v>17.736799999999999</v>
      </c>
      <c r="AE287">
        <f t="shared" si="53"/>
        <v>7.1855501527999994</v>
      </c>
      <c r="AF287" s="9"/>
      <c r="AG287" s="22">
        <v>1.2948599999999999</v>
      </c>
      <c r="AH287" s="22">
        <v>407.512</v>
      </c>
      <c r="AI287" s="22">
        <v>-1.66199E-2</v>
      </c>
      <c r="AJ287" s="22">
        <v>277</v>
      </c>
      <c r="AK287" s="22">
        <v>1.2942499999999999</v>
      </c>
      <c r="AL287">
        <f t="shared" si="54"/>
        <v>16.619900000000001</v>
      </c>
      <c r="AM287">
        <f t="shared" si="55"/>
        <v>21.520443713999999</v>
      </c>
      <c r="AP287" s="9"/>
      <c r="AQ287" s="22">
        <v>0.40512100000000001</v>
      </c>
      <c r="AR287" s="22">
        <v>508.62299999999999</v>
      </c>
      <c r="AS287" s="22">
        <v>-1.76697E-2</v>
      </c>
      <c r="AT287" s="22">
        <v>277</v>
      </c>
      <c r="AU287" s="22">
        <v>0.40460200000000002</v>
      </c>
      <c r="AV287">
        <f t="shared" si="56"/>
        <v>17.669699999999999</v>
      </c>
      <c r="AW287">
        <f t="shared" si="57"/>
        <v>7.1583665336999998</v>
      </c>
      <c r="AX287" s="9"/>
      <c r="AY287" s="22">
        <v>1.2948599999999999</v>
      </c>
      <c r="AZ287" s="22">
        <v>580.87699999999995</v>
      </c>
      <c r="BA287" s="22">
        <v>-1.65527E-2</v>
      </c>
      <c r="BB287" s="22">
        <v>277</v>
      </c>
      <c r="BC287" s="22">
        <v>1.2939499999999999</v>
      </c>
      <c r="BD287">
        <f t="shared" si="58"/>
        <v>16.552700000000002</v>
      </c>
      <c r="BE287">
        <f t="shared" si="59"/>
        <v>21.433429122</v>
      </c>
    </row>
    <row r="288" spans="6:101">
      <c r="F288" s="9"/>
      <c r="G288" s="22">
        <v>0.40008500000000002</v>
      </c>
      <c r="H288" s="22">
        <v>101.663</v>
      </c>
      <c r="I288" s="22">
        <v>-1.7675799999999998E-2</v>
      </c>
      <c r="J288" s="22">
        <v>278</v>
      </c>
      <c r="K288" s="22">
        <v>0.399841</v>
      </c>
      <c r="L288">
        <f t="shared" si="48"/>
        <v>17.675799999999999</v>
      </c>
      <c r="M288">
        <f t="shared" si="49"/>
        <v>7.0718224430000003</v>
      </c>
      <c r="N288" s="9"/>
      <c r="O288" s="22">
        <v>1.2999000000000001</v>
      </c>
      <c r="P288" s="22">
        <v>167.62299999999999</v>
      </c>
      <c r="Q288" s="22">
        <v>-1.6747999999999999E-2</v>
      </c>
      <c r="R288" s="22">
        <v>278</v>
      </c>
      <c r="S288" s="22">
        <v>1.2991299999999999</v>
      </c>
      <c r="T288">
        <f t="shared" si="50"/>
        <v>16.747999999999998</v>
      </c>
      <c r="U288">
        <f t="shared" si="51"/>
        <v>21.770725199999998</v>
      </c>
      <c r="X288" s="9"/>
      <c r="Y288" s="22">
        <v>0.40008500000000002</v>
      </c>
      <c r="Z288" s="22">
        <v>253.17599999999999</v>
      </c>
      <c r="AA288" s="22">
        <v>-1.7749000000000001E-2</v>
      </c>
      <c r="AB288" s="22">
        <v>278</v>
      </c>
      <c r="AC288" s="22">
        <v>0.39944499999999999</v>
      </c>
      <c r="AD288">
        <f t="shared" si="52"/>
        <v>17.749000000000002</v>
      </c>
      <c r="AE288">
        <f t="shared" si="53"/>
        <v>7.1011086650000017</v>
      </c>
      <c r="AF288" s="9"/>
      <c r="AG288" s="22">
        <v>1.2999000000000001</v>
      </c>
      <c r="AH288" s="22">
        <v>407.613</v>
      </c>
      <c r="AI288" s="22">
        <v>-1.6601600000000001E-2</v>
      </c>
      <c r="AJ288" s="22">
        <v>278</v>
      </c>
      <c r="AK288" s="22">
        <v>1.2988299999999999</v>
      </c>
      <c r="AL288">
        <f t="shared" si="54"/>
        <v>16.601600000000001</v>
      </c>
      <c r="AM288">
        <f t="shared" si="55"/>
        <v>21.580419840000001</v>
      </c>
      <c r="AP288" s="9"/>
      <c r="AQ288" s="22">
        <v>0.40008500000000002</v>
      </c>
      <c r="AR288" s="22">
        <v>508.72399999999999</v>
      </c>
      <c r="AS288" s="22">
        <v>-1.76727E-2</v>
      </c>
      <c r="AT288" s="22">
        <v>278</v>
      </c>
      <c r="AU288" s="22">
        <v>0.39944499999999999</v>
      </c>
      <c r="AV288">
        <f t="shared" si="56"/>
        <v>17.672699999999999</v>
      </c>
      <c r="AW288">
        <f t="shared" si="57"/>
        <v>7.0705821794999997</v>
      </c>
      <c r="AX288" s="9"/>
      <c r="AY288" s="22">
        <v>1.2999000000000001</v>
      </c>
      <c r="AZ288" s="22">
        <v>580.97799999999995</v>
      </c>
      <c r="BA288" s="22">
        <v>-1.65527E-2</v>
      </c>
      <c r="BB288" s="22">
        <v>278</v>
      </c>
      <c r="BC288" s="22">
        <v>1.2997399999999999</v>
      </c>
      <c r="BD288">
        <f t="shared" si="58"/>
        <v>16.552700000000002</v>
      </c>
      <c r="BE288">
        <f t="shared" si="59"/>
        <v>21.516854730000002</v>
      </c>
    </row>
    <row r="289" spans="6:57">
      <c r="F289" s="9"/>
      <c r="G289" s="22">
        <v>0.39505000000000001</v>
      </c>
      <c r="H289" s="22">
        <v>101.764</v>
      </c>
      <c r="I289" s="22">
        <v>-1.7678800000000001E-2</v>
      </c>
      <c r="J289" s="22">
        <v>279</v>
      </c>
      <c r="K289" s="22">
        <v>0.394623</v>
      </c>
      <c r="L289">
        <f t="shared" si="48"/>
        <v>17.678800000000003</v>
      </c>
      <c r="M289">
        <f t="shared" si="49"/>
        <v>6.9840099400000009</v>
      </c>
      <c r="N289" s="9"/>
      <c r="O289" s="22">
        <v>1.3049299999999999</v>
      </c>
      <c r="P289" s="22">
        <v>167.72399999999999</v>
      </c>
      <c r="Q289" s="22">
        <v>-1.6738900000000001E-2</v>
      </c>
      <c r="R289" s="22">
        <v>279</v>
      </c>
      <c r="S289" s="22">
        <v>1.3043199999999999</v>
      </c>
      <c r="T289">
        <f t="shared" si="50"/>
        <v>16.738900000000001</v>
      </c>
      <c r="U289">
        <f t="shared" si="51"/>
        <v>21.843092776999999</v>
      </c>
      <c r="X289" s="9"/>
      <c r="Y289" s="22">
        <v>0.39505000000000001</v>
      </c>
      <c r="Z289" s="22">
        <v>253.27699999999999</v>
      </c>
      <c r="AA289" s="22">
        <v>-1.7742899999999999E-2</v>
      </c>
      <c r="AB289" s="22">
        <v>279</v>
      </c>
      <c r="AC289" s="22">
        <v>0.39453100000000002</v>
      </c>
      <c r="AD289">
        <f t="shared" si="52"/>
        <v>17.742899999999999</v>
      </c>
      <c r="AE289">
        <f t="shared" si="53"/>
        <v>7.0093326449999998</v>
      </c>
      <c r="AF289" s="9"/>
      <c r="AG289" s="22">
        <v>1.3049299999999999</v>
      </c>
      <c r="AH289" s="22">
        <v>407.714</v>
      </c>
      <c r="AI289" s="22">
        <v>-1.6604600000000001E-2</v>
      </c>
      <c r="AJ289" s="22">
        <v>279</v>
      </c>
      <c r="AK289" s="22">
        <v>1.30402</v>
      </c>
      <c r="AL289">
        <f t="shared" si="54"/>
        <v>16.604600000000001</v>
      </c>
      <c r="AM289">
        <f t="shared" si="55"/>
        <v>21.667840678000001</v>
      </c>
      <c r="AP289" s="9"/>
      <c r="AQ289" s="22">
        <v>0.39505000000000001</v>
      </c>
      <c r="AR289" s="22">
        <v>508.82499999999999</v>
      </c>
      <c r="AS289" s="22">
        <v>-1.7675799999999998E-2</v>
      </c>
      <c r="AT289" s="22">
        <v>279</v>
      </c>
      <c r="AU289" s="22">
        <v>0.39450099999999999</v>
      </c>
      <c r="AV289">
        <f t="shared" si="56"/>
        <v>17.675799999999999</v>
      </c>
      <c r="AW289">
        <f t="shared" si="57"/>
        <v>6.9828247899999996</v>
      </c>
      <c r="AX289" s="9"/>
      <c r="AY289" s="22">
        <v>1.3049299999999999</v>
      </c>
      <c r="AZ289" s="22">
        <v>581.07899999999995</v>
      </c>
      <c r="BA289" s="22">
        <v>-1.65527E-2</v>
      </c>
      <c r="BB289" s="22">
        <v>279</v>
      </c>
      <c r="BC289" s="22">
        <v>1.30402</v>
      </c>
      <c r="BD289">
        <f t="shared" si="58"/>
        <v>16.552700000000002</v>
      </c>
      <c r="BE289">
        <f t="shared" si="59"/>
        <v>21.600114811000001</v>
      </c>
    </row>
    <row r="290" spans="6:57">
      <c r="F290" s="9"/>
      <c r="G290" s="22">
        <v>0.390015</v>
      </c>
      <c r="H290" s="22">
        <v>101.864</v>
      </c>
      <c r="I290" s="22">
        <v>-1.76849E-2</v>
      </c>
      <c r="J290" s="22">
        <v>280</v>
      </c>
      <c r="K290" s="22">
        <v>0.38964799999999999</v>
      </c>
      <c r="L290">
        <f t="shared" si="48"/>
        <v>17.684899999999999</v>
      </c>
      <c r="M290">
        <f t="shared" si="49"/>
        <v>6.8973762734999999</v>
      </c>
      <c r="N290" s="9"/>
      <c r="O290" s="22">
        <v>1.3099700000000001</v>
      </c>
      <c r="P290" s="22">
        <v>167.82499999999999</v>
      </c>
      <c r="Q290" s="22">
        <v>-1.6723600000000002E-2</v>
      </c>
      <c r="R290" s="22">
        <v>280</v>
      </c>
      <c r="S290" s="22">
        <v>1.3091999999999999</v>
      </c>
      <c r="T290">
        <f t="shared" si="50"/>
        <v>16.723600000000001</v>
      </c>
      <c r="U290">
        <f t="shared" si="51"/>
        <v>21.907414292000002</v>
      </c>
      <c r="X290" s="9"/>
      <c r="Y290" s="22">
        <v>0.390015</v>
      </c>
      <c r="Z290" s="22">
        <v>253.37799999999999</v>
      </c>
      <c r="AA290" s="22">
        <v>-1.77521E-2</v>
      </c>
      <c r="AB290" s="22">
        <v>280</v>
      </c>
      <c r="AC290" s="22">
        <v>0.38946500000000001</v>
      </c>
      <c r="AD290">
        <f t="shared" si="52"/>
        <v>17.752099999999999</v>
      </c>
      <c r="AE290">
        <f t="shared" si="53"/>
        <v>6.9235852814999994</v>
      </c>
      <c r="AF290" s="9"/>
      <c r="AG290" s="22">
        <v>1.3099700000000001</v>
      </c>
      <c r="AH290" s="22">
        <v>407.815</v>
      </c>
      <c r="AI290" s="22">
        <v>-1.65924E-2</v>
      </c>
      <c r="AJ290" s="22">
        <v>280</v>
      </c>
      <c r="AK290" s="22">
        <v>1.3089</v>
      </c>
      <c r="AL290">
        <f t="shared" si="54"/>
        <v>16.592400000000001</v>
      </c>
      <c r="AM290">
        <f t="shared" si="55"/>
        <v>21.735546228000004</v>
      </c>
      <c r="AP290" s="9"/>
      <c r="AQ290" s="22">
        <v>0.390015</v>
      </c>
      <c r="AR290" s="22">
        <v>508.92500000000001</v>
      </c>
      <c r="AS290" s="22">
        <v>-1.7687999999999999E-2</v>
      </c>
      <c r="AT290" s="22">
        <v>280</v>
      </c>
      <c r="AU290" s="22">
        <v>0.38955699999999999</v>
      </c>
      <c r="AV290">
        <f t="shared" si="56"/>
        <v>17.687999999999999</v>
      </c>
      <c r="AW290">
        <f t="shared" si="57"/>
        <v>6.8985853199999996</v>
      </c>
      <c r="AX290" s="9"/>
      <c r="AY290" s="22">
        <v>1.3099700000000001</v>
      </c>
      <c r="AZ290" s="22">
        <v>581.17899999999997</v>
      </c>
      <c r="BA290" s="22">
        <v>-1.6543599999999999E-2</v>
      </c>
      <c r="BB290" s="22">
        <v>280</v>
      </c>
      <c r="BC290" s="22">
        <v>1.30951</v>
      </c>
      <c r="BD290">
        <f t="shared" si="58"/>
        <v>16.543599999999998</v>
      </c>
      <c r="BE290">
        <f t="shared" si="59"/>
        <v>21.671619692</v>
      </c>
    </row>
    <row r="291" spans="6:57">
      <c r="F291" s="9"/>
      <c r="G291" s="22">
        <v>0.38497900000000002</v>
      </c>
      <c r="H291" s="22">
        <v>101.965</v>
      </c>
      <c r="I291" s="22">
        <v>-1.7687999999999999E-2</v>
      </c>
      <c r="J291" s="22">
        <v>281</v>
      </c>
      <c r="K291" s="22">
        <v>0.38464399999999999</v>
      </c>
      <c r="L291">
        <f t="shared" si="48"/>
        <v>17.687999999999999</v>
      </c>
      <c r="M291">
        <f t="shared" si="49"/>
        <v>6.8095085519999996</v>
      </c>
      <c r="N291" s="9"/>
      <c r="O291" s="22">
        <v>1.3149999999999999</v>
      </c>
      <c r="P291" s="22">
        <v>167.92500000000001</v>
      </c>
      <c r="Q291" s="22">
        <v>-1.6720599999999999E-2</v>
      </c>
      <c r="R291" s="22">
        <v>281</v>
      </c>
      <c r="S291" s="22">
        <v>1.3137799999999999</v>
      </c>
      <c r="T291">
        <f t="shared" si="50"/>
        <v>16.720599999999997</v>
      </c>
      <c r="U291">
        <f t="shared" si="51"/>
        <v>21.987588999999996</v>
      </c>
      <c r="X291" s="9"/>
      <c r="Y291" s="22">
        <v>0.38497900000000002</v>
      </c>
      <c r="Z291" s="22">
        <v>253.47900000000001</v>
      </c>
      <c r="AA291" s="22">
        <v>-1.7758199999999998E-2</v>
      </c>
      <c r="AB291" s="22">
        <v>281</v>
      </c>
      <c r="AC291" s="22">
        <v>0.38446000000000002</v>
      </c>
      <c r="AD291">
        <f t="shared" si="52"/>
        <v>17.758199999999999</v>
      </c>
      <c r="AE291">
        <f t="shared" si="53"/>
        <v>6.8365340777999997</v>
      </c>
      <c r="AF291" s="9"/>
      <c r="AG291" s="22">
        <v>1.3149999999999999</v>
      </c>
      <c r="AH291" s="22">
        <v>407.91500000000002</v>
      </c>
      <c r="AI291" s="22">
        <v>-1.65924E-2</v>
      </c>
      <c r="AJ291" s="22">
        <v>281</v>
      </c>
      <c r="AK291" s="22">
        <v>1.3147</v>
      </c>
      <c r="AL291">
        <f t="shared" si="54"/>
        <v>16.592400000000001</v>
      </c>
      <c r="AM291">
        <f t="shared" si="55"/>
        <v>21.819006000000002</v>
      </c>
      <c r="AP291" s="9"/>
      <c r="AQ291" s="22">
        <v>0.38497900000000002</v>
      </c>
      <c r="AR291" s="22">
        <v>509.02600000000001</v>
      </c>
      <c r="AS291" s="22">
        <v>-1.7694100000000001E-2</v>
      </c>
      <c r="AT291" s="22">
        <v>281</v>
      </c>
      <c r="AU291" s="22">
        <v>0.38436900000000002</v>
      </c>
      <c r="AV291">
        <f t="shared" si="56"/>
        <v>17.694100000000002</v>
      </c>
      <c r="AW291">
        <f t="shared" si="57"/>
        <v>6.8118569239000015</v>
      </c>
      <c r="AX291" s="9"/>
      <c r="AY291" s="22">
        <v>1.3149999999999999</v>
      </c>
      <c r="AZ291" s="22">
        <v>581.28</v>
      </c>
      <c r="BA291" s="22">
        <v>-1.6531400000000002E-2</v>
      </c>
      <c r="BB291" s="22">
        <v>281</v>
      </c>
      <c r="BC291" s="22">
        <v>1.3137799999999999</v>
      </c>
      <c r="BD291">
        <f t="shared" si="58"/>
        <v>16.531400000000001</v>
      </c>
      <c r="BE291">
        <f t="shared" si="59"/>
        <v>21.738791000000003</v>
      </c>
    </row>
    <row r="292" spans="6:57">
      <c r="F292" s="9"/>
      <c r="G292" s="22">
        <v>0.379944</v>
      </c>
      <c r="H292" s="22">
        <v>102.066</v>
      </c>
      <c r="I292" s="22">
        <v>-1.76971E-2</v>
      </c>
      <c r="J292" s="22">
        <v>282</v>
      </c>
      <c r="K292" s="22">
        <v>0.37969999999999998</v>
      </c>
      <c r="L292">
        <f t="shared" si="48"/>
        <v>17.697099999999999</v>
      </c>
      <c r="M292">
        <f t="shared" si="49"/>
        <v>6.7239069624000001</v>
      </c>
      <c r="N292" s="9"/>
      <c r="O292" s="22">
        <v>1.3200400000000001</v>
      </c>
      <c r="P292" s="22">
        <v>168.02600000000001</v>
      </c>
      <c r="Q292" s="22">
        <v>-1.6705299999999999E-2</v>
      </c>
      <c r="R292" s="22">
        <v>282</v>
      </c>
      <c r="S292" s="22">
        <v>1.31989</v>
      </c>
      <c r="T292">
        <f t="shared" si="50"/>
        <v>16.705299999999998</v>
      </c>
      <c r="U292">
        <f t="shared" si="51"/>
        <v>22.051664211999999</v>
      </c>
      <c r="X292" s="9"/>
      <c r="Y292" s="22">
        <v>0.379944</v>
      </c>
      <c r="Z292" s="22">
        <v>253.57900000000001</v>
      </c>
      <c r="AA292" s="22">
        <v>-1.7761200000000001E-2</v>
      </c>
      <c r="AB292" s="22">
        <v>282</v>
      </c>
      <c r="AC292" s="22">
        <v>0.37936399999999998</v>
      </c>
      <c r="AD292">
        <f t="shared" si="52"/>
        <v>17.761200000000002</v>
      </c>
      <c r="AE292">
        <f t="shared" si="53"/>
        <v>6.7482613728000009</v>
      </c>
      <c r="AF292" s="9"/>
      <c r="AG292" s="22">
        <v>1.3200400000000001</v>
      </c>
      <c r="AH292" s="22">
        <v>408.01600000000002</v>
      </c>
      <c r="AI292" s="22">
        <v>-1.65924E-2</v>
      </c>
      <c r="AJ292" s="22">
        <v>282</v>
      </c>
      <c r="AK292" s="22">
        <v>1.3192699999999999</v>
      </c>
      <c r="AL292">
        <f t="shared" si="54"/>
        <v>16.592400000000001</v>
      </c>
      <c r="AM292">
        <f t="shared" si="55"/>
        <v>21.902631696000004</v>
      </c>
      <c r="AP292" s="9"/>
      <c r="AQ292" s="22">
        <v>0.379944</v>
      </c>
      <c r="AR292" s="22">
        <v>509.12700000000001</v>
      </c>
      <c r="AS292" s="22">
        <v>-1.7703199999999999E-2</v>
      </c>
      <c r="AT292" s="22">
        <v>282</v>
      </c>
      <c r="AU292" s="22">
        <v>0.379303</v>
      </c>
      <c r="AV292">
        <f t="shared" si="56"/>
        <v>17.703199999999999</v>
      </c>
      <c r="AW292">
        <f t="shared" si="57"/>
        <v>6.7262246208000001</v>
      </c>
      <c r="AX292" s="9"/>
      <c r="AY292" s="22">
        <v>1.3200400000000001</v>
      </c>
      <c r="AZ292" s="22">
        <v>581.38099999999997</v>
      </c>
      <c r="BA292" s="22">
        <v>-1.65253E-2</v>
      </c>
      <c r="BB292" s="22">
        <v>282</v>
      </c>
      <c r="BC292" s="22">
        <v>1.31958</v>
      </c>
      <c r="BD292">
        <f t="shared" si="58"/>
        <v>16.525300000000001</v>
      </c>
      <c r="BE292">
        <f t="shared" si="59"/>
        <v>21.814057012000003</v>
      </c>
    </row>
    <row r="293" spans="6:57">
      <c r="F293" s="9"/>
      <c r="G293" s="22">
        <v>0.37490800000000002</v>
      </c>
      <c r="H293" s="22">
        <v>102.167</v>
      </c>
      <c r="I293" s="22">
        <v>-1.7703199999999999E-2</v>
      </c>
      <c r="J293" s="22">
        <v>283</v>
      </c>
      <c r="K293" s="22">
        <v>0.37445099999999998</v>
      </c>
      <c r="L293">
        <f t="shared" si="48"/>
        <v>17.703199999999999</v>
      </c>
      <c r="M293">
        <f t="shared" si="49"/>
        <v>6.6370713056000001</v>
      </c>
      <c r="N293" s="9"/>
      <c r="O293" s="22">
        <v>1.32507</v>
      </c>
      <c r="P293" s="22">
        <v>168.12700000000001</v>
      </c>
      <c r="Q293" s="22">
        <v>-1.6711400000000001E-2</v>
      </c>
      <c r="R293" s="22">
        <v>283</v>
      </c>
      <c r="S293" s="22">
        <v>1.32446</v>
      </c>
      <c r="T293">
        <f t="shared" si="50"/>
        <v>16.711400000000001</v>
      </c>
      <c r="U293">
        <f t="shared" si="51"/>
        <v>22.143774798000003</v>
      </c>
      <c r="X293" s="9"/>
      <c r="Y293" s="22">
        <v>0.37490800000000002</v>
      </c>
      <c r="Z293" s="22">
        <v>253.68</v>
      </c>
      <c r="AA293" s="22">
        <v>-1.77643E-2</v>
      </c>
      <c r="AB293" s="22">
        <v>283</v>
      </c>
      <c r="AC293" s="22">
        <v>0.374359</v>
      </c>
      <c r="AD293">
        <f t="shared" si="52"/>
        <v>17.764299999999999</v>
      </c>
      <c r="AE293">
        <f t="shared" si="53"/>
        <v>6.6599781843999999</v>
      </c>
      <c r="AF293" s="9"/>
      <c r="AG293" s="22">
        <v>1.32507</v>
      </c>
      <c r="AH293" s="22">
        <v>408.11700000000002</v>
      </c>
      <c r="AI293" s="22">
        <v>-1.6577100000000001E-2</v>
      </c>
      <c r="AJ293" s="22">
        <v>283</v>
      </c>
      <c r="AK293" s="22">
        <v>1.32416</v>
      </c>
      <c r="AL293">
        <f t="shared" si="54"/>
        <v>16.577100000000002</v>
      </c>
      <c r="AM293">
        <f t="shared" si="55"/>
        <v>21.965817897000001</v>
      </c>
      <c r="AP293" s="9"/>
      <c r="AQ293" s="22">
        <v>0.37490800000000002</v>
      </c>
      <c r="AR293" s="22">
        <v>509.22699999999998</v>
      </c>
      <c r="AS293" s="22">
        <v>-1.76971E-2</v>
      </c>
      <c r="AT293" s="22">
        <v>283</v>
      </c>
      <c r="AU293" s="22">
        <v>0.37417600000000001</v>
      </c>
      <c r="AV293">
        <f t="shared" si="56"/>
        <v>17.697099999999999</v>
      </c>
      <c r="AW293">
        <f t="shared" si="57"/>
        <v>6.6347843667999999</v>
      </c>
      <c r="AX293" s="9"/>
      <c r="AY293" s="22">
        <v>1.32507</v>
      </c>
      <c r="AZ293" s="22">
        <v>581.48199999999997</v>
      </c>
      <c r="BA293" s="22">
        <v>-1.6522200000000001E-2</v>
      </c>
      <c r="BB293" s="22">
        <v>283</v>
      </c>
      <c r="BC293" s="22">
        <v>1.32446</v>
      </c>
      <c r="BD293">
        <f t="shared" si="58"/>
        <v>16.522200000000002</v>
      </c>
      <c r="BE293">
        <f t="shared" si="59"/>
        <v>21.893071554000002</v>
      </c>
    </row>
    <row r="294" spans="6:57">
      <c r="F294" s="9"/>
      <c r="G294" s="22">
        <v>0.36987300000000001</v>
      </c>
      <c r="H294" s="22">
        <v>102.267</v>
      </c>
      <c r="I294" s="22">
        <v>-1.77094E-2</v>
      </c>
      <c r="J294" s="22">
        <v>284</v>
      </c>
      <c r="K294" s="22">
        <v>0.369446</v>
      </c>
      <c r="L294">
        <f t="shared" si="48"/>
        <v>17.709399999999999</v>
      </c>
      <c r="M294">
        <f t="shared" si="49"/>
        <v>6.5502289062000001</v>
      </c>
      <c r="N294" s="9"/>
      <c r="O294" s="22">
        <v>1.3301099999999999</v>
      </c>
      <c r="P294" s="22">
        <v>168.227</v>
      </c>
      <c r="Q294" s="22">
        <v>-1.67023E-2</v>
      </c>
      <c r="R294" s="22">
        <v>284</v>
      </c>
      <c r="S294" s="22">
        <v>1.32965</v>
      </c>
      <c r="T294">
        <f t="shared" si="50"/>
        <v>16.702300000000001</v>
      </c>
      <c r="U294">
        <f t="shared" si="51"/>
        <v>22.215896253</v>
      </c>
      <c r="X294" s="9"/>
      <c r="Y294" s="22">
        <v>0.36987300000000001</v>
      </c>
      <c r="Z294" s="22">
        <v>253.78100000000001</v>
      </c>
      <c r="AA294" s="22">
        <v>-1.7773400000000002E-2</v>
      </c>
      <c r="AB294" s="22">
        <v>284</v>
      </c>
      <c r="AC294" s="22">
        <v>0.36883500000000002</v>
      </c>
      <c r="AD294">
        <f t="shared" si="52"/>
        <v>17.773400000000002</v>
      </c>
      <c r="AE294">
        <f t="shared" si="53"/>
        <v>6.5739007782000014</v>
      </c>
      <c r="AF294" s="9"/>
      <c r="AG294" s="22">
        <v>1.3301099999999999</v>
      </c>
      <c r="AH294" s="22">
        <v>408.21699999999998</v>
      </c>
      <c r="AI294" s="22">
        <v>-1.6570999999999999E-2</v>
      </c>
      <c r="AJ294" s="22">
        <v>284</v>
      </c>
      <c r="AK294" s="22">
        <v>1.32965</v>
      </c>
      <c r="AL294">
        <f t="shared" si="54"/>
        <v>16.570999999999998</v>
      </c>
      <c r="AM294">
        <f t="shared" si="55"/>
        <v>22.041252809999996</v>
      </c>
      <c r="AP294" s="9"/>
      <c r="AQ294" s="22">
        <v>0.36987300000000001</v>
      </c>
      <c r="AR294" s="22">
        <v>509.32799999999997</v>
      </c>
      <c r="AS294" s="22">
        <v>-1.77094E-2</v>
      </c>
      <c r="AT294" s="22">
        <v>284</v>
      </c>
      <c r="AU294" s="22">
        <v>0.36917100000000003</v>
      </c>
      <c r="AV294">
        <f t="shared" si="56"/>
        <v>17.709399999999999</v>
      </c>
      <c r="AW294">
        <f t="shared" si="57"/>
        <v>6.5502289062000001</v>
      </c>
      <c r="AX294" s="9"/>
      <c r="AY294" s="22">
        <v>1.3301099999999999</v>
      </c>
      <c r="AZ294" s="22">
        <v>581.58199999999999</v>
      </c>
      <c r="BA294" s="22">
        <v>-1.6519200000000001E-2</v>
      </c>
      <c r="BB294" s="22">
        <v>284</v>
      </c>
      <c r="BC294" s="22">
        <v>1.32935</v>
      </c>
      <c r="BD294">
        <f t="shared" si="58"/>
        <v>16.519200000000001</v>
      </c>
      <c r="BE294">
        <f t="shared" si="59"/>
        <v>21.972353112</v>
      </c>
    </row>
    <row r="295" spans="6:57">
      <c r="F295" s="9"/>
      <c r="G295" s="22">
        <v>0.364838</v>
      </c>
      <c r="H295" s="22">
        <v>102.36799999999999</v>
      </c>
      <c r="I295" s="22">
        <v>-1.77124E-2</v>
      </c>
      <c r="J295" s="22">
        <v>285</v>
      </c>
      <c r="K295" s="22">
        <v>0.364288</v>
      </c>
      <c r="L295">
        <f t="shared" si="48"/>
        <v>17.712399999999999</v>
      </c>
      <c r="M295">
        <f t="shared" si="49"/>
        <v>6.4621565911999994</v>
      </c>
      <c r="N295" s="9"/>
      <c r="O295" s="22">
        <v>1.33514</v>
      </c>
      <c r="P295" s="22">
        <v>168.328</v>
      </c>
      <c r="Q295" s="22">
        <v>-1.6696200000000001E-2</v>
      </c>
      <c r="R295" s="22">
        <v>285</v>
      </c>
      <c r="S295" s="22">
        <v>1.33484</v>
      </c>
      <c r="T295">
        <f t="shared" si="50"/>
        <v>16.696200000000001</v>
      </c>
      <c r="U295">
        <f t="shared" si="51"/>
        <v>22.291764468</v>
      </c>
      <c r="X295" s="9"/>
      <c r="Y295" s="22">
        <v>0.364838</v>
      </c>
      <c r="Z295" s="22">
        <v>253.881</v>
      </c>
      <c r="AA295" s="22">
        <v>-1.7773400000000002E-2</v>
      </c>
      <c r="AB295" s="22">
        <v>285</v>
      </c>
      <c r="AC295" s="22">
        <v>0.36425800000000003</v>
      </c>
      <c r="AD295">
        <f t="shared" si="52"/>
        <v>17.773400000000002</v>
      </c>
      <c r="AE295">
        <f t="shared" si="53"/>
        <v>6.4844117092000007</v>
      </c>
      <c r="AF295" s="9"/>
      <c r="AG295" s="22">
        <v>1.33514</v>
      </c>
      <c r="AH295" s="22">
        <v>408.31799999999998</v>
      </c>
      <c r="AI295" s="22">
        <v>-1.6570999999999999E-2</v>
      </c>
      <c r="AJ295" s="22">
        <v>285</v>
      </c>
      <c r="AK295" s="22">
        <v>1.33453</v>
      </c>
      <c r="AL295">
        <f t="shared" si="54"/>
        <v>16.570999999999998</v>
      </c>
      <c r="AM295">
        <f t="shared" si="55"/>
        <v>22.124604939999998</v>
      </c>
      <c r="AP295" s="9"/>
      <c r="AQ295" s="22">
        <v>0.364838</v>
      </c>
      <c r="AR295" s="22">
        <v>509.42899999999997</v>
      </c>
      <c r="AS295" s="22">
        <v>-1.7715499999999999E-2</v>
      </c>
      <c r="AT295" s="22">
        <v>285</v>
      </c>
      <c r="AU295" s="22">
        <v>0.36456300000000003</v>
      </c>
      <c r="AV295">
        <f t="shared" si="56"/>
        <v>17.715499999999999</v>
      </c>
      <c r="AW295">
        <f t="shared" si="57"/>
        <v>6.4632875889999992</v>
      </c>
      <c r="AX295" s="9"/>
      <c r="AY295" s="22">
        <v>1.33514</v>
      </c>
      <c r="AZ295" s="22">
        <v>581.68299999999999</v>
      </c>
      <c r="BA295" s="22">
        <v>-1.651E-2</v>
      </c>
      <c r="BB295" s="22">
        <v>285</v>
      </c>
      <c r="BC295" s="22">
        <v>1.33453</v>
      </c>
      <c r="BD295">
        <f t="shared" si="58"/>
        <v>16.510000000000002</v>
      </c>
      <c r="BE295">
        <f t="shared" si="59"/>
        <v>22.043161400000002</v>
      </c>
    </row>
    <row r="296" spans="6:57">
      <c r="F296" s="9"/>
      <c r="G296" s="22">
        <v>0.35980200000000001</v>
      </c>
      <c r="H296" s="22">
        <v>102.46899999999999</v>
      </c>
      <c r="I296" s="22">
        <v>-1.77124E-2</v>
      </c>
      <c r="J296" s="22">
        <v>286</v>
      </c>
      <c r="K296" s="22">
        <v>0.35955799999999999</v>
      </c>
      <c r="L296">
        <f t="shared" si="48"/>
        <v>17.712399999999999</v>
      </c>
      <c r="M296">
        <f t="shared" si="49"/>
        <v>6.3729569447999994</v>
      </c>
      <c r="N296" s="9"/>
      <c r="O296" s="22">
        <v>1.3401799999999999</v>
      </c>
      <c r="P296" s="22">
        <v>168.429</v>
      </c>
      <c r="Q296" s="22">
        <v>-1.6687E-2</v>
      </c>
      <c r="R296" s="22">
        <v>286</v>
      </c>
      <c r="S296" s="22">
        <v>1.3394200000000001</v>
      </c>
      <c r="T296">
        <f t="shared" si="50"/>
        <v>16.687000000000001</v>
      </c>
      <c r="U296">
        <f t="shared" si="51"/>
        <v>22.36358366</v>
      </c>
      <c r="X296" s="9"/>
      <c r="Y296" s="22">
        <v>0.35980200000000001</v>
      </c>
      <c r="Z296" s="22">
        <v>253.982</v>
      </c>
      <c r="AA296" s="22">
        <v>-1.77795E-2</v>
      </c>
      <c r="AB296" s="22">
        <v>286</v>
      </c>
      <c r="AC296" s="22">
        <v>0.35919200000000001</v>
      </c>
      <c r="AD296">
        <f t="shared" si="52"/>
        <v>17.779499999999999</v>
      </c>
      <c r="AE296">
        <f t="shared" si="53"/>
        <v>6.3970996589999993</v>
      </c>
      <c r="AF296" s="9"/>
      <c r="AG296" s="22">
        <v>1.3401799999999999</v>
      </c>
      <c r="AH296" s="22">
        <v>408.41899999999998</v>
      </c>
      <c r="AI296" s="22">
        <v>-1.6558799999999999E-2</v>
      </c>
      <c r="AJ296" s="22">
        <v>286</v>
      </c>
      <c r="AK296" s="22">
        <v>1.33911</v>
      </c>
      <c r="AL296">
        <f t="shared" si="54"/>
        <v>16.558799999999998</v>
      </c>
      <c r="AM296">
        <f t="shared" si="55"/>
        <v>22.191772583999995</v>
      </c>
      <c r="AP296" s="9"/>
      <c r="AQ296" s="22">
        <v>0.35980200000000001</v>
      </c>
      <c r="AR296" s="22">
        <v>509.53</v>
      </c>
      <c r="AS296" s="22">
        <v>-1.7721600000000001E-2</v>
      </c>
      <c r="AT296" s="22">
        <v>286</v>
      </c>
      <c r="AU296" s="22">
        <v>0.358734</v>
      </c>
      <c r="AV296">
        <f t="shared" si="56"/>
        <v>17.721600000000002</v>
      </c>
      <c r="AW296">
        <f t="shared" si="57"/>
        <v>6.3762671232000008</v>
      </c>
      <c r="AX296" s="9"/>
      <c r="AY296" s="22">
        <v>1.3401799999999999</v>
      </c>
      <c r="AZ296" s="22">
        <v>581.78399999999999</v>
      </c>
      <c r="BA296" s="22">
        <v>-1.64948E-2</v>
      </c>
      <c r="BB296" s="22">
        <v>286</v>
      </c>
      <c r="BC296" s="22">
        <v>1.3385</v>
      </c>
      <c r="BD296">
        <f t="shared" si="58"/>
        <v>16.494800000000001</v>
      </c>
      <c r="BE296">
        <f t="shared" si="59"/>
        <v>22.106001064000001</v>
      </c>
    </row>
    <row r="297" spans="6:57">
      <c r="F297" s="9"/>
      <c r="G297" s="22">
        <v>0.354767</v>
      </c>
      <c r="H297" s="22">
        <v>102.569</v>
      </c>
      <c r="I297" s="22">
        <v>-1.77246E-2</v>
      </c>
      <c r="J297" s="22">
        <v>287</v>
      </c>
      <c r="K297" s="22">
        <v>0.35433999999999999</v>
      </c>
      <c r="L297">
        <f t="shared" si="48"/>
        <v>17.724599999999999</v>
      </c>
      <c r="M297">
        <f t="shared" si="49"/>
        <v>6.2881031681999993</v>
      </c>
      <c r="N297" s="9"/>
      <c r="O297" s="22">
        <v>1.34521</v>
      </c>
      <c r="P297" s="22">
        <v>168.529</v>
      </c>
      <c r="Q297" s="22">
        <v>-1.6677899999999999E-2</v>
      </c>
      <c r="R297" s="22">
        <v>287</v>
      </c>
      <c r="S297" s="22">
        <v>1.34491</v>
      </c>
      <c r="T297">
        <f t="shared" si="50"/>
        <v>16.677899999999998</v>
      </c>
      <c r="U297">
        <f t="shared" si="51"/>
        <v>22.435277858999996</v>
      </c>
      <c r="X297" s="9"/>
      <c r="Y297" s="22">
        <v>0.354767</v>
      </c>
      <c r="Z297" s="22">
        <v>254.083</v>
      </c>
      <c r="AA297" s="22">
        <v>-1.7785599999999999E-2</v>
      </c>
      <c r="AB297" s="22">
        <v>287</v>
      </c>
      <c r="AC297" s="22">
        <v>0.354126</v>
      </c>
      <c r="AD297">
        <f t="shared" si="52"/>
        <v>17.785599999999999</v>
      </c>
      <c r="AE297">
        <f t="shared" si="53"/>
        <v>6.3097439551999992</v>
      </c>
      <c r="AF297" s="9"/>
      <c r="AG297" s="22">
        <v>1.34521</v>
      </c>
      <c r="AH297" s="22">
        <v>408.52</v>
      </c>
      <c r="AI297" s="22">
        <v>-1.6549700000000001E-2</v>
      </c>
      <c r="AJ297" s="22">
        <v>287</v>
      </c>
      <c r="AK297" s="22">
        <v>1.34338</v>
      </c>
      <c r="AL297">
        <f t="shared" si="54"/>
        <v>16.549700000000001</v>
      </c>
      <c r="AM297">
        <f t="shared" si="55"/>
        <v>22.262821937000002</v>
      </c>
      <c r="AP297" s="9"/>
      <c r="AQ297" s="22">
        <v>0.354767</v>
      </c>
      <c r="AR297" s="22">
        <v>509.63</v>
      </c>
      <c r="AS297" s="22">
        <v>-1.77246E-2</v>
      </c>
      <c r="AT297" s="22">
        <v>287</v>
      </c>
      <c r="AU297" s="22">
        <v>0.35409499999999999</v>
      </c>
      <c r="AV297">
        <f t="shared" si="56"/>
        <v>17.724599999999999</v>
      </c>
      <c r="AW297">
        <f t="shared" si="57"/>
        <v>6.2881031681999993</v>
      </c>
      <c r="AX297" s="9"/>
      <c r="AY297" s="22">
        <v>1.34521</v>
      </c>
      <c r="AZ297" s="22">
        <v>581.88400000000001</v>
      </c>
      <c r="BA297" s="22">
        <v>-1.6476399999999999E-2</v>
      </c>
      <c r="BB297" s="22">
        <v>287</v>
      </c>
      <c r="BC297" s="22">
        <v>1.3446</v>
      </c>
      <c r="BD297">
        <f t="shared" si="58"/>
        <v>16.476399999999998</v>
      </c>
      <c r="BE297">
        <f t="shared" si="59"/>
        <v>22.164218043999998</v>
      </c>
    </row>
    <row r="298" spans="6:57">
      <c r="F298" s="9"/>
      <c r="G298" s="22">
        <v>0.34973100000000001</v>
      </c>
      <c r="H298" s="22">
        <v>102.67</v>
      </c>
      <c r="I298" s="22">
        <v>-1.7718500000000002E-2</v>
      </c>
      <c r="J298" s="22">
        <v>288</v>
      </c>
      <c r="K298" s="22">
        <v>0.34918199999999999</v>
      </c>
      <c r="L298">
        <f t="shared" si="48"/>
        <v>17.718500000000002</v>
      </c>
      <c r="M298">
        <f t="shared" si="49"/>
        <v>6.1967087235000013</v>
      </c>
      <c r="N298" s="9"/>
      <c r="O298" s="22">
        <v>1.35025</v>
      </c>
      <c r="P298" s="22">
        <v>168.63</v>
      </c>
      <c r="Q298" s="22">
        <v>-1.6668700000000002E-2</v>
      </c>
      <c r="R298" s="22">
        <v>288</v>
      </c>
      <c r="S298" s="22">
        <v>1.34979</v>
      </c>
      <c r="T298">
        <f t="shared" si="50"/>
        <v>16.668700000000001</v>
      </c>
      <c r="U298">
        <f t="shared" si="51"/>
        <v>22.506912175</v>
      </c>
      <c r="X298" s="9"/>
      <c r="Y298" s="22">
        <v>0.34973100000000001</v>
      </c>
      <c r="Z298" s="22">
        <v>254.184</v>
      </c>
      <c r="AA298" s="22">
        <v>-1.7788700000000001E-2</v>
      </c>
      <c r="AB298" s="22">
        <v>288</v>
      </c>
      <c r="AC298" s="22">
        <v>0.349213</v>
      </c>
      <c r="AD298">
        <f t="shared" si="52"/>
        <v>17.788700000000002</v>
      </c>
      <c r="AE298">
        <f t="shared" si="53"/>
        <v>6.221259839700001</v>
      </c>
      <c r="AF298" s="9"/>
      <c r="AG298" s="22">
        <v>1.35025</v>
      </c>
      <c r="AH298" s="22">
        <v>408.62</v>
      </c>
      <c r="AI298" s="22">
        <v>-1.65375E-2</v>
      </c>
      <c r="AJ298" s="22">
        <v>288</v>
      </c>
      <c r="AK298" s="22">
        <v>1.3494900000000001</v>
      </c>
      <c r="AL298">
        <f t="shared" si="54"/>
        <v>16.537500000000001</v>
      </c>
      <c r="AM298">
        <f t="shared" si="55"/>
        <v>22.329759375000002</v>
      </c>
      <c r="AP298" s="9"/>
      <c r="AQ298" s="22">
        <v>0.34973100000000001</v>
      </c>
      <c r="AR298" s="22">
        <v>509.73099999999999</v>
      </c>
      <c r="AS298" s="22">
        <v>-1.77246E-2</v>
      </c>
      <c r="AT298" s="22">
        <v>288</v>
      </c>
      <c r="AU298" s="22">
        <v>0.34915200000000002</v>
      </c>
      <c r="AV298">
        <f t="shared" si="56"/>
        <v>17.724599999999999</v>
      </c>
      <c r="AW298">
        <f t="shared" si="57"/>
        <v>6.1988420825999997</v>
      </c>
      <c r="AX298" s="9"/>
      <c r="AY298" s="22">
        <v>1.35025</v>
      </c>
      <c r="AZ298" s="22">
        <v>581.98500000000001</v>
      </c>
      <c r="BA298" s="22">
        <v>-1.6476399999999999E-2</v>
      </c>
      <c r="BB298" s="22">
        <v>288</v>
      </c>
      <c r="BC298" s="22">
        <v>1.34979</v>
      </c>
      <c r="BD298">
        <f t="shared" si="58"/>
        <v>16.476399999999998</v>
      </c>
      <c r="BE298">
        <f t="shared" si="59"/>
        <v>22.247259099999997</v>
      </c>
    </row>
    <row r="299" spans="6:57">
      <c r="F299" s="9"/>
      <c r="G299" s="22">
        <v>0.344696</v>
      </c>
      <c r="H299" s="22">
        <v>102.771</v>
      </c>
      <c r="I299" s="22">
        <v>-1.7730699999999999E-2</v>
      </c>
      <c r="J299" s="22">
        <v>289</v>
      </c>
      <c r="K299" s="22">
        <v>0.343781</v>
      </c>
      <c r="L299">
        <f t="shared" si="48"/>
        <v>17.730699999999999</v>
      </c>
      <c r="M299">
        <f t="shared" si="49"/>
        <v>6.1117013671999993</v>
      </c>
      <c r="N299" s="9"/>
      <c r="O299" s="22">
        <v>1.3552900000000001</v>
      </c>
      <c r="P299" s="22">
        <v>168.73099999999999</v>
      </c>
      <c r="Q299" s="22">
        <v>-1.66626E-2</v>
      </c>
      <c r="R299" s="22">
        <v>289</v>
      </c>
      <c r="S299" s="22">
        <v>1.3552900000000001</v>
      </c>
      <c r="T299">
        <f t="shared" si="50"/>
        <v>16.662600000000001</v>
      </c>
      <c r="U299">
        <f t="shared" si="51"/>
        <v>22.582655154000005</v>
      </c>
      <c r="X299" s="9"/>
      <c r="Y299" s="22">
        <v>0.344696</v>
      </c>
      <c r="Z299" s="22">
        <v>254.28399999999999</v>
      </c>
      <c r="AA299" s="22">
        <v>-1.7791700000000001E-2</v>
      </c>
      <c r="AB299" s="22">
        <v>289</v>
      </c>
      <c r="AC299" s="22">
        <v>0.344086</v>
      </c>
      <c r="AD299">
        <f t="shared" si="52"/>
        <v>17.791700000000002</v>
      </c>
      <c r="AE299">
        <f t="shared" si="53"/>
        <v>6.1327278232000006</v>
      </c>
      <c r="AF299" s="9"/>
      <c r="AG299" s="22">
        <v>1.3552900000000001</v>
      </c>
      <c r="AH299" s="22">
        <v>408.721</v>
      </c>
      <c r="AI299" s="22">
        <v>-1.6531400000000002E-2</v>
      </c>
      <c r="AJ299" s="22">
        <v>289</v>
      </c>
      <c r="AK299" s="22">
        <v>1.3543700000000001</v>
      </c>
      <c r="AL299">
        <f t="shared" si="54"/>
        <v>16.531400000000001</v>
      </c>
      <c r="AM299">
        <f t="shared" si="55"/>
        <v>22.404841106000003</v>
      </c>
      <c r="AP299" s="9"/>
      <c r="AQ299" s="22">
        <v>0.344696</v>
      </c>
      <c r="AR299" s="22">
        <v>509.83199999999999</v>
      </c>
      <c r="AS299" s="22">
        <v>-1.7727699999999999E-2</v>
      </c>
      <c r="AT299" s="22">
        <v>289</v>
      </c>
      <c r="AU299" s="22">
        <v>0.34411599999999998</v>
      </c>
      <c r="AV299">
        <f t="shared" si="56"/>
        <v>17.727699999999999</v>
      </c>
      <c r="AW299">
        <f t="shared" si="57"/>
        <v>6.1106672791999994</v>
      </c>
      <c r="AX299" s="9"/>
      <c r="AY299" s="22">
        <v>1.3552900000000001</v>
      </c>
      <c r="AZ299" s="22">
        <v>582.08600000000001</v>
      </c>
      <c r="BA299" s="22">
        <v>-1.6467300000000001E-2</v>
      </c>
      <c r="BB299" s="22">
        <v>289</v>
      </c>
      <c r="BC299" s="22">
        <v>1.3546800000000001</v>
      </c>
      <c r="BD299">
        <f t="shared" si="58"/>
        <v>16.467300000000002</v>
      </c>
      <c r="BE299">
        <f t="shared" si="59"/>
        <v>22.317967017000004</v>
      </c>
    </row>
    <row r="300" spans="6:57">
      <c r="F300" s="9"/>
      <c r="G300" s="22">
        <v>0.33966099999999999</v>
      </c>
      <c r="H300" s="22">
        <v>102.872</v>
      </c>
      <c r="I300" s="22">
        <v>-1.7730699999999999E-2</v>
      </c>
      <c r="J300" s="22">
        <v>290</v>
      </c>
      <c r="K300" s="22">
        <v>0.33926400000000001</v>
      </c>
      <c r="L300">
        <f t="shared" si="48"/>
        <v>17.730699999999999</v>
      </c>
      <c r="M300">
        <f t="shared" si="49"/>
        <v>6.0224272926999998</v>
      </c>
      <c r="N300" s="9"/>
      <c r="O300" s="22">
        <v>1.36032</v>
      </c>
      <c r="P300" s="22">
        <v>168.83199999999999</v>
      </c>
      <c r="Q300" s="22">
        <v>-1.6656500000000001E-2</v>
      </c>
      <c r="R300" s="22">
        <v>290</v>
      </c>
      <c r="S300" s="22">
        <v>1.3592500000000001</v>
      </c>
      <c r="T300">
        <f t="shared" si="50"/>
        <v>16.656500000000001</v>
      </c>
      <c r="U300">
        <f t="shared" si="51"/>
        <v>22.658170080000001</v>
      </c>
      <c r="X300" s="9"/>
      <c r="Y300" s="22">
        <v>0.33966099999999999</v>
      </c>
      <c r="Z300" s="22">
        <v>254.38499999999999</v>
      </c>
      <c r="AA300" s="22">
        <v>-1.7804E-2</v>
      </c>
      <c r="AB300" s="22">
        <v>290</v>
      </c>
      <c r="AC300" s="22">
        <v>0.33886699999999997</v>
      </c>
      <c r="AD300">
        <f t="shared" si="52"/>
        <v>17.804000000000002</v>
      </c>
      <c r="AE300">
        <f t="shared" si="53"/>
        <v>6.0473244440000009</v>
      </c>
      <c r="AF300" s="9"/>
      <c r="AG300" s="22">
        <v>1.36032</v>
      </c>
      <c r="AH300" s="22">
        <v>408.822</v>
      </c>
      <c r="AI300" s="22">
        <v>-1.6522200000000001E-2</v>
      </c>
      <c r="AJ300" s="22">
        <v>290</v>
      </c>
      <c r="AK300" s="22">
        <v>1.3598600000000001</v>
      </c>
      <c r="AL300">
        <f t="shared" si="54"/>
        <v>16.522200000000002</v>
      </c>
      <c r="AM300">
        <f t="shared" si="55"/>
        <v>22.475479104000001</v>
      </c>
      <c r="AP300" s="9"/>
      <c r="AQ300" s="22">
        <v>0.33966099999999999</v>
      </c>
      <c r="AR300" s="22">
        <v>509.93200000000002</v>
      </c>
      <c r="AS300" s="22">
        <v>-1.7739899999999999E-2</v>
      </c>
      <c r="AT300" s="22">
        <v>290</v>
      </c>
      <c r="AU300" s="22">
        <v>0.33917199999999997</v>
      </c>
      <c r="AV300">
        <f t="shared" si="56"/>
        <v>17.739899999999999</v>
      </c>
      <c r="AW300">
        <f t="shared" si="57"/>
        <v>6.0255521738999995</v>
      </c>
      <c r="AX300" s="9"/>
      <c r="AY300" s="22">
        <v>1.36032</v>
      </c>
      <c r="AZ300" s="22">
        <v>582.18700000000001</v>
      </c>
      <c r="BA300" s="22">
        <v>-1.6461199999999999E-2</v>
      </c>
      <c r="BB300" s="22">
        <v>290</v>
      </c>
      <c r="BC300" s="22">
        <v>1.3598600000000001</v>
      </c>
      <c r="BD300">
        <f t="shared" si="58"/>
        <v>16.461199999999998</v>
      </c>
      <c r="BE300">
        <f t="shared" si="59"/>
        <v>22.392499583999996</v>
      </c>
    </row>
    <row r="301" spans="6:57">
      <c r="F301" s="9"/>
      <c r="G301" s="22">
        <v>0.33462500000000001</v>
      </c>
      <c r="H301" s="22">
        <v>102.97199999999999</v>
      </c>
      <c r="I301" s="22">
        <v>-1.7739899999999999E-2</v>
      </c>
      <c r="J301" s="22">
        <v>291</v>
      </c>
      <c r="K301" s="22">
        <v>0.33279399999999998</v>
      </c>
      <c r="L301">
        <f t="shared" si="48"/>
        <v>17.739899999999999</v>
      </c>
      <c r="M301">
        <f t="shared" si="49"/>
        <v>5.9362140375000001</v>
      </c>
      <c r="N301" s="9"/>
      <c r="O301" s="22">
        <v>1.3653599999999999</v>
      </c>
      <c r="P301" s="22">
        <v>168.93199999999999</v>
      </c>
      <c r="Q301" s="22">
        <v>-1.6650399999999999E-2</v>
      </c>
      <c r="R301" s="22">
        <v>291</v>
      </c>
      <c r="S301" s="22">
        <v>1.3644400000000001</v>
      </c>
      <c r="T301">
        <f t="shared" si="50"/>
        <v>16.650399999999998</v>
      </c>
      <c r="U301">
        <f t="shared" si="51"/>
        <v>22.733790143999997</v>
      </c>
      <c r="X301" s="9"/>
      <c r="Y301" s="22">
        <v>0.33462500000000001</v>
      </c>
      <c r="Z301" s="22">
        <v>254.48599999999999</v>
      </c>
      <c r="AA301" s="22">
        <v>-1.7804E-2</v>
      </c>
      <c r="AB301" s="22">
        <v>291</v>
      </c>
      <c r="AC301" s="22">
        <v>0.33404499999999998</v>
      </c>
      <c r="AD301">
        <f t="shared" si="52"/>
        <v>17.804000000000002</v>
      </c>
      <c r="AE301">
        <f t="shared" si="53"/>
        <v>5.9576635000000007</v>
      </c>
      <c r="AF301" s="9"/>
      <c r="AG301" s="22">
        <v>1.3653599999999999</v>
      </c>
      <c r="AH301" s="22">
        <v>408.92200000000003</v>
      </c>
      <c r="AI301" s="22">
        <v>-1.65253E-2</v>
      </c>
      <c r="AJ301" s="22">
        <v>291</v>
      </c>
      <c r="AK301" s="22">
        <v>1.3647499999999999</v>
      </c>
      <c r="AL301">
        <f t="shared" si="54"/>
        <v>16.525300000000001</v>
      </c>
      <c r="AM301">
        <f t="shared" si="55"/>
        <v>22.562983608</v>
      </c>
      <c r="AP301" s="9"/>
      <c r="AQ301" s="22">
        <v>0.33462500000000001</v>
      </c>
      <c r="AR301" s="22">
        <v>510.03300000000002</v>
      </c>
      <c r="AS301" s="22">
        <v>-1.7746000000000001E-2</v>
      </c>
      <c r="AT301" s="22">
        <v>291</v>
      </c>
      <c r="AU301" s="22">
        <v>0.333984</v>
      </c>
      <c r="AV301">
        <f t="shared" si="56"/>
        <v>17.746000000000002</v>
      </c>
      <c r="AW301">
        <f t="shared" si="57"/>
        <v>5.938255250000001</v>
      </c>
      <c r="AX301" s="9"/>
      <c r="AY301" s="22">
        <v>1.3653599999999999</v>
      </c>
      <c r="AZ301" s="22">
        <v>582.28700000000003</v>
      </c>
      <c r="BA301" s="22">
        <v>-1.64429E-2</v>
      </c>
      <c r="BB301" s="22">
        <v>291</v>
      </c>
      <c r="BC301" s="22">
        <v>1.3644400000000001</v>
      </c>
      <c r="BD301">
        <f t="shared" si="58"/>
        <v>16.442900000000002</v>
      </c>
      <c r="BE301">
        <f t="shared" si="59"/>
        <v>22.450477943999999</v>
      </c>
    </row>
    <row r="302" spans="6:57">
      <c r="F302" s="9"/>
      <c r="G302" s="22">
        <v>0.32958999999999999</v>
      </c>
      <c r="H302" s="22">
        <v>103.07299999999999</v>
      </c>
      <c r="I302" s="22">
        <v>-1.77368E-2</v>
      </c>
      <c r="J302" s="22">
        <v>292</v>
      </c>
      <c r="K302" s="22">
        <v>0.32867400000000002</v>
      </c>
      <c r="L302">
        <f t="shared" si="48"/>
        <v>17.736799999999999</v>
      </c>
      <c r="M302">
        <f t="shared" si="49"/>
        <v>5.8458719119999998</v>
      </c>
      <c r="N302" s="9"/>
      <c r="O302" s="22">
        <v>1.37039</v>
      </c>
      <c r="P302" s="22">
        <v>169.03299999999999</v>
      </c>
      <c r="Q302" s="22">
        <v>-1.6641199999999998E-2</v>
      </c>
      <c r="R302" s="22">
        <v>292</v>
      </c>
      <c r="S302" s="22">
        <v>1.3696299999999999</v>
      </c>
      <c r="T302">
        <f t="shared" si="50"/>
        <v>16.641199999999998</v>
      </c>
      <c r="U302">
        <f t="shared" si="51"/>
        <v>22.804934067999998</v>
      </c>
      <c r="X302" s="9"/>
      <c r="Y302" s="22">
        <v>0.32958999999999999</v>
      </c>
      <c r="Z302" s="22">
        <v>254.58600000000001</v>
      </c>
      <c r="AA302" s="22">
        <v>-1.7816200000000001E-2</v>
      </c>
      <c r="AB302" s="22">
        <v>292</v>
      </c>
      <c r="AC302" s="22">
        <v>0.32888800000000001</v>
      </c>
      <c r="AD302">
        <f t="shared" si="52"/>
        <v>17.816200000000002</v>
      </c>
      <c r="AE302">
        <f t="shared" si="53"/>
        <v>5.8720413580000006</v>
      </c>
      <c r="AF302" s="9"/>
      <c r="AG302" s="22">
        <v>1.37039</v>
      </c>
      <c r="AH302" s="22">
        <v>409.02300000000002</v>
      </c>
      <c r="AI302" s="22">
        <v>-1.6507000000000001E-2</v>
      </c>
      <c r="AJ302" s="22">
        <v>292</v>
      </c>
      <c r="AK302" s="22">
        <v>1.3699300000000001</v>
      </c>
      <c r="AL302">
        <f t="shared" si="54"/>
        <v>16.507000000000001</v>
      </c>
      <c r="AM302">
        <f t="shared" si="55"/>
        <v>22.621027730000002</v>
      </c>
      <c r="AP302" s="9"/>
      <c r="AQ302" s="22">
        <v>0.32958999999999999</v>
      </c>
      <c r="AR302" s="22">
        <v>510.13400000000001</v>
      </c>
      <c r="AS302" s="22">
        <v>-1.77521E-2</v>
      </c>
      <c r="AT302" s="22">
        <v>292</v>
      </c>
      <c r="AU302" s="22">
        <v>0.32891799999999999</v>
      </c>
      <c r="AV302">
        <f t="shared" si="56"/>
        <v>17.752099999999999</v>
      </c>
      <c r="AW302">
        <f t="shared" si="57"/>
        <v>5.8509146389999991</v>
      </c>
      <c r="AX302" s="9"/>
      <c r="AY302" s="22">
        <v>1.37039</v>
      </c>
      <c r="AZ302" s="22">
        <v>582.38800000000003</v>
      </c>
      <c r="BA302" s="22">
        <v>-1.6424600000000001E-2</v>
      </c>
      <c r="BB302" s="22">
        <v>292</v>
      </c>
      <c r="BC302" s="22">
        <v>1.3696299999999999</v>
      </c>
      <c r="BD302">
        <f t="shared" si="58"/>
        <v>16.424600000000002</v>
      </c>
      <c r="BE302">
        <f t="shared" si="59"/>
        <v>22.508107594000002</v>
      </c>
    </row>
    <row r="303" spans="6:57">
      <c r="F303" s="9"/>
      <c r="G303" s="22">
        <v>0.32455400000000001</v>
      </c>
      <c r="H303" s="22">
        <v>103.17400000000001</v>
      </c>
      <c r="I303" s="22">
        <v>-1.7746000000000001E-2</v>
      </c>
      <c r="J303" s="22">
        <v>293</v>
      </c>
      <c r="K303" s="22">
        <v>0.32424900000000001</v>
      </c>
      <c r="L303">
        <f t="shared" si="48"/>
        <v>17.746000000000002</v>
      </c>
      <c r="M303">
        <f t="shared" si="49"/>
        <v>5.7595352840000009</v>
      </c>
      <c r="N303" s="9"/>
      <c r="O303" s="22">
        <v>1.3754299999999999</v>
      </c>
      <c r="P303" s="22">
        <v>169.13399999999999</v>
      </c>
      <c r="Q303" s="22">
        <v>-1.6641199999999998E-2</v>
      </c>
      <c r="R303" s="22">
        <v>293</v>
      </c>
      <c r="S303" s="22">
        <v>1.3754299999999999</v>
      </c>
      <c r="T303">
        <f t="shared" si="50"/>
        <v>16.641199999999998</v>
      </c>
      <c r="U303">
        <f t="shared" si="51"/>
        <v>22.888805715999997</v>
      </c>
      <c r="X303" s="9"/>
      <c r="Y303" s="22">
        <v>0.32455400000000001</v>
      </c>
      <c r="Z303" s="22">
        <v>254.68700000000001</v>
      </c>
      <c r="AA303" s="22">
        <v>-1.7816200000000001E-2</v>
      </c>
      <c r="AB303" s="22">
        <v>293</v>
      </c>
      <c r="AC303" s="22">
        <v>0.32409700000000002</v>
      </c>
      <c r="AD303">
        <f t="shared" si="52"/>
        <v>17.816200000000002</v>
      </c>
      <c r="AE303">
        <f t="shared" si="53"/>
        <v>5.7823189748000008</v>
      </c>
      <c r="AF303" s="9"/>
      <c r="AG303" s="22">
        <v>1.3754299999999999</v>
      </c>
      <c r="AH303" s="22">
        <v>409.12400000000002</v>
      </c>
      <c r="AI303" s="22">
        <v>-1.6500899999999999E-2</v>
      </c>
      <c r="AJ303" s="22">
        <v>293</v>
      </c>
      <c r="AK303" s="22">
        <v>1.3748199999999999</v>
      </c>
      <c r="AL303">
        <f t="shared" si="54"/>
        <v>16.500899999999998</v>
      </c>
      <c r="AM303">
        <f t="shared" si="55"/>
        <v>22.695832886999995</v>
      </c>
      <c r="AP303" s="9"/>
      <c r="AQ303" s="22">
        <v>0.32455400000000001</v>
      </c>
      <c r="AR303" s="22">
        <v>510.23500000000001</v>
      </c>
      <c r="AS303" s="22">
        <v>-1.7755099999999999E-2</v>
      </c>
      <c r="AT303" s="22">
        <v>293</v>
      </c>
      <c r="AU303" s="22">
        <v>0.32373000000000002</v>
      </c>
      <c r="AV303">
        <f t="shared" si="56"/>
        <v>17.755099999999999</v>
      </c>
      <c r="AW303">
        <f t="shared" si="57"/>
        <v>5.7624887253999999</v>
      </c>
      <c r="AX303" s="9"/>
      <c r="AY303" s="22">
        <v>1.3754299999999999</v>
      </c>
      <c r="AZ303" s="22">
        <v>582.48900000000003</v>
      </c>
      <c r="BA303" s="22">
        <v>-1.6424600000000001E-2</v>
      </c>
      <c r="BB303" s="22">
        <v>293</v>
      </c>
      <c r="BC303" s="22">
        <v>1.3745099999999999</v>
      </c>
      <c r="BD303">
        <f t="shared" si="58"/>
        <v>16.424600000000002</v>
      </c>
      <c r="BE303">
        <f t="shared" si="59"/>
        <v>22.590887578</v>
      </c>
    </row>
    <row r="304" spans="6:57">
      <c r="F304" s="9"/>
      <c r="G304" s="22">
        <v>0.319519</v>
      </c>
      <c r="H304" s="22">
        <v>103.274</v>
      </c>
      <c r="I304" s="22">
        <v>-1.7746000000000001E-2</v>
      </c>
      <c r="J304" s="22">
        <v>294</v>
      </c>
      <c r="K304" s="22">
        <v>0.319214</v>
      </c>
      <c r="L304">
        <f t="shared" si="48"/>
        <v>17.746000000000002</v>
      </c>
      <c r="M304">
        <f t="shared" si="49"/>
        <v>5.670184174000001</v>
      </c>
      <c r="N304" s="9"/>
      <c r="O304" s="22">
        <v>1.38046</v>
      </c>
      <c r="P304" s="22">
        <v>169.23400000000001</v>
      </c>
      <c r="Q304" s="22">
        <v>-1.6641199999999998E-2</v>
      </c>
      <c r="R304" s="22">
        <v>294</v>
      </c>
      <c r="S304" s="22">
        <v>1.3793899999999999</v>
      </c>
      <c r="T304">
        <f t="shared" si="50"/>
        <v>16.641199999999998</v>
      </c>
      <c r="U304">
        <f t="shared" si="51"/>
        <v>22.972510951999997</v>
      </c>
      <c r="X304" s="9"/>
      <c r="Y304" s="22">
        <v>0.319519</v>
      </c>
      <c r="Z304" s="22">
        <v>254.78800000000001</v>
      </c>
      <c r="AA304" s="22">
        <v>-1.7816200000000001E-2</v>
      </c>
      <c r="AB304" s="22">
        <v>294</v>
      </c>
      <c r="AC304" s="22">
        <v>0.31881700000000002</v>
      </c>
      <c r="AD304">
        <f t="shared" si="52"/>
        <v>17.816200000000002</v>
      </c>
      <c r="AE304">
        <f t="shared" si="53"/>
        <v>5.6926144078000007</v>
      </c>
      <c r="AF304" s="9"/>
      <c r="AG304" s="22">
        <v>1.38046</v>
      </c>
      <c r="AH304" s="22">
        <v>409.22500000000002</v>
      </c>
      <c r="AI304" s="22">
        <v>-1.64948E-2</v>
      </c>
      <c r="AJ304" s="22">
        <v>294</v>
      </c>
      <c r="AK304" s="22">
        <v>1.38</v>
      </c>
      <c r="AL304">
        <f t="shared" si="54"/>
        <v>16.494800000000001</v>
      </c>
      <c r="AM304">
        <f t="shared" si="55"/>
        <v>22.770411608000003</v>
      </c>
      <c r="AP304" s="9"/>
      <c r="AQ304" s="22">
        <v>0.319519</v>
      </c>
      <c r="AR304" s="22">
        <v>510.33499999999998</v>
      </c>
      <c r="AS304" s="22">
        <v>-1.7758199999999998E-2</v>
      </c>
      <c r="AT304" s="22">
        <v>294</v>
      </c>
      <c r="AU304" s="22">
        <v>0.31900000000000001</v>
      </c>
      <c r="AV304">
        <f t="shared" si="56"/>
        <v>17.758199999999999</v>
      </c>
      <c r="AW304">
        <f t="shared" si="57"/>
        <v>5.6740823057999998</v>
      </c>
      <c r="AX304" s="9"/>
      <c r="AY304" s="22">
        <v>1.38046</v>
      </c>
      <c r="AZ304" s="22">
        <v>582.58900000000006</v>
      </c>
      <c r="BA304" s="22">
        <v>-1.6409300000000002E-2</v>
      </c>
      <c r="BB304" s="22">
        <v>294</v>
      </c>
      <c r="BC304" s="22">
        <v>1.3796999999999999</v>
      </c>
      <c r="BD304">
        <f t="shared" si="58"/>
        <v>16.409300000000002</v>
      </c>
      <c r="BE304">
        <f t="shared" si="59"/>
        <v>22.652382278000001</v>
      </c>
    </row>
    <row r="305" spans="6:57">
      <c r="F305" s="9"/>
      <c r="G305" s="22">
        <v>0.31448399999999999</v>
      </c>
      <c r="H305" s="22">
        <v>103.375</v>
      </c>
      <c r="I305" s="22">
        <v>-1.77521E-2</v>
      </c>
      <c r="J305" s="22">
        <v>295</v>
      </c>
      <c r="K305" s="22">
        <v>0.31378200000000001</v>
      </c>
      <c r="L305">
        <f t="shared" si="48"/>
        <v>17.752099999999999</v>
      </c>
      <c r="M305">
        <f t="shared" si="49"/>
        <v>5.5827514163999989</v>
      </c>
      <c r="N305" s="9"/>
      <c r="O305" s="22">
        <v>1.3855</v>
      </c>
      <c r="P305" s="22">
        <v>169.33500000000001</v>
      </c>
      <c r="Q305" s="22">
        <v>-1.6629000000000001E-2</v>
      </c>
      <c r="R305" s="22">
        <v>295</v>
      </c>
      <c r="S305" s="22">
        <v>1.3851899999999999</v>
      </c>
      <c r="T305">
        <f t="shared" si="50"/>
        <v>16.629000000000001</v>
      </c>
      <c r="U305">
        <f t="shared" si="51"/>
        <v>23.039479500000002</v>
      </c>
      <c r="X305" s="9"/>
      <c r="Y305" s="22">
        <v>0.31448399999999999</v>
      </c>
      <c r="Z305" s="22">
        <v>254.88900000000001</v>
      </c>
      <c r="AA305" s="22">
        <v>-1.7831400000000001E-2</v>
      </c>
      <c r="AB305" s="22">
        <v>295</v>
      </c>
      <c r="AC305" s="22">
        <v>0.31396499999999999</v>
      </c>
      <c r="AD305">
        <f t="shared" si="52"/>
        <v>17.831400000000002</v>
      </c>
      <c r="AE305">
        <f t="shared" si="53"/>
        <v>5.6076899976000005</v>
      </c>
      <c r="AF305" s="9"/>
      <c r="AG305" s="22">
        <v>1.3855</v>
      </c>
      <c r="AH305" s="22">
        <v>409.32499999999999</v>
      </c>
      <c r="AI305" s="22">
        <v>-1.6476399999999999E-2</v>
      </c>
      <c r="AJ305" s="22">
        <v>295</v>
      </c>
      <c r="AK305" s="22">
        <v>1.3839699999999999</v>
      </c>
      <c r="AL305">
        <f t="shared" si="54"/>
        <v>16.476399999999998</v>
      </c>
      <c r="AM305">
        <f t="shared" si="55"/>
        <v>22.828052199999998</v>
      </c>
      <c r="AP305" s="9"/>
      <c r="AQ305" s="22">
        <v>0.31448399999999999</v>
      </c>
      <c r="AR305" s="22">
        <v>510.43599999999998</v>
      </c>
      <c r="AS305" s="22">
        <v>-1.7761200000000001E-2</v>
      </c>
      <c r="AT305" s="22">
        <v>295</v>
      </c>
      <c r="AU305" s="22">
        <v>0.31378200000000001</v>
      </c>
      <c r="AV305">
        <f t="shared" si="56"/>
        <v>17.761200000000002</v>
      </c>
      <c r="AW305">
        <f t="shared" si="57"/>
        <v>5.5856132208000009</v>
      </c>
      <c r="AX305" s="9"/>
      <c r="AY305" s="22">
        <v>1.3855</v>
      </c>
      <c r="AZ305" s="22">
        <v>582.69000000000005</v>
      </c>
      <c r="BA305" s="22">
        <v>-1.6390999999999999E-2</v>
      </c>
      <c r="BB305" s="22">
        <v>295</v>
      </c>
      <c r="BC305" s="22">
        <v>1.3845799999999999</v>
      </c>
      <c r="BD305">
        <f t="shared" si="58"/>
        <v>16.390999999999998</v>
      </c>
      <c r="BE305">
        <f t="shared" si="59"/>
        <v>22.709730499999996</v>
      </c>
    </row>
    <row r="306" spans="6:57">
      <c r="F306" s="9"/>
      <c r="G306" s="22">
        <v>0.309448</v>
      </c>
      <c r="H306" s="22">
        <v>103.476</v>
      </c>
      <c r="I306" s="22">
        <v>-1.7758199999999998E-2</v>
      </c>
      <c r="J306" s="22">
        <v>296</v>
      </c>
      <c r="K306" s="22">
        <v>0.30886799999999998</v>
      </c>
      <c r="L306">
        <f t="shared" si="48"/>
        <v>17.758199999999999</v>
      </c>
      <c r="M306">
        <f t="shared" si="49"/>
        <v>5.4952394735999999</v>
      </c>
      <c r="N306" s="9"/>
      <c r="O306" s="22">
        <v>1.39053</v>
      </c>
      <c r="P306" s="22">
        <v>169.43600000000001</v>
      </c>
      <c r="Q306" s="22">
        <v>-1.6629000000000001E-2</v>
      </c>
      <c r="R306" s="22">
        <v>296</v>
      </c>
      <c r="S306" s="22">
        <v>1.38947</v>
      </c>
      <c r="T306">
        <f t="shared" si="50"/>
        <v>16.629000000000001</v>
      </c>
      <c r="U306">
        <f t="shared" si="51"/>
        <v>23.123123370000002</v>
      </c>
      <c r="X306" s="9"/>
      <c r="Y306" s="22">
        <v>0.309448</v>
      </c>
      <c r="Z306" s="22">
        <v>254.989</v>
      </c>
      <c r="AA306" s="22">
        <v>-1.7822299999999999E-2</v>
      </c>
      <c r="AB306" s="22">
        <v>296</v>
      </c>
      <c r="AC306" s="22">
        <v>0.30886799999999998</v>
      </c>
      <c r="AD306">
        <f t="shared" si="52"/>
        <v>17.822299999999998</v>
      </c>
      <c r="AE306">
        <f t="shared" si="53"/>
        <v>5.5150750903999999</v>
      </c>
      <c r="AF306" s="9"/>
      <c r="AG306" s="22">
        <v>1.39053</v>
      </c>
      <c r="AH306" s="22">
        <v>409.42599999999999</v>
      </c>
      <c r="AI306" s="22">
        <v>-1.64856E-2</v>
      </c>
      <c r="AJ306" s="22">
        <v>296</v>
      </c>
      <c r="AK306" s="22">
        <v>1.3897699999999999</v>
      </c>
      <c r="AL306">
        <f t="shared" si="54"/>
        <v>16.485599999999998</v>
      </c>
      <c r="AM306">
        <f t="shared" si="55"/>
        <v>22.923721367999999</v>
      </c>
      <c r="AP306" s="9"/>
      <c r="AQ306" s="22">
        <v>0.309448</v>
      </c>
      <c r="AR306" s="22">
        <v>510.53699999999998</v>
      </c>
      <c r="AS306" s="22">
        <v>-1.7761200000000001E-2</v>
      </c>
      <c r="AT306" s="22">
        <v>296</v>
      </c>
      <c r="AU306" s="22">
        <v>0.308838</v>
      </c>
      <c r="AV306">
        <f t="shared" si="56"/>
        <v>17.761200000000002</v>
      </c>
      <c r="AW306">
        <f t="shared" si="57"/>
        <v>5.4961678176000008</v>
      </c>
      <c r="AX306" s="9"/>
      <c r="AY306" s="22">
        <v>1.39053</v>
      </c>
      <c r="AZ306" s="22">
        <v>582.79100000000005</v>
      </c>
      <c r="BA306" s="22">
        <v>-1.6369600000000002E-2</v>
      </c>
      <c r="BB306" s="22">
        <v>296</v>
      </c>
      <c r="BC306" s="22">
        <v>1.39008</v>
      </c>
      <c r="BD306">
        <f t="shared" si="58"/>
        <v>16.369600000000002</v>
      </c>
      <c r="BE306">
        <f t="shared" si="59"/>
        <v>22.762419888000004</v>
      </c>
    </row>
    <row r="307" spans="6:57">
      <c r="F307" s="9"/>
      <c r="G307" s="22">
        <v>0.30441299999999999</v>
      </c>
      <c r="H307" s="22">
        <v>103.577</v>
      </c>
      <c r="I307" s="22">
        <v>-1.77643E-2</v>
      </c>
      <c r="J307" s="22">
        <v>297</v>
      </c>
      <c r="K307" s="22">
        <v>0.30368000000000001</v>
      </c>
      <c r="L307">
        <f t="shared" si="48"/>
        <v>17.764299999999999</v>
      </c>
      <c r="M307">
        <f t="shared" si="49"/>
        <v>5.4076838558999993</v>
      </c>
      <c r="N307" s="9"/>
      <c r="O307" s="22">
        <v>1.39557</v>
      </c>
      <c r="P307" s="22">
        <v>169.53700000000001</v>
      </c>
      <c r="Q307" s="22">
        <v>-1.6616800000000001E-2</v>
      </c>
      <c r="R307" s="22">
        <v>297</v>
      </c>
      <c r="S307" s="22">
        <v>1.3952599999999999</v>
      </c>
      <c r="T307">
        <f t="shared" si="50"/>
        <v>16.616800000000001</v>
      </c>
      <c r="U307">
        <f t="shared" si="51"/>
        <v>23.189907576000003</v>
      </c>
      <c r="X307" s="9"/>
      <c r="Y307" s="22">
        <v>0.30441299999999999</v>
      </c>
      <c r="Z307" s="22">
        <v>255.09</v>
      </c>
      <c r="AA307" s="22">
        <v>-1.78345E-2</v>
      </c>
      <c r="AB307" s="22">
        <v>297</v>
      </c>
      <c r="AC307" s="22">
        <v>0.30364999999999998</v>
      </c>
      <c r="AD307">
        <f t="shared" si="52"/>
        <v>17.834499999999998</v>
      </c>
      <c r="AE307">
        <f t="shared" si="53"/>
        <v>5.4290536484999992</v>
      </c>
      <c r="AF307" s="9"/>
      <c r="AG307" s="22">
        <v>1.39557</v>
      </c>
      <c r="AH307" s="22">
        <v>409.52699999999999</v>
      </c>
      <c r="AI307" s="22">
        <v>-1.6476399999999999E-2</v>
      </c>
      <c r="AJ307" s="22">
        <v>297</v>
      </c>
      <c r="AK307" s="22">
        <v>1.39496</v>
      </c>
      <c r="AL307">
        <f t="shared" si="54"/>
        <v>16.476399999999998</v>
      </c>
      <c r="AM307">
        <f t="shared" si="55"/>
        <v>22.993969547999995</v>
      </c>
      <c r="AP307" s="9"/>
      <c r="AQ307" s="22">
        <v>0.30441299999999999</v>
      </c>
      <c r="AR307" s="22">
        <v>510.637</v>
      </c>
      <c r="AS307" s="22">
        <v>-1.7776500000000001E-2</v>
      </c>
      <c r="AT307" s="22">
        <v>297</v>
      </c>
      <c r="AU307" s="22">
        <v>0.30368000000000001</v>
      </c>
      <c r="AV307">
        <f t="shared" si="56"/>
        <v>17.776500000000002</v>
      </c>
      <c r="AW307">
        <f t="shared" si="57"/>
        <v>5.4113976945000006</v>
      </c>
      <c r="AX307" s="9"/>
      <c r="AY307" s="22">
        <v>1.39557</v>
      </c>
      <c r="AZ307" s="22">
        <v>582.89200000000005</v>
      </c>
      <c r="BA307" s="22">
        <v>-1.6366599999999999E-2</v>
      </c>
      <c r="BB307" s="22">
        <v>297</v>
      </c>
      <c r="BC307" s="22">
        <v>1.39496</v>
      </c>
      <c r="BD307">
        <f t="shared" si="58"/>
        <v>16.366599999999998</v>
      </c>
      <c r="BE307">
        <f t="shared" si="59"/>
        <v>22.840735961999997</v>
      </c>
    </row>
    <row r="308" spans="6:57">
      <c r="F308" s="9"/>
      <c r="G308" s="22">
        <v>0.299377</v>
      </c>
      <c r="H308" s="22">
        <v>103.67700000000001</v>
      </c>
      <c r="I308" s="22">
        <v>-1.77643E-2</v>
      </c>
      <c r="J308" s="22">
        <v>298</v>
      </c>
      <c r="K308" s="22">
        <v>0.29855300000000001</v>
      </c>
      <c r="L308">
        <f t="shared" si="48"/>
        <v>17.764299999999999</v>
      </c>
      <c r="M308">
        <f t="shared" si="49"/>
        <v>5.3182228410999999</v>
      </c>
      <c r="N308" s="9"/>
      <c r="O308" s="22">
        <v>1.4006000000000001</v>
      </c>
      <c r="P308" s="22">
        <v>169.637</v>
      </c>
      <c r="Q308" s="22">
        <v>-1.6604600000000001E-2</v>
      </c>
      <c r="R308" s="22">
        <v>298</v>
      </c>
      <c r="S308" s="22">
        <v>1.39984</v>
      </c>
      <c r="T308">
        <f t="shared" si="50"/>
        <v>16.604600000000001</v>
      </c>
      <c r="U308">
        <f t="shared" si="51"/>
        <v>23.256402760000004</v>
      </c>
      <c r="X308" s="9"/>
      <c r="Y308" s="22">
        <v>0.299377</v>
      </c>
      <c r="Z308" s="22">
        <v>255.191</v>
      </c>
      <c r="AA308" s="22">
        <v>-1.7843600000000001E-2</v>
      </c>
      <c r="AB308" s="22">
        <v>298</v>
      </c>
      <c r="AC308" s="22">
        <v>0.29885899999999999</v>
      </c>
      <c r="AD308">
        <f t="shared" si="52"/>
        <v>17.843600000000002</v>
      </c>
      <c r="AE308">
        <f t="shared" si="53"/>
        <v>5.3419634372000004</v>
      </c>
      <c r="AF308" s="9"/>
      <c r="AG308" s="22">
        <v>1.4006000000000001</v>
      </c>
      <c r="AH308" s="22">
        <v>409.62700000000001</v>
      </c>
      <c r="AI308" s="22">
        <v>-1.6467300000000001E-2</v>
      </c>
      <c r="AJ308" s="22">
        <v>298</v>
      </c>
      <c r="AK308" s="22">
        <v>1.39984</v>
      </c>
      <c r="AL308">
        <f t="shared" si="54"/>
        <v>16.467300000000002</v>
      </c>
      <c r="AM308">
        <f t="shared" si="55"/>
        <v>23.064100380000003</v>
      </c>
      <c r="AP308" s="9"/>
      <c r="AQ308" s="22">
        <v>0.299377</v>
      </c>
      <c r="AR308" s="22">
        <v>510.738</v>
      </c>
      <c r="AS308" s="22">
        <v>-1.77795E-2</v>
      </c>
      <c r="AT308" s="22">
        <v>298</v>
      </c>
      <c r="AU308" s="22">
        <v>0.29882799999999998</v>
      </c>
      <c r="AV308">
        <f t="shared" si="56"/>
        <v>17.779499999999999</v>
      </c>
      <c r="AW308">
        <f t="shared" si="57"/>
        <v>5.3227733714999994</v>
      </c>
      <c r="AX308" s="9"/>
      <c r="AY308" s="22">
        <v>1.4006000000000001</v>
      </c>
      <c r="AZ308" s="22">
        <v>582.99199999999996</v>
      </c>
      <c r="BA308" s="22">
        <v>-1.6354400000000002E-2</v>
      </c>
      <c r="BB308" s="22">
        <v>298</v>
      </c>
      <c r="BC308" s="22">
        <v>1.40015</v>
      </c>
      <c r="BD308">
        <f t="shared" si="58"/>
        <v>16.354400000000002</v>
      </c>
      <c r="BE308">
        <f t="shared" si="59"/>
        <v>22.905972640000005</v>
      </c>
    </row>
    <row r="309" spans="6:57">
      <c r="F309" s="9"/>
      <c r="G309" s="22">
        <v>0.29434199999999999</v>
      </c>
      <c r="H309" s="22">
        <v>103.77800000000001</v>
      </c>
      <c r="I309" s="22">
        <v>-1.7773400000000002E-2</v>
      </c>
      <c r="J309" s="22">
        <v>299</v>
      </c>
      <c r="K309" s="22">
        <v>0.29367100000000002</v>
      </c>
      <c r="L309">
        <f t="shared" si="48"/>
        <v>17.773400000000002</v>
      </c>
      <c r="M309">
        <f t="shared" si="49"/>
        <v>5.2314581028000005</v>
      </c>
      <c r="N309" s="9"/>
      <c r="O309" s="22">
        <v>1.40564</v>
      </c>
      <c r="P309" s="22">
        <v>169.738</v>
      </c>
      <c r="Q309" s="22">
        <v>-1.6601600000000001E-2</v>
      </c>
      <c r="R309" s="22">
        <v>299</v>
      </c>
      <c r="S309" s="22">
        <v>1.40533</v>
      </c>
      <c r="T309">
        <f t="shared" si="50"/>
        <v>16.601600000000001</v>
      </c>
      <c r="U309">
        <f t="shared" si="51"/>
        <v>23.335873024000001</v>
      </c>
      <c r="X309" s="9"/>
      <c r="Y309" s="22">
        <v>0.29434199999999999</v>
      </c>
      <c r="Z309" s="22">
        <v>255.291</v>
      </c>
      <c r="AA309" s="22">
        <v>-1.78467E-2</v>
      </c>
      <c r="AB309" s="22">
        <v>299</v>
      </c>
      <c r="AC309" s="22">
        <v>0.293518</v>
      </c>
      <c r="AD309">
        <f t="shared" si="52"/>
        <v>17.846699999999998</v>
      </c>
      <c r="AE309">
        <f t="shared" si="53"/>
        <v>5.253033371399999</v>
      </c>
      <c r="AF309" s="9"/>
      <c r="AG309" s="22">
        <v>1.40564</v>
      </c>
      <c r="AH309" s="22">
        <v>409.72800000000001</v>
      </c>
      <c r="AI309" s="22">
        <v>-1.64551E-2</v>
      </c>
      <c r="AJ309" s="22">
        <v>299</v>
      </c>
      <c r="AK309" s="22">
        <v>1.40472</v>
      </c>
      <c r="AL309">
        <f t="shared" si="54"/>
        <v>16.455100000000002</v>
      </c>
      <c r="AM309">
        <f t="shared" si="55"/>
        <v>23.129946764000003</v>
      </c>
      <c r="AP309" s="9"/>
      <c r="AQ309" s="22">
        <v>0.29434199999999999</v>
      </c>
      <c r="AR309" s="22">
        <v>510.839</v>
      </c>
      <c r="AS309" s="22">
        <v>-1.7776500000000001E-2</v>
      </c>
      <c r="AT309" s="22">
        <v>299</v>
      </c>
      <c r="AU309" s="22">
        <v>0.29388399999999998</v>
      </c>
      <c r="AV309">
        <f t="shared" si="56"/>
        <v>17.776500000000002</v>
      </c>
      <c r="AW309">
        <f t="shared" si="57"/>
        <v>5.2323705630000008</v>
      </c>
      <c r="AX309" s="9"/>
      <c r="AY309" s="22">
        <v>1.40564</v>
      </c>
      <c r="AZ309" s="22">
        <v>583.09299999999996</v>
      </c>
      <c r="BA309" s="22">
        <v>-1.6336099999999999E-2</v>
      </c>
      <c r="BB309" s="22">
        <v>299</v>
      </c>
      <c r="BC309" s="22">
        <v>1.40472</v>
      </c>
      <c r="BD309">
        <f t="shared" si="58"/>
        <v>16.336099999999998</v>
      </c>
      <c r="BE309">
        <f t="shared" si="59"/>
        <v>22.962675603999998</v>
      </c>
    </row>
    <row r="310" spans="6:57">
      <c r="F310" s="9"/>
      <c r="G310" s="22">
        <v>0.28930699999999998</v>
      </c>
      <c r="H310" s="22">
        <v>103.879</v>
      </c>
      <c r="I310" s="22">
        <v>-1.7770399999999999E-2</v>
      </c>
      <c r="J310" s="22">
        <v>300</v>
      </c>
      <c r="K310" s="22">
        <v>0.28872700000000001</v>
      </c>
      <c r="L310">
        <f t="shared" si="48"/>
        <v>17.770399999999999</v>
      </c>
      <c r="M310">
        <f t="shared" si="49"/>
        <v>5.1411011127999995</v>
      </c>
      <c r="N310" s="9"/>
      <c r="O310" s="22">
        <v>1.4106799999999999</v>
      </c>
      <c r="P310" s="22">
        <v>169.839</v>
      </c>
      <c r="Q310" s="22">
        <v>-1.6589400000000001E-2</v>
      </c>
      <c r="R310" s="22">
        <v>300</v>
      </c>
      <c r="S310" s="22">
        <v>1.40991</v>
      </c>
      <c r="T310">
        <f t="shared" si="50"/>
        <v>16.589400000000001</v>
      </c>
      <c r="U310">
        <f t="shared" si="51"/>
        <v>23.402334792000001</v>
      </c>
      <c r="X310" s="9"/>
      <c r="Y310" s="22">
        <v>0.28930699999999998</v>
      </c>
      <c r="Z310" s="22">
        <v>255.392</v>
      </c>
      <c r="AA310" s="22">
        <v>-1.78467E-2</v>
      </c>
      <c r="AB310" s="22">
        <v>300</v>
      </c>
      <c r="AC310" s="22">
        <v>0.288605</v>
      </c>
      <c r="AD310">
        <f t="shared" si="52"/>
        <v>17.846699999999998</v>
      </c>
      <c r="AE310">
        <f t="shared" si="53"/>
        <v>5.163175236899999</v>
      </c>
      <c r="AF310" s="9"/>
      <c r="AG310" s="22">
        <v>1.4106799999999999</v>
      </c>
      <c r="AH310" s="22">
        <v>409.82900000000001</v>
      </c>
      <c r="AI310" s="22">
        <v>-1.64551E-2</v>
      </c>
      <c r="AJ310" s="22">
        <v>300</v>
      </c>
      <c r="AK310" s="22">
        <v>1.41052</v>
      </c>
      <c r="AL310">
        <f t="shared" si="54"/>
        <v>16.455100000000002</v>
      </c>
      <c r="AM310">
        <f t="shared" si="55"/>
        <v>23.212880468000002</v>
      </c>
      <c r="AP310" s="9"/>
      <c r="AQ310" s="22">
        <v>0.28930699999999998</v>
      </c>
      <c r="AR310" s="22">
        <v>510.93900000000002</v>
      </c>
      <c r="AS310" s="22">
        <v>-1.7782599999999999E-2</v>
      </c>
      <c r="AT310" s="22">
        <v>300</v>
      </c>
      <c r="AU310" s="22">
        <v>0.28854400000000002</v>
      </c>
      <c r="AV310">
        <f t="shared" si="56"/>
        <v>17.782599999999999</v>
      </c>
      <c r="AW310">
        <f t="shared" si="57"/>
        <v>5.1446306581999997</v>
      </c>
      <c r="AX310" s="9"/>
      <c r="AY310" s="22">
        <v>1.4106799999999999</v>
      </c>
      <c r="AZ310" s="22">
        <v>583.19399999999996</v>
      </c>
      <c r="BA310" s="22">
        <v>-1.6333E-2</v>
      </c>
      <c r="BB310" s="22">
        <v>300</v>
      </c>
      <c r="BC310" s="22">
        <v>1.40961</v>
      </c>
      <c r="BD310">
        <f t="shared" si="58"/>
        <v>16.333000000000002</v>
      </c>
      <c r="BE310">
        <f t="shared" si="59"/>
        <v>23.04063644</v>
      </c>
    </row>
    <row r="311" spans="6:57">
      <c r="F311" s="9"/>
      <c r="G311" s="22">
        <v>0.284271</v>
      </c>
      <c r="H311" s="22">
        <v>103.979</v>
      </c>
      <c r="I311" s="22">
        <v>-1.7785599999999999E-2</v>
      </c>
      <c r="J311" s="22">
        <v>301</v>
      </c>
      <c r="K311" s="22">
        <v>0.28369100000000003</v>
      </c>
      <c r="L311">
        <f t="shared" si="48"/>
        <v>17.785599999999999</v>
      </c>
      <c r="M311">
        <f t="shared" si="49"/>
        <v>5.0559302975999998</v>
      </c>
      <c r="N311" s="9"/>
      <c r="O311" s="22">
        <v>1.41571</v>
      </c>
      <c r="P311" s="22">
        <v>169.93899999999999</v>
      </c>
      <c r="Q311" s="22">
        <v>-1.6577100000000001E-2</v>
      </c>
      <c r="R311" s="22">
        <v>301</v>
      </c>
      <c r="S311" s="22">
        <v>1.4154100000000001</v>
      </c>
      <c r="T311">
        <f t="shared" si="50"/>
        <v>16.577100000000002</v>
      </c>
      <c r="U311">
        <f t="shared" si="51"/>
        <v>23.468366241000002</v>
      </c>
      <c r="X311" s="9"/>
      <c r="Y311" s="22">
        <v>0.284271</v>
      </c>
      <c r="Z311" s="22">
        <v>255.49299999999999</v>
      </c>
      <c r="AA311" s="22">
        <v>-1.78467E-2</v>
      </c>
      <c r="AB311" s="22">
        <v>301</v>
      </c>
      <c r="AC311" s="22">
        <v>0.28362999999999999</v>
      </c>
      <c r="AD311">
        <f t="shared" si="52"/>
        <v>17.846699999999998</v>
      </c>
      <c r="AE311">
        <f t="shared" si="53"/>
        <v>5.0732992556999994</v>
      </c>
      <c r="AF311" s="9"/>
      <c r="AG311" s="22">
        <v>1.41571</v>
      </c>
      <c r="AH311" s="22">
        <v>409.92899999999997</v>
      </c>
      <c r="AI311" s="22">
        <v>-1.6433699999999999E-2</v>
      </c>
      <c r="AJ311" s="22">
        <v>301</v>
      </c>
      <c r="AK311" s="22">
        <v>1.41479</v>
      </c>
      <c r="AL311">
        <f t="shared" si="54"/>
        <v>16.433699999999998</v>
      </c>
      <c r="AM311">
        <f t="shared" si="55"/>
        <v>23.265353426999997</v>
      </c>
      <c r="AP311" s="9"/>
      <c r="AQ311" s="22">
        <v>0.284271</v>
      </c>
      <c r="AR311" s="22">
        <v>511.04</v>
      </c>
      <c r="AS311" s="22">
        <v>-1.7788700000000001E-2</v>
      </c>
      <c r="AT311" s="22">
        <v>301</v>
      </c>
      <c r="AU311" s="22">
        <v>0.28390500000000002</v>
      </c>
      <c r="AV311">
        <f t="shared" si="56"/>
        <v>17.788700000000002</v>
      </c>
      <c r="AW311">
        <f t="shared" si="57"/>
        <v>5.0568115377000007</v>
      </c>
      <c r="AX311" s="9"/>
      <c r="AY311" s="22">
        <v>1.41571</v>
      </c>
      <c r="AZ311" s="22">
        <v>583.29399999999998</v>
      </c>
      <c r="BA311" s="22">
        <v>-1.63208E-2</v>
      </c>
      <c r="BB311" s="22">
        <v>301</v>
      </c>
      <c r="BC311" s="22">
        <v>1.41479</v>
      </c>
      <c r="BD311">
        <f t="shared" si="58"/>
        <v>16.320799999999998</v>
      </c>
      <c r="BE311">
        <f t="shared" si="59"/>
        <v>23.105519767999997</v>
      </c>
    </row>
    <row r="312" spans="6:57">
      <c r="F312" s="9"/>
      <c r="G312" s="22">
        <v>0.27923599999999998</v>
      </c>
      <c r="H312" s="22">
        <v>104.08</v>
      </c>
      <c r="I312" s="22">
        <v>-1.7782599999999999E-2</v>
      </c>
      <c r="J312" s="22">
        <v>302</v>
      </c>
      <c r="K312" s="22">
        <v>0.27877800000000003</v>
      </c>
      <c r="L312">
        <f t="shared" si="48"/>
        <v>17.782599999999999</v>
      </c>
      <c r="M312">
        <f t="shared" si="49"/>
        <v>4.965542093599999</v>
      </c>
      <c r="N312" s="9"/>
      <c r="O312" s="22">
        <v>1.42075</v>
      </c>
      <c r="P312" s="22">
        <v>170.04</v>
      </c>
      <c r="Q312" s="22">
        <v>-1.6567999999999999E-2</v>
      </c>
      <c r="R312" s="22">
        <v>302</v>
      </c>
      <c r="S312" s="22">
        <v>1.41998</v>
      </c>
      <c r="T312">
        <f t="shared" si="50"/>
        <v>16.567999999999998</v>
      </c>
      <c r="U312">
        <f t="shared" si="51"/>
        <v>23.538985999999998</v>
      </c>
      <c r="X312" s="9"/>
      <c r="Y312" s="22">
        <v>0.27923599999999998</v>
      </c>
      <c r="Z312" s="22">
        <v>255.59299999999999</v>
      </c>
      <c r="AA312" s="22">
        <v>-1.7855800000000002E-2</v>
      </c>
      <c r="AB312" s="22">
        <v>302</v>
      </c>
      <c r="AC312" s="22">
        <v>0.27871699999999999</v>
      </c>
      <c r="AD312">
        <f t="shared" si="52"/>
        <v>17.855800000000002</v>
      </c>
      <c r="AE312">
        <f t="shared" si="53"/>
        <v>4.9859821688000006</v>
      </c>
      <c r="AF312" s="9"/>
      <c r="AG312" s="22">
        <v>1.42075</v>
      </c>
      <c r="AH312" s="22">
        <v>410.03</v>
      </c>
      <c r="AI312" s="22">
        <v>-1.6418499999999999E-2</v>
      </c>
      <c r="AJ312" s="22">
        <v>302</v>
      </c>
      <c r="AK312" s="22">
        <v>1.41998</v>
      </c>
      <c r="AL312">
        <f t="shared" si="54"/>
        <v>16.418499999999998</v>
      </c>
      <c r="AM312">
        <f t="shared" si="55"/>
        <v>23.326583874999997</v>
      </c>
      <c r="AP312" s="9"/>
      <c r="AQ312" s="22">
        <v>0.27923599999999998</v>
      </c>
      <c r="AR312" s="22">
        <v>511.14100000000002</v>
      </c>
      <c r="AS312" s="22">
        <v>-1.77948E-2</v>
      </c>
      <c r="AT312" s="22">
        <v>302</v>
      </c>
      <c r="AU312" s="22">
        <v>0.27871699999999999</v>
      </c>
      <c r="AV312">
        <f t="shared" si="56"/>
        <v>17.794799999999999</v>
      </c>
      <c r="AW312">
        <f t="shared" si="57"/>
        <v>4.9689487727999992</v>
      </c>
      <c r="AX312" s="9"/>
      <c r="AY312" s="22">
        <v>1.42075</v>
      </c>
      <c r="AZ312" s="22">
        <v>583.39499999999998</v>
      </c>
      <c r="BA312" s="22">
        <v>-1.6305500000000001E-2</v>
      </c>
      <c r="BB312" s="22">
        <v>302</v>
      </c>
      <c r="BC312" s="22">
        <v>1.41998</v>
      </c>
      <c r="BD312">
        <f t="shared" si="58"/>
        <v>16.305500000000002</v>
      </c>
      <c r="BE312">
        <f t="shared" si="59"/>
        <v>23.166039125000001</v>
      </c>
    </row>
    <row r="313" spans="6:57">
      <c r="F313" s="9"/>
      <c r="G313" s="22">
        <v>0.2742</v>
      </c>
      <c r="H313" s="22">
        <v>104.181</v>
      </c>
      <c r="I313" s="22">
        <v>-1.7788700000000001E-2</v>
      </c>
      <c r="J313" s="22">
        <v>303</v>
      </c>
      <c r="K313" s="22">
        <v>0.27337600000000001</v>
      </c>
      <c r="L313">
        <f t="shared" si="48"/>
        <v>17.788700000000002</v>
      </c>
      <c r="M313">
        <f t="shared" si="49"/>
        <v>4.877661540000001</v>
      </c>
      <c r="N313" s="9"/>
      <c r="O313" s="22">
        <v>1.42578</v>
      </c>
      <c r="P313" s="22">
        <v>170.14099999999999</v>
      </c>
      <c r="Q313" s="22">
        <v>-1.6555799999999999E-2</v>
      </c>
      <c r="R313" s="22">
        <v>303</v>
      </c>
      <c r="S313" s="22">
        <v>1.4254800000000001</v>
      </c>
      <c r="T313">
        <f t="shared" si="50"/>
        <v>16.555799999999998</v>
      </c>
      <c r="U313">
        <f t="shared" si="51"/>
        <v>23.604928523999998</v>
      </c>
      <c r="X313" s="9"/>
      <c r="Y313" s="22">
        <v>0.2742</v>
      </c>
      <c r="Z313" s="22">
        <v>255.69399999999999</v>
      </c>
      <c r="AA313" s="22">
        <v>-1.7855800000000002E-2</v>
      </c>
      <c r="AB313" s="22">
        <v>303</v>
      </c>
      <c r="AC313" s="22">
        <v>0.27401700000000001</v>
      </c>
      <c r="AD313">
        <f t="shared" si="52"/>
        <v>17.855800000000002</v>
      </c>
      <c r="AE313">
        <f t="shared" si="53"/>
        <v>4.8960603600000008</v>
      </c>
      <c r="AF313" s="9"/>
      <c r="AG313" s="22">
        <v>1.42578</v>
      </c>
      <c r="AH313" s="22">
        <v>410.13099999999997</v>
      </c>
      <c r="AI313" s="22">
        <v>-1.6409300000000002E-2</v>
      </c>
      <c r="AJ313" s="22">
        <v>303</v>
      </c>
      <c r="AK313" s="22">
        <v>1.4254800000000001</v>
      </c>
      <c r="AL313">
        <f t="shared" si="54"/>
        <v>16.409300000000002</v>
      </c>
      <c r="AM313">
        <f t="shared" si="55"/>
        <v>23.396051754000002</v>
      </c>
      <c r="AP313" s="9"/>
      <c r="AQ313" s="22">
        <v>0.2742</v>
      </c>
      <c r="AR313" s="22">
        <v>511.24200000000002</v>
      </c>
      <c r="AS313" s="22">
        <v>-1.7800900000000001E-2</v>
      </c>
      <c r="AT313" s="22">
        <v>303</v>
      </c>
      <c r="AU313" s="22">
        <v>0.27365099999999998</v>
      </c>
      <c r="AV313">
        <f t="shared" si="56"/>
        <v>17.800900000000002</v>
      </c>
      <c r="AW313">
        <f t="shared" si="57"/>
        <v>4.8810067800000008</v>
      </c>
      <c r="AX313" s="9"/>
      <c r="AY313" s="22">
        <v>1.42578</v>
      </c>
      <c r="AZ313" s="22">
        <v>583.49599999999998</v>
      </c>
      <c r="BA313" s="22">
        <v>-1.6284199999999999E-2</v>
      </c>
      <c r="BB313" s="22">
        <v>303</v>
      </c>
      <c r="BC313" s="22">
        <v>1.4254800000000001</v>
      </c>
      <c r="BD313">
        <f t="shared" si="58"/>
        <v>16.284199999999998</v>
      </c>
      <c r="BE313">
        <f t="shared" si="59"/>
        <v>23.217686676</v>
      </c>
    </row>
    <row r="314" spans="6:57">
      <c r="F314" s="9"/>
      <c r="G314" s="22">
        <v>0.26916499999999999</v>
      </c>
      <c r="H314" s="22">
        <v>104.28100000000001</v>
      </c>
      <c r="I314" s="22">
        <v>-1.7797899999999998E-2</v>
      </c>
      <c r="J314" s="22">
        <v>304</v>
      </c>
      <c r="K314" s="22">
        <v>0.268646</v>
      </c>
      <c r="L314">
        <f t="shared" si="48"/>
        <v>17.797899999999998</v>
      </c>
      <c r="M314">
        <f t="shared" si="49"/>
        <v>4.7905717534999992</v>
      </c>
      <c r="N314" s="9"/>
      <c r="O314" s="22">
        <v>1.43082</v>
      </c>
      <c r="P314" s="22">
        <v>170.24199999999999</v>
      </c>
      <c r="Q314" s="22">
        <v>-1.6543599999999999E-2</v>
      </c>
      <c r="R314" s="22">
        <v>304</v>
      </c>
      <c r="S314" s="22">
        <v>1.4297500000000001</v>
      </c>
      <c r="T314">
        <f t="shared" si="50"/>
        <v>16.543599999999998</v>
      </c>
      <c r="U314">
        <f t="shared" si="51"/>
        <v>23.670913751999997</v>
      </c>
      <c r="X314" s="9"/>
      <c r="Y314" s="22">
        <v>0.26916499999999999</v>
      </c>
      <c r="Z314" s="22">
        <v>255.79499999999999</v>
      </c>
      <c r="AA314" s="22">
        <v>-1.78619E-2</v>
      </c>
      <c r="AB314" s="22">
        <v>304</v>
      </c>
      <c r="AC314" s="22">
        <v>0.26849400000000001</v>
      </c>
      <c r="AD314">
        <f t="shared" si="52"/>
        <v>17.861899999999999</v>
      </c>
      <c r="AE314">
        <f t="shared" si="53"/>
        <v>4.8077983134999993</v>
      </c>
      <c r="AF314" s="9"/>
      <c r="AG314" s="22">
        <v>1.43082</v>
      </c>
      <c r="AH314" s="22">
        <v>410.23200000000003</v>
      </c>
      <c r="AI314" s="22">
        <v>-1.6400100000000001E-2</v>
      </c>
      <c r="AJ314" s="22">
        <v>304</v>
      </c>
      <c r="AK314" s="22">
        <v>1.43005</v>
      </c>
      <c r="AL314">
        <f t="shared" si="54"/>
        <v>16.400100000000002</v>
      </c>
      <c r="AM314">
        <f t="shared" si="55"/>
        <v>23.465591082000003</v>
      </c>
      <c r="AP314" s="9"/>
      <c r="AQ314" s="22">
        <v>0.26916499999999999</v>
      </c>
      <c r="AR314" s="22">
        <v>511.34199999999998</v>
      </c>
      <c r="AS314" s="22">
        <v>-1.7804E-2</v>
      </c>
      <c r="AT314" s="22">
        <v>304</v>
      </c>
      <c r="AU314" s="22">
        <v>0.26861600000000002</v>
      </c>
      <c r="AV314">
        <f t="shared" si="56"/>
        <v>17.804000000000002</v>
      </c>
      <c r="AW314">
        <f t="shared" si="57"/>
        <v>4.7922136600000007</v>
      </c>
      <c r="AX314" s="9"/>
      <c r="AY314" s="22">
        <v>1.43082</v>
      </c>
      <c r="AZ314" s="22">
        <v>583.596</v>
      </c>
      <c r="BA314" s="22">
        <v>-1.6268899999999999E-2</v>
      </c>
      <c r="BB314" s="22">
        <v>304</v>
      </c>
      <c r="BC314" s="22">
        <v>1.43005</v>
      </c>
      <c r="BD314">
        <f t="shared" si="58"/>
        <v>16.268899999999999</v>
      </c>
      <c r="BE314">
        <f t="shared" si="59"/>
        <v>23.277867497999999</v>
      </c>
    </row>
    <row r="315" spans="6:57">
      <c r="F315" s="9"/>
      <c r="G315" s="22">
        <v>0.26412999999999998</v>
      </c>
      <c r="H315" s="22">
        <v>104.38200000000001</v>
      </c>
      <c r="I315" s="22">
        <v>-1.7800900000000001E-2</v>
      </c>
      <c r="J315" s="22">
        <v>305</v>
      </c>
      <c r="K315" s="22">
        <v>0.26330599999999998</v>
      </c>
      <c r="L315">
        <f t="shared" si="48"/>
        <v>17.800900000000002</v>
      </c>
      <c r="M315">
        <f t="shared" si="49"/>
        <v>4.7017517170000005</v>
      </c>
      <c r="N315" s="9"/>
      <c r="O315" s="22">
        <v>1.4358500000000001</v>
      </c>
      <c r="P315" s="22">
        <v>170.34200000000001</v>
      </c>
      <c r="Q315" s="22">
        <v>-1.65375E-2</v>
      </c>
      <c r="R315" s="22">
        <v>305</v>
      </c>
      <c r="S315" s="22">
        <v>1.4346300000000001</v>
      </c>
      <c r="T315">
        <f t="shared" si="50"/>
        <v>16.537500000000001</v>
      </c>
      <c r="U315">
        <f t="shared" si="51"/>
        <v>23.745369375000003</v>
      </c>
      <c r="X315" s="9"/>
      <c r="Y315" s="22">
        <v>0.26412999999999998</v>
      </c>
      <c r="Z315" s="22">
        <v>255.89599999999999</v>
      </c>
      <c r="AA315" s="22">
        <v>-1.7871100000000001E-2</v>
      </c>
      <c r="AB315" s="22">
        <v>305</v>
      </c>
      <c r="AC315" s="22">
        <v>0.26361099999999998</v>
      </c>
      <c r="AD315">
        <f t="shared" si="52"/>
        <v>17.871100000000002</v>
      </c>
      <c r="AE315">
        <f t="shared" si="53"/>
        <v>4.7202936429999998</v>
      </c>
      <c r="AF315" s="9"/>
      <c r="AG315" s="22">
        <v>1.4358500000000001</v>
      </c>
      <c r="AH315" s="22">
        <v>410.33199999999999</v>
      </c>
      <c r="AI315" s="22">
        <v>-1.63757E-2</v>
      </c>
      <c r="AJ315" s="22">
        <v>305</v>
      </c>
      <c r="AK315" s="22">
        <v>1.4355500000000001</v>
      </c>
      <c r="AL315">
        <f t="shared" si="54"/>
        <v>16.375699999999998</v>
      </c>
      <c r="AM315">
        <f t="shared" si="55"/>
        <v>23.513048845</v>
      </c>
      <c r="AP315" s="9"/>
      <c r="AQ315" s="22">
        <v>0.26412999999999998</v>
      </c>
      <c r="AR315" s="22">
        <v>511.44299999999998</v>
      </c>
      <c r="AS315" s="22">
        <v>-1.7804E-2</v>
      </c>
      <c r="AT315" s="22">
        <v>305</v>
      </c>
      <c r="AU315" s="22">
        <v>0.26345800000000003</v>
      </c>
      <c r="AV315">
        <f t="shared" si="56"/>
        <v>17.804000000000002</v>
      </c>
      <c r="AW315">
        <f t="shared" si="57"/>
        <v>4.7025705200000001</v>
      </c>
      <c r="AX315" s="9"/>
      <c r="AY315" s="22">
        <v>1.4358500000000001</v>
      </c>
      <c r="AZ315" s="22">
        <v>583.697</v>
      </c>
      <c r="BA315" s="22">
        <v>-1.6247600000000001E-2</v>
      </c>
      <c r="BB315" s="22">
        <v>305</v>
      </c>
      <c r="BC315" s="22">
        <v>1.4349400000000001</v>
      </c>
      <c r="BD315">
        <f t="shared" si="58"/>
        <v>16.247600000000002</v>
      </c>
      <c r="BE315">
        <f t="shared" si="59"/>
        <v>23.329116460000005</v>
      </c>
    </row>
    <row r="316" spans="6:57">
      <c r="F316" s="9"/>
      <c r="G316" s="22">
        <v>0.25909399999999999</v>
      </c>
      <c r="H316" s="22">
        <v>104.483</v>
      </c>
      <c r="I316" s="22">
        <v>-1.7810099999999999E-2</v>
      </c>
      <c r="J316" s="22">
        <v>306</v>
      </c>
      <c r="K316" s="22">
        <v>0.258575</v>
      </c>
      <c r="L316">
        <f t="shared" si="48"/>
        <v>17.810099999999998</v>
      </c>
      <c r="M316">
        <f t="shared" si="49"/>
        <v>4.6144900493999996</v>
      </c>
      <c r="N316" s="9"/>
      <c r="O316" s="22">
        <v>1.44089</v>
      </c>
      <c r="P316" s="22">
        <v>170.44300000000001</v>
      </c>
      <c r="Q316" s="22">
        <v>-1.6522200000000001E-2</v>
      </c>
      <c r="R316" s="22">
        <v>306</v>
      </c>
      <c r="S316" s="22">
        <v>1.4398200000000001</v>
      </c>
      <c r="T316">
        <f t="shared" si="50"/>
        <v>16.522200000000002</v>
      </c>
      <c r="U316">
        <f t="shared" si="51"/>
        <v>23.806672758000001</v>
      </c>
      <c r="X316" s="9"/>
      <c r="Y316" s="22">
        <v>0.25909399999999999</v>
      </c>
      <c r="Z316" s="22">
        <v>255.99600000000001</v>
      </c>
      <c r="AA316" s="22">
        <v>-1.78741E-2</v>
      </c>
      <c r="AB316" s="22">
        <v>306</v>
      </c>
      <c r="AC316" s="22">
        <v>0.25842300000000001</v>
      </c>
      <c r="AD316">
        <f t="shared" si="52"/>
        <v>17.874100000000002</v>
      </c>
      <c r="AE316">
        <f t="shared" si="53"/>
        <v>4.6310720654000006</v>
      </c>
      <c r="AF316" s="9"/>
      <c r="AG316" s="22">
        <v>1.44089</v>
      </c>
      <c r="AH316" s="22">
        <v>410.43299999999999</v>
      </c>
      <c r="AI316" s="22">
        <v>-1.63605E-2</v>
      </c>
      <c r="AJ316" s="22">
        <v>306</v>
      </c>
      <c r="AK316" s="22">
        <v>1.4404300000000001</v>
      </c>
      <c r="AL316">
        <f t="shared" si="54"/>
        <v>16.360500000000002</v>
      </c>
      <c r="AM316">
        <f t="shared" si="55"/>
        <v>23.573680845000002</v>
      </c>
      <c r="AP316" s="9"/>
      <c r="AQ316" s="22">
        <v>0.25909399999999999</v>
      </c>
      <c r="AR316" s="22">
        <v>511.54399999999998</v>
      </c>
      <c r="AS316" s="22">
        <v>-1.7810099999999999E-2</v>
      </c>
      <c r="AT316" s="22">
        <v>306</v>
      </c>
      <c r="AU316" s="22">
        <v>0.258575</v>
      </c>
      <c r="AV316">
        <f t="shared" si="56"/>
        <v>17.810099999999998</v>
      </c>
      <c r="AW316">
        <f t="shared" si="57"/>
        <v>4.6144900493999996</v>
      </c>
      <c r="AX316" s="9"/>
      <c r="AY316" s="22">
        <v>1.44089</v>
      </c>
      <c r="AZ316" s="22">
        <v>583.798</v>
      </c>
      <c r="BA316" s="22">
        <v>-1.6223100000000001E-2</v>
      </c>
      <c r="BB316" s="22">
        <v>306</v>
      </c>
      <c r="BC316" s="22">
        <v>1.4401200000000001</v>
      </c>
      <c r="BD316">
        <f t="shared" si="58"/>
        <v>16.223100000000002</v>
      </c>
      <c r="BE316">
        <f t="shared" si="59"/>
        <v>23.375702559000004</v>
      </c>
    </row>
    <row r="317" spans="6:57">
      <c r="F317" s="9"/>
      <c r="G317" s="22">
        <v>0.25405899999999998</v>
      </c>
      <c r="H317" s="22">
        <v>104.584</v>
      </c>
      <c r="I317" s="22">
        <v>-1.7810099999999999E-2</v>
      </c>
      <c r="J317" s="22">
        <v>307</v>
      </c>
      <c r="K317" s="22">
        <v>0.253357</v>
      </c>
      <c r="L317">
        <f t="shared" si="48"/>
        <v>17.810099999999998</v>
      </c>
      <c r="M317">
        <f t="shared" si="49"/>
        <v>4.5248161958999988</v>
      </c>
      <c r="N317" s="9"/>
      <c r="O317" s="22">
        <v>1.4459200000000001</v>
      </c>
      <c r="P317" s="22">
        <v>170.54400000000001</v>
      </c>
      <c r="Q317" s="22">
        <v>-1.6516099999999999E-2</v>
      </c>
      <c r="R317" s="22">
        <v>307</v>
      </c>
      <c r="S317" s="22">
        <v>1.4453100000000001</v>
      </c>
      <c r="T317">
        <f t="shared" si="50"/>
        <v>16.516099999999998</v>
      </c>
      <c r="U317">
        <f t="shared" si="51"/>
        <v>23.880959311999998</v>
      </c>
      <c r="X317" s="9"/>
      <c r="Y317" s="22">
        <v>0.25405899999999998</v>
      </c>
      <c r="Z317" s="22">
        <v>256.09699999999998</v>
      </c>
      <c r="AA317" s="22">
        <v>-1.7877199999999999E-2</v>
      </c>
      <c r="AB317" s="22">
        <v>307</v>
      </c>
      <c r="AC317" s="22">
        <v>0.25372299999999998</v>
      </c>
      <c r="AD317">
        <f t="shared" si="52"/>
        <v>17.877199999999998</v>
      </c>
      <c r="AE317">
        <f t="shared" si="53"/>
        <v>4.541863554799999</v>
      </c>
      <c r="AF317" s="9"/>
      <c r="AG317" s="22">
        <v>1.4459200000000001</v>
      </c>
      <c r="AH317" s="22">
        <v>410.53399999999999</v>
      </c>
      <c r="AI317" s="22">
        <v>-1.6345200000000001E-2</v>
      </c>
      <c r="AJ317" s="22">
        <v>307</v>
      </c>
      <c r="AK317" s="22">
        <v>1.4453100000000001</v>
      </c>
      <c r="AL317">
        <f t="shared" si="54"/>
        <v>16.345200000000002</v>
      </c>
      <c r="AM317">
        <f t="shared" si="55"/>
        <v>23.633851584000006</v>
      </c>
      <c r="AP317" s="9"/>
      <c r="AQ317" s="22">
        <v>0.25405899999999998</v>
      </c>
      <c r="AR317" s="22">
        <v>511.64400000000001</v>
      </c>
      <c r="AS317" s="22">
        <v>-1.7816200000000001E-2</v>
      </c>
      <c r="AT317" s="22">
        <v>307</v>
      </c>
      <c r="AU317" s="22">
        <v>0.25344800000000001</v>
      </c>
      <c r="AV317">
        <f t="shared" si="56"/>
        <v>17.816200000000002</v>
      </c>
      <c r="AW317">
        <f t="shared" si="57"/>
        <v>4.5263659558000002</v>
      </c>
      <c r="AX317" s="9"/>
      <c r="AY317" s="22">
        <v>1.4459200000000001</v>
      </c>
      <c r="AZ317" s="22">
        <v>583.899</v>
      </c>
      <c r="BA317" s="22">
        <v>-1.6201799999999999E-2</v>
      </c>
      <c r="BB317" s="22">
        <v>307</v>
      </c>
      <c r="BC317" s="22">
        <v>1.4450099999999999</v>
      </c>
      <c r="BD317">
        <f t="shared" si="58"/>
        <v>16.201799999999999</v>
      </c>
      <c r="BE317">
        <f t="shared" si="59"/>
        <v>23.426506656000001</v>
      </c>
    </row>
    <row r="318" spans="6:57">
      <c r="F318" s="9"/>
      <c r="G318" s="22">
        <v>0.24902299999999999</v>
      </c>
      <c r="H318" s="22">
        <v>104.684</v>
      </c>
      <c r="I318" s="22">
        <v>-1.7813099999999998E-2</v>
      </c>
      <c r="J318" s="22">
        <v>308</v>
      </c>
      <c r="K318" s="22">
        <v>0.24835199999999999</v>
      </c>
      <c r="L318">
        <f t="shared" si="48"/>
        <v>17.813099999999999</v>
      </c>
      <c r="M318">
        <f t="shared" si="49"/>
        <v>4.4358716012999997</v>
      </c>
      <c r="N318" s="9"/>
      <c r="O318" s="22">
        <v>1.45096</v>
      </c>
      <c r="P318" s="22">
        <v>170.64400000000001</v>
      </c>
      <c r="Q318" s="22">
        <v>-1.6488599999999999E-2</v>
      </c>
      <c r="R318" s="22">
        <v>308</v>
      </c>
      <c r="S318" s="22">
        <v>1.4498899999999999</v>
      </c>
      <c r="T318">
        <f t="shared" si="50"/>
        <v>16.488599999999998</v>
      </c>
      <c r="U318">
        <f t="shared" si="51"/>
        <v>23.924299055999999</v>
      </c>
      <c r="X318" s="9"/>
      <c r="Y318" s="22">
        <v>0.24902299999999999</v>
      </c>
      <c r="Z318" s="22">
        <v>256.19799999999998</v>
      </c>
      <c r="AA318" s="22">
        <v>-1.7880199999999999E-2</v>
      </c>
      <c r="AB318" s="22">
        <v>308</v>
      </c>
      <c r="AC318" s="22">
        <v>0.248474</v>
      </c>
      <c r="AD318">
        <f t="shared" si="52"/>
        <v>17.880199999999999</v>
      </c>
      <c r="AE318">
        <f t="shared" si="53"/>
        <v>4.4525810445999996</v>
      </c>
      <c r="AF318" s="9"/>
      <c r="AG318" s="22">
        <v>1.45096</v>
      </c>
      <c r="AH318" s="22">
        <v>410.63400000000001</v>
      </c>
      <c r="AI318" s="22">
        <v>-1.6311599999999999E-2</v>
      </c>
      <c r="AJ318" s="22">
        <v>308</v>
      </c>
      <c r="AK318" s="22">
        <v>1.4501999999999999</v>
      </c>
      <c r="AL318">
        <f t="shared" si="54"/>
        <v>16.311599999999999</v>
      </c>
      <c r="AM318">
        <f t="shared" si="55"/>
        <v>23.667479135999997</v>
      </c>
      <c r="AP318" s="9"/>
      <c r="AQ318" s="22">
        <v>0.24902299999999999</v>
      </c>
      <c r="AR318" s="22">
        <v>511.745</v>
      </c>
      <c r="AS318" s="22">
        <v>-1.7816200000000001E-2</v>
      </c>
      <c r="AT318" s="22">
        <v>308</v>
      </c>
      <c r="AU318" s="22">
        <v>0.24832199999999999</v>
      </c>
      <c r="AV318">
        <f t="shared" si="56"/>
        <v>17.816200000000002</v>
      </c>
      <c r="AW318">
        <f t="shared" si="57"/>
        <v>4.4366435726000004</v>
      </c>
      <c r="AX318" s="9"/>
      <c r="AY318" s="22">
        <v>1.45096</v>
      </c>
      <c r="AZ318" s="22">
        <v>583.99900000000002</v>
      </c>
      <c r="BA318" s="22">
        <v>-1.6192600000000001E-2</v>
      </c>
      <c r="BB318" s="22">
        <v>308</v>
      </c>
      <c r="BC318" s="22">
        <v>1.4498899999999999</v>
      </c>
      <c r="BD318">
        <f t="shared" si="58"/>
        <v>16.192600000000002</v>
      </c>
      <c r="BE318">
        <f t="shared" si="59"/>
        <v>23.494814896000005</v>
      </c>
    </row>
    <row r="319" spans="6:57">
      <c r="F319" s="9"/>
      <c r="G319" s="22">
        <v>0.24398800000000001</v>
      </c>
      <c r="H319" s="22">
        <v>104.785</v>
      </c>
      <c r="I319" s="22">
        <v>-1.7822299999999999E-2</v>
      </c>
      <c r="J319" s="22">
        <v>309</v>
      </c>
      <c r="K319" s="22">
        <v>0.24340800000000001</v>
      </c>
      <c r="L319">
        <f t="shared" si="48"/>
        <v>17.822299999999998</v>
      </c>
      <c r="M319">
        <f t="shared" si="49"/>
        <v>4.3484273324</v>
      </c>
      <c r="N319" s="9"/>
      <c r="O319" s="22">
        <v>1.4559899999999999</v>
      </c>
      <c r="P319" s="22">
        <v>170.745</v>
      </c>
      <c r="Q319" s="22">
        <v>-1.6479500000000001E-2</v>
      </c>
      <c r="R319" s="22">
        <v>309</v>
      </c>
      <c r="S319" s="22">
        <v>1.4547699999999999</v>
      </c>
      <c r="T319">
        <f t="shared" si="50"/>
        <v>16.479500000000002</v>
      </c>
      <c r="U319">
        <f t="shared" si="51"/>
        <v>23.993987205</v>
      </c>
      <c r="X319" s="9"/>
      <c r="Y319" s="22">
        <v>0.24398800000000001</v>
      </c>
      <c r="Z319" s="22">
        <v>256.298</v>
      </c>
      <c r="AA319" s="22">
        <v>-1.7880199999999999E-2</v>
      </c>
      <c r="AB319" s="22">
        <v>309</v>
      </c>
      <c r="AC319" s="22">
        <v>0.24340800000000001</v>
      </c>
      <c r="AD319">
        <f t="shared" si="52"/>
        <v>17.880199999999999</v>
      </c>
      <c r="AE319">
        <f t="shared" si="53"/>
        <v>4.3625542375999995</v>
      </c>
      <c r="AF319" s="9"/>
      <c r="AG319" s="22">
        <v>1.4559899999999999</v>
      </c>
      <c r="AH319" s="22">
        <v>410.73500000000001</v>
      </c>
      <c r="AI319" s="22">
        <v>-1.6290300000000001E-2</v>
      </c>
      <c r="AJ319" s="22">
        <v>309</v>
      </c>
      <c r="AK319" s="22">
        <v>1.4553799999999999</v>
      </c>
      <c r="AL319">
        <f t="shared" si="54"/>
        <v>16.290300000000002</v>
      </c>
      <c r="AM319">
        <f t="shared" si="55"/>
        <v>23.718513897000001</v>
      </c>
      <c r="AP319" s="9"/>
      <c r="AQ319" s="22">
        <v>0.24398800000000001</v>
      </c>
      <c r="AR319" s="22">
        <v>511.846</v>
      </c>
      <c r="AS319" s="22">
        <v>-1.7825299999999999E-2</v>
      </c>
      <c r="AT319" s="22">
        <v>309</v>
      </c>
      <c r="AU319" s="22">
        <v>0.24292</v>
      </c>
      <c r="AV319">
        <f t="shared" si="56"/>
        <v>17.825299999999999</v>
      </c>
      <c r="AW319">
        <f t="shared" si="57"/>
        <v>4.3491592963999999</v>
      </c>
      <c r="AX319" s="9"/>
      <c r="AY319" s="22">
        <v>1.4559899999999999</v>
      </c>
      <c r="AZ319" s="22">
        <v>584.1</v>
      </c>
      <c r="BA319" s="22">
        <v>-1.6156E-2</v>
      </c>
      <c r="BB319" s="22">
        <v>309</v>
      </c>
      <c r="BC319" s="22">
        <v>1.4550799999999999</v>
      </c>
      <c r="BD319">
        <f t="shared" si="58"/>
        <v>16.155999999999999</v>
      </c>
      <c r="BE319">
        <f t="shared" si="59"/>
        <v>23.522974439999995</v>
      </c>
    </row>
    <row r="320" spans="6:57">
      <c r="F320" s="9"/>
      <c r="G320" s="22">
        <v>0.238953</v>
      </c>
      <c r="H320" s="22">
        <v>104.886</v>
      </c>
      <c r="I320" s="22">
        <v>-1.7825299999999999E-2</v>
      </c>
      <c r="J320" s="22">
        <v>310</v>
      </c>
      <c r="K320" s="22">
        <v>0.23846400000000001</v>
      </c>
      <c r="L320">
        <f t="shared" si="48"/>
        <v>17.825299999999999</v>
      </c>
      <c r="M320">
        <f t="shared" si="49"/>
        <v>4.2594089108999995</v>
      </c>
      <c r="N320" s="9"/>
      <c r="O320" s="22">
        <v>1.4610300000000001</v>
      </c>
      <c r="P320" s="22">
        <v>170.846</v>
      </c>
      <c r="Q320" s="22">
        <v>-1.6464199999999998E-2</v>
      </c>
      <c r="R320" s="22">
        <v>310</v>
      </c>
      <c r="S320" s="22">
        <v>1.46027</v>
      </c>
      <c r="T320">
        <f t="shared" si="50"/>
        <v>16.464199999999998</v>
      </c>
      <c r="U320">
        <f t="shared" si="51"/>
        <v>24.054690125999997</v>
      </c>
      <c r="X320" s="9"/>
      <c r="Y320" s="22">
        <v>0.238953</v>
      </c>
      <c r="Z320" s="22">
        <v>256.399</v>
      </c>
      <c r="AA320" s="22">
        <v>-1.78864E-2</v>
      </c>
      <c r="AB320" s="22">
        <v>310</v>
      </c>
      <c r="AC320" s="22">
        <v>0.238403</v>
      </c>
      <c r="AD320">
        <f t="shared" si="52"/>
        <v>17.886400000000002</v>
      </c>
      <c r="AE320">
        <f t="shared" si="53"/>
        <v>4.2740089392000007</v>
      </c>
      <c r="AF320" s="9"/>
      <c r="AG320" s="22">
        <v>1.4610300000000001</v>
      </c>
      <c r="AH320" s="22">
        <v>410.83600000000001</v>
      </c>
      <c r="AI320" s="22">
        <v>-1.6290300000000001E-2</v>
      </c>
      <c r="AJ320" s="22">
        <v>310</v>
      </c>
      <c r="AK320" s="22">
        <v>1.4599599999999999</v>
      </c>
      <c r="AL320">
        <f t="shared" si="54"/>
        <v>16.290300000000002</v>
      </c>
      <c r="AM320">
        <f t="shared" si="55"/>
        <v>23.800617009000003</v>
      </c>
      <c r="AP320" s="9"/>
      <c r="AQ320" s="22">
        <v>0.238953</v>
      </c>
      <c r="AR320" s="22">
        <v>511.947</v>
      </c>
      <c r="AS320" s="22">
        <v>-1.7831400000000001E-2</v>
      </c>
      <c r="AT320" s="22">
        <v>310</v>
      </c>
      <c r="AU320" s="22">
        <v>0.23825099999999999</v>
      </c>
      <c r="AV320">
        <f t="shared" si="56"/>
        <v>17.831400000000002</v>
      </c>
      <c r="AW320">
        <f t="shared" si="57"/>
        <v>4.2608665242000008</v>
      </c>
      <c r="AX320" s="9"/>
      <c r="AY320" s="22">
        <v>1.4610300000000001</v>
      </c>
      <c r="AZ320" s="22">
        <v>584.20100000000002</v>
      </c>
      <c r="BA320" s="22">
        <v>-1.6125500000000001E-2</v>
      </c>
      <c r="BB320" s="22">
        <v>310</v>
      </c>
      <c r="BC320" s="22">
        <v>1.46027</v>
      </c>
      <c r="BD320">
        <f t="shared" si="58"/>
        <v>16.125500000000002</v>
      </c>
      <c r="BE320">
        <f t="shared" si="59"/>
        <v>23.559839265000004</v>
      </c>
    </row>
    <row r="321" spans="6:57">
      <c r="F321" s="9"/>
      <c r="G321" s="22">
        <v>0.23391700000000001</v>
      </c>
      <c r="H321" s="22">
        <v>104.986</v>
      </c>
      <c r="I321" s="22">
        <v>-1.7831400000000001E-2</v>
      </c>
      <c r="J321" s="22">
        <v>311</v>
      </c>
      <c r="K321" s="22">
        <v>0.23352100000000001</v>
      </c>
      <c r="L321">
        <f t="shared" si="48"/>
        <v>17.831400000000002</v>
      </c>
      <c r="M321">
        <f t="shared" si="49"/>
        <v>4.171067593800001</v>
      </c>
      <c r="N321" s="9"/>
      <c r="O321" s="22">
        <v>1.4660599999999999</v>
      </c>
      <c r="P321" s="22">
        <v>170.946</v>
      </c>
      <c r="Q321" s="22">
        <v>-1.64429E-2</v>
      </c>
      <c r="R321" s="22">
        <v>311</v>
      </c>
      <c r="S321" s="22">
        <v>1.46515</v>
      </c>
      <c r="T321">
        <f t="shared" si="50"/>
        <v>16.442900000000002</v>
      </c>
      <c r="U321">
        <f t="shared" si="51"/>
        <v>24.106277974000001</v>
      </c>
      <c r="X321" s="9"/>
      <c r="Y321" s="22">
        <v>0.23391700000000001</v>
      </c>
      <c r="Z321" s="22">
        <v>256.5</v>
      </c>
      <c r="AA321" s="22">
        <v>-1.7892499999999999E-2</v>
      </c>
      <c r="AB321" s="22">
        <v>311</v>
      </c>
      <c r="AC321" s="22">
        <v>0.23306299999999999</v>
      </c>
      <c r="AD321">
        <f t="shared" si="52"/>
        <v>17.892499999999998</v>
      </c>
      <c r="AE321">
        <f t="shared" si="53"/>
        <v>4.1853599225</v>
      </c>
      <c r="AF321" s="9"/>
      <c r="AG321" s="22">
        <v>1.4660599999999999</v>
      </c>
      <c r="AH321" s="22">
        <v>410.93700000000001</v>
      </c>
      <c r="AI321" s="22">
        <v>-1.6253699999999999E-2</v>
      </c>
      <c r="AJ321" s="22">
        <v>311</v>
      </c>
      <c r="AK321" s="22">
        <v>1.4654499999999999</v>
      </c>
      <c r="AL321">
        <f t="shared" si="54"/>
        <v>16.253699999999998</v>
      </c>
      <c r="AM321">
        <f t="shared" si="55"/>
        <v>23.828899421999996</v>
      </c>
      <c r="AP321" s="9"/>
      <c r="AQ321" s="22">
        <v>0.23391700000000001</v>
      </c>
      <c r="AR321" s="22">
        <v>512.04700000000003</v>
      </c>
      <c r="AS321" s="22">
        <v>-1.78345E-2</v>
      </c>
      <c r="AT321" s="22">
        <v>311</v>
      </c>
      <c r="AU321" s="22">
        <v>0.23352100000000001</v>
      </c>
      <c r="AV321">
        <f t="shared" si="56"/>
        <v>17.834499999999998</v>
      </c>
      <c r="AW321">
        <f t="shared" si="57"/>
        <v>4.1717927364999996</v>
      </c>
      <c r="AX321" s="9"/>
      <c r="AY321" s="22">
        <v>1.4660599999999999</v>
      </c>
      <c r="AZ321" s="22">
        <v>584.30100000000004</v>
      </c>
      <c r="BA321" s="22">
        <v>-1.61011E-2</v>
      </c>
      <c r="BB321" s="22">
        <v>311</v>
      </c>
      <c r="BC321" s="22">
        <v>1.4648399999999999</v>
      </c>
      <c r="BD321">
        <f t="shared" si="58"/>
        <v>16.101099999999999</v>
      </c>
      <c r="BE321">
        <f t="shared" si="59"/>
        <v>23.605178665999997</v>
      </c>
    </row>
    <row r="322" spans="6:57">
      <c r="F322" s="9"/>
      <c r="G322" s="22">
        <v>0.228882</v>
      </c>
      <c r="H322" s="22">
        <v>105.087</v>
      </c>
      <c r="I322" s="22">
        <v>-1.7825299999999999E-2</v>
      </c>
      <c r="J322" s="22">
        <v>312</v>
      </c>
      <c r="K322" s="22">
        <v>0.22821</v>
      </c>
      <c r="L322">
        <f t="shared" si="48"/>
        <v>17.825299999999999</v>
      </c>
      <c r="M322">
        <f t="shared" si="49"/>
        <v>4.0798903146000001</v>
      </c>
      <c r="N322" s="9"/>
      <c r="O322" s="22">
        <v>1.4711000000000001</v>
      </c>
      <c r="P322" s="22">
        <v>171.047</v>
      </c>
      <c r="Q322" s="22">
        <v>-1.6427600000000001E-2</v>
      </c>
      <c r="R322" s="22">
        <v>312</v>
      </c>
      <c r="S322" s="22">
        <v>1.47034</v>
      </c>
      <c r="T322">
        <f t="shared" si="50"/>
        <v>16.427600000000002</v>
      </c>
      <c r="U322">
        <f t="shared" si="51"/>
        <v>24.166642360000004</v>
      </c>
      <c r="X322" s="9"/>
      <c r="Y322" s="22">
        <v>0.228882</v>
      </c>
      <c r="Z322" s="22">
        <v>256.601</v>
      </c>
      <c r="AA322" s="22">
        <v>-1.78894E-2</v>
      </c>
      <c r="AB322" s="22">
        <v>312</v>
      </c>
      <c r="AC322" s="22">
        <v>0.228271</v>
      </c>
      <c r="AD322">
        <f t="shared" si="52"/>
        <v>17.889399999999998</v>
      </c>
      <c r="AE322">
        <f t="shared" si="53"/>
        <v>4.0945616507999993</v>
      </c>
      <c r="AF322" s="9"/>
      <c r="AG322" s="22">
        <v>1.4711000000000001</v>
      </c>
      <c r="AH322" s="22">
        <v>411.03699999999998</v>
      </c>
      <c r="AI322" s="22">
        <v>-1.6223100000000001E-2</v>
      </c>
      <c r="AJ322" s="22">
        <v>312</v>
      </c>
      <c r="AK322" s="22">
        <v>1.47095</v>
      </c>
      <c r="AL322">
        <f t="shared" si="54"/>
        <v>16.223100000000002</v>
      </c>
      <c r="AM322">
        <f t="shared" si="55"/>
        <v>23.865802410000004</v>
      </c>
      <c r="AP322" s="9"/>
      <c r="AQ322" s="22">
        <v>0.228882</v>
      </c>
      <c r="AR322" s="22">
        <v>512.14800000000002</v>
      </c>
      <c r="AS322" s="22">
        <v>-1.78467E-2</v>
      </c>
      <c r="AT322" s="22">
        <v>312</v>
      </c>
      <c r="AU322" s="22">
        <v>0.228271</v>
      </c>
      <c r="AV322">
        <f t="shared" si="56"/>
        <v>17.846699999999998</v>
      </c>
      <c r="AW322">
        <f t="shared" si="57"/>
        <v>4.0847883893999999</v>
      </c>
      <c r="AX322" s="9"/>
      <c r="AY322" s="22">
        <v>1.4711000000000001</v>
      </c>
      <c r="AZ322" s="22">
        <v>584.40200000000004</v>
      </c>
      <c r="BA322" s="22">
        <v>-1.6046100000000001E-2</v>
      </c>
      <c r="BB322" s="22">
        <v>312</v>
      </c>
      <c r="BC322" s="22">
        <v>1.47034</v>
      </c>
      <c r="BD322">
        <f t="shared" si="58"/>
        <v>16.046099999999999</v>
      </c>
      <c r="BE322">
        <f t="shared" si="59"/>
        <v>23.605417710000001</v>
      </c>
    </row>
    <row r="323" spans="6:57">
      <c r="F323" s="9"/>
      <c r="G323" s="22">
        <v>0.22384599999999999</v>
      </c>
      <c r="H323" s="22">
        <v>105.188</v>
      </c>
      <c r="I323" s="22">
        <v>-1.7831400000000001E-2</v>
      </c>
      <c r="J323" s="22">
        <v>313</v>
      </c>
      <c r="K323" s="22">
        <v>0.223022</v>
      </c>
      <c r="L323">
        <f t="shared" si="48"/>
        <v>17.831400000000002</v>
      </c>
      <c r="M323">
        <f t="shared" si="49"/>
        <v>3.9914875644000003</v>
      </c>
      <c r="N323" s="9"/>
      <c r="O323" s="22">
        <v>1.47614</v>
      </c>
      <c r="P323" s="22">
        <v>171.148</v>
      </c>
      <c r="Q323" s="22">
        <v>-1.6412400000000001E-2</v>
      </c>
      <c r="R323" s="22">
        <v>313</v>
      </c>
      <c r="S323" s="22">
        <v>1.47522</v>
      </c>
      <c r="T323">
        <f t="shared" si="50"/>
        <v>16.412400000000002</v>
      </c>
      <c r="U323">
        <f t="shared" si="51"/>
        <v>24.227000136000001</v>
      </c>
      <c r="X323" s="9"/>
      <c r="Y323" s="22">
        <v>0.22384599999999999</v>
      </c>
      <c r="Z323" s="22">
        <v>256.70100000000002</v>
      </c>
      <c r="AA323" s="22">
        <v>-1.7904699999999999E-2</v>
      </c>
      <c r="AB323" s="22">
        <v>313</v>
      </c>
      <c r="AC323" s="22">
        <v>0.22348000000000001</v>
      </c>
      <c r="AD323">
        <f t="shared" si="52"/>
        <v>17.904699999999998</v>
      </c>
      <c r="AE323">
        <f t="shared" si="53"/>
        <v>4.0078954761999999</v>
      </c>
      <c r="AF323" s="9"/>
      <c r="AG323" s="22">
        <v>1.47614</v>
      </c>
      <c r="AH323" s="22">
        <v>411.13799999999998</v>
      </c>
      <c r="AI323" s="22">
        <v>-1.61987E-2</v>
      </c>
      <c r="AJ323" s="22">
        <v>313</v>
      </c>
      <c r="AK323" s="22">
        <v>1.47522</v>
      </c>
      <c r="AL323">
        <f t="shared" si="54"/>
        <v>16.198699999999999</v>
      </c>
      <c r="AM323">
        <f t="shared" si="55"/>
        <v>23.911549017999999</v>
      </c>
      <c r="AP323" s="9"/>
      <c r="AQ323" s="22">
        <v>0.22384599999999999</v>
      </c>
      <c r="AR323" s="22">
        <v>512.24900000000002</v>
      </c>
      <c r="AS323" s="22">
        <v>-1.78497E-2</v>
      </c>
      <c r="AT323" s="22">
        <v>313</v>
      </c>
      <c r="AU323" s="22">
        <v>0.22314500000000001</v>
      </c>
      <c r="AV323">
        <f t="shared" si="56"/>
        <v>17.849699999999999</v>
      </c>
      <c r="AW323">
        <f t="shared" si="57"/>
        <v>3.9955839461999996</v>
      </c>
      <c r="AX323" s="9"/>
      <c r="AY323" s="22">
        <v>1.47614</v>
      </c>
      <c r="AZ323" s="22">
        <v>584.50300000000004</v>
      </c>
      <c r="BA323" s="22">
        <v>-1.60187E-2</v>
      </c>
      <c r="BB323" s="22">
        <v>313</v>
      </c>
      <c r="BC323" s="22">
        <v>1.4755199999999999</v>
      </c>
      <c r="BD323">
        <f t="shared" si="58"/>
        <v>16.018699999999999</v>
      </c>
      <c r="BE323">
        <f t="shared" si="59"/>
        <v>23.645843817999999</v>
      </c>
    </row>
    <row r="324" spans="6:57">
      <c r="F324" s="9"/>
      <c r="G324" s="22">
        <v>0.21881100000000001</v>
      </c>
      <c r="H324" s="22">
        <v>105.289</v>
      </c>
      <c r="I324" s="22">
        <v>-1.7840600000000002E-2</v>
      </c>
      <c r="J324" s="22">
        <v>314</v>
      </c>
      <c r="K324" s="22">
        <v>0.218475</v>
      </c>
      <c r="L324">
        <f t="shared" si="48"/>
        <v>17.840600000000002</v>
      </c>
      <c r="M324">
        <f t="shared" si="49"/>
        <v>3.9037195266000007</v>
      </c>
      <c r="N324" s="9"/>
      <c r="O324" s="22">
        <v>1.4811700000000001</v>
      </c>
      <c r="P324" s="22">
        <v>171.249</v>
      </c>
      <c r="Q324" s="22">
        <v>-1.6393999999999999E-2</v>
      </c>
      <c r="R324" s="22">
        <v>314</v>
      </c>
      <c r="S324" s="22">
        <v>1.48071</v>
      </c>
      <c r="T324">
        <f t="shared" si="50"/>
        <v>16.393999999999998</v>
      </c>
      <c r="U324">
        <f t="shared" si="51"/>
        <v>24.282300979999999</v>
      </c>
      <c r="X324" s="9"/>
      <c r="Y324" s="22">
        <v>0.21881100000000001</v>
      </c>
      <c r="Z324" s="22">
        <v>256.80200000000002</v>
      </c>
      <c r="AA324" s="22">
        <v>-1.7904699999999999E-2</v>
      </c>
      <c r="AB324" s="22">
        <v>314</v>
      </c>
      <c r="AC324" s="22">
        <v>0.218414</v>
      </c>
      <c r="AD324">
        <f t="shared" si="52"/>
        <v>17.904699999999998</v>
      </c>
      <c r="AE324">
        <f t="shared" si="53"/>
        <v>3.9177453116999996</v>
      </c>
      <c r="AF324" s="9"/>
      <c r="AG324" s="22">
        <v>1.4811700000000001</v>
      </c>
      <c r="AH324" s="22">
        <v>411.23899999999998</v>
      </c>
      <c r="AI324" s="22">
        <v>-1.61713E-2</v>
      </c>
      <c r="AJ324" s="22">
        <v>314</v>
      </c>
      <c r="AK324" s="22">
        <v>1.4801</v>
      </c>
      <c r="AL324">
        <f t="shared" si="54"/>
        <v>16.171299999999999</v>
      </c>
      <c r="AM324">
        <f t="shared" si="55"/>
        <v>23.952444420999999</v>
      </c>
      <c r="AP324" s="9"/>
      <c r="AQ324" s="22">
        <v>0.21881100000000001</v>
      </c>
      <c r="AR324" s="22">
        <v>512.34900000000005</v>
      </c>
      <c r="AS324" s="22">
        <v>-1.78467E-2</v>
      </c>
      <c r="AT324" s="22">
        <v>314</v>
      </c>
      <c r="AU324" s="22">
        <v>0.21829200000000001</v>
      </c>
      <c r="AV324">
        <f t="shared" si="56"/>
        <v>17.846699999999998</v>
      </c>
      <c r="AW324">
        <f t="shared" si="57"/>
        <v>3.9050542736999998</v>
      </c>
      <c r="AX324" s="9"/>
      <c r="AY324" s="22">
        <v>1.4811700000000001</v>
      </c>
      <c r="AZ324" s="22">
        <v>584.60400000000004</v>
      </c>
      <c r="BA324" s="22">
        <v>-1.5976000000000001E-2</v>
      </c>
      <c r="BB324" s="22">
        <v>314</v>
      </c>
      <c r="BC324" s="22">
        <v>1.48041</v>
      </c>
      <c r="BD324">
        <f t="shared" si="58"/>
        <v>15.976000000000001</v>
      </c>
      <c r="BE324">
        <f t="shared" si="59"/>
        <v>23.663171920000003</v>
      </c>
    </row>
    <row r="325" spans="6:57">
      <c r="F325" s="9"/>
      <c r="G325" s="22">
        <v>0.21377599999999999</v>
      </c>
      <c r="H325" s="22">
        <v>105.389</v>
      </c>
      <c r="I325" s="22">
        <v>-1.7843600000000001E-2</v>
      </c>
      <c r="J325" s="22">
        <v>315</v>
      </c>
      <c r="K325" s="22">
        <v>0.213257</v>
      </c>
      <c r="L325">
        <f t="shared" si="48"/>
        <v>17.843600000000002</v>
      </c>
      <c r="M325">
        <f t="shared" si="49"/>
        <v>3.8145334336000003</v>
      </c>
      <c r="N325" s="9"/>
      <c r="O325" s="22">
        <v>1.48621</v>
      </c>
      <c r="P325" s="22">
        <v>171.34899999999999</v>
      </c>
      <c r="Q325" s="22">
        <v>-1.6366599999999999E-2</v>
      </c>
      <c r="R325" s="22">
        <v>315</v>
      </c>
      <c r="S325" s="22">
        <v>1.48468</v>
      </c>
      <c r="T325">
        <f t="shared" si="50"/>
        <v>16.366599999999998</v>
      </c>
      <c r="U325">
        <f t="shared" si="51"/>
        <v>24.324204585999997</v>
      </c>
      <c r="X325" s="9"/>
      <c r="Y325" s="22">
        <v>0.21377599999999999</v>
      </c>
      <c r="Z325" s="22">
        <v>256.90300000000002</v>
      </c>
      <c r="AA325" s="22">
        <v>-1.7910800000000001E-2</v>
      </c>
      <c r="AB325" s="22">
        <v>315</v>
      </c>
      <c r="AC325" s="22">
        <v>0.213287</v>
      </c>
      <c r="AD325">
        <f t="shared" si="52"/>
        <v>17.910800000000002</v>
      </c>
      <c r="AE325">
        <f t="shared" si="53"/>
        <v>3.8288991808000001</v>
      </c>
      <c r="AF325" s="9"/>
      <c r="AG325" s="22">
        <v>1.48621</v>
      </c>
      <c r="AH325" s="22">
        <v>411.339</v>
      </c>
      <c r="AI325" s="22">
        <v>-1.6140700000000001E-2</v>
      </c>
      <c r="AJ325" s="22">
        <v>315</v>
      </c>
      <c r="AK325" s="22">
        <v>1.48499</v>
      </c>
      <c r="AL325">
        <f t="shared" si="54"/>
        <v>16.140700000000002</v>
      </c>
      <c r="AM325">
        <f t="shared" si="55"/>
        <v>23.988469747000003</v>
      </c>
      <c r="AP325" s="9"/>
      <c r="AQ325" s="22">
        <v>0.21377599999999999</v>
      </c>
      <c r="AR325" s="22">
        <v>512.45000000000005</v>
      </c>
      <c r="AS325" s="22">
        <v>-1.78589E-2</v>
      </c>
      <c r="AT325" s="22">
        <v>315</v>
      </c>
      <c r="AU325" s="22">
        <v>0.21313499999999999</v>
      </c>
      <c r="AV325">
        <f t="shared" si="56"/>
        <v>17.858900000000002</v>
      </c>
      <c r="AW325">
        <f t="shared" si="57"/>
        <v>3.8178042064000004</v>
      </c>
      <c r="AX325" s="9"/>
      <c r="AY325" s="22">
        <v>1.48621</v>
      </c>
      <c r="AZ325" s="22">
        <v>584.70399999999995</v>
      </c>
      <c r="BA325" s="22">
        <v>-1.59241E-2</v>
      </c>
      <c r="BB325" s="22">
        <v>315</v>
      </c>
      <c r="BC325" s="22">
        <v>1.4856</v>
      </c>
      <c r="BD325">
        <f t="shared" si="58"/>
        <v>15.924099999999999</v>
      </c>
      <c r="BE325">
        <f t="shared" si="59"/>
        <v>23.666556660999998</v>
      </c>
    </row>
    <row r="326" spans="6:57">
      <c r="F326" s="9"/>
      <c r="G326" s="22">
        <v>0.20874000000000001</v>
      </c>
      <c r="H326" s="22">
        <v>105.49</v>
      </c>
      <c r="I326" s="22">
        <v>-1.78467E-2</v>
      </c>
      <c r="J326" s="22">
        <v>316</v>
      </c>
      <c r="K326" s="22">
        <v>0.20819099999999999</v>
      </c>
      <c r="L326">
        <f t="shared" si="48"/>
        <v>17.846699999999998</v>
      </c>
      <c r="M326">
        <f t="shared" si="49"/>
        <v>3.7253201579999997</v>
      </c>
      <c r="N326" s="9"/>
      <c r="O326" s="22">
        <v>1.4912399999999999</v>
      </c>
      <c r="P326" s="22">
        <v>171.45</v>
      </c>
      <c r="Q326" s="22">
        <v>-1.6336099999999999E-2</v>
      </c>
      <c r="R326" s="22">
        <v>316</v>
      </c>
      <c r="S326" s="22">
        <v>1.49048</v>
      </c>
      <c r="T326">
        <f t="shared" si="50"/>
        <v>16.336099999999998</v>
      </c>
      <c r="U326">
        <f t="shared" si="51"/>
        <v>24.361045763999996</v>
      </c>
      <c r="X326" s="9"/>
      <c r="Y326" s="22">
        <v>0.20874000000000001</v>
      </c>
      <c r="Z326" s="22">
        <v>257.00299999999999</v>
      </c>
      <c r="AA326" s="22">
        <v>-1.7910800000000001E-2</v>
      </c>
      <c r="AB326" s="22">
        <v>316</v>
      </c>
      <c r="AC326" s="22">
        <v>0.208069</v>
      </c>
      <c r="AD326">
        <f t="shared" si="52"/>
        <v>17.910800000000002</v>
      </c>
      <c r="AE326">
        <f t="shared" si="53"/>
        <v>3.7387003920000006</v>
      </c>
      <c r="AF326" s="9"/>
      <c r="AG326" s="22">
        <v>1.4912399999999999</v>
      </c>
      <c r="AH326" s="22">
        <v>411.44</v>
      </c>
      <c r="AI326" s="22">
        <v>-1.6113300000000001E-2</v>
      </c>
      <c r="AJ326" s="22">
        <v>316</v>
      </c>
      <c r="AK326" s="22">
        <v>1.49078</v>
      </c>
      <c r="AL326">
        <f t="shared" si="54"/>
        <v>16.113299999999999</v>
      </c>
      <c r="AM326">
        <f t="shared" si="55"/>
        <v>24.028797491999995</v>
      </c>
      <c r="AP326" s="9"/>
      <c r="AQ326" s="22">
        <v>0.20874000000000001</v>
      </c>
      <c r="AR326" s="22">
        <v>512.55100000000004</v>
      </c>
      <c r="AS326" s="22">
        <v>-1.7855800000000002E-2</v>
      </c>
      <c r="AT326" s="22">
        <v>316</v>
      </c>
      <c r="AU326" s="22">
        <v>0.20809900000000001</v>
      </c>
      <c r="AV326">
        <f t="shared" si="56"/>
        <v>17.855800000000002</v>
      </c>
      <c r="AW326">
        <f t="shared" si="57"/>
        <v>3.7272196920000007</v>
      </c>
      <c r="AX326" s="9"/>
      <c r="AY326" s="22">
        <v>1.4912399999999999</v>
      </c>
      <c r="AZ326" s="22">
        <v>584.80499999999995</v>
      </c>
      <c r="BA326" s="22">
        <v>-1.5878300000000001E-2</v>
      </c>
      <c r="BB326" s="22">
        <v>316</v>
      </c>
      <c r="BC326" s="22">
        <v>1.49078</v>
      </c>
      <c r="BD326">
        <f t="shared" si="58"/>
        <v>15.878300000000001</v>
      </c>
      <c r="BE326">
        <f t="shared" si="59"/>
        <v>23.678356092000001</v>
      </c>
    </row>
    <row r="327" spans="6:57">
      <c r="F327" s="9"/>
      <c r="G327" s="22">
        <v>0.203705</v>
      </c>
      <c r="H327" s="22">
        <v>105.59099999999999</v>
      </c>
      <c r="I327" s="22">
        <v>-1.78497E-2</v>
      </c>
      <c r="J327" s="22">
        <v>317</v>
      </c>
      <c r="K327" s="22">
        <v>0.203094</v>
      </c>
      <c r="L327">
        <f t="shared" si="48"/>
        <v>17.849699999999999</v>
      </c>
      <c r="M327">
        <f t="shared" si="49"/>
        <v>3.6360731384999996</v>
      </c>
      <c r="N327" s="9"/>
      <c r="O327" s="22">
        <v>1.4962800000000001</v>
      </c>
      <c r="P327" s="22">
        <v>171.55099999999999</v>
      </c>
      <c r="Q327" s="22">
        <v>-1.6290300000000001E-2</v>
      </c>
      <c r="R327" s="22">
        <v>317</v>
      </c>
      <c r="S327" s="22">
        <v>1.49597</v>
      </c>
      <c r="T327">
        <f t="shared" si="50"/>
        <v>16.290300000000002</v>
      </c>
      <c r="U327">
        <f t="shared" si="51"/>
        <v>24.374850084000006</v>
      </c>
      <c r="X327" s="9"/>
      <c r="Y327" s="22">
        <v>0.203705</v>
      </c>
      <c r="Z327" s="22">
        <v>257.10399999999998</v>
      </c>
      <c r="AA327" s="22">
        <v>-1.7923000000000001E-2</v>
      </c>
      <c r="AB327" s="22">
        <v>317</v>
      </c>
      <c r="AC327" s="22">
        <v>0.203125</v>
      </c>
      <c r="AD327">
        <f t="shared" si="52"/>
        <v>17.923000000000002</v>
      </c>
      <c r="AE327">
        <f t="shared" si="53"/>
        <v>3.6510047150000005</v>
      </c>
      <c r="AF327" s="9"/>
      <c r="AG327" s="22">
        <v>1.4962800000000001</v>
      </c>
      <c r="AH327" s="22">
        <v>411.541</v>
      </c>
      <c r="AI327" s="22">
        <v>-1.6070600000000001E-2</v>
      </c>
      <c r="AJ327" s="22">
        <v>317</v>
      </c>
      <c r="AK327" s="22">
        <v>1.4956700000000001</v>
      </c>
      <c r="AL327">
        <f t="shared" si="54"/>
        <v>16.070600000000002</v>
      </c>
      <c r="AM327">
        <f t="shared" si="55"/>
        <v>24.046117368000004</v>
      </c>
      <c r="AP327" s="9"/>
      <c r="AQ327" s="22">
        <v>0.203705</v>
      </c>
      <c r="AR327" s="22">
        <v>512.65099999999995</v>
      </c>
      <c r="AS327" s="22">
        <v>-1.7864999999999999E-2</v>
      </c>
      <c r="AT327" s="22">
        <v>317</v>
      </c>
      <c r="AU327" s="22">
        <v>0.20306399999999999</v>
      </c>
      <c r="AV327">
        <f t="shared" si="56"/>
        <v>17.864999999999998</v>
      </c>
      <c r="AW327">
        <f t="shared" si="57"/>
        <v>3.6391898249999994</v>
      </c>
      <c r="AX327" s="9"/>
      <c r="AY327" s="22">
        <v>1.4962800000000001</v>
      </c>
      <c r="AZ327" s="22">
        <v>584.90599999999995</v>
      </c>
      <c r="BA327" s="22">
        <v>-1.5820299999999999E-2</v>
      </c>
      <c r="BB327" s="22">
        <v>317</v>
      </c>
      <c r="BC327" s="22">
        <v>1.49658</v>
      </c>
      <c r="BD327">
        <f t="shared" si="58"/>
        <v>15.8203</v>
      </c>
      <c r="BE327">
        <f t="shared" si="59"/>
        <v>23.671598484</v>
      </c>
    </row>
    <row r="328" spans="6:57">
      <c r="F328" s="9"/>
      <c r="G328" s="22">
        <v>0.19866900000000001</v>
      </c>
      <c r="H328" s="22">
        <v>105.691</v>
      </c>
      <c r="I328" s="22">
        <v>-1.7852799999999999E-2</v>
      </c>
      <c r="J328" s="22">
        <v>318</v>
      </c>
      <c r="K328" s="22">
        <v>0.19830300000000001</v>
      </c>
      <c r="L328">
        <f t="shared" si="48"/>
        <v>17.852799999999998</v>
      </c>
      <c r="M328">
        <f t="shared" si="49"/>
        <v>3.5467979231999998</v>
      </c>
      <c r="N328" s="9"/>
      <c r="O328" s="22">
        <v>1.5013099999999999</v>
      </c>
      <c r="P328" s="22">
        <v>171.65100000000001</v>
      </c>
      <c r="Q328" s="22">
        <v>-1.62659E-2</v>
      </c>
      <c r="R328" s="22">
        <v>318</v>
      </c>
      <c r="S328" s="22">
        <v>1.5005500000000001</v>
      </c>
      <c r="T328">
        <f t="shared" si="50"/>
        <v>16.265899999999998</v>
      </c>
      <c r="U328">
        <f t="shared" si="51"/>
        <v>24.420158328999996</v>
      </c>
      <c r="X328" s="9"/>
      <c r="Y328" s="22">
        <v>0.19866900000000001</v>
      </c>
      <c r="Z328" s="22">
        <v>257.20499999999998</v>
      </c>
      <c r="AA328" s="22">
        <v>-1.7923000000000001E-2</v>
      </c>
      <c r="AB328" s="22">
        <v>318</v>
      </c>
      <c r="AC328" s="22">
        <v>0.19808999999999999</v>
      </c>
      <c r="AD328">
        <f t="shared" si="52"/>
        <v>17.923000000000002</v>
      </c>
      <c r="AE328">
        <f t="shared" si="53"/>
        <v>3.5607444870000005</v>
      </c>
      <c r="AF328" s="9"/>
      <c r="AG328" s="22">
        <v>1.5013099999999999</v>
      </c>
      <c r="AH328" s="22">
        <v>411.642</v>
      </c>
      <c r="AI328" s="22">
        <v>-1.60187E-2</v>
      </c>
      <c r="AJ328" s="22">
        <v>318</v>
      </c>
      <c r="AK328" s="22">
        <v>1.5005500000000001</v>
      </c>
      <c r="AL328">
        <f t="shared" si="54"/>
        <v>16.018699999999999</v>
      </c>
      <c r="AM328">
        <f t="shared" si="55"/>
        <v>24.049034496999997</v>
      </c>
      <c r="AP328" s="9"/>
      <c r="AQ328" s="22">
        <v>0.19866900000000001</v>
      </c>
      <c r="AR328" s="22">
        <v>512.75199999999995</v>
      </c>
      <c r="AS328" s="22">
        <v>-1.7871100000000001E-2</v>
      </c>
      <c r="AT328" s="22">
        <v>318</v>
      </c>
      <c r="AU328" s="22">
        <v>0.19802900000000001</v>
      </c>
      <c r="AV328">
        <f t="shared" si="56"/>
        <v>17.871100000000002</v>
      </c>
      <c r="AW328">
        <f t="shared" si="57"/>
        <v>3.5504335659000006</v>
      </c>
      <c r="AX328" s="9"/>
      <c r="AY328" s="22">
        <v>1.5013099999999999</v>
      </c>
      <c r="AZ328" s="22">
        <v>585.00599999999997</v>
      </c>
      <c r="BA328" s="22">
        <v>-1.5780599999999999E-2</v>
      </c>
      <c r="BB328" s="22">
        <v>318</v>
      </c>
      <c r="BC328" s="22">
        <v>1.5005500000000001</v>
      </c>
      <c r="BD328">
        <f t="shared" si="58"/>
        <v>15.780599999999998</v>
      </c>
      <c r="BE328">
        <f t="shared" si="59"/>
        <v>23.691572585999996</v>
      </c>
    </row>
    <row r="329" spans="6:57">
      <c r="F329" s="9"/>
      <c r="G329" s="22">
        <v>0.193634</v>
      </c>
      <c r="H329" s="22">
        <v>105.792</v>
      </c>
      <c r="I329" s="22">
        <v>-1.7864999999999999E-2</v>
      </c>
      <c r="J329" s="22">
        <v>319</v>
      </c>
      <c r="K329" s="22">
        <v>0.19311500000000001</v>
      </c>
      <c r="L329">
        <f t="shared" si="48"/>
        <v>17.864999999999998</v>
      </c>
      <c r="M329">
        <f t="shared" si="49"/>
        <v>3.4592714099999995</v>
      </c>
      <c r="N329" s="9"/>
      <c r="O329" s="22">
        <v>1.5063500000000001</v>
      </c>
      <c r="P329" s="22">
        <v>171.75200000000001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0.193634</v>
      </c>
      <c r="Z329" s="22">
        <v>257.30599999999998</v>
      </c>
      <c r="AA329" s="22">
        <v>-1.7932099999999999E-2</v>
      </c>
      <c r="AB329" s="22">
        <v>319</v>
      </c>
      <c r="AC329" s="22">
        <v>0.193268</v>
      </c>
      <c r="AD329">
        <f t="shared" si="52"/>
        <v>17.932099999999998</v>
      </c>
      <c r="AE329">
        <f t="shared" si="53"/>
        <v>3.4722642513999995</v>
      </c>
      <c r="AF329" s="9"/>
      <c r="AG329" s="22">
        <v>1.5063500000000001</v>
      </c>
      <c r="AH329" s="22">
        <v>411.74200000000002</v>
      </c>
      <c r="AI329" s="22">
        <v>-1.5982099999999999E-2</v>
      </c>
      <c r="AJ329" s="22">
        <v>319</v>
      </c>
      <c r="AK329" s="22">
        <v>1.5051300000000001</v>
      </c>
      <c r="AL329">
        <f t="shared" si="54"/>
        <v>15.982099999999999</v>
      </c>
      <c r="AM329">
        <f t="shared" si="55"/>
        <v>24.074636335000001</v>
      </c>
      <c r="AP329" s="9"/>
      <c r="AQ329" s="22">
        <v>0.193634</v>
      </c>
      <c r="AR329" s="22">
        <v>512.85299999999995</v>
      </c>
      <c r="AS329" s="22">
        <v>-1.7864999999999999E-2</v>
      </c>
      <c r="AT329" s="22">
        <v>319</v>
      </c>
      <c r="AU329" s="22">
        <v>0.192993</v>
      </c>
      <c r="AV329">
        <f t="shared" si="56"/>
        <v>17.864999999999998</v>
      </c>
      <c r="AW329">
        <f t="shared" si="57"/>
        <v>3.4592714099999995</v>
      </c>
      <c r="AX329" s="9"/>
      <c r="AY329" s="22">
        <v>1.5063500000000001</v>
      </c>
      <c r="AZ329" s="22">
        <v>585.10699999999997</v>
      </c>
      <c r="BA329" s="22">
        <v>-1.5716600000000001E-2</v>
      </c>
      <c r="BB329" s="22">
        <v>319</v>
      </c>
      <c r="BC329" s="22">
        <v>1.50604</v>
      </c>
      <c r="BD329">
        <f t="shared" si="58"/>
        <v>15.716600000000001</v>
      </c>
      <c r="BE329">
        <f t="shared" si="59"/>
        <v>23.674700410000003</v>
      </c>
    </row>
    <row r="330" spans="6:57">
      <c r="F330" s="9"/>
      <c r="G330" s="22">
        <v>0.18859899999999999</v>
      </c>
      <c r="H330" s="22">
        <v>105.893</v>
      </c>
      <c r="I330" s="22">
        <v>-1.7864999999999999E-2</v>
      </c>
      <c r="J330" s="22">
        <v>320</v>
      </c>
      <c r="K330" s="22">
        <v>0.18820200000000001</v>
      </c>
      <c r="L330">
        <f t="shared" si="48"/>
        <v>17.864999999999998</v>
      </c>
      <c r="M330">
        <f t="shared" si="49"/>
        <v>3.3693211349999994</v>
      </c>
      <c r="N330" s="9"/>
      <c r="O330" s="22">
        <v>1.5113799999999999</v>
      </c>
      <c r="P330" s="22">
        <v>171.85300000000001</v>
      </c>
      <c r="Q330" s="22">
        <v>-1.6201799999999999E-2</v>
      </c>
      <c r="R330" s="22">
        <v>320</v>
      </c>
      <c r="S330" s="22">
        <v>1.5109300000000001</v>
      </c>
      <c r="T330">
        <f t="shared" si="50"/>
        <v>16.201799999999999</v>
      </c>
      <c r="U330">
        <f t="shared" si="51"/>
        <v>24.487076483999996</v>
      </c>
      <c r="X330" s="9"/>
      <c r="Y330" s="22">
        <v>0.18859899999999999</v>
      </c>
      <c r="Z330" s="22">
        <v>257.40600000000001</v>
      </c>
      <c r="AA330" s="22">
        <v>-1.79291E-2</v>
      </c>
      <c r="AB330" s="22">
        <v>320</v>
      </c>
      <c r="AC330" s="22">
        <v>0.18804899999999999</v>
      </c>
      <c r="AD330">
        <f t="shared" si="52"/>
        <v>17.929099999999998</v>
      </c>
      <c r="AE330">
        <f t="shared" si="53"/>
        <v>3.3814103308999997</v>
      </c>
      <c r="AF330" s="9"/>
      <c r="AG330" s="22">
        <v>1.5113799999999999</v>
      </c>
      <c r="AH330" s="22">
        <v>411.84300000000002</v>
      </c>
      <c r="AI330" s="22">
        <v>-1.59241E-2</v>
      </c>
      <c r="AJ330" s="22">
        <v>320</v>
      </c>
      <c r="AK330" s="22">
        <v>1.5109300000000001</v>
      </c>
      <c r="AL330">
        <f t="shared" si="54"/>
        <v>15.924099999999999</v>
      </c>
      <c r="AM330">
        <f t="shared" si="55"/>
        <v>24.067366257999996</v>
      </c>
      <c r="AP330" s="9"/>
      <c r="AQ330" s="22">
        <v>0.18859899999999999</v>
      </c>
      <c r="AR330" s="22">
        <v>512.95399999999995</v>
      </c>
      <c r="AS330" s="22">
        <v>-1.7877199999999999E-2</v>
      </c>
      <c r="AT330" s="22">
        <v>320</v>
      </c>
      <c r="AU330" s="22">
        <v>0.18804899999999999</v>
      </c>
      <c r="AV330">
        <f t="shared" si="56"/>
        <v>17.877199999999998</v>
      </c>
      <c r="AW330">
        <f t="shared" si="57"/>
        <v>3.3716220427999994</v>
      </c>
      <c r="AX330" s="9"/>
      <c r="AY330" s="22">
        <v>1.5113799999999999</v>
      </c>
      <c r="AZ330" s="22">
        <v>585.20799999999997</v>
      </c>
      <c r="BA330" s="22">
        <v>-1.5643299999999999E-2</v>
      </c>
      <c r="BB330" s="22">
        <v>320</v>
      </c>
      <c r="BC330" s="22">
        <v>1.5106200000000001</v>
      </c>
      <c r="BD330">
        <f t="shared" si="58"/>
        <v>15.643299999999998</v>
      </c>
      <c r="BE330">
        <f t="shared" si="59"/>
        <v>23.642970753999997</v>
      </c>
    </row>
    <row r="331" spans="6:57">
      <c r="F331" s="9"/>
      <c r="G331" s="22">
        <v>0.183563</v>
      </c>
      <c r="H331" s="22">
        <v>105.99299999999999</v>
      </c>
      <c r="I331" s="22">
        <v>-1.78741E-2</v>
      </c>
      <c r="J331" s="22">
        <v>321</v>
      </c>
      <c r="K331" s="22">
        <v>0.18307499999999999</v>
      </c>
      <c r="L331">
        <f t="shared" si="48"/>
        <v>17.874100000000002</v>
      </c>
      <c r="M331">
        <f t="shared" si="49"/>
        <v>3.2810234183000007</v>
      </c>
      <c r="N331" s="9"/>
      <c r="O331" s="22">
        <v>1.5164200000000001</v>
      </c>
      <c r="P331" s="22">
        <v>171.95400000000001</v>
      </c>
      <c r="Q331" s="22">
        <v>-1.6168200000000001E-2</v>
      </c>
      <c r="R331" s="22">
        <v>321</v>
      </c>
      <c r="S331" s="22">
        <v>1.5164200000000001</v>
      </c>
      <c r="T331">
        <f t="shared" si="50"/>
        <v>16.168200000000002</v>
      </c>
      <c r="U331">
        <f t="shared" si="51"/>
        <v>24.517781844000005</v>
      </c>
      <c r="X331" s="9"/>
      <c r="Y331" s="22">
        <v>0.183563</v>
      </c>
      <c r="Z331" s="22">
        <v>257.50700000000001</v>
      </c>
      <c r="AA331" s="22">
        <v>-1.7935199999999998E-2</v>
      </c>
      <c r="AB331" s="22">
        <v>321</v>
      </c>
      <c r="AC331" s="22">
        <v>0.18304400000000001</v>
      </c>
      <c r="AD331">
        <f t="shared" si="52"/>
        <v>17.935199999999998</v>
      </c>
      <c r="AE331">
        <f t="shared" si="53"/>
        <v>3.2922391175999999</v>
      </c>
      <c r="AF331" s="9"/>
      <c r="AG331" s="22">
        <v>1.5164200000000001</v>
      </c>
      <c r="AH331" s="22">
        <v>411.94400000000002</v>
      </c>
      <c r="AI331" s="22">
        <v>-1.5866100000000001E-2</v>
      </c>
      <c r="AJ331" s="22">
        <v>321</v>
      </c>
      <c r="AK331" s="22">
        <v>1.5158100000000001</v>
      </c>
      <c r="AL331">
        <f t="shared" si="54"/>
        <v>15.866100000000001</v>
      </c>
      <c r="AM331">
        <f t="shared" si="55"/>
        <v>24.059671362000003</v>
      </c>
      <c r="AP331" s="9"/>
      <c r="AQ331" s="22">
        <v>0.183563</v>
      </c>
      <c r="AR331" s="22">
        <v>513.05399999999997</v>
      </c>
      <c r="AS331" s="22">
        <v>-1.7877199999999999E-2</v>
      </c>
      <c r="AT331" s="22">
        <v>321</v>
      </c>
      <c r="AU331" s="22">
        <v>0.182892</v>
      </c>
      <c r="AV331">
        <f t="shared" si="56"/>
        <v>17.877199999999998</v>
      </c>
      <c r="AW331">
        <f t="shared" si="57"/>
        <v>3.2815924635999996</v>
      </c>
      <c r="AX331" s="9"/>
      <c r="AY331" s="22">
        <v>1.5164200000000001</v>
      </c>
      <c r="AZ331" s="22">
        <v>585.30899999999997</v>
      </c>
      <c r="BA331" s="22">
        <v>-1.5588400000000001E-2</v>
      </c>
      <c r="BB331" s="22">
        <v>321</v>
      </c>
      <c r="BC331" s="22">
        <v>1.5148900000000001</v>
      </c>
      <c r="BD331">
        <f t="shared" si="58"/>
        <v>15.5884</v>
      </c>
      <c r="BE331">
        <f t="shared" si="59"/>
        <v>23.638561528</v>
      </c>
    </row>
    <row r="332" spans="6:57">
      <c r="F332" s="9"/>
      <c r="G332" s="22">
        <v>0.17852799999999999</v>
      </c>
      <c r="H332" s="22">
        <v>106.09399999999999</v>
      </c>
      <c r="I332" s="22">
        <v>-1.7871100000000001E-2</v>
      </c>
      <c r="J332" s="22">
        <v>322</v>
      </c>
      <c r="K332" s="22">
        <v>0.177979</v>
      </c>
      <c r="L332">
        <f t="shared" ref="L332:L388" si="60">-I332/$F$2*1000</f>
        <v>17.871100000000002</v>
      </c>
      <c r="M332">
        <f t="shared" ref="M332:M388" si="61">L332*G332</f>
        <v>3.1904917408000002</v>
      </c>
      <c r="N332" s="9"/>
      <c r="O332" s="22">
        <v>1.52145</v>
      </c>
      <c r="P332" s="22">
        <v>172.054</v>
      </c>
      <c r="Q332" s="22">
        <v>-1.6110200000000002E-2</v>
      </c>
      <c r="R332" s="22">
        <v>322</v>
      </c>
      <c r="S332" s="22">
        <v>1.5209999999999999</v>
      </c>
      <c r="T332">
        <f t="shared" ref="T332:T388" si="62">-Q332/$F$2*1000</f>
        <v>16.110200000000003</v>
      </c>
      <c r="U332">
        <f t="shared" ref="U332:U388" si="63">T332*O332</f>
        <v>24.510863790000002</v>
      </c>
      <c r="X332" s="9"/>
      <c r="Y332" s="22">
        <v>0.17852799999999999</v>
      </c>
      <c r="Z332" s="22">
        <v>257.608</v>
      </c>
      <c r="AA332" s="22">
        <v>-1.7938200000000001E-2</v>
      </c>
      <c r="AB332" s="22">
        <v>322</v>
      </c>
      <c r="AC332" s="22">
        <v>0.177399</v>
      </c>
      <c r="AD332">
        <f t="shared" ref="AD332:AD388" si="64">-AA332/$F$2*1000</f>
        <v>17.938200000000002</v>
      </c>
      <c r="AE332">
        <f t="shared" ref="AE332:AE388" si="65">AD332*Y332</f>
        <v>3.2024709696000002</v>
      </c>
      <c r="AF332" s="9"/>
      <c r="AG332" s="22">
        <v>1.52145</v>
      </c>
      <c r="AH332" s="22">
        <v>412.04399999999998</v>
      </c>
      <c r="AI332" s="22">
        <v>-1.5780599999999999E-2</v>
      </c>
      <c r="AJ332" s="22">
        <v>322</v>
      </c>
      <c r="AK332" s="22">
        <v>1.5209999999999999</v>
      </c>
      <c r="AL332">
        <f t="shared" ref="AL332:AL388" si="66">-AI332/$F$2*1000</f>
        <v>15.780599999999998</v>
      </c>
      <c r="AM332">
        <f t="shared" ref="AM332:AM388" si="67">AL332*AG332</f>
        <v>24.009393869999997</v>
      </c>
      <c r="AP332" s="9"/>
      <c r="AQ332" s="22">
        <v>0.17852799999999999</v>
      </c>
      <c r="AR332" s="22">
        <v>513.15499999999997</v>
      </c>
      <c r="AS332" s="22">
        <v>-1.7883300000000001E-2</v>
      </c>
      <c r="AT332" s="22">
        <v>322</v>
      </c>
      <c r="AU332" s="22">
        <v>0.17776500000000001</v>
      </c>
      <c r="AV332">
        <f t="shared" ref="AV332:AV388" si="68">-AS332/$F$2*1000</f>
        <v>17.883300000000002</v>
      </c>
      <c r="AW332">
        <f t="shared" ref="AW332:AW388" si="69">AV332*AQ332</f>
        <v>3.1926697824000003</v>
      </c>
      <c r="AX332" s="9"/>
      <c r="AY332" s="22">
        <v>1.52145</v>
      </c>
      <c r="AZ332" s="22">
        <v>585.40899999999999</v>
      </c>
      <c r="BA332" s="22">
        <v>-1.5512099999999999E-2</v>
      </c>
      <c r="BB332" s="22">
        <v>322</v>
      </c>
      <c r="BC332" s="22">
        <v>1.5213000000000001</v>
      </c>
      <c r="BD332">
        <f t="shared" ref="BD332:BD388" si="70">-BA332/$F$2*1000</f>
        <v>15.512099999999998</v>
      </c>
      <c r="BE332">
        <f t="shared" ref="BE332:BE388" si="71">BD332*AY332</f>
        <v>23.600884544999996</v>
      </c>
    </row>
    <row r="333" spans="6:57">
      <c r="F333" s="9"/>
      <c r="G333" s="22">
        <v>0.17349200000000001</v>
      </c>
      <c r="H333" s="22">
        <v>106.19499999999999</v>
      </c>
      <c r="I333" s="22">
        <v>-1.78741E-2</v>
      </c>
      <c r="J333" s="22">
        <v>323</v>
      </c>
      <c r="K333" s="22">
        <v>0.17272899999999999</v>
      </c>
      <c r="L333">
        <f t="shared" si="60"/>
        <v>17.874100000000002</v>
      </c>
      <c r="M333">
        <f t="shared" si="61"/>
        <v>3.1010133572000007</v>
      </c>
      <c r="N333" s="9"/>
      <c r="O333" s="22">
        <v>1.5264899999999999</v>
      </c>
      <c r="P333" s="22">
        <v>172.155</v>
      </c>
      <c r="Q333" s="22">
        <v>-1.6052199999999999E-2</v>
      </c>
      <c r="R333" s="22">
        <v>323</v>
      </c>
      <c r="S333" s="22">
        <v>1.5255700000000001</v>
      </c>
      <c r="T333">
        <f t="shared" si="62"/>
        <v>16.052199999999999</v>
      </c>
      <c r="U333">
        <f t="shared" si="63"/>
        <v>24.503522777999997</v>
      </c>
      <c r="X333" s="9"/>
      <c r="Y333" s="22">
        <v>0.17349200000000001</v>
      </c>
      <c r="Z333" s="22">
        <v>257.70800000000003</v>
      </c>
      <c r="AA333" s="22">
        <v>-1.7938200000000001E-2</v>
      </c>
      <c r="AB333" s="22">
        <v>323</v>
      </c>
      <c r="AC333" s="22">
        <v>0.17294300000000001</v>
      </c>
      <c r="AD333">
        <f t="shared" si="64"/>
        <v>17.938200000000002</v>
      </c>
      <c r="AE333">
        <f t="shared" si="65"/>
        <v>3.1121341944000003</v>
      </c>
      <c r="AF333" s="9"/>
      <c r="AG333" s="22">
        <v>1.5264899999999999</v>
      </c>
      <c r="AH333" s="22">
        <v>412.14499999999998</v>
      </c>
      <c r="AI333" s="22">
        <v>-1.5731800000000001E-2</v>
      </c>
      <c r="AJ333" s="22">
        <v>323</v>
      </c>
      <c r="AK333" s="22">
        <v>1.5258799999999999</v>
      </c>
      <c r="AL333">
        <f t="shared" si="66"/>
        <v>15.7318</v>
      </c>
      <c r="AM333">
        <f t="shared" si="67"/>
        <v>24.014435381999998</v>
      </c>
      <c r="AP333" s="9"/>
      <c r="AQ333" s="22">
        <v>0.17349200000000001</v>
      </c>
      <c r="AR333" s="22">
        <v>513.25599999999997</v>
      </c>
      <c r="AS333" s="22">
        <v>-1.7880199999999999E-2</v>
      </c>
      <c r="AT333" s="22">
        <v>323</v>
      </c>
      <c r="AU333" s="22">
        <v>0.17327899999999999</v>
      </c>
      <c r="AV333">
        <f t="shared" si="68"/>
        <v>17.880199999999999</v>
      </c>
      <c r="AW333">
        <f t="shared" si="69"/>
        <v>3.1020716583999999</v>
      </c>
      <c r="AX333" s="9"/>
      <c r="AY333" s="22">
        <v>1.5264899999999999</v>
      </c>
      <c r="AZ333" s="22">
        <v>585.51</v>
      </c>
      <c r="BA333" s="22">
        <v>-1.5438800000000001E-2</v>
      </c>
      <c r="BB333" s="22">
        <v>323</v>
      </c>
      <c r="BC333" s="22">
        <v>1.5255700000000001</v>
      </c>
      <c r="BD333">
        <f t="shared" si="70"/>
        <v>15.438800000000001</v>
      </c>
      <c r="BE333">
        <f t="shared" si="71"/>
        <v>23.567173812</v>
      </c>
    </row>
    <row r="334" spans="6:57">
      <c r="F334" s="9"/>
      <c r="G334" s="22">
        <v>0.168457</v>
      </c>
      <c r="H334" s="22">
        <v>106.29600000000001</v>
      </c>
      <c r="I334" s="22">
        <v>-1.7883300000000001E-2</v>
      </c>
      <c r="J334" s="22">
        <v>324</v>
      </c>
      <c r="K334" s="22">
        <v>0.167847</v>
      </c>
      <c r="L334">
        <f t="shared" si="60"/>
        <v>17.883300000000002</v>
      </c>
      <c r="M334">
        <f t="shared" si="61"/>
        <v>3.0125670681000001</v>
      </c>
      <c r="N334" s="9"/>
      <c r="O334" s="22">
        <v>1.53152</v>
      </c>
      <c r="P334" s="22">
        <v>172.256</v>
      </c>
      <c r="Q334" s="22">
        <v>-1.6003400000000001E-2</v>
      </c>
      <c r="R334" s="22">
        <v>324</v>
      </c>
      <c r="S334" s="22">
        <v>1.5307599999999999</v>
      </c>
      <c r="T334">
        <f t="shared" si="62"/>
        <v>16.003399999999999</v>
      </c>
      <c r="U334">
        <f t="shared" si="63"/>
        <v>24.509527167999998</v>
      </c>
      <c r="X334" s="9"/>
      <c r="Y334" s="22">
        <v>0.168457</v>
      </c>
      <c r="Z334" s="22">
        <v>257.80900000000003</v>
      </c>
      <c r="AA334" s="22">
        <v>-1.7950399999999998E-2</v>
      </c>
      <c r="AB334" s="22">
        <v>324</v>
      </c>
      <c r="AC334" s="22">
        <v>0.16796900000000001</v>
      </c>
      <c r="AD334">
        <f t="shared" si="64"/>
        <v>17.950399999999998</v>
      </c>
      <c r="AE334">
        <f t="shared" si="65"/>
        <v>3.0238705327999997</v>
      </c>
      <c r="AF334" s="9"/>
      <c r="AG334" s="22">
        <v>1.53152</v>
      </c>
      <c r="AH334" s="22">
        <v>412.24599999999998</v>
      </c>
      <c r="AI334" s="22">
        <v>-1.56647E-2</v>
      </c>
      <c r="AJ334" s="22">
        <v>324</v>
      </c>
      <c r="AK334" s="22">
        <v>1.5307599999999999</v>
      </c>
      <c r="AL334">
        <f t="shared" si="66"/>
        <v>15.6647</v>
      </c>
      <c r="AM334">
        <f t="shared" si="67"/>
        <v>23.990801344000001</v>
      </c>
      <c r="AP334" s="9"/>
      <c r="AQ334" s="22">
        <v>0.168457</v>
      </c>
      <c r="AR334" s="22">
        <v>513.35599999999999</v>
      </c>
      <c r="AS334" s="22">
        <v>-1.78894E-2</v>
      </c>
      <c r="AT334" s="22">
        <v>324</v>
      </c>
      <c r="AU334" s="22">
        <v>0.16781599999999999</v>
      </c>
      <c r="AV334">
        <f t="shared" si="68"/>
        <v>17.889399999999998</v>
      </c>
      <c r="AW334">
        <f t="shared" si="69"/>
        <v>3.0135946557999995</v>
      </c>
      <c r="AX334" s="9"/>
      <c r="AY334" s="22">
        <v>1.53152</v>
      </c>
      <c r="AZ334" s="22">
        <v>585.61099999999999</v>
      </c>
      <c r="BA334" s="22">
        <v>-1.53595E-2</v>
      </c>
      <c r="BB334" s="22">
        <v>324</v>
      </c>
      <c r="BC334" s="22">
        <v>1.5307599999999999</v>
      </c>
      <c r="BD334">
        <f t="shared" si="70"/>
        <v>15.359500000000001</v>
      </c>
      <c r="BE334">
        <f t="shared" si="71"/>
        <v>23.523381440000001</v>
      </c>
    </row>
    <row r="335" spans="6:57">
      <c r="F335" s="9"/>
      <c r="G335" s="22">
        <v>0.16342200000000001</v>
      </c>
      <c r="H335" s="22">
        <v>106.396</v>
      </c>
      <c r="I335" s="22">
        <v>-1.78864E-2</v>
      </c>
      <c r="J335" s="22">
        <v>325</v>
      </c>
      <c r="K335" s="22">
        <v>0.16253699999999999</v>
      </c>
      <c r="L335">
        <f t="shared" si="60"/>
        <v>17.886400000000002</v>
      </c>
      <c r="M335">
        <f t="shared" si="61"/>
        <v>2.9230312608000006</v>
      </c>
      <c r="N335" s="9"/>
      <c r="O335" s="22">
        <v>1.5365599999999999</v>
      </c>
      <c r="P335" s="22">
        <v>172.35599999999999</v>
      </c>
      <c r="Q335" s="22">
        <v>-1.59363E-2</v>
      </c>
      <c r="R335" s="22">
        <v>325</v>
      </c>
      <c r="S335" s="22">
        <v>1.5359499999999999</v>
      </c>
      <c r="T335">
        <f t="shared" si="62"/>
        <v>15.936300000000001</v>
      </c>
      <c r="U335">
        <f t="shared" si="63"/>
        <v>24.487081128</v>
      </c>
      <c r="X335" s="9"/>
      <c r="Y335" s="22">
        <v>0.16342200000000001</v>
      </c>
      <c r="Z335" s="22">
        <v>257.91000000000003</v>
      </c>
      <c r="AA335" s="22">
        <v>-1.7950399999999998E-2</v>
      </c>
      <c r="AB335" s="22">
        <v>325</v>
      </c>
      <c r="AC335" s="22">
        <v>0.16308600000000001</v>
      </c>
      <c r="AD335">
        <f t="shared" si="64"/>
        <v>17.950399999999998</v>
      </c>
      <c r="AE335">
        <f t="shared" si="65"/>
        <v>2.9334902688</v>
      </c>
      <c r="AF335" s="9"/>
      <c r="AG335" s="22">
        <v>1.5365599999999999</v>
      </c>
      <c r="AH335" s="22">
        <v>412.346</v>
      </c>
      <c r="AI335" s="22">
        <v>-1.55914E-2</v>
      </c>
      <c r="AJ335" s="22">
        <v>325</v>
      </c>
      <c r="AK335" s="22">
        <v>1.5356399999999999</v>
      </c>
      <c r="AL335">
        <f t="shared" si="66"/>
        <v>15.5914</v>
      </c>
      <c r="AM335">
        <f t="shared" si="67"/>
        <v>23.957121583999999</v>
      </c>
      <c r="AP335" s="9"/>
      <c r="AQ335" s="22">
        <v>0.16342200000000001</v>
      </c>
      <c r="AR335" s="22">
        <v>513.45699999999999</v>
      </c>
      <c r="AS335" s="22">
        <v>-1.78894E-2</v>
      </c>
      <c r="AT335" s="22">
        <v>325</v>
      </c>
      <c r="AU335" s="22">
        <v>0.16287199999999999</v>
      </c>
      <c r="AV335">
        <f t="shared" si="68"/>
        <v>17.889399999999998</v>
      </c>
      <c r="AW335">
        <f t="shared" si="69"/>
        <v>2.9235215268000001</v>
      </c>
      <c r="AX335" s="9"/>
      <c r="AY335" s="22">
        <v>1.5365599999999999</v>
      </c>
      <c r="AZ335" s="22">
        <v>585.71100000000001</v>
      </c>
      <c r="BA335" s="22">
        <v>-1.52832E-2</v>
      </c>
      <c r="BB335" s="22">
        <v>325</v>
      </c>
      <c r="BC335" s="22">
        <v>1.5359499999999999</v>
      </c>
      <c r="BD335">
        <f t="shared" si="70"/>
        <v>15.283200000000001</v>
      </c>
      <c r="BE335">
        <f t="shared" si="71"/>
        <v>23.483553791999999</v>
      </c>
    </row>
    <row r="336" spans="6:57">
      <c r="F336" s="9"/>
      <c r="G336" s="22">
        <v>0.158386</v>
      </c>
      <c r="H336" s="22">
        <v>106.497</v>
      </c>
      <c r="I336" s="22">
        <v>-1.78894E-2</v>
      </c>
      <c r="J336" s="22">
        <v>326</v>
      </c>
      <c r="K336" s="22">
        <v>0.158112</v>
      </c>
      <c r="L336">
        <f t="shared" si="60"/>
        <v>17.889399999999998</v>
      </c>
      <c r="M336">
        <f t="shared" si="61"/>
        <v>2.8334305083999998</v>
      </c>
      <c r="N336" s="9"/>
      <c r="O336" s="22">
        <v>1.5416000000000001</v>
      </c>
      <c r="P336" s="22">
        <v>172.45699999999999</v>
      </c>
      <c r="Q336" s="22">
        <v>-1.5866100000000001E-2</v>
      </c>
      <c r="R336" s="22">
        <v>326</v>
      </c>
      <c r="S336" s="22">
        <v>1.5408299999999999</v>
      </c>
      <c r="T336">
        <f t="shared" si="62"/>
        <v>15.866100000000001</v>
      </c>
      <c r="U336">
        <f t="shared" si="63"/>
        <v>24.459179760000001</v>
      </c>
      <c r="X336" s="9"/>
      <c r="Y336" s="22">
        <v>0.158386</v>
      </c>
      <c r="Z336" s="22">
        <v>258.01</v>
      </c>
      <c r="AA336" s="22">
        <v>-1.7962599999999999E-2</v>
      </c>
      <c r="AB336" s="22">
        <v>326</v>
      </c>
      <c r="AC336" s="22">
        <v>0.15792800000000001</v>
      </c>
      <c r="AD336">
        <f t="shared" si="64"/>
        <v>17.962599999999998</v>
      </c>
      <c r="AE336">
        <f t="shared" si="65"/>
        <v>2.8450243635999999</v>
      </c>
      <c r="AF336" s="9"/>
      <c r="AG336" s="22">
        <v>1.5416000000000001</v>
      </c>
      <c r="AH336" s="22">
        <v>412.447</v>
      </c>
      <c r="AI336" s="22">
        <v>-1.55426E-2</v>
      </c>
      <c r="AJ336" s="22">
        <v>326</v>
      </c>
      <c r="AK336" s="22">
        <v>1.54114</v>
      </c>
      <c r="AL336">
        <f t="shared" si="66"/>
        <v>15.5426</v>
      </c>
      <c r="AM336">
        <f t="shared" si="67"/>
        <v>23.960472160000002</v>
      </c>
      <c r="AP336" s="9"/>
      <c r="AQ336" s="22">
        <v>0.158386</v>
      </c>
      <c r="AR336" s="22">
        <v>513.55799999999999</v>
      </c>
      <c r="AS336" s="22">
        <v>-1.7895500000000002E-2</v>
      </c>
      <c r="AT336" s="22">
        <v>326</v>
      </c>
      <c r="AU336" s="22">
        <v>0.15783700000000001</v>
      </c>
      <c r="AV336">
        <f t="shared" si="68"/>
        <v>17.895500000000002</v>
      </c>
      <c r="AW336">
        <f t="shared" si="69"/>
        <v>2.8343966630000001</v>
      </c>
      <c r="AX336" s="9"/>
      <c r="AY336" s="22">
        <v>1.5416000000000001</v>
      </c>
      <c r="AZ336" s="22">
        <v>585.81200000000001</v>
      </c>
      <c r="BA336" s="22">
        <v>-1.51947E-2</v>
      </c>
      <c r="BB336" s="22">
        <v>326</v>
      </c>
      <c r="BC336" s="22">
        <v>1.5408299999999999</v>
      </c>
      <c r="BD336">
        <f t="shared" si="70"/>
        <v>15.194700000000001</v>
      </c>
      <c r="BE336">
        <f t="shared" si="71"/>
        <v>23.424149520000004</v>
      </c>
    </row>
    <row r="337" spans="6:57">
      <c r="F337" s="9"/>
      <c r="G337" s="22">
        <v>0.15335099999999999</v>
      </c>
      <c r="H337" s="22">
        <v>106.598</v>
      </c>
      <c r="I337" s="22">
        <v>-1.7898600000000001E-2</v>
      </c>
      <c r="J337" s="22">
        <v>327</v>
      </c>
      <c r="K337" s="22">
        <v>0.15273999999999999</v>
      </c>
      <c r="L337">
        <f t="shared" si="60"/>
        <v>17.898600000000002</v>
      </c>
      <c r="M337">
        <f t="shared" si="61"/>
        <v>2.7447682086</v>
      </c>
      <c r="N337" s="9"/>
      <c r="O337" s="22">
        <v>1.5466299999999999</v>
      </c>
      <c r="P337" s="22">
        <v>172.55799999999999</v>
      </c>
      <c r="Q337" s="22">
        <v>-1.5823400000000001E-2</v>
      </c>
      <c r="R337" s="22">
        <v>327</v>
      </c>
      <c r="S337" s="22">
        <v>1.54572</v>
      </c>
      <c r="T337">
        <f t="shared" si="62"/>
        <v>15.823400000000001</v>
      </c>
      <c r="U337">
        <f t="shared" si="63"/>
        <v>24.472945142</v>
      </c>
      <c r="X337" s="9"/>
      <c r="Y337" s="22">
        <v>0.15335099999999999</v>
      </c>
      <c r="Z337" s="22">
        <v>258.11099999999999</v>
      </c>
      <c r="AA337" s="22">
        <v>-1.7959599999999999E-2</v>
      </c>
      <c r="AB337" s="22">
        <v>327</v>
      </c>
      <c r="AC337" s="22">
        <v>0.15277099999999999</v>
      </c>
      <c r="AD337">
        <f t="shared" si="64"/>
        <v>17.959599999999998</v>
      </c>
      <c r="AE337">
        <f t="shared" si="65"/>
        <v>2.7541226195999995</v>
      </c>
      <c r="AF337" s="9"/>
      <c r="AG337" s="22">
        <v>1.5466299999999999</v>
      </c>
      <c r="AH337" s="22">
        <v>412.548</v>
      </c>
      <c r="AI337" s="22">
        <v>-1.5466300000000001E-2</v>
      </c>
      <c r="AJ337" s="22">
        <v>327</v>
      </c>
      <c r="AK337" s="22">
        <v>1.5460199999999999</v>
      </c>
      <c r="AL337">
        <f t="shared" si="66"/>
        <v>15.4663</v>
      </c>
      <c r="AM337">
        <f t="shared" si="67"/>
        <v>23.920643568999999</v>
      </c>
      <c r="AP337" s="9"/>
      <c r="AQ337" s="22">
        <v>0.15335099999999999</v>
      </c>
      <c r="AR337" s="22">
        <v>513.65899999999999</v>
      </c>
      <c r="AS337" s="22">
        <v>-1.79016E-2</v>
      </c>
      <c r="AT337" s="22">
        <v>327</v>
      </c>
      <c r="AU337" s="22">
        <v>0.15267900000000001</v>
      </c>
      <c r="AV337">
        <f t="shared" si="68"/>
        <v>17.901599999999998</v>
      </c>
      <c r="AW337">
        <f t="shared" si="69"/>
        <v>2.7452282615999994</v>
      </c>
      <c r="AX337" s="9"/>
      <c r="AY337" s="22">
        <v>1.5466299999999999</v>
      </c>
      <c r="AZ337" s="22">
        <v>585.91300000000001</v>
      </c>
      <c r="BA337" s="22">
        <v>-1.5115399999999999E-2</v>
      </c>
      <c r="BB337" s="22">
        <v>327</v>
      </c>
      <c r="BC337" s="22">
        <v>1.54541</v>
      </c>
      <c r="BD337">
        <f t="shared" si="70"/>
        <v>15.115399999999999</v>
      </c>
      <c r="BE337">
        <f t="shared" si="71"/>
        <v>23.377931101999998</v>
      </c>
    </row>
    <row r="338" spans="6:57">
      <c r="F338" s="9"/>
      <c r="G338" s="22">
        <v>0.148315</v>
      </c>
      <c r="H338" s="22">
        <v>106.69799999999999</v>
      </c>
      <c r="I338" s="22">
        <v>-1.7898600000000001E-2</v>
      </c>
      <c r="J338" s="22">
        <v>328</v>
      </c>
      <c r="K338" s="22">
        <v>0.14779700000000001</v>
      </c>
      <c r="L338">
        <f t="shared" si="60"/>
        <v>17.898600000000002</v>
      </c>
      <c r="M338">
        <f t="shared" si="61"/>
        <v>2.6546308590000005</v>
      </c>
      <c r="N338" s="9"/>
      <c r="O338" s="22">
        <v>1.5516700000000001</v>
      </c>
      <c r="P338" s="22">
        <v>172.65799999999999</v>
      </c>
      <c r="Q338" s="22">
        <v>-1.5731800000000001E-2</v>
      </c>
      <c r="R338" s="22">
        <v>328</v>
      </c>
      <c r="S338" s="22">
        <v>1.5508999999999999</v>
      </c>
      <c r="T338">
        <f t="shared" si="62"/>
        <v>15.7318</v>
      </c>
      <c r="U338">
        <f t="shared" si="63"/>
        <v>24.410562106</v>
      </c>
      <c r="X338" s="9"/>
      <c r="Y338" s="22">
        <v>0.148315</v>
      </c>
      <c r="Z338" s="22">
        <v>258.21199999999999</v>
      </c>
      <c r="AA338" s="22">
        <v>-1.7965700000000001E-2</v>
      </c>
      <c r="AB338" s="22">
        <v>328</v>
      </c>
      <c r="AC338" s="22">
        <v>0.14779700000000001</v>
      </c>
      <c r="AD338">
        <f t="shared" si="64"/>
        <v>17.965700000000002</v>
      </c>
      <c r="AE338">
        <f t="shared" si="65"/>
        <v>2.6645827955000003</v>
      </c>
      <c r="AF338" s="9"/>
      <c r="AG338" s="22">
        <v>1.5516700000000001</v>
      </c>
      <c r="AH338" s="22">
        <v>412.649</v>
      </c>
      <c r="AI338" s="22">
        <v>-1.53778E-2</v>
      </c>
      <c r="AJ338" s="22">
        <v>328</v>
      </c>
      <c r="AK338" s="22">
        <v>1.5508999999999999</v>
      </c>
      <c r="AL338">
        <f t="shared" si="66"/>
        <v>15.377800000000001</v>
      </c>
      <c r="AM338">
        <f t="shared" si="67"/>
        <v>23.861270926000003</v>
      </c>
      <c r="AP338" s="9"/>
      <c r="AQ338" s="22">
        <v>0.148315</v>
      </c>
      <c r="AR338" s="22">
        <v>513.75900000000001</v>
      </c>
      <c r="AS338" s="22">
        <v>-1.7907699999999999E-2</v>
      </c>
      <c r="AT338" s="22">
        <v>328</v>
      </c>
      <c r="AU338" s="22">
        <v>0.14776600000000001</v>
      </c>
      <c r="AV338">
        <f t="shared" si="68"/>
        <v>17.907699999999998</v>
      </c>
      <c r="AW338">
        <f t="shared" si="69"/>
        <v>2.6559805255</v>
      </c>
      <c r="AX338" s="9"/>
      <c r="AY338" s="22">
        <v>1.5516700000000001</v>
      </c>
      <c r="AZ338" s="22">
        <v>586.01300000000003</v>
      </c>
      <c r="BA338" s="22">
        <v>-1.4996300000000001E-2</v>
      </c>
      <c r="BB338" s="22">
        <v>328</v>
      </c>
      <c r="BC338" s="22">
        <v>1.5508999999999999</v>
      </c>
      <c r="BD338">
        <f t="shared" si="70"/>
        <v>14.9963</v>
      </c>
      <c r="BE338">
        <f t="shared" si="71"/>
        <v>23.269308821000003</v>
      </c>
    </row>
    <row r="339" spans="6:57">
      <c r="F339" s="9"/>
      <c r="G339" s="22">
        <v>0.14327999999999999</v>
      </c>
      <c r="H339" s="22">
        <v>106.79900000000001</v>
      </c>
      <c r="I339" s="22">
        <v>-1.79016E-2</v>
      </c>
      <c r="J339" s="22">
        <v>329</v>
      </c>
      <c r="K339" s="22">
        <v>0.142792</v>
      </c>
      <c r="L339">
        <f t="shared" si="60"/>
        <v>17.901599999999998</v>
      </c>
      <c r="M339">
        <f t="shared" si="61"/>
        <v>2.5649412479999998</v>
      </c>
      <c r="N339" s="9"/>
      <c r="O339" s="22">
        <v>1.5567</v>
      </c>
      <c r="P339" s="22">
        <v>172.75899999999999</v>
      </c>
      <c r="Q339" s="22">
        <v>-1.5658600000000002E-2</v>
      </c>
      <c r="R339" s="22">
        <v>329</v>
      </c>
      <c r="S339" s="22">
        <v>1.55609</v>
      </c>
      <c r="T339">
        <f t="shared" si="62"/>
        <v>15.658600000000002</v>
      </c>
      <c r="U339">
        <f t="shared" si="63"/>
        <v>24.37574262</v>
      </c>
      <c r="X339" s="9"/>
      <c r="Y339" s="22">
        <v>0.14327999999999999</v>
      </c>
      <c r="Z339" s="22">
        <v>258.31299999999999</v>
      </c>
      <c r="AA339" s="22">
        <v>-1.7962599999999999E-2</v>
      </c>
      <c r="AB339" s="22">
        <v>329</v>
      </c>
      <c r="AC339" s="22">
        <v>0.14285300000000001</v>
      </c>
      <c r="AD339">
        <f t="shared" si="64"/>
        <v>17.962599999999998</v>
      </c>
      <c r="AE339">
        <f t="shared" si="65"/>
        <v>2.5736813279999997</v>
      </c>
      <c r="AF339" s="9"/>
      <c r="AG339" s="22">
        <v>1.5567</v>
      </c>
      <c r="AH339" s="22">
        <v>412.74900000000002</v>
      </c>
      <c r="AI339" s="22">
        <v>-1.52832E-2</v>
      </c>
      <c r="AJ339" s="22">
        <v>329</v>
      </c>
      <c r="AK339" s="22">
        <v>1.55609</v>
      </c>
      <c r="AL339">
        <f t="shared" si="66"/>
        <v>15.283200000000001</v>
      </c>
      <c r="AM339">
        <f t="shared" si="67"/>
        <v>23.791357440000002</v>
      </c>
      <c r="AP339" s="9"/>
      <c r="AQ339" s="22">
        <v>0.14327999999999999</v>
      </c>
      <c r="AR339" s="22">
        <v>513.86</v>
      </c>
      <c r="AS339" s="22">
        <v>-1.7910800000000001E-2</v>
      </c>
      <c r="AT339" s="22">
        <v>329</v>
      </c>
      <c r="AU339" s="22">
        <v>0.142731</v>
      </c>
      <c r="AV339">
        <f t="shared" si="68"/>
        <v>17.910800000000002</v>
      </c>
      <c r="AW339">
        <f t="shared" si="69"/>
        <v>2.5662594240000001</v>
      </c>
      <c r="AX339" s="9"/>
      <c r="AY339" s="22">
        <v>1.5567</v>
      </c>
      <c r="AZ339" s="22">
        <v>586.11400000000003</v>
      </c>
      <c r="BA339" s="22">
        <v>-1.48804E-2</v>
      </c>
      <c r="BB339" s="22">
        <v>329</v>
      </c>
      <c r="BC339" s="22">
        <v>1.55609</v>
      </c>
      <c r="BD339">
        <f t="shared" si="70"/>
        <v>14.8804</v>
      </c>
      <c r="BE339">
        <f t="shared" si="71"/>
        <v>23.164318680000001</v>
      </c>
    </row>
    <row r="340" spans="6:57">
      <c r="F340" s="9"/>
      <c r="G340" s="22">
        <v>0.13824500000000001</v>
      </c>
      <c r="H340" s="22">
        <v>106.9</v>
      </c>
      <c r="I340" s="22">
        <v>-1.7907699999999999E-2</v>
      </c>
      <c r="J340" s="22">
        <v>330</v>
      </c>
      <c r="K340" s="22">
        <v>0.13775599999999999</v>
      </c>
      <c r="L340">
        <f t="shared" si="60"/>
        <v>17.907699999999998</v>
      </c>
      <c r="M340">
        <f t="shared" si="61"/>
        <v>2.4756499865000001</v>
      </c>
      <c r="N340" s="9"/>
      <c r="O340" s="22">
        <v>1.5617399999999999</v>
      </c>
      <c r="P340" s="22">
        <v>172.86</v>
      </c>
      <c r="Q340" s="22">
        <v>-1.55762E-2</v>
      </c>
      <c r="R340" s="22">
        <v>330</v>
      </c>
      <c r="S340" s="22">
        <v>1.56067</v>
      </c>
      <c r="T340">
        <f t="shared" si="62"/>
        <v>15.5762</v>
      </c>
      <c r="U340">
        <f t="shared" si="63"/>
        <v>24.325974587999998</v>
      </c>
      <c r="X340" s="9"/>
      <c r="Y340" s="22">
        <v>0.13824500000000001</v>
      </c>
      <c r="Z340" s="22">
        <v>258.41300000000001</v>
      </c>
      <c r="AA340" s="22">
        <v>-1.7965700000000001E-2</v>
      </c>
      <c r="AB340" s="22">
        <v>330</v>
      </c>
      <c r="AC340" s="22">
        <v>0.13772599999999999</v>
      </c>
      <c r="AD340">
        <f t="shared" si="64"/>
        <v>17.965700000000002</v>
      </c>
      <c r="AE340">
        <f t="shared" si="65"/>
        <v>2.4836681965000005</v>
      </c>
      <c r="AF340" s="9"/>
      <c r="AG340" s="22">
        <v>1.5617399999999999</v>
      </c>
      <c r="AH340" s="22">
        <v>412.85</v>
      </c>
      <c r="AI340" s="22">
        <v>-1.51947E-2</v>
      </c>
      <c r="AJ340" s="22">
        <v>330</v>
      </c>
      <c r="AK340" s="22">
        <v>1.56128</v>
      </c>
      <c r="AL340">
        <f t="shared" si="66"/>
        <v>15.194700000000001</v>
      </c>
      <c r="AM340">
        <f t="shared" si="67"/>
        <v>23.730170778000002</v>
      </c>
      <c r="AP340" s="9"/>
      <c r="AQ340" s="22">
        <v>0.13824500000000001</v>
      </c>
      <c r="AR340" s="22">
        <v>513.96100000000001</v>
      </c>
      <c r="AS340" s="22">
        <v>-1.7910800000000001E-2</v>
      </c>
      <c r="AT340" s="22">
        <v>330</v>
      </c>
      <c r="AU340" s="22">
        <v>0.13763400000000001</v>
      </c>
      <c r="AV340">
        <f t="shared" si="68"/>
        <v>17.910800000000002</v>
      </c>
      <c r="AW340">
        <f t="shared" si="69"/>
        <v>2.4760785460000005</v>
      </c>
      <c r="AX340" s="9"/>
      <c r="AY340" s="22">
        <v>1.5617399999999999</v>
      </c>
      <c r="AZ340" s="22">
        <v>586.21500000000003</v>
      </c>
      <c r="BA340" s="22">
        <v>-1.47583E-2</v>
      </c>
      <c r="BB340" s="22">
        <v>330</v>
      </c>
      <c r="BC340" s="22">
        <v>1.56128</v>
      </c>
      <c r="BD340">
        <f t="shared" si="70"/>
        <v>14.7583</v>
      </c>
      <c r="BE340">
        <f t="shared" si="71"/>
        <v>23.048627441999997</v>
      </c>
    </row>
    <row r="341" spans="6:57">
      <c r="F341" s="9"/>
      <c r="G341" s="22">
        <v>0.13320899999999999</v>
      </c>
      <c r="H341" s="22">
        <v>107.001</v>
      </c>
      <c r="I341" s="22">
        <v>-1.7907699999999999E-2</v>
      </c>
      <c r="J341" s="22">
        <v>331</v>
      </c>
      <c r="K341" s="22">
        <v>0.13269</v>
      </c>
      <c r="L341">
        <f t="shared" si="60"/>
        <v>17.907699999999998</v>
      </c>
      <c r="M341">
        <f t="shared" si="61"/>
        <v>2.3854668092999995</v>
      </c>
      <c r="N341" s="9"/>
      <c r="O341" s="22">
        <v>1.56677</v>
      </c>
      <c r="P341" s="22">
        <v>172.96100000000001</v>
      </c>
      <c r="Q341" s="22">
        <v>-1.5478499999999999E-2</v>
      </c>
      <c r="R341" s="22">
        <v>331</v>
      </c>
      <c r="S341" s="22">
        <v>1.56586</v>
      </c>
      <c r="T341">
        <f t="shared" si="62"/>
        <v>15.478499999999999</v>
      </c>
      <c r="U341">
        <f t="shared" si="63"/>
        <v>24.251249444999999</v>
      </c>
      <c r="X341" s="9"/>
      <c r="Y341" s="22">
        <v>0.13320899999999999</v>
      </c>
      <c r="Z341" s="22">
        <v>258.51400000000001</v>
      </c>
      <c r="AA341" s="22">
        <v>-1.79688E-2</v>
      </c>
      <c r="AB341" s="22">
        <v>331</v>
      </c>
      <c r="AC341" s="22">
        <v>0.13253799999999999</v>
      </c>
      <c r="AD341">
        <f t="shared" si="64"/>
        <v>17.968800000000002</v>
      </c>
      <c r="AE341">
        <f t="shared" si="65"/>
        <v>2.3936058791999999</v>
      </c>
      <c r="AF341" s="9"/>
      <c r="AG341" s="22">
        <v>1.56677</v>
      </c>
      <c r="AH341" s="22">
        <v>412.95100000000002</v>
      </c>
      <c r="AI341" s="22">
        <v>-1.51215E-2</v>
      </c>
      <c r="AJ341" s="22">
        <v>331</v>
      </c>
      <c r="AK341" s="22">
        <v>1.56616</v>
      </c>
      <c r="AL341">
        <f t="shared" si="66"/>
        <v>15.121499999999999</v>
      </c>
      <c r="AM341">
        <f t="shared" si="67"/>
        <v>23.691912554999998</v>
      </c>
      <c r="AP341" s="9"/>
      <c r="AQ341" s="22">
        <v>0.13320899999999999</v>
      </c>
      <c r="AR341" s="22">
        <v>514.06100000000004</v>
      </c>
      <c r="AS341" s="22">
        <v>-1.7923000000000001E-2</v>
      </c>
      <c r="AT341" s="22">
        <v>331</v>
      </c>
      <c r="AU341" s="22">
        <v>0.13256799999999999</v>
      </c>
      <c r="AV341">
        <f t="shared" si="68"/>
        <v>17.923000000000002</v>
      </c>
      <c r="AW341">
        <f t="shared" si="69"/>
        <v>2.3875049070000003</v>
      </c>
      <c r="AX341" s="9"/>
      <c r="AY341" s="22">
        <v>1.56677</v>
      </c>
      <c r="AZ341" s="22">
        <v>586.31600000000003</v>
      </c>
      <c r="BA341" s="22">
        <v>-1.4624E-2</v>
      </c>
      <c r="BB341" s="22">
        <v>331</v>
      </c>
      <c r="BC341" s="22">
        <v>1.56555</v>
      </c>
      <c r="BD341">
        <f t="shared" si="70"/>
        <v>14.624000000000001</v>
      </c>
      <c r="BE341">
        <f t="shared" si="71"/>
        <v>22.912444480000001</v>
      </c>
    </row>
    <row r="342" spans="6:57">
      <c r="F342" s="9"/>
      <c r="G342" s="22">
        <v>0.12817400000000001</v>
      </c>
      <c r="H342" s="22">
        <v>107.101</v>
      </c>
      <c r="I342" s="22">
        <v>-1.7910800000000001E-2</v>
      </c>
      <c r="J342" s="22">
        <v>332</v>
      </c>
      <c r="K342" s="22">
        <v>0.127502</v>
      </c>
      <c r="L342">
        <f t="shared" si="60"/>
        <v>17.910800000000002</v>
      </c>
      <c r="M342">
        <f t="shared" si="61"/>
        <v>2.2956988792000006</v>
      </c>
      <c r="N342" s="9"/>
      <c r="O342" s="22">
        <v>1.5718099999999999</v>
      </c>
      <c r="P342" s="22">
        <v>173.06100000000001</v>
      </c>
      <c r="Q342" s="22">
        <v>-1.53717E-2</v>
      </c>
      <c r="R342" s="22">
        <v>332</v>
      </c>
      <c r="S342" s="22">
        <v>1.57135</v>
      </c>
      <c r="T342">
        <f t="shared" si="62"/>
        <v>15.371700000000001</v>
      </c>
      <c r="U342">
        <f t="shared" si="63"/>
        <v>24.161391776999999</v>
      </c>
      <c r="X342" s="9"/>
      <c r="Y342" s="22">
        <v>0.12817400000000001</v>
      </c>
      <c r="Z342" s="22">
        <v>258.61500000000001</v>
      </c>
      <c r="AA342" s="22">
        <v>-1.7977900000000002E-2</v>
      </c>
      <c r="AB342" s="22">
        <v>332</v>
      </c>
      <c r="AC342" s="22">
        <v>0.12722800000000001</v>
      </c>
      <c r="AD342">
        <f t="shared" si="64"/>
        <v>17.977900000000002</v>
      </c>
      <c r="AE342">
        <f t="shared" si="65"/>
        <v>2.3042993546000003</v>
      </c>
      <c r="AF342" s="9"/>
      <c r="AG342" s="22">
        <v>1.5718099999999999</v>
      </c>
      <c r="AH342" s="22">
        <v>413.05099999999999</v>
      </c>
      <c r="AI342" s="22">
        <v>-1.49994E-2</v>
      </c>
      <c r="AJ342" s="22">
        <v>332</v>
      </c>
      <c r="AK342" s="22">
        <v>1.57135</v>
      </c>
      <c r="AL342">
        <f t="shared" si="66"/>
        <v>14.9994</v>
      </c>
      <c r="AM342">
        <f t="shared" si="67"/>
        <v>23.576206913999997</v>
      </c>
      <c r="AP342" s="9"/>
      <c r="AQ342" s="22">
        <v>0.12817400000000001</v>
      </c>
      <c r="AR342" s="22">
        <v>514.16200000000003</v>
      </c>
      <c r="AS342" s="22">
        <v>-1.7923000000000001E-2</v>
      </c>
      <c r="AT342" s="22">
        <v>332</v>
      </c>
      <c r="AU342" s="22">
        <v>0.12762499999999999</v>
      </c>
      <c r="AV342">
        <f t="shared" si="68"/>
        <v>17.923000000000002</v>
      </c>
      <c r="AW342">
        <f t="shared" si="69"/>
        <v>2.2972626020000004</v>
      </c>
      <c r="AX342" s="9"/>
      <c r="AY342" s="22">
        <v>1.5718099999999999</v>
      </c>
      <c r="AZ342" s="22">
        <v>586.41600000000005</v>
      </c>
      <c r="BA342" s="22">
        <v>-1.4489699999999999E-2</v>
      </c>
      <c r="BB342" s="22">
        <v>332</v>
      </c>
      <c r="BC342" s="22">
        <v>1.57135</v>
      </c>
      <c r="BD342">
        <f t="shared" si="70"/>
        <v>14.489699999999999</v>
      </c>
      <c r="BE342">
        <f t="shared" si="71"/>
        <v>22.775055356999999</v>
      </c>
    </row>
    <row r="343" spans="6:57">
      <c r="F343" s="9"/>
      <c r="G343" s="22">
        <v>0.123138</v>
      </c>
      <c r="H343" s="22">
        <v>107.202</v>
      </c>
      <c r="I343" s="22">
        <v>-1.7907699999999999E-2</v>
      </c>
      <c r="J343" s="22">
        <v>333</v>
      </c>
      <c r="K343" s="22">
        <v>0.122711</v>
      </c>
      <c r="L343">
        <f t="shared" si="60"/>
        <v>17.907699999999998</v>
      </c>
      <c r="M343">
        <f t="shared" si="61"/>
        <v>2.2051183625999999</v>
      </c>
      <c r="N343" s="9"/>
      <c r="O343" s="22">
        <v>1.57684</v>
      </c>
      <c r="P343" s="22">
        <v>173.16200000000001</v>
      </c>
      <c r="Q343" s="22">
        <v>-1.5261800000000001E-2</v>
      </c>
      <c r="R343" s="22">
        <v>333</v>
      </c>
      <c r="S343" s="22">
        <v>1.5765400000000001</v>
      </c>
      <c r="T343">
        <f t="shared" si="62"/>
        <v>15.261800000000001</v>
      </c>
      <c r="U343">
        <f t="shared" si="63"/>
        <v>24.065416712000001</v>
      </c>
      <c r="X343" s="9"/>
      <c r="Y343" s="22">
        <v>0.123138</v>
      </c>
      <c r="Z343" s="22">
        <v>258.71499999999997</v>
      </c>
      <c r="AA343" s="22">
        <v>-1.7981E-2</v>
      </c>
      <c r="AB343" s="22">
        <v>333</v>
      </c>
      <c r="AC343" s="22">
        <v>0.122742</v>
      </c>
      <c r="AD343">
        <f t="shared" si="64"/>
        <v>17.981000000000002</v>
      </c>
      <c r="AE343">
        <f t="shared" si="65"/>
        <v>2.2141443780000003</v>
      </c>
      <c r="AF343" s="9"/>
      <c r="AG343" s="22">
        <v>1.57684</v>
      </c>
      <c r="AH343" s="22">
        <v>413.15199999999999</v>
      </c>
      <c r="AI343" s="22">
        <v>-1.4865099999999999E-2</v>
      </c>
      <c r="AJ343" s="22">
        <v>333</v>
      </c>
      <c r="AK343" s="22">
        <v>1.57623</v>
      </c>
      <c r="AL343">
        <f t="shared" si="66"/>
        <v>14.8651</v>
      </c>
      <c r="AM343">
        <f t="shared" si="67"/>
        <v>23.439884284000001</v>
      </c>
      <c r="AP343" s="9"/>
      <c r="AQ343" s="22">
        <v>0.123138</v>
      </c>
      <c r="AR343" s="22">
        <v>514.26300000000003</v>
      </c>
      <c r="AS343" s="22">
        <v>-1.7919899999999999E-2</v>
      </c>
      <c r="AT343" s="22">
        <v>333</v>
      </c>
      <c r="AU343" s="22">
        <v>0.12262000000000001</v>
      </c>
      <c r="AV343">
        <f t="shared" si="68"/>
        <v>17.919899999999998</v>
      </c>
      <c r="AW343">
        <f t="shared" si="69"/>
        <v>2.2066206461999998</v>
      </c>
      <c r="AX343" s="9"/>
      <c r="AY343" s="22">
        <v>1.57684</v>
      </c>
      <c r="AZ343" s="22">
        <v>586.51700000000005</v>
      </c>
      <c r="BA343" s="22">
        <v>-1.43616E-2</v>
      </c>
      <c r="BB343" s="22">
        <v>333</v>
      </c>
      <c r="BC343" s="22">
        <v>1.5759300000000001</v>
      </c>
      <c r="BD343">
        <f t="shared" si="70"/>
        <v>14.361600000000001</v>
      </c>
      <c r="BE343">
        <f t="shared" si="71"/>
        <v>22.645945344000001</v>
      </c>
    </row>
    <row r="344" spans="6:57">
      <c r="F344" s="9"/>
      <c r="G344" s="22">
        <v>0.118103</v>
      </c>
      <c r="H344" s="22">
        <v>107.303</v>
      </c>
      <c r="I344" s="22">
        <v>-1.7913800000000001E-2</v>
      </c>
      <c r="J344" s="22">
        <v>334</v>
      </c>
      <c r="K344" s="22">
        <v>0.117615</v>
      </c>
      <c r="L344">
        <f t="shared" si="60"/>
        <v>17.913800000000002</v>
      </c>
      <c r="M344">
        <f t="shared" si="61"/>
        <v>2.1156735214000002</v>
      </c>
      <c r="N344" s="9"/>
      <c r="O344" s="22">
        <v>1.58188</v>
      </c>
      <c r="P344" s="22">
        <v>173.26300000000001</v>
      </c>
      <c r="Q344" s="22">
        <v>-1.5164199999999999E-2</v>
      </c>
      <c r="R344" s="22">
        <v>334</v>
      </c>
      <c r="S344" s="22">
        <v>1.58081</v>
      </c>
      <c r="T344">
        <f t="shared" si="62"/>
        <v>15.164199999999999</v>
      </c>
      <c r="U344">
        <f t="shared" si="63"/>
        <v>23.987944696</v>
      </c>
      <c r="X344" s="9"/>
      <c r="Y344" s="22">
        <v>0.118103</v>
      </c>
      <c r="Z344" s="22">
        <v>258.81599999999997</v>
      </c>
      <c r="AA344" s="22">
        <v>-1.7987099999999999E-2</v>
      </c>
      <c r="AB344" s="22">
        <v>334</v>
      </c>
      <c r="AC344" s="22">
        <v>0.11758399999999999</v>
      </c>
      <c r="AD344">
        <f t="shared" si="64"/>
        <v>17.987099999999998</v>
      </c>
      <c r="AE344">
        <f t="shared" si="65"/>
        <v>2.1243304713</v>
      </c>
      <c r="AF344" s="9"/>
      <c r="AG344" s="22">
        <v>1.58188</v>
      </c>
      <c r="AH344" s="22">
        <v>413.25299999999999</v>
      </c>
      <c r="AI344" s="22">
        <v>-1.4715600000000001E-2</v>
      </c>
      <c r="AJ344" s="22">
        <v>334</v>
      </c>
      <c r="AK344" s="22">
        <v>1.5811200000000001</v>
      </c>
      <c r="AL344">
        <f t="shared" si="66"/>
        <v>14.7156</v>
      </c>
      <c r="AM344">
        <f t="shared" si="67"/>
        <v>23.278313327999999</v>
      </c>
      <c r="AP344" s="9"/>
      <c r="AQ344" s="22">
        <v>0.118103</v>
      </c>
      <c r="AR344" s="22">
        <v>514.36400000000003</v>
      </c>
      <c r="AS344" s="22">
        <v>-1.7935199999999998E-2</v>
      </c>
      <c r="AT344" s="22">
        <v>334</v>
      </c>
      <c r="AU344" s="22">
        <v>0.117645</v>
      </c>
      <c r="AV344">
        <f t="shared" si="68"/>
        <v>17.935199999999998</v>
      </c>
      <c r="AW344">
        <f t="shared" si="69"/>
        <v>2.1182009255999996</v>
      </c>
      <c r="AX344" s="9"/>
      <c r="AY344" s="22">
        <v>1.58188</v>
      </c>
      <c r="AZ344" s="22">
        <v>586.61800000000005</v>
      </c>
      <c r="BA344" s="22">
        <v>-1.41998E-2</v>
      </c>
      <c r="BB344" s="22">
        <v>334</v>
      </c>
      <c r="BC344" s="22">
        <v>1.58081</v>
      </c>
      <c r="BD344">
        <f t="shared" si="70"/>
        <v>14.1998</v>
      </c>
      <c r="BE344">
        <f t="shared" si="71"/>
        <v>22.462379624</v>
      </c>
    </row>
    <row r="345" spans="6:57">
      <c r="F345" s="9"/>
      <c r="G345" s="22">
        <v>0.113068</v>
      </c>
      <c r="H345" s="22">
        <v>107.40300000000001</v>
      </c>
      <c r="I345" s="22">
        <v>-1.7919899999999999E-2</v>
      </c>
      <c r="J345" s="22">
        <v>335</v>
      </c>
      <c r="K345" s="22">
        <v>0.11251800000000001</v>
      </c>
      <c r="L345">
        <f t="shared" si="60"/>
        <v>17.919899999999998</v>
      </c>
      <c r="M345">
        <f t="shared" si="61"/>
        <v>2.0261672531999997</v>
      </c>
      <c r="N345" s="9"/>
      <c r="O345" s="22">
        <v>1.58691</v>
      </c>
      <c r="P345" s="22">
        <v>173.363</v>
      </c>
      <c r="Q345" s="22">
        <v>-1.50391E-2</v>
      </c>
      <c r="R345" s="22">
        <v>335</v>
      </c>
      <c r="S345" s="22">
        <v>1.58569</v>
      </c>
      <c r="T345">
        <f t="shared" si="62"/>
        <v>15.039099999999999</v>
      </c>
      <c r="U345">
        <f t="shared" si="63"/>
        <v>23.865698180999999</v>
      </c>
      <c r="X345" s="9"/>
      <c r="Y345" s="22">
        <v>0.113068</v>
      </c>
      <c r="Z345" s="22">
        <v>258.91699999999997</v>
      </c>
      <c r="AA345" s="22">
        <v>-1.7993200000000001E-2</v>
      </c>
      <c r="AB345" s="22">
        <v>335</v>
      </c>
      <c r="AC345" s="22">
        <v>0.112915</v>
      </c>
      <c r="AD345">
        <f t="shared" si="64"/>
        <v>17.993200000000002</v>
      </c>
      <c r="AE345">
        <f t="shared" si="65"/>
        <v>2.0344551376000002</v>
      </c>
      <c r="AF345" s="9"/>
      <c r="AG345" s="22">
        <v>1.58691</v>
      </c>
      <c r="AH345" s="22">
        <v>413.35399999999998</v>
      </c>
      <c r="AI345" s="22">
        <v>-1.4559900000000001E-2</v>
      </c>
      <c r="AJ345" s="22">
        <v>335</v>
      </c>
      <c r="AK345" s="22">
        <v>1.5860000000000001</v>
      </c>
      <c r="AL345">
        <f t="shared" si="66"/>
        <v>14.559900000000001</v>
      </c>
      <c r="AM345">
        <f t="shared" si="67"/>
        <v>23.105250909000002</v>
      </c>
      <c r="AP345" s="9"/>
      <c r="AQ345" s="22">
        <v>0.113068</v>
      </c>
      <c r="AR345" s="22">
        <v>514.46400000000006</v>
      </c>
      <c r="AS345" s="22">
        <v>-1.7932099999999999E-2</v>
      </c>
      <c r="AT345" s="22">
        <v>335</v>
      </c>
      <c r="AU345" s="22">
        <v>0.112549</v>
      </c>
      <c r="AV345">
        <f t="shared" si="68"/>
        <v>17.932099999999998</v>
      </c>
      <c r="AW345">
        <f t="shared" si="69"/>
        <v>2.0275466827999997</v>
      </c>
      <c r="AX345" s="9"/>
      <c r="AY345" s="22">
        <v>1.58691</v>
      </c>
      <c r="AZ345" s="22">
        <v>586.71799999999996</v>
      </c>
      <c r="BA345" s="22">
        <v>-1.40442E-2</v>
      </c>
      <c r="BB345" s="22">
        <v>335</v>
      </c>
      <c r="BC345" s="22">
        <v>1.5863</v>
      </c>
      <c r="BD345">
        <f t="shared" si="70"/>
        <v>14.0442</v>
      </c>
      <c r="BE345">
        <f t="shared" si="71"/>
        <v>22.286881422</v>
      </c>
    </row>
    <row r="346" spans="6:57">
      <c r="F346" s="9"/>
      <c r="G346" s="22">
        <v>0.108032</v>
      </c>
      <c r="H346" s="22">
        <v>107.504</v>
      </c>
      <c r="I346" s="22">
        <v>-1.7923000000000001E-2</v>
      </c>
      <c r="J346" s="22">
        <v>336</v>
      </c>
      <c r="K346" s="22">
        <v>0.107574</v>
      </c>
      <c r="L346">
        <f t="shared" si="60"/>
        <v>17.923000000000002</v>
      </c>
      <c r="M346">
        <f t="shared" si="61"/>
        <v>1.9362575360000003</v>
      </c>
      <c r="N346" s="9"/>
      <c r="O346" s="22">
        <v>1.59195</v>
      </c>
      <c r="P346" s="22">
        <v>173.464</v>
      </c>
      <c r="Q346" s="22">
        <v>-1.4913900000000001E-2</v>
      </c>
      <c r="R346" s="22">
        <v>336</v>
      </c>
      <c r="S346" s="22">
        <v>1.5914900000000001</v>
      </c>
      <c r="T346">
        <f t="shared" si="62"/>
        <v>14.9139</v>
      </c>
      <c r="U346">
        <f t="shared" si="63"/>
        <v>23.742183104999999</v>
      </c>
      <c r="X346" s="9"/>
      <c r="Y346" s="22">
        <v>0.108032</v>
      </c>
      <c r="Z346" s="22">
        <v>259.01799999999997</v>
      </c>
      <c r="AA346" s="22">
        <v>-1.8002299999999999E-2</v>
      </c>
      <c r="AB346" s="22">
        <v>336</v>
      </c>
      <c r="AC346" s="22">
        <v>0.10763499999999999</v>
      </c>
      <c r="AD346">
        <f t="shared" si="64"/>
        <v>18.002299999999998</v>
      </c>
      <c r="AE346">
        <f t="shared" si="65"/>
        <v>1.9448244735999998</v>
      </c>
      <c r="AF346" s="9"/>
      <c r="AG346" s="22">
        <v>1.59195</v>
      </c>
      <c r="AH346" s="22">
        <v>413.45400000000001</v>
      </c>
      <c r="AI346" s="22">
        <v>-1.4379899999999999E-2</v>
      </c>
      <c r="AJ346" s="22">
        <v>336</v>
      </c>
      <c r="AK346" s="22">
        <v>1.5911900000000001</v>
      </c>
      <c r="AL346">
        <f t="shared" si="66"/>
        <v>14.379899999999999</v>
      </c>
      <c r="AM346">
        <f t="shared" si="67"/>
        <v>22.892081805</v>
      </c>
      <c r="AP346" s="9"/>
      <c r="AQ346" s="22">
        <v>0.108032</v>
      </c>
      <c r="AR346" s="22">
        <v>514.56500000000005</v>
      </c>
      <c r="AS346" s="22">
        <v>-1.7938200000000001E-2</v>
      </c>
      <c r="AT346" s="22">
        <v>336</v>
      </c>
      <c r="AU346" s="22">
        <v>0.107361</v>
      </c>
      <c r="AV346">
        <f t="shared" si="68"/>
        <v>17.938200000000002</v>
      </c>
      <c r="AW346">
        <f t="shared" si="69"/>
        <v>1.9378996224000002</v>
      </c>
      <c r="AX346" s="9"/>
      <c r="AY346" s="22">
        <v>1.59195</v>
      </c>
      <c r="AZ346" s="22">
        <v>586.81899999999996</v>
      </c>
      <c r="BA346" s="22">
        <v>-1.38672E-2</v>
      </c>
      <c r="BB346" s="22">
        <v>336</v>
      </c>
      <c r="BC346" s="22">
        <v>1.5918000000000001</v>
      </c>
      <c r="BD346">
        <f t="shared" si="70"/>
        <v>13.8672</v>
      </c>
      <c r="BE346">
        <f t="shared" si="71"/>
        <v>22.07588904</v>
      </c>
    </row>
    <row r="347" spans="6:57">
      <c r="F347" s="9"/>
      <c r="G347" s="22">
        <v>0.10299700000000001</v>
      </c>
      <c r="H347" s="22">
        <v>107.605</v>
      </c>
      <c r="I347" s="22">
        <v>-1.79291E-2</v>
      </c>
      <c r="J347" s="22">
        <v>337</v>
      </c>
      <c r="K347" s="22">
        <v>0.102448</v>
      </c>
      <c r="L347">
        <f t="shared" si="60"/>
        <v>17.929099999999998</v>
      </c>
      <c r="M347">
        <f t="shared" si="61"/>
        <v>1.8466435126999998</v>
      </c>
      <c r="N347" s="9"/>
      <c r="O347" s="22">
        <v>1.5969800000000001</v>
      </c>
      <c r="P347" s="22">
        <v>173.565</v>
      </c>
      <c r="Q347" s="22">
        <v>-1.47583E-2</v>
      </c>
      <c r="R347" s="22">
        <v>337</v>
      </c>
      <c r="S347" s="22">
        <v>1.5963700000000001</v>
      </c>
      <c r="T347">
        <f t="shared" si="62"/>
        <v>14.7583</v>
      </c>
      <c r="U347">
        <f t="shared" si="63"/>
        <v>23.568709934000001</v>
      </c>
      <c r="X347" s="9"/>
      <c r="Y347" s="22">
        <v>0.10299700000000001</v>
      </c>
      <c r="Z347" s="22">
        <v>259.11799999999999</v>
      </c>
      <c r="AA347" s="22">
        <v>-1.7999299999999999E-2</v>
      </c>
      <c r="AB347" s="22">
        <v>337</v>
      </c>
      <c r="AC347" s="22">
        <v>0.1026</v>
      </c>
      <c r="AD347">
        <f t="shared" si="64"/>
        <v>17.999299999999998</v>
      </c>
      <c r="AE347">
        <f t="shared" si="65"/>
        <v>1.8538739020999999</v>
      </c>
      <c r="AF347" s="9"/>
      <c r="AG347" s="22">
        <v>1.5969800000000001</v>
      </c>
      <c r="AH347" s="22">
        <v>413.55500000000001</v>
      </c>
      <c r="AI347" s="22">
        <v>-1.4212000000000001E-2</v>
      </c>
      <c r="AJ347" s="22">
        <v>337</v>
      </c>
      <c r="AK347" s="22">
        <v>1.5963700000000001</v>
      </c>
      <c r="AL347">
        <f t="shared" si="66"/>
        <v>14.212000000000002</v>
      </c>
      <c r="AM347">
        <f t="shared" si="67"/>
        <v>22.696279760000003</v>
      </c>
      <c r="AP347" s="9"/>
      <c r="AQ347" s="22">
        <v>0.10299700000000001</v>
      </c>
      <c r="AR347" s="22">
        <v>514.66600000000005</v>
      </c>
      <c r="AS347" s="22">
        <v>-1.79443E-2</v>
      </c>
      <c r="AT347" s="22">
        <v>337</v>
      </c>
      <c r="AU347" s="22">
        <v>0.102295</v>
      </c>
      <c r="AV347">
        <f t="shared" si="68"/>
        <v>17.944299999999998</v>
      </c>
      <c r="AW347">
        <f t="shared" si="69"/>
        <v>1.8482090671</v>
      </c>
      <c r="AX347" s="9"/>
      <c r="AY347" s="22">
        <v>1.5969800000000001</v>
      </c>
      <c r="AZ347" s="22">
        <v>586.91999999999996</v>
      </c>
      <c r="BA347" s="22">
        <v>-1.36475E-2</v>
      </c>
      <c r="BB347" s="22">
        <v>337</v>
      </c>
      <c r="BC347" s="22">
        <v>1.5963700000000001</v>
      </c>
      <c r="BD347">
        <f t="shared" si="70"/>
        <v>13.647499999999999</v>
      </c>
      <c r="BE347">
        <f t="shared" si="71"/>
        <v>21.794784549999999</v>
      </c>
    </row>
    <row r="348" spans="6:57">
      <c r="F348" s="9"/>
      <c r="G348" s="22">
        <v>9.7961400000000004E-2</v>
      </c>
      <c r="H348" s="22">
        <v>107.706</v>
      </c>
      <c r="I348" s="22">
        <v>-1.7923000000000001E-2</v>
      </c>
      <c r="J348" s="22">
        <v>338</v>
      </c>
      <c r="K348" s="22">
        <v>9.8602300000000004E-2</v>
      </c>
      <c r="L348">
        <f t="shared" si="60"/>
        <v>17.923000000000002</v>
      </c>
      <c r="M348">
        <f t="shared" si="61"/>
        <v>1.7557621722000003</v>
      </c>
      <c r="N348" s="9"/>
      <c r="O348" s="22">
        <v>1.60202</v>
      </c>
      <c r="P348" s="22">
        <v>173.666</v>
      </c>
      <c r="Q348" s="22">
        <v>-1.4599600000000001E-2</v>
      </c>
      <c r="R348" s="22">
        <v>338</v>
      </c>
      <c r="S348" s="22">
        <v>1.6015600000000001</v>
      </c>
      <c r="T348">
        <f t="shared" si="62"/>
        <v>14.599600000000001</v>
      </c>
      <c r="U348">
        <f t="shared" si="63"/>
        <v>23.388851192000001</v>
      </c>
      <c r="X348" s="9"/>
      <c r="Y348" s="22">
        <v>9.7961400000000004E-2</v>
      </c>
      <c r="Z348" s="22">
        <v>259.21899999999999</v>
      </c>
      <c r="AA348" s="22">
        <v>-1.8005400000000001E-2</v>
      </c>
      <c r="AB348" s="22">
        <v>338</v>
      </c>
      <c r="AC348" s="22">
        <v>9.7595199999999993E-2</v>
      </c>
      <c r="AD348">
        <f t="shared" si="64"/>
        <v>18.005400000000002</v>
      </c>
      <c r="AE348">
        <f t="shared" si="65"/>
        <v>1.7638341915600002</v>
      </c>
      <c r="AF348" s="9"/>
      <c r="AG348" s="22">
        <v>1.60202</v>
      </c>
      <c r="AH348" s="22">
        <v>413.65600000000001</v>
      </c>
      <c r="AI348" s="22">
        <v>-1.40625E-2</v>
      </c>
      <c r="AJ348" s="22">
        <v>338</v>
      </c>
      <c r="AK348" s="22">
        <v>1.6015600000000001</v>
      </c>
      <c r="AL348">
        <f t="shared" si="66"/>
        <v>14.0625</v>
      </c>
      <c r="AM348">
        <f t="shared" si="67"/>
        <v>22.52840625</v>
      </c>
      <c r="AP348" s="9"/>
      <c r="AQ348" s="22">
        <v>9.7961400000000004E-2</v>
      </c>
      <c r="AR348" s="22">
        <v>514.76599999999996</v>
      </c>
      <c r="AS348" s="22">
        <v>-1.79443E-2</v>
      </c>
      <c r="AT348" s="22">
        <v>338</v>
      </c>
      <c r="AU348" s="22">
        <v>9.7656300000000001E-2</v>
      </c>
      <c r="AV348">
        <f t="shared" si="68"/>
        <v>17.944299999999998</v>
      </c>
      <c r="AW348">
        <f t="shared" si="69"/>
        <v>1.75784875002</v>
      </c>
      <c r="AX348" s="9"/>
      <c r="AY348" s="22">
        <v>1.60202</v>
      </c>
      <c r="AZ348" s="22">
        <v>587.02099999999996</v>
      </c>
      <c r="BA348" s="22">
        <v>-1.34552E-2</v>
      </c>
      <c r="BB348" s="22">
        <v>338</v>
      </c>
      <c r="BC348" s="22">
        <v>1.6009500000000001</v>
      </c>
      <c r="BD348">
        <f t="shared" si="70"/>
        <v>13.455200000000001</v>
      </c>
      <c r="BE348">
        <f t="shared" si="71"/>
        <v>21.555499504000004</v>
      </c>
    </row>
    <row r="349" spans="6:57">
      <c r="F349" s="9"/>
      <c r="G349" s="22">
        <v>9.2925999999999995E-2</v>
      </c>
      <c r="H349" s="22">
        <v>107.806</v>
      </c>
      <c r="I349" s="22">
        <v>-1.79413E-2</v>
      </c>
      <c r="J349" s="22">
        <v>339</v>
      </c>
      <c r="K349" s="22">
        <v>9.2346200000000003E-2</v>
      </c>
      <c r="L349">
        <f t="shared" si="60"/>
        <v>17.941300000000002</v>
      </c>
      <c r="M349">
        <f t="shared" si="61"/>
        <v>1.6672132438</v>
      </c>
      <c r="N349" s="9"/>
      <c r="O349" s="22">
        <v>1.6070599999999999</v>
      </c>
      <c r="P349" s="22">
        <v>173.76599999999999</v>
      </c>
      <c r="Q349" s="22">
        <v>-1.44379E-2</v>
      </c>
      <c r="R349" s="22">
        <v>339</v>
      </c>
      <c r="S349" s="22">
        <v>1.6064499999999999</v>
      </c>
      <c r="T349">
        <f t="shared" si="62"/>
        <v>14.437900000000001</v>
      </c>
      <c r="U349">
        <f t="shared" si="63"/>
        <v>23.202571574</v>
      </c>
      <c r="X349" s="9"/>
      <c r="Y349" s="22">
        <v>9.2925999999999995E-2</v>
      </c>
      <c r="Z349" s="22">
        <v>259.32</v>
      </c>
      <c r="AA349" s="22">
        <v>-1.8002299999999999E-2</v>
      </c>
      <c r="AB349" s="22">
        <v>339</v>
      </c>
      <c r="AC349" s="22">
        <v>9.2529299999999995E-2</v>
      </c>
      <c r="AD349">
        <f t="shared" si="64"/>
        <v>18.002299999999998</v>
      </c>
      <c r="AE349">
        <f t="shared" si="65"/>
        <v>1.6728817297999998</v>
      </c>
      <c r="AF349" s="9"/>
      <c r="AG349" s="22">
        <v>1.6070599999999999</v>
      </c>
      <c r="AH349" s="22">
        <v>413.75599999999997</v>
      </c>
      <c r="AI349" s="22">
        <v>-1.38916E-2</v>
      </c>
      <c r="AJ349" s="22">
        <v>339</v>
      </c>
      <c r="AK349" s="22">
        <v>1.6061399999999999</v>
      </c>
      <c r="AL349">
        <f t="shared" si="66"/>
        <v>13.8916</v>
      </c>
      <c r="AM349">
        <f t="shared" si="67"/>
        <v>22.324634696</v>
      </c>
      <c r="AP349" s="9"/>
      <c r="AQ349" s="22">
        <v>9.2925999999999995E-2</v>
      </c>
      <c r="AR349" s="22">
        <v>514.86699999999996</v>
      </c>
      <c r="AS349" s="22">
        <v>-1.79443E-2</v>
      </c>
      <c r="AT349" s="22">
        <v>339</v>
      </c>
      <c r="AU349" s="22">
        <v>9.2529299999999995E-2</v>
      </c>
      <c r="AV349">
        <f t="shared" si="68"/>
        <v>17.944299999999998</v>
      </c>
      <c r="AW349">
        <f t="shared" si="69"/>
        <v>1.6674920217999998</v>
      </c>
      <c r="AX349" s="9"/>
      <c r="AY349" s="22">
        <v>1.6070599999999999</v>
      </c>
      <c r="AZ349" s="22">
        <v>587.12099999999998</v>
      </c>
      <c r="BA349" s="22">
        <v>-1.3241599999999999E-2</v>
      </c>
      <c r="BB349" s="22">
        <v>339</v>
      </c>
      <c r="BC349" s="22">
        <v>1.6058300000000001</v>
      </c>
      <c r="BD349">
        <f t="shared" si="70"/>
        <v>13.2416</v>
      </c>
      <c r="BE349">
        <f t="shared" si="71"/>
        <v>21.280045695999998</v>
      </c>
    </row>
    <row r="350" spans="6:57">
      <c r="F350" s="9"/>
      <c r="G350" s="22">
        <v>8.7890599999999999E-2</v>
      </c>
      <c r="H350" s="22">
        <v>107.907</v>
      </c>
      <c r="I350" s="22">
        <v>-1.79443E-2</v>
      </c>
      <c r="J350" s="22">
        <v>340</v>
      </c>
      <c r="K350" s="22">
        <v>8.7310799999999994E-2</v>
      </c>
      <c r="L350">
        <f t="shared" si="60"/>
        <v>17.944299999999998</v>
      </c>
      <c r="M350">
        <f t="shared" si="61"/>
        <v>1.5771352935799998</v>
      </c>
      <c r="N350" s="9"/>
      <c r="O350" s="22">
        <v>1.61209</v>
      </c>
      <c r="P350" s="22">
        <v>173.86699999999999</v>
      </c>
      <c r="Q350" s="22">
        <v>-1.42395E-2</v>
      </c>
      <c r="R350" s="22">
        <v>340</v>
      </c>
      <c r="S350" s="22">
        <v>1.6116299999999999</v>
      </c>
      <c r="T350">
        <f t="shared" si="62"/>
        <v>14.2395</v>
      </c>
      <c r="U350">
        <f t="shared" si="63"/>
        <v>22.955355555000001</v>
      </c>
      <c r="X350" s="9"/>
      <c r="Y350" s="22">
        <v>8.7890599999999999E-2</v>
      </c>
      <c r="Z350" s="22">
        <v>259.42</v>
      </c>
      <c r="AA350" s="22">
        <v>-1.80115E-2</v>
      </c>
      <c r="AB350" s="22">
        <v>340</v>
      </c>
      <c r="AC350" s="22">
        <v>8.7280300000000005E-2</v>
      </c>
      <c r="AD350">
        <f t="shared" si="64"/>
        <v>18.011499999999998</v>
      </c>
      <c r="AE350">
        <f t="shared" si="65"/>
        <v>1.5830415418999999</v>
      </c>
      <c r="AF350" s="9"/>
      <c r="AG350" s="22">
        <v>1.61209</v>
      </c>
      <c r="AH350" s="22">
        <v>413.85700000000003</v>
      </c>
      <c r="AI350" s="22">
        <v>-1.3644399999999999E-2</v>
      </c>
      <c r="AJ350" s="22">
        <v>340</v>
      </c>
      <c r="AK350" s="22">
        <v>1.6113299999999999</v>
      </c>
      <c r="AL350">
        <f t="shared" si="66"/>
        <v>13.644399999999999</v>
      </c>
      <c r="AM350">
        <f t="shared" si="67"/>
        <v>21.996000796000001</v>
      </c>
      <c r="AP350" s="9"/>
      <c r="AQ350" s="22">
        <v>8.7890599999999999E-2</v>
      </c>
      <c r="AR350" s="22">
        <v>514.96799999999996</v>
      </c>
      <c r="AS350" s="22">
        <v>-1.7947399999999999E-2</v>
      </c>
      <c r="AT350" s="22">
        <v>340</v>
      </c>
      <c r="AU350" s="22">
        <v>8.7219199999999997E-2</v>
      </c>
      <c r="AV350">
        <f t="shared" si="68"/>
        <v>17.947399999999998</v>
      </c>
      <c r="AW350">
        <f t="shared" si="69"/>
        <v>1.5774077544399998</v>
      </c>
      <c r="AX350" s="9"/>
      <c r="AY350" s="22">
        <v>1.61209</v>
      </c>
      <c r="AZ350" s="22">
        <v>587.22199999999998</v>
      </c>
      <c r="BA350" s="22">
        <v>-1.3003499999999999E-2</v>
      </c>
      <c r="BB350" s="22">
        <v>340</v>
      </c>
      <c r="BC350" s="22">
        <v>1.6107199999999999</v>
      </c>
      <c r="BD350">
        <f t="shared" si="70"/>
        <v>13.003499999999999</v>
      </c>
      <c r="BE350">
        <f t="shared" si="71"/>
        <v>20.962812314999997</v>
      </c>
    </row>
    <row r="351" spans="6:57">
      <c r="F351" s="9"/>
      <c r="G351" s="22">
        <v>8.2855200000000004E-2</v>
      </c>
      <c r="H351" s="22">
        <v>108.008</v>
      </c>
      <c r="I351" s="22">
        <v>-1.79413E-2</v>
      </c>
      <c r="J351" s="22">
        <v>341</v>
      </c>
      <c r="K351" s="22">
        <v>8.2428000000000001E-2</v>
      </c>
      <c r="L351">
        <f t="shared" si="60"/>
        <v>17.941300000000002</v>
      </c>
      <c r="M351">
        <f t="shared" si="61"/>
        <v>1.4865299997600001</v>
      </c>
      <c r="N351" s="9"/>
      <c r="O351" s="22">
        <v>1.61713</v>
      </c>
      <c r="P351" s="22">
        <v>173.96799999999999</v>
      </c>
      <c r="Q351" s="22">
        <v>-1.40167E-2</v>
      </c>
      <c r="R351" s="22">
        <v>341</v>
      </c>
      <c r="S351" s="22">
        <v>1.61591</v>
      </c>
      <c r="T351">
        <f t="shared" si="62"/>
        <v>14.0167</v>
      </c>
      <c r="U351">
        <f t="shared" si="63"/>
        <v>22.666826070999999</v>
      </c>
      <c r="X351" s="9"/>
      <c r="Y351" s="22">
        <v>8.2855200000000004E-2</v>
      </c>
      <c r="Z351" s="22">
        <v>259.52100000000002</v>
      </c>
      <c r="AA351" s="22">
        <v>-1.8008400000000001E-2</v>
      </c>
      <c r="AB351" s="22">
        <v>341</v>
      </c>
      <c r="AC351" s="22">
        <v>8.2519499999999996E-2</v>
      </c>
      <c r="AD351">
        <f t="shared" si="64"/>
        <v>18.008400000000002</v>
      </c>
      <c r="AE351">
        <f t="shared" si="65"/>
        <v>1.4920895836800001</v>
      </c>
      <c r="AF351" s="9"/>
      <c r="AG351" s="22">
        <v>1.61713</v>
      </c>
      <c r="AH351" s="22">
        <v>413.95800000000003</v>
      </c>
      <c r="AI351" s="22">
        <v>-1.3412500000000001E-2</v>
      </c>
      <c r="AJ351" s="22">
        <v>341</v>
      </c>
      <c r="AK351" s="22">
        <v>1.61652</v>
      </c>
      <c r="AL351">
        <f t="shared" si="66"/>
        <v>13.412500000000001</v>
      </c>
      <c r="AM351">
        <f t="shared" si="67"/>
        <v>21.689756125000002</v>
      </c>
      <c r="AP351" s="9"/>
      <c r="AQ351" s="22">
        <v>8.2855200000000004E-2</v>
      </c>
      <c r="AR351" s="22">
        <v>515.06799999999998</v>
      </c>
      <c r="AS351" s="22">
        <v>-1.7962599999999999E-2</v>
      </c>
      <c r="AT351" s="22">
        <v>341</v>
      </c>
      <c r="AU351" s="22">
        <v>8.2336400000000004E-2</v>
      </c>
      <c r="AV351">
        <f t="shared" si="68"/>
        <v>17.962599999999998</v>
      </c>
      <c r="AW351">
        <f t="shared" si="69"/>
        <v>1.48829481552</v>
      </c>
      <c r="AX351" s="9"/>
      <c r="AY351" s="22">
        <v>1.61713</v>
      </c>
      <c r="AZ351" s="22">
        <v>587.32299999999998</v>
      </c>
      <c r="BA351" s="22">
        <v>-1.2735E-2</v>
      </c>
      <c r="BB351" s="22">
        <v>341</v>
      </c>
      <c r="BC351" s="22">
        <v>1.6162099999999999</v>
      </c>
      <c r="BD351">
        <f t="shared" si="70"/>
        <v>12.734999999999999</v>
      </c>
      <c r="BE351">
        <f t="shared" si="71"/>
        <v>20.594150549999998</v>
      </c>
    </row>
    <row r="352" spans="6:57">
      <c r="F352" s="9"/>
      <c r="G352" s="22">
        <v>7.7819799999999995E-2</v>
      </c>
      <c r="H352" s="22">
        <v>108.108</v>
      </c>
      <c r="I352" s="22">
        <v>-1.7947399999999999E-2</v>
      </c>
      <c r="J352" s="22">
        <v>342</v>
      </c>
      <c r="K352" s="22">
        <v>7.7331499999999997E-2</v>
      </c>
      <c r="L352">
        <f t="shared" si="60"/>
        <v>17.947399999999998</v>
      </c>
      <c r="M352">
        <f t="shared" si="61"/>
        <v>1.3966630785199998</v>
      </c>
      <c r="N352" s="9"/>
      <c r="O352" s="22">
        <v>1.62216</v>
      </c>
      <c r="P352" s="22">
        <v>174.06800000000001</v>
      </c>
      <c r="Q352" s="22">
        <v>-1.3797E-2</v>
      </c>
      <c r="R352" s="22">
        <v>342</v>
      </c>
      <c r="S352" s="22">
        <v>1.6214</v>
      </c>
      <c r="T352">
        <f t="shared" si="62"/>
        <v>13.797000000000001</v>
      </c>
      <c r="U352">
        <f t="shared" si="63"/>
        <v>22.38094152</v>
      </c>
      <c r="X352" s="9"/>
      <c r="Y352" s="22">
        <v>7.7819799999999995E-2</v>
      </c>
      <c r="Z352" s="22">
        <v>259.62200000000001</v>
      </c>
      <c r="AA352" s="22">
        <v>-1.8017600000000002E-2</v>
      </c>
      <c r="AB352" s="22">
        <v>342</v>
      </c>
      <c r="AC352" s="22">
        <v>7.7056899999999998E-2</v>
      </c>
      <c r="AD352">
        <f t="shared" si="64"/>
        <v>18.017600000000002</v>
      </c>
      <c r="AE352">
        <f t="shared" si="65"/>
        <v>1.4021260284800001</v>
      </c>
      <c r="AF352" s="9"/>
      <c r="AG352" s="22">
        <v>1.62216</v>
      </c>
      <c r="AH352" s="22">
        <v>414.05900000000003</v>
      </c>
      <c r="AI352" s="22">
        <v>-1.31653E-2</v>
      </c>
      <c r="AJ352" s="22">
        <v>342</v>
      </c>
      <c r="AK352" s="22">
        <v>1.6214</v>
      </c>
      <c r="AL352">
        <f t="shared" si="66"/>
        <v>13.1653</v>
      </c>
      <c r="AM352">
        <f t="shared" si="67"/>
        <v>21.356223048</v>
      </c>
      <c r="AP352" s="9"/>
      <c r="AQ352" s="22">
        <v>7.7819799999999995E-2</v>
      </c>
      <c r="AR352" s="22">
        <v>515.16899999999998</v>
      </c>
      <c r="AS352" s="22">
        <v>-1.7959599999999999E-2</v>
      </c>
      <c r="AT352" s="22">
        <v>342</v>
      </c>
      <c r="AU352" s="22">
        <v>7.7300999999999995E-2</v>
      </c>
      <c r="AV352">
        <f t="shared" si="68"/>
        <v>17.959599999999998</v>
      </c>
      <c r="AW352">
        <f t="shared" si="69"/>
        <v>1.3976124800799998</v>
      </c>
      <c r="AX352" s="9"/>
      <c r="AY352" s="22">
        <v>1.62216</v>
      </c>
      <c r="AZ352" s="22">
        <v>587.423</v>
      </c>
      <c r="BA352" s="22">
        <v>-1.24207E-2</v>
      </c>
      <c r="BB352" s="22">
        <v>342</v>
      </c>
      <c r="BC352" s="22">
        <v>1.6214</v>
      </c>
      <c r="BD352">
        <f t="shared" si="70"/>
        <v>12.4207</v>
      </c>
      <c r="BE352">
        <f t="shared" si="71"/>
        <v>20.148362712000001</v>
      </c>
    </row>
    <row r="353" spans="6:57">
      <c r="F353" s="9"/>
      <c r="G353" s="22">
        <v>7.2784399999999999E-2</v>
      </c>
      <c r="H353" s="22">
        <v>108.209</v>
      </c>
      <c r="I353" s="22">
        <v>-1.7950399999999998E-2</v>
      </c>
      <c r="J353" s="22">
        <v>343</v>
      </c>
      <c r="K353" s="22">
        <v>7.2204599999999994E-2</v>
      </c>
      <c r="L353">
        <f t="shared" si="60"/>
        <v>17.950399999999998</v>
      </c>
      <c r="M353">
        <f t="shared" si="61"/>
        <v>1.3065090937599999</v>
      </c>
      <c r="N353" s="9"/>
      <c r="O353" s="22">
        <v>1.6272</v>
      </c>
      <c r="P353" s="22">
        <v>174.16900000000001</v>
      </c>
      <c r="Q353" s="22">
        <v>-1.3549800000000001E-2</v>
      </c>
      <c r="R353" s="22">
        <v>343</v>
      </c>
      <c r="S353" s="22">
        <v>1.62659</v>
      </c>
      <c r="T353">
        <f t="shared" si="62"/>
        <v>13.549800000000001</v>
      </c>
      <c r="U353">
        <f t="shared" si="63"/>
        <v>22.048234560000001</v>
      </c>
      <c r="X353" s="9"/>
      <c r="Y353" s="22">
        <v>7.2784399999999999E-2</v>
      </c>
      <c r="Z353" s="22">
        <v>259.72300000000001</v>
      </c>
      <c r="AA353" s="22">
        <v>-1.8020600000000001E-2</v>
      </c>
      <c r="AB353" s="22">
        <v>343</v>
      </c>
      <c r="AC353" s="22">
        <v>7.2204599999999994E-2</v>
      </c>
      <c r="AD353">
        <f t="shared" si="64"/>
        <v>18.020600000000002</v>
      </c>
      <c r="AE353">
        <f t="shared" si="65"/>
        <v>1.3116185586400002</v>
      </c>
      <c r="AF353" s="9"/>
      <c r="AG353" s="22">
        <v>1.6272</v>
      </c>
      <c r="AH353" s="22">
        <v>414.15899999999999</v>
      </c>
      <c r="AI353" s="22">
        <v>-1.2914999999999999E-2</v>
      </c>
      <c r="AJ353" s="22">
        <v>343</v>
      </c>
      <c r="AK353" s="22">
        <v>1.6262799999999999</v>
      </c>
      <c r="AL353">
        <f t="shared" si="66"/>
        <v>12.914999999999999</v>
      </c>
      <c r="AM353">
        <f t="shared" si="67"/>
        <v>21.015287999999998</v>
      </c>
      <c r="AP353" s="9"/>
      <c r="AQ353" s="22">
        <v>7.2784399999999999E-2</v>
      </c>
      <c r="AR353" s="22">
        <v>515.27</v>
      </c>
      <c r="AS353" s="22">
        <v>-1.79688E-2</v>
      </c>
      <c r="AT353" s="22">
        <v>343</v>
      </c>
      <c r="AU353" s="22">
        <v>7.2448700000000005E-2</v>
      </c>
      <c r="AV353">
        <f t="shared" si="68"/>
        <v>17.968800000000002</v>
      </c>
      <c r="AW353">
        <f t="shared" si="69"/>
        <v>1.3078483267200001</v>
      </c>
      <c r="AX353" s="9"/>
      <c r="AY353" s="22">
        <v>1.6272</v>
      </c>
      <c r="AZ353" s="22">
        <v>587.524</v>
      </c>
      <c r="BA353" s="22">
        <v>-1.21155E-2</v>
      </c>
      <c r="BB353" s="22">
        <v>343</v>
      </c>
      <c r="BC353" s="22">
        <v>1.6268899999999999</v>
      </c>
      <c r="BD353">
        <f t="shared" si="70"/>
        <v>12.115499999999999</v>
      </c>
      <c r="BE353">
        <f t="shared" si="71"/>
        <v>19.714341599999997</v>
      </c>
    </row>
    <row r="354" spans="6:57">
      <c r="F354" s="9"/>
      <c r="G354" s="22">
        <v>6.7749000000000004E-2</v>
      </c>
      <c r="H354" s="22">
        <v>108.31</v>
      </c>
      <c r="I354" s="22">
        <v>-1.79565E-2</v>
      </c>
      <c r="J354" s="22">
        <v>344</v>
      </c>
      <c r="K354" s="22">
        <v>6.7138699999999996E-2</v>
      </c>
      <c r="L354">
        <f t="shared" si="60"/>
        <v>17.956500000000002</v>
      </c>
      <c r="M354">
        <f t="shared" si="61"/>
        <v>1.2165349185000003</v>
      </c>
      <c r="N354" s="9"/>
      <c r="O354" s="22">
        <v>1.6322300000000001</v>
      </c>
      <c r="P354" s="22">
        <v>174.27</v>
      </c>
      <c r="Q354" s="22">
        <v>-1.33087E-2</v>
      </c>
      <c r="R354" s="22">
        <v>344</v>
      </c>
      <c r="S354" s="22">
        <v>1.6317699999999999</v>
      </c>
      <c r="T354">
        <f t="shared" si="62"/>
        <v>13.3087</v>
      </c>
      <c r="U354">
        <f t="shared" si="63"/>
        <v>21.722859401000001</v>
      </c>
      <c r="X354" s="9"/>
      <c r="Y354" s="22">
        <v>6.7749000000000004E-2</v>
      </c>
      <c r="Z354" s="22">
        <v>259.82299999999998</v>
      </c>
      <c r="AA354" s="22">
        <v>-1.8032800000000002E-2</v>
      </c>
      <c r="AB354" s="22">
        <v>344</v>
      </c>
      <c r="AC354" s="22">
        <v>6.7504900000000007E-2</v>
      </c>
      <c r="AD354">
        <f t="shared" si="64"/>
        <v>18.032800000000002</v>
      </c>
      <c r="AE354">
        <f t="shared" si="65"/>
        <v>1.2217041672000002</v>
      </c>
      <c r="AF354" s="9"/>
      <c r="AG354" s="22">
        <v>1.6322300000000001</v>
      </c>
      <c r="AH354" s="22">
        <v>414.26</v>
      </c>
      <c r="AI354" s="22">
        <v>-1.2622100000000001E-2</v>
      </c>
      <c r="AJ354" s="22">
        <v>344</v>
      </c>
      <c r="AK354" s="22">
        <v>1.6311599999999999</v>
      </c>
      <c r="AL354">
        <f t="shared" si="66"/>
        <v>12.622100000000001</v>
      </c>
      <c r="AM354">
        <f t="shared" si="67"/>
        <v>20.602170283000003</v>
      </c>
      <c r="AP354" s="9"/>
      <c r="AQ354" s="22">
        <v>6.7749000000000004E-2</v>
      </c>
      <c r="AR354" s="22">
        <v>515.37099999999998</v>
      </c>
      <c r="AS354" s="22">
        <v>-1.79718E-2</v>
      </c>
      <c r="AT354" s="22">
        <v>344</v>
      </c>
      <c r="AU354" s="22">
        <v>6.7108200000000007E-2</v>
      </c>
      <c r="AV354">
        <f t="shared" si="68"/>
        <v>17.971799999999998</v>
      </c>
      <c r="AW354">
        <f t="shared" si="69"/>
        <v>1.2175714782</v>
      </c>
      <c r="AX354" s="9"/>
      <c r="AY354" s="22">
        <v>1.6322300000000001</v>
      </c>
      <c r="AZ354" s="22">
        <v>587.625</v>
      </c>
      <c r="BA354" s="22">
        <v>-1.1764500000000001E-2</v>
      </c>
      <c r="BB354" s="22">
        <v>344</v>
      </c>
      <c r="BC354" s="22">
        <v>1.63147</v>
      </c>
      <c r="BD354">
        <f t="shared" si="70"/>
        <v>11.7645</v>
      </c>
      <c r="BE354">
        <f t="shared" si="71"/>
        <v>19.202369835000002</v>
      </c>
    </row>
    <row r="355" spans="6:57">
      <c r="F355" s="9"/>
      <c r="G355" s="22">
        <v>6.2713599999999994E-2</v>
      </c>
      <c r="H355" s="22">
        <v>108.41</v>
      </c>
      <c r="I355" s="22">
        <v>-1.7962599999999999E-2</v>
      </c>
      <c r="J355" s="22">
        <v>345</v>
      </c>
      <c r="K355" s="22">
        <v>6.2164299999999999E-2</v>
      </c>
      <c r="L355">
        <f t="shared" si="60"/>
        <v>17.962599999999998</v>
      </c>
      <c r="M355">
        <f t="shared" si="61"/>
        <v>1.1264993113599997</v>
      </c>
      <c r="N355" s="9"/>
      <c r="O355" s="22">
        <v>1.63727</v>
      </c>
      <c r="P355" s="22">
        <v>174.37100000000001</v>
      </c>
      <c r="Q355" s="22">
        <v>-1.30127E-2</v>
      </c>
      <c r="R355" s="22">
        <v>345</v>
      </c>
      <c r="S355" s="22">
        <v>1.63666</v>
      </c>
      <c r="T355">
        <f t="shared" si="62"/>
        <v>13.012700000000001</v>
      </c>
      <c r="U355">
        <f t="shared" si="63"/>
        <v>21.305303329000001</v>
      </c>
      <c r="X355" s="9"/>
      <c r="Y355" s="22">
        <v>6.2713599999999994E-2</v>
      </c>
      <c r="Z355" s="22">
        <v>259.92399999999998</v>
      </c>
      <c r="AA355" s="22">
        <v>-1.8029799999999999E-2</v>
      </c>
      <c r="AB355" s="22">
        <v>345</v>
      </c>
      <c r="AC355" s="22">
        <v>6.2225299999999997E-2</v>
      </c>
      <c r="AD355">
        <f t="shared" si="64"/>
        <v>18.029799999999998</v>
      </c>
      <c r="AE355">
        <f t="shared" si="65"/>
        <v>1.1307136652799998</v>
      </c>
      <c r="AF355" s="9"/>
      <c r="AG355" s="22">
        <v>1.63727</v>
      </c>
      <c r="AH355" s="22">
        <v>414.36099999999999</v>
      </c>
      <c r="AI355" s="22">
        <v>-1.2295499999999999E-2</v>
      </c>
      <c r="AJ355" s="22">
        <v>345</v>
      </c>
      <c r="AK355" s="22">
        <v>1.63635</v>
      </c>
      <c r="AL355">
        <f t="shared" si="66"/>
        <v>12.295499999999999</v>
      </c>
      <c r="AM355">
        <f t="shared" si="67"/>
        <v>20.131053284999997</v>
      </c>
      <c r="AP355" s="9"/>
      <c r="AQ355" s="22">
        <v>6.2713599999999994E-2</v>
      </c>
      <c r="AR355" s="22">
        <v>515.471</v>
      </c>
      <c r="AS355" s="22">
        <v>-1.79718E-2</v>
      </c>
      <c r="AT355" s="22">
        <v>345</v>
      </c>
      <c r="AU355" s="22">
        <v>6.21033E-2</v>
      </c>
      <c r="AV355">
        <f t="shared" si="68"/>
        <v>17.971799999999998</v>
      </c>
      <c r="AW355">
        <f t="shared" si="69"/>
        <v>1.1270762764799998</v>
      </c>
      <c r="AX355" s="9"/>
      <c r="AY355" s="22">
        <v>1.63727</v>
      </c>
      <c r="AZ355" s="22">
        <v>587.72500000000002</v>
      </c>
      <c r="BA355" s="22">
        <v>-1.1373899999999999E-2</v>
      </c>
      <c r="BB355" s="22">
        <v>345</v>
      </c>
      <c r="BC355" s="22">
        <v>1.63635</v>
      </c>
      <c r="BD355">
        <f t="shared" si="70"/>
        <v>11.373899999999999</v>
      </c>
      <c r="BE355">
        <f t="shared" si="71"/>
        <v>18.622145252999999</v>
      </c>
    </row>
    <row r="356" spans="6:57">
      <c r="F356" s="9"/>
      <c r="G356" s="22">
        <v>5.7678199999999999E-2</v>
      </c>
      <c r="H356" s="22">
        <v>108.511</v>
      </c>
      <c r="I356" s="22">
        <v>-1.7965700000000001E-2</v>
      </c>
      <c r="J356" s="22">
        <v>346</v>
      </c>
      <c r="K356" s="22">
        <v>5.6915300000000002E-2</v>
      </c>
      <c r="L356">
        <f t="shared" si="60"/>
        <v>17.965700000000002</v>
      </c>
      <c r="M356">
        <f t="shared" si="61"/>
        <v>1.03622923774</v>
      </c>
      <c r="N356" s="9"/>
      <c r="O356" s="22">
        <v>1.6423000000000001</v>
      </c>
      <c r="P356" s="22">
        <v>174.471</v>
      </c>
      <c r="Q356" s="22">
        <v>-1.26587E-2</v>
      </c>
      <c r="R356" s="22">
        <v>346</v>
      </c>
      <c r="S356" s="22">
        <v>1.64185</v>
      </c>
      <c r="T356">
        <f t="shared" si="62"/>
        <v>12.6587</v>
      </c>
      <c r="U356">
        <f t="shared" si="63"/>
        <v>20.789383010000002</v>
      </c>
      <c r="X356" s="9"/>
      <c r="Y356" s="22">
        <v>5.7678199999999999E-2</v>
      </c>
      <c r="Z356" s="22">
        <v>260.02499999999998</v>
      </c>
      <c r="AA356" s="22">
        <v>-1.8029799999999999E-2</v>
      </c>
      <c r="AB356" s="22">
        <v>346</v>
      </c>
      <c r="AC356" s="22">
        <v>5.7251000000000003E-2</v>
      </c>
      <c r="AD356">
        <f t="shared" si="64"/>
        <v>18.029799999999998</v>
      </c>
      <c r="AE356">
        <f t="shared" si="65"/>
        <v>1.0399264103599999</v>
      </c>
      <c r="AF356" s="9"/>
      <c r="AG356" s="22">
        <v>1.6423000000000001</v>
      </c>
      <c r="AH356" s="22">
        <v>414.46100000000001</v>
      </c>
      <c r="AI356" s="22">
        <v>-1.1969E-2</v>
      </c>
      <c r="AJ356" s="22">
        <v>346</v>
      </c>
      <c r="AK356" s="22">
        <v>1.64185</v>
      </c>
      <c r="AL356">
        <f t="shared" si="66"/>
        <v>11.969000000000001</v>
      </c>
      <c r="AM356">
        <f t="shared" si="67"/>
        <v>19.656688700000004</v>
      </c>
      <c r="AP356" s="9"/>
      <c r="AQ356" s="22">
        <v>5.7678199999999999E-2</v>
      </c>
      <c r="AR356" s="22">
        <v>515.572</v>
      </c>
      <c r="AS356" s="22">
        <v>-1.7977900000000002E-2</v>
      </c>
      <c r="AT356" s="22">
        <v>346</v>
      </c>
      <c r="AU356" s="22">
        <v>5.6976300000000001E-2</v>
      </c>
      <c r="AV356">
        <f t="shared" si="68"/>
        <v>17.977900000000002</v>
      </c>
      <c r="AW356">
        <f t="shared" si="69"/>
        <v>1.0369329117800001</v>
      </c>
      <c r="AX356" s="9"/>
      <c r="AY356" s="22">
        <v>1.6423000000000001</v>
      </c>
      <c r="AZ356" s="22">
        <v>587.82600000000002</v>
      </c>
      <c r="BA356" s="22">
        <v>-1.0937499999999999E-2</v>
      </c>
      <c r="BB356" s="22">
        <v>346</v>
      </c>
      <c r="BC356" s="22">
        <v>1.64154</v>
      </c>
      <c r="BD356">
        <f t="shared" si="70"/>
        <v>10.9375</v>
      </c>
      <c r="BE356">
        <f t="shared" si="71"/>
        <v>17.962656250000002</v>
      </c>
    </row>
    <row r="357" spans="6:57">
      <c r="F357" s="9"/>
      <c r="G357" s="22">
        <v>5.2642799999999997E-2</v>
      </c>
      <c r="H357" s="22">
        <v>108.61199999999999</v>
      </c>
      <c r="I357" s="22">
        <v>-1.7974899999999999E-2</v>
      </c>
      <c r="J357" s="22">
        <v>347</v>
      </c>
      <c r="K357" s="22">
        <v>5.2215600000000001E-2</v>
      </c>
      <c r="L357">
        <f t="shared" si="60"/>
        <v>17.974899999999998</v>
      </c>
      <c r="M357">
        <f t="shared" si="61"/>
        <v>0.94624906571999989</v>
      </c>
      <c r="N357" s="9"/>
      <c r="O357" s="22">
        <v>1.64734</v>
      </c>
      <c r="P357" s="22">
        <v>174.572</v>
      </c>
      <c r="Q357" s="22">
        <v>-1.2295499999999999E-2</v>
      </c>
      <c r="R357" s="22">
        <v>347</v>
      </c>
      <c r="S357" s="22">
        <v>1.64673</v>
      </c>
      <c r="T357">
        <f t="shared" si="62"/>
        <v>12.295499999999999</v>
      </c>
      <c r="U357">
        <f t="shared" si="63"/>
        <v>20.254868969999997</v>
      </c>
      <c r="X357" s="9"/>
      <c r="Y357" s="22">
        <v>5.2642799999999997E-2</v>
      </c>
      <c r="Z357" s="22">
        <v>260.125</v>
      </c>
      <c r="AA357" s="22">
        <v>-1.8035900000000001E-2</v>
      </c>
      <c r="AB357" s="22">
        <v>347</v>
      </c>
      <c r="AC357" s="22">
        <v>5.2490200000000001E-2</v>
      </c>
      <c r="AD357">
        <f t="shared" si="64"/>
        <v>18.035900000000002</v>
      </c>
      <c r="AE357">
        <f t="shared" si="65"/>
        <v>0.94946027651999998</v>
      </c>
      <c r="AF357" s="9"/>
      <c r="AG357" s="22">
        <v>1.64734</v>
      </c>
      <c r="AH357" s="22">
        <v>414.56200000000001</v>
      </c>
      <c r="AI357" s="22">
        <v>-1.1499000000000001E-2</v>
      </c>
      <c r="AJ357" s="22">
        <v>347</v>
      </c>
      <c r="AK357" s="22">
        <v>1.64612</v>
      </c>
      <c r="AL357">
        <f t="shared" si="66"/>
        <v>11.499000000000001</v>
      </c>
      <c r="AM357">
        <f t="shared" si="67"/>
        <v>18.94276266</v>
      </c>
      <c r="AP357" s="9"/>
      <c r="AQ357" s="22">
        <v>5.2642799999999997E-2</v>
      </c>
      <c r="AR357" s="22">
        <v>515.673</v>
      </c>
      <c r="AS357" s="22">
        <v>-1.7984E-2</v>
      </c>
      <c r="AT357" s="22">
        <v>347</v>
      </c>
      <c r="AU357" s="22">
        <v>5.2062999999999998E-2</v>
      </c>
      <c r="AV357">
        <f t="shared" si="68"/>
        <v>17.984000000000002</v>
      </c>
      <c r="AW357">
        <f t="shared" si="69"/>
        <v>0.9467281152</v>
      </c>
      <c r="AX357" s="9"/>
      <c r="AY357" s="22">
        <v>1.64734</v>
      </c>
      <c r="AZ357" s="22">
        <v>587.92700000000002</v>
      </c>
      <c r="BA357" s="22">
        <v>-1.0498E-2</v>
      </c>
      <c r="BB357" s="22">
        <v>347</v>
      </c>
      <c r="BC357" s="22">
        <v>1.64642</v>
      </c>
      <c r="BD357">
        <f t="shared" si="70"/>
        <v>10.498000000000001</v>
      </c>
      <c r="BE357">
        <f t="shared" si="71"/>
        <v>17.293775320000002</v>
      </c>
    </row>
    <row r="358" spans="6:57">
      <c r="F358" s="9"/>
      <c r="G358" s="22">
        <v>4.7607400000000001E-2</v>
      </c>
      <c r="H358" s="22">
        <v>108.71299999999999</v>
      </c>
      <c r="I358" s="22">
        <v>-1.79718E-2</v>
      </c>
      <c r="J358" s="22">
        <v>348</v>
      </c>
      <c r="K358" s="22">
        <v>4.7241199999999997E-2</v>
      </c>
      <c r="L358">
        <f t="shared" si="60"/>
        <v>17.971799999999998</v>
      </c>
      <c r="M358">
        <f t="shared" si="61"/>
        <v>0.85559067131999988</v>
      </c>
      <c r="N358" s="9"/>
      <c r="O358" s="22">
        <v>1.6523699999999999</v>
      </c>
      <c r="P358" s="22">
        <v>174.673</v>
      </c>
      <c r="Q358" s="22">
        <v>-1.1853000000000001E-2</v>
      </c>
      <c r="R358" s="22">
        <v>348</v>
      </c>
      <c r="S358" s="22">
        <v>1.6513100000000001</v>
      </c>
      <c r="T358">
        <f t="shared" si="62"/>
        <v>11.853000000000002</v>
      </c>
      <c r="U358">
        <f t="shared" si="63"/>
        <v>19.58554161</v>
      </c>
      <c r="X358" s="9"/>
      <c r="Y358" s="22">
        <v>4.7607400000000001E-2</v>
      </c>
      <c r="Z358" s="22">
        <v>260.226</v>
      </c>
      <c r="AA358" s="22">
        <v>-1.8032800000000002E-2</v>
      </c>
      <c r="AB358" s="22">
        <v>348</v>
      </c>
      <c r="AC358" s="22">
        <v>4.7433500000000003E-2</v>
      </c>
      <c r="AD358">
        <f t="shared" si="64"/>
        <v>18.032800000000002</v>
      </c>
      <c r="AE358">
        <f t="shared" si="65"/>
        <v>0.85849472272000005</v>
      </c>
      <c r="AF358" s="9"/>
      <c r="AG358" s="22">
        <v>1.6523699999999999</v>
      </c>
      <c r="AH358" s="22">
        <v>414.66300000000001</v>
      </c>
      <c r="AI358" s="22">
        <v>-1.11176E-2</v>
      </c>
      <c r="AJ358" s="22">
        <v>348</v>
      </c>
      <c r="AK358" s="22">
        <v>1.651</v>
      </c>
      <c r="AL358">
        <f t="shared" si="66"/>
        <v>11.117599999999999</v>
      </c>
      <c r="AM358">
        <f t="shared" si="67"/>
        <v>18.370388711999997</v>
      </c>
      <c r="AP358" s="9"/>
      <c r="AQ358" s="22">
        <v>4.7607400000000001E-2</v>
      </c>
      <c r="AR358" s="22">
        <v>515.77300000000002</v>
      </c>
      <c r="AS358" s="22">
        <v>-1.7987099999999999E-2</v>
      </c>
      <c r="AT358" s="22">
        <v>348</v>
      </c>
      <c r="AU358" s="22">
        <v>4.7723399999999999E-2</v>
      </c>
      <c r="AV358">
        <f t="shared" si="68"/>
        <v>17.987099999999998</v>
      </c>
      <c r="AW358">
        <f t="shared" si="69"/>
        <v>0.85631906453999995</v>
      </c>
      <c r="AX358" s="9"/>
      <c r="AY358" s="22">
        <v>1.6523699999999999</v>
      </c>
      <c r="AZ358" s="22">
        <v>588.02800000000002</v>
      </c>
      <c r="BA358" s="22">
        <v>-9.9700899999999992E-3</v>
      </c>
      <c r="BB358" s="22">
        <v>348</v>
      </c>
      <c r="BC358" s="22">
        <v>1.6519200000000001</v>
      </c>
      <c r="BD358">
        <f t="shared" si="70"/>
        <v>9.970089999999999</v>
      </c>
      <c r="BE358">
        <f t="shared" si="71"/>
        <v>16.474277613299996</v>
      </c>
    </row>
    <row r="359" spans="6:57">
      <c r="F359" s="9"/>
      <c r="G359" s="22">
        <v>4.2571999999999999E-2</v>
      </c>
      <c r="H359" s="22">
        <v>108.813</v>
      </c>
      <c r="I359" s="22">
        <v>-1.7974899999999999E-2</v>
      </c>
      <c r="J359" s="22">
        <v>349</v>
      </c>
      <c r="K359" s="22">
        <v>4.2364499999999999E-2</v>
      </c>
      <c r="L359">
        <f t="shared" si="60"/>
        <v>17.974899999999998</v>
      </c>
      <c r="M359">
        <f t="shared" si="61"/>
        <v>0.76522744279999988</v>
      </c>
      <c r="N359" s="9"/>
      <c r="O359" s="22">
        <v>1.65741</v>
      </c>
      <c r="P359" s="22">
        <v>174.773</v>
      </c>
      <c r="Q359" s="22">
        <v>-1.13831E-2</v>
      </c>
      <c r="R359" s="22">
        <v>349</v>
      </c>
      <c r="S359" s="22">
        <v>1.65649</v>
      </c>
      <c r="T359">
        <f t="shared" si="62"/>
        <v>11.383100000000001</v>
      </c>
      <c r="U359">
        <f t="shared" si="63"/>
        <v>18.866463771000003</v>
      </c>
      <c r="X359" s="9"/>
      <c r="Y359" s="22">
        <v>4.2571999999999999E-2</v>
      </c>
      <c r="Z359" s="22">
        <v>260.327</v>
      </c>
      <c r="AA359" s="22">
        <v>-1.8032800000000002E-2</v>
      </c>
      <c r="AB359" s="22">
        <v>349</v>
      </c>
      <c r="AC359" s="22">
        <v>4.2575099999999998E-2</v>
      </c>
      <c r="AD359">
        <f t="shared" si="64"/>
        <v>18.032800000000002</v>
      </c>
      <c r="AE359">
        <f t="shared" si="65"/>
        <v>0.76769236160000009</v>
      </c>
      <c r="AF359" s="9"/>
      <c r="AG359" s="22">
        <v>1.65741</v>
      </c>
      <c r="AH359" s="22">
        <v>414.76299999999998</v>
      </c>
      <c r="AI359" s="22">
        <v>-1.0644499999999999E-2</v>
      </c>
      <c r="AJ359" s="22">
        <v>349</v>
      </c>
      <c r="AK359" s="22">
        <v>1.6571</v>
      </c>
      <c r="AL359">
        <f t="shared" si="66"/>
        <v>10.644499999999999</v>
      </c>
      <c r="AM359">
        <f t="shared" si="67"/>
        <v>17.642300745</v>
      </c>
      <c r="AP359" s="9"/>
      <c r="AQ359" s="22">
        <v>4.2571999999999999E-2</v>
      </c>
      <c r="AR359" s="22">
        <v>515.87400000000002</v>
      </c>
      <c r="AS359" s="22">
        <v>-1.7987099999999999E-2</v>
      </c>
      <c r="AT359" s="22">
        <v>349</v>
      </c>
      <c r="AU359" s="22">
        <v>4.2660499999999997E-2</v>
      </c>
      <c r="AV359">
        <f t="shared" si="68"/>
        <v>17.987099999999998</v>
      </c>
      <c r="AW359">
        <f t="shared" si="69"/>
        <v>0.76574682119999993</v>
      </c>
      <c r="AX359" s="9"/>
      <c r="AY359" s="22">
        <v>1.65741</v>
      </c>
      <c r="AZ359" s="22">
        <v>588.12800000000004</v>
      </c>
      <c r="BA359" s="22">
        <v>-9.4329800000000005E-3</v>
      </c>
      <c r="BB359" s="22">
        <v>349</v>
      </c>
      <c r="BC359" s="22">
        <v>1.6568000000000001</v>
      </c>
      <c r="BD359">
        <f t="shared" si="70"/>
        <v>9.4329800000000006</v>
      </c>
      <c r="BE359">
        <f t="shared" si="71"/>
        <v>15.634315381800002</v>
      </c>
    </row>
    <row r="360" spans="6:57">
      <c r="F360" s="9"/>
      <c r="G360" s="22">
        <v>3.7536600000000003E-2</v>
      </c>
      <c r="H360" s="22">
        <v>108.914</v>
      </c>
      <c r="I360" s="22">
        <v>-1.7974899999999999E-2</v>
      </c>
      <c r="J360" s="22">
        <v>350</v>
      </c>
      <c r="K360" s="22">
        <v>3.7432899999999998E-2</v>
      </c>
      <c r="L360">
        <f t="shared" si="60"/>
        <v>17.974899999999998</v>
      </c>
      <c r="M360">
        <f t="shared" si="61"/>
        <v>0.67471663134000004</v>
      </c>
      <c r="N360" s="9"/>
      <c r="O360" s="22">
        <v>1.66245</v>
      </c>
      <c r="P360" s="22">
        <v>174.874</v>
      </c>
      <c r="Q360" s="22">
        <v>-1.08612E-2</v>
      </c>
      <c r="R360" s="22">
        <v>350</v>
      </c>
      <c r="S360" s="22">
        <v>1.6619900000000001</v>
      </c>
      <c r="T360">
        <f t="shared" si="62"/>
        <v>10.8612</v>
      </c>
      <c r="U360">
        <f t="shared" si="63"/>
        <v>18.056201940000001</v>
      </c>
      <c r="X360" s="9"/>
      <c r="Y360" s="22">
        <v>3.7536600000000003E-2</v>
      </c>
      <c r="Z360" s="22">
        <v>260.42700000000002</v>
      </c>
      <c r="AA360" s="22">
        <v>-1.8044999999999999E-2</v>
      </c>
      <c r="AB360" s="22">
        <v>350</v>
      </c>
      <c r="AC360" s="22">
        <v>3.7439E-2</v>
      </c>
      <c r="AD360">
        <f t="shared" si="64"/>
        <v>18.044999999999998</v>
      </c>
      <c r="AE360">
        <f t="shared" si="65"/>
        <v>0.67734794700000001</v>
      </c>
      <c r="AF360" s="9"/>
      <c r="AG360" s="22">
        <v>1.66245</v>
      </c>
      <c r="AH360" s="22">
        <v>414.86399999999998</v>
      </c>
      <c r="AI360" s="22">
        <v>-1.0144E-2</v>
      </c>
      <c r="AJ360" s="22">
        <v>350</v>
      </c>
      <c r="AK360" s="22">
        <v>1.66107</v>
      </c>
      <c r="AL360">
        <f t="shared" si="66"/>
        <v>10.144</v>
      </c>
      <c r="AM360">
        <f t="shared" si="67"/>
        <v>16.863892799999999</v>
      </c>
      <c r="AP360" s="9"/>
      <c r="AQ360" s="22">
        <v>3.7536600000000003E-2</v>
      </c>
      <c r="AR360" s="22">
        <v>515.97500000000002</v>
      </c>
      <c r="AS360" s="22">
        <v>-1.7990099999999998E-2</v>
      </c>
      <c r="AT360" s="22">
        <v>350</v>
      </c>
      <c r="AU360" s="22">
        <v>3.7417600000000002E-2</v>
      </c>
      <c r="AV360">
        <f t="shared" si="68"/>
        <v>17.990099999999998</v>
      </c>
      <c r="AW360">
        <f t="shared" si="69"/>
        <v>0.67528718765999995</v>
      </c>
      <c r="AX360" s="9"/>
      <c r="AY360" s="22">
        <v>1.66245</v>
      </c>
      <c r="AZ360" s="22">
        <v>588.22900000000004</v>
      </c>
      <c r="BA360" s="22">
        <v>-8.7646500000000006E-3</v>
      </c>
      <c r="BB360" s="22">
        <v>350</v>
      </c>
      <c r="BC360" s="22">
        <v>1.66229</v>
      </c>
      <c r="BD360">
        <f t="shared" si="70"/>
        <v>8.7646500000000014</v>
      </c>
      <c r="BE360">
        <f t="shared" si="71"/>
        <v>14.570792392500001</v>
      </c>
    </row>
    <row r="361" spans="6:57">
      <c r="F361" s="9"/>
      <c r="G361" s="22">
        <v>3.2501200000000001E-2</v>
      </c>
      <c r="H361" s="22">
        <v>109.015</v>
      </c>
      <c r="I361" s="22">
        <v>-1.7984E-2</v>
      </c>
      <c r="J361" s="22">
        <v>351</v>
      </c>
      <c r="K361" s="22">
        <v>3.2070899999999999E-2</v>
      </c>
      <c r="L361">
        <f t="shared" si="60"/>
        <v>17.984000000000002</v>
      </c>
      <c r="M361">
        <f t="shared" si="61"/>
        <v>0.58450158080000003</v>
      </c>
      <c r="N361" s="9"/>
      <c r="O361" s="22">
        <v>1.6674800000000001</v>
      </c>
      <c r="P361" s="22">
        <v>174.97499999999999</v>
      </c>
      <c r="Q361" s="22">
        <v>-1.02875E-2</v>
      </c>
      <c r="R361" s="22">
        <v>351</v>
      </c>
      <c r="S361" s="22">
        <v>1.66656</v>
      </c>
      <c r="T361">
        <f t="shared" si="62"/>
        <v>10.2875</v>
      </c>
      <c r="U361">
        <f t="shared" si="63"/>
        <v>17.154200500000002</v>
      </c>
      <c r="X361" s="9"/>
      <c r="Y361" s="22">
        <v>3.2501200000000001E-2</v>
      </c>
      <c r="Z361" s="22">
        <v>260.52800000000002</v>
      </c>
      <c r="AA361" s="22">
        <v>-1.8044999999999999E-2</v>
      </c>
      <c r="AB361" s="22">
        <v>351</v>
      </c>
      <c r="AC361" s="22">
        <v>3.2498199999999998E-2</v>
      </c>
      <c r="AD361">
        <f t="shared" si="64"/>
        <v>18.044999999999998</v>
      </c>
      <c r="AE361">
        <f t="shared" si="65"/>
        <v>0.58648415399999998</v>
      </c>
      <c r="AF361" s="9"/>
      <c r="AG361" s="22">
        <v>1.6674800000000001</v>
      </c>
      <c r="AH361" s="22">
        <v>414.96499999999997</v>
      </c>
      <c r="AI361" s="22">
        <v>-9.47571E-3</v>
      </c>
      <c r="AJ361" s="22">
        <v>351</v>
      </c>
      <c r="AK361" s="22">
        <v>1.6668700000000001</v>
      </c>
      <c r="AL361">
        <f t="shared" si="66"/>
        <v>9.4757099999999994</v>
      </c>
      <c r="AM361">
        <f t="shared" si="67"/>
        <v>15.800556910799999</v>
      </c>
      <c r="AP361" s="9"/>
      <c r="AQ361" s="22">
        <v>3.2501200000000001E-2</v>
      </c>
      <c r="AR361" s="22">
        <v>516.07600000000002</v>
      </c>
      <c r="AS361" s="22">
        <v>-1.7993200000000001E-2</v>
      </c>
      <c r="AT361" s="22">
        <v>351</v>
      </c>
      <c r="AU361" s="22">
        <v>3.2650800000000001E-2</v>
      </c>
      <c r="AV361">
        <f t="shared" si="68"/>
        <v>17.993200000000002</v>
      </c>
      <c r="AW361">
        <f t="shared" si="69"/>
        <v>0.58480059184000011</v>
      </c>
      <c r="AX361" s="9"/>
      <c r="AY361" s="22">
        <v>1.6674800000000001</v>
      </c>
      <c r="AZ361" s="22">
        <v>588.33000000000004</v>
      </c>
      <c r="BA361" s="22">
        <v>-8.1024200000000008E-3</v>
      </c>
      <c r="BB361" s="22">
        <v>351</v>
      </c>
      <c r="BC361" s="22">
        <v>1.6668700000000001</v>
      </c>
      <c r="BD361">
        <f t="shared" si="70"/>
        <v>8.1024200000000004</v>
      </c>
      <c r="BE361">
        <f t="shared" si="71"/>
        <v>13.510623301600001</v>
      </c>
    </row>
    <row r="362" spans="6:57">
      <c r="F362" s="9"/>
      <c r="G362" s="22">
        <v>2.7465799999999999E-2</v>
      </c>
      <c r="H362" s="22">
        <v>109.11499999999999</v>
      </c>
      <c r="I362" s="22">
        <v>-1.7984E-2</v>
      </c>
      <c r="J362" s="22">
        <v>352</v>
      </c>
      <c r="K362" s="22">
        <v>2.71332E-2</v>
      </c>
      <c r="L362">
        <f t="shared" si="60"/>
        <v>17.984000000000002</v>
      </c>
      <c r="M362">
        <f t="shared" si="61"/>
        <v>0.49394494720000004</v>
      </c>
      <c r="N362" s="9"/>
      <c r="O362" s="22">
        <v>1.67252</v>
      </c>
      <c r="P362" s="22">
        <v>175.07499999999999</v>
      </c>
      <c r="Q362" s="22">
        <v>-9.6496599999999991E-3</v>
      </c>
      <c r="R362" s="22">
        <v>352</v>
      </c>
      <c r="S362" s="22">
        <v>1.6714500000000001</v>
      </c>
      <c r="T362">
        <f t="shared" si="62"/>
        <v>9.649659999999999</v>
      </c>
      <c r="U362">
        <f t="shared" si="63"/>
        <v>16.139249343199999</v>
      </c>
      <c r="X362" s="9"/>
      <c r="Y362" s="22">
        <v>2.7465799999999999E-2</v>
      </c>
      <c r="Z362" s="22">
        <v>260.62900000000002</v>
      </c>
      <c r="AA362" s="22">
        <v>-1.8054199999999999E-2</v>
      </c>
      <c r="AB362" s="22">
        <v>352</v>
      </c>
      <c r="AC362" s="22">
        <v>2.7389500000000001E-2</v>
      </c>
      <c r="AD362">
        <f t="shared" si="64"/>
        <v>18.054199999999998</v>
      </c>
      <c r="AE362">
        <f t="shared" si="65"/>
        <v>0.4958730463599999</v>
      </c>
      <c r="AF362" s="9"/>
      <c r="AG362" s="22">
        <v>1.67252</v>
      </c>
      <c r="AH362" s="22">
        <v>415.06599999999997</v>
      </c>
      <c r="AI362" s="22">
        <v>-8.88977E-3</v>
      </c>
      <c r="AJ362" s="22">
        <v>352</v>
      </c>
      <c r="AK362" s="22">
        <v>1.6714500000000001</v>
      </c>
      <c r="AL362">
        <f t="shared" si="66"/>
        <v>8.8897700000000004</v>
      </c>
      <c r="AM362">
        <f t="shared" si="67"/>
        <v>14.868318120400001</v>
      </c>
      <c r="AP362" s="9"/>
      <c r="AQ362" s="22">
        <v>2.7465799999999999E-2</v>
      </c>
      <c r="AR362" s="22">
        <v>516.17600000000004</v>
      </c>
      <c r="AS362" s="22">
        <v>-1.7999299999999999E-2</v>
      </c>
      <c r="AT362" s="22">
        <v>352</v>
      </c>
      <c r="AU362" s="22">
        <v>2.73254E-2</v>
      </c>
      <c r="AV362">
        <f t="shared" si="68"/>
        <v>17.999299999999998</v>
      </c>
      <c r="AW362">
        <f t="shared" si="69"/>
        <v>0.4943651739399999</v>
      </c>
      <c r="AX362" s="9"/>
      <c r="AY362" s="22">
        <v>1.67252</v>
      </c>
      <c r="AZ362" s="22">
        <v>588.42999999999995</v>
      </c>
      <c r="BA362" s="22">
        <v>-7.2509799999999998E-3</v>
      </c>
      <c r="BB362" s="22">
        <v>352</v>
      </c>
      <c r="BC362" s="22">
        <v>1.6717500000000001</v>
      </c>
      <c r="BD362">
        <f t="shared" si="70"/>
        <v>7.2509799999999993</v>
      </c>
      <c r="BE362">
        <f t="shared" si="71"/>
        <v>12.127409069599999</v>
      </c>
    </row>
    <row r="363" spans="6:57">
      <c r="F363" s="9"/>
      <c r="G363" s="22">
        <v>2.24304E-2</v>
      </c>
      <c r="H363" s="22">
        <v>109.21599999999999</v>
      </c>
      <c r="I363" s="22">
        <v>-1.7987099999999999E-2</v>
      </c>
      <c r="J363" s="22">
        <v>353</v>
      </c>
      <c r="K363" s="22">
        <v>2.2582999999999999E-2</v>
      </c>
      <c r="L363">
        <f t="shared" si="60"/>
        <v>17.987099999999998</v>
      </c>
      <c r="M363">
        <f t="shared" si="61"/>
        <v>0.40345784783999994</v>
      </c>
      <c r="N363" s="9"/>
      <c r="O363" s="22">
        <v>1.6775500000000001</v>
      </c>
      <c r="P363" s="22">
        <v>175.17599999999999</v>
      </c>
      <c r="Q363" s="22">
        <v>-9.0148899999999994E-3</v>
      </c>
      <c r="R363" s="22">
        <v>353</v>
      </c>
      <c r="S363" s="22">
        <v>1.6766399999999999</v>
      </c>
      <c r="T363">
        <f t="shared" si="62"/>
        <v>9.0148899999999994</v>
      </c>
      <c r="U363">
        <f t="shared" si="63"/>
        <v>15.122928719499999</v>
      </c>
      <c r="X363" s="9"/>
      <c r="Y363" s="22">
        <v>2.24304E-2</v>
      </c>
      <c r="Z363" s="22">
        <v>260.73</v>
      </c>
      <c r="AA363" s="22">
        <v>-1.8060300000000001E-2</v>
      </c>
      <c r="AB363" s="22">
        <v>353</v>
      </c>
      <c r="AC363" s="22">
        <v>2.1933000000000001E-2</v>
      </c>
      <c r="AD363">
        <f t="shared" si="64"/>
        <v>18.060300000000002</v>
      </c>
      <c r="AE363">
        <f t="shared" si="65"/>
        <v>0.40509975312000002</v>
      </c>
      <c r="AF363" s="9"/>
      <c r="AG363" s="22">
        <v>1.6775500000000001</v>
      </c>
      <c r="AH363" s="22">
        <v>415.166</v>
      </c>
      <c r="AI363" s="22">
        <v>-8.2702599999999998E-3</v>
      </c>
      <c r="AJ363" s="22">
        <v>353</v>
      </c>
      <c r="AK363" s="22">
        <v>1.6769400000000001</v>
      </c>
      <c r="AL363">
        <f t="shared" si="66"/>
        <v>8.2702600000000004</v>
      </c>
      <c r="AM363">
        <f t="shared" si="67"/>
        <v>13.873774663000001</v>
      </c>
      <c r="AP363" s="9"/>
      <c r="AQ363" s="22">
        <v>2.24304E-2</v>
      </c>
      <c r="AR363" s="22">
        <v>516.27700000000004</v>
      </c>
      <c r="AS363" s="22">
        <v>-1.8008400000000001E-2</v>
      </c>
      <c r="AT363" s="22">
        <v>353</v>
      </c>
      <c r="AU363" s="22">
        <v>2.22504E-2</v>
      </c>
      <c r="AV363">
        <f t="shared" si="68"/>
        <v>18.008400000000002</v>
      </c>
      <c r="AW363">
        <f t="shared" si="69"/>
        <v>0.40393561536000006</v>
      </c>
      <c r="AX363" s="9"/>
      <c r="AY363" s="22">
        <v>1.6775500000000001</v>
      </c>
      <c r="AZ363" s="22">
        <v>588.53099999999995</v>
      </c>
      <c r="BA363" s="22">
        <v>-6.4147900000000001E-3</v>
      </c>
      <c r="BB363" s="22">
        <v>353</v>
      </c>
      <c r="BC363" s="22">
        <v>1.6769400000000001</v>
      </c>
      <c r="BD363">
        <f t="shared" si="70"/>
        <v>6.41479</v>
      </c>
      <c r="BE363">
        <f t="shared" si="71"/>
        <v>10.761130964500001</v>
      </c>
    </row>
    <row r="364" spans="6:57">
      <c r="F364" s="9"/>
      <c r="G364" s="22">
        <v>1.7395000000000001E-2</v>
      </c>
      <c r="H364" s="22">
        <v>109.31699999999999</v>
      </c>
      <c r="I364" s="22">
        <v>-1.7990099999999998E-2</v>
      </c>
      <c r="J364" s="22">
        <v>354</v>
      </c>
      <c r="K364" s="22">
        <v>1.7456099999999999E-2</v>
      </c>
      <c r="L364">
        <f t="shared" si="60"/>
        <v>17.990099999999998</v>
      </c>
      <c r="M364">
        <f t="shared" si="61"/>
        <v>0.31293778950000001</v>
      </c>
      <c r="N364" s="9"/>
      <c r="O364" s="22">
        <v>1.68259</v>
      </c>
      <c r="P364" s="22">
        <v>175.27699999999999</v>
      </c>
      <c r="Q364" s="22">
        <v>-8.1665000000000001E-3</v>
      </c>
      <c r="R364" s="22">
        <v>354</v>
      </c>
      <c r="S364" s="22">
        <v>1.6824300000000001</v>
      </c>
      <c r="T364">
        <f t="shared" si="62"/>
        <v>8.166500000000001</v>
      </c>
      <c r="U364">
        <f t="shared" si="63"/>
        <v>13.740871235000002</v>
      </c>
      <c r="X364" s="9"/>
      <c r="Y364" s="22">
        <v>1.7395000000000001E-2</v>
      </c>
      <c r="Z364" s="22">
        <v>260.83</v>
      </c>
      <c r="AA364" s="22">
        <v>-1.80634E-2</v>
      </c>
      <c r="AB364" s="22">
        <v>354</v>
      </c>
      <c r="AC364" s="22">
        <v>1.7282100000000002E-2</v>
      </c>
      <c r="AD364">
        <f t="shared" si="64"/>
        <v>18.063400000000001</v>
      </c>
      <c r="AE364">
        <f t="shared" si="65"/>
        <v>0.31421284300000002</v>
      </c>
      <c r="AF364" s="9"/>
      <c r="AG364" s="22">
        <v>1.68259</v>
      </c>
      <c r="AH364" s="22">
        <v>415.267</v>
      </c>
      <c r="AI364" s="22">
        <v>-7.4798599999999996E-3</v>
      </c>
      <c r="AJ364" s="22">
        <v>354</v>
      </c>
      <c r="AK364" s="22">
        <v>1.6818200000000001</v>
      </c>
      <c r="AL364">
        <f t="shared" si="66"/>
        <v>7.4798599999999995</v>
      </c>
      <c r="AM364">
        <f t="shared" si="67"/>
        <v>12.5855376374</v>
      </c>
      <c r="AP364" s="9"/>
      <c r="AQ364" s="22">
        <v>1.7395000000000001E-2</v>
      </c>
      <c r="AR364" s="22">
        <v>516.37800000000004</v>
      </c>
      <c r="AS364" s="22">
        <v>-1.8005400000000001E-2</v>
      </c>
      <c r="AT364" s="22">
        <v>354</v>
      </c>
      <c r="AU364" s="22">
        <v>1.73157E-2</v>
      </c>
      <c r="AV364">
        <f t="shared" si="68"/>
        <v>18.005400000000002</v>
      </c>
      <c r="AW364">
        <f t="shared" si="69"/>
        <v>0.31320393300000005</v>
      </c>
      <c r="AX364" s="9"/>
      <c r="AY364" s="22">
        <v>1.68259</v>
      </c>
      <c r="AZ364" s="22">
        <v>588.63199999999995</v>
      </c>
      <c r="BA364" s="22">
        <v>-5.4565400000000002E-3</v>
      </c>
      <c r="BB364" s="22">
        <v>354</v>
      </c>
      <c r="BC364" s="22">
        <v>1.6818200000000001</v>
      </c>
      <c r="BD364">
        <f t="shared" si="70"/>
        <v>5.4565400000000004</v>
      </c>
      <c r="BE364">
        <f t="shared" si="71"/>
        <v>9.1811196386000002</v>
      </c>
    </row>
    <row r="365" spans="6:57">
      <c r="F365" s="9"/>
      <c r="G365" s="22">
        <v>1.23596E-2</v>
      </c>
      <c r="H365" s="22">
        <v>109.41800000000001</v>
      </c>
      <c r="I365" s="22">
        <v>-1.79962E-2</v>
      </c>
      <c r="J365" s="22">
        <v>355</v>
      </c>
      <c r="K365" s="22">
        <v>1.23322E-2</v>
      </c>
      <c r="L365">
        <f t="shared" si="60"/>
        <v>17.996200000000002</v>
      </c>
      <c r="M365">
        <f t="shared" si="61"/>
        <v>0.22242583352000003</v>
      </c>
      <c r="N365" s="9"/>
      <c r="O365" s="22">
        <v>1.6876199999999999</v>
      </c>
      <c r="P365" s="22">
        <v>175.37799999999999</v>
      </c>
      <c r="Q365" s="22">
        <v>-7.1380599999999999E-3</v>
      </c>
      <c r="R365" s="22">
        <v>355</v>
      </c>
      <c r="S365" s="22">
        <v>1.6870099999999999</v>
      </c>
      <c r="T365">
        <f t="shared" si="62"/>
        <v>7.1380600000000003</v>
      </c>
      <c r="U365">
        <f t="shared" si="63"/>
        <v>12.0463328172</v>
      </c>
      <c r="X365" s="9"/>
      <c r="Y365" s="22">
        <v>1.23596E-2</v>
      </c>
      <c r="Z365" s="22">
        <v>260.93099999999998</v>
      </c>
      <c r="AA365" s="22">
        <v>-1.80664E-2</v>
      </c>
      <c r="AB365" s="22">
        <v>355</v>
      </c>
      <c r="AC365" s="22">
        <v>1.20514E-2</v>
      </c>
      <c r="AD365">
        <f t="shared" si="64"/>
        <v>18.066400000000002</v>
      </c>
      <c r="AE365">
        <f t="shared" si="65"/>
        <v>0.22329347744000003</v>
      </c>
      <c r="AF365" s="9"/>
      <c r="AG365" s="22">
        <v>1.6876199999999999</v>
      </c>
      <c r="AH365" s="22">
        <v>415.36799999999999</v>
      </c>
      <c r="AI365" s="22">
        <v>-6.4239500000000003E-3</v>
      </c>
      <c r="AJ365" s="22">
        <v>355</v>
      </c>
      <c r="AK365" s="22">
        <v>1.6870099999999999</v>
      </c>
      <c r="AL365">
        <f t="shared" si="66"/>
        <v>6.4239500000000005</v>
      </c>
      <c r="AM365">
        <f t="shared" si="67"/>
        <v>10.841186499000001</v>
      </c>
      <c r="AP365" s="9"/>
      <c r="AQ365" s="22">
        <v>1.23596E-2</v>
      </c>
      <c r="AR365" s="22">
        <v>516.47799999999995</v>
      </c>
      <c r="AS365" s="22">
        <v>-1.80115E-2</v>
      </c>
      <c r="AT365" s="22">
        <v>355</v>
      </c>
      <c r="AU365" s="22">
        <v>1.22559E-2</v>
      </c>
      <c r="AV365">
        <f t="shared" si="68"/>
        <v>18.011499999999998</v>
      </c>
      <c r="AW365">
        <f t="shared" si="69"/>
        <v>0.22261493539999999</v>
      </c>
      <c r="AX365" s="9"/>
      <c r="AY365" s="22">
        <v>1.6876199999999999</v>
      </c>
      <c r="AZ365" s="22">
        <v>588.73299999999995</v>
      </c>
      <c r="BA365" s="22">
        <v>-4.29474E-3</v>
      </c>
      <c r="BB365" s="22">
        <v>355</v>
      </c>
      <c r="BC365" s="22">
        <v>1.6867099999999999</v>
      </c>
      <c r="BD365">
        <f t="shared" si="70"/>
        <v>4.29474</v>
      </c>
      <c r="BE365">
        <f t="shared" si="71"/>
        <v>7.2478891187999999</v>
      </c>
    </row>
    <row r="366" spans="6:57">
      <c r="F366" s="9"/>
      <c r="G366" s="22">
        <v>7.3242200000000002E-3</v>
      </c>
      <c r="H366" s="22">
        <v>109.518</v>
      </c>
      <c r="I366" s="22">
        <v>-1.8002299999999999E-2</v>
      </c>
      <c r="J366" s="22">
        <v>356</v>
      </c>
      <c r="K366" s="22">
        <v>7.0434599999999997E-3</v>
      </c>
      <c r="L366">
        <f t="shared" si="60"/>
        <v>18.002299999999998</v>
      </c>
      <c r="M366">
        <f t="shared" si="61"/>
        <v>0.131852805706</v>
      </c>
      <c r="N366" s="9"/>
      <c r="O366" s="22">
        <v>1.6926600000000001</v>
      </c>
      <c r="P366" s="22">
        <v>175.47800000000001</v>
      </c>
      <c r="Q366" s="22">
        <v>-6.0821499999999997E-3</v>
      </c>
      <c r="R366" s="22">
        <v>356</v>
      </c>
      <c r="S366" s="22">
        <v>1.6918899999999999</v>
      </c>
      <c r="T366">
        <f t="shared" si="62"/>
        <v>6.0821499999999995</v>
      </c>
      <c r="U366">
        <f t="shared" si="63"/>
        <v>10.295012019</v>
      </c>
      <c r="X366" s="9"/>
      <c r="Y366" s="22">
        <v>7.3242200000000002E-3</v>
      </c>
      <c r="Z366" s="22">
        <v>261.03199999999998</v>
      </c>
      <c r="AA366" s="22">
        <v>-1.8072499999999998E-2</v>
      </c>
      <c r="AB366" s="22">
        <v>356</v>
      </c>
      <c r="AC366" s="22">
        <v>7.40356E-3</v>
      </c>
      <c r="AD366">
        <f t="shared" si="64"/>
        <v>18.072499999999998</v>
      </c>
      <c r="AE366">
        <f t="shared" si="65"/>
        <v>0.13236696595</v>
      </c>
      <c r="AF366" s="9"/>
      <c r="AG366" s="22">
        <v>1.6926600000000001</v>
      </c>
      <c r="AH366" s="22">
        <v>415.46800000000002</v>
      </c>
      <c r="AI366" s="22">
        <v>-5.3161600000000003E-3</v>
      </c>
      <c r="AJ366" s="22">
        <v>356</v>
      </c>
      <c r="AK366" s="22">
        <v>1.6915899999999999</v>
      </c>
      <c r="AL366">
        <f t="shared" si="66"/>
        <v>5.31616</v>
      </c>
      <c r="AM366">
        <f t="shared" si="67"/>
        <v>8.998451385600001</v>
      </c>
      <c r="AP366" s="9"/>
      <c r="AQ366" s="22">
        <v>7.3242200000000002E-3</v>
      </c>
      <c r="AR366" s="22">
        <v>516.57899999999995</v>
      </c>
      <c r="AS366" s="22">
        <v>-1.8014499999999999E-2</v>
      </c>
      <c r="AT366" s="22">
        <v>356</v>
      </c>
      <c r="AU366" s="22">
        <v>7.1228000000000003E-3</v>
      </c>
      <c r="AV366">
        <f t="shared" si="68"/>
        <v>18.014499999999998</v>
      </c>
      <c r="AW366">
        <f t="shared" si="69"/>
        <v>0.13194216118999999</v>
      </c>
      <c r="AX366" s="9"/>
      <c r="AY366" s="22">
        <v>1.6926600000000001</v>
      </c>
      <c r="AZ366" s="22">
        <v>588.83299999999997</v>
      </c>
      <c r="BA366" s="22">
        <v>-2.8671299999999999E-3</v>
      </c>
      <c r="BB366" s="22">
        <v>356</v>
      </c>
      <c r="BC366" s="22">
        <v>1.6921999999999999</v>
      </c>
      <c r="BD366">
        <f t="shared" si="70"/>
        <v>2.86713</v>
      </c>
      <c r="BE366">
        <f t="shared" si="71"/>
        <v>4.8530762658000004</v>
      </c>
    </row>
    <row r="367" spans="6:57">
      <c r="F367" s="9"/>
      <c r="G367" s="22">
        <v>2.28882E-3</v>
      </c>
      <c r="H367" s="22">
        <v>109.619</v>
      </c>
      <c r="I367" s="22">
        <v>-1.7999299999999999E-2</v>
      </c>
      <c r="J367" s="22">
        <v>357</v>
      </c>
      <c r="K367" s="22">
        <v>2.2033700000000001E-3</v>
      </c>
      <c r="L367">
        <f t="shared" si="60"/>
        <v>17.999299999999998</v>
      </c>
      <c r="M367">
        <f t="shared" si="61"/>
        <v>4.1197157825999996E-2</v>
      </c>
      <c r="N367" s="9"/>
      <c r="O367" s="22">
        <v>1.6976899999999999</v>
      </c>
      <c r="P367" s="22">
        <v>175.57900000000001</v>
      </c>
      <c r="Q367" s="22">
        <v>-4.9127199999999998E-3</v>
      </c>
      <c r="R367" s="22">
        <v>357</v>
      </c>
      <c r="S367" s="22">
        <v>1.69739</v>
      </c>
      <c r="T367">
        <f t="shared" si="62"/>
        <v>4.9127200000000002</v>
      </c>
      <c r="U367">
        <f t="shared" si="63"/>
        <v>8.3402756167999996</v>
      </c>
      <c r="X367" s="9"/>
      <c r="Y367" s="22">
        <v>2.28882E-3</v>
      </c>
      <c r="Z367" s="22">
        <v>261.13200000000001</v>
      </c>
      <c r="AA367" s="22">
        <v>-1.8072499999999998E-2</v>
      </c>
      <c r="AB367" s="22">
        <v>357</v>
      </c>
      <c r="AC367" s="22">
        <v>2.2705099999999999E-3</v>
      </c>
      <c r="AD367">
        <f t="shared" si="64"/>
        <v>18.072499999999998</v>
      </c>
      <c r="AE367">
        <f t="shared" si="65"/>
        <v>4.1364699449999993E-2</v>
      </c>
      <c r="AF367" s="9"/>
      <c r="AG367" s="22">
        <v>1.6976899999999999</v>
      </c>
      <c r="AH367" s="22">
        <v>415.56900000000002</v>
      </c>
      <c r="AI367" s="22">
        <v>-3.9779699999999999E-3</v>
      </c>
      <c r="AJ367" s="22">
        <v>357</v>
      </c>
      <c r="AK367" s="22">
        <v>1.69678</v>
      </c>
      <c r="AL367">
        <f t="shared" si="66"/>
        <v>3.97797</v>
      </c>
      <c r="AM367">
        <f t="shared" si="67"/>
        <v>6.7533598892999995</v>
      </c>
      <c r="AP367" s="9"/>
      <c r="AQ367" s="22">
        <v>2.28882E-3</v>
      </c>
      <c r="AR367" s="22">
        <v>516.67999999999995</v>
      </c>
      <c r="AS367" s="22">
        <v>-1.80237E-2</v>
      </c>
      <c r="AT367" s="22">
        <v>357</v>
      </c>
      <c r="AU367" s="22">
        <v>1.85852E-3</v>
      </c>
      <c r="AV367">
        <f t="shared" si="68"/>
        <v>18.023700000000002</v>
      </c>
      <c r="AW367">
        <f t="shared" si="69"/>
        <v>4.1253005034000007E-2</v>
      </c>
      <c r="AX367" s="9"/>
      <c r="AY367" s="22">
        <v>1.6976899999999999</v>
      </c>
      <c r="AZ367" s="22">
        <v>588.93399999999997</v>
      </c>
      <c r="BA367" s="22">
        <v>-1.3214100000000001E-3</v>
      </c>
      <c r="BB367" s="22">
        <v>357</v>
      </c>
      <c r="BC367" s="22">
        <v>1.6970799999999999</v>
      </c>
      <c r="BD367">
        <f t="shared" si="70"/>
        <v>1.32141</v>
      </c>
      <c r="BE367">
        <f t="shared" si="71"/>
        <v>2.2433445429000001</v>
      </c>
    </row>
    <row r="368" spans="6:57">
      <c r="F368" s="9"/>
      <c r="G368" s="22">
        <v>-2.7465800000000002E-3</v>
      </c>
      <c r="H368" s="22">
        <v>109.72</v>
      </c>
      <c r="I368" s="22">
        <v>-1.80115E-2</v>
      </c>
      <c r="J368" s="22">
        <v>358</v>
      </c>
      <c r="K368" s="22">
        <v>-2.9266399999999999E-3</v>
      </c>
      <c r="L368">
        <f t="shared" si="60"/>
        <v>18.011499999999998</v>
      </c>
      <c r="M368">
        <f t="shared" si="61"/>
        <v>-4.9470025670000001E-2</v>
      </c>
      <c r="N368" s="9"/>
      <c r="O368" s="22">
        <v>1.7027300000000001</v>
      </c>
      <c r="P368" s="22">
        <v>175.68</v>
      </c>
      <c r="Q368" s="22">
        <v>-3.5644499999999998E-3</v>
      </c>
      <c r="R368" s="22">
        <v>358</v>
      </c>
      <c r="S368" s="22">
        <v>1.70166</v>
      </c>
      <c r="T368">
        <f t="shared" si="62"/>
        <v>3.5644499999999999</v>
      </c>
      <c r="U368">
        <f t="shared" si="63"/>
        <v>6.0692959484999998</v>
      </c>
      <c r="X368" s="9"/>
      <c r="Y368" s="22">
        <v>-2.7465800000000002E-3</v>
      </c>
      <c r="Z368" s="22">
        <v>261.233</v>
      </c>
      <c r="AA368" s="22">
        <v>-1.80786E-2</v>
      </c>
      <c r="AB368" s="22">
        <v>358</v>
      </c>
      <c r="AC368" s="22">
        <v>-2.9937700000000002E-3</v>
      </c>
      <c r="AD368">
        <f t="shared" si="64"/>
        <v>18.078600000000002</v>
      </c>
      <c r="AE368">
        <f t="shared" si="65"/>
        <v>-4.9654321188000006E-2</v>
      </c>
      <c r="AF368" s="9"/>
      <c r="AG368" s="22">
        <v>1.7027300000000001</v>
      </c>
      <c r="AH368" s="22">
        <v>415.67</v>
      </c>
      <c r="AI368" s="22">
        <v>-2.67059E-3</v>
      </c>
      <c r="AJ368" s="22">
        <v>358</v>
      </c>
      <c r="AK368" s="22">
        <v>1.70258</v>
      </c>
      <c r="AL368">
        <f t="shared" si="66"/>
        <v>2.6705900000000002</v>
      </c>
      <c r="AM368">
        <f t="shared" si="67"/>
        <v>4.5472937107000009</v>
      </c>
      <c r="AP368" s="9"/>
      <c r="AQ368" s="22">
        <v>-2.7465800000000002E-3</v>
      </c>
      <c r="AR368" s="22">
        <v>516.78099999999995</v>
      </c>
      <c r="AS368" s="22">
        <v>-1.8020600000000001E-2</v>
      </c>
      <c r="AT368" s="22">
        <v>358</v>
      </c>
      <c r="AU368" s="22">
        <v>-2.9754600000000001E-3</v>
      </c>
      <c r="AV368">
        <f t="shared" si="68"/>
        <v>18.020600000000002</v>
      </c>
      <c r="AW368">
        <f t="shared" si="69"/>
        <v>-4.9495019548000008E-2</v>
      </c>
      <c r="AX368" s="9"/>
      <c r="AY368" s="22">
        <v>1.7027300000000001</v>
      </c>
      <c r="AZ368" s="22">
        <v>589.03499999999997</v>
      </c>
      <c r="BA368" s="22">
        <v>6.3476600000000004E-4</v>
      </c>
      <c r="BB368" s="22">
        <v>358</v>
      </c>
      <c r="BC368" s="22">
        <v>1.7022699999999999</v>
      </c>
      <c r="BD368">
        <f t="shared" si="70"/>
        <v>-0.63476600000000005</v>
      </c>
      <c r="BE368">
        <f t="shared" si="71"/>
        <v>-1.0808351111800001</v>
      </c>
    </row>
    <row r="369" spans="6:57">
      <c r="F369" s="9"/>
      <c r="G369" s="22">
        <v>-7.78198E-3</v>
      </c>
      <c r="H369" s="22">
        <v>109.82</v>
      </c>
      <c r="I369" s="22">
        <v>-1.8014499999999999E-2</v>
      </c>
      <c r="J369" s="22">
        <v>359</v>
      </c>
      <c r="K369" s="22">
        <v>-7.7484099999999998E-3</v>
      </c>
      <c r="L369">
        <f t="shared" si="60"/>
        <v>18.014499999999998</v>
      </c>
      <c r="M369">
        <f t="shared" si="61"/>
        <v>-0.14018847870999998</v>
      </c>
      <c r="N369" s="9"/>
      <c r="O369" s="22">
        <v>1.7077599999999999</v>
      </c>
      <c r="P369" s="22">
        <v>175.78</v>
      </c>
      <c r="Q369" s="22">
        <v>-1.9677700000000002E-3</v>
      </c>
      <c r="R369" s="22">
        <v>359</v>
      </c>
      <c r="S369" s="22">
        <v>1.70685</v>
      </c>
      <c r="T369">
        <f t="shared" si="62"/>
        <v>1.9677700000000002</v>
      </c>
      <c r="U369">
        <f t="shared" si="63"/>
        <v>3.3604788952000004</v>
      </c>
      <c r="X369" s="9"/>
      <c r="Y369" s="22">
        <v>-7.78198E-3</v>
      </c>
      <c r="Z369" s="22">
        <v>261.334</v>
      </c>
      <c r="AA369" s="22">
        <v>-1.80786E-2</v>
      </c>
      <c r="AB369" s="22">
        <v>359</v>
      </c>
      <c r="AC369" s="22">
        <v>-7.9925499999999993E-3</v>
      </c>
      <c r="AD369">
        <f t="shared" si="64"/>
        <v>18.078600000000002</v>
      </c>
      <c r="AE369">
        <f t="shared" si="65"/>
        <v>-0.140687303628</v>
      </c>
      <c r="AF369" s="9"/>
      <c r="AG369" s="22">
        <v>1.7077599999999999</v>
      </c>
      <c r="AH369" s="22">
        <v>415.77100000000002</v>
      </c>
      <c r="AI369" s="22">
        <v>-1.06354E-3</v>
      </c>
      <c r="AJ369" s="22">
        <v>359</v>
      </c>
      <c r="AK369" s="22">
        <v>1.70685</v>
      </c>
      <c r="AL369">
        <f t="shared" si="66"/>
        <v>1.0635399999999999</v>
      </c>
      <c r="AM369">
        <f t="shared" si="67"/>
        <v>1.8162710703999998</v>
      </c>
      <c r="AP369" s="9"/>
      <c r="AQ369" s="22">
        <v>-7.78198E-3</v>
      </c>
      <c r="AR369" s="22">
        <v>516.88099999999997</v>
      </c>
      <c r="AS369" s="22">
        <v>-1.8020600000000001E-2</v>
      </c>
      <c r="AT369" s="22">
        <v>359</v>
      </c>
      <c r="AU369" s="22">
        <v>-7.8918500000000006E-3</v>
      </c>
      <c r="AV369">
        <f t="shared" si="68"/>
        <v>18.020600000000002</v>
      </c>
      <c r="AW369">
        <f t="shared" si="69"/>
        <v>-0.14023594878800003</v>
      </c>
      <c r="AX369" s="9"/>
      <c r="AY369" s="22">
        <v>1.7077599999999999</v>
      </c>
      <c r="AZ369" s="22">
        <v>589.13499999999999</v>
      </c>
      <c r="BA369" s="22">
        <v>3.1350699999999998E-3</v>
      </c>
      <c r="BB369" s="22">
        <v>359</v>
      </c>
      <c r="BC369" s="22">
        <v>1.70685</v>
      </c>
      <c r="BD369">
        <f t="shared" si="70"/>
        <v>-3.1350699999999998</v>
      </c>
      <c r="BE369">
        <f t="shared" si="71"/>
        <v>-5.3539471431999992</v>
      </c>
    </row>
    <row r="370" spans="6:57">
      <c r="F370" s="9"/>
      <c r="G370" s="22">
        <v>-1.28174E-2</v>
      </c>
      <c r="H370" s="22">
        <v>109.92100000000001</v>
      </c>
      <c r="I370" s="22">
        <v>-1.8014499999999999E-2</v>
      </c>
      <c r="J370" s="22">
        <v>360</v>
      </c>
      <c r="K370" s="22">
        <v>-1.3070699999999999E-2</v>
      </c>
      <c r="L370">
        <f t="shared" si="60"/>
        <v>18.014499999999998</v>
      </c>
      <c r="M370">
        <f t="shared" si="61"/>
        <v>-0.23089905229999996</v>
      </c>
      <c r="N370" s="9"/>
      <c r="O370" s="22">
        <v>1.7128000000000001</v>
      </c>
      <c r="P370" s="22">
        <v>175.881</v>
      </c>
      <c r="Q370" s="22">
        <v>-1.45172E-4</v>
      </c>
      <c r="R370" s="22">
        <v>360</v>
      </c>
      <c r="S370" s="22">
        <v>1.71204</v>
      </c>
      <c r="T370">
        <f t="shared" si="62"/>
        <v>0.145172</v>
      </c>
      <c r="U370">
        <f t="shared" si="63"/>
        <v>0.24865060159999999</v>
      </c>
      <c r="X370" s="9"/>
      <c r="Y370" s="22">
        <v>-1.28174E-2</v>
      </c>
      <c r="Z370" s="22">
        <v>261.435</v>
      </c>
      <c r="AA370" s="22">
        <v>-1.8084699999999999E-2</v>
      </c>
      <c r="AB370" s="22">
        <v>360</v>
      </c>
      <c r="AC370" s="22">
        <v>-1.2936400000000001E-2</v>
      </c>
      <c r="AD370">
        <f t="shared" si="64"/>
        <v>18.084699999999998</v>
      </c>
      <c r="AE370">
        <f t="shared" si="65"/>
        <v>-0.23179883377999996</v>
      </c>
      <c r="AF370" s="9"/>
      <c r="AG370" s="22">
        <v>1.7128000000000001</v>
      </c>
      <c r="AH370" s="22">
        <v>415.87099999999998</v>
      </c>
      <c r="AI370" s="22">
        <v>1.0604900000000001E-3</v>
      </c>
      <c r="AJ370" s="22">
        <v>360</v>
      </c>
      <c r="AK370" s="22">
        <v>1.71234</v>
      </c>
      <c r="AL370">
        <f t="shared" si="66"/>
        <v>-1.0604900000000002</v>
      </c>
      <c r="AM370">
        <f t="shared" si="67"/>
        <v>-1.8164072720000004</v>
      </c>
      <c r="AP370" s="9"/>
      <c r="AQ370" s="22">
        <v>-1.28174E-2</v>
      </c>
      <c r="AR370" s="22">
        <v>516.98199999999997</v>
      </c>
      <c r="AS370" s="22">
        <v>-1.8029799999999999E-2</v>
      </c>
      <c r="AT370" s="22">
        <v>360</v>
      </c>
      <c r="AU370" s="22">
        <v>-1.2893699999999999E-2</v>
      </c>
      <c r="AV370">
        <f t="shared" si="68"/>
        <v>18.029799999999998</v>
      </c>
      <c r="AW370">
        <f t="shared" si="69"/>
        <v>-0.23109515851999995</v>
      </c>
      <c r="AX370" s="9"/>
      <c r="AY370" s="22">
        <v>1.7128000000000001</v>
      </c>
      <c r="AZ370" s="22">
        <v>589.23599999999999</v>
      </c>
      <c r="BA370" s="22">
        <v>5.9539800000000002E-3</v>
      </c>
      <c r="BB370" s="22">
        <v>360</v>
      </c>
      <c r="BC370" s="22">
        <v>1.71204</v>
      </c>
      <c r="BD370">
        <f t="shared" si="70"/>
        <v>-5.9539800000000005</v>
      </c>
      <c r="BE370">
        <f t="shared" si="71"/>
        <v>-10.197976944000002</v>
      </c>
    </row>
    <row r="371" spans="6:57">
      <c r="F371" s="9"/>
      <c r="G371" s="22">
        <v>-1.7852799999999999E-2</v>
      </c>
      <c r="H371" s="22">
        <v>110.02200000000001</v>
      </c>
      <c r="I371" s="22">
        <v>-1.80237E-2</v>
      </c>
      <c r="J371" s="22">
        <v>361</v>
      </c>
      <c r="K371" s="22">
        <v>-1.8264800000000001E-2</v>
      </c>
      <c r="L371">
        <f t="shared" si="60"/>
        <v>18.023700000000002</v>
      </c>
      <c r="M371">
        <f t="shared" si="61"/>
        <v>-0.32177351135999999</v>
      </c>
      <c r="N371" s="9"/>
      <c r="O371" s="22">
        <v>1.71783</v>
      </c>
      <c r="P371" s="22">
        <v>175.982</v>
      </c>
      <c r="Q371" s="22">
        <v>2.5009199999999998E-3</v>
      </c>
      <c r="R371" s="22">
        <v>361</v>
      </c>
      <c r="S371" s="22">
        <v>1.71722</v>
      </c>
      <c r="T371">
        <f t="shared" si="62"/>
        <v>-2.5009199999999998</v>
      </c>
      <c r="U371">
        <f t="shared" si="63"/>
        <v>-4.2961554035999994</v>
      </c>
      <c r="X371" s="9"/>
      <c r="Y371" s="22">
        <v>-1.7852799999999999E-2</v>
      </c>
      <c r="Z371" s="22">
        <v>261.53500000000003</v>
      </c>
      <c r="AA371" s="22">
        <v>-1.8087800000000001E-2</v>
      </c>
      <c r="AB371" s="22">
        <v>361</v>
      </c>
      <c r="AC371" s="22">
        <v>-1.8054199999999999E-2</v>
      </c>
      <c r="AD371">
        <f t="shared" si="64"/>
        <v>18.087800000000001</v>
      </c>
      <c r="AE371">
        <f t="shared" si="65"/>
        <v>-0.32291787583999998</v>
      </c>
      <c r="AF371" s="9"/>
      <c r="AG371" s="22">
        <v>1.71783</v>
      </c>
      <c r="AH371" s="22">
        <v>415.97199999999998</v>
      </c>
      <c r="AI371" s="22">
        <v>3.4365799999999998E-3</v>
      </c>
      <c r="AJ371" s="22">
        <v>361</v>
      </c>
      <c r="AK371" s="22">
        <v>1.71722</v>
      </c>
      <c r="AL371">
        <f t="shared" si="66"/>
        <v>-3.4365799999999997</v>
      </c>
      <c r="AM371">
        <f t="shared" si="67"/>
        <v>-5.9034602213999996</v>
      </c>
      <c r="AP371" s="9"/>
      <c r="AQ371" s="22">
        <v>-1.7852799999999999E-2</v>
      </c>
      <c r="AR371" s="22">
        <v>517.08299999999997</v>
      </c>
      <c r="AS371" s="22">
        <v>-1.8032800000000002E-2</v>
      </c>
      <c r="AT371" s="22">
        <v>361</v>
      </c>
      <c r="AU371" s="22">
        <v>-1.8008400000000001E-2</v>
      </c>
      <c r="AV371">
        <f t="shared" si="68"/>
        <v>18.032800000000002</v>
      </c>
      <c r="AW371">
        <f t="shared" si="69"/>
        <v>-0.32193597184</v>
      </c>
      <c r="AX371" s="9"/>
      <c r="AY371" s="22">
        <v>1.71783</v>
      </c>
      <c r="AZ371" s="22">
        <v>589.33699999999999</v>
      </c>
      <c r="BA371" s="22">
        <v>8.8745100000000004E-3</v>
      </c>
      <c r="BB371" s="22">
        <v>361</v>
      </c>
      <c r="BC371" s="22">
        <v>1.71722</v>
      </c>
      <c r="BD371">
        <f t="shared" si="70"/>
        <v>-8.8745100000000008</v>
      </c>
      <c r="BE371">
        <f t="shared" si="71"/>
        <v>-15.244899513300002</v>
      </c>
    </row>
    <row r="372" spans="6:57">
      <c r="F372" s="9"/>
      <c r="G372" s="22">
        <v>-2.2888200000000001E-2</v>
      </c>
      <c r="H372" s="22">
        <v>110.123</v>
      </c>
      <c r="I372" s="22">
        <v>-1.8020600000000001E-2</v>
      </c>
      <c r="J372" s="22">
        <v>362</v>
      </c>
      <c r="K372" s="22">
        <v>-2.2827099999999999E-2</v>
      </c>
      <c r="L372">
        <f t="shared" si="60"/>
        <v>18.020600000000002</v>
      </c>
      <c r="M372">
        <f t="shared" si="61"/>
        <v>-0.41245909692000005</v>
      </c>
      <c r="N372" s="9"/>
      <c r="O372" s="22">
        <v>1.7228699999999999</v>
      </c>
      <c r="P372" s="22">
        <v>176.083</v>
      </c>
      <c r="Q372" s="22">
        <v>5.2337599999999996E-3</v>
      </c>
      <c r="R372" s="22">
        <v>362</v>
      </c>
      <c r="S372" s="22">
        <v>1.72211</v>
      </c>
      <c r="T372">
        <f t="shared" si="62"/>
        <v>-5.2337599999999993</v>
      </c>
      <c r="U372">
        <f t="shared" si="63"/>
        <v>-9.017088091199998</v>
      </c>
      <c r="X372" s="9"/>
      <c r="Y372" s="22">
        <v>-2.2888200000000001E-2</v>
      </c>
      <c r="Z372" s="22">
        <v>261.63600000000002</v>
      </c>
      <c r="AA372" s="22">
        <v>-1.80939E-2</v>
      </c>
      <c r="AB372" s="22">
        <v>362</v>
      </c>
      <c r="AC372" s="22">
        <v>-2.3077400000000001E-2</v>
      </c>
      <c r="AD372">
        <f t="shared" si="64"/>
        <v>18.093899999999998</v>
      </c>
      <c r="AE372">
        <f t="shared" si="65"/>
        <v>-0.41413680197999997</v>
      </c>
      <c r="AF372" s="9"/>
      <c r="AG372" s="22">
        <v>1.7228699999999999</v>
      </c>
      <c r="AH372" s="22">
        <v>416.07299999999998</v>
      </c>
      <c r="AI372" s="22">
        <v>6.3568100000000001E-3</v>
      </c>
      <c r="AJ372" s="22">
        <v>362</v>
      </c>
      <c r="AK372" s="22">
        <v>1.72211</v>
      </c>
      <c r="AL372">
        <f t="shared" si="66"/>
        <v>-6.3568100000000003</v>
      </c>
      <c r="AM372">
        <f t="shared" si="67"/>
        <v>-10.951957244699999</v>
      </c>
      <c r="AP372" s="9"/>
      <c r="AQ372" s="22">
        <v>-2.2888200000000001E-2</v>
      </c>
      <c r="AR372" s="22">
        <v>517.18299999999999</v>
      </c>
      <c r="AS372" s="22">
        <v>-1.8044999999999999E-2</v>
      </c>
      <c r="AT372" s="22">
        <v>362</v>
      </c>
      <c r="AU372" s="22">
        <v>-2.3147600000000001E-2</v>
      </c>
      <c r="AV372">
        <f t="shared" si="68"/>
        <v>18.044999999999998</v>
      </c>
      <c r="AW372">
        <f t="shared" si="69"/>
        <v>-0.41301756899999997</v>
      </c>
      <c r="AX372" s="9"/>
      <c r="AY372" s="22">
        <v>1.7228699999999999</v>
      </c>
      <c r="AZ372" s="22">
        <v>589.43799999999999</v>
      </c>
      <c r="BA372" s="22">
        <v>1.17004E-2</v>
      </c>
      <c r="BB372" s="22">
        <v>362</v>
      </c>
      <c r="BC372" s="22">
        <v>1.72211</v>
      </c>
      <c r="BD372">
        <f t="shared" si="70"/>
        <v>-11.7004</v>
      </c>
      <c r="BE372">
        <f t="shared" si="71"/>
        <v>-20.158268147999998</v>
      </c>
    </row>
    <row r="373" spans="6:57">
      <c r="F373" s="9"/>
      <c r="G373" s="22">
        <v>-2.79236E-2</v>
      </c>
      <c r="H373" s="22">
        <v>110.223</v>
      </c>
      <c r="I373" s="22">
        <v>-1.80267E-2</v>
      </c>
      <c r="J373" s="22">
        <v>363</v>
      </c>
      <c r="K373" s="22">
        <v>-2.8207400000000001E-2</v>
      </c>
      <c r="L373">
        <f t="shared" si="60"/>
        <v>18.026699999999998</v>
      </c>
      <c r="M373">
        <f t="shared" si="61"/>
        <v>-0.50337036011999992</v>
      </c>
      <c r="N373" s="9"/>
      <c r="O373" s="22">
        <v>1.7279100000000001</v>
      </c>
      <c r="P373" s="22">
        <v>176.18299999999999</v>
      </c>
      <c r="Q373" s="22">
        <v>8.1878699999999999E-3</v>
      </c>
      <c r="R373" s="22">
        <v>363</v>
      </c>
      <c r="S373" s="22">
        <v>1.72729</v>
      </c>
      <c r="T373">
        <f t="shared" si="62"/>
        <v>-8.1878700000000002</v>
      </c>
      <c r="U373">
        <f t="shared" si="63"/>
        <v>-14.1479024517</v>
      </c>
      <c r="X373" s="9"/>
      <c r="Y373" s="22">
        <v>-2.79236E-2</v>
      </c>
      <c r="Z373" s="22">
        <v>261.73700000000002</v>
      </c>
      <c r="AA373" s="22">
        <v>-1.8090800000000001E-2</v>
      </c>
      <c r="AB373" s="22">
        <v>363</v>
      </c>
      <c r="AC373" s="22">
        <v>-2.7954099999999999E-2</v>
      </c>
      <c r="AD373">
        <f t="shared" si="64"/>
        <v>18.090800000000002</v>
      </c>
      <c r="AE373">
        <f t="shared" si="65"/>
        <v>-0.50516026288000004</v>
      </c>
      <c r="AF373" s="9"/>
      <c r="AG373" s="22">
        <v>1.7279100000000001</v>
      </c>
      <c r="AH373" s="22">
        <v>416.173</v>
      </c>
      <c r="AI373" s="22">
        <v>9.4268800000000003E-3</v>
      </c>
      <c r="AJ373" s="22">
        <v>363</v>
      </c>
      <c r="AK373" s="22">
        <v>1.72638</v>
      </c>
      <c r="AL373">
        <f t="shared" si="66"/>
        <v>-9.4268800000000006</v>
      </c>
      <c r="AM373">
        <f t="shared" si="67"/>
        <v>-16.288800220800002</v>
      </c>
      <c r="AP373" s="9"/>
      <c r="AQ373" s="22">
        <v>-2.79236E-2</v>
      </c>
      <c r="AR373" s="22">
        <v>517.28399999999999</v>
      </c>
      <c r="AS373" s="22">
        <v>-1.8044999999999999E-2</v>
      </c>
      <c r="AT373" s="22">
        <v>363</v>
      </c>
      <c r="AU373" s="22">
        <v>-2.7877800000000001E-2</v>
      </c>
      <c r="AV373">
        <f t="shared" si="68"/>
        <v>18.044999999999998</v>
      </c>
      <c r="AW373">
        <f t="shared" si="69"/>
        <v>-0.503881362</v>
      </c>
      <c r="AX373" s="9"/>
      <c r="AY373" s="22">
        <v>1.7279100000000001</v>
      </c>
      <c r="AZ373" s="22">
        <v>589.53800000000001</v>
      </c>
      <c r="BA373" s="22">
        <v>1.40045E-2</v>
      </c>
      <c r="BB373" s="22">
        <v>363</v>
      </c>
      <c r="BC373" s="22">
        <v>1.72729</v>
      </c>
      <c r="BD373">
        <f t="shared" si="70"/>
        <v>-14.0045</v>
      </c>
      <c r="BE373">
        <f t="shared" si="71"/>
        <v>-24.198515595</v>
      </c>
    </row>
    <row r="374" spans="6:57">
      <c r="F374" s="9"/>
      <c r="G374" s="22">
        <v>-3.2959000000000002E-2</v>
      </c>
      <c r="H374" s="22">
        <v>110.324</v>
      </c>
      <c r="I374" s="22">
        <v>-1.8029799999999999E-2</v>
      </c>
      <c r="J374" s="22">
        <v>364</v>
      </c>
      <c r="K374" s="22">
        <v>-3.3120700000000003E-2</v>
      </c>
      <c r="L374">
        <f t="shared" si="60"/>
        <v>18.029799999999998</v>
      </c>
      <c r="M374">
        <f t="shared" si="61"/>
        <v>-0.59424417819999997</v>
      </c>
      <c r="N374" s="9"/>
      <c r="O374" s="22">
        <v>1.7329399999999999</v>
      </c>
      <c r="P374" s="22">
        <v>176.28399999999999</v>
      </c>
      <c r="Q374" s="22">
        <v>1.1377E-2</v>
      </c>
      <c r="R374" s="22">
        <v>364</v>
      </c>
      <c r="S374" s="22">
        <v>1.7327900000000001</v>
      </c>
      <c r="T374">
        <f t="shared" si="62"/>
        <v>-11.377000000000001</v>
      </c>
      <c r="U374">
        <f t="shared" si="63"/>
        <v>-19.715658380000001</v>
      </c>
      <c r="X374" s="9"/>
      <c r="Y374" s="22">
        <v>-3.2959000000000002E-2</v>
      </c>
      <c r="Z374" s="22">
        <v>261.83699999999999</v>
      </c>
      <c r="AA374" s="22">
        <v>-1.8090800000000001E-2</v>
      </c>
      <c r="AB374" s="22">
        <v>364</v>
      </c>
      <c r="AC374" s="22">
        <v>-3.3251999999999997E-2</v>
      </c>
      <c r="AD374">
        <f t="shared" si="64"/>
        <v>18.090800000000002</v>
      </c>
      <c r="AE374">
        <f t="shared" si="65"/>
        <v>-0.59625467720000014</v>
      </c>
      <c r="AF374" s="9"/>
      <c r="AG374" s="22">
        <v>1.7329399999999999</v>
      </c>
      <c r="AH374" s="22">
        <v>416.274</v>
      </c>
      <c r="AI374" s="22">
        <v>1.2368799999999999E-2</v>
      </c>
      <c r="AJ374" s="22">
        <v>364</v>
      </c>
      <c r="AK374" s="22">
        <v>1.73248</v>
      </c>
      <c r="AL374">
        <f t="shared" si="66"/>
        <v>-12.368799999999998</v>
      </c>
      <c r="AM374">
        <f t="shared" si="67"/>
        <v>-21.434388271999996</v>
      </c>
      <c r="AP374" s="9"/>
      <c r="AQ374" s="22">
        <v>-3.2959000000000002E-2</v>
      </c>
      <c r="AR374" s="22">
        <v>517.38499999999999</v>
      </c>
      <c r="AS374" s="22">
        <v>-1.8044999999999999E-2</v>
      </c>
      <c r="AT374" s="22">
        <v>364</v>
      </c>
      <c r="AU374" s="22">
        <v>-3.3093299999999999E-2</v>
      </c>
      <c r="AV374">
        <f t="shared" si="68"/>
        <v>18.044999999999998</v>
      </c>
      <c r="AW374">
        <f t="shared" si="69"/>
        <v>-0.59474515500000003</v>
      </c>
      <c r="AX374" s="9"/>
      <c r="AY374" s="22">
        <v>1.7329399999999999</v>
      </c>
      <c r="AZ374" s="22">
        <v>589.63900000000001</v>
      </c>
      <c r="BA374" s="22">
        <v>1.7312600000000001E-2</v>
      </c>
      <c r="BB374" s="22">
        <v>364</v>
      </c>
      <c r="BC374" s="22">
        <v>1.7321800000000001</v>
      </c>
      <c r="BD374">
        <f t="shared" si="70"/>
        <v>-17.3126</v>
      </c>
      <c r="BE374">
        <f t="shared" si="71"/>
        <v>-30.001697043999997</v>
      </c>
    </row>
    <row r="375" spans="6:57">
      <c r="F375" s="9"/>
      <c r="G375" s="22">
        <v>-3.7994399999999998E-2</v>
      </c>
      <c r="H375" s="22">
        <v>110.425</v>
      </c>
      <c r="I375" s="22">
        <v>-1.8035900000000001E-2</v>
      </c>
      <c r="J375" s="22">
        <v>365</v>
      </c>
      <c r="K375" s="22">
        <v>-3.8497900000000002E-2</v>
      </c>
      <c r="L375">
        <f t="shared" si="60"/>
        <v>18.035900000000002</v>
      </c>
      <c r="M375">
        <f t="shared" si="61"/>
        <v>-0.68526319895999999</v>
      </c>
      <c r="N375" s="9"/>
      <c r="O375" s="22">
        <v>1.7379800000000001</v>
      </c>
      <c r="P375" s="22">
        <v>176.38499999999999</v>
      </c>
      <c r="Q375" s="22">
        <v>1.41418E-2</v>
      </c>
      <c r="R375" s="22">
        <v>365</v>
      </c>
      <c r="S375" s="22">
        <v>1.73767</v>
      </c>
      <c r="T375">
        <f t="shared" si="62"/>
        <v>-14.1418</v>
      </c>
      <c r="U375">
        <f t="shared" si="63"/>
        <v>-24.578165564000003</v>
      </c>
      <c r="X375" s="9"/>
      <c r="Y375" s="22">
        <v>-3.7994399999999998E-2</v>
      </c>
      <c r="Z375" s="22">
        <v>261.93799999999999</v>
      </c>
      <c r="AA375" s="22">
        <v>-1.8100000000000002E-2</v>
      </c>
      <c r="AB375" s="22">
        <v>365</v>
      </c>
      <c r="AC375" s="22">
        <v>-3.8192700000000003E-2</v>
      </c>
      <c r="AD375">
        <f t="shared" si="64"/>
        <v>18.100000000000001</v>
      </c>
      <c r="AE375">
        <f t="shared" si="65"/>
        <v>-0.68769864000000003</v>
      </c>
      <c r="AF375" s="9"/>
      <c r="AG375" s="22">
        <v>1.7379800000000001</v>
      </c>
      <c r="AH375" s="22">
        <v>416.375</v>
      </c>
      <c r="AI375" s="22">
        <v>1.52008E-2</v>
      </c>
      <c r="AJ375" s="22">
        <v>365</v>
      </c>
      <c r="AK375" s="22">
        <v>1.7367600000000001</v>
      </c>
      <c r="AL375">
        <f t="shared" si="66"/>
        <v>-15.200800000000001</v>
      </c>
      <c r="AM375">
        <f t="shared" si="67"/>
        <v>-26.418686384000004</v>
      </c>
      <c r="AP375" s="9"/>
      <c r="AQ375" s="22">
        <v>-3.7994399999999998E-2</v>
      </c>
      <c r="AR375" s="22">
        <v>517.48500000000001</v>
      </c>
      <c r="AS375" s="22">
        <v>-1.8044999999999999E-2</v>
      </c>
      <c r="AT375" s="22">
        <v>365</v>
      </c>
      <c r="AU375" s="22">
        <v>-3.85162E-2</v>
      </c>
      <c r="AV375">
        <f t="shared" si="68"/>
        <v>18.044999999999998</v>
      </c>
      <c r="AW375">
        <f t="shared" si="69"/>
        <v>-0.68560894799999994</v>
      </c>
      <c r="AX375" s="9"/>
      <c r="AY375" s="22">
        <v>1.7379800000000001</v>
      </c>
      <c r="AZ375" s="22">
        <v>589.74</v>
      </c>
      <c r="BA375" s="22">
        <v>2.02087E-2</v>
      </c>
      <c r="BB375" s="22">
        <v>365</v>
      </c>
      <c r="BC375" s="22">
        <v>1.7373700000000001</v>
      </c>
      <c r="BD375">
        <f t="shared" si="70"/>
        <v>-20.2087</v>
      </c>
      <c r="BE375">
        <f t="shared" si="71"/>
        <v>-35.122316426000005</v>
      </c>
    </row>
    <row r="376" spans="6:57">
      <c r="F376" s="9"/>
      <c r="G376" s="22">
        <v>-4.30298E-2</v>
      </c>
      <c r="H376" s="22">
        <v>110.52500000000001</v>
      </c>
      <c r="I376" s="22">
        <v>-1.8035900000000001E-2</v>
      </c>
      <c r="J376" s="22">
        <v>366</v>
      </c>
      <c r="K376" s="22">
        <v>-4.3594399999999998E-2</v>
      </c>
      <c r="L376">
        <f t="shared" si="60"/>
        <v>18.035900000000002</v>
      </c>
      <c r="M376">
        <f t="shared" si="61"/>
        <v>-0.77608116982000008</v>
      </c>
      <c r="N376" s="9"/>
      <c r="O376" s="22">
        <v>1.7430099999999999</v>
      </c>
      <c r="P376" s="22">
        <v>176.48500000000001</v>
      </c>
      <c r="Q376" s="22">
        <v>1.75201E-2</v>
      </c>
      <c r="R376" s="22">
        <v>366</v>
      </c>
      <c r="S376" s="22">
        <v>1.74194</v>
      </c>
      <c r="T376">
        <f t="shared" si="62"/>
        <v>-17.520099999999999</v>
      </c>
      <c r="U376">
        <f t="shared" si="63"/>
        <v>-30.537709500999998</v>
      </c>
      <c r="X376" s="9"/>
      <c r="Y376" s="22">
        <v>-4.30298E-2</v>
      </c>
      <c r="Z376" s="22">
        <v>262.03899999999999</v>
      </c>
      <c r="AA376" s="22">
        <v>-1.8103000000000001E-2</v>
      </c>
      <c r="AB376" s="22">
        <v>366</v>
      </c>
      <c r="AC376" s="22">
        <v>-4.33044E-2</v>
      </c>
      <c r="AD376">
        <f t="shared" si="64"/>
        <v>18.103000000000002</v>
      </c>
      <c r="AE376">
        <f t="shared" si="65"/>
        <v>-0.77896846940000009</v>
      </c>
      <c r="AF376" s="9"/>
      <c r="AG376" s="22">
        <v>1.7430099999999999</v>
      </c>
      <c r="AH376" s="22">
        <v>416.476</v>
      </c>
      <c r="AI376" s="22">
        <v>1.8218999999999999E-2</v>
      </c>
      <c r="AJ376" s="22">
        <v>366</v>
      </c>
      <c r="AK376" s="22">
        <v>1.7422500000000001</v>
      </c>
      <c r="AL376">
        <f t="shared" si="66"/>
        <v>-18.218999999999998</v>
      </c>
      <c r="AM376">
        <f t="shared" si="67"/>
        <v>-31.755899189999994</v>
      </c>
      <c r="AP376" s="9"/>
      <c r="AQ376" s="22">
        <v>-4.30298E-2</v>
      </c>
      <c r="AR376" s="22">
        <v>517.58600000000001</v>
      </c>
      <c r="AS376" s="22">
        <v>-1.8048100000000001E-2</v>
      </c>
      <c r="AT376" s="22">
        <v>366</v>
      </c>
      <c r="AU376" s="22">
        <v>-4.3435700000000001E-2</v>
      </c>
      <c r="AV376">
        <f t="shared" si="68"/>
        <v>18.048100000000002</v>
      </c>
      <c r="AW376">
        <f t="shared" si="69"/>
        <v>-0.77660613338000006</v>
      </c>
      <c r="AX376" s="9"/>
      <c r="AY376" s="22">
        <v>1.7430099999999999</v>
      </c>
      <c r="AZ376" s="22">
        <v>589.84</v>
      </c>
      <c r="BA376" s="22">
        <v>2.3089599999999998E-2</v>
      </c>
      <c r="BB376" s="22">
        <v>366</v>
      </c>
      <c r="BC376" s="22">
        <v>1.74194</v>
      </c>
      <c r="BD376">
        <f t="shared" si="70"/>
        <v>-23.089599999999997</v>
      </c>
      <c r="BE376">
        <f t="shared" si="71"/>
        <v>-40.245403695999997</v>
      </c>
    </row>
    <row r="377" spans="6:57">
      <c r="F377" s="9"/>
      <c r="G377" s="22">
        <v>-4.8065200000000002E-2</v>
      </c>
      <c r="H377" s="22">
        <v>110.626</v>
      </c>
      <c r="I377" s="22">
        <v>-1.8041999999999999E-2</v>
      </c>
      <c r="J377" s="22">
        <v>367</v>
      </c>
      <c r="K377" s="22">
        <v>-4.84833E-2</v>
      </c>
      <c r="L377">
        <f t="shared" si="60"/>
        <v>18.041999999999998</v>
      </c>
      <c r="M377">
        <f t="shared" si="61"/>
        <v>-0.86719233839999998</v>
      </c>
      <c r="N377" s="9"/>
      <c r="O377" s="22">
        <v>1.7480500000000001</v>
      </c>
      <c r="P377" s="22">
        <v>176.58600000000001</v>
      </c>
      <c r="Q377" s="22">
        <v>2.05475E-2</v>
      </c>
      <c r="R377" s="22">
        <v>367</v>
      </c>
      <c r="S377" s="22">
        <v>1.7471300000000001</v>
      </c>
      <c r="T377">
        <f t="shared" si="62"/>
        <v>-20.547499999999999</v>
      </c>
      <c r="U377">
        <f t="shared" si="63"/>
        <v>-35.918057375000004</v>
      </c>
      <c r="X377" s="9"/>
      <c r="Y377" s="22">
        <v>-4.8065200000000002E-2</v>
      </c>
      <c r="Z377" s="22">
        <v>262.14</v>
      </c>
      <c r="AA377" s="22">
        <v>-1.8112199999999998E-2</v>
      </c>
      <c r="AB377" s="22">
        <v>367</v>
      </c>
      <c r="AC377" s="22">
        <v>-4.8150600000000002E-2</v>
      </c>
      <c r="AD377">
        <f t="shared" si="64"/>
        <v>18.112199999999998</v>
      </c>
      <c r="AE377">
        <f t="shared" si="65"/>
        <v>-0.87056651543999997</v>
      </c>
      <c r="AF377" s="9"/>
      <c r="AG377" s="22">
        <v>1.7480500000000001</v>
      </c>
      <c r="AH377" s="22">
        <v>416.57600000000002</v>
      </c>
      <c r="AI377" s="22">
        <v>2.1414200000000001E-2</v>
      </c>
      <c r="AJ377" s="22">
        <v>367</v>
      </c>
      <c r="AK377" s="22">
        <v>1.7477400000000001</v>
      </c>
      <c r="AL377">
        <f t="shared" si="66"/>
        <v>-21.414200000000001</v>
      </c>
      <c r="AM377">
        <f t="shared" si="67"/>
        <v>-37.433092310000006</v>
      </c>
      <c r="AP377" s="9"/>
      <c r="AQ377" s="22">
        <v>-4.8065200000000002E-2</v>
      </c>
      <c r="AR377" s="22">
        <v>517.68700000000001</v>
      </c>
      <c r="AS377" s="22">
        <v>-1.8054199999999999E-2</v>
      </c>
      <c r="AT377" s="22">
        <v>367</v>
      </c>
      <c r="AU377" s="22">
        <v>-4.8519899999999998E-2</v>
      </c>
      <c r="AV377">
        <f t="shared" si="68"/>
        <v>18.054199999999998</v>
      </c>
      <c r="AW377">
        <f t="shared" si="69"/>
        <v>-0.86777873383999993</v>
      </c>
      <c r="AX377" s="9"/>
      <c r="AY377" s="22">
        <v>1.7480500000000001</v>
      </c>
      <c r="AZ377" s="22">
        <v>589.94100000000003</v>
      </c>
      <c r="BA377" s="22">
        <v>2.6297000000000001E-2</v>
      </c>
      <c r="BB377" s="22">
        <v>367</v>
      </c>
      <c r="BC377" s="22">
        <v>1.7477400000000001</v>
      </c>
      <c r="BD377">
        <f t="shared" si="70"/>
        <v>-26.297000000000001</v>
      </c>
      <c r="BE377">
        <f t="shared" si="71"/>
        <v>-45.968470850000003</v>
      </c>
    </row>
    <row r="378" spans="6:57">
      <c r="F378" s="9"/>
      <c r="G378" s="22">
        <v>-5.3100599999999998E-2</v>
      </c>
      <c r="H378" s="22">
        <v>110.727</v>
      </c>
      <c r="I378" s="22">
        <v>-1.8041999999999999E-2</v>
      </c>
      <c r="J378" s="22">
        <v>368</v>
      </c>
      <c r="K378" s="22">
        <v>-5.3619399999999998E-2</v>
      </c>
      <c r="L378">
        <f t="shared" si="60"/>
        <v>18.041999999999998</v>
      </c>
      <c r="M378">
        <f t="shared" si="61"/>
        <v>-0.9580410251999999</v>
      </c>
      <c r="N378" s="9"/>
      <c r="O378" s="22">
        <v>1.75308</v>
      </c>
      <c r="P378" s="22">
        <v>176.68700000000001</v>
      </c>
      <c r="Q378" s="22">
        <v>2.3525999999999998E-2</v>
      </c>
      <c r="R378" s="22">
        <v>368</v>
      </c>
      <c r="S378" s="22">
        <v>1.7529300000000001</v>
      </c>
      <c r="T378">
        <f t="shared" si="62"/>
        <v>-23.526</v>
      </c>
      <c r="U378">
        <f t="shared" si="63"/>
        <v>-41.242960079999996</v>
      </c>
      <c r="X378" s="9"/>
      <c r="Y378" s="22">
        <v>-5.3100599999999998E-2</v>
      </c>
      <c r="Z378" s="22">
        <v>262.24</v>
      </c>
      <c r="AA378" s="22">
        <v>-1.81091E-2</v>
      </c>
      <c r="AB378" s="22">
        <v>368</v>
      </c>
      <c r="AC378" s="22">
        <v>-5.3588900000000002E-2</v>
      </c>
      <c r="AD378">
        <f t="shared" si="64"/>
        <v>18.109099999999998</v>
      </c>
      <c r="AE378">
        <f t="shared" si="65"/>
        <v>-0.96160407545999982</v>
      </c>
      <c r="AF378" s="9"/>
      <c r="AG378" s="22">
        <v>1.75308</v>
      </c>
      <c r="AH378" s="22">
        <v>416.67700000000002</v>
      </c>
      <c r="AI378" s="22">
        <v>2.4142500000000001E-2</v>
      </c>
      <c r="AJ378" s="22">
        <v>368</v>
      </c>
      <c r="AK378" s="22">
        <v>1.7526200000000001</v>
      </c>
      <c r="AL378">
        <f t="shared" si="66"/>
        <v>-24.142500000000002</v>
      </c>
      <c r="AM378">
        <f t="shared" si="67"/>
        <v>-42.323733900000001</v>
      </c>
      <c r="AP378" s="9"/>
      <c r="AQ378" s="22">
        <v>-5.3100599999999998E-2</v>
      </c>
      <c r="AR378" s="22">
        <v>517.78800000000001</v>
      </c>
      <c r="AS378" s="22">
        <v>-1.80634E-2</v>
      </c>
      <c r="AT378" s="22">
        <v>368</v>
      </c>
      <c r="AU378" s="22">
        <v>-5.3619399999999998E-2</v>
      </c>
      <c r="AV378">
        <f t="shared" si="68"/>
        <v>18.063400000000001</v>
      </c>
      <c r="AW378">
        <f t="shared" si="69"/>
        <v>-0.95917737804000003</v>
      </c>
      <c r="AX378" s="9"/>
      <c r="AY378" s="22">
        <v>1.75308</v>
      </c>
      <c r="AZ378" s="22">
        <v>590.04200000000003</v>
      </c>
      <c r="BA378" s="22">
        <v>2.9229700000000001E-2</v>
      </c>
      <c r="BB378" s="22">
        <v>368</v>
      </c>
      <c r="BC378" s="22">
        <v>1.7526200000000001</v>
      </c>
      <c r="BD378">
        <f t="shared" si="70"/>
        <v>-29.229700000000001</v>
      </c>
      <c r="BE378">
        <f t="shared" si="71"/>
        <v>-51.242002476000003</v>
      </c>
    </row>
    <row r="379" spans="6:57">
      <c r="F379" s="9"/>
      <c r="G379" s="22">
        <v>-5.8136E-2</v>
      </c>
      <c r="H379" s="22">
        <v>110.827</v>
      </c>
      <c r="I379" s="22">
        <v>-1.80389E-2</v>
      </c>
      <c r="J379" s="22">
        <v>369</v>
      </c>
      <c r="K379" s="22">
        <v>-5.82581E-2</v>
      </c>
      <c r="L379">
        <f t="shared" si="60"/>
        <v>18.038900000000002</v>
      </c>
      <c r="M379">
        <f t="shared" si="61"/>
        <v>-1.0487094904000001</v>
      </c>
      <c r="N379" s="9"/>
      <c r="O379" s="22">
        <v>1.7581199999999999</v>
      </c>
      <c r="P379" s="22">
        <v>176.78800000000001</v>
      </c>
      <c r="Q379" s="22">
        <v>2.63153E-2</v>
      </c>
      <c r="R379" s="22">
        <v>369</v>
      </c>
      <c r="S379" s="22">
        <v>1.7578100000000001</v>
      </c>
      <c r="T379">
        <f t="shared" si="62"/>
        <v>-26.315300000000001</v>
      </c>
      <c r="U379">
        <f t="shared" si="63"/>
        <v>-46.265455236000001</v>
      </c>
      <c r="X379" s="9"/>
      <c r="Y379" s="22">
        <v>-5.8136E-2</v>
      </c>
      <c r="Z379" s="22">
        <v>262.34100000000001</v>
      </c>
      <c r="AA379" s="22">
        <v>-1.81183E-2</v>
      </c>
      <c r="AB379" s="22">
        <v>369</v>
      </c>
      <c r="AC379" s="22">
        <v>-5.9020999999999997E-2</v>
      </c>
      <c r="AD379">
        <f t="shared" si="64"/>
        <v>18.118300000000001</v>
      </c>
      <c r="AE379">
        <f t="shared" si="65"/>
        <v>-1.0533254888000001</v>
      </c>
      <c r="AF379" s="9"/>
      <c r="AG379" s="22">
        <v>1.7581199999999999</v>
      </c>
      <c r="AH379" s="22">
        <v>416.77800000000002</v>
      </c>
      <c r="AI379" s="22">
        <v>2.7536000000000001E-2</v>
      </c>
      <c r="AJ379" s="22">
        <v>369</v>
      </c>
      <c r="AK379" s="22">
        <v>1.7578100000000001</v>
      </c>
      <c r="AL379">
        <f t="shared" si="66"/>
        <v>-27.536000000000001</v>
      </c>
      <c r="AM379">
        <f t="shared" si="67"/>
        <v>-48.411592319999997</v>
      </c>
      <c r="AP379" s="9"/>
      <c r="AQ379" s="22">
        <v>-5.8136E-2</v>
      </c>
      <c r="AR379" s="22">
        <v>517.88800000000003</v>
      </c>
      <c r="AS379" s="22">
        <v>-1.8060300000000001E-2</v>
      </c>
      <c r="AT379" s="22">
        <v>369</v>
      </c>
      <c r="AU379" s="22">
        <v>-5.8868400000000001E-2</v>
      </c>
      <c r="AV379">
        <f t="shared" si="68"/>
        <v>18.060300000000002</v>
      </c>
      <c r="AW379">
        <f t="shared" si="69"/>
        <v>-1.0499536008000001</v>
      </c>
      <c r="AX379" s="9"/>
      <c r="AY379" s="22">
        <v>1.7581199999999999</v>
      </c>
      <c r="AZ379" s="22">
        <v>590.14200000000005</v>
      </c>
      <c r="BA379" s="22">
        <v>3.2501200000000001E-2</v>
      </c>
      <c r="BB379" s="22">
        <v>369</v>
      </c>
      <c r="BC379" s="22">
        <v>1.7575099999999999</v>
      </c>
      <c r="BD379">
        <f t="shared" si="70"/>
        <v>-32.501200000000004</v>
      </c>
      <c r="BE379">
        <f t="shared" si="71"/>
        <v>-57.141009744000002</v>
      </c>
    </row>
    <row r="380" spans="6:57">
      <c r="F380" s="9"/>
      <c r="G380" s="22">
        <v>-6.3171400000000003E-2</v>
      </c>
      <c r="H380" s="22">
        <v>110.928</v>
      </c>
      <c r="I380" s="22">
        <v>-1.80511E-2</v>
      </c>
      <c r="J380" s="22">
        <v>370</v>
      </c>
      <c r="K380" s="22">
        <v>-6.3720700000000005E-2</v>
      </c>
      <c r="L380">
        <f t="shared" si="60"/>
        <v>18.051100000000002</v>
      </c>
      <c r="M380">
        <f t="shared" si="61"/>
        <v>-1.1403132585400002</v>
      </c>
      <c r="N380" s="9"/>
      <c r="O380" s="22">
        <v>1.76315</v>
      </c>
      <c r="P380" s="22">
        <v>176.88800000000001</v>
      </c>
      <c r="Q380" s="22">
        <v>2.9077100000000002E-2</v>
      </c>
      <c r="R380" s="22">
        <v>370</v>
      </c>
      <c r="S380" s="22">
        <v>1.7626999999999999</v>
      </c>
      <c r="T380">
        <f t="shared" si="62"/>
        <v>-29.077100000000002</v>
      </c>
      <c r="U380">
        <f t="shared" si="63"/>
        <v>-51.267288865000005</v>
      </c>
      <c r="X380" s="9"/>
      <c r="Y380" s="22">
        <v>-6.3171400000000003E-2</v>
      </c>
      <c r="Z380" s="22">
        <v>262.44200000000001</v>
      </c>
      <c r="AA380" s="22">
        <v>-1.8115200000000001E-2</v>
      </c>
      <c r="AB380" s="22">
        <v>370</v>
      </c>
      <c r="AC380" s="22">
        <v>-6.3812300000000002E-2</v>
      </c>
      <c r="AD380">
        <f t="shared" si="64"/>
        <v>18.115200000000002</v>
      </c>
      <c r="AE380">
        <f t="shared" si="65"/>
        <v>-1.1443625452800001</v>
      </c>
      <c r="AF380" s="9"/>
      <c r="AG380" s="22">
        <v>1.76315</v>
      </c>
      <c r="AH380" s="22">
        <v>416.87799999999999</v>
      </c>
      <c r="AI380" s="22">
        <v>3.06793E-2</v>
      </c>
      <c r="AJ380" s="22">
        <v>370</v>
      </c>
      <c r="AK380" s="22">
        <v>1.7620800000000001</v>
      </c>
      <c r="AL380">
        <f t="shared" si="66"/>
        <v>-30.679300000000001</v>
      </c>
      <c r="AM380">
        <f t="shared" si="67"/>
        <v>-54.092207795</v>
      </c>
      <c r="AP380" s="9"/>
      <c r="AQ380" s="22">
        <v>-6.3171400000000003E-2</v>
      </c>
      <c r="AR380" s="22">
        <v>517.98900000000003</v>
      </c>
      <c r="AS380" s="22">
        <v>-1.8060300000000001E-2</v>
      </c>
      <c r="AT380" s="22">
        <v>370</v>
      </c>
      <c r="AU380" s="22">
        <v>-6.35376E-2</v>
      </c>
      <c r="AV380">
        <f t="shared" si="68"/>
        <v>18.060300000000002</v>
      </c>
      <c r="AW380">
        <f t="shared" si="69"/>
        <v>-1.1408944354200001</v>
      </c>
      <c r="AX380" s="9"/>
      <c r="AY380" s="22">
        <v>1.76315</v>
      </c>
      <c r="AZ380" s="22">
        <v>590.24300000000005</v>
      </c>
      <c r="BA380" s="22">
        <v>3.5885599999999997E-2</v>
      </c>
      <c r="BB380" s="22">
        <v>370</v>
      </c>
      <c r="BC380" s="22">
        <v>1.7629999999999999</v>
      </c>
      <c r="BD380">
        <f t="shared" si="70"/>
        <v>-35.885599999999997</v>
      </c>
      <c r="BE380">
        <f t="shared" si="71"/>
        <v>-63.271695639999997</v>
      </c>
    </row>
    <row r="381" spans="6:57">
      <c r="F381" s="9"/>
      <c r="G381" s="22">
        <v>-6.8206799999999998E-2</v>
      </c>
      <c r="H381" s="22">
        <v>111.029</v>
      </c>
      <c r="I381" s="22">
        <v>-1.8054199999999999E-2</v>
      </c>
      <c r="J381" s="22">
        <v>371</v>
      </c>
      <c r="K381" s="22">
        <v>-6.8389900000000003E-2</v>
      </c>
      <c r="L381">
        <f t="shared" si="60"/>
        <v>18.054199999999998</v>
      </c>
      <c r="M381">
        <f t="shared" si="61"/>
        <v>-1.2314192085599998</v>
      </c>
      <c r="N381" s="9"/>
      <c r="O381" s="22">
        <v>1.7681899999999999</v>
      </c>
      <c r="P381" s="22">
        <v>176.989</v>
      </c>
      <c r="Q381" s="22">
        <v>3.2077000000000001E-2</v>
      </c>
      <c r="R381" s="22">
        <v>371</v>
      </c>
      <c r="S381" s="22">
        <v>1.7675799999999999</v>
      </c>
      <c r="T381">
        <f t="shared" si="62"/>
        <v>-32.076999999999998</v>
      </c>
      <c r="U381">
        <f t="shared" si="63"/>
        <v>-56.718230629999994</v>
      </c>
      <c r="X381" s="9"/>
      <c r="Y381" s="22">
        <v>-6.8206799999999998E-2</v>
      </c>
      <c r="Z381" s="22">
        <v>262.54199999999997</v>
      </c>
      <c r="AA381" s="22">
        <v>-1.8124399999999999E-2</v>
      </c>
      <c r="AB381" s="22">
        <v>371</v>
      </c>
      <c r="AC381" s="22">
        <v>-6.8664600000000006E-2</v>
      </c>
      <c r="AD381">
        <f t="shared" si="64"/>
        <v>18.124399999999998</v>
      </c>
      <c r="AE381">
        <f t="shared" si="65"/>
        <v>-1.2362073259199997</v>
      </c>
      <c r="AF381" s="9"/>
      <c r="AG381" s="22">
        <v>1.7681899999999999</v>
      </c>
      <c r="AH381" s="22">
        <v>416.97899999999998</v>
      </c>
      <c r="AI381" s="22">
        <v>3.3230599999999999E-2</v>
      </c>
      <c r="AJ381" s="22">
        <v>371</v>
      </c>
      <c r="AK381" s="22">
        <v>1.7681899999999999</v>
      </c>
      <c r="AL381">
        <f t="shared" si="66"/>
        <v>-33.230599999999995</v>
      </c>
      <c r="AM381">
        <f t="shared" si="67"/>
        <v>-58.75801461399999</v>
      </c>
      <c r="AP381" s="9"/>
      <c r="AQ381" s="22">
        <v>-6.8206799999999998E-2</v>
      </c>
      <c r="AR381" s="22">
        <v>518.09</v>
      </c>
      <c r="AS381" s="22">
        <v>-1.80664E-2</v>
      </c>
      <c r="AT381" s="22">
        <v>371</v>
      </c>
      <c r="AU381" s="22">
        <v>-6.8634000000000001E-2</v>
      </c>
      <c r="AV381">
        <f t="shared" si="68"/>
        <v>18.066400000000002</v>
      </c>
      <c r="AW381">
        <f t="shared" si="69"/>
        <v>-1.2322513315200001</v>
      </c>
      <c r="AX381" s="9"/>
      <c r="AY381" s="22">
        <v>1.7681899999999999</v>
      </c>
      <c r="AZ381" s="22">
        <v>590.34400000000005</v>
      </c>
      <c r="BA381" s="22">
        <v>3.8809200000000002E-2</v>
      </c>
      <c r="BB381" s="22">
        <v>371</v>
      </c>
      <c r="BC381" s="22">
        <v>1.7675799999999999</v>
      </c>
      <c r="BD381">
        <f t="shared" si="70"/>
        <v>-38.809200000000004</v>
      </c>
      <c r="BE381">
        <f t="shared" si="71"/>
        <v>-68.622039348000001</v>
      </c>
    </row>
    <row r="382" spans="6:57">
      <c r="F382" s="9"/>
      <c r="G382" s="22">
        <v>-7.3242199999999993E-2</v>
      </c>
      <c r="H382" s="22">
        <v>111.13</v>
      </c>
      <c r="I382" s="22">
        <v>-1.8057299999999998E-2</v>
      </c>
      <c r="J382" s="22">
        <v>372</v>
      </c>
      <c r="K382" s="22">
        <v>-7.3486300000000004E-2</v>
      </c>
      <c r="L382">
        <f t="shared" si="60"/>
        <v>18.057299999999998</v>
      </c>
      <c r="M382">
        <f t="shared" si="61"/>
        <v>-1.3225563780599998</v>
      </c>
      <c r="N382" s="9"/>
      <c r="O382" s="22">
        <v>1.77322</v>
      </c>
      <c r="P382" s="22">
        <v>177.09</v>
      </c>
      <c r="Q382" s="22">
        <v>3.5201999999999997E-2</v>
      </c>
      <c r="R382" s="22">
        <v>372</v>
      </c>
      <c r="S382" s="22">
        <v>1.77277</v>
      </c>
      <c r="T382">
        <f t="shared" si="62"/>
        <v>-35.201999999999998</v>
      </c>
      <c r="U382">
        <f t="shared" si="63"/>
        <v>-62.420890440000001</v>
      </c>
      <c r="X382" s="9"/>
      <c r="Y382" s="22">
        <v>-7.3242199999999993E-2</v>
      </c>
      <c r="Z382" s="22">
        <v>262.64299999999997</v>
      </c>
      <c r="AA382" s="22">
        <v>-1.8124399999999999E-2</v>
      </c>
      <c r="AB382" s="22">
        <v>372</v>
      </c>
      <c r="AC382" s="22">
        <v>-7.3730500000000004E-2</v>
      </c>
      <c r="AD382">
        <f t="shared" si="64"/>
        <v>18.124399999999998</v>
      </c>
      <c r="AE382">
        <f t="shared" si="65"/>
        <v>-1.3274709296799998</v>
      </c>
      <c r="AF382" s="9"/>
      <c r="AG382" s="22">
        <v>1.77322</v>
      </c>
      <c r="AH382" s="22">
        <v>417.08</v>
      </c>
      <c r="AI382" s="22">
        <v>3.6731E-2</v>
      </c>
      <c r="AJ382" s="22">
        <v>372</v>
      </c>
      <c r="AK382" s="22">
        <v>1.7724599999999999</v>
      </c>
      <c r="AL382">
        <f t="shared" si="66"/>
        <v>-36.731000000000002</v>
      </c>
      <c r="AM382">
        <f t="shared" si="67"/>
        <v>-65.13214382000001</v>
      </c>
      <c r="AP382" s="9"/>
      <c r="AQ382" s="22">
        <v>-7.3242199999999993E-2</v>
      </c>
      <c r="AR382" s="22">
        <v>518.19000000000005</v>
      </c>
      <c r="AS382" s="22">
        <v>-1.80786E-2</v>
      </c>
      <c r="AT382" s="22">
        <v>372</v>
      </c>
      <c r="AU382" s="22">
        <v>-7.3760999999999993E-2</v>
      </c>
      <c r="AV382">
        <f t="shared" si="68"/>
        <v>18.078600000000002</v>
      </c>
      <c r="AW382">
        <f t="shared" si="69"/>
        <v>-1.32411643692</v>
      </c>
      <c r="AX382" s="9"/>
      <c r="AY382" s="22">
        <v>1.77322</v>
      </c>
      <c r="AZ382" s="22">
        <v>590.44500000000005</v>
      </c>
      <c r="BA382" s="22">
        <v>4.2153900000000001E-2</v>
      </c>
      <c r="BB382" s="22">
        <v>372</v>
      </c>
      <c r="BC382" s="22">
        <v>1.7724599999999999</v>
      </c>
      <c r="BD382">
        <f t="shared" si="70"/>
        <v>-42.1539</v>
      </c>
      <c r="BE382">
        <f t="shared" si="71"/>
        <v>-74.748138558000008</v>
      </c>
    </row>
    <row r="383" spans="6:57">
      <c r="F383" s="9"/>
      <c r="G383" s="22">
        <v>-7.8277600000000003E-2</v>
      </c>
      <c r="H383" s="22">
        <v>111.23</v>
      </c>
      <c r="I383" s="22">
        <v>-1.8057299999999998E-2</v>
      </c>
      <c r="J383" s="22">
        <v>373</v>
      </c>
      <c r="K383" s="22">
        <v>-7.86438E-2</v>
      </c>
      <c r="L383">
        <f t="shared" si="60"/>
        <v>18.057299999999998</v>
      </c>
      <c r="M383">
        <f t="shared" si="61"/>
        <v>-1.4134821064799998</v>
      </c>
      <c r="N383" s="9"/>
      <c r="O383" s="22">
        <v>1.77826</v>
      </c>
      <c r="P383" s="22">
        <v>177.19</v>
      </c>
      <c r="Q383" s="22">
        <v>3.7994399999999998E-2</v>
      </c>
      <c r="R383" s="22">
        <v>373</v>
      </c>
      <c r="S383" s="22">
        <v>1.77765</v>
      </c>
      <c r="T383">
        <f t="shared" si="62"/>
        <v>-37.994399999999999</v>
      </c>
      <c r="U383">
        <f t="shared" si="63"/>
        <v>-67.563921743999998</v>
      </c>
      <c r="X383" s="9"/>
      <c r="Y383" s="22">
        <v>-7.8277600000000003E-2</v>
      </c>
      <c r="Z383" s="22">
        <v>262.74400000000003</v>
      </c>
      <c r="AA383" s="22">
        <v>-1.8130500000000001E-2</v>
      </c>
      <c r="AB383" s="22">
        <v>373</v>
      </c>
      <c r="AC383" s="22">
        <v>-7.87659E-2</v>
      </c>
      <c r="AD383">
        <f t="shared" si="64"/>
        <v>18.130500000000001</v>
      </c>
      <c r="AE383">
        <f t="shared" si="65"/>
        <v>-1.4192120268000001</v>
      </c>
      <c r="AF383" s="9"/>
      <c r="AG383" s="22">
        <v>1.77826</v>
      </c>
      <c r="AH383" s="22">
        <v>417.18</v>
      </c>
      <c r="AI383" s="22">
        <v>3.9721699999999999E-2</v>
      </c>
      <c r="AJ383" s="22">
        <v>373</v>
      </c>
      <c r="AK383" s="22">
        <v>1.77826</v>
      </c>
      <c r="AL383">
        <f t="shared" si="66"/>
        <v>-39.721699999999998</v>
      </c>
      <c r="AM383">
        <f t="shared" si="67"/>
        <v>-70.635510241999995</v>
      </c>
      <c r="AP383" s="9"/>
      <c r="AQ383" s="22">
        <v>-7.8277600000000003E-2</v>
      </c>
      <c r="AR383" s="22">
        <v>518.29100000000005</v>
      </c>
      <c r="AS383" s="22">
        <v>-1.8072499999999998E-2</v>
      </c>
      <c r="AT383" s="22">
        <v>373</v>
      </c>
      <c r="AU383" s="22">
        <v>-7.9101599999999994E-2</v>
      </c>
      <c r="AV383">
        <f t="shared" si="68"/>
        <v>18.072499999999998</v>
      </c>
      <c r="AW383">
        <f t="shared" si="69"/>
        <v>-1.4146719259999998</v>
      </c>
      <c r="AX383" s="9"/>
      <c r="AY383" s="22">
        <v>1.77826</v>
      </c>
      <c r="AZ383" s="22">
        <v>590.54499999999996</v>
      </c>
      <c r="BA383" s="22">
        <v>4.5584100000000002E-2</v>
      </c>
      <c r="BB383" s="22">
        <v>373</v>
      </c>
      <c r="BC383" s="22">
        <v>1.7773399999999999</v>
      </c>
      <c r="BD383">
        <f t="shared" si="70"/>
        <v>-45.584099999999999</v>
      </c>
      <c r="BE383">
        <f t="shared" si="71"/>
        <v>-81.060381665999998</v>
      </c>
    </row>
    <row r="384" spans="6:57">
      <c r="F384" s="9"/>
      <c r="G384" s="22">
        <v>-8.3312999999999998E-2</v>
      </c>
      <c r="H384" s="22">
        <v>111.331</v>
      </c>
      <c r="I384" s="22">
        <v>-1.8060300000000001E-2</v>
      </c>
      <c r="J384" s="22">
        <v>374</v>
      </c>
      <c r="K384" s="22">
        <v>-8.3648700000000006E-2</v>
      </c>
      <c r="L384">
        <f t="shared" si="60"/>
        <v>18.060300000000002</v>
      </c>
      <c r="M384">
        <f t="shared" si="61"/>
        <v>-1.5046577739</v>
      </c>
      <c r="N384" s="9"/>
      <c r="O384" s="22">
        <v>1.78329</v>
      </c>
      <c r="P384" s="22">
        <v>177.291</v>
      </c>
      <c r="Q384" s="22">
        <v>4.1357400000000002E-2</v>
      </c>
      <c r="R384" s="22">
        <v>374</v>
      </c>
      <c r="S384" s="22">
        <v>1.7819199999999999</v>
      </c>
      <c r="T384">
        <f t="shared" si="62"/>
        <v>-41.357400000000005</v>
      </c>
      <c r="U384">
        <f t="shared" si="63"/>
        <v>-73.752237846000014</v>
      </c>
      <c r="X384" s="9"/>
      <c r="Y384" s="22">
        <v>-8.3312999999999998E-2</v>
      </c>
      <c r="Z384" s="22">
        <v>262.84399999999999</v>
      </c>
      <c r="AA384" s="22">
        <v>-1.8136599999999999E-2</v>
      </c>
      <c r="AB384" s="22">
        <v>374</v>
      </c>
      <c r="AC384" s="22">
        <v>-8.3770800000000006E-2</v>
      </c>
      <c r="AD384">
        <f t="shared" si="64"/>
        <v>18.136599999999998</v>
      </c>
      <c r="AE384">
        <f t="shared" si="65"/>
        <v>-1.5110145557999999</v>
      </c>
      <c r="AF384" s="9"/>
      <c r="AG384" s="22">
        <v>1.78329</v>
      </c>
      <c r="AH384" s="22">
        <v>417.28100000000001</v>
      </c>
      <c r="AI384" s="22">
        <v>4.2681900000000002E-2</v>
      </c>
      <c r="AJ384" s="22">
        <v>374</v>
      </c>
      <c r="AK384" s="22">
        <v>1.7831399999999999</v>
      </c>
      <c r="AL384">
        <f t="shared" si="66"/>
        <v>-42.681899999999999</v>
      </c>
      <c r="AM384">
        <f t="shared" si="67"/>
        <v>-76.114205451000004</v>
      </c>
      <c r="AP384" s="9"/>
      <c r="AQ384" s="22">
        <v>-8.3312999999999998E-2</v>
      </c>
      <c r="AR384" s="22">
        <v>518.39200000000005</v>
      </c>
      <c r="AS384" s="22">
        <v>-1.8081699999999999E-2</v>
      </c>
      <c r="AT384" s="22">
        <v>374</v>
      </c>
      <c r="AU384" s="22">
        <v>-8.3770800000000006E-2</v>
      </c>
      <c r="AV384">
        <f t="shared" si="68"/>
        <v>18.081699999999998</v>
      </c>
      <c r="AW384">
        <f t="shared" si="69"/>
        <v>-1.5064406720999999</v>
      </c>
      <c r="AX384" s="9"/>
      <c r="AY384" s="22">
        <v>1.78329</v>
      </c>
      <c r="AZ384" s="22">
        <v>590.64599999999996</v>
      </c>
      <c r="BA384" s="22">
        <v>4.9154700000000003E-2</v>
      </c>
      <c r="BB384" s="22">
        <v>374</v>
      </c>
      <c r="BC384" s="22">
        <v>1.78284</v>
      </c>
      <c r="BD384">
        <f t="shared" si="70"/>
        <v>-49.154700000000005</v>
      </c>
      <c r="BE384">
        <f t="shared" si="71"/>
        <v>-87.657084963000017</v>
      </c>
    </row>
    <row r="385" spans="6:57">
      <c r="F385" s="9"/>
      <c r="G385" s="22">
        <v>-8.8348399999999994E-2</v>
      </c>
      <c r="H385" s="22">
        <v>111.432</v>
      </c>
      <c r="I385" s="22">
        <v>-1.8069499999999999E-2</v>
      </c>
      <c r="J385" s="22">
        <v>375</v>
      </c>
      <c r="K385" s="22">
        <v>-8.8806200000000002E-2</v>
      </c>
      <c r="L385">
        <f t="shared" si="60"/>
        <v>18.069499999999998</v>
      </c>
      <c r="M385">
        <f t="shared" si="61"/>
        <v>-1.5964114137999996</v>
      </c>
      <c r="N385" s="9"/>
      <c r="O385" s="22">
        <v>1.78833</v>
      </c>
      <c r="P385" s="22">
        <v>177.392</v>
      </c>
      <c r="Q385" s="22">
        <v>4.4641100000000003E-2</v>
      </c>
      <c r="R385" s="22">
        <v>375</v>
      </c>
      <c r="S385" s="22">
        <v>1.78772</v>
      </c>
      <c r="T385">
        <f t="shared" si="62"/>
        <v>-44.641100000000002</v>
      </c>
      <c r="U385">
        <f t="shared" si="63"/>
        <v>-79.833018363000008</v>
      </c>
      <c r="X385" s="9"/>
      <c r="Y385" s="22">
        <v>-8.8348399999999994E-2</v>
      </c>
      <c r="Z385" s="22">
        <v>262.94499999999999</v>
      </c>
      <c r="AA385" s="22">
        <v>-1.81335E-2</v>
      </c>
      <c r="AB385" s="22">
        <v>375</v>
      </c>
      <c r="AC385" s="22">
        <v>-8.8775599999999996E-2</v>
      </c>
      <c r="AD385">
        <f t="shared" si="64"/>
        <v>18.133500000000002</v>
      </c>
      <c r="AE385">
        <f t="shared" si="65"/>
        <v>-1.6020657114000001</v>
      </c>
      <c r="AF385" s="9"/>
      <c r="AG385" s="22">
        <v>1.78833</v>
      </c>
      <c r="AH385" s="22">
        <v>417.38200000000001</v>
      </c>
      <c r="AI385" s="22">
        <v>4.5916699999999998E-2</v>
      </c>
      <c r="AJ385" s="22">
        <v>375</v>
      </c>
      <c r="AK385" s="22">
        <v>1.78772</v>
      </c>
      <c r="AL385">
        <f t="shared" si="66"/>
        <v>-45.916699999999999</v>
      </c>
      <c r="AM385">
        <f t="shared" si="67"/>
        <v>-82.114212111000001</v>
      </c>
      <c r="AP385" s="9"/>
      <c r="AQ385" s="22">
        <v>-8.8348399999999994E-2</v>
      </c>
      <c r="AR385" s="22">
        <v>518.49300000000005</v>
      </c>
      <c r="AS385" s="22">
        <v>-1.8081699999999999E-2</v>
      </c>
      <c r="AT385" s="22">
        <v>375</v>
      </c>
      <c r="AU385" s="22">
        <v>-8.8806200000000002E-2</v>
      </c>
      <c r="AV385">
        <f t="shared" si="68"/>
        <v>18.081699999999998</v>
      </c>
      <c r="AW385">
        <f t="shared" si="69"/>
        <v>-1.5974892642799996</v>
      </c>
      <c r="AX385" s="9"/>
      <c r="AY385" s="22">
        <v>1.78833</v>
      </c>
      <c r="AZ385" s="22">
        <v>590.74699999999996</v>
      </c>
      <c r="BA385" s="22">
        <v>5.2679400000000001E-2</v>
      </c>
      <c r="BB385" s="22">
        <v>375</v>
      </c>
      <c r="BC385" s="22">
        <v>1.7880199999999999</v>
      </c>
      <c r="BD385">
        <f t="shared" si="70"/>
        <v>-52.679400000000001</v>
      </c>
      <c r="BE385">
        <f t="shared" si="71"/>
        <v>-94.208151401999999</v>
      </c>
    </row>
    <row r="386" spans="6:57">
      <c r="F386" s="9"/>
      <c r="G386" s="22">
        <v>-9.3383800000000003E-2</v>
      </c>
      <c r="H386" s="22">
        <v>111.532</v>
      </c>
      <c r="I386" s="22">
        <v>-1.80664E-2</v>
      </c>
      <c r="J386" s="22">
        <v>376</v>
      </c>
      <c r="K386" s="22">
        <v>-9.3841599999999997E-2</v>
      </c>
      <c r="L386">
        <f t="shared" si="60"/>
        <v>18.066400000000002</v>
      </c>
      <c r="M386">
        <f t="shared" si="61"/>
        <v>-1.6871090843200003</v>
      </c>
      <c r="N386" s="9"/>
      <c r="O386" s="22">
        <v>1.7933699999999999</v>
      </c>
      <c r="P386" s="22">
        <v>177.49199999999999</v>
      </c>
      <c r="Q386" s="22">
        <v>4.7680699999999999E-2</v>
      </c>
      <c r="R386" s="22">
        <v>376</v>
      </c>
      <c r="S386" s="22">
        <v>1.7926</v>
      </c>
      <c r="T386">
        <f t="shared" si="62"/>
        <v>-47.680700000000002</v>
      </c>
      <c r="U386">
        <f t="shared" si="63"/>
        <v>-85.509136959000003</v>
      </c>
      <c r="X386" s="9"/>
      <c r="Y386" s="22">
        <v>-9.3383800000000003E-2</v>
      </c>
      <c r="Z386" s="22">
        <v>263.04599999999999</v>
      </c>
      <c r="AA386" s="22">
        <v>-1.8136599999999999E-2</v>
      </c>
      <c r="AB386" s="22">
        <v>376</v>
      </c>
      <c r="AC386" s="22">
        <v>-9.3780500000000003E-2</v>
      </c>
      <c r="AD386">
        <f t="shared" si="64"/>
        <v>18.136599999999998</v>
      </c>
      <c r="AE386">
        <f t="shared" si="65"/>
        <v>-1.6936646270799998</v>
      </c>
      <c r="AF386" s="9"/>
      <c r="AG386" s="22">
        <v>1.7933699999999999</v>
      </c>
      <c r="AH386" s="22">
        <v>417.483</v>
      </c>
      <c r="AI386" s="22">
        <v>4.9349999999999998E-2</v>
      </c>
      <c r="AJ386" s="22">
        <v>376</v>
      </c>
      <c r="AK386" s="22">
        <v>1.79352</v>
      </c>
      <c r="AL386">
        <f t="shared" si="66"/>
        <v>-49.35</v>
      </c>
      <c r="AM386">
        <f t="shared" si="67"/>
        <v>-88.502809499999998</v>
      </c>
      <c r="AP386" s="9"/>
      <c r="AQ386" s="22">
        <v>-9.3383800000000003E-2</v>
      </c>
      <c r="AR386" s="22">
        <v>518.59299999999996</v>
      </c>
      <c r="AS386" s="22">
        <v>-1.8087800000000001E-2</v>
      </c>
      <c r="AT386" s="22">
        <v>376</v>
      </c>
      <c r="AU386" s="22">
        <v>-9.375E-2</v>
      </c>
      <c r="AV386">
        <f t="shared" si="68"/>
        <v>18.087800000000001</v>
      </c>
      <c r="AW386">
        <f t="shared" si="69"/>
        <v>-1.6891074976400002</v>
      </c>
      <c r="AX386" s="9"/>
      <c r="AY386" s="22">
        <v>1.7933699999999999</v>
      </c>
      <c r="AZ386" s="22">
        <v>590.84699999999998</v>
      </c>
      <c r="BA386" s="22">
        <v>5.5731200000000002E-2</v>
      </c>
      <c r="BB386" s="22">
        <v>376</v>
      </c>
      <c r="BC386" s="22">
        <v>1.7923</v>
      </c>
      <c r="BD386">
        <f t="shared" si="70"/>
        <v>-55.731200000000001</v>
      </c>
      <c r="BE386">
        <f t="shared" si="71"/>
        <v>-99.946662144000001</v>
      </c>
    </row>
    <row r="387" spans="6:57">
      <c r="F387" s="9"/>
      <c r="G387" s="22">
        <v>-9.8419199999999998E-2</v>
      </c>
      <c r="H387" s="22">
        <v>111.633</v>
      </c>
      <c r="I387" s="22">
        <v>-1.8072499999999998E-2</v>
      </c>
      <c r="J387" s="22">
        <v>377</v>
      </c>
      <c r="K387" s="22">
        <v>-9.9304199999999995E-2</v>
      </c>
      <c r="L387">
        <f t="shared" si="60"/>
        <v>18.072499999999998</v>
      </c>
      <c r="M387">
        <f t="shared" si="61"/>
        <v>-1.7786809919999997</v>
      </c>
      <c r="N387" s="9"/>
      <c r="O387" s="22">
        <v>1.7984</v>
      </c>
      <c r="P387" s="22">
        <v>177.59299999999999</v>
      </c>
      <c r="Q387" s="22">
        <v>5.0695799999999999E-2</v>
      </c>
      <c r="R387" s="22">
        <v>377</v>
      </c>
      <c r="S387" s="22">
        <v>1.79779</v>
      </c>
      <c r="T387">
        <f t="shared" si="62"/>
        <v>-50.695799999999998</v>
      </c>
      <c r="U387">
        <f t="shared" si="63"/>
        <v>-91.171326719999996</v>
      </c>
      <c r="X387" s="9"/>
      <c r="Y387" s="22">
        <v>-9.8419199999999998E-2</v>
      </c>
      <c r="Z387" s="22">
        <v>263.14699999999999</v>
      </c>
      <c r="AA387" s="22">
        <v>-1.81488E-2</v>
      </c>
      <c r="AB387" s="22">
        <v>377</v>
      </c>
      <c r="AC387" s="22">
        <v>-9.8815899999999998E-2</v>
      </c>
      <c r="AD387">
        <f t="shared" si="64"/>
        <v>18.148800000000001</v>
      </c>
      <c r="AE387">
        <f t="shared" si="65"/>
        <v>-1.78619037696</v>
      </c>
      <c r="AF387" s="9"/>
      <c r="AG387" s="22">
        <v>1.7984</v>
      </c>
      <c r="AH387" s="22">
        <v>417.58300000000003</v>
      </c>
      <c r="AI387" s="22">
        <v>5.2481100000000003E-2</v>
      </c>
      <c r="AJ387" s="22">
        <v>377</v>
      </c>
      <c r="AK387" s="22">
        <v>1.79749</v>
      </c>
      <c r="AL387">
        <f t="shared" si="66"/>
        <v>-52.481100000000005</v>
      </c>
      <c r="AM387">
        <f t="shared" si="67"/>
        <v>-94.382010240000014</v>
      </c>
      <c r="AP387" s="9"/>
      <c r="AQ387" s="22">
        <v>-9.8419199999999998E-2</v>
      </c>
      <c r="AR387" s="22">
        <v>518.69399999999996</v>
      </c>
      <c r="AS387" s="22">
        <v>-1.8087800000000001E-2</v>
      </c>
      <c r="AT387" s="22">
        <v>377</v>
      </c>
      <c r="AU387" s="22">
        <v>-9.8937999999999998E-2</v>
      </c>
      <c r="AV387">
        <f t="shared" si="68"/>
        <v>18.087800000000001</v>
      </c>
      <c r="AW387">
        <f t="shared" si="69"/>
        <v>-1.7801868057600001</v>
      </c>
      <c r="AX387" s="9"/>
      <c r="AY387" s="22">
        <v>1.7984</v>
      </c>
      <c r="AZ387" s="22">
        <v>590.94799999999998</v>
      </c>
      <c r="BA387" s="22">
        <v>5.9252899999999997E-2</v>
      </c>
      <c r="BB387" s="22">
        <v>377</v>
      </c>
      <c r="BC387" s="22">
        <v>1.79749</v>
      </c>
      <c r="BD387">
        <f t="shared" si="70"/>
        <v>-59.252899999999997</v>
      </c>
      <c r="BE387">
        <f t="shared" si="71"/>
        <v>-106.56041535999999</v>
      </c>
    </row>
    <row r="388" spans="6:57">
      <c r="F388" s="9"/>
      <c r="G388" s="22">
        <v>-0.10345500000000001</v>
      </c>
      <c r="H388" s="22">
        <v>111.73399999999999</v>
      </c>
      <c r="I388" s="22">
        <v>-1.8081699999999999E-2</v>
      </c>
      <c r="J388" s="22">
        <v>378</v>
      </c>
      <c r="K388" s="22">
        <v>-0.104126</v>
      </c>
      <c r="L388">
        <f t="shared" si="60"/>
        <v>18.081699999999998</v>
      </c>
      <c r="M388">
        <f t="shared" si="61"/>
        <v>-1.8706422734999999</v>
      </c>
      <c r="N388" s="9"/>
      <c r="O388" s="22">
        <v>1.8034399999999999</v>
      </c>
      <c r="P388" s="22">
        <v>177.69399999999999</v>
      </c>
      <c r="Q388" s="22">
        <v>5.3799399999999997E-2</v>
      </c>
      <c r="R388" s="22">
        <v>378</v>
      </c>
      <c r="S388" s="22">
        <v>1.80267</v>
      </c>
      <c r="T388">
        <f t="shared" si="62"/>
        <v>-53.799399999999999</v>
      </c>
      <c r="U388">
        <f t="shared" si="63"/>
        <v>-97.023989935999992</v>
      </c>
      <c r="X388" s="9"/>
      <c r="Y388" s="22">
        <v>-0.10345500000000001</v>
      </c>
      <c r="Z388" s="22">
        <v>263.24700000000001</v>
      </c>
      <c r="AA388" s="22">
        <v>-1.81458E-2</v>
      </c>
      <c r="AB388" s="22">
        <v>378</v>
      </c>
      <c r="AC388" s="22">
        <v>-0.103821</v>
      </c>
      <c r="AD388">
        <f t="shared" si="64"/>
        <v>18.145800000000001</v>
      </c>
      <c r="AE388">
        <f t="shared" si="65"/>
        <v>-1.8772737390000003</v>
      </c>
      <c r="AF388" s="9"/>
      <c r="AG388" s="22">
        <v>1.8034399999999999</v>
      </c>
      <c r="AH388" s="22">
        <v>417.68400000000003</v>
      </c>
      <c r="AI388" s="22">
        <v>5.5032299999999999E-2</v>
      </c>
      <c r="AJ388" s="22">
        <v>378</v>
      </c>
      <c r="AK388" s="22">
        <v>1.80237</v>
      </c>
      <c r="AL388">
        <f t="shared" si="66"/>
        <v>-55.032299999999999</v>
      </c>
      <c r="AM388">
        <f t="shared" si="67"/>
        <v>-99.247451111999993</v>
      </c>
      <c r="AP388" s="9"/>
      <c r="AQ388" s="22">
        <v>-0.10345500000000001</v>
      </c>
      <c r="AR388" s="22">
        <v>518.79499999999996</v>
      </c>
      <c r="AS388" s="22">
        <v>-1.8090800000000001E-2</v>
      </c>
      <c r="AT388" s="22">
        <v>378</v>
      </c>
      <c r="AU388" s="22">
        <v>-0.103394</v>
      </c>
      <c r="AV388">
        <f t="shared" si="68"/>
        <v>18.090800000000002</v>
      </c>
      <c r="AW388">
        <f t="shared" si="69"/>
        <v>-1.8715837140000002</v>
      </c>
      <c r="AX388" s="9"/>
      <c r="AY388" s="22">
        <v>1.8034399999999999</v>
      </c>
      <c r="AZ388" s="22">
        <v>591.04899999999998</v>
      </c>
      <c r="BA388" s="22">
        <v>6.2857099999999999E-2</v>
      </c>
      <c r="BB388" s="22">
        <v>378</v>
      </c>
      <c r="BC388" s="22">
        <v>1.80298</v>
      </c>
      <c r="BD388">
        <f t="shared" si="70"/>
        <v>-62.857100000000003</v>
      </c>
      <c r="BE388">
        <f t="shared" si="71"/>
        <v>-113.359008424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T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171.49868852461029</v>
      </c>
      <c r="H2" s="2"/>
      <c r="I2" s="6" t="s">
        <v>12</v>
      </c>
      <c r="J2" s="2"/>
      <c r="K2" s="7" t="s">
        <v>13</v>
      </c>
      <c r="L2" s="3">
        <f>L4*I6*L9/100*100</f>
        <v>22.904954000000007</v>
      </c>
      <c r="M2" s="8" t="s">
        <v>14</v>
      </c>
      <c r="N2" s="9"/>
      <c r="O2" s="2">
        <f>ABS(S7-S6)/ABS(T7-T6)*1000</f>
        <v>1314.0502614382249</v>
      </c>
      <c r="P2" s="2"/>
      <c r="Q2" s="6" t="s">
        <v>15</v>
      </c>
      <c r="R2" s="2"/>
      <c r="S2" s="7" t="s">
        <v>13</v>
      </c>
      <c r="T2" s="3">
        <f>T4*Q6*T9/100*100</f>
        <v>23.194325075999998</v>
      </c>
      <c r="U2" s="8" t="s">
        <v>14</v>
      </c>
      <c r="X2" s="9"/>
      <c r="Y2" s="2">
        <f>ABS(AC7-AC6)/ABS(AD7-AD6)*1000</f>
        <v>1674.5290322581288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>
        <f>ABS(AK7-AK6)/ABS(AL7-AL6)*1000</f>
        <v>5067.9529999998085</v>
      </c>
      <c r="AH2" s="2"/>
      <c r="AI2" s="6" t="s">
        <v>15</v>
      </c>
      <c r="AJ2" s="2"/>
      <c r="AK2" s="7" t="s">
        <v>13</v>
      </c>
      <c r="AL2" s="3">
        <f>AL4*AI6*AL9/100*100</f>
        <v>22.297005119999998</v>
      </c>
      <c r="AM2" s="8" t="s">
        <v>14</v>
      </c>
      <c r="AP2" s="9"/>
      <c r="AQ2" s="2">
        <f>ABS(AU7-AU6)/ABS(AV7-AV6)*1000</f>
        <v>4857.2145161320032</v>
      </c>
      <c r="AR2" s="2"/>
      <c r="AS2" s="6" t="s">
        <v>12</v>
      </c>
      <c r="AT2" s="2"/>
      <c r="AU2" s="7" t="s">
        <v>13</v>
      </c>
      <c r="AV2" s="3">
        <f>AV4*AS6*AV9/100*100</f>
        <v>21.884638216000006</v>
      </c>
      <c r="AW2" s="8" t="s">
        <v>14</v>
      </c>
      <c r="AX2" s="9"/>
      <c r="AY2" s="2">
        <f>ABS(BC7-BC6)/ABS(BD7-BD6)*1000</f>
        <v>1673.8256521739359</v>
      </c>
      <c r="AZ2" s="2"/>
      <c r="BA2" s="6" t="s">
        <v>15</v>
      </c>
      <c r="BB2" s="2"/>
      <c r="BC2" s="7" t="s">
        <v>13</v>
      </c>
      <c r="BD2" s="3">
        <f>BD4*BA6*BD9/100*100</f>
        <v>21.310560599999999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1.6888399999999999</v>
      </c>
      <c r="J3" s="2"/>
      <c r="K3" s="10">
        <f>INDEX(L11:L1056,MATCH(I3,K11:K1056,0))</f>
        <v>-2.7435300000000003E-2</v>
      </c>
      <c r="L3" s="33" t="s">
        <v>16</v>
      </c>
      <c r="M3" s="11">
        <f>M9</f>
        <v>22.904954000000004</v>
      </c>
      <c r="N3" s="9"/>
      <c r="O3" s="2" t="s">
        <v>44</v>
      </c>
      <c r="P3" s="2"/>
      <c r="Q3" s="2">
        <f>INDEX(S11:S1056,MATCH(0,T11:T1056,-1))</f>
        <v>1.6815199999999999</v>
      </c>
      <c r="R3" s="2"/>
      <c r="S3" s="10">
        <f>INDEX(T11:T1056,MATCH(Q3,S11:S1056,0))</f>
        <v>0.194489</v>
      </c>
      <c r="T3" s="33" t="s">
        <v>16</v>
      </c>
      <c r="U3" s="11">
        <f>U9</f>
        <v>23.194325075999998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3" t="s">
        <v>16</v>
      </c>
      <c r="AE3" s="11">
        <f>AE9</f>
        <v>22.939553200000002</v>
      </c>
      <c r="AF3" s="9"/>
      <c r="AG3" s="2" t="s">
        <v>44</v>
      </c>
      <c r="AH3" s="2"/>
      <c r="AI3" s="2">
        <f>INDEX(AK11:AK1056,MATCH(0,AL11:AL1056,-1))</f>
        <v>1.6818200000000001</v>
      </c>
      <c r="AJ3" s="2"/>
      <c r="AK3" s="10">
        <f>INDEX(AL11:AL1056,MATCH(AI3,AK11:AK1056,0))</f>
        <v>0.29235800000000001</v>
      </c>
      <c r="AL3" s="33" t="s">
        <v>16</v>
      </c>
      <c r="AM3" s="11">
        <f>AM9</f>
        <v>22.297005119999998</v>
      </c>
      <c r="AP3" s="9"/>
      <c r="AQ3" s="2" t="s">
        <v>44</v>
      </c>
      <c r="AR3" s="2"/>
      <c r="AS3" s="2">
        <f>INDEX(AU11:AU856,MATCH(0,AV11:AV856,1))</f>
        <v>1.64429</v>
      </c>
      <c r="AT3" s="2"/>
      <c r="AU3" s="10">
        <f>INDEX(AV11:AV1056,MATCH(AS3,AU11:AU1056,0))</f>
        <v>-2.4414099999999997E-4</v>
      </c>
      <c r="AV3" s="33" t="s">
        <v>16</v>
      </c>
      <c r="AW3" s="11">
        <f>AW9</f>
        <v>21.884638216000006</v>
      </c>
      <c r="AX3" s="9"/>
      <c r="AY3" s="2" t="s">
        <v>44</v>
      </c>
      <c r="AZ3" s="2"/>
      <c r="BA3" s="2">
        <f>INDEX(BC11:BC1056,MATCH(0,BD11:BD1056,-1))</f>
        <v>1.6863999999999999</v>
      </c>
      <c r="BB3" s="2"/>
      <c r="BC3" s="10">
        <f>INDEX(BD11:BD1056,MATCH(BA3,BC11:BC1056,0))</f>
        <v>5.4412800000000004E-2</v>
      </c>
      <c r="BD3" s="33" t="s">
        <v>16</v>
      </c>
      <c r="BE3" s="11">
        <f>BE9</f>
        <v>21.310560599999999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61.010219211717903</v>
      </c>
      <c r="H4" s="2"/>
      <c r="I4" s="2">
        <f>INDEX(K11:K1000,1+MATCH(0,L11:L856,1))</f>
        <v>1.6839599999999999</v>
      </c>
      <c r="J4" s="2"/>
      <c r="K4" s="10">
        <f>INDEX(L11:L1056,MATCH(I4,K11:K1056,0))</f>
        <v>5.2551300000000002E-2</v>
      </c>
      <c r="L4" s="32">
        <f>M3/(I6*L9)</f>
        <v>0.75019463849820667</v>
      </c>
      <c r="M4" s="8" t="s">
        <v>17</v>
      </c>
      <c r="N4" s="9"/>
      <c r="O4" s="2">
        <f>ABS(Q3-Q4)/ABS(S3-S4)*1000</f>
        <v>7.1447254305420191</v>
      </c>
      <c r="P4" s="2"/>
      <c r="Q4" s="2">
        <f>INDEX(S11:S856,1+MATCH(0,T11:T856,-1))</f>
        <v>1.6867099999999999</v>
      </c>
      <c r="R4" s="2"/>
      <c r="S4" s="10">
        <f>INDEX(T11:T856,MATCH(Q4,S11:S856,0))</f>
        <v>-0.53192099999999998</v>
      </c>
      <c r="T4" s="32">
        <f>U3/(Q6*T9)</f>
        <v>0.76053625362378663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>
        <f>ABS(AI3-AI4)/ABS(AK3-AK4)*1000</f>
        <v>17.511099649299918</v>
      </c>
      <c r="AH4" s="2"/>
      <c r="AI4" s="2">
        <f>INDEX(AK11:AK856,1+MATCH(0,AL11:AL856,-1))</f>
        <v>1.6873199999999999</v>
      </c>
      <c r="AJ4" s="2"/>
      <c r="AK4" s="10">
        <f>INDEX(AL11:AL856,MATCH(AI4,AK11:AK856,0))</f>
        <v>-2.1728500000000001E-2</v>
      </c>
      <c r="AL4" s="32">
        <f>AM3/(AI6*AL9)</f>
        <v>0.73111413211818699</v>
      </c>
      <c r="AM4" s="8" t="s">
        <v>17</v>
      </c>
      <c r="AP4" s="9"/>
      <c r="AQ4" s="2">
        <f>ABS(AS3-AS4)/ABS(AU3-AU4)*1000</f>
        <v>16383.983375321193</v>
      </c>
      <c r="AR4" s="2"/>
      <c r="AS4" s="2">
        <f>INDEX(AU11:AU1000,1+MATCH(0,AV11:AV856,1))</f>
        <v>1.63879</v>
      </c>
      <c r="AT4" s="2"/>
      <c r="AU4" s="10">
        <f>INDEX(AV11:AV1056,MATCH(AS4,AU11:AU1056,0))</f>
        <v>9.1552700000000002E-5</v>
      </c>
      <c r="AV4" s="32">
        <f>AW3/(AS6*AV9)</f>
        <v>0.73909417659681298</v>
      </c>
      <c r="AW4" s="8" t="s">
        <v>17</v>
      </c>
      <c r="AX4" s="9"/>
      <c r="AY4" s="2">
        <f>ABS(BA3-BA4)/ABS(BC3-BC4)*1000</f>
        <v>14.754066640007212</v>
      </c>
      <c r="AZ4" s="2"/>
      <c r="BA4" s="2">
        <f>INDEX(BC11:BC856,1+MATCH(0,BD11:BD856,-1))</f>
        <v>1.6918899999999999</v>
      </c>
      <c r="BB4" s="2"/>
      <c r="BC4" s="10">
        <f>INDEX(BD11:BD856,MATCH(BA4,BC11:BC856,0))</f>
        <v>-0.31768799999999997</v>
      </c>
      <c r="BD4" s="32">
        <f>BE3/(BA6*BD9)</f>
        <v>0.69969946603098687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16.153000000000002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16.500899999999998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16.177400000000002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16.390999999999998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16.180400000000002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16.393999999999998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1.6871661663328608</v>
      </c>
      <c r="J6" s="32"/>
      <c r="K6" s="13">
        <f>INDEX(K11:K1056,MATCH(L6,L11:L1056,0))</f>
        <v>3.09143E-3</v>
      </c>
      <c r="L6" s="10">
        <f>INDEX(L11:L1056,MATCH(0,K11:K1056,-1))</f>
        <v>18.078600000000002</v>
      </c>
      <c r="M6" s="8" t="s">
        <v>22</v>
      </c>
      <c r="N6" s="9"/>
      <c r="O6" s="2"/>
      <c r="P6" s="2"/>
      <c r="Q6" s="34">
        <f>(Q3-Q4)/(S3-S4)*(-S4)+Q4</f>
        <v>1.6829095705042605</v>
      </c>
      <c r="R6" s="34"/>
      <c r="S6" s="13">
        <f>INDEX(S11:S1056,MATCH(T6,T11:T1056,0))</f>
        <v>-1.9464100000000002E-2</v>
      </c>
      <c r="T6" s="10">
        <f>INDEX(T11:T1056,MATCH(0,S11:S1056,1))</f>
        <v>18.136599999999998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2.97241E-3</v>
      </c>
      <c r="AD6" s="10">
        <f>INDEX(AD11:AD1056,MATCH(0,AC11:AC1056,-1))</f>
        <v>18.112199999999998</v>
      </c>
      <c r="AE6" s="8" t="s">
        <v>22</v>
      </c>
      <c r="AF6" s="9"/>
      <c r="AG6" s="2"/>
      <c r="AH6" s="2"/>
      <c r="AI6" s="34">
        <f>(AI3-AI4)/(AK3-AK4)*(-AK4)+AI4</f>
        <v>1.6869395100712701</v>
      </c>
      <c r="AJ6" s="34"/>
      <c r="AK6" s="13">
        <f>INDEX(AK11:AK1056,MATCH(AL6,AL11:AL1056,0))</f>
        <v>-1.45813E-2</v>
      </c>
      <c r="AL6" s="10">
        <f>INDEX(AL11:AL1056,MATCH(0,AK11:AK1056,1))</f>
        <v>18.075600000000001</v>
      </c>
      <c r="AM6" s="8" t="s">
        <v>22</v>
      </c>
      <c r="AP6" s="9"/>
      <c r="AQ6" s="2"/>
      <c r="AR6" s="2"/>
      <c r="AS6" s="32">
        <f>(AS3-AS4)/(AU3-AU4)*(-AU4)+AS4</f>
        <v>1.6402899979147658</v>
      </c>
      <c r="AT6" s="32"/>
      <c r="AU6" s="13">
        <f>INDEX(AU11:AU1056,MATCH(AV6,AV11:AV1056,0))</f>
        <v>3.0853299999999998E-3</v>
      </c>
      <c r="AV6" s="10">
        <f>INDEX(AV11:AV1056,MATCH(0,AU11:AU1056,-1))</f>
        <v>18.051100000000002</v>
      </c>
      <c r="AW6" s="8" t="s">
        <v>22</v>
      </c>
      <c r="AX6" s="9"/>
      <c r="AY6" s="2"/>
      <c r="AZ6" s="2"/>
      <c r="BA6" s="34">
        <f>(BA3-BA4)/(BC3-BC4)*(-BC4)+BA4</f>
        <v>1.6872028100772694</v>
      </c>
      <c r="BB6" s="34"/>
      <c r="BC6" s="13">
        <f>INDEX(BC11:BC1056,MATCH(BD6,BD11:BD1056,0))</f>
        <v>-1.45386E-2</v>
      </c>
      <c r="BD6" s="10">
        <f>INDEX(BD11:BD1056,MATCH(0,BC11:BC1056,1))</f>
        <v>18.060300000000002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-2.1392799999999999E-3</v>
      </c>
      <c r="L7" s="10">
        <f>INDEX(L11:L856,1+MATCH(0,K11:K856,-1))</f>
        <v>18.109099999999998</v>
      </c>
      <c r="M7" s="12">
        <f>INDEX(K11:K1056,MATCH(M9,M11:M1056,0))</f>
        <v>1.41693</v>
      </c>
      <c r="N7" s="9"/>
      <c r="O7" s="2"/>
      <c r="P7" s="2"/>
      <c r="Q7" s="2"/>
      <c r="R7" s="2"/>
      <c r="S7" s="13">
        <f>INDEX(S11:S1056,MATCH(T7,T11:T1056,0))</f>
        <v>6.4086899999999997E-4</v>
      </c>
      <c r="T7" s="10">
        <f>INDEX(T11:T1056,1+MATCH(0,S11:S1056,1))</f>
        <v>18.121300000000002</v>
      </c>
      <c r="U7" s="12">
        <f>INDEX(S11:S1056,MATCH(U9,U11:U1056,0))</f>
        <v>1.40503</v>
      </c>
      <c r="X7" s="9"/>
      <c r="Y7" s="2"/>
      <c r="Z7" s="2"/>
      <c r="AA7" s="2"/>
      <c r="AB7" s="2"/>
      <c r="AC7" s="13">
        <f>INDEX(AC11:AC856,MATCH(AD7,AD11:AD856,1))</f>
        <v>8.1634499999999992E-3</v>
      </c>
      <c r="AD7" s="10">
        <f>INDEX(AD11:AD856,1+MATCH(0,AC11:AC856,-1))</f>
        <v>18.109099999999998</v>
      </c>
      <c r="AE7" s="12">
        <f>INDEX(AC11:AC1056,MATCH(AE9,AE11:AE1056,0))</f>
        <v>1.4172400000000001</v>
      </c>
      <c r="AF7" s="9"/>
      <c r="AG7" s="2"/>
      <c r="AH7" s="2"/>
      <c r="AI7" s="2"/>
      <c r="AJ7" s="2"/>
      <c r="AK7" s="13">
        <f>INDEX(AK11:AK1056,MATCH(AL7,AL11:AL1056,0))</f>
        <v>6.2255899999999996E-4</v>
      </c>
      <c r="AL7" s="10">
        <f>INDEX(AL11:AL1056,1+MATCH(0,AK11:AK1056,1))</f>
        <v>18.078600000000002</v>
      </c>
      <c r="AM7" s="12">
        <f>INDEX(AK11:AK1056,MATCH(AM9,AM11:AM1056,0))</f>
        <v>1.3598600000000001</v>
      </c>
      <c r="AP7" s="9"/>
      <c r="AQ7" s="2"/>
      <c r="AR7" s="2"/>
      <c r="AS7" s="2"/>
      <c r="AT7" s="2"/>
      <c r="AU7" s="13">
        <f>INDEX(AU11:AU856,MATCH(AV7,AV11:AV856,1))</f>
        <v>-2.7029399999999999E-2</v>
      </c>
      <c r="AV7" s="10">
        <f>INDEX(AV11:AV856,1+MATCH(0,AU11:AU856,-1))</f>
        <v>18.057299999999998</v>
      </c>
      <c r="AW7" s="12">
        <f>INDEX(AU11:AU1056,MATCH(AW9,AW11:AW1056,0))</f>
        <v>1.35162</v>
      </c>
      <c r="AX7" s="9"/>
      <c r="AY7" s="2"/>
      <c r="AZ7" s="2"/>
      <c r="BA7" s="2"/>
      <c r="BB7" s="2"/>
      <c r="BC7" s="13">
        <f>INDEX(BC11:BC1056,MATCH(BD7,BD11:BD1056,0))</f>
        <v>8.6059600000000004E-4</v>
      </c>
      <c r="BD7" s="10">
        <f>INDEX(BD11:BD1056,1+MATCH(0,BC11:BC1056,1))</f>
        <v>18.051100000000002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1.2475942932239656</v>
      </c>
      <c r="J9" s="2"/>
      <c r="K9" s="2"/>
      <c r="L9" s="3">
        <f>(L6-L7)/(K6-K7)*(-K7)+L7</f>
        <v>18.09662596874994</v>
      </c>
      <c r="M9" s="16">
        <f>MAX(M11:M1056)</f>
        <v>22.904954000000004</v>
      </c>
      <c r="N9" s="9"/>
      <c r="O9" s="2"/>
      <c r="P9" s="2"/>
      <c r="Q9" s="2"/>
      <c r="R9" s="2"/>
      <c r="S9" s="2"/>
      <c r="T9" s="3">
        <f>(T6-T7)/(S6-S7)*(-S7)+T7</f>
        <v>18.121787705089226</v>
      </c>
      <c r="U9" s="16">
        <f>MAX(U11:U1056)</f>
        <v>23.194325075999998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18.113975072239857</v>
      </c>
      <c r="AE9" s="16">
        <f>MAX(AE11:AE1056)</f>
        <v>22.939553200000002</v>
      </c>
      <c r="AF9" s="9"/>
      <c r="AG9" s="2"/>
      <c r="AH9" s="2"/>
      <c r="AI9" s="2"/>
      <c r="AJ9" s="2"/>
      <c r="AK9" s="2"/>
      <c r="AL9" s="3">
        <f>(AL6-AL7)/(AK6-AK7)*(-AK7)+AL7</f>
        <v>18.078477157700558</v>
      </c>
      <c r="AM9" s="16">
        <f>MAX(AM11:AM1056)</f>
        <v>22.297005119999998</v>
      </c>
      <c r="AP9" s="9"/>
      <c r="AQ9" s="2"/>
      <c r="AR9" s="2"/>
      <c r="AS9" s="15">
        <f>(MAX(AV2,BD2)-MIN(AV2,BD2))/MAX(AV2,BD2)%</f>
        <v>2.6231990235977278</v>
      </c>
      <c r="AT9" s="2"/>
      <c r="AU9" s="2"/>
      <c r="AV9" s="3">
        <f>(AV6-AV7)/(AU6-AU7)*(-AU7)+AV7</f>
        <v>18.05173520562861</v>
      </c>
      <c r="AW9" s="16">
        <f>MAX(AW11:AW1056)</f>
        <v>21.884638216000006</v>
      </c>
      <c r="AX9" s="9"/>
      <c r="AY9" s="2"/>
      <c r="AZ9" s="2"/>
      <c r="BA9" s="2"/>
      <c r="BB9" s="2"/>
      <c r="BC9" s="2"/>
      <c r="BD9" s="3">
        <f>(BD6-BD7)/(BC6-BC7)*(-BC7)+BD7</f>
        <v>18.051614149128305</v>
      </c>
      <c r="BE9" s="16">
        <f>MAX(BE11:BE1056)</f>
        <v>21.310560599999999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1.6871661663328608</v>
      </c>
      <c r="B11" s="19">
        <f>IFERROR(L9,0)</f>
        <v>18.09662596874994</v>
      </c>
      <c r="C11" s="20">
        <f>IFERROR(L4,0)</f>
        <v>0.75019463849820667</v>
      </c>
      <c r="D11" s="21">
        <f>IFERROR(L2,0)</f>
        <v>22.904954000000007</v>
      </c>
      <c r="E11" s="21">
        <f>IFERROR(I9,0)</f>
        <v>1.2475942932239656</v>
      </c>
      <c r="F11" s="9"/>
      <c r="G11" s="22">
        <v>1.69495</v>
      </c>
      <c r="H11" s="22">
        <v>76.361999999999995</v>
      </c>
      <c r="I11" s="25">
        <v>8.01392E-5</v>
      </c>
      <c r="J11" s="22">
        <v>1</v>
      </c>
      <c r="K11" s="22">
        <v>1.6946399999999999</v>
      </c>
      <c r="L11">
        <f>-I11/$F$2*1000</f>
        <v>-8.0139199999999994E-2</v>
      </c>
      <c r="M11">
        <f>L11*G11</f>
        <v>-0.13583193703999999</v>
      </c>
      <c r="N11" s="9"/>
      <c r="O11" s="22">
        <v>-9.49097E-2</v>
      </c>
      <c r="P11" s="22">
        <v>191.279</v>
      </c>
      <c r="Q11" s="22">
        <v>-1.8170200000000001E-2</v>
      </c>
      <c r="R11" s="22">
        <v>1</v>
      </c>
      <c r="S11" s="22">
        <v>-9.5855700000000002E-2</v>
      </c>
      <c r="T11">
        <f>-Q11/$F$2*1000</f>
        <v>18.170200000000001</v>
      </c>
      <c r="U11">
        <f>T11*O11</f>
        <v>-1.7245282309400001</v>
      </c>
      <c r="V11" s="23"/>
      <c r="W11" s="24"/>
      <c r="X11" s="9"/>
      <c r="Y11" s="22">
        <v>1.69495</v>
      </c>
      <c r="Z11" s="22">
        <v>294.26600000000002</v>
      </c>
      <c r="AA11" s="25">
        <v>-9.6069299999999999E-5</v>
      </c>
      <c r="AB11" s="22">
        <v>1</v>
      </c>
      <c r="AC11" s="22">
        <v>1.6940299999999999</v>
      </c>
      <c r="AD11">
        <f>-AA11/$F$2*1000</f>
        <v>9.6069299999999996E-2</v>
      </c>
      <c r="AE11">
        <f>AD11*Y11</f>
        <v>0.16283266003499999</v>
      </c>
      <c r="AF11" s="9"/>
      <c r="AG11" s="22">
        <v>-9.49097E-2</v>
      </c>
      <c r="AH11" s="22">
        <v>354.84500000000003</v>
      </c>
      <c r="AI11" s="22">
        <v>-1.8127399999999998E-2</v>
      </c>
      <c r="AJ11" s="22">
        <v>1</v>
      </c>
      <c r="AK11" s="22">
        <v>-9.5306399999999999E-2</v>
      </c>
      <c r="AL11">
        <f>-AI11/$F$2*1000</f>
        <v>18.127399999999998</v>
      </c>
      <c r="AM11">
        <f>AL11*AG11</f>
        <v>-1.7204660957799998</v>
      </c>
      <c r="AP11" s="9"/>
      <c r="AQ11" s="22">
        <v>1.69495</v>
      </c>
      <c r="AR11" s="22">
        <v>490.62299999999999</v>
      </c>
      <c r="AS11" s="22">
        <v>-1.82709E-4</v>
      </c>
      <c r="AT11" s="22">
        <v>1</v>
      </c>
      <c r="AU11" s="22">
        <v>1.69373</v>
      </c>
      <c r="AV11">
        <f>-AS11/$F$2*1000</f>
        <v>0.18270900000000001</v>
      </c>
      <c r="AW11">
        <f>AV11*AQ11</f>
        <v>0.30968261954999998</v>
      </c>
      <c r="AX11" s="9"/>
      <c r="AY11" s="22">
        <v>-9.49097E-2</v>
      </c>
      <c r="AZ11" s="22">
        <v>612.98</v>
      </c>
      <c r="BA11" s="22">
        <v>-1.81213E-2</v>
      </c>
      <c r="BB11" s="22">
        <v>1</v>
      </c>
      <c r="BC11" s="22">
        <v>-9.5794699999999997E-2</v>
      </c>
      <c r="BD11">
        <f>-BA11/$F$2*1000</f>
        <v>18.121300000000002</v>
      </c>
      <c r="BE11">
        <f>BD11*AY11</f>
        <v>-1.7198871466100001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1.6829095705042605</v>
      </c>
      <c r="B12" s="19">
        <f>IFERROR(T9,0)</f>
        <v>18.121787705089226</v>
      </c>
      <c r="C12" s="20">
        <f>IFERROR(T4,0)</f>
        <v>0.76053625362378663</v>
      </c>
      <c r="D12" s="21">
        <f>IFERROR(T2,0)</f>
        <v>23.194325075999998</v>
      </c>
      <c r="E12" s="21"/>
      <c r="F12" s="9"/>
      <c r="G12" s="22">
        <v>1.68991</v>
      </c>
      <c r="H12" s="22">
        <v>76.462699999999998</v>
      </c>
      <c r="I12" s="25">
        <v>2.7435300000000001E-5</v>
      </c>
      <c r="J12" s="22">
        <v>2</v>
      </c>
      <c r="K12" s="22">
        <v>1.6888399999999999</v>
      </c>
      <c r="L12">
        <f t="shared" ref="L12:L75" si="0">-I12/$F$2*1000</f>
        <v>-2.7435300000000003E-2</v>
      </c>
      <c r="M12">
        <f t="shared" ref="M12:M75" si="1">L12*G12</f>
        <v>-4.6363187823000009E-2</v>
      </c>
      <c r="N12" s="9"/>
      <c r="O12" s="22">
        <v>-8.9874300000000004E-2</v>
      </c>
      <c r="P12" s="22">
        <v>191.38</v>
      </c>
      <c r="Q12" s="22">
        <v>-1.8161E-2</v>
      </c>
      <c r="R12" s="22">
        <v>2</v>
      </c>
      <c r="S12" s="22">
        <v>-9.0301500000000007E-2</v>
      </c>
      <c r="T12">
        <f t="shared" ref="T12:T75" si="2">-Q12/$F$2*1000</f>
        <v>18.161000000000001</v>
      </c>
      <c r="U12">
        <f t="shared" ref="U12:U75" si="3">T12*O12</f>
        <v>-1.6322071623000003</v>
      </c>
      <c r="V12" s="23"/>
      <c r="W12" s="24"/>
      <c r="X12" s="9"/>
      <c r="Y12" s="22">
        <v>1.68991</v>
      </c>
      <c r="Z12" s="22">
        <v>294.36599999999999</v>
      </c>
      <c r="AA12" s="22">
        <v>-1.8344100000000001E-4</v>
      </c>
      <c r="AB12" s="22">
        <v>2</v>
      </c>
      <c r="AC12" s="22">
        <v>1.6888399999999999</v>
      </c>
      <c r="AD12">
        <f t="shared" ref="AD12:AD75" si="4">-AA12/$F$2*1000</f>
        <v>0.18344100000000002</v>
      </c>
      <c r="AE12">
        <f t="shared" ref="AE12:AE75" si="5">AD12*Y12</f>
        <v>0.30999878031000005</v>
      </c>
      <c r="AF12" s="9"/>
      <c r="AG12" s="22">
        <v>-8.9874300000000004E-2</v>
      </c>
      <c r="AH12" s="22">
        <v>354.94499999999999</v>
      </c>
      <c r="AI12" s="22">
        <v>-1.81335E-2</v>
      </c>
      <c r="AJ12" s="22">
        <v>2</v>
      </c>
      <c r="AK12" s="22">
        <v>-9.0209999999999999E-2</v>
      </c>
      <c r="AL12">
        <f t="shared" ref="AL12:AL75" si="6">-AI12/$F$2*1000</f>
        <v>18.133500000000002</v>
      </c>
      <c r="AM12">
        <f t="shared" ref="AM12:AM75" si="7">AL12*AG12</f>
        <v>-1.6297356190500003</v>
      </c>
      <c r="AP12" s="9"/>
      <c r="AQ12" s="22">
        <v>1.68991</v>
      </c>
      <c r="AR12" s="22">
        <v>490.72399999999999</v>
      </c>
      <c r="AS12" s="25">
        <v>-2.8564500000000001E-5</v>
      </c>
      <c r="AT12" s="22">
        <v>2</v>
      </c>
      <c r="AU12" s="22">
        <v>1.6894499999999999</v>
      </c>
      <c r="AV12">
        <f t="shared" ref="AV12:AV75" si="8">-AS12/$F$2*1000</f>
        <v>2.85645E-2</v>
      </c>
      <c r="AW12">
        <f t="shared" ref="AW12:AW75" si="9">AV12*AQ12</f>
        <v>4.8271434194999997E-2</v>
      </c>
      <c r="AX12" s="9"/>
      <c r="AY12" s="22">
        <v>-8.9874300000000004E-2</v>
      </c>
      <c r="AZ12" s="22">
        <v>613.08100000000002</v>
      </c>
      <c r="BA12" s="22">
        <v>-1.81335E-2</v>
      </c>
      <c r="BB12" s="22">
        <v>2</v>
      </c>
      <c r="BC12" s="22">
        <v>-9.0362499999999998E-2</v>
      </c>
      <c r="BD12">
        <f t="shared" ref="BD12:BD75" si="10">-BA12/$F$2*1000</f>
        <v>18.133500000000002</v>
      </c>
      <c r="BE12">
        <f t="shared" ref="BE12:BE75" si="11">BD12*AY12</f>
        <v>-1.6297356190500003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18.113975072239857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76.563400000000001</v>
      </c>
      <c r="I13" s="25">
        <v>-5.2551299999999999E-5</v>
      </c>
      <c r="J13" s="22">
        <v>3</v>
      </c>
      <c r="K13" s="22">
        <v>1.6839599999999999</v>
      </c>
      <c r="L13">
        <f t="shared" si="0"/>
        <v>5.2551300000000002E-2</v>
      </c>
      <c r="M13">
        <f t="shared" si="1"/>
        <v>8.8542634344000004E-2</v>
      </c>
      <c r="N13" s="9"/>
      <c r="O13" s="22">
        <v>-8.4838899999999995E-2</v>
      </c>
      <c r="P13" s="22">
        <v>191.48</v>
      </c>
      <c r="Q13" s="22">
        <v>-1.8164099999999999E-2</v>
      </c>
      <c r="R13" s="22">
        <v>3</v>
      </c>
      <c r="S13" s="22">
        <v>-8.5083000000000006E-2</v>
      </c>
      <c r="T13">
        <f t="shared" si="2"/>
        <v>18.164099999999998</v>
      </c>
      <c r="U13">
        <f t="shared" si="3"/>
        <v>-1.5410222634899997</v>
      </c>
      <c r="V13" s="23"/>
      <c r="W13" s="24"/>
      <c r="X13" s="9"/>
      <c r="Y13" s="22">
        <v>1.6848799999999999</v>
      </c>
      <c r="Z13" s="22">
        <v>294.46699999999998</v>
      </c>
      <c r="AA13" s="22">
        <v>-2.4932900000000001E-4</v>
      </c>
      <c r="AB13" s="22">
        <v>3</v>
      </c>
      <c r="AC13" s="22">
        <v>1.6839599999999999</v>
      </c>
      <c r="AD13">
        <f t="shared" si="4"/>
        <v>0.24932900000000002</v>
      </c>
      <c r="AE13">
        <f t="shared" si="5"/>
        <v>0.42008944552000005</v>
      </c>
      <c r="AF13" s="9"/>
      <c r="AG13" s="22">
        <v>-8.4838899999999995E-2</v>
      </c>
      <c r="AH13" s="22">
        <v>355.04599999999999</v>
      </c>
      <c r="AI13" s="22">
        <v>-1.8127399999999998E-2</v>
      </c>
      <c r="AJ13" s="22">
        <v>3</v>
      </c>
      <c r="AK13" s="22">
        <v>-8.5754399999999995E-2</v>
      </c>
      <c r="AL13">
        <f t="shared" si="6"/>
        <v>18.127399999999998</v>
      </c>
      <c r="AM13">
        <f t="shared" si="7"/>
        <v>-1.5379086758599998</v>
      </c>
      <c r="AP13" s="9"/>
      <c r="AQ13" s="22">
        <v>1.6848799999999999</v>
      </c>
      <c r="AR13" s="22">
        <v>490.82400000000001</v>
      </c>
      <c r="AS13" s="25">
        <v>-2.0355200000000001E-5</v>
      </c>
      <c r="AT13" s="22">
        <v>3</v>
      </c>
      <c r="AU13" s="22">
        <v>1.6836500000000001</v>
      </c>
      <c r="AV13">
        <f t="shared" si="8"/>
        <v>2.03552E-2</v>
      </c>
      <c r="AW13">
        <f t="shared" si="9"/>
        <v>3.4296069376E-2</v>
      </c>
      <c r="AX13" s="9"/>
      <c r="AY13" s="22">
        <v>-8.4838899999999995E-2</v>
      </c>
      <c r="AZ13" s="22">
        <v>613.18100000000004</v>
      </c>
      <c r="BA13" s="22">
        <v>-1.8127399999999998E-2</v>
      </c>
      <c r="BB13" s="22">
        <v>3</v>
      </c>
      <c r="BC13" s="22">
        <v>-8.5479700000000006E-2</v>
      </c>
      <c r="BD13">
        <f t="shared" si="10"/>
        <v>18.127399999999998</v>
      </c>
      <c r="BE13">
        <f t="shared" si="11"/>
        <v>-1.5379086758599998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1.6869395100712701</v>
      </c>
      <c r="B14" s="19">
        <f>IFERROR(AL9,0)</f>
        <v>18.078477157700558</v>
      </c>
      <c r="C14" s="20">
        <f>IFERROR(AL4,0)</f>
        <v>0.73111413211818699</v>
      </c>
      <c r="D14" s="21">
        <f>IFERROR(AL2,0)</f>
        <v>22.297005119999998</v>
      </c>
      <c r="E14" s="21"/>
      <c r="F14" s="9"/>
      <c r="G14" s="22">
        <v>1.67984</v>
      </c>
      <c r="H14" s="22">
        <v>76.664100000000005</v>
      </c>
      <c r="I14" s="22">
        <v>-1.69922E-4</v>
      </c>
      <c r="J14" s="22">
        <v>4</v>
      </c>
      <c r="K14" s="22">
        <v>1.6793800000000001</v>
      </c>
      <c r="L14">
        <f t="shared" si="0"/>
        <v>0.16992200000000002</v>
      </c>
      <c r="M14">
        <f t="shared" si="1"/>
        <v>0.28544177248000002</v>
      </c>
      <c r="N14" s="9"/>
      <c r="O14" s="22">
        <v>-7.9803499999999999E-2</v>
      </c>
      <c r="P14" s="22">
        <v>191.58099999999999</v>
      </c>
      <c r="Q14" s="22">
        <v>-1.8161E-2</v>
      </c>
      <c r="R14" s="22">
        <v>4</v>
      </c>
      <c r="S14" s="22">
        <v>-7.9772899999999994E-2</v>
      </c>
      <c r="T14">
        <f t="shared" si="2"/>
        <v>18.161000000000001</v>
      </c>
      <c r="U14">
        <f t="shared" si="3"/>
        <v>-1.4493113635000001</v>
      </c>
      <c r="V14" s="23"/>
      <c r="W14" s="24"/>
      <c r="X14" s="9"/>
      <c r="Y14" s="22">
        <v>1.67984</v>
      </c>
      <c r="Z14" s="22">
        <v>294.56799999999998</v>
      </c>
      <c r="AA14" s="22">
        <v>-2.40936E-4</v>
      </c>
      <c r="AB14" s="22">
        <v>4</v>
      </c>
      <c r="AC14" s="22">
        <v>1.6787700000000001</v>
      </c>
      <c r="AD14">
        <f t="shared" si="4"/>
        <v>0.24093600000000001</v>
      </c>
      <c r="AE14">
        <f t="shared" si="5"/>
        <v>0.40473393024000004</v>
      </c>
      <c r="AF14" s="9"/>
      <c r="AG14" s="22">
        <v>-7.9803499999999999E-2</v>
      </c>
      <c r="AH14" s="22">
        <v>355.14699999999999</v>
      </c>
      <c r="AI14" s="22">
        <v>-1.81183E-2</v>
      </c>
      <c r="AJ14" s="22">
        <v>4</v>
      </c>
      <c r="AK14" s="22">
        <v>-8.0322299999999999E-2</v>
      </c>
      <c r="AL14">
        <f t="shared" si="6"/>
        <v>18.118300000000001</v>
      </c>
      <c r="AM14">
        <f t="shared" si="7"/>
        <v>-1.4459037540500002</v>
      </c>
      <c r="AP14" s="9"/>
      <c r="AQ14" s="22">
        <v>1.67984</v>
      </c>
      <c r="AR14" s="22">
        <v>490.92500000000001</v>
      </c>
      <c r="AS14" s="25">
        <v>-7.0800799999999996E-6</v>
      </c>
      <c r="AT14" s="22">
        <v>4</v>
      </c>
      <c r="AU14" s="22">
        <v>1.6784699999999999</v>
      </c>
      <c r="AV14">
        <f t="shared" si="8"/>
        <v>7.0800799999999999E-3</v>
      </c>
      <c r="AW14">
        <f t="shared" si="9"/>
        <v>1.18934015872E-2</v>
      </c>
      <c r="AX14" s="9"/>
      <c r="AY14" s="22">
        <v>-7.9803499999999999E-2</v>
      </c>
      <c r="AZ14" s="22">
        <v>613.28200000000004</v>
      </c>
      <c r="BA14" s="22">
        <v>-1.81213E-2</v>
      </c>
      <c r="BB14" s="22">
        <v>4</v>
      </c>
      <c r="BC14" s="22">
        <v>-8.0291699999999994E-2</v>
      </c>
      <c r="BD14">
        <f t="shared" si="10"/>
        <v>18.121300000000002</v>
      </c>
      <c r="BE14">
        <f t="shared" si="11"/>
        <v>-1.44614316455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1.6402899979147658</v>
      </c>
      <c r="B15" s="19">
        <f>IFERROR(AV9,0)</f>
        <v>18.05173520562861</v>
      </c>
      <c r="C15" s="20">
        <f>IFERROR(AV4,0)</f>
        <v>0.73909417659681298</v>
      </c>
      <c r="D15" s="21">
        <f>IFERROR(AV2,0)</f>
        <v>21.884638216000006</v>
      </c>
      <c r="E15" s="21">
        <f>IFERROR(AS9,0)</f>
        <v>2.6231990235977278</v>
      </c>
      <c r="F15" s="9"/>
      <c r="G15" s="22">
        <v>1.6748000000000001</v>
      </c>
      <c r="H15" s="22">
        <v>76.764799999999994</v>
      </c>
      <c r="I15" s="22">
        <v>-2.9525800000000001E-4</v>
      </c>
      <c r="J15" s="22">
        <v>5</v>
      </c>
      <c r="K15" s="22">
        <v>1.6741900000000001</v>
      </c>
      <c r="L15">
        <f t="shared" si="0"/>
        <v>0.29525800000000002</v>
      </c>
      <c r="M15">
        <f t="shared" si="1"/>
        <v>0.49449809840000003</v>
      </c>
      <c r="N15" s="9"/>
      <c r="O15" s="22">
        <v>-7.4768100000000004E-2</v>
      </c>
      <c r="P15" s="22">
        <v>191.68199999999999</v>
      </c>
      <c r="Q15" s="22">
        <v>-1.8161E-2</v>
      </c>
      <c r="R15" s="22">
        <v>5</v>
      </c>
      <c r="S15" s="22">
        <v>-7.5317400000000007E-2</v>
      </c>
      <c r="T15">
        <f t="shared" si="2"/>
        <v>18.161000000000001</v>
      </c>
      <c r="U15">
        <f t="shared" si="3"/>
        <v>-1.3578634641000003</v>
      </c>
      <c r="V15" s="23"/>
      <c r="W15" s="24"/>
      <c r="X15" s="9"/>
      <c r="Y15" s="22">
        <v>1.6748000000000001</v>
      </c>
      <c r="Z15" s="22">
        <v>294.66800000000001</v>
      </c>
      <c r="AA15" s="22">
        <v>-2.7594000000000002E-4</v>
      </c>
      <c r="AB15" s="22">
        <v>5</v>
      </c>
      <c r="AC15" s="22">
        <v>1.6738900000000001</v>
      </c>
      <c r="AD15">
        <f t="shared" si="4"/>
        <v>0.27594000000000002</v>
      </c>
      <c r="AE15">
        <f t="shared" si="5"/>
        <v>0.46214431200000006</v>
      </c>
      <c r="AF15" s="9"/>
      <c r="AG15" s="22">
        <v>-7.4768100000000004E-2</v>
      </c>
      <c r="AH15" s="22">
        <v>355.24700000000001</v>
      </c>
      <c r="AI15" s="22">
        <v>-1.8115200000000001E-2</v>
      </c>
      <c r="AJ15" s="22">
        <v>5</v>
      </c>
      <c r="AK15" s="22">
        <v>-7.5134300000000001E-2</v>
      </c>
      <c r="AL15">
        <f t="shared" si="6"/>
        <v>18.115200000000002</v>
      </c>
      <c r="AM15">
        <f t="shared" si="7"/>
        <v>-1.3544390851200001</v>
      </c>
      <c r="AP15" s="9"/>
      <c r="AQ15" s="22">
        <v>1.6748000000000001</v>
      </c>
      <c r="AR15" s="22">
        <v>491.02600000000001</v>
      </c>
      <c r="AS15" s="25">
        <v>7.4157699999999998E-6</v>
      </c>
      <c r="AT15" s="22">
        <v>5</v>
      </c>
      <c r="AU15" s="22">
        <v>1.6741900000000001</v>
      </c>
      <c r="AV15">
        <f t="shared" si="8"/>
        <v>-7.4157699999999995E-3</v>
      </c>
      <c r="AW15">
        <f t="shared" si="9"/>
        <v>-1.2419931596E-2</v>
      </c>
      <c r="AX15" s="9"/>
      <c r="AY15" s="22">
        <v>-7.4768100000000004E-2</v>
      </c>
      <c r="AZ15" s="22">
        <v>613.38300000000004</v>
      </c>
      <c r="BA15" s="22">
        <v>-1.8115200000000001E-2</v>
      </c>
      <c r="BB15" s="22">
        <v>5</v>
      </c>
      <c r="BC15" s="22">
        <v>-7.5164800000000004E-2</v>
      </c>
      <c r="BD15">
        <f t="shared" si="10"/>
        <v>18.115200000000002</v>
      </c>
      <c r="BE15">
        <f t="shared" si="11"/>
        <v>-1.3544390851200001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1.6872028100772694</v>
      </c>
      <c r="B16" s="19">
        <f>IFERROR(BD9,0)</f>
        <v>18.051614149128305</v>
      </c>
      <c r="C16" s="20">
        <f>IFERROR(BD4,0)</f>
        <v>0.69969946603098687</v>
      </c>
      <c r="D16" s="21">
        <f>IFERROR(BD2,0)</f>
        <v>21.310560599999999</v>
      </c>
      <c r="E16" s="21"/>
      <c r="F16" s="9"/>
      <c r="G16" s="22">
        <v>1.66977</v>
      </c>
      <c r="H16" s="22">
        <v>76.865499999999997</v>
      </c>
      <c r="I16" s="22">
        <v>-4.0832500000000002E-4</v>
      </c>
      <c r="J16" s="22">
        <v>6</v>
      </c>
      <c r="K16" s="22">
        <v>1.6690100000000001</v>
      </c>
      <c r="L16">
        <f t="shared" si="0"/>
        <v>0.40832499999999999</v>
      </c>
      <c r="M16">
        <f t="shared" si="1"/>
        <v>0.68180883525000002</v>
      </c>
      <c r="N16" s="9"/>
      <c r="O16" s="22">
        <v>-6.9732699999999995E-2</v>
      </c>
      <c r="P16" s="22">
        <v>191.78200000000001</v>
      </c>
      <c r="Q16" s="22">
        <v>-1.8158000000000001E-2</v>
      </c>
      <c r="R16" s="22">
        <v>6</v>
      </c>
      <c r="S16" s="22">
        <v>-7.0251499999999995E-2</v>
      </c>
      <c r="T16">
        <f t="shared" si="2"/>
        <v>18.158000000000001</v>
      </c>
      <c r="U16">
        <f t="shared" si="3"/>
        <v>-1.2662063666000001</v>
      </c>
      <c r="V16" s="23"/>
      <c r="W16" s="24"/>
      <c r="X16" s="9"/>
      <c r="Y16" s="22">
        <v>1.66977</v>
      </c>
      <c r="Z16" s="22">
        <v>294.76900000000001</v>
      </c>
      <c r="AA16" s="25">
        <v>-9.1400100000000006E-5</v>
      </c>
      <c r="AB16" s="22">
        <v>6</v>
      </c>
      <c r="AC16" s="22">
        <v>1.6690100000000001</v>
      </c>
      <c r="AD16">
        <f t="shared" si="4"/>
        <v>9.1400100000000012E-2</v>
      </c>
      <c r="AE16">
        <f t="shared" si="5"/>
        <v>0.15261714497700002</v>
      </c>
      <c r="AF16" s="9"/>
      <c r="AG16" s="22">
        <v>-6.9732699999999995E-2</v>
      </c>
      <c r="AH16" s="22">
        <v>355.34800000000001</v>
      </c>
      <c r="AI16" s="22">
        <v>-1.8115200000000001E-2</v>
      </c>
      <c r="AJ16" s="22">
        <v>6</v>
      </c>
      <c r="AK16" s="22">
        <v>-7.0343000000000003E-2</v>
      </c>
      <c r="AL16">
        <f t="shared" si="6"/>
        <v>18.115200000000002</v>
      </c>
      <c r="AM16">
        <f t="shared" si="7"/>
        <v>-1.2632218070400001</v>
      </c>
      <c r="AP16" s="9"/>
      <c r="AQ16" s="22">
        <v>1.66977</v>
      </c>
      <c r="AR16" s="22">
        <v>491.12599999999998</v>
      </c>
      <c r="AS16" s="25">
        <v>5.4931599999999999E-6</v>
      </c>
      <c r="AT16" s="22">
        <v>6</v>
      </c>
      <c r="AU16" s="22">
        <v>1.6690100000000001</v>
      </c>
      <c r="AV16">
        <f t="shared" si="8"/>
        <v>-5.4931599999999995E-3</v>
      </c>
      <c r="AW16">
        <f t="shared" si="9"/>
        <v>-9.1723137731999985E-3</v>
      </c>
      <c r="AX16" s="9"/>
      <c r="AY16" s="22">
        <v>-6.9732699999999995E-2</v>
      </c>
      <c r="AZ16" s="22">
        <v>613.48400000000004</v>
      </c>
      <c r="BA16" s="22">
        <v>-1.81061E-2</v>
      </c>
      <c r="BB16" s="22">
        <v>6</v>
      </c>
      <c r="BC16" s="22">
        <v>-7.01904E-2</v>
      </c>
      <c r="BD16">
        <f t="shared" si="10"/>
        <v>18.106100000000001</v>
      </c>
      <c r="BE16">
        <f t="shared" si="11"/>
        <v>-1.26258723947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76.966200000000001</v>
      </c>
      <c r="I17" s="22">
        <v>-5.2856400000000003E-4</v>
      </c>
      <c r="J17" s="22">
        <v>7</v>
      </c>
      <c r="K17" s="22">
        <v>1.6638200000000001</v>
      </c>
      <c r="L17">
        <f t="shared" si="0"/>
        <v>0.52856400000000003</v>
      </c>
      <c r="M17">
        <f t="shared" si="1"/>
        <v>0.87991634772000005</v>
      </c>
      <c r="N17" s="9"/>
      <c r="O17" s="22">
        <v>-6.4697299999999999E-2</v>
      </c>
      <c r="P17" s="22">
        <v>191.88300000000001</v>
      </c>
      <c r="Q17" s="22">
        <v>-1.8158000000000001E-2</v>
      </c>
      <c r="R17" s="22">
        <v>7</v>
      </c>
      <c r="S17" s="22">
        <v>-6.4880400000000005E-2</v>
      </c>
      <c r="T17">
        <f t="shared" si="2"/>
        <v>18.158000000000001</v>
      </c>
      <c r="U17">
        <f t="shared" si="3"/>
        <v>-1.1747735734</v>
      </c>
      <c r="V17" s="23"/>
      <c r="W17" s="24"/>
      <c r="X17" s="9"/>
      <c r="Y17" s="22">
        <v>1.66473</v>
      </c>
      <c r="Z17" s="22">
        <v>294.87</v>
      </c>
      <c r="AA17" s="22">
        <v>-1.21063E-4</v>
      </c>
      <c r="AB17" s="22">
        <v>7</v>
      </c>
      <c r="AC17" s="22">
        <v>1.66412</v>
      </c>
      <c r="AD17">
        <f t="shared" si="4"/>
        <v>0.121063</v>
      </c>
      <c r="AE17">
        <f t="shared" si="5"/>
        <v>0.20153720799000002</v>
      </c>
      <c r="AF17" s="9"/>
      <c r="AG17" s="22">
        <v>-6.4697299999999999E-2</v>
      </c>
      <c r="AH17" s="22">
        <v>355.44900000000001</v>
      </c>
      <c r="AI17" s="22">
        <v>-1.81061E-2</v>
      </c>
      <c r="AJ17" s="22">
        <v>7</v>
      </c>
      <c r="AK17" s="22">
        <v>-6.5002400000000002E-2</v>
      </c>
      <c r="AL17">
        <f t="shared" si="6"/>
        <v>18.106100000000001</v>
      </c>
      <c r="AM17">
        <f t="shared" si="7"/>
        <v>-1.1714157835300001</v>
      </c>
      <c r="AP17" s="9"/>
      <c r="AQ17" s="22">
        <v>1.66473</v>
      </c>
      <c r="AR17" s="22">
        <v>491.22699999999998</v>
      </c>
      <c r="AS17" s="25">
        <v>4.6386699999999998E-6</v>
      </c>
      <c r="AT17" s="22">
        <v>7</v>
      </c>
      <c r="AU17" s="22">
        <v>1.66351</v>
      </c>
      <c r="AV17">
        <f t="shared" si="8"/>
        <v>-4.6386700000000001E-3</v>
      </c>
      <c r="AW17">
        <f t="shared" si="9"/>
        <v>-7.7221331091000007E-3</v>
      </c>
      <c r="AX17" s="9"/>
      <c r="AY17" s="22">
        <v>-6.4697299999999999E-2</v>
      </c>
      <c r="AZ17" s="22">
        <v>613.58399999999995</v>
      </c>
      <c r="BA17" s="22">
        <v>-1.8112199999999998E-2</v>
      </c>
      <c r="BB17" s="22">
        <v>7</v>
      </c>
      <c r="BC17" s="22">
        <v>-6.5063499999999996E-2</v>
      </c>
      <c r="BD17">
        <f t="shared" si="10"/>
        <v>18.112199999999998</v>
      </c>
      <c r="BE17">
        <f t="shared" si="11"/>
        <v>-1.1718104370599998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77.066900000000004</v>
      </c>
      <c r="I18" s="22">
        <v>-8.8378899999999995E-4</v>
      </c>
      <c r="J18" s="22">
        <v>8</v>
      </c>
      <c r="K18" s="22">
        <v>1.6595500000000001</v>
      </c>
      <c r="L18">
        <f t="shared" si="0"/>
        <v>0.88378899999999994</v>
      </c>
      <c r="M18">
        <f t="shared" si="1"/>
        <v>1.4668246032999999</v>
      </c>
      <c r="N18" s="9"/>
      <c r="O18" s="22">
        <v>-5.9661899999999997E-2</v>
      </c>
      <c r="P18" s="22">
        <v>191.98400000000001</v>
      </c>
      <c r="Q18" s="22">
        <v>-1.8161E-2</v>
      </c>
      <c r="R18" s="22">
        <v>8</v>
      </c>
      <c r="S18" s="22">
        <v>-6.0211199999999999E-2</v>
      </c>
      <c r="T18">
        <f t="shared" si="2"/>
        <v>18.161000000000001</v>
      </c>
      <c r="U18">
        <f t="shared" si="3"/>
        <v>-1.0835197659</v>
      </c>
      <c r="V18" s="23"/>
      <c r="W18" s="24"/>
      <c r="X18" s="9"/>
      <c r="Y18" s="22">
        <v>1.6597</v>
      </c>
      <c r="Z18" s="22">
        <v>294.971</v>
      </c>
      <c r="AA18" s="22">
        <v>-1.5710400000000001E-4</v>
      </c>
      <c r="AB18" s="22">
        <v>8</v>
      </c>
      <c r="AC18" s="22">
        <v>1.6583300000000001</v>
      </c>
      <c r="AD18">
        <f t="shared" si="4"/>
        <v>0.15710399999999999</v>
      </c>
      <c r="AE18">
        <f t="shared" si="5"/>
        <v>0.26074550879999997</v>
      </c>
      <c r="AF18" s="9"/>
      <c r="AG18" s="22">
        <v>-5.9661899999999997E-2</v>
      </c>
      <c r="AH18" s="22">
        <v>355.55</v>
      </c>
      <c r="AI18" s="22">
        <v>-1.81061E-2</v>
      </c>
      <c r="AJ18" s="22">
        <v>8</v>
      </c>
      <c r="AK18" s="22">
        <v>-6.0058599999999997E-2</v>
      </c>
      <c r="AL18">
        <f t="shared" si="6"/>
        <v>18.106100000000001</v>
      </c>
      <c r="AM18">
        <f t="shared" si="7"/>
        <v>-1.08024432759</v>
      </c>
      <c r="AP18" s="9"/>
      <c r="AQ18" s="22">
        <v>1.6597</v>
      </c>
      <c r="AR18" s="22">
        <v>491.32799999999997</v>
      </c>
      <c r="AS18" s="25">
        <v>2.74658E-6</v>
      </c>
      <c r="AT18" s="22">
        <v>8</v>
      </c>
      <c r="AU18" s="22">
        <v>1.65863</v>
      </c>
      <c r="AV18">
        <f t="shared" si="8"/>
        <v>-2.7465799999999998E-3</v>
      </c>
      <c r="AW18">
        <f t="shared" si="9"/>
        <v>-4.5584988259999995E-3</v>
      </c>
      <c r="AX18" s="9"/>
      <c r="AY18" s="22">
        <v>-5.9661899999999997E-2</v>
      </c>
      <c r="AZ18" s="22">
        <v>613.68499999999995</v>
      </c>
      <c r="BA18" s="22">
        <v>-1.81061E-2</v>
      </c>
      <c r="BB18" s="22">
        <v>8</v>
      </c>
      <c r="BC18" s="22">
        <v>-6.0058599999999997E-2</v>
      </c>
      <c r="BD18">
        <f t="shared" si="10"/>
        <v>18.106100000000001</v>
      </c>
      <c r="BE18">
        <f t="shared" si="11"/>
        <v>-1.08024432759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77.167599999999993</v>
      </c>
      <c r="I19" s="22">
        <v>-1.4379900000000001E-3</v>
      </c>
      <c r="J19" s="22">
        <v>9</v>
      </c>
      <c r="K19" s="22">
        <v>1.6537500000000001</v>
      </c>
      <c r="L19">
        <f t="shared" si="0"/>
        <v>1.4379900000000001</v>
      </c>
      <c r="M19">
        <f t="shared" si="1"/>
        <v>2.3793845334000001</v>
      </c>
      <c r="N19" s="9"/>
      <c r="O19" s="22">
        <v>-5.4626500000000001E-2</v>
      </c>
      <c r="P19" s="22">
        <v>192.08500000000001</v>
      </c>
      <c r="Q19" s="22">
        <v>-1.8151899999999999E-2</v>
      </c>
      <c r="R19" s="22">
        <v>9</v>
      </c>
      <c r="S19" s="22">
        <v>-5.5175799999999997E-2</v>
      </c>
      <c r="T19">
        <f t="shared" si="2"/>
        <v>18.151899999999998</v>
      </c>
      <c r="U19">
        <f t="shared" si="3"/>
        <v>-0.99157476534999989</v>
      </c>
      <c r="V19" s="23"/>
      <c r="W19" s="24"/>
      <c r="X19" s="9"/>
      <c r="Y19" s="22">
        <v>1.65466</v>
      </c>
      <c r="Z19" s="22">
        <v>295.07100000000003</v>
      </c>
      <c r="AA19" s="22">
        <v>-1.76422E-4</v>
      </c>
      <c r="AB19" s="22">
        <v>9</v>
      </c>
      <c r="AC19" s="22">
        <v>1.65405</v>
      </c>
      <c r="AD19">
        <f t="shared" si="4"/>
        <v>0.176422</v>
      </c>
      <c r="AE19">
        <f t="shared" si="5"/>
        <v>0.29191842652</v>
      </c>
      <c r="AF19" s="9"/>
      <c r="AG19" s="22">
        <v>-5.4626500000000001E-2</v>
      </c>
      <c r="AH19" s="22">
        <v>355.65</v>
      </c>
      <c r="AI19" s="22">
        <v>-1.81091E-2</v>
      </c>
      <c r="AJ19" s="22">
        <v>9</v>
      </c>
      <c r="AK19" s="22">
        <v>-5.4870599999999999E-2</v>
      </c>
      <c r="AL19">
        <f t="shared" si="6"/>
        <v>18.109099999999998</v>
      </c>
      <c r="AM19">
        <f t="shared" si="7"/>
        <v>-0.98923675114999987</v>
      </c>
      <c r="AP19" s="9"/>
      <c r="AQ19" s="22">
        <v>1.65466</v>
      </c>
      <c r="AR19" s="22">
        <v>491.42899999999997</v>
      </c>
      <c r="AS19" s="25">
        <v>1.7700199999999999E-6</v>
      </c>
      <c r="AT19" s="22">
        <v>9</v>
      </c>
      <c r="AU19" s="22">
        <v>1.65405</v>
      </c>
      <c r="AV19">
        <f t="shared" si="8"/>
        <v>-1.77002E-3</v>
      </c>
      <c r="AW19">
        <f t="shared" si="9"/>
        <v>-2.9287812932E-3</v>
      </c>
      <c r="AX19" s="9"/>
      <c r="AY19" s="22">
        <v>-5.4626500000000001E-2</v>
      </c>
      <c r="AZ19" s="22">
        <v>613.78599999999994</v>
      </c>
      <c r="BA19" s="22">
        <v>-1.8100000000000002E-2</v>
      </c>
      <c r="BB19" s="22">
        <v>9</v>
      </c>
      <c r="BC19" s="22">
        <v>-5.5175799999999997E-2</v>
      </c>
      <c r="BD19">
        <f t="shared" si="10"/>
        <v>18.100000000000001</v>
      </c>
      <c r="BE19">
        <f t="shared" si="11"/>
        <v>-0.98873965000000008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77.2684</v>
      </c>
      <c r="I20" s="22">
        <v>-1.8231199999999999E-3</v>
      </c>
      <c r="J20" s="22">
        <v>10</v>
      </c>
      <c r="K20" s="22">
        <v>1.64825</v>
      </c>
      <c r="L20">
        <f t="shared" si="0"/>
        <v>1.8231199999999999</v>
      </c>
      <c r="M20">
        <f t="shared" si="1"/>
        <v>3.0074734455999996</v>
      </c>
      <c r="N20" s="9"/>
      <c r="O20" s="22">
        <v>-4.9591099999999999E-2</v>
      </c>
      <c r="P20" s="22">
        <v>192.185</v>
      </c>
      <c r="Q20" s="22">
        <v>-1.81488E-2</v>
      </c>
      <c r="R20" s="22">
        <v>10</v>
      </c>
      <c r="S20" s="22">
        <v>-4.9865699999999999E-2</v>
      </c>
      <c r="T20">
        <f t="shared" si="2"/>
        <v>18.148800000000001</v>
      </c>
      <c r="U20">
        <f t="shared" si="3"/>
        <v>-0.90001895568000001</v>
      </c>
      <c r="V20" s="23"/>
      <c r="W20" s="24"/>
      <c r="X20" s="9"/>
      <c r="Y20" s="22">
        <v>1.6496299999999999</v>
      </c>
      <c r="Z20" s="22">
        <v>295.17200000000003</v>
      </c>
      <c r="AA20" s="22">
        <v>-1.94427E-4</v>
      </c>
      <c r="AB20" s="22">
        <v>10</v>
      </c>
      <c r="AC20" s="22">
        <v>1.6494800000000001</v>
      </c>
      <c r="AD20">
        <f t="shared" si="4"/>
        <v>0.19442699999999999</v>
      </c>
      <c r="AE20">
        <f t="shared" si="5"/>
        <v>0.32073261200999997</v>
      </c>
      <c r="AF20" s="9"/>
      <c r="AG20" s="22">
        <v>-4.9591099999999999E-2</v>
      </c>
      <c r="AH20" s="22">
        <v>355.75099999999998</v>
      </c>
      <c r="AI20" s="22">
        <v>-1.81061E-2</v>
      </c>
      <c r="AJ20" s="22">
        <v>10</v>
      </c>
      <c r="AK20" s="22">
        <v>-5.02014E-2</v>
      </c>
      <c r="AL20">
        <f t="shared" si="6"/>
        <v>18.106100000000001</v>
      </c>
      <c r="AM20">
        <f t="shared" si="7"/>
        <v>-0.89790141571000004</v>
      </c>
      <c r="AP20" s="9"/>
      <c r="AQ20" s="22">
        <v>1.6496299999999999</v>
      </c>
      <c r="AR20" s="22">
        <v>491.529</v>
      </c>
      <c r="AS20" s="25">
        <v>2.4414099999999999E-7</v>
      </c>
      <c r="AT20" s="22">
        <v>10</v>
      </c>
      <c r="AU20" s="22">
        <v>1.64856</v>
      </c>
      <c r="AV20">
        <f t="shared" si="8"/>
        <v>-2.4414099999999997E-4</v>
      </c>
      <c r="AW20">
        <f t="shared" si="9"/>
        <v>-4.0274231782999994E-4</v>
      </c>
      <c r="AX20" s="9"/>
      <c r="AY20" s="22">
        <v>-4.9591099999999999E-2</v>
      </c>
      <c r="AZ20" s="22">
        <v>613.88599999999997</v>
      </c>
      <c r="BA20" s="22">
        <v>-1.8096899999999999E-2</v>
      </c>
      <c r="BB20" s="22">
        <v>10</v>
      </c>
      <c r="BC20" s="22">
        <v>-5.0048799999999997E-2</v>
      </c>
      <c r="BD20">
        <f t="shared" si="10"/>
        <v>18.096899999999998</v>
      </c>
      <c r="BE20">
        <f t="shared" si="11"/>
        <v>-0.89744517758999987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77.369100000000003</v>
      </c>
      <c r="I21" s="22">
        <v>-2.1197500000000001E-3</v>
      </c>
      <c r="J21" s="22">
        <v>11</v>
      </c>
      <c r="K21" s="22">
        <v>1.64368</v>
      </c>
      <c r="L21">
        <f t="shared" si="0"/>
        <v>2.1197500000000002</v>
      </c>
      <c r="M21">
        <f t="shared" si="1"/>
        <v>3.4861196525000002</v>
      </c>
      <c r="N21" s="9"/>
      <c r="O21" s="22">
        <v>-4.4555699999999997E-2</v>
      </c>
      <c r="P21" s="22">
        <v>192.286</v>
      </c>
      <c r="Q21" s="22">
        <v>-1.81458E-2</v>
      </c>
      <c r="R21" s="22">
        <v>11</v>
      </c>
      <c r="S21" s="22">
        <v>-4.4824200000000002E-2</v>
      </c>
      <c r="T21">
        <f t="shared" si="2"/>
        <v>18.145800000000001</v>
      </c>
      <c r="U21">
        <f t="shared" si="3"/>
        <v>-0.80849882106000004</v>
      </c>
      <c r="V21" s="23"/>
      <c r="W21" s="24"/>
      <c r="X21" s="9"/>
      <c r="Y21" s="22">
        <v>1.64459</v>
      </c>
      <c r="Z21" s="22">
        <v>295.27300000000002</v>
      </c>
      <c r="AA21" s="22">
        <v>-1.97052E-4</v>
      </c>
      <c r="AB21" s="22">
        <v>11</v>
      </c>
      <c r="AC21" s="22">
        <v>1.64368</v>
      </c>
      <c r="AD21">
        <f t="shared" si="4"/>
        <v>0.197052</v>
      </c>
      <c r="AE21">
        <f t="shared" si="5"/>
        <v>0.32406974867999999</v>
      </c>
      <c r="AF21" s="9"/>
      <c r="AG21" s="22">
        <v>-4.4555699999999997E-2</v>
      </c>
      <c r="AH21" s="22">
        <v>355.85199999999998</v>
      </c>
      <c r="AI21" s="22">
        <v>-1.81061E-2</v>
      </c>
      <c r="AJ21" s="22">
        <v>11</v>
      </c>
      <c r="AK21" s="22">
        <v>-4.4979900000000003E-2</v>
      </c>
      <c r="AL21">
        <f t="shared" si="6"/>
        <v>18.106100000000001</v>
      </c>
      <c r="AM21">
        <f t="shared" si="7"/>
        <v>-0.80672995976999995</v>
      </c>
      <c r="AP21" s="9"/>
      <c r="AQ21" s="22">
        <v>1.64459</v>
      </c>
      <c r="AR21" s="22">
        <v>491.63</v>
      </c>
      <c r="AS21" s="25">
        <v>2.4414099999999999E-7</v>
      </c>
      <c r="AT21" s="22">
        <v>11</v>
      </c>
      <c r="AU21" s="22">
        <v>1.64429</v>
      </c>
      <c r="AV21">
        <f t="shared" si="8"/>
        <v>-2.4414099999999997E-4</v>
      </c>
      <c r="AW21">
        <f t="shared" si="9"/>
        <v>-4.0151184718999997E-4</v>
      </c>
      <c r="AX21" s="9"/>
      <c r="AY21" s="22">
        <v>-4.4555699999999997E-2</v>
      </c>
      <c r="AZ21" s="22">
        <v>613.98699999999997</v>
      </c>
      <c r="BA21" s="22">
        <v>-1.8081699999999999E-2</v>
      </c>
      <c r="BB21" s="22">
        <v>11</v>
      </c>
      <c r="BC21" s="22">
        <v>-4.5059200000000001E-2</v>
      </c>
      <c r="BD21">
        <f t="shared" si="10"/>
        <v>18.081699999999998</v>
      </c>
      <c r="BE21">
        <f t="shared" si="11"/>
        <v>-0.80564280068999983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77.469800000000006</v>
      </c>
      <c r="I22" s="22">
        <v>-2.4447599999999998E-3</v>
      </c>
      <c r="J22" s="22">
        <v>12</v>
      </c>
      <c r="K22" s="22">
        <v>1.63971</v>
      </c>
      <c r="L22">
        <f t="shared" si="0"/>
        <v>2.4447599999999996</v>
      </c>
      <c r="M22">
        <f t="shared" si="1"/>
        <v>4.0083307055999988</v>
      </c>
      <c r="N22" s="9"/>
      <c r="O22" s="22">
        <v>-3.9520300000000001E-2</v>
      </c>
      <c r="P22" s="22">
        <v>192.387</v>
      </c>
      <c r="Q22" s="22">
        <v>-1.81458E-2</v>
      </c>
      <c r="R22" s="22">
        <v>12</v>
      </c>
      <c r="S22" s="22">
        <v>-3.9385999999999997E-2</v>
      </c>
      <c r="T22">
        <f t="shared" si="2"/>
        <v>18.145800000000001</v>
      </c>
      <c r="U22">
        <f t="shared" si="3"/>
        <v>-0.71712745974000003</v>
      </c>
      <c r="V22" s="23"/>
      <c r="W22" s="24"/>
      <c r="X22" s="9"/>
      <c r="Y22" s="22">
        <v>1.6395599999999999</v>
      </c>
      <c r="Z22" s="22">
        <v>295.37299999999999</v>
      </c>
      <c r="AA22" s="22">
        <v>-2.4078399999999999E-4</v>
      </c>
      <c r="AB22" s="22">
        <v>12</v>
      </c>
      <c r="AC22" s="22">
        <v>1.63849</v>
      </c>
      <c r="AD22">
        <f t="shared" si="4"/>
        <v>0.240784</v>
      </c>
      <c r="AE22">
        <f t="shared" si="5"/>
        <v>0.39477981503999998</v>
      </c>
      <c r="AF22" s="9"/>
      <c r="AG22" s="22">
        <v>-3.9520300000000001E-2</v>
      </c>
      <c r="AH22" s="22">
        <v>355.952</v>
      </c>
      <c r="AI22" s="22">
        <v>-1.8100000000000002E-2</v>
      </c>
      <c r="AJ22" s="22">
        <v>12</v>
      </c>
      <c r="AK22" s="22">
        <v>-4.0060400000000003E-2</v>
      </c>
      <c r="AL22">
        <f t="shared" si="6"/>
        <v>18.100000000000001</v>
      </c>
      <c r="AM22">
        <f t="shared" si="7"/>
        <v>-0.71531743000000003</v>
      </c>
      <c r="AP22" s="9"/>
      <c r="AQ22" s="22">
        <v>1.6395599999999999</v>
      </c>
      <c r="AR22" s="22">
        <v>491.73099999999999</v>
      </c>
      <c r="AS22" s="25">
        <v>-9.1552699999999996E-8</v>
      </c>
      <c r="AT22" s="22">
        <v>12</v>
      </c>
      <c r="AU22" s="22">
        <v>1.63879</v>
      </c>
      <c r="AV22">
        <f t="shared" si="8"/>
        <v>9.1552700000000002E-5</v>
      </c>
      <c r="AW22">
        <f t="shared" si="9"/>
        <v>1.5010614481199999E-4</v>
      </c>
      <c r="AX22" s="9"/>
      <c r="AY22" s="22">
        <v>-3.9520300000000001E-2</v>
      </c>
      <c r="AZ22" s="22">
        <v>614.08799999999997</v>
      </c>
      <c r="BA22" s="22">
        <v>-1.8069499999999999E-2</v>
      </c>
      <c r="BB22" s="22">
        <v>12</v>
      </c>
      <c r="BC22" s="22">
        <v>-3.97186E-2</v>
      </c>
      <c r="BD22">
        <f t="shared" si="10"/>
        <v>18.069499999999998</v>
      </c>
      <c r="BE22">
        <f t="shared" si="11"/>
        <v>-0.7141120608499999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77.570499999999996</v>
      </c>
      <c r="I23" s="22">
        <v>-2.8210399999999999E-3</v>
      </c>
      <c r="J23" s="22">
        <v>13</v>
      </c>
      <c r="K23" s="22">
        <v>1.63361</v>
      </c>
      <c r="L23">
        <f t="shared" si="0"/>
        <v>2.82104</v>
      </c>
      <c r="M23">
        <f t="shared" si="1"/>
        <v>4.6110463008</v>
      </c>
      <c r="N23" s="9"/>
      <c r="O23" s="22">
        <v>-3.4484899999999999E-2</v>
      </c>
      <c r="P23" s="22">
        <v>192.48699999999999</v>
      </c>
      <c r="Q23" s="22">
        <v>-1.8142700000000001E-2</v>
      </c>
      <c r="R23" s="22">
        <v>13</v>
      </c>
      <c r="S23" s="22">
        <v>-3.4652700000000002E-2</v>
      </c>
      <c r="T23">
        <f t="shared" si="2"/>
        <v>18.142700000000001</v>
      </c>
      <c r="U23">
        <f t="shared" si="3"/>
        <v>-0.62564919523000007</v>
      </c>
      <c r="V23" s="23"/>
      <c r="W23" s="24"/>
      <c r="X23" s="9"/>
      <c r="Y23" s="22">
        <v>1.63452</v>
      </c>
      <c r="Z23" s="22">
        <v>295.47399999999999</v>
      </c>
      <c r="AA23" s="22">
        <v>-2.4288900000000001E-4</v>
      </c>
      <c r="AB23" s="22">
        <v>13</v>
      </c>
      <c r="AC23" s="22">
        <v>1.63391</v>
      </c>
      <c r="AD23">
        <f t="shared" si="4"/>
        <v>0.24288900000000002</v>
      </c>
      <c r="AE23">
        <f t="shared" si="5"/>
        <v>0.39700692828</v>
      </c>
      <c r="AF23" s="9"/>
      <c r="AG23" s="22">
        <v>-3.4484899999999999E-2</v>
      </c>
      <c r="AH23" s="22">
        <v>356.053</v>
      </c>
      <c r="AI23" s="22">
        <v>-1.8096899999999999E-2</v>
      </c>
      <c r="AJ23" s="22">
        <v>13</v>
      </c>
      <c r="AK23" s="22">
        <v>-3.45093E-2</v>
      </c>
      <c r="AL23">
        <f t="shared" si="6"/>
        <v>18.096899999999998</v>
      </c>
      <c r="AM23">
        <f t="shared" si="7"/>
        <v>-0.62406978680999992</v>
      </c>
      <c r="AP23" s="9"/>
      <c r="AQ23" s="22">
        <v>1.63452</v>
      </c>
      <c r="AR23" s="22">
        <v>491.83100000000002</v>
      </c>
      <c r="AS23" s="25">
        <v>-9.46045E-7</v>
      </c>
      <c r="AT23" s="22">
        <v>13</v>
      </c>
      <c r="AU23" s="22">
        <v>1.63391</v>
      </c>
      <c r="AV23">
        <f t="shared" si="8"/>
        <v>9.4604499999999996E-4</v>
      </c>
      <c r="AW23">
        <f t="shared" si="9"/>
        <v>1.5463294733999999E-3</v>
      </c>
      <c r="AX23" s="9"/>
      <c r="AY23" s="22">
        <v>-3.4484899999999999E-2</v>
      </c>
      <c r="AZ23" s="22">
        <v>614.18899999999996</v>
      </c>
      <c r="BA23" s="22">
        <v>-1.80786E-2</v>
      </c>
      <c r="BB23" s="22">
        <v>13</v>
      </c>
      <c r="BC23" s="22">
        <v>-3.4591700000000003E-2</v>
      </c>
      <c r="BD23">
        <f t="shared" si="10"/>
        <v>18.078600000000002</v>
      </c>
      <c r="BE23">
        <f t="shared" si="11"/>
        <v>-0.62343871313999999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77.671199999999999</v>
      </c>
      <c r="I24" s="22">
        <v>-3.2711799999999998E-3</v>
      </c>
      <c r="J24" s="22">
        <v>14</v>
      </c>
      <c r="K24" s="22">
        <v>1.6287199999999999</v>
      </c>
      <c r="L24">
        <f t="shared" si="0"/>
        <v>3.2711799999999998</v>
      </c>
      <c r="M24">
        <f t="shared" si="1"/>
        <v>5.3303550982000001</v>
      </c>
      <c r="N24" s="9"/>
      <c r="O24" s="22">
        <v>-2.94495E-2</v>
      </c>
      <c r="P24" s="22">
        <v>192.58799999999999</v>
      </c>
      <c r="Q24" s="22">
        <v>-1.81488E-2</v>
      </c>
      <c r="R24" s="22">
        <v>14</v>
      </c>
      <c r="S24" s="22">
        <v>-2.9403700000000001E-2</v>
      </c>
      <c r="T24">
        <f t="shared" si="2"/>
        <v>18.148800000000001</v>
      </c>
      <c r="U24">
        <f t="shared" si="3"/>
        <v>-0.53447308560000006</v>
      </c>
      <c r="V24" s="23"/>
      <c r="W24" s="24"/>
      <c r="X24" s="9"/>
      <c r="Y24" s="22">
        <v>1.6294900000000001</v>
      </c>
      <c r="Z24" s="22">
        <v>295.57499999999999</v>
      </c>
      <c r="AA24" s="22">
        <v>-2.76001E-4</v>
      </c>
      <c r="AB24" s="22">
        <v>14</v>
      </c>
      <c r="AC24" s="22">
        <v>1.6281099999999999</v>
      </c>
      <c r="AD24">
        <f t="shared" si="4"/>
        <v>0.276001</v>
      </c>
      <c r="AE24">
        <f t="shared" si="5"/>
        <v>0.44974086949000003</v>
      </c>
      <c r="AF24" s="9"/>
      <c r="AG24" s="22">
        <v>-2.94495E-2</v>
      </c>
      <c r="AH24" s="22">
        <v>356.154</v>
      </c>
      <c r="AI24" s="22">
        <v>-1.8096899999999999E-2</v>
      </c>
      <c r="AJ24" s="22">
        <v>14</v>
      </c>
      <c r="AK24" s="22">
        <v>-2.95471E-2</v>
      </c>
      <c r="AL24">
        <f t="shared" si="6"/>
        <v>18.096899999999998</v>
      </c>
      <c r="AM24">
        <f t="shared" si="7"/>
        <v>-0.5329446565499999</v>
      </c>
      <c r="AP24" s="9"/>
      <c r="AQ24" s="22">
        <v>1.6294900000000001</v>
      </c>
      <c r="AR24" s="22">
        <v>491.93200000000002</v>
      </c>
      <c r="AS24" s="25">
        <v>-2.2583E-6</v>
      </c>
      <c r="AT24" s="22">
        <v>14</v>
      </c>
      <c r="AU24" s="22">
        <v>1.62903</v>
      </c>
      <c r="AV24">
        <f t="shared" si="8"/>
        <v>2.2583E-3</v>
      </c>
      <c r="AW24">
        <f t="shared" si="9"/>
        <v>3.679877267E-3</v>
      </c>
      <c r="AX24" s="9"/>
      <c r="AY24" s="22">
        <v>-2.94495E-2</v>
      </c>
      <c r="AZ24" s="22">
        <v>614.28899999999999</v>
      </c>
      <c r="BA24" s="22">
        <v>-1.8069499999999999E-2</v>
      </c>
      <c r="BB24" s="22">
        <v>14</v>
      </c>
      <c r="BC24" s="22">
        <v>-2.9620400000000002E-2</v>
      </c>
      <c r="BD24">
        <f t="shared" si="10"/>
        <v>18.069499999999998</v>
      </c>
      <c r="BE24">
        <f t="shared" si="11"/>
        <v>-0.53213774024999994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77.771900000000002</v>
      </c>
      <c r="I25" s="22">
        <v>-3.63708E-3</v>
      </c>
      <c r="J25" s="22">
        <v>15</v>
      </c>
      <c r="K25" s="22">
        <v>1.62384</v>
      </c>
      <c r="L25">
        <f t="shared" si="0"/>
        <v>3.6370800000000001</v>
      </c>
      <c r="M25">
        <f t="shared" si="1"/>
        <v>5.9082546059999999</v>
      </c>
      <c r="N25" s="9"/>
      <c r="O25" s="22">
        <v>-2.4414100000000001E-2</v>
      </c>
      <c r="P25" s="22">
        <v>192.68899999999999</v>
      </c>
      <c r="Q25" s="22">
        <v>-1.81458E-2</v>
      </c>
      <c r="R25" s="22">
        <v>15</v>
      </c>
      <c r="S25" s="22">
        <v>-2.4603300000000002E-2</v>
      </c>
      <c r="T25">
        <f t="shared" si="2"/>
        <v>18.145800000000001</v>
      </c>
      <c r="U25">
        <f t="shared" si="3"/>
        <v>-0.44301337578000005</v>
      </c>
      <c r="V25" s="23"/>
      <c r="W25" s="24"/>
      <c r="X25" s="9"/>
      <c r="Y25" s="22">
        <v>1.6244499999999999</v>
      </c>
      <c r="Z25" s="22">
        <v>295.67599999999999</v>
      </c>
      <c r="AA25" s="22">
        <v>-3.0328400000000002E-4</v>
      </c>
      <c r="AB25" s="22">
        <v>15</v>
      </c>
      <c r="AC25" s="22">
        <v>1.62384</v>
      </c>
      <c r="AD25">
        <f t="shared" si="4"/>
        <v>0.303284</v>
      </c>
      <c r="AE25">
        <f t="shared" si="5"/>
        <v>0.49266969379999997</v>
      </c>
      <c r="AF25" s="9"/>
      <c r="AG25" s="22">
        <v>-2.4414100000000001E-2</v>
      </c>
      <c r="AH25" s="22">
        <v>356.255</v>
      </c>
      <c r="AI25" s="22">
        <v>-1.8090800000000001E-2</v>
      </c>
      <c r="AJ25" s="22">
        <v>15</v>
      </c>
      <c r="AK25" s="22">
        <v>-2.4795500000000002E-2</v>
      </c>
      <c r="AL25">
        <f t="shared" si="6"/>
        <v>18.090800000000002</v>
      </c>
      <c r="AM25">
        <f t="shared" si="7"/>
        <v>-0.44167060028000005</v>
      </c>
      <c r="AP25" s="9"/>
      <c r="AQ25" s="22">
        <v>1.6244499999999999</v>
      </c>
      <c r="AR25" s="22">
        <v>492.03300000000002</v>
      </c>
      <c r="AS25" s="25">
        <v>-2.4108899999999998E-6</v>
      </c>
      <c r="AT25" s="22">
        <v>15</v>
      </c>
      <c r="AU25" s="22">
        <v>1.62384</v>
      </c>
      <c r="AV25">
        <f t="shared" si="8"/>
        <v>2.4108899999999997E-3</v>
      </c>
      <c r="AW25">
        <f t="shared" si="9"/>
        <v>3.9163702604999998E-3</v>
      </c>
      <c r="AX25" s="9"/>
      <c r="AY25" s="22">
        <v>-2.4414100000000001E-2</v>
      </c>
      <c r="AZ25" s="22">
        <v>614.39</v>
      </c>
      <c r="BA25" s="22">
        <v>-1.8057299999999998E-2</v>
      </c>
      <c r="BB25" s="22">
        <v>15</v>
      </c>
      <c r="BC25" s="22">
        <v>-2.4655199999999999E-2</v>
      </c>
      <c r="BD25">
        <f t="shared" si="10"/>
        <v>18.057299999999998</v>
      </c>
      <c r="BE25">
        <f t="shared" si="11"/>
        <v>-0.44085272792999997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77.872600000000006</v>
      </c>
      <c r="I26" s="22">
        <v>-4.0966800000000001E-3</v>
      </c>
      <c r="J26" s="22">
        <v>16</v>
      </c>
      <c r="K26" s="22">
        <v>1.61835</v>
      </c>
      <c r="L26">
        <f t="shared" si="0"/>
        <v>4.0966800000000001</v>
      </c>
      <c r="M26">
        <f t="shared" si="1"/>
        <v>6.6342455256000008</v>
      </c>
      <c r="N26" s="9"/>
      <c r="O26" s="22">
        <v>-1.9378699999999999E-2</v>
      </c>
      <c r="P26" s="22">
        <v>192.79</v>
      </c>
      <c r="Q26" s="22">
        <v>-1.8136599999999999E-2</v>
      </c>
      <c r="R26" s="22">
        <v>16</v>
      </c>
      <c r="S26" s="22">
        <v>-1.9464100000000002E-2</v>
      </c>
      <c r="T26">
        <f t="shared" si="2"/>
        <v>18.136599999999998</v>
      </c>
      <c r="U26">
        <f t="shared" si="3"/>
        <v>-0.35146373041999995</v>
      </c>
      <c r="V26" s="23"/>
      <c r="W26" s="24"/>
      <c r="X26" s="9"/>
      <c r="Y26" s="22">
        <v>1.6194200000000001</v>
      </c>
      <c r="Z26" s="22">
        <v>295.77600000000001</v>
      </c>
      <c r="AA26" s="22">
        <v>-3.14087E-4</v>
      </c>
      <c r="AB26" s="22">
        <v>16</v>
      </c>
      <c r="AC26" s="22">
        <v>1.61835</v>
      </c>
      <c r="AD26">
        <f t="shared" si="4"/>
        <v>0.31408700000000001</v>
      </c>
      <c r="AE26">
        <f t="shared" si="5"/>
        <v>0.50863876953999998</v>
      </c>
      <c r="AF26" s="9"/>
      <c r="AG26" s="22">
        <v>-1.9378699999999999E-2</v>
      </c>
      <c r="AH26" s="22">
        <v>356.35500000000002</v>
      </c>
      <c r="AI26" s="22">
        <v>-1.8081699999999999E-2</v>
      </c>
      <c r="AJ26" s="22">
        <v>16</v>
      </c>
      <c r="AK26" s="22">
        <v>-1.94702E-2</v>
      </c>
      <c r="AL26">
        <f t="shared" si="6"/>
        <v>18.081699999999998</v>
      </c>
      <c r="AM26">
        <f t="shared" si="7"/>
        <v>-0.35039983978999995</v>
      </c>
      <c r="AP26" s="9"/>
      <c r="AQ26" s="22">
        <v>1.6194200000000001</v>
      </c>
      <c r="AR26" s="22">
        <v>492.13400000000001</v>
      </c>
      <c r="AS26" s="25">
        <v>-3.17383E-6</v>
      </c>
      <c r="AT26" s="22">
        <v>16</v>
      </c>
      <c r="AU26" s="22">
        <v>1.61896</v>
      </c>
      <c r="AV26">
        <f t="shared" si="8"/>
        <v>3.1738299999999999E-3</v>
      </c>
      <c r="AW26">
        <f t="shared" si="9"/>
        <v>5.1397637785999999E-3</v>
      </c>
      <c r="AX26" s="9"/>
      <c r="AY26" s="22">
        <v>-1.9378699999999999E-2</v>
      </c>
      <c r="AZ26" s="22">
        <v>614.49099999999999</v>
      </c>
      <c r="BA26" s="22">
        <v>-1.80634E-2</v>
      </c>
      <c r="BB26" s="22">
        <v>16</v>
      </c>
      <c r="BC26" s="22">
        <v>-1.9433599999999999E-2</v>
      </c>
      <c r="BD26">
        <f t="shared" si="10"/>
        <v>18.063400000000001</v>
      </c>
      <c r="BE26">
        <f t="shared" si="11"/>
        <v>-0.35004520958000002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77.973299999999995</v>
      </c>
      <c r="I27" s="22">
        <v>-4.5278899999999997E-3</v>
      </c>
      <c r="J27" s="22">
        <v>17</v>
      </c>
      <c r="K27" s="22">
        <v>1.6137699999999999</v>
      </c>
      <c r="L27">
        <f t="shared" si="0"/>
        <v>4.5278899999999993</v>
      </c>
      <c r="M27">
        <f t="shared" si="1"/>
        <v>7.3097350581999985</v>
      </c>
      <c r="N27" s="9"/>
      <c r="O27" s="22">
        <v>-1.43433E-2</v>
      </c>
      <c r="P27" s="22">
        <v>192.89</v>
      </c>
      <c r="Q27" s="22">
        <v>-1.8151899999999999E-2</v>
      </c>
      <c r="R27" s="22">
        <v>17</v>
      </c>
      <c r="S27" s="22">
        <v>-1.44257E-2</v>
      </c>
      <c r="T27">
        <f t="shared" si="2"/>
        <v>18.151899999999998</v>
      </c>
      <c r="U27">
        <f t="shared" si="3"/>
        <v>-0.26035814726999995</v>
      </c>
      <c r="X27" s="9"/>
      <c r="Y27" s="22">
        <v>1.6143799999999999</v>
      </c>
      <c r="Z27" s="22">
        <v>295.87700000000001</v>
      </c>
      <c r="AA27" s="22">
        <v>-3.4967E-4</v>
      </c>
      <c r="AB27" s="22">
        <v>17</v>
      </c>
      <c r="AC27" s="22">
        <v>1.6134599999999999</v>
      </c>
      <c r="AD27">
        <f t="shared" si="4"/>
        <v>0.34966999999999998</v>
      </c>
      <c r="AE27">
        <f t="shared" si="5"/>
        <v>0.56450025459999997</v>
      </c>
      <c r="AF27" s="9"/>
      <c r="AG27" s="22">
        <v>-1.43433E-2</v>
      </c>
      <c r="AH27" s="22">
        <v>356.45600000000002</v>
      </c>
      <c r="AI27" s="22">
        <v>-1.8075600000000001E-2</v>
      </c>
      <c r="AJ27" s="22">
        <v>17</v>
      </c>
      <c r="AK27" s="22">
        <v>-1.45813E-2</v>
      </c>
      <c r="AL27">
        <f t="shared" si="6"/>
        <v>18.075600000000001</v>
      </c>
      <c r="AM27">
        <f t="shared" si="7"/>
        <v>-0.25926375348000003</v>
      </c>
      <c r="AP27" s="9"/>
      <c r="AQ27" s="22">
        <v>1.6143799999999999</v>
      </c>
      <c r="AR27" s="22">
        <v>492.23399999999998</v>
      </c>
      <c r="AS27" s="25">
        <v>-5.1269500000000001E-6</v>
      </c>
      <c r="AT27" s="22">
        <v>17</v>
      </c>
      <c r="AU27" s="22">
        <v>1.6134599999999999</v>
      </c>
      <c r="AV27">
        <f t="shared" si="8"/>
        <v>5.1269499999999999E-3</v>
      </c>
      <c r="AW27">
        <f t="shared" si="9"/>
        <v>8.2768455409999997E-3</v>
      </c>
      <c r="AX27" s="9"/>
      <c r="AY27" s="22">
        <v>-1.43433E-2</v>
      </c>
      <c r="AZ27" s="22">
        <v>614.59100000000001</v>
      </c>
      <c r="BA27" s="22">
        <v>-1.8060300000000001E-2</v>
      </c>
      <c r="BB27" s="22">
        <v>17</v>
      </c>
      <c r="BC27" s="22">
        <v>-1.45386E-2</v>
      </c>
      <c r="BD27">
        <f t="shared" si="10"/>
        <v>18.060300000000002</v>
      </c>
      <c r="BE27">
        <f t="shared" si="11"/>
        <v>-0.25904430099000003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78.073999999999998</v>
      </c>
      <c r="I28" s="22">
        <v>-4.9124099999999999E-3</v>
      </c>
      <c r="J28" s="22">
        <v>18</v>
      </c>
      <c r="K28" s="22">
        <v>1.6085799999999999</v>
      </c>
      <c r="L28">
        <f t="shared" si="0"/>
        <v>4.9124099999999995</v>
      </c>
      <c r="M28">
        <f t="shared" si="1"/>
        <v>7.9057379093999991</v>
      </c>
      <c r="N28" s="9"/>
      <c r="O28" s="22">
        <v>-9.3078599999999994E-3</v>
      </c>
      <c r="P28" s="22">
        <v>192.99100000000001</v>
      </c>
      <c r="Q28" s="22">
        <v>-1.8142700000000001E-2</v>
      </c>
      <c r="R28" s="22">
        <v>18</v>
      </c>
      <c r="S28" s="22">
        <v>-9.1369599999999995E-3</v>
      </c>
      <c r="T28">
        <f t="shared" si="2"/>
        <v>18.142700000000001</v>
      </c>
      <c r="U28">
        <f t="shared" si="3"/>
        <v>-0.16886971162200001</v>
      </c>
      <c r="X28" s="9"/>
      <c r="Y28" s="22">
        <v>1.60934</v>
      </c>
      <c r="Z28" s="22">
        <v>295.97800000000001</v>
      </c>
      <c r="AA28" s="22">
        <v>-5.5480999999999998E-4</v>
      </c>
      <c r="AB28" s="22">
        <v>18</v>
      </c>
      <c r="AC28" s="22">
        <v>1.6085799999999999</v>
      </c>
      <c r="AD28">
        <f t="shared" si="4"/>
        <v>0.55481000000000003</v>
      </c>
      <c r="AE28">
        <f t="shared" si="5"/>
        <v>0.89287792539999999</v>
      </c>
      <c r="AF28" s="9"/>
      <c r="AG28" s="22">
        <v>-9.3078599999999994E-3</v>
      </c>
      <c r="AH28" s="22">
        <v>356.55700000000002</v>
      </c>
      <c r="AI28" s="22">
        <v>-1.8072499999999998E-2</v>
      </c>
      <c r="AJ28" s="22">
        <v>18</v>
      </c>
      <c r="AK28" s="22">
        <v>-9.2620800000000007E-3</v>
      </c>
      <c r="AL28">
        <f t="shared" si="6"/>
        <v>18.072499999999998</v>
      </c>
      <c r="AM28">
        <f t="shared" si="7"/>
        <v>-0.16821629984999997</v>
      </c>
      <c r="AP28" s="9"/>
      <c r="AQ28" s="22">
        <v>1.60934</v>
      </c>
      <c r="AR28" s="22">
        <v>492.33499999999998</v>
      </c>
      <c r="AS28" s="25">
        <v>-6.6528299999999996E-6</v>
      </c>
      <c r="AT28" s="22">
        <v>18</v>
      </c>
      <c r="AU28" s="22">
        <v>1.6088899999999999</v>
      </c>
      <c r="AV28">
        <f t="shared" si="8"/>
        <v>6.6528299999999993E-3</v>
      </c>
      <c r="AW28">
        <f t="shared" si="9"/>
        <v>1.0706665432199999E-2</v>
      </c>
      <c r="AX28" s="9"/>
      <c r="AY28" s="22">
        <v>-9.3078599999999994E-3</v>
      </c>
      <c r="AZ28" s="22">
        <v>614.69200000000001</v>
      </c>
      <c r="BA28" s="22">
        <v>-1.80664E-2</v>
      </c>
      <c r="BB28" s="22">
        <v>18</v>
      </c>
      <c r="BC28" s="22">
        <v>-9.4512899999999993E-3</v>
      </c>
      <c r="BD28">
        <f t="shared" si="10"/>
        <v>18.066400000000002</v>
      </c>
      <c r="BE28">
        <f t="shared" si="11"/>
        <v>-0.16815952190399999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78.174700000000001</v>
      </c>
      <c r="I29" s="22">
        <v>-5.3588899999999998E-3</v>
      </c>
      <c r="J29" s="22">
        <v>19</v>
      </c>
      <c r="K29" s="22">
        <v>1.6033900000000001</v>
      </c>
      <c r="L29">
        <f t="shared" si="0"/>
        <v>5.3588899999999997</v>
      </c>
      <c r="M29">
        <f t="shared" si="1"/>
        <v>8.5973208158999999</v>
      </c>
      <c r="N29" s="9"/>
      <c r="O29" s="22">
        <v>-4.2724599999999996E-3</v>
      </c>
      <c r="P29" s="22">
        <v>193.09200000000001</v>
      </c>
      <c r="Q29" s="22">
        <v>-1.8136599999999999E-2</v>
      </c>
      <c r="R29" s="22">
        <v>19</v>
      </c>
      <c r="S29" s="22">
        <v>-4.3304399999999996E-3</v>
      </c>
      <c r="T29">
        <f t="shared" si="2"/>
        <v>18.136599999999998</v>
      </c>
      <c r="U29">
        <f t="shared" si="3"/>
        <v>-7.748789803599998E-2</v>
      </c>
      <c r="X29" s="9"/>
      <c r="Y29" s="22">
        <v>1.6043099999999999</v>
      </c>
      <c r="Z29" s="22">
        <v>296.07799999999997</v>
      </c>
      <c r="AA29" s="22">
        <v>-1.10443E-3</v>
      </c>
      <c r="AB29" s="22">
        <v>19</v>
      </c>
      <c r="AC29" s="22">
        <v>1.6036999999999999</v>
      </c>
      <c r="AD29">
        <f t="shared" si="4"/>
        <v>1.10443</v>
      </c>
      <c r="AE29">
        <f t="shared" si="5"/>
        <v>1.7718480933</v>
      </c>
      <c r="AF29" s="9"/>
      <c r="AG29" s="22">
        <v>-4.2724599999999996E-3</v>
      </c>
      <c r="AH29" s="22">
        <v>356.65699999999998</v>
      </c>
      <c r="AI29" s="22">
        <v>-1.8075600000000001E-2</v>
      </c>
      <c r="AJ29" s="22">
        <v>19</v>
      </c>
      <c r="AK29" s="22">
        <v>-3.77502E-3</v>
      </c>
      <c r="AL29">
        <f t="shared" si="6"/>
        <v>18.075600000000001</v>
      </c>
      <c r="AM29">
        <f t="shared" si="7"/>
        <v>-7.7227277976E-2</v>
      </c>
      <c r="AP29" s="9"/>
      <c r="AQ29" s="22">
        <v>1.6043099999999999</v>
      </c>
      <c r="AR29" s="22">
        <v>492.43599999999998</v>
      </c>
      <c r="AS29" s="25">
        <v>-7.3242199999999998E-6</v>
      </c>
      <c r="AT29" s="22">
        <v>19</v>
      </c>
      <c r="AU29" s="22">
        <v>1.6036999999999999</v>
      </c>
      <c r="AV29">
        <f t="shared" si="8"/>
        <v>7.3242200000000002E-3</v>
      </c>
      <c r="AW29">
        <f t="shared" si="9"/>
        <v>1.17503193882E-2</v>
      </c>
      <c r="AX29" s="9"/>
      <c r="AY29" s="22">
        <v>-4.2724599999999996E-3</v>
      </c>
      <c r="AZ29" s="22">
        <v>614.79300000000001</v>
      </c>
      <c r="BA29" s="22">
        <v>-1.8060300000000001E-2</v>
      </c>
      <c r="BB29" s="22">
        <v>19</v>
      </c>
      <c r="BC29" s="22">
        <v>-4.4403100000000003E-3</v>
      </c>
      <c r="BD29">
        <f t="shared" si="10"/>
        <v>18.060300000000002</v>
      </c>
      <c r="BE29">
        <f t="shared" si="11"/>
        <v>-7.7161909338000004E-2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78.275400000000005</v>
      </c>
      <c r="I30" s="22">
        <v>-5.7647699999999998E-3</v>
      </c>
      <c r="J30" s="22">
        <v>20</v>
      </c>
      <c r="K30" s="22">
        <v>1.5988199999999999</v>
      </c>
      <c r="L30">
        <f t="shared" si="0"/>
        <v>5.7647699999999995</v>
      </c>
      <c r="M30">
        <f t="shared" si="1"/>
        <v>9.2194237178999998</v>
      </c>
      <c r="N30" s="9"/>
      <c r="O30" s="22">
        <v>7.6293900000000002E-4</v>
      </c>
      <c r="P30" s="22">
        <v>193.19200000000001</v>
      </c>
      <c r="Q30" s="22">
        <v>-1.81213E-2</v>
      </c>
      <c r="R30" s="22">
        <v>20</v>
      </c>
      <c r="S30" s="22">
        <v>6.4086899999999997E-4</v>
      </c>
      <c r="T30">
        <f t="shared" si="2"/>
        <v>18.121300000000002</v>
      </c>
      <c r="U30">
        <f t="shared" si="3"/>
        <v>1.3825446500700002E-2</v>
      </c>
      <c r="X30" s="9"/>
      <c r="Y30" s="22">
        <v>1.59927</v>
      </c>
      <c r="Z30" s="22">
        <v>296.17899999999997</v>
      </c>
      <c r="AA30" s="22">
        <v>-1.2792999999999999E-3</v>
      </c>
      <c r="AB30" s="22">
        <v>20</v>
      </c>
      <c r="AC30" s="22">
        <v>1.5988199999999999</v>
      </c>
      <c r="AD30">
        <f t="shared" si="4"/>
        <v>1.2792999999999999</v>
      </c>
      <c r="AE30">
        <f t="shared" si="5"/>
        <v>2.0459461109999997</v>
      </c>
      <c r="AF30" s="9"/>
      <c r="AG30" s="22">
        <v>7.6293900000000002E-4</v>
      </c>
      <c r="AH30" s="22">
        <v>356.75799999999998</v>
      </c>
      <c r="AI30" s="22">
        <v>-1.80786E-2</v>
      </c>
      <c r="AJ30" s="22">
        <v>20</v>
      </c>
      <c r="AK30" s="22">
        <v>6.2255899999999996E-4</v>
      </c>
      <c r="AL30">
        <f t="shared" si="6"/>
        <v>18.078600000000002</v>
      </c>
      <c r="AM30">
        <f t="shared" si="7"/>
        <v>1.3792869005400001E-2</v>
      </c>
      <c r="AP30" s="9"/>
      <c r="AQ30" s="22">
        <v>1.59927</v>
      </c>
      <c r="AR30" s="22">
        <v>492.536</v>
      </c>
      <c r="AS30" s="25">
        <v>-8.8806200000000007E-6</v>
      </c>
      <c r="AT30" s="22">
        <v>20</v>
      </c>
      <c r="AU30" s="22">
        <v>1.5985100000000001</v>
      </c>
      <c r="AV30">
        <f t="shared" si="8"/>
        <v>8.8806200000000005E-3</v>
      </c>
      <c r="AW30">
        <f t="shared" si="9"/>
        <v>1.4202509147400001E-2</v>
      </c>
      <c r="AX30" s="9"/>
      <c r="AY30" s="22">
        <v>7.6293900000000002E-4</v>
      </c>
      <c r="AZ30" s="22">
        <v>614.89400000000001</v>
      </c>
      <c r="BA30" s="22">
        <v>-1.80511E-2</v>
      </c>
      <c r="BB30" s="22">
        <v>20</v>
      </c>
      <c r="BC30" s="22">
        <v>8.6059600000000004E-4</v>
      </c>
      <c r="BD30">
        <f t="shared" si="10"/>
        <v>18.051100000000002</v>
      </c>
      <c r="BE30">
        <f t="shared" si="11"/>
        <v>1.3771888182900002E-2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78.376099999999994</v>
      </c>
      <c r="I31" s="22">
        <v>-6.1706499999999997E-3</v>
      </c>
      <c r="J31" s="22">
        <v>21</v>
      </c>
      <c r="K31" s="22">
        <v>1.5936300000000001</v>
      </c>
      <c r="L31">
        <f t="shared" si="0"/>
        <v>6.1706500000000002</v>
      </c>
      <c r="M31">
        <f t="shared" si="1"/>
        <v>9.8374970560000001</v>
      </c>
      <c r="N31" s="9"/>
      <c r="O31" s="22">
        <v>5.7983399999999999E-3</v>
      </c>
      <c r="P31" s="22">
        <v>193.29300000000001</v>
      </c>
      <c r="Q31" s="22">
        <v>-1.8124399999999999E-2</v>
      </c>
      <c r="R31" s="22">
        <v>21</v>
      </c>
      <c r="S31" s="22">
        <v>5.5328399999999998E-3</v>
      </c>
      <c r="T31">
        <f t="shared" si="2"/>
        <v>18.124399999999998</v>
      </c>
      <c r="U31">
        <f t="shared" si="3"/>
        <v>0.10509143349599999</v>
      </c>
      <c r="X31" s="9"/>
      <c r="Y31" s="22">
        <v>1.5942400000000001</v>
      </c>
      <c r="Z31" s="22">
        <v>296.27999999999997</v>
      </c>
      <c r="AA31" s="22">
        <v>-1.51611E-3</v>
      </c>
      <c r="AB31" s="22">
        <v>21</v>
      </c>
      <c r="AC31" s="22">
        <v>1.5939300000000001</v>
      </c>
      <c r="AD31">
        <f t="shared" si="4"/>
        <v>1.5161100000000001</v>
      </c>
      <c r="AE31">
        <f t="shared" si="5"/>
        <v>2.4170432064000003</v>
      </c>
      <c r="AF31" s="9"/>
      <c r="AG31" s="22">
        <v>5.7983399999999999E-3</v>
      </c>
      <c r="AH31" s="22">
        <v>356.85899999999998</v>
      </c>
      <c r="AI31" s="22">
        <v>-1.8084699999999999E-2</v>
      </c>
      <c r="AJ31" s="22">
        <v>21</v>
      </c>
      <c r="AK31" s="22">
        <v>6.1706499999999997E-3</v>
      </c>
      <c r="AL31">
        <f t="shared" si="6"/>
        <v>18.084699999999998</v>
      </c>
      <c r="AM31">
        <f t="shared" si="7"/>
        <v>0.10486123939799999</v>
      </c>
      <c r="AP31" s="9"/>
      <c r="AQ31" s="22">
        <v>1.5942400000000001</v>
      </c>
      <c r="AR31" s="22">
        <v>492.637</v>
      </c>
      <c r="AS31" s="25">
        <v>-9.0026900000000004E-6</v>
      </c>
      <c r="AT31" s="22">
        <v>21</v>
      </c>
      <c r="AU31" s="22">
        <v>1.5930200000000001</v>
      </c>
      <c r="AV31">
        <f t="shared" si="8"/>
        <v>9.0026900000000007E-3</v>
      </c>
      <c r="AW31">
        <f t="shared" si="9"/>
        <v>1.4352448505600001E-2</v>
      </c>
      <c r="AX31" s="9"/>
      <c r="AY31" s="22">
        <v>5.7983399999999999E-3</v>
      </c>
      <c r="AZ31" s="22">
        <v>614.99400000000003</v>
      </c>
      <c r="BA31" s="22">
        <v>-1.8048100000000001E-2</v>
      </c>
      <c r="BB31" s="22">
        <v>21</v>
      </c>
      <c r="BC31" s="22">
        <v>5.6884800000000001E-3</v>
      </c>
      <c r="BD31">
        <f t="shared" si="10"/>
        <v>18.048100000000002</v>
      </c>
      <c r="BE31">
        <f t="shared" si="11"/>
        <v>0.104649020154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78.476900000000001</v>
      </c>
      <c r="I32" s="22">
        <v>-6.8328900000000003E-3</v>
      </c>
      <c r="J32" s="22">
        <v>22</v>
      </c>
      <c r="K32" s="22">
        <v>1.58813</v>
      </c>
      <c r="L32">
        <f t="shared" si="0"/>
        <v>6.8328899999999999</v>
      </c>
      <c r="M32">
        <f t="shared" si="1"/>
        <v>10.858828788</v>
      </c>
      <c r="N32" s="9"/>
      <c r="O32" s="22">
        <v>1.08337E-2</v>
      </c>
      <c r="P32" s="22">
        <v>193.39400000000001</v>
      </c>
      <c r="Q32" s="22">
        <v>-1.8127399999999998E-2</v>
      </c>
      <c r="R32" s="22">
        <v>22</v>
      </c>
      <c r="S32" s="22">
        <v>1.07513E-2</v>
      </c>
      <c r="T32">
        <f t="shared" si="2"/>
        <v>18.127399999999998</v>
      </c>
      <c r="U32">
        <f t="shared" si="3"/>
        <v>0.19638681337999997</v>
      </c>
      <c r="X32" s="9"/>
      <c r="Y32" s="22">
        <v>1.5891999999999999</v>
      </c>
      <c r="Z32" s="22">
        <v>296.38099999999997</v>
      </c>
      <c r="AA32" s="22">
        <v>-1.7636100000000001E-3</v>
      </c>
      <c r="AB32" s="22">
        <v>22</v>
      </c>
      <c r="AC32" s="22">
        <v>1.5884400000000001</v>
      </c>
      <c r="AD32">
        <f t="shared" si="4"/>
        <v>1.7636100000000001</v>
      </c>
      <c r="AE32">
        <f t="shared" si="5"/>
        <v>2.8027290119999999</v>
      </c>
      <c r="AF32" s="9"/>
      <c r="AG32" s="22">
        <v>1.08337E-2</v>
      </c>
      <c r="AH32" s="22">
        <v>356.959</v>
      </c>
      <c r="AI32" s="22">
        <v>-1.8075600000000001E-2</v>
      </c>
      <c r="AJ32" s="22">
        <v>22</v>
      </c>
      <c r="AK32" s="22">
        <v>1.06842E-2</v>
      </c>
      <c r="AL32">
        <f t="shared" si="6"/>
        <v>18.075600000000001</v>
      </c>
      <c r="AM32">
        <f t="shared" si="7"/>
        <v>0.19582562772000001</v>
      </c>
      <c r="AP32" s="9"/>
      <c r="AQ32" s="22">
        <v>1.5891999999999999</v>
      </c>
      <c r="AR32" s="22">
        <v>492.738</v>
      </c>
      <c r="AS32" s="25">
        <v>-3.7231399999999998E-6</v>
      </c>
      <c r="AT32" s="22">
        <v>22</v>
      </c>
      <c r="AU32" s="22">
        <v>1.5884400000000001</v>
      </c>
      <c r="AV32">
        <f t="shared" si="8"/>
        <v>3.7231399999999998E-3</v>
      </c>
      <c r="AW32">
        <f t="shared" si="9"/>
        <v>5.9168140879999991E-3</v>
      </c>
      <c r="AX32" s="9"/>
      <c r="AY32" s="22">
        <v>1.08337E-2</v>
      </c>
      <c r="AZ32" s="22">
        <v>615.09500000000003</v>
      </c>
      <c r="BA32" s="22">
        <v>-1.8048100000000001E-2</v>
      </c>
      <c r="BB32" s="22">
        <v>22</v>
      </c>
      <c r="BC32" s="22">
        <v>1.0626200000000001E-2</v>
      </c>
      <c r="BD32">
        <f t="shared" si="10"/>
        <v>18.048100000000002</v>
      </c>
      <c r="BE32">
        <f t="shared" si="11"/>
        <v>0.19552770097000002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78.577600000000004</v>
      </c>
      <c r="I33" s="22">
        <v>-7.2479199999999997E-3</v>
      </c>
      <c r="J33" s="22">
        <v>23</v>
      </c>
      <c r="K33" s="22">
        <v>1.58325</v>
      </c>
      <c r="L33">
        <f t="shared" si="0"/>
        <v>7.2479199999999997</v>
      </c>
      <c r="M33">
        <f t="shared" si="1"/>
        <v>11.4819374264</v>
      </c>
      <c r="N33" s="9"/>
      <c r="O33" s="22">
        <v>1.5869100000000001E-2</v>
      </c>
      <c r="P33" s="22">
        <v>193.495</v>
      </c>
      <c r="Q33" s="22">
        <v>-1.81183E-2</v>
      </c>
      <c r="R33" s="22">
        <v>23</v>
      </c>
      <c r="S33" s="22">
        <v>1.5676900000000001E-2</v>
      </c>
      <c r="T33">
        <f t="shared" si="2"/>
        <v>18.118300000000001</v>
      </c>
      <c r="U33">
        <f t="shared" si="3"/>
        <v>0.28752111453000001</v>
      </c>
      <c r="X33" s="9"/>
      <c r="Y33" s="22">
        <v>1.5841700000000001</v>
      </c>
      <c r="Z33" s="22">
        <v>296.48099999999999</v>
      </c>
      <c r="AA33" s="22">
        <v>-1.8368499999999999E-3</v>
      </c>
      <c r="AB33" s="22">
        <v>23</v>
      </c>
      <c r="AC33" s="22">
        <v>1.58325</v>
      </c>
      <c r="AD33">
        <f t="shared" si="4"/>
        <v>1.8368499999999999</v>
      </c>
      <c r="AE33">
        <f t="shared" si="5"/>
        <v>2.9098826645</v>
      </c>
      <c r="AF33" s="9"/>
      <c r="AG33" s="22">
        <v>1.5869100000000001E-2</v>
      </c>
      <c r="AH33" s="22">
        <v>357.06</v>
      </c>
      <c r="AI33" s="22">
        <v>-1.8081699999999999E-2</v>
      </c>
      <c r="AJ33" s="22">
        <v>23</v>
      </c>
      <c r="AK33" s="22">
        <v>1.5832499999999999E-2</v>
      </c>
      <c r="AL33">
        <f t="shared" si="6"/>
        <v>18.081699999999998</v>
      </c>
      <c r="AM33">
        <f t="shared" si="7"/>
        <v>0.28694030546999999</v>
      </c>
      <c r="AP33" s="9"/>
      <c r="AQ33" s="22">
        <v>1.5841700000000001</v>
      </c>
      <c r="AR33" s="22">
        <v>492.839</v>
      </c>
      <c r="AS33" s="25">
        <v>-1.6784699999999999E-6</v>
      </c>
      <c r="AT33" s="22">
        <v>23</v>
      </c>
      <c r="AU33" s="22">
        <v>1.5829500000000001</v>
      </c>
      <c r="AV33">
        <f t="shared" si="8"/>
        <v>1.6784699999999998E-3</v>
      </c>
      <c r="AW33">
        <f t="shared" si="9"/>
        <v>2.6589818198999998E-3</v>
      </c>
      <c r="AX33" s="9"/>
      <c r="AY33" s="22">
        <v>1.5869100000000001E-2</v>
      </c>
      <c r="AZ33" s="22">
        <v>615.19600000000003</v>
      </c>
      <c r="BA33" s="22">
        <v>-1.8041999999999999E-2</v>
      </c>
      <c r="BB33" s="22">
        <v>23</v>
      </c>
      <c r="BC33" s="22">
        <v>1.5509E-2</v>
      </c>
      <c r="BD33">
        <f t="shared" si="10"/>
        <v>18.041999999999998</v>
      </c>
      <c r="BE33">
        <f t="shared" si="11"/>
        <v>0.28631030219999998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78.678299999999993</v>
      </c>
      <c r="I34" s="22">
        <v>-7.6293899999999998E-3</v>
      </c>
      <c r="J34" s="22">
        <v>24</v>
      </c>
      <c r="K34" s="22">
        <v>1.5783700000000001</v>
      </c>
      <c r="L34">
        <f t="shared" si="0"/>
        <v>7.6293899999999999</v>
      </c>
      <c r="M34">
        <f t="shared" si="1"/>
        <v>12.047798630699999</v>
      </c>
      <c r="N34" s="9"/>
      <c r="O34" s="22">
        <v>2.0904499999999999E-2</v>
      </c>
      <c r="P34" s="22">
        <v>193.595</v>
      </c>
      <c r="Q34" s="22">
        <v>-1.81213E-2</v>
      </c>
      <c r="R34" s="22">
        <v>24</v>
      </c>
      <c r="S34" s="22">
        <v>2.0694000000000001E-2</v>
      </c>
      <c r="T34">
        <f t="shared" si="2"/>
        <v>18.121300000000002</v>
      </c>
      <c r="U34">
        <f t="shared" si="3"/>
        <v>0.37881671585000004</v>
      </c>
      <c r="X34" s="9"/>
      <c r="Y34" s="22">
        <v>1.5791299999999999</v>
      </c>
      <c r="Z34" s="22">
        <v>296.58199999999999</v>
      </c>
      <c r="AA34" s="22">
        <v>-1.9836400000000001E-3</v>
      </c>
      <c r="AB34" s="22">
        <v>24</v>
      </c>
      <c r="AC34" s="22">
        <v>1.57867</v>
      </c>
      <c r="AD34">
        <f t="shared" si="4"/>
        <v>1.9836400000000001</v>
      </c>
      <c r="AE34">
        <f t="shared" si="5"/>
        <v>3.1324254331999999</v>
      </c>
      <c r="AF34" s="9"/>
      <c r="AG34" s="22">
        <v>2.0904499999999999E-2</v>
      </c>
      <c r="AH34" s="22">
        <v>357.161</v>
      </c>
      <c r="AI34" s="22">
        <v>-1.80786E-2</v>
      </c>
      <c r="AJ34" s="22">
        <v>24</v>
      </c>
      <c r="AK34" s="22">
        <v>2.06818E-2</v>
      </c>
      <c r="AL34">
        <f t="shared" si="6"/>
        <v>18.078600000000002</v>
      </c>
      <c r="AM34">
        <f t="shared" si="7"/>
        <v>0.37792409370000002</v>
      </c>
      <c r="AP34" s="9"/>
      <c r="AQ34" s="22">
        <v>1.5791299999999999</v>
      </c>
      <c r="AR34" s="22">
        <v>492.93900000000002</v>
      </c>
      <c r="AS34" s="25">
        <v>-3.8452099999999999E-6</v>
      </c>
      <c r="AT34" s="22">
        <v>24</v>
      </c>
      <c r="AU34" s="22">
        <v>1.5777600000000001</v>
      </c>
      <c r="AV34">
        <f t="shared" si="8"/>
        <v>3.8452099999999999E-3</v>
      </c>
      <c r="AW34">
        <f t="shared" si="9"/>
        <v>6.0720864672999999E-3</v>
      </c>
      <c r="AX34" s="9"/>
      <c r="AY34" s="22">
        <v>2.0904499999999999E-2</v>
      </c>
      <c r="AZ34" s="22">
        <v>615.29600000000005</v>
      </c>
      <c r="BA34" s="22">
        <v>-1.8041999999999999E-2</v>
      </c>
      <c r="BB34" s="22">
        <v>24</v>
      </c>
      <c r="BC34" s="22">
        <v>2.0886200000000001E-2</v>
      </c>
      <c r="BD34">
        <f t="shared" si="10"/>
        <v>18.041999999999998</v>
      </c>
      <c r="BE34">
        <f t="shared" si="11"/>
        <v>0.37715898899999994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78.778999999999996</v>
      </c>
      <c r="I35" s="22">
        <v>-8.0596899999999996E-3</v>
      </c>
      <c r="J35" s="22">
        <v>25</v>
      </c>
      <c r="K35" s="22">
        <v>1.57318</v>
      </c>
      <c r="L35">
        <f t="shared" si="0"/>
        <v>8.0596899999999998</v>
      </c>
      <c r="M35">
        <f t="shared" si="1"/>
        <v>12.686758029</v>
      </c>
      <c r="N35" s="9"/>
      <c r="O35" s="22">
        <v>2.5939899999999998E-2</v>
      </c>
      <c r="P35" s="22">
        <v>193.696</v>
      </c>
      <c r="Q35" s="22">
        <v>-1.81183E-2</v>
      </c>
      <c r="R35" s="22">
        <v>25</v>
      </c>
      <c r="S35" s="22">
        <v>2.5704999999999999E-2</v>
      </c>
      <c r="T35">
        <f t="shared" si="2"/>
        <v>18.118300000000001</v>
      </c>
      <c r="U35">
        <f t="shared" si="3"/>
        <v>0.46998689017</v>
      </c>
      <c r="X35" s="9"/>
      <c r="Y35" s="22">
        <v>1.5741000000000001</v>
      </c>
      <c r="Z35" s="22">
        <v>296.68299999999999</v>
      </c>
      <c r="AA35" s="22">
        <v>-2.0907600000000001E-3</v>
      </c>
      <c r="AB35" s="22">
        <v>25</v>
      </c>
      <c r="AC35" s="22">
        <v>1.5734900000000001</v>
      </c>
      <c r="AD35">
        <f t="shared" si="4"/>
        <v>2.09076</v>
      </c>
      <c r="AE35">
        <f t="shared" si="5"/>
        <v>3.2910653160000001</v>
      </c>
      <c r="AF35" s="9"/>
      <c r="AG35" s="22">
        <v>2.5939899999999998E-2</v>
      </c>
      <c r="AH35" s="22">
        <v>357.262</v>
      </c>
      <c r="AI35" s="22">
        <v>-1.8075600000000001E-2</v>
      </c>
      <c r="AJ35" s="22">
        <v>25</v>
      </c>
      <c r="AK35" s="22">
        <v>2.59186E-2</v>
      </c>
      <c r="AL35">
        <f t="shared" si="6"/>
        <v>18.075600000000001</v>
      </c>
      <c r="AM35">
        <f t="shared" si="7"/>
        <v>0.46887925644</v>
      </c>
      <c r="AP35" s="9"/>
      <c r="AQ35" s="22">
        <v>1.5741000000000001</v>
      </c>
      <c r="AR35" s="22">
        <v>493.04</v>
      </c>
      <c r="AS35" s="25">
        <v>-4.9743699999999998E-6</v>
      </c>
      <c r="AT35" s="22">
        <v>25</v>
      </c>
      <c r="AU35" s="22">
        <v>1.5728800000000001</v>
      </c>
      <c r="AV35">
        <f t="shared" si="8"/>
        <v>4.9743699999999997E-3</v>
      </c>
      <c r="AW35">
        <f t="shared" si="9"/>
        <v>7.830155816999999E-3</v>
      </c>
      <c r="AX35" s="9"/>
      <c r="AY35" s="22">
        <v>2.5939899999999998E-2</v>
      </c>
      <c r="AZ35" s="22">
        <v>615.39700000000005</v>
      </c>
      <c r="BA35" s="22">
        <v>-1.8044999999999999E-2</v>
      </c>
      <c r="BB35" s="22">
        <v>25</v>
      </c>
      <c r="BC35" s="22">
        <v>2.60834E-2</v>
      </c>
      <c r="BD35">
        <f t="shared" si="10"/>
        <v>18.044999999999998</v>
      </c>
      <c r="BE35">
        <f t="shared" si="11"/>
        <v>0.46808549549999995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78.8797</v>
      </c>
      <c r="I36" s="22">
        <v>-8.3740199999999994E-3</v>
      </c>
      <c r="J36" s="22">
        <v>26</v>
      </c>
      <c r="K36" s="22">
        <v>1.5683</v>
      </c>
      <c r="L36">
        <f t="shared" si="0"/>
        <v>8.3740199999999998</v>
      </c>
      <c r="M36">
        <f t="shared" si="1"/>
        <v>13.139339821199998</v>
      </c>
      <c r="N36" s="9"/>
      <c r="O36" s="22">
        <v>3.0975300000000001E-2</v>
      </c>
      <c r="P36" s="22">
        <v>193.797</v>
      </c>
      <c r="Q36" s="22">
        <v>-1.81061E-2</v>
      </c>
      <c r="R36" s="22">
        <v>26</v>
      </c>
      <c r="S36" s="22">
        <v>3.09387E-2</v>
      </c>
      <c r="T36">
        <f t="shared" si="2"/>
        <v>18.106100000000001</v>
      </c>
      <c r="U36">
        <f t="shared" si="3"/>
        <v>0.56084187933000007</v>
      </c>
      <c r="X36" s="9"/>
      <c r="Y36" s="22">
        <v>1.5690599999999999</v>
      </c>
      <c r="Z36" s="22">
        <v>296.78300000000002</v>
      </c>
      <c r="AA36" s="22">
        <v>-2.18994E-3</v>
      </c>
      <c r="AB36" s="22">
        <v>26</v>
      </c>
      <c r="AC36" s="22">
        <v>1.5683</v>
      </c>
      <c r="AD36">
        <f t="shared" si="4"/>
        <v>2.18994</v>
      </c>
      <c r="AE36">
        <f t="shared" si="5"/>
        <v>3.4361472564</v>
      </c>
      <c r="AF36" s="9"/>
      <c r="AG36" s="22">
        <v>3.0975300000000001E-2</v>
      </c>
      <c r="AH36" s="22">
        <v>357.36200000000002</v>
      </c>
      <c r="AI36" s="22">
        <v>-1.8075600000000001E-2</v>
      </c>
      <c r="AJ36" s="22">
        <v>26</v>
      </c>
      <c r="AK36" s="22">
        <v>3.09784E-2</v>
      </c>
      <c r="AL36">
        <f t="shared" si="6"/>
        <v>18.075600000000001</v>
      </c>
      <c r="AM36">
        <f t="shared" si="7"/>
        <v>0.55989713268000008</v>
      </c>
      <c r="AP36" s="9"/>
      <c r="AQ36" s="22">
        <v>1.5690599999999999</v>
      </c>
      <c r="AR36" s="22">
        <v>493.14100000000002</v>
      </c>
      <c r="AS36" s="25">
        <v>-4.6386699999999998E-6</v>
      </c>
      <c r="AT36" s="22">
        <v>26</v>
      </c>
      <c r="AU36" s="22">
        <v>1.5683</v>
      </c>
      <c r="AV36">
        <f t="shared" si="8"/>
        <v>4.6386700000000001E-3</v>
      </c>
      <c r="AW36">
        <f t="shared" si="9"/>
        <v>7.2783515501999999E-3</v>
      </c>
      <c r="AX36" s="9"/>
      <c r="AY36" s="22">
        <v>3.0975300000000001E-2</v>
      </c>
      <c r="AZ36" s="22">
        <v>615.49800000000005</v>
      </c>
      <c r="BA36" s="22">
        <v>-1.8032800000000002E-2</v>
      </c>
      <c r="BB36" s="22">
        <v>26</v>
      </c>
      <c r="BC36" s="22">
        <v>3.1231700000000001E-2</v>
      </c>
      <c r="BD36">
        <f t="shared" si="10"/>
        <v>18.032800000000002</v>
      </c>
      <c r="BE36">
        <f t="shared" si="11"/>
        <v>0.5585713898400001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78.980400000000003</v>
      </c>
      <c r="I37" s="22">
        <v>-1.0446199999999999E-2</v>
      </c>
      <c r="J37" s="22">
        <v>27</v>
      </c>
      <c r="K37" s="22">
        <v>1.57379</v>
      </c>
      <c r="L37">
        <f t="shared" si="0"/>
        <v>10.446199999999999</v>
      </c>
      <c r="M37">
        <f t="shared" si="1"/>
        <v>16.338170185999999</v>
      </c>
      <c r="N37" s="9"/>
      <c r="O37" s="22">
        <v>3.60107E-2</v>
      </c>
      <c r="P37" s="22">
        <v>193.89699999999999</v>
      </c>
      <c r="Q37" s="22">
        <v>-1.8100000000000002E-2</v>
      </c>
      <c r="R37" s="22">
        <v>27</v>
      </c>
      <c r="S37" s="22">
        <v>3.5855100000000001E-2</v>
      </c>
      <c r="T37">
        <f t="shared" si="2"/>
        <v>18.100000000000001</v>
      </c>
      <c r="U37">
        <f t="shared" si="3"/>
        <v>0.65179366999999999</v>
      </c>
      <c r="X37" s="9"/>
      <c r="Y37" s="22">
        <v>1.56403</v>
      </c>
      <c r="Z37" s="22">
        <v>296.88400000000001</v>
      </c>
      <c r="AA37" s="22">
        <v>-2.2525000000000002E-3</v>
      </c>
      <c r="AB37" s="22">
        <v>27</v>
      </c>
      <c r="AC37" s="22">
        <v>1.56311</v>
      </c>
      <c r="AD37">
        <f t="shared" si="4"/>
        <v>2.2524999999999999</v>
      </c>
      <c r="AE37">
        <f t="shared" si="5"/>
        <v>3.5229775750000001</v>
      </c>
      <c r="AF37" s="9"/>
      <c r="AG37" s="22">
        <v>3.60107E-2</v>
      </c>
      <c r="AH37" s="22">
        <v>357.46300000000002</v>
      </c>
      <c r="AI37" s="22">
        <v>-1.8072499999999998E-2</v>
      </c>
      <c r="AJ37" s="22">
        <v>27</v>
      </c>
      <c r="AK37" s="22">
        <v>3.5720799999999997E-2</v>
      </c>
      <c r="AL37">
        <f t="shared" si="6"/>
        <v>18.072499999999998</v>
      </c>
      <c r="AM37">
        <f t="shared" si="7"/>
        <v>0.65080337574999991</v>
      </c>
      <c r="AP37" s="9"/>
      <c r="AQ37" s="22">
        <v>1.56403</v>
      </c>
      <c r="AR37" s="22">
        <v>493.24099999999999</v>
      </c>
      <c r="AS37" s="25">
        <v>-1.2725799999999999E-5</v>
      </c>
      <c r="AT37" s="22">
        <v>27</v>
      </c>
      <c r="AU37" s="22">
        <v>1.56342</v>
      </c>
      <c r="AV37">
        <f t="shared" si="8"/>
        <v>1.2725799999999999E-2</v>
      </c>
      <c r="AW37">
        <f t="shared" si="9"/>
        <v>1.9903532974E-2</v>
      </c>
      <c r="AX37" s="9"/>
      <c r="AY37" s="22">
        <v>3.60107E-2</v>
      </c>
      <c r="AZ37" s="22">
        <v>615.59799999999996</v>
      </c>
      <c r="BA37" s="22">
        <v>-1.8032800000000002E-2</v>
      </c>
      <c r="BB37" s="22">
        <v>27</v>
      </c>
      <c r="BC37" s="22">
        <v>3.5861200000000003E-2</v>
      </c>
      <c r="BD37">
        <f t="shared" si="10"/>
        <v>18.032800000000002</v>
      </c>
      <c r="BE37">
        <f t="shared" si="11"/>
        <v>0.64937375096000005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79.081100000000006</v>
      </c>
      <c r="I38" s="22">
        <v>-1.01837E-2</v>
      </c>
      <c r="J38" s="22">
        <v>28</v>
      </c>
      <c r="K38" s="22">
        <v>1.55853</v>
      </c>
      <c r="L38">
        <f t="shared" si="0"/>
        <v>10.1837</v>
      </c>
      <c r="M38">
        <f t="shared" si="1"/>
        <v>15.876286463000001</v>
      </c>
      <c r="N38" s="9"/>
      <c r="O38" s="22">
        <v>4.1046100000000002E-2</v>
      </c>
      <c r="P38" s="22">
        <v>193.99799999999999</v>
      </c>
      <c r="Q38" s="22">
        <v>-1.8096899999999999E-2</v>
      </c>
      <c r="R38" s="22">
        <v>28</v>
      </c>
      <c r="S38" s="22">
        <v>4.1043099999999999E-2</v>
      </c>
      <c r="T38">
        <f t="shared" si="2"/>
        <v>18.096899999999998</v>
      </c>
      <c r="U38">
        <f t="shared" si="3"/>
        <v>0.74280716708999994</v>
      </c>
      <c r="X38" s="9"/>
      <c r="Y38" s="22">
        <v>1.5589900000000001</v>
      </c>
      <c r="Z38" s="22">
        <v>296.98500000000001</v>
      </c>
      <c r="AA38" s="22">
        <v>-3.2562300000000001E-3</v>
      </c>
      <c r="AB38" s="22">
        <v>28</v>
      </c>
      <c r="AC38" s="22">
        <v>1.55792</v>
      </c>
      <c r="AD38">
        <f t="shared" si="4"/>
        <v>3.25623</v>
      </c>
      <c r="AE38">
        <f t="shared" si="5"/>
        <v>5.0764300077</v>
      </c>
      <c r="AF38" s="9"/>
      <c r="AG38" s="22">
        <v>4.1046100000000002E-2</v>
      </c>
      <c r="AH38" s="22">
        <v>357.56400000000002</v>
      </c>
      <c r="AI38" s="22">
        <v>-1.8075600000000001E-2</v>
      </c>
      <c r="AJ38" s="22">
        <v>28</v>
      </c>
      <c r="AK38" s="22">
        <v>4.1253699999999997E-2</v>
      </c>
      <c r="AL38">
        <f t="shared" si="6"/>
        <v>18.075600000000001</v>
      </c>
      <c r="AM38">
        <f t="shared" si="7"/>
        <v>0.74193288516000011</v>
      </c>
      <c r="AP38" s="9"/>
      <c r="AQ38" s="22">
        <v>1.5589900000000001</v>
      </c>
      <c r="AR38" s="22">
        <v>493.34199999999998</v>
      </c>
      <c r="AS38" s="22">
        <v>-1.52344E-4</v>
      </c>
      <c r="AT38" s="22">
        <v>28</v>
      </c>
      <c r="AU38" s="22">
        <v>1.55792</v>
      </c>
      <c r="AV38">
        <f t="shared" si="8"/>
        <v>0.15234400000000001</v>
      </c>
      <c r="AW38">
        <f t="shared" si="9"/>
        <v>0.23750277256000002</v>
      </c>
      <c r="AX38" s="9"/>
      <c r="AY38" s="22">
        <v>4.1046100000000002E-2</v>
      </c>
      <c r="AZ38" s="22">
        <v>615.69899999999996</v>
      </c>
      <c r="BA38" s="22">
        <v>-1.80389E-2</v>
      </c>
      <c r="BB38" s="22">
        <v>28</v>
      </c>
      <c r="BC38" s="22">
        <v>4.1394E-2</v>
      </c>
      <c r="BD38">
        <f t="shared" si="10"/>
        <v>18.038900000000002</v>
      </c>
      <c r="BE38">
        <f t="shared" si="11"/>
        <v>0.7404264932900001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79.181799999999996</v>
      </c>
      <c r="I39" s="22">
        <v>-8.8714599999999994E-3</v>
      </c>
      <c r="J39" s="22">
        <v>29</v>
      </c>
      <c r="K39" s="22">
        <v>1.55304</v>
      </c>
      <c r="L39">
        <f t="shared" si="0"/>
        <v>8.871459999999999</v>
      </c>
      <c r="M39">
        <f t="shared" si="1"/>
        <v>13.785893981599999</v>
      </c>
      <c r="N39" s="9"/>
      <c r="O39" s="22">
        <v>4.6081499999999997E-2</v>
      </c>
      <c r="P39" s="22">
        <v>194.09899999999999</v>
      </c>
      <c r="Q39" s="22">
        <v>-1.80939E-2</v>
      </c>
      <c r="R39" s="22">
        <v>29</v>
      </c>
      <c r="S39" s="22">
        <v>4.5986899999999997E-2</v>
      </c>
      <c r="T39">
        <f t="shared" si="2"/>
        <v>18.093899999999998</v>
      </c>
      <c r="U39">
        <f t="shared" si="3"/>
        <v>0.83379405284999986</v>
      </c>
      <c r="X39" s="9"/>
      <c r="Y39" s="22">
        <v>1.55396</v>
      </c>
      <c r="Z39" s="22">
        <v>297.08499999999998</v>
      </c>
      <c r="AA39" s="22">
        <v>-5.4534900000000001E-3</v>
      </c>
      <c r="AB39" s="22">
        <v>29</v>
      </c>
      <c r="AC39" s="22">
        <v>1.5533399999999999</v>
      </c>
      <c r="AD39">
        <f t="shared" si="4"/>
        <v>5.4534900000000004</v>
      </c>
      <c r="AE39">
        <f t="shared" si="5"/>
        <v>8.4745053204000005</v>
      </c>
      <c r="AF39" s="9"/>
      <c r="AG39" s="22">
        <v>4.6081499999999997E-2</v>
      </c>
      <c r="AH39" s="22">
        <v>357.66399999999999</v>
      </c>
      <c r="AI39" s="22">
        <v>-1.8072499999999998E-2</v>
      </c>
      <c r="AJ39" s="22">
        <v>29</v>
      </c>
      <c r="AK39" s="22">
        <v>4.6118199999999998E-2</v>
      </c>
      <c r="AL39">
        <f t="shared" si="6"/>
        <v>18.072499999999998</v>
      </c>
      <c r="AM39">
        <f t="shared" si="7"/>
        <v>0.83280790874999988</v>
      </c>
      <c r="AP39" s="9"/>
      <c r="AQ39" s="22">
        <v>1.55396</v>
      </c>
      <c r="AR39" s="22">
        <v>493.44299999999998</v>
      </c>
      <c r="AS39" s="22">
        <v>-7.24487E-4</v>
      </c>
      <c r="AT39" s="22">
        <v>29</v>
      </c>
      <c r="AU39" s="22">
        <v>1.5533399999999999</v>
      </c>
      <c r="AV39">
        <f t="shared" si="8"/>
        <v>0.72448699999999999</v>
      </c>
      <c r="AW39">
        <f t="shared" si="9"/>
        <v>1.12582381852</v>
      </c>
      <c r="AX39" s="9"/>
      <c r="AY39" s="22">
        <v>4.6081499999999997E-2</v>
      </c>
      <c r="AZ39" s="22">
        <v>615.79999999999995</v>
      </c>
      <c r="BA39" s="22">
        <v>-1.8032800000000002E-2</v>
      </c>
      <c r="BB39" s="22">
        <v>29</v>
      </c>
      <c r="BC39" s="22">
        <v>4.61243E-2</v>
      </c>
      <c r="BD39">
        <f t="shared" si="10"/>
        <v>18.032800000000002</v>
      </c>
      <c r="BE39">
        <f t="shared" si="11"/>
        <v>0.83097847320000007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79.282499999999999</v>
      </c>
      <c r="I40" s="22">
        <v>-9.1278100000000001E-3</v>
      </c>
      <c r="J40" s="22">
        <v>30</v>
      </c>
      <c r="K40" s="22">
        <v>1.5478499999999999</v>
      </c>
      <c r="L40">
        <f t="shared" si="0"/>
        <v>9.1278100000000002</v>
      </c>
      <c r="M40">
        <f t="shared" si="1"/>
        <v>14.138247465200001</v>
      </c>
      <c r="N40" s="9"/>
      <c r="O40" s="22">
        <v>5.11169E-2</v>
      </c>
      <c r="P40" s="22">
        <v>194.19900000000001</v>
      </c>
      <c r="Q40" s="22">
        <v>-1.80786E-2</v>
      </c>
      <c r="R40" s="22">
        <v>30</v>
      </c>
      <c r="S40" s="22">
        <v>5.1080300000000002E-2</v>
      </c>
      <c r="T40">
        <f t="shared" si="2"/>
        <v>18.078600000000002</v>
      </c>
      <c r="U40">
        <f t="shared" si="3"/>
        <v>0.92412198834000003</v>
      </c>
      <c r="X40" s="9"/>
      <c r="Y40" s="22">
        <v>1.5489200000000001</v>
      </c>
      <c r="Z40" s="22">
        <v>297.18599999999998</v>
      </c>
      <c r="AA40" s="22">
        <v>-6.79321E-3</v>
      </c>
      <c r="AB40" s="22">
        <v>30</v>
      </c>
      <c r="AC40" s="22">
        <v>1.5478499999999999</v>
      </c>
      <c r="AD40">
        <f t="shared" si="4"/>
        <v>6.7932100000000002</v>
      </c>
      <c r="AE40">
        <f t="shared" si="5"/>
        <v>10.522138833200001</v>
      </c>
      <c r="AF40" s="9"/>
      <c r="AG40" s="22">
        <v>5.11169E-2</v>
      </c>
      <c r="AH40" s="22">
        <v>357.76499999999999</v>
      </c>
      <c r="AI40" s="22">
        <v>-1.80786E-2</v>
      </c>
      <c r="AJ40" s="22">
        <v>30</v>
      </c>
      <c r="AK40" s="22">
        <v>5.1248200000000001E-2</v>
      </c>
      <c r="AL40">
        <f t="shared" si="6"/>
        <v>18.078600000000002</v>
      </c>
      <c r="AM40">
        <f t="shared" si="7"/>
        <v>0.92412198834000003</v>
      </c>
      <c r="AP40" s="9"/>
      <c r="AQ40" s="22">
        <v>1.5489200000000001</v>
      </c>
      <c r="AR40" s="22">
        <v>493.54300000000001</v>
      </c>
      <c r="AS40" s="22">
        <v>-1.1892700000000001E-3</v>
      </c>
      <c r="AT40" s="22">
        <v>30</v>
      </c>
      <c r="AU40" s="22">
        <v>1.54877</v>
      </c>
      <c r="AV40">
        <f t="shared" si="8"/>
        <v>1.18927</v>
      </c>
      <c r="AW40">
        <f t="shared" si="9"/>
        <v>1.8420840884000003</v>
      </c>
      <c r="AX40" s="9"/>
      <c r="AY40" s="22">
        <v>5.11169E-2</v>
      </c>
      <c r="AZ40" s="22">
        <v>615.90099999999995</v>
      </c>
      <c r="BA40" s="22">
        <v>-1.80267E-2</v>
      </c>
      <c r="BB40" s="22">
        <v>30</v>
      </c>
      <c r="BC40" s="22">
        <v>5.1330599999999997E-2</v>
      </c>
      <c r="BD40">
        <f t="shared" si="10"/>
        <v>18.026699999999998</v>
      </c>
      <c r="BE40">
        <f t="shared" si="11"/>
        <v>0.92146902122999985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79.383200000000002</v>
      </c>
      <c r="I41" s="22">
        <v>-1.15906E-2</v>
      </c>
      <c r="J41" s="22">
        <v>31</v>
      </c>
      <c r="K41" s="22">
        <v>1.54419</v>
      </c>
      <c r="L41">
        <f t="shared" si="0"/>
        <v>11.5906</v>
      </c>
      <c r="M41">
        <f t="shared" si="1"/>
        <v>17.894495528</v>
      </c>
      <c r="N41" s="9"/>
      <c r="O41" s="22">
        <v>5.6152300000000002E-2</v>
      </c>
      <c r="P41" s="22">
        <v>194.3</v>
      </c>
      <c r="Q41" s="22">
        <v>-1.8096899999999999E-2</v>
      </c>
      <c r="R41" s="22">
        <v>31</v>
      </c>
      <c r="S41" s="22">
        <v>5.57251E-2</v>
      </c>
      <c r="T41">
        <f t="shared" si="2"/>
        <v>18.096899999999998</v>
      </c>
      <c r="U41">
        <f t="shared" si="3"/>
        <v>1.0161825578699999</v>
      </c>
      <c r="X41" s="9"/>
      <c r="Y41" s="22">
        <v>1.5438799999999999</v>
      </c>
      <c r="Z41" s="22">
        <v>297.28699999999998</v>
      </c>
      <c r="AA41" s="22">
        <v>-8.6029100000000001E-3</v>
      </c>
      <c r="AB41" s="22">
        <v>31</v>
      </c>
      <c r="AC41" s="22">
        <v>1.54297</v>
      </c>
      <c r="AD41">
        <f t="shared" si="4"/>
        <v>8.6029099999999996</v>
      </c>
      <c r="AE41">
        <f t="shared" si="5"/>
        <v>13.281860690799999</v>
      </c>
      <c r="AF41" s="9"/>
      <c r="AG41" s="22">
        <v>5.6152300000000002E-2</v>
      </c>
      <c r="AH41" s="22">
        <v>357.86599999999999</v>
      </c>
      <c r="AI41" s="22">
        <v>-1.80664E-2</v>
      </c>
      <c r="AJ41" s="22">
        <v>31</v>
      </c>
      <c r="AK41" s="22">
        <v>5.5694599999999997E-2</v>
      </c>
      <c r="AL41">
        <f t="shared" si="6"/>
        <v>18.066400000000002</v>
      </c>
      <c r="AM41">
        <f t="shared" si="7"/>
        <v>1.0144699127200001</v>
      </c>
      <c r="AP41" s="9"/>
      <c r="AQ41" s="22">
        <v>1.5438799999999999</v>
      </c>
      <c r="AR41" s="22">
        <v>493.64400000000001</v>
      </c>
      <c r="AS41" s="22">
        <v>-1.31073E-3</v>
      </c>
      <c r="AT41" s="22">
        <v>31</v>
      </c>
      <c r="AU41" s="22">
        <v>1.5426599999999999</v>
      </c>
      <c r="AV41">
        <f t="shared" si="8"/>
        <v>1.31073</v>
      </c>
      <c r="AW41">
        <f t="shared" si="9"/>
        <v>2.0236098324</v>
      </c>
      <c r="AX41" s="9"/>
      <c r="AY41" s="22">
        <v>5.6152300000000002E-2</v>
      </c>
      <c r="AZ41" s="22">
        <v>616.00099999999998</v>
      </c>
      <c r="BA41" s="22">
        <v>-1.8032800000000002E-2</v>
      </c>
      <c r="BB41" s="22">
        <v>31</v>
      </c>
      <c r="BC41" s="22">
        <v>5.5633500000000002E-2</v>
      </c>
      <c r="BD41">
        <f t="shared" si="10"/>
        <v>18.032800000000002</v>
      </c>
      <c r="BE41">
        <f t="shared" si="11"/>
        <v>1.0125831954400002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79.483900000000006</v>
      </c>
      <c r="I42" s="22">
        <v>-1.1972E-2</v>
      </c>
      <c r="J42" s="22">
        <v>32</v>
      </c>
      <c r="K42" s="22">
        <v>1.5387</v>
      </c>
      <c r="L42">
        <f t="shared" si="0"/>
        <v>11.972</v>
      </c>
      <c r="M42">
        <f t="shared" si="1"/>
        <v>18.423112199999998</v>
      </c>
      <c r="N42" s="9"/>
      <c r="O42" s="22">
        <v>6.1187699999999998E-2</v>
      </c>
      <c r="P42" s="22">
        <v>194.40100000000001</v>
      </c>
      <c r="Q42" s="22">
        <v>-1.8084699999999999E-2</v>
      </c>
      <c r="R42" s="22">
        <v>32</v>
      </c>
      <c r="S42" s="22">
        <v>6.0668899999999998E-2</v>
      </c>
      <c r="T42">
        <f t="shared" si="2"/>
        <v>18.084699999999998</v>
      </c>
      <c r="U42">
        <f t="shared" si="3"/>
        <v>1.1065611981899999</v>
      </c>
      <c r="X42" s="9"/>
      <c r="Y42" s="22">
        <v>1.5388500000000001</v>
      </c>
      <c r="Z42" s="22">
        <v>297.38799999999998</v>
      </c>
      <c r="AA42" s="22">
        <v>-9.4695999999999999E-3</v>
      </c>
      <c r="AB42" s="22">
        <v>32</v>
      </c>
      <c r="AC42" s="22">
        <v>1.53809</v>
      </c>
      <c r="AD42">
        <f t="shared" si="4"/>
        <v>9.4695999999999998</v>
      </c>
      <c r="AE42">
        <f t="shared" si="5"/>
        <v>14.57229396</v>
      </c>
      <c r="AF42" s="9"/>
      <c r="AG42" s="22">
        <v>6.1187699999999998E-2</v>
      </c>
      <c r="AH42" s="22">
        <v>357.96699999999998</v>
      </c>
      <c r="AI42" s="22">
        <v>-1.80634E-2</v>
      </c>
      <c r="AJ42" s="22">
        <v>32</v>
      </c>
      <c r="AK42" s="22">
        <v>6.0699500000000003E-2</v>
      </c>
      <c r="AL42">
        <f t="shared" si="6"/>
        <v>18.063400000000001</v>
      </c>
      <c r="AM42">
        <f t="shared" si="7"/>
        <v>1.10525790018</v>
      </c>
      <c r="AP42" s="9"/>
      <c r="AQ42" s="22">
        <v>1.5388500000000001</v>
      </c>
      <c r="AR42" s="22">
        <v>493.745</v>
      </c>
      <c r="AS42" s="22">
        <v>-1.41113E-3</v>
      </c>
      <c r="AT42" s="22">
        <v>32</v>
      </c>
      <c r="AU42" s="22">
        <v>1.5383899999999999</v>
      </c>
      <c r="AV42">
        <f t="shared" si="8"/>
        <v>1.41113</v>
      </c>
      <c r="AW42">
        <f t="shared" si="9"/>
        <v>2.1715174005</v>
      </c>
      <c r="AX42" s="9"/>
      <c r="AY42" s="22">
        <v>6.1187699999999998E-2</v>
      </c>
      <c r="AZ42" s="22">
        <v>616.10199999999998</v>
      </c>
      <c r="BA42" s="22">
        <v>-1.8020600000000001E-2</v>
      </c>
      <c r="BB42" s="22">
        <v>32</v>
      </c>
      <c r="BC42" s="22">
        <v>6.0790999999999998E-2</v>
      </c>
      <c r="BD42">
        <f t="shared" si="10"/>
        <v>18.020600000000002</v>
      </c>
      <c r="BE42">
        <f t="shared" si="11"/>
        <v>1.1026390666200001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79.584599999999995</v>
      </c>
      <c r="I43" s="22">
        <v>-1.17371E-2</v>
      </c>
      <c r="J43" s="22">
        <v>33</v>
      </c>
      <c r="K43" s="22">
        <v>1.5331999999999999</v>
      </c>
      <c r="L43">
        <f t="shared" si="0"/>
        <v>11.7371</v>
      </c>
      <c r="M43">
        <f t="shared" si="1"/>
        <v>18.002481351</v>
      </c>
      <c r="N43" s="9"/>
      <c r="O43" s="22">
        <v>6.6223099999999993E-2</v>
      </c>
      <c r="P43" s="22">
        <v>194.50200000000001</v>
      </c>
      <c r="Q43" s="22">
        <v>-1.8075600000000001E-2</v>
      </c>
      <c r="R43" s="22">
        <v>33</v>
      </c>
      <c r="S43" s="22">
        <v>6.5826399999999993E-2</v>
      </c>
      <c r="T43">
        <f t="shared" si="2"/>
        <v>18.075600000000001</v>
      </c>
      <c r="U43">
        <f t="shared" si="3"/>
        <v>1.1970222663599999</v>
      </c>
      <c r="X43" s="9"/>
      <c r="Y43" s="22">
        <v>1.5338099999999999</v>
      </c>
      <c r="Z43" s="22">
        <v>297.488</v>
      </c>
      <c r="AA43" s="22">
        <v>-9.9487299999999994E-3</v>
      </c>
      <c r="AB43" s="22">
        <v>33</v>
      </c>
      <c r="AC43" s="22">
        <v>1.5335099999999999</v>
      </c>
      <c r="AD43">
        <f t="shared" si="4"/>
        <v>9.9487299999999994</v>
      </c>
      <c r="AE43">
        <f t="shared" si="5"/>
        <v>15.259461561299998</v>
      </c>
      <c r="AF43" s="9"/>
      <c r="AG43" s="22">
        <v>6.6223099999999993E-2</v>
      </c>
      <c r="AH43" s="22">
        <v>358.06700000000001</v>
      </c>
      <c r="AI43" s="22">
        <v>-1.8060300000000001E-2</v>
      </c>
      <c r="AJ43" s="22">
        <v>33</v>
      </c>
      <c r="AK43" s="22">
        <v>6.5765400000000002E-2</v>
      </c>
      <c r="AL43">
        <f t="shared" si="6"/>
        <v>18.060300000000002</v>
      </c>
      <c r="AM43">
        <f t="shared" si="7"/>
        <v>1.19600905293</v>
      </c>
      <c r="AP43" s="9"/>
      <c r="AQ43" s="22">
        <v>1.5338099999999999</v>
      </c>
      <c r="AR43" s="22">
        <v>493.846</v>
      </c>
      <c r="AS43" s="22">
        <v>-1.7617799999999999E-3</v>
      </c>
      <c r="AT43" s="22">
        <v>33</v>
      </c>
      <c r="AU43" s="22">
        <v>1.5328999999999999</v>
      </c>
      <c r="AV43">
        <f t="shared" si="8"/>
        <v>1.7617799999999999</v>
      </c>
      <c r="AW43">
        <f t="shared" si="9"/>
        <v>2.7022357817999998</v>
      </c>
      <c r="AX43" s="9"/>
      <c r="AY43" s="22">
        <v>6.6223099999999993E-2</v>
      </c>
      <c r="AZ43" s="22">
        <v>616.20299999999997</v>
      </c>
      <c r="BA43" s="22">
        <v>-1.8017600000000002E-2</v>
      </c>
      <c r="BB43" s="22">
        <v>33</v>
      </c>
      <c r="BC43" s="22">
        <v>6.5765400000000002E-2</v>
      </c>
      <c r="BD43">
        <f t="shared" si="10"/>
        <v>18.017600000000002</v>
      </c>
      <c r="BE43">
        <f t="shared" si="11"/>
        <v>1.19318132656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79.685299999999998</v>
      </c>
      <c r="I44" s="22">
        <v>-1.2042199999999999E-2</v>
      </c>
      <c r="J44" s="22">
        <v>34</v>
      </c>
      <c r="K44" s="22">
        <v>1.5283199999999999</v>
      </c>
      <c r="L44">
        <f t="shared" si="0"/>
        <v>12.042199999999999</v>
      </c>
      <c r="M44">
        <f t="shared" si="1"/>
        <v>18.409874515999999</v>
      </c>
      <c r="N44" s="9"/>
      <c r="O44" s="22">
        <v>7.1258500000000002E-2</v>
      </c>
      <c r="P44" s="22">
        <v>194.602</v>
      </c>
      <c r="Q44" s="22">
        <v>-1.8069499999999999E-2</v>
      </c>
      <c r="R44" s="22">
        <v>34</v>
      </c>
      <c r="S44" s="22">
        <v>7.0800799999999997E-2</v>
      </c>
      <c r="T44">
        <f t="shared" si="2"/>
        <v>18.069499999999998</v>
      </c>
      <c r="U44">
        <f t="shared" si="3"/>
        <v>1.2876054657499998</v>
      </c>
      <c r="X44" s="9"/>
      <c r="Y44" s="22">
        <v>1.52878</v>
      </c>
      <c r="Z44" s="22">
        <v>297.589</v>
      </c>
      <c r="AA44" s="22">
        <v>-1.0522500000000001E-2</v>
      </c>
      <c r="AB44" s="22">
        <v>34</v>
      </c>
      <c r="AC44" s="22">
        <v>1.5280199999999999</v>
      </c>
      <c r="AD44">
        <f t="shared" si="4"/>
        <v>10.522500000000001</v>
      </c>
      <c r="AE44">
        <f t="shared" si="5"/>
        <v>16.086587550000001</v>
      </c>
      <c r="AF44" s="9"/>
      <c r="AG44" s="22">
        <v>7.1258500000000002E-2</v>
      </c>
      <c r="AH44" s="22">
        <v>358.16800000000001</v>
      </c>
      <c r="AI44" s="22">
        <v>-1.80664E-2</v>
      </c>
      <c r="AJ44" s="22">
        <v>34</v>
      </c>
      <c r="AK44" s="22">
        <v>7.1075399999999997E-2</v>
      </c>
      <c r="AL44">
        <f t="shared" si="6"/>
        <v>18.066400000000002</v>
      </c>
      <c r="AM44">
        <f t="shared" si="7"/>
        <v>1.2873845644000002</v>
      </c>
      <c r="AP44" s="9"/>
      <c r="AQ44" s="22">
        <v>1.52878</v>
      </c>
      <c r="AR44" s="22">
        <v>493.94600000000003</v>
      </c>
      <c r="AS44" s="22">
        <v>-1.85516E-3</v>
      </c>
      <c r="AT44" s="22">
        <v>34</v>
      </c>
      <c r="AU44" s="22">
        <v>1.5277099999999999</v>
      </c>
      <c r="AV44">
        <f t="shared" si="8"/>
        <v>1.8551599999999999</v>
      </c>
      <c r="AW44">
        <f t="shared" si="9"/>
        <v>2.8361315048</v>
      </c>
      <c r="AX44" s="9"/>
      <c r="AY44" s="22">
        <v>7.1258500000000002E-2</v>
      </c>
      <c r="AZ44" s="22">
        <v>616.303</v>
      </c>
      <c r="BA44" s="22">
        <v>-1.8014499999999999E-2</v>
      </c>
      <c r="BB44" s="22">
        <v>34</v>
      </c>
      <c r="BC44" s="22">
        <v>7.0465100000000003E-2</v>
      </c>
      <c r="BD44">
        <f t="shared" si="10"/>
        <v>18.014499999999998</v>
      </c>
      <c r="BE44">
        <f t="shared" si="11"/>
        <v>1.28368624825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79.786100000000005</v>
      </c>
      <c r="I45" s="22">
        <v>-1.23077E-2</v>
      </c>
      <c r="J45" s="22">
        <v>35</v>
      </c>
      <c r="K45" s="22">
        <v>1.5228299999999999</v>
      </c>
      <c r="L45">
        <f t="shared" si="0"/>
        <v>12.307699999999999</v>
      </c>
      <c r="M45">
        <f t="shared" si="1"/>
        <v>18.753734798</v>
      </c>
      <c r="N45" s="9"/>
      <c r="O45" s="22">
        <v>7.6293899999999998E-2</v>
      </c>
      <c r="P45" s="22">
        <v>194.703</v>
      </c>
      <c r="Q45" s="22">
        <v>-1.80786E-2</v>
      </c>
      <c r="R45" s="22">
        <v>35</v>
      </c>
      <c r="S45" s="22">
        <v>7.5531000000000001E-2</v>
      </c>
      <c r="T45">
        <f t="shared" si="2"/>
        <v>18.078600000000002</v>
      </c>
      <c r="U45">
        <f t="shared" si="3"/>
        <v>1.3792869005400001</v>
      </c>
      <c r="X45" s="9"/>
      <c r="Y45" s="22">
        <v>1.5237400000000001</v>
      </c>
      <c r="Z45" s="22">
        <v>297.69</v>
      </c>
      <c r="AA45" s="22">
        <v>-1.08734E-2</v>
      </c>
      <c r="AB45" s="22">
        <v>35</v>
      </c>
      <c r="AC45" s="22">
        <v>1.5228299999999999</v>
      </c>
      <c r="AD45">
        <f t="shared" si="4"/>
        <v>10.8734</v>
      </c>
      <c r="AE45">
        <f t="shared" si="5"/>
        <v>16.568234516</v>
      </c>
      <c r="AF45" s="9"/>
      <c r="AG45" s="22">
        <v>7.6293899999999998E-2</v>
      </c>
      <c r="AH45" s="22">
        <v>358.26900000000001</v>
      </c>
      <c r="AI45" s="22">
        <v>-1.8072499999999998E-2</v>
      </c>
      <c r="AJ45" s="22">
        <v>35</v>
      </c>
      <c r="AK45" s="22">
        <v>7.5714100000000006E-2</v>
      </c>
      <c r="AL45">
        <f t="shared" si="6"/>
        <v>18.072499999999998</v>
      </c>
      <c r="AM45">
        <f t="shared" si="7"/>
        <v>1.3788215077499999</v>
      </c>
      <c r="AP45" s="9"/>
      <c r="AQ45" s="22">
        <v>1.5237400000000001</v>
      </c>
      <c r="AR45" s="22">
        <v>494.04700000000003</v>
      </c>
      <c r="AS45" s="22">
        <v>-1.71448E-3</v>
      </c>
      <c r="AT45" s="22">
        <v>35</v>
      </c>
      <c r="AU45" s="22">
        <v>1.5231300000000001</v>
      </c>
      <c r="AV45">
        <f t="shared" si="8"/>
        <v>1.71448</v>
      </c>
      <c r="AW45">
        <f t="shared" si="9"/>
        <v>2.6124217552000002</v>
      </c>
      <c r="AX45" s="9"/>
      <c r="AY45" s="22">
        <v>7.6293899999999998E-2</v>
      </c>
      <c r="AZ45" s="22">
        <v>616.404</v>
      </c>
      <c r="BA45" s="22">
        <v>-1.8008400000000001E-2</v>
      </c>
      <c r="BB45" s="22">
        <v>35</v>
      </c>
      <c r="BC45" s="22">
        <v>7.5836200000000006E-2</v>
      </c>
      <c r="BD45">
        <f t="shared" si="10"/>
        <v>18.008400000000002</v>
      </c>
      <c r="BE45">
        <f t="shared" si="11"/>
        <v>1.3739310687600002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79.886799999999994</v>
      </c>
      <c r="I46" s="22">
        <v>-1.25183E-2</v>
      </c>
      <c r="J46" s="22">
        <v>36</v>
      </c>
      <c r="K46" s="22">
        <v>1.5182500000000001</v>
      </c>
      <c r="L46">
        <f t="shared" si="0"/>
        <v>12.5183</v>
      </c>
      <c r="M46">
        <f t="shared" si="1"/>
        <v>19.011667393</v>
      </c>
      <c r="N46" s="9"/>
      <c r="O46" s="22">
        <v>8.1329299999999993E-2</v>
      </c>
      <c r="P46" s="22">
        <v>194.804</v>
      </c>
      <c r="Q46" s="22">
        <v>-1.8069499999999999E-2</v>
      </c>
      <c r="R46" s="22">
        <v>36</v>
      </c>
      <c r="S46" s="22">
        <v>8.0657999999999994E-2</v>
      </c>
      <c r="T46">
        <f t="shared" si="2"/>
        <v>18.069499999999998</v>
      </c>
      <c r="U46">
        <f t="shared" si="3"/>
        <v>1.4695797863499998</v>
      </c>
      <c r="X46" s="9"/>
      <c r="Y46" s="22">
        <v>1.51871</v>
      </c>
      <c r="Z46" s="22">
        <v>297.79000000000002</v>
      </c>
      <c r="AA46" s="22">
        <v>-1.15753E-2</v>
      </c>
      <c r="AB46" s="22">
        <v>36</v>
      </c>
      <c r="AC46" s="22">
        <v>1.5176400000000001</v>
      </c>
      <c r="AD46">
        <f t="shared" si="4"/>
        <v>11.5753</v>
      </c>
      <c r="AE46">
        <f t="shared" si="5"/>
        <v>17.579523863000002</v>
      </c>
      <c r="AF46" s="9"/>
      <c r="AG46" s="22">
        <v>8.1329299999999993E-2</v>
      </c>
      <c r="AH46" s="22">
        <v>358.36900000000003</v>
      </c>
      <c r="AI46" s="22">
        <v>-1.80664E-2</v>
      </c>
      <c r="AJ46" s="22">
        <v>36</v>
      </c>
      <c r="AK46" s="22">
        <v>8.0780000000000005E-2</v>
      </c>
      <c r="AL46">
        <f t="shared" si="6"/>
        <v>18.066400000000002</v>
      </c>
      <c r="AM46">
        <f t="shared" si="7"/>
        <v>1.46932766552</v>
      </c>
      <c r="AP46" s="9"/>
      <c r="AQ46" s="22">
        <v>1.51871</v>
      </c>
      <c r="AR46" s="22">
        <v>494.14800000000002</v>
      </c>
      <c r="AS46" s="22">
        <v>-1.6922E-3</v>
      </c>
      <c r="AT46" s="22">
        <v>36</v>
      </c>
      <c r="AU46" s="22">
        <v>1.5179400000000001</v>
      </c>
      <c r="AV46">
        <f t="shared" si="8"/>
        <v>1.6922000000000001</v>
      </c>
      <c r="AW46">
        <f t="shared" si="9"/>
        <v>2.5699610620000004</v>
      </c>
      <c r="AX46" s="9"/>
      <c r="AY46" s="22">
        <v>8.1329299999999993E-2</v>
      </c>
      <c r="AZ46" s="22">
        <v>616.505</v>
      </c>
      <c r="BA46" s="22">
        <v>-1.8005400000000001E-2</v>
      </c>
      <c r="BB46" s="22">
        <v>36</v>
      </c>
      <c r="BC46" s="22">
        <v>8.1054699999999993E-2</v>
      </c>
      <c r="BD46">
        <f t="shared" si="10"/>
        <v>18.005400000000002</v>
      </c>
      <c r="BE46">
        <f t="shared" si="11"/>
        <v>1.4643665782199999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79.987499999999997</v>
      </c>
      <c r="I47" s="22">
        <v>-1.2731900000000001E-2</v>
      </c>
      <c r="J47" s="22">
        <v>37</v>
      </c>
      <c r="K47" s="22">
        <v>1.5124500000000001</v>
      </c>
      <c r="L47">
        <f t="shared" si="0"/>
        <v>12.731900000000001</v>
      </c>
      <c r="M47">
        <f t="shared" si="1"/>
        <v>19.271895073000003</v>
      </c>
      <c r="N47" s="9"/>
      <c r="O47" s="22">
        <v>8.6364700000000003E-2</v>
      </c>
      <c r="P47" s="22">
        <v>194.904</v>
      </c>
      <c r="Q47" s="22">
        <v>-1.80786E-2</v>
      </c>
      <c r="R47" s="22">
        <v>37</v>
      </c>
      <c r="S47" s="22">
        <v>8.5998500000000005E-2</v>
      </c>
      <c r="T47">
        <f t="shared" si="2"/>
        <v>18.078600000000002</v>
      </c>
      <c r="U47">
        <f t="shared" si="3"/>
        <v>1.5613528654200002</v>
      </c>
      <c r="X47" s="9"/>
      <c r="Y47" s="22">
        <v>1.5136700000000001</v>
      </c>
      <c r="Z47" s="22">
        <v>297.89100000000002</v>
      </c>
      <c r="AA47" s="22">
        <v>-1.2280299999999999E-2</v>
      </c>
      <c r="AB47" s="22">
        <v>37</v>
      </c>
      <c r="AC47" s="22">
        <v>1.5124500000000001</v>
      </c>
      <c r="AD47">
        <f t="shared" si="4"/>
        <v>12.280299999999999</v>
      </c>
      <c r="AE47">
        <f t="shared" si="5"/>
        <v>18.588321700999998</v>
      </c>
      <c r="AF47" s="9"/>
      <c r="AG47" s="22">
        <v>8.6364700000000003E-2</v>
      </c>
      <c r="AH47" s="22">
        <v>358.47</v>
      </c>
      <c r="AI47" s="22">
        <v>-1.80664E-2</v>
      </c>
      <c r="AJ47" s="22">
        <v>37</v>
      </c>
      <c r="AK47" s="22">
        <v>8.5876499999999995E-2</v>
      </c>
      <c r="AL47">
        <f t="shared" si="6"/>
        <v>18.066400000000002</v>
      </c>
      <c r="AM47">
        <f t="shared" si="7"/>
        <v>1.5602992160800002</v>
      </c>
      <c r="AP47" s="9"/>
      <c r="AQ47" s="22">
        <v>1.5136700000000001</v>
      </c>
      <c r="AR47" s="22">
        <v>494.24799999999999</v>
      </c>
      <c r="AS47" s="22">
        <v>-1.6970799999999999E-3</v>
      </c>
      <c r="AT47" s="22">
        <v>37</v>
      </c>
      <c r="AU47" s="22">
        <v>1.5127600000000001</v>
      </c>
      <c r="AV47">
        <f t="shared" si="8"/>
        <v>1.6970799999999999</v>
      </c>
      <c r="AW47">
        <f t="shared" si="9"/>
        <v>2.5688190836000002</v>
      </c>
      <c r="AX47" s="9"/>
      <c r="AY47" s="22">
        <v>8.6364700000000003E-2</v>
      </c>
      <c r="AZ47" s="22">
        <v>616.60599999999999</v>
      </c>
      <c r="BA47" s="22">
        <v>-1.8005400000000001E-2</v>
      </c>
      <c r="BB47" s="22">
        <v>37</v>
      </c>
      <c r="BC47" s="22">
        <v>8.5876499999999995E-2</v>
      </c>
      <c r="BD47">
        <f t="shared" si="10"/>
        <v>18.005400000000002</v>
      </c>
      <c r="BE47">
        <f t="shared" si="11"/>
        <v>1.5550309693800002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80.088200000000001</v>
      </c>
      <c r="I48" s="22">
        <v>-1.36566E-2</v>
      </c>
      <c r="J48" s="22">
        <v>38</v>
      </c>
      <c r="K48" s="22">
        <v>1.5069600000000001</v>
      </c>
      <c r="L48">
        <f t="shared" si="0"/>
        <v>13.656599999999999</v>
      </c>
      <c r="M48">
        <f t="shared" si="1"/>
        <v>20.602893024</v>
      </c>
      <c r="N48" s="9"/>
      <c r="O48" s="22">
        <v>9.1400099999999998E-2</v>
      </c>
      <c r="P48" s="22">
        <v>195.005</v>
      </c>
      <c r="Q48" s="22">
        <v>-1.80664E-2</v>
      </c>
      <c r="R48" s="22">
        <v>38</v>
      </c>
      <c r="S48" s="22">
        <v>9.0972899999999995E-2</v>
      </c>
      <c r="T48">
        <f t="shared" si="2"/>
        <v>18.066400000000002</v>
      </c>
      <c r="U48">
        <f t="shared" si="3"/>
        <v>1.6512707666400002</v>
      </c>
      <c r="X48" s="9"/>
      <c r="Y48" s="22">
        <v>1.50864</v>
      </c>
      <c r="Z48" s="22">
        <v>297.99200000000002</v>
      </c>
      <c r="AA48" s="22">
        <v>-1.2936400000000001E-2</v>
      </c>
      <c r="AB48" s="22">
        <v>38</v>
      </c>
      <c r="AC48" s="22">
        <v>1.50787</v>
      </c>
      <c r="AD48">
        <f t="shared" si="4"/>
        <v>12.936400000000001</v>
      </c>
      <c r="AE48">
        <f t="shared" si="5"/>
        <v>19.516370496</v>
      </c>
      <c r="AF48" s="9"/>
      <c r="AG48" s="22">
        <v>9.1400099999999998E-2</v>
      </c>
      <c r="AH48" s="22">
        <v>358.57100000000003</v>
      </c>
      <c r="AI48" s="22">
        <v>-1.8057299999999998E-2</v>
      </c>
      <c r="AJ48" s="22">
        <v>38</v>
      </c>
      <c r="AK48" s="22">
        <v>9.0789800000000004E-2</v>
      </c>
      <c r="AL48">
        <f t="shared" si="6"/>
        <v>18.057299999999998</v>
      </c>
      <c r="AM48">
        <f t="shared" si="7"/>
        <v>1.6504390257299997</v>
      </c>
      <c r="AP48" s="9"/>
      <c r="AQ48" s="22">
        <v>1.50864</v>
      </c>
      <c r="AR48" s="22">
        <v>494.34899999999999</v>
      </c>
      <c r="AS48" s="22">
        <v>-1.6570999999999999E-3</v>
      </c>
      <c r="AT48" s="22">
        <v>38</v>
      </c>
      <c r="AU48" s="22">
        <v>1.5075700000000001</v>
      </c>
      <c r="AV48">
        <f t="shared" si="8"/>
        <v>1.6570999999999998</v>
      </c>
      <c r="AW48">
        <f t="shared" si="9"/>
        <v>2.4999673439999999</v>
      </c>
      <c r="AX48" s="9"/>
      <c r="AY48" s="22">
        <v>9.1400099999999998E-2</v>
      </c>
      <c r="AZ48" s="22">
        <v>616.70600000000002</v>
      </c>
      <c r="BA48" s="22">
        <v>-1.79962E-2</v>
      </c>
      <c r="BB48" s="22">
        <v>38</v>
      </c>
      <c r="BC48" s="22">
        <v>9.0698200000000007E-2</v>
      </c>
      <c r="BD48">
        <f t="shared" si="10"/>
        <v>17.996200000000002</v>
      </c>
      <c r="BE48">
        <f t="shared" si="11"/>
        <v>1.6448544796200002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80.188900000000004</v>
      </c>
      <c r="I49" s="22">
        <v>-1.40045E-2</v>
      </c>
      <c r="J49" s="22">
        <v>39</v>
      </c>
      <c r="K49" s="22">
        <v>1.5026900000000001</v>
      </c>
      <c r="L49">
        <f t="shared" si="0"/>
        <v>14.0045</v>
      </c>
      <c r="M49">
        <f t="shared" si="1"/>
        <v>21.057166200000001</v>
      </c>
      <c r="N49" s="9"/>
      <c r="O49" s="22">
        <v>9.6435499999999993E-2</v>
      </c>
      <c r="P49" s="22">
        <v>195.10599999999999</v>
      </c>
      <c r="Q49" s="22">
        <v>-1.80664E-2</v>
      </c>
      <c r="R49" s="22">
        <v>39</v>
      </c>
      <c r="S49" s="22">
        <v>9.5977800000000002E-2</v>
      </c>
      <c r="T49">
        <f t="shared" si="2"/>
        <v>18.066400000000002</v>
      </c>
      <c r="U49">
        <f t="shared" si="3"/>
        <v>1.7422423172000001</v>
      </c>
      <c r="X49" s="9"/>
      <c r="Y49" s="22">
        <v>1.5036</v>
      </c>
      <c r="Z49" s="22">
        <v>298.09300000000002</v>
      </c>
      <c r="AA49" s="22">
        <v>-1.37146E-2</v>
      </c>
      <c r="AB49" s="22">
        <v>39</v>
      </c>
      <c r="AC49" s="22">
        <v>1.50299</v>
      </c>
      <c r="AD49">
        <f t="shared" si="4"/>
        <v>13.714600000000001</v>
      </c>
      <c r="AE49">
        <f t="shared" si="5"/>
        <v>20.621272560000001</v>
      </c>
      <c r="AF49" s="9"/>
      <c r="AG49" s="22">
        <v>9.6435499999999993E-2</v>
      </c>
      <c r="AH49" s="22">
        <v>358.67200000000003</v>
      </c>
      <c r="AI49" s="22">
        <v>-1.8057299999999998E-2</v>
      </c>
      <c r="AJ49" s="22">
        <v>39</v>
      </c>
      <c r="AK49" s="22">
        <v>9.5519999999999994E-2</v>
      </c>
      <c r="AL49">
        <f t="shared" si="6"/>
        <v>18.057299999999998</v>
      </c>
      <c r="AM49">
        <f t="shared" si="7"/>
        <v>1.7413647541499997</v>
      </c>
      <c r="AP49" s="9"/>
      <c r="AQ49" s="22">
        <v>1.5036</v>
      </c>
      <c r="AR49" s="22">
        <v>494.45</v>
      </c>
      <c r="AS49" s="22">
        <v>-1.5682999999999999E-3</v>
      </c>
      <c r="AT49" s="22">
        <v>39</v>
      </c>
      <c r="AU49" s="22">
        <v>1.5026900000000001</v>
      </c>
      <c r="AV49">
        <f t="shared" si="8"/>
        <v>1.5682999999999998</v>
      </c>
      <c r="AW49">
        <f t="shared" si="9"/>
        <v>2.3580958799999996</v>
      </c>
      <c r="AX49" s="9"/>
      <c r="AY49" s="22">
        <v>9.6435499999999993E-2</v>
      </c>
      <c r="AZ49" s="22">
        <v>616.80700000000002</v>
      </c>
      <c r="BA49" s="22">
        <v>-1.7993200000000001E-2</v>
      </c>
      <c r="BB49" s="22">
        <v>39</v>
      </c>
      <c r="BC49" s="22">
        <v>9.5855700000000002E-2</v>
      </c>
      <c r="BD49">
        <f t="shared" si="10"/>
        <v>17.993200000000002</v>
      </c>
      <c r="BE49">
        <f t="shared" si="11"/>
        <v>1.7351832386000001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80.289599999999993</v>
      </c>
      <c r="I50" s="22">
        <v>-1.44745E-2</v>
      </c>
      <c r="J50" s="22">
        <v>40</v>
      </c>
      <c r="K50" s="22">
        <v>1.4975000000000001</v>
      </c>
      <c r="L50">
        <f t="shared" si="0"/>
        <v>14.474499999999999</v>
      </c>
      <c r="M50">
        <f t="shared" si="1"/>
        <v>21.691051464999997</v>
      </c>
      <c r="N50" s="9"/>
      <c r="O50" s="22">
        <v>0.10147100000000001</v>
      </c>
      <c r="P50" s="22">
        <v>195.20699999999999</v>
      </c>
      <c r="Q50" s="22">
        <v>-1.80664E-2</v>
      </c>
      <c r="R50" s="22">
        <v>40</v>
      </c>
      <c r="S50" s="22">
        <v>0.10104399999999999</v>
      </c>
      <c r="T50">
        <f t="shared" si="2"/>
        <v>18.066400000000002</v>
      </c>
      <c r="U50">
        <f t="shared" si="3"/>
        <v>1.8332156744000003</v>
      </c>
      <c r="X50" s="9"/>
      <c r="Y50" s="22">
        <v>1.49857</v>
      </c>
      <c r="Z50" s="22">
        <v>298.19299999999998</v>
      </c>
      <c r="AA50" s="22">
        <v>-1.39679E-2</v>
      </c>
      <c r="AB50" s="22">
        <v>40</v>
      </c>
      <c r="AC50" s="22">
        <v>1.49719</v>
      </c>
      <c r="AD50">
        <f t="shared" si="4"/>
        <v>13.9679</v>
      </c>
      <c r="AE50">
        <f t="shared" si="5"/>
        <v>20.931875902999998</v>
      </c>
      <c r="AF50" s="9"/>
      <c r="AG50" s="22">
        <v>0.10147100000000001</v>
      </c>
      <c r="AH50" s="22">
        <v>358.77199999999999</v>
      </c>
      <c r="AI50" s="22">
        <v>-1.80511E-2</v>
      </c>
      <c r="AJ50" s="22">
        <v>40</v>
      </c>
      <c r="AK50" s="22">
        <v>0.100647</v>
      </c>
      <c r="AL50">
        <f t="shared" si="6"/>
        <v>18.051100000000002</v>
      </c>
      <c r="AM50">
        <f t="shared" si="7"/>
        <v>1.8316631681000002</v>
      </c>
      <c r="AP50" s="9"/>
      <c r="AQ50" s="22">
        <v>1.49857</v>
      </c>
      <c r="AR50" s="22">
        <v>494.55099999999999</v>
      </c>
      <c r="AS50" s="22">
        <v>-1.51672E-3</v>
      </c>
      <c r="AT50" s="22">
        <v>40</v>
      </c>
      <c r="AU50" s="22">
        <v>1.4981100000000001</v>
      </c>
      <c r="AV50">
        <f t="shared" si="8"/>
        <v>1.5167200000000001</v>
      </c>
      <c r="AW50">
        <f t="shared" si="9"/>
        <v>2.2729110904000001</v>
      </c>
      <c r="AX50" s="9"/>
      <c r="AY50" s="22">
        <v>0.10147100000000001</v>
      </c>
      <c r="AZ50" s="22">
        <v>616.90800000000002</v>
      </c>
      <c r="BA50" s="22">
        <v>-1.7999299999999999E-2</v>
      </c>
      <c r="BB50" s="22">
        <v>40</v>
      </c>
      <c r="BC50" s="22">
        <v>0.10089099999999999</v>
      </c>
      <c r="BD50">
        <f t="shared" si="10"/>
        <v>17.999299999999998</v>
      </c>
      <c r="BE50">
        <f t="shared" si="11"/>
        <v>1.8264069702999999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80.390299999999996</v>
      </c>
      <c r="I51" s="22">
        <v>-1.48407E-2</v>
      </c>
      <c r="J51" s="22">
        <v>41</v>
      </c>
      <c r="K51" s="22">
        <v>1.49261</v>
      </c>
      <c r="L51">
        <f t="shared" si="0"/>
        <v>14.8407</v>
      </c>
      <c r="M51">
        <f t="shared" si="1"/>
        <v>22.165030671</v>
      </c>
      <c r="N51" s="9"/>
      <c r="O51" s="22">
        <v>0.106506</v>
      </c>
      <c r="P51" s="22">
        <v>195.30699999999999</v>
      </c>
      <c r="Q51" s="22">
        <v>-1.8057299999999998E-2</v>
      </c>
      <c r="R51" s="22">
        <v>41</v>
      </c>
      <c r="S51" s="22">
        <v>0.10611</v>
      </c>
      <c r="T51">
        <f t="shared" si="2"/>
        <v>18.057299999999998</v>
      </c>
      <c r="U51">
        <f t="shared" si="3"/>
        <v>1.9232107937999998</v>
      </c>
      <c r="X51" s="9"/>
      <c r="Y51" s="22">
        <v>1.49353</v>
      </c>
      <c r="Z51" s="22">
        <v>298.29399999999998</v>
      </c>
      <c r="AA51" s="22">
        <v>-1.4297499999999999E-2</v>
      </c>
      <c r="AB51" s="22">
        <v>41</v>
      </c>
      <c r="AC51" s="22">
        <v>1.49261</v>
      </c>
      <c r="AD51">
        <f t="shared" si="4"/>
        <v>14.297499999999999</v>
      </c>
      <c r="AE51">
        <f t="shared" si="5"/>
        <v>21.353745175</v>
      </c>
      <c r="AF51" s="9"/>
      <c r="AG51" s="22">
        <v>0.106506</v>
      </c>
      <c r="AH51" s="22">
        <v>358.87299999999999</v>
      </c>
      <c r="AI51" s="22">
        <v>-1.80389E-2</v>
      </c>
      <c r="AJ51" s="22">
        <v>41</v>
      </c>
      <c r="AK51" s="22">
        <v>0.105988</v>
      </c>
      <c r="AL51">
        <f t="shared" si="6"/>
        <v>18.038900000000002</v>
      </c>
      <c r="AM51">
        <f t="shared" si="7"/>
        <v>1.9212510834000003</v>
      </c>
      <c r="AP51" s="9"/>
      <c r="AQ51" s="22">
        <v>1.49353</v>
      </c>
      <c r="AR51" s="22">
        <v>494.65100000000001</v>
      </c>
      <c r="AS51" s="22">
        <v>-1.40289E-3</v>
      </c>
      <c r="AT51" s="22">
        <v>41</v>
      </c>
      <c r="AU51" s="22">
        <v>1.49261</v>
      </c>
      <c r="AV51">
        <f t="shared" si="8"/>
        <v>1.40289</v>
      </c>
      <c r="AW51">
        <f t="shared" si="9"/>
        <v>2.0952583016999999</v>
      </c>
      <c r="AX51" s="9"/>
      <c r="AY51" s="22">
        <v>0.106506</v>
      </c>
      <c r="AZ51" s="22">
        <v>617.00800000000004</v>
      </c>
      <c r="BA51" s="22">
        <v>-1.7981E-2</v>
      </c>
      <c r="BB51" s="22">
        <v>41</v>
      </c>
      <c r="BC51" s="22">
        <v>0.106018</v>
      </c>
      <c r="BD51">
        <f t="shared" si="10"/>
        <v>17.981000000000002</v>
      </c>
      <c r="BE51">
        <f t="shared" si="11"/>
        <v>1.9150843860000002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80.491</v>
      </c>
      <c r="I52" s="22">
        <v>-1.5020800000000001E-2</v>
      </c>
      <c r="J52" s="22">
        <v>42</v>
      </c>
      <c r="K52" s="22">
        <v>1.48834</v>
      </c>
      <c r="L52">
        <f t="shared" si="0"/>
        <v>15.020800000000001</v>
      </c>
      <c r="M52">
        <f t="shared" si="1"/>
        <v>22.358310592000002</v>
      </c>
      <c r="N52" s="9"/>
      <c r="O52" s="22">
        <v>0.111542</v>
      </c>
      <c r="P52" s="22">
        <v>195.40799999999999</v>
      </c>
      <c r="Q52" s="22">
        <v>-1.8057299999999998E-2</v>
      </c>
      <c r="R52" s="22">
        <v>42</v>
      </c>
      <c r="S52" s="22">
        <v>0.111572</v>
      </c>
      <c r="T52">
        <f t="shared" si="2"/>
        <v>18.057299999999998</v>
      </c>
      <c r="U52">
        <f t="shared" si="3"/>
        <v>2.0141473565999997</v>
      </c>
      <c r="X52" s="9"/>
      <c r="Y52" s="22">
        <v>1.4884900000000001</v>
      </c>
      <c r="Z52" s="22">
        <v>298.39499999999998</v>
      </c>
      <c r="AA52" s="22">
        <v>-1.4544700000000001E-2</v>
      </c>
      <c r="AB52" s="22">
        <v>42</v>
      </c>
      <c r="AC52" s="22">
        <v>1.48804</v>
      </c>
      <c r="AD52">
        <f t="shared" si="4"/>
        <v>14.544700000000001</v>
      </c>
      <c r="AE52">
        <f t="shared" si="5"/>
        <v>21.649640503000001</v>
      </c>
      <c r="AF52" s="9"/>
      <c r="AG52" s="22">
        <v>0.111542</v>
      </c>
      <c r="AH52" s="22">
        <v>358.97399999999999</v>
      </c>
      <c r="AI52" s="22">
        <v>-1.8044999999999999E-2</v>
      </c>
      <c r="AJ52" s="22">
        <v>42</v>
      </c>
      <c r="AK52" s="22">
        <v>0.111267</v>
      </c>
      <c r="AL52">
        <f t="shared" si="6"/>
        <v>18.044999999999998</v>
      </c>
      <c r="AM52">
        <f t="shared" si="7"/>
        <v>2.0127753899999998</v>
      </c>
      <c r="AP52" s="9"/>
      <c r="AQ52" s="22">
        <v>1.4884900000000001</v>
      </c>
      <c r="AR52" s="22">
        <v>494.75200000000001</v>
      </c>
      <c r="AS52" s="22">
        <v>-1.3980100000000001E-3</v>
      </c>
      <c r="AT52" s="22">
        <v>42</v>
      </c>
      <c r="AU52" s="22">
        <v>1.48773</v>
      </c>
      <c r="AV52">
        <f t="shared" si="8"/>
        <v>1.3980100000000002</v>
      </c>
      <c r="AW52">
        <f t="shared" si="9"/>
        <v>2.0809239049000006</v>
      </c>
      <c r="AX52" s="9"/>
      <c r="AY52" s="22">
        <v>0.111542</v>
      </c>
      <c r="AZ52" s="22">
        <v>617.10900000000004</v>
      </c>
      <c r="BA52" s="22">
        <v>-1.7977900000000002E-2</v>
      </c>
      <c r="BB52" s="22">
        <v>42</v>
      </c>
      <c r="BC52" s="22">
        <v>0.11099199999999999</v>
      </c>
      <c r="BD52">
        <f t="shared" si="10"/>
        <v>17.977900000000002</v>
      </c>
      <c r="BE52">
        <f t="shared" si="11"/>
        <v>2.0052909218000003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80.591700000000003</v>
      </c>
      <c r="I53" s="22">
        <v>-1.51611E-2</v>
      </c>
      <c r="J53" s="22">
        <v>43</v>
      </c>
      <c r="K53" s="22">
        <v>1.48315</v>
      </c>
      <c r="L53">
        <f t="shared" si="0"/>
        <v>15.161100000000001</v>
      </c>
      <c r="M53">
        <f t="shared" si="1"/>
        <v>22.490885406</v>
      </c>
      <c r="N53" s="9"/>
      <c r="O53" s="22">
        <v>0.116577</v>
      </c>
      <c r="P53" s="22">
        <v>195.50899999999999</v>
      </c>
      <c r="Q53" s="22">
        <v>-1.8054199999999999E-2</v>
      </c>
      <c r="R53" s="22">
        <v>43</v>
      </c>
      <c r="S53" s="22">
        <v>0.11605799999999999</v>
      </c>
      <c r="T53">
        <f t="shared" si="2"/>
        <v>18.054199999999998</v>
      </c>
      <c r="U53">
        <f t="shared" si="3"/>
        <v>2.1047044733999996</v>
      </c>
      <c r="X53" s="9"/>
      <c r="Y53" s="22">
        <v>1.48346</v>
      </c>
      <c r="Z53" s="22">
        <v>298.495</v>
      </c>
      <c r="AA53" s="22">
        <v>-1.47247E-2</v>
      </c>
      <c r="AB53" s="22">
        <v>43</v>
      </c>
      <c r="AC53" s="22">
        <v>1.48285</v>
      </c>
      <c r="AD53">
        <f t="shared" si="4"/>
        <v>14.7247</v>
      </c>
      <c r="AE53">
        <f t="shared" si="5"/>
        <v>21.843503462000001</v>
      </c>
      <c r="AF53" s="9"/>
      <c r="AG53" s="22">
        <v>0.116577</v>
      </c>
      <c r="AH53" s="22">
        <v>359.07400000000001</v>
      </c>
      <c r="AI53" s="22">
        <v>-1.8041999999999999E-2</v>
      </c>
      <c r="AJ53" s="22">
        <v>43</v>
      </c>
      <c r="AK53" s="22">
        <v>0.11615</v>
      </c>
      <c r="AL53">
        <f t="shared" si="6"/>
        <v>18.041999999999998</v>
      </c>
      <c r="AM53">
        <f t="shared" si="7"/>
        <v>2.1032822339999999</v>
      </c>
      <c r="AP53" s="9"/>
      <c r="AQ53" s="22">
        <v>1.48346</v>
      </c>
      <c r="AR53" s="22">
        <v>494.85300000000001</v>
      </c>
      <c r="AS53" s="22">
        <v>-1.3043200000000001E-3</v>
      </c>
      <c r="AT53" s="22">
        <v>43</v>
      </c>
      <c r="AU53" s="22">
        <v>1.48224</v>
      </c>
      <c r="AV53">
        <f t="shared" si="8"/>
        <v>1.3043200000000001</v>
      </c>
      <c r="AW53">
        <f t="shared" si="9"/>
        <v>1.9349065472000002</v>
      </c>
      <c r="AX53" s="9"/>
      <c r="AY53" s="22">
        <v>0.116577</v>
      </c>
      <c r="AZ53" s="22">
        <v>617.21</v>
      </c>
      <c r="BA53" s="22">
        <v>-1.79962E-2</v>
      </c>
      <c r="BB53" s="22">
        <v>43</v>
      </c>
      <c r="BC53" s="22">
        <v>0.115906</v>
      </c>
      <c r="BD53">
        <f t="shared" si="10"/>
        <v>17.996200000000002</v>
      </c>
      <c r="BE53">
        <f t="shared" si="11"/>
        <v>2.0979430074000001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80.692400000000006</v>
      </c>
      <c r="I54" s="22">
        <v>-1.53198E-2</v>
      </c>
      <c r="J54" s="22">
        <v>44</v>
      </c>
      <c r="K54" s="22">
        <v>1.47766</v>
      </c>
      <c r="L54">
        <f t="shared" si="0"/>
        <v>15.319799999999999</v>
      </c>
      <c r="M54">
        <f t="shared" si="1"/>
        <v>22.649098716000001</v>
      </c>
      <c r="N54" s="9"/>
      <c r="O54" s="22">
        <v>0.121613</v>
      </c>
      <c r="P54" s="22">
        <v>195.60900000000001</v>
      </c>
      <c r="Q54" s="22">
        <v>-1.8057299999999998E-2</v>
      </c>
      <c r="R54" s="22">
        <v>44</v>
      </c>
      <c r="S54" s="22">
        <v>0.121002</v>
      </c>
      <c r="T54">
        <f t="shared" si="2"/>
        <v>18.057299999999998</v>
      </c>
      <c r="U54">
        <f t="shared" si="3"/>
        <v>2.1960024248999996</v>
      </c>
      <c r="X54" s="9"/>
      <c r="Y54" s="22">
        <v>1.4784200000000001</v>
      </c>
      <c r="Z54" s="22">
        <v>298.596</v>
      </c>
      <c r="AA54" s="22">
        <v>-1.48804E-2</v>
      </c>
      <c r="AB54" s="22">
        <v>44</v>
      </c>
      <c r="AC54" s="22">
        <v>1.47766</v>
      </c>
      <c r="AD54">
        <f t="shared" si="4"/>
        <v>14.8804</v>
      </c>
      <c r="AE54">
        <f t="shared" si="5"/>
        <v>21.999480968</v>
      </c>
      <c r="AF54" s="9"/>
      <c r="AG54" s="22">
        <v>0.121613</v>
      </c>
      <c r="AH54" s="22">
        <v>359.17500000000001</v>
      </c>
      <c r="AI54" s="22">
        <v>-1.8044999999999999E-2</v>
      </c>
      <c r="AJ54" s="22">
        <v>44</v>
      </c>
      <c r="AK54" s="22">
        <v>0.121277</v>
      </c>
      <c r="AL54">
        <f t="shared" si="6"/>
        <v>18.044999999999998</v>
      </c>
      <c r="AM54">
        <f t="shared" si="7"/>
        <v>2.1945065849999996</v>
      </c>
      <c r="AP54" s="9"/>
      <c r="AQ54" s="22">
        <v>1.4784200000000001</v>
      </c>
      <c r="AR54" s="22">
        <v>494.95299999999997</v>
      </c>
      <c r="AS54" s="22">
        <v>-1.2933300000000001E-3</v>
      </c>
      <c r="AT54" s="22">
        <v>44</v>
      </c>
      <c r="AU54" s="22">
        <v>1.47797</v>
      </c>
      <c r="AV54">
        <f t="shared" si="8"/>
        <v>1.2933300000000001</v>
      </c>
      <c r="AW54">
        <f t="shared" si="9"/>
        <v>1.9120849386000003</v>
      </c>
      <c r="AX54" s="9"/>
      <c r="AY54" s="22">
        <v>0.121613</v>
      </c>
      <c r="AZ54" s="22">
        <v>617.30999999999995</v>
      </c>
      <c r="BA54" s="22">
        <v>-1.8002299999999999E-2</v>
      </c>
      <c r="BB54" s="22">
        <v>44</v>
      </c>
      <c r="BC54" s="22">
        <v>0.121155</v>
      </c>
      <c r="BD54">
        <f t="shared" si="10"/>
        <v>18.002299999999998</v>
      </c>
      <c r="BE54">
        <f t="shared" si="11"/>
        <v>2.1893137099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80.793099999999995</v>
      </c>
      <c r="I55" s="22">
        <v>-1.5374799999999999E-2</v>
      </c>
      <c r="J55" s="22">
        <v>45</v>
      </c>
      <c r="K55" s="22">
        <v>1.4730799999999999</v>
      </c>
      <c r="L55">
        <f t="shared" si="0"/>
        <v>15.374799999999999</v>
      </c>
      <c r="M55">
        <f t="shared" si="1"/>
        <v>22.653076571999996</v>
      </c>
      <c r="N55" s="9"/>
      <c r="O55" s="22">
        <v>0.12664800000000001</v>
      </c>
      <c r="P55" s="22">
        <v>195.71</v>
      </c>
      <c r="Q55" s="22">
        <v>-1.8057299999999998E-2</v>
      </c>
      <c r="R55" s="22">
        <v>45</v>
      </c>
      <c r="S55" s="22">
        <v>0.12612899999999999</v>
      </c>
      <c r="T55">
        <f t="shared" si="2"/>
        <v>18.057299999999998</v>
      </c>
      <c r="U55">
        <f t="shared" si="3"/>
        <v>2.2869209304</v>
      </c>
      <c r="X55" s="9"/>
      <c r="Y55" s="22">
        <v>1.47339</v>
      </c>
      <c r="Z55" s="22">
        <v>298.697</v>
      </c>
      <c r="AA55" s="22">
        <v>-1.5026899999999999E-2</v>
      </c>
      <c r="AB55" s="22">
        <v>45</v>
      </c>
      <c r="AC55" s="22">
        <v>1.4724699999999999</v>
      </c>
      <c r="AD55">
        <f t="shared" si="4"/>
        <v>15.026899999999999</v>
      </c>
      <c r="AE55">
        <f t="shared" si="5"/>
        <v>22.140484190999999</v>
      </c>
      <c r="AF55" s="9"/>
      <c r="AG55" s="22">
        <v>0.12664800000000001</v>
      </c>
      <c r="AH55" s="22">
        <v>359.27600000000001</v>
      </c>
      <c r="AI55" s="22">
        <v>-1.80389E-2</v>
      </c>
      <c r="AJ55" s="22">
        <v>45</v>
      </c>
      <c r="AK55" s="22">
        <v>0.12606800000000001</v>
      </c>
      <c r="AL55">
        <f t="shared" si="6"/>
        <v>18.038900000000002</v>
      </c>
      <c r="AM55">
        <f t="shared" si="7"/>
        <v>2.2845906072000006</v>
      </c>
      <c r="AP55" s="9"/>
      <c r="AQ55" s="22">
        <v>1.47339</v>
      </c>
      <c r="AR55" s="22">
        <v>495.05399999999997</v>
      </c>
      <c r="AS55" s="22">
        <v>-1.2036099999999999E-3</v>
      </c>
      <c r="AT55" s="22">
        <v>45</v>
      </c>
      <c r="AU55" s="22">
        <v>1.4724699999999999</v>
      </c>
      <c r="AV55">
        <f t="shared" si="8"/>
        <v>1.2036099999999998</v>
      </c>
      <c r="AW55">
        <f t="shared" si="9"/>
        <v>1.7733869378999998</v>
      </c>
      <c r="AX55" s="9"/>
      <c r="AY55" s="22">
        <v>0.12664800000000001</v>
      </c>
      <c r="AZ55" s="22">
        <v>617.41099999999994</v>
      </c>
      <c r="BA55" s="22">
        <v>-1.79962E-2</v>
      </c>
      <c r="BB55" s="22">
        <v>45</v>
      </c>
      <c r="BC55" s="22">
        <v>0.12597700000000001</v>
      </c>
      <c r="BD55">
        <f t="shared" si="10"/>
        <v>17.996200000000002</v>
      </c>
      <c r="BE55">
        <f t="shared" si="11"/>
        <v>2.2791827376000002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80.893799999999999</v>
      </c>
      <c r="I56" s="22">
        <v>-1.5469399999999999E-2</v>
      </c>
      <c r="J56" s="22">
        <v>46</v>
      </c>
      <c r="K56" s="22">
        <v>1.46729</v>
      </c>
      <c r="L56">
        <f t="shared" si="0"/>
        <v>15.4694</v>
      </c>
      <c r="M56">
        <f t="shared" si="1"/>
        <v>22.714493490000002</v>
      </c>
      <c r="N56" s="9"/>
      <c r="O56" s="22">
        <v>0.13168299999999999</v>
      </c>
      <c r="P56" s="22">
        <v>195.81100000000001</v>
      </c>
      <c r="Q56" s="22">
        <v>-1.80511E-2</v>
      </c>
      <c r="R56" s="22">
        <v>46</v>
      </c>
      <c r="S56" s="22">
        <v>0.130859</v>
      </c>
      <c r="T56">
        <f t="shared" si="2"/>
        <v>18.051100000000002</v>
      </c>
      <c r="U56">
        <f t="shared" si="3"/>
        <v>2.3770230013</v>
      </c>
      <c r="X56" s="9"/>
      <c r="Y56" s="22">
        <v>1.46835</v>
      </c>
      <c r="Z56" s="22">
        <v>298.798</v>
      </c>
      <c r="AA56" s="22">
        <v>-1.51459E-2</v>
      </c>
      <c r="AB56" s="22">
        <v>46</v>
      </c>
      <c r="AC56" s="22">
        <v>1.4679</v>
      </c>
      <c r="AD56">
        <f t="shared" si="4"/>
        <v>15.145900000000001</v>
      </c>
      <c r="AE56">
        <f t="shared" si="5"/>
        <v>22.239482265000003</v>
      </c>
      <c r="AF56" s="9"/>
      <c r="AG56" s="22">
        <v>0.13168299999999999</v>
      </c>
      <c r="AH56" s="22">
        <v>359.37599999999998</v>
      </c>
      <c r="AI56" s="22">
        <v>-1.8032800000000002E-2</v>
      </c>
      <c r="AJ56" s="22">
        <v>46</v>
      </c>
      <c r="AK56" s="22">
        <v>0.13122600000000001</v>
      </c>
      <c r="AL56">
        <f t="shared" si="6"/>
        <v>18.032800000000002</v>
      </c>
      <c r="AM56">
        <f t="shared" si="7"/>
        <v>2.3746132024</v>
      </c>
      <c r="AP56" s="9"/>
      <c r="AQ56" s="22">
        <v>1.46835</v>
      </c>
      <c r="AR56" s="22">
        <v>495.15499999999997</v>
      </c>
      <c r="AS56" s="22">
        <v>-1.23627E-3</v>
      </c>
      <c r="AT56" s="22">
        <v>46</v>
      </c>
      <c r="AU56" s="22">
        <v>1.46698</v>
      </c>
      <c r="AV56">
        <f t="shared" si="8"/>
        <v>1.23627</v>
      </c>
      <c r="AW56">
        <f t="shared" si="9"/>
        <v>1.8152770545000001</v>
      </c>
      <c r="AX56" s="9"/>
      <c r="AY56" s="22">
        <v>0.13168299999999999</v>
      </c>
      <c r="AZ56" s="22">
        <v>617.51199999999994</v>
      </c>
      <c r="BA56" s="22">
        <v>-1.79962E-2</v>
      </c>
      <c r="BB56" s="22">
        <v>46</v>
      </c>
      <c r="BC56" s="22">
        <v>0.13125600000000001</v>
      </c>
      <c r="BD56">
        <f t="shared" si="10"/>
        <v>17.996200000000002</v>
      </c>
      <c r="BE56">
        <f t="shared" si="11"/>
        <v>2.3697936046000003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80.994600000000005</v>
      </c>
      <c r="I57" s="22">
        <v>-1.55243E-2</v>
      </c>
      <c r="J57" s="22">
        <v>47</v>
      </c>
      <c r="K57" s="22">
        <v>1.4623999999999999</v>
      </c>
      <c r="L57">
        <f t="shared" si="0"/>
        <v>15.5243</v>
      </c>
      <c r="M57">
        <f t="shared" si="1"/>
        <v>22.717018675999999</v>
      </c>
      <c r="N57" s="9"/>
      <c r="O57" s="22">
        <v>0.13671900000000001</v>
      </c>
      <c r="P57" s="22">
        <v>195.91200000000001</v>
      </c>
      <c r="Q57" s="22">
        <v>-1.8044999999999999E-2</v>
      </c>
      <c r="R57" s="22">
        <v>47</v>
      </c>
      <c r="S57" s="22">
        <v>0.13619999999999999</v>
      </c>
      <c r="T57">
        <f t="shared" si="2"/>
        <v>18.044999999999998</v>
      </c>
      <c r="U57">
        <f t="shared" si="3"/>
        <v>2.467094355</v>
      </c>
      <c r="X57" s="9"/>
      <c r="Y57" s="22">
        <v>1.46332</v>
      </c>
      <c r="Z57" s="22">
        <v>298.89800000000002</v>
      </c>
      <c r="AA57" s="22">
        <v>-1.5225199999999999E-2</v>
      </c>
      <c r="AB57" s="22">
        <v>47</v>
      </c>
      <c r="AC57" s="22">
        <v>1.46271</v>
      </c>
      <c r="AD57">
        <f t="shared" si="4"/>
        <v>15.225199999999999</v>
      </c>
      <c r="AE57">
        <f t="shared" si="5"/>
        <v>22.279339663999998</v>
      </c>
      <c r="AF57" s="9"/>
      <c r="AG57" s="22">
        <v>0.13671900000000001</v>
      </c>
      <c r="AH57" s="22">
        <v>359.47699999999998</v>
      </c>
      <c r="AI57" s="22">
        <v>-1.8035900000000001E-2</v>
      </c>
      <c r="AJ57" s="22">
        <v>47</v>
      </c>
      <c r="AK57" s="22">
        <v>0.13626099999999999</v>
      </c>
      <c r="AL57">
        <f t="shared" si="6"/>
        <v>18.035900000000002</v>
      </c>
      <c r="AM57">
        <f t="shared" si="7"/>
        <v>2.4658502121000003</v>
      </c>
      <c r="AP57" s="9"/>
      <c r="AQ57" s="22">
        <v>1.46332</v>
      </c>
      <c r="AR57" s="22">
        <v>495.25599999999997</v>
      </c>
      <c r="AS57" s="22">
        <v>-1.20239E-3</v>
      </c>
      <c r="AT57" s="22">
        <v>47</v>
      </c>
      <c r="AU57" s="22">
        <v>1.4630099999999999</v>
      </c>
      <c r="AV57">
        <f t="shared" si="8"/>
        <v>1.2023900000000001</v>
      </c>
      <c r="AW57">
        <f t="shared" si="9"/>
        <v>1.7594813348</v>
      </c>
      <c r="AX57" s="9"/>
      <c r="AY57" s="22">
        <v>0.13671900000000001</v>
      </c>
      <c r="AZ57" s="22">
        <v>617.61300000000006</v>
      </c>
      <c r="BA57" s="22">
        <v>-1.7990099999999998E-2</v>
      </c>
      <c r="BB57" s="22">
        <v>47</v>
      </c>
      <c r="BC57" s="22">
        <v>0.13595599999999999</v>
      </c>
      <c r="BD57">
        <f t="shared" si="10"/>
        <v>17.990099999999998</v>
      </c>
      <c r="BE57">
        <f t="shared" si="11"/>
        <v>2.4595884819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81.095299999999995</v>
      </c>
      <c r="I58" s="22">
        <v>-1.5560900000000001E-2</v>
      </c>
      <c r="J58" s="22">
        <v>48</v>
      </c>
      <c r="K58" s="22">
        <v>1.4575199999999999</v>
      </c>
      <c r="L58">
        <f t="shared" si="0"/>
        <v>15.5609</v>
      </c>
      <c r="M58">
        <f t="shared" si="1"/>
        <v>22.692149252</v>
      </c>
      <c r="N58" s="9"/>
      <c r="O58" s="22">
        <v>0.14175399999999999</v>
      </c>
      <c r="P58" s="22">
        <v>196.012</v>
      </c>
      <c r="Q58" s="22">
        <v>-1.8044999999999999E-2</v>
      </c>
      <c r="R58" s="22">
        <v>48</v>
      </c>
      <c r="S58" s="22">
        <v>0.14117399999999999</v>
      </c>
      <c r="T58">
        <f t="shared" si="2"/>
        <v>18.044999999999998</v>
      </c>
      <c r="U58">
        <f t="shared" si="3"/>
        <v>2.5579509299999996</v>
      </c>
      <c r="X58" s="9"/>
      <c r="Y58" s="22">
        <v>1.45828</v>
      </c>
      <c r="Z58" s="22">
        <v>298.99900000000002</v>
      </c>
      <c r="AA58" s="22">
        <v>-1.5396099999999999E-2</v>
      </c>
      <c r="AB58" s="22">
        <v>48</v>
      </c>
      <c r="AC58" s="22">
        <v>1.4575199999999999</v>
      </c>
      <c r="AD58">
        <f t="shared" si="4"/>
        <v>15.396099999999999</v>
      </c>
      <c r="AE58">
        <f t="shared" si="5"/>
        <v>22.451824708</v>
      </c>
      <c r="AF58" s="9"/>
      <c r="AG58" s="22">
        <v>0.14175399999999999</v>
      </c>
      <c r="AH58" s="22">
        <v>359.57799999999997</v>
      </c>
      <c r="AI58" s="22">
        <v>-1.80267E-2</v>
      </c>
      <c r="AJ58" s="22">
        <v>48</v>
      </c>
      <c r="AK58" s="22">
        <v>0.141266</v>
      </c>
      <c r="AL58">
        <f t="shared" si="6"/>
        <v>18.026699999999998</v>
      </c>
      <c r="AM58">
        <f t="shared" si="7"/>
        <v>2.5553568317999997</v>
      </c>
      <c r="AP58" s="9"/>
      <c r="AQ58" s="22">
        <v>1.45828</v>
      </c>
      <c r="AR58" s="22">
        <v>495.35599999999999</v>
      </c>
      <c r="AS58" s="22">
        <v>-1.2051399999999999E-3</v>
      </c>
      <c r="AT58" s="22">
        <v>48</v>
      </c>
      <c r="AU58" s="22">
        <v>1.4569099999999999</v>
      </c>
      <c r="AV58">
        <f t="shared" si="8"/>
        <v>1.2051399999999999</v>
      </c>
      <c r="AW58">
        <f t="shared" si="9"/>
        <v>1.7574315591999998</v>
      </c>
      <c r="AX58" s="9"/>
      <c r="AY58" s="22">
        <v>0.14175399999999999</v>
      </c>
      <c r="AZ58" s="22">
        <v>617.71299999999997</v>
      </c>
      <c r="BA58" s="22">
        <v>-1.7987099999999999E-2</v>
      </c>
      <c r="BB58" s="22">
        <v>48</v>
      </c>
      <c r="BC58" s="22">
        <v>0.141205</v>
      </c>
      <c r="BD58">
        <f t="shared" si="10"/>
        <v>17.987099999999998</v>
      </c>
      <c r="BE58">
        <f t="shared" si="11"/>
        <v>2.5497433733999997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81.195999999999998</v>
      </c>
      <c r="I59" s="22">
        <v>-1.5646400000000001E-2</v>
      </c>
      <c r="J59" s="22">
        <v>49</v>
      </c>
      <c r="K59" s="22">
        <v>1.4523299999999999</v>
      </c>
      <c r="L59">
        <f t="shared" si="0"/>
        <v>15.646400000000002</v>
      </c>
      <c r="M59">
        <f t="shared" si="1"/>
        <v>22.7381308</v>
      </c>
      <c r="N59" s="9"/>
      <c r="O59" s="22">
        <v>0.14679</v>
      </c>
      <c r="P59" s="22">
        <v>196.113</v>
      </c>
      <c r="Q59" s="22">
        <v>-1.80389E-2</v>
      </c>
      <c r="R59" s="22">
        <v>49</v>
      </c>
      <c r="S59" s="22">
        <v>0.14636199999999999</v>
      </c>
      <c r="T59">
        <f t="shared" si="2"/>
        <v>18.038900000000002</v>
      </c>
      <c r="U59">
        <f t="shared" si="3"/>
        <v>2.6479301310000003</v>
      </c>
      <c r="X59" s="9"/>
      <c r="Y59" s="22">
        <v>1.4532499999999999</v>
      </c>
      <c r="Z59" s="22">
        <v>299.10000000000002</v>
      </c>
      <c r="AA59" s="22">
        <v>-1.5521200000000001E-2</v>
      </c>
      <c r="AB59" s="22">
        <v>49</v>
      </c>
      <c r="AC59" s="22">
        <v>1.4520299999999999</v>
      </c>
      <c r="AD59">
        <f t="shared" si="4"/>
        <v>15.5212</v>
      </c>
      <c r="AE59">
        <f t="shared" si="5"/>
        <v>22.556183900000001</v>
      </c>
      <c r="AF59" s="9"/>
      <c r="AG59" s="22">
        <v>0.14679</v>
      </c>
      <c r="AH59" s="22">
        <v>359.67899999999997</v>
      </c>
      <c r="AI59" s="22">
        <v>-1.8032800000000002E-2</v>
      </c>
      <c r="AJ59" s="22">
        <v>49</v>
      </c>
      <c r="AK59" s="22">
        <v>0.146118</v>
      </c>
      <c r="AL59">
        <f t="shared" si="6"/>
        <v>18.032800000000002</v>
      </c>
      <c r="AM59">
        <f t="shared" si="7"/>
        <v>2.6470347120000004</v>
      </c>
      <c r="AP59" s="9"/>
      <c r="AQ59" s="22">
        <v>1.4532499999999999</v>
      </c>
      <c r="AR59" s="22">
        <v>495.45699999999999</v>
      </c>
      <c r="AS59" s="22">
        <v>-1.33026E-3</v>
      </c>
      <c r="AT59" s="22">
        <v>49</v>
      </c>
      <c r="AU59" s="22">
        <v>1.4529399999999999</v>
      </c>
      <c r="AV59">
        <f t="shared" si="8"/>
        <v>1.33026</v>
      </c>
      <c r="AW59">
        <f t="shared" si="9"/>
        <v>1.9332003449999999</v>
      </c>
      <c r="AX59" s="9"/>
      <c r="AY59" s="22">
        <v>0.14679</v>
      </c>
      <c r="AZ59" s="22">
        <v>617.81399999999996</v>
      </c>
      <c r="BA59" s="22">
        <v>-1.7990099999999998E-2</v>
      </c>
      <c r="BB59" s="22">
        <v>49</v>
      </c>
      <c r="BC59" s="22">
        <v>0.146179</v>
      </c>
      <c r="BD59">
        <f t="shared" si="10"/>
        <v>17.990099999999998</v>
      </c>
      <c r="BE59">
        <f t="shared" si="11"/>
        <v>2.6407667789999998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81.296700000000001</v>
      </c>
      <c r="I60" s="22">
        <v>-1.57349E-2</v>
      </c>
      <c r="J60" s="22">
        <v>50</v>
      </c>
      <c r="K60" s="22">
        <v>1.4468399999999999</v>
      </c>
      <c r="L60">
        <f t="shared" si="0"/>
        <v>15.7349</v>
      </c>
      <c r="M60">
        <f t="shared" si="1"/>
        <v>22.787439529</v>
      </c>
      <c r="N60" s="9"/>
      <c r="O60" s="22">
        <v>0.15182499999999999</v>
      </c>
      <c r="P60" s="22">
        <v>196.214</v>
      </c>
      <c r="Q60" s="22">
        <v>-1.8048100000000001E-2</v>
      </c>
      <c r="R60" s="22">
        <v>50</v>
      </c>
      <c r="S60" s="22">
        <v>0.15121499999999999</v>
      </c>
      <c r="T60">
        <f t="shared" si="2"/>
        <v>18.048100000000002</v>
      </c>
      <c r="U60">
        <f t="shared" si="3"/>
        <v>2.7401527825000001</v>
      </c>
      <c r="X60" s="9"/>
      <c r="Y60" s="22">
        <v>1.44821</v>
      </c>
      <c r="Z60" s="22">
        <v>299.2</v>
      </c>
      <c r="AA60" s="22">
        <v>-1.5631099999999998E-2</v>
      </c>
      <c r="AB60" s="22">
        <v>50</v>
      </c>
      <c r="AC60" s="22">
        <v>1.4471400000000001</v>
      </c>
      <c r="AD60">
        <f t="shared" si="4"/>
        <v>15.631099999999998</v>
      </c>
      <c r="AE60">
        <f t="shared" si="5"/>
        <v>22.637115330999997</v>
      </c>
      <c r="AF60" s="9"/>
      <c r="AG60" s="22">
        <v>0.15182499999999999</v>
      </c>
      <c r="AH60" s="22">
        <v>359.779</v>
      </c>
      <c r="AI60" s="22">
        <v>-1.8020600000000001E-2</v>
      </c>
      <c r="AJ60" s="22">
        <v>50</v>
      </c>
      <c r="AK60" s="22">
        <v>0.15118400000000001</v>
      </c>
      <c r="AL60">
        <f t="shared" si="6"/>
        <v>18.020600000000002</v>
      </c>
      <c r="AM60">
        <f t="shared" si="7"/>
        <v>2.735977595</v>
      </c>
      <c r="AP60" s="9"/>
      <c r="AQ60" s="22">
        <v>1.44821</v>
      </c>
      <c r="AR60" s="22">
        <v>495.55799999999999</v>
      </c>
      <c r="AS60" s="22">
        <v>-1.27655E-3</v>
      </c>
      <c r="AT60" s="22">
        <v>50</v>
      </c>
      <c r="AU60" s="22">
        <v>1.4468399999999999</v>
      </c>
      <c r="AV60">
        <f t="shared" si="8"/>
        <v>1.2765500000000001</v>
      </c>
      <c r="AW60">
        <f t="shared" si="9"/>
        <v>1.8487124755000002</v>
      </c>
      <c r="AX60" s="9"/>
      <c r="AY60" s="22">
        <v>0.15182499999999999</v>
      </c>
      <c r="AZ60" s="22">
        <v>617.91499999999996</v>
      </c>
      <c r="BA60" s="22">
        <v>-1.7993200000000001E-2</v>
      </c>
      <c r="BB60" s="22">
        <v>50</v>
      </c>
      <c r="BC60" s="22">
        <v>0.15148900000000001</v>
      </c>
      <c r="BD60">
        <f t="shared" si="10"/>
        <v>17.993200000000002</v>
      </c>
      <c r="BE60">
        <f t="shared" si="11"/>
        <v>2.7318175899999999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81.397400000000005</v>
      </c>
      <c r="I61" s="22">
        <v>-1.57898E-2</v>
      </c>
      <c r="J61" s="22">
        <v>51</v>
      </c>
      <c r="K61" s="22">
        <v>1.4428700000000001</v>
      </c>
      <c r="L61">
        <f t="shared" si="0"/>
        <v>15.7898</v>
      </c>
      <c r="M61">
        <f t="shared" si="1"/>
        <v>22.787523563999997</v>
      </c>
      <c r="N61" s="9"/>
      <c r="O61" s="22">
        <v>0.15686</v>
      </c>
      <c r="P61" s="22">
        <v>196.31399999999999</v>
      </c>
      <c r="Q61" s="22">
        <v>-1.8041999999999999E-2</v>
      </c>
      <c r="R61" s="22">
        <v>51</v>
      </c>
      <c r="S61" s="22">
        <v>0.15640299999999999</v>
      </c>
      <c r="T61">
        <f t="shared" si="2"/>
        <v>18.041999999999998</v>
      </c>
      <c r="U61">
        <f t="shared" si="3"/>
        <v>2.8300681199999995</v>
      </c>
      <c r="X61" s="9"/>
      <c r="Y61" s="22">
        <v>1.4431799999999999</v>
      </c>
      <c r="Z61" s="22">
        <v>299.30099999999999</v>
      </c>
      <c r="AA61" s="22">
        <v>-1.5753199999999998E-2</v>
      </c>
      <c r="AB61" s="22">
        <v>51</v>
      </c>
      <c r="AC61" s="22">
        <v>1.4425699999999999</v>
      </c>
      <c r="AD61">
        <f t="shared" si="4"/>
        <v>15.753199999999998</v>
      </c>
      <c r="AE61">
        <f t="shared" si="5"/>
        <v>22.734703175999996</v>
      </c>
      <c r="AF61" s="9"/>
      <c r="AG61" s="22">
        <v>0.15686</v>
      </c>
      <c r="AH61" s="22">
        <v>359.88</v>
      </c>
      <c r="AI61" s="22">
        <v>-1.8014499999999999E-2</v>
      </c>
      <c r="AJ61" s="22">
        <v>51</v>
      </c>
      <c r="AK61" s="22">
        <v>0.156219</v>
      </c>
      <c r="AL61">
        <f t="shared" si="6"/>
        <v>18.014499999999998</v>
      </c>
      <c r="AM61">
        <f t="shared" si="7"/>
        <v>2.8257544699999997</v>
      </c>
      <c r="AP61" s="9"/>
      <c r="AQ61" s="22">
        <v>1.4431799999999999</v>
      </c>
      <c r="AR61" s="22">
        <v>495.65800000000002</v>
      </c>
      <c r="AS61" s="22">
        <v>-1.27747E-3</v>
      </c>
      <c r="AT61" s="22">
        <v>51</v>
      </c>
      <c r="AU61" s="22">
        <v>1.4425699999999999</v>
      </c>
      <c r="AV61">
        <f t="shared" si="8"/>
        <v>1.2774699999999999</v>
      </c>
      <c r="AW61">
        <f t="shared" si="9"/>
        <v>1.8436191545999998</v>
      </c>
      <c r="AX61" s="9"/>
      <c r="AY61" s="22">
        <v>0.15686</v>
      </c>
      <c r="AZ61" s="22">
        <v>618.01499999999999</v>
      </c>
      <c r="BA61" s="22">
        <v>-1.7984E-2</v>
      </c>
      <c r="BB61" s="22">
        <v>51</v>
      </c>
      <c r="BC61" s="22">
        <v>0.15637200000000001</v>
      </c>
      <c r="BD61">
        <f t="shared" si="10"/>
        <v>17.984000000000002</v>
      </c>
      <c r="BE61">
        <f t="shared" si="11"/>
        <v>2.8209702400000003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81.498099999999994</v>
      </c>
      <c r="I62" s="22">
        <v>-1.5866100000000001E-2</v>
      </c>
      <c r="J62" s="22">
        <v>52</v>
      </c>
      <c r="K62" s="22">
        <v>1.4379900000000001</v>
      </c>
      <c r="L62">
        <f t="shared" si="0"/>
        <v>15.866100000000001</v>
      </c>
      <c r="M62">
        <f t="shared" si="1"/>
        <v>22.817673054</v>
      </c>
      <c r="N62" s="9"/>
      <c r="O62" s="22">
        <v>0.16189600000000001</v>
      </c>
      <c r="P62" s="22">
        <v>196.41499999999999</v>
      </c>
      <c r="Q62" s="22">
        <v>-1.80389E-2</v>
      </c>
      <c r="R62" s="22">
        <v>52</v>
      </c>
      <c r="S62" s="22">
        <v>0.16131599999999999</v>
      </c>
      <c r="T62">
        <f t="shared" si="2"/>
        <v>18.038900000000002</v>
      </c>
      <c r="U62">
        <f t="shared" si="3"/>
        <v>2.9204257544000005</v>
      </c>
      <c r="X62" s="9"/>
      <c r="Y62" s="22">
        <v>1.43814</v>
      </c>
      <c r="Z62" s="22">
        <v>299.40199999999999</v>
      </c>
      <c r="AA62" s="22">
        <v>-1.5838600000000001E-2</v>
      </c>
      <c r="AB62" s="22">
        <v>52</v>
      </c>
      <c r="AC62" s="22">
        <v>1.4379900000000001</v>
      </c>
      <c r="AD62">
        <f t="shared" si="4"/>
        <v>15.838600000000001</v>
      </c>
      <c r="AE62">
        <f t="shared" si="5"/>
        <v>22.778124204000001</v>
      </c>
      <c r="AF62" s="9"/>
      <c r="AG62" s="22">
        <v>0.16189600000000001</v>
      </c>
      <c r="AH62" s="22">
        <v>359.98099999999999</v>
      </c>
      <c r="AI62" s="22">
        <v>-1.8017600000000002E-2</v>
      </c>
      <c r="AJ62" s="22">
        <v>52</v>
      </c>
      <c r="AK62" s="22">
        <v>0.16159100000000001</v>
      </c>
      <c r="AL62">
        <f t="shared" si="6"/>
        <v>18.017600000000002</v>
      </c>
      <c r="AM62">
        <f t="shared" si="7"/>
        <v>2.9169773696000005</v>
      </c>
      <c r="AP62" s="9"/>
      <c r="AQ62" s="22">
        <v>1.43814</v>
      </c>
      <c r="AR62" s="22">
        <v>495.75900000000001</v>
      </c>
      <c r="AS62" s="22">
        <v>-1.3900799999999999E-3</v>
      </c>
      <c r="AT62" s="22">
        <v>52</v>
      </c>
      <c r="AU62" s="22">
        <v>1.4370700000000001</v>
      </c>
      <c r="AV62">
        <f t="shared" si="8"/>
        <v>1.39008</v>
      </c>
      <c r="AW62">
        <f t="shared" si="9"/>
        <v>1.9991296511999999</v>
      </c>
      <c r="AX62" s="9"/>
      <c r="AY62" s="22">
        <v>0.16189600000000001</v>
      </c>
      <c r="AZ62" s="22">
        <v>618.11599999999999</v>
      </c>
      <c r="BA62" s="22">
        <v>-1.7987099999999999E-2</v>
      </c>
      <c r="BB62" s="22">
        <v>52</v>
      </c>
      <c r="BC62" s="22">
        <v>0.16122400000000001</v>
      </c>
      <c r="BD62">
        <f t="shared" si="10"/>
        <v>17.987099999999998</v>
      </c>
      <c r="BE62">
        <f t="shared" si="11"/>
        <v>2.9120395416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81.598799999999997</v>
      </c>
      <c r="I63" s="22">
        <v>-1.59393E-2</v>
      </c>
      <c r="J63" s="22">
        <v>53</v>
      </c>
      <c r="K63" s="22">
        <v>1.4325000000000001</v>
      </c>
      <c r="L63">
        <f t="shared" si="0"/>
        <v>15.939299999999999</v>
      </c>
      <c r="M63">
        <f t="shared" si="1"/>
        <v>22.842770223000002</v>
      </c>
      <c r="N63" s="9"/>
      <c r="O63" s="22">
        <v>0.166931</v>
      </c>
      <c r="P63" s="22">
        <v>196.51599999999999</v>
      </c>
      <c r="Q63" s="22">
        <v>-1.8035900000000001E-2</v>
      </c>
      <c r="R63" s="22">
        <v>53</v>
      </c>
      <c r="S63" s="22">
        <v>0.16644300000000001</v>
      </c>
      <c r="T63">
        <f t="shared" si="2"/>
        <v>18.035900000000002</v>
      </c>
      <c r="U63">
        <f t="shared" si="3"/>
        <v>3.0107508229000004</v>
      </c>
      <c r="X63" s="9"/>
      <c r="Y63" s="22">
        <v>1.4331100000000001</v>
      </c>
      <c r="Z63" s="22">
        <v>299.50200000000001</v>
      </c>
      <c r="AA63" s="22">
        <v>-1.58966E-2</v>
      </c>
      <c r="AB63" s="22">
        <v>53</v>
      </c>
      <c r="AC63" s="22">
        <v>1.4321900000000001</v>
      </c>
      <c r="AD63">
        <f t="shared" si="4"/>
        <v>15.896600000000001</v>
      </c>
      <c r="AE63">
        <f t="shared" si="5"/>
        <v>22.781576426000004</v>
      </c>
      <c r="AF63" s="9"/>
      <c r="AG63" s="22">
        <v>0.166931</v>
      </c>
      <c r="AH63" s="22">
        <v>360.08100000000002</v>
      </c>
      <c r="AI63" s="22">
        <v>-1.8008400000000001E-2</v>
      </c>
      <c r="AJ63" s="22">
        <v>53</v>
      </c>
      <c r="AK63" s="22">
        <v>0.16647300000000001</v>
      </c>
      <c r="AL63">
        <f t="shared" si="6"/>
        <v>18.008400000000002</v>
      </c>
      <c r="AM63">
        <f t="shared" si="7"/>
        <v>3.0061602204000004</v>
      </c>
      <c r="AP63" s="9"/>
      <c r="AQ63" s="22">
        <v>1.4331100000000001</v>
      </c>
      <c r="AR63" s="22">
        <v>495.86</v>
      </c>
      <c r="AS63" s="22">
        <v>-1.2420700000000001E-3</v>
      </c>
      <c r="AT63" s="22">
        <v>53</v>
      </c>
      <c r="AU63" s="22">
        <v>1.43188</v>
      </c>
      <c r="AV63">
        <f t="shared" si="8"/>
        <v>1.24207</v>
      </c>
      <c r="AW63">
        <f t="shared" si="9"/>
        <v>1.7800229377000001</v>
      </c>
      <c r="AX63" s="9"/>
      <c r="AY63" s="22">
        <v>0.166931</v>
      </c>
      <c r="AZ63" s="22">
        <v>618.21699999999998</v>
      </c>
      <c r="BA63" s="22">
        <v>-1.7974899999999999E-2</v>
      </c>
      <c r="BB63" s="22">
        <v>53</v>
      </c>
      <c r="BC63" s="22">
        <v>0.166107</v>
      </c>
      <c r="BD63">
        <f t="shared" si="10"/>
        <v>17.974899999999998</v>
      </c>
      <c r="BE63">
        <f t="shared" si="11"/>
        <v>3.0005680318999994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81.6995</v>
      </c>
      <c r="I64" s="22">
        <v>-1.5994299999999999E-2</v>
      </c>
      <c r="J64" s="22">
        <v>54</v>
      </c>
      <c r="K64" s="22">
        <v>1.4273100000000001</v>
      </c>
      <c r="L64">
        <f t="shared" si="0"/>
        <v>15.994299999999999</v>
      </c>
      <c r="M64">
        <f t="shared" si="1"/>
        <v>22.840980000999998</v>
      </c>
      <c r="N64" s="9"/>
      <c r="O64" s="22">
        <v>0.17196700000000001</v>
      </c>
      <c r="P64" s="22">
        <v>196.61600000000001</v>
      </c>
      <c r="Q64" s="22">
        <v>-1.80389E-2</v>
      </c>
      <c r="R64" s="22">
        <v>54</v>
      </c>
      <c r="S64" s="22">
        <v>0.17144799999999999</v>
      </c>
      <c r="T64">
        <f t="shared" si="2"/>
        <v>18.038900000000002</v>
      </c>
      <c r="U64">
        <f t="shared" si="3"/>
        <v>3.1020955163000004</v>
      </c>
      <c r="X64" s="9"/>
      <c r="Y64" s="22">
        <v>1.42807</v>
      </c>
      <c r="Z64" s="22">
        <v>299.60300000000001</v>
      </c>
      <c r="AA64" s="22">
        <v>-1.5997299999999999E-2</v>
      </c>
      <c r="AB64" s="22">
        <v>54</v>
      </c>
      <c r="AC64" s="22">
        <v>1.4273100000000001</v>
      </c>
      <c r="AD64">
        <f t="shared" si="4"/>
        <v>15.997299999999999</v>
      </c>
      <c r="AE64">
        <f t="shared" si="5"/>
        <v>22.845264210999996</v>
      </c>
      <c r="AF64" s="9"/>
      <c r="AG64" s="22">
        <v>0.17196700000000001</v>
      </c>
      <c r="AH64" s="22">
        <v>360.18200000000002</v>
      </c>
      <c r="AI64" s="22">
        <v>-1.80115E-2</v>
      </c>
      <c r="AJ64" s="22">
        <v>54</v>
      </c>
      <c r="AK64" s="22">
        <v>0.171539</v>
      </c>
      <c r="AL64">
        <f t="shared" si="6"/>
        <v>18.011499999999998</v>
      </c>
      <c r="AM64">
        <f t="shared" si="7"/>
        <v>3.0973836205</v>
      </c>
      <c r="AP64" s="9"/>
      <c r="AQ64" s="22">
        <v>1.42807</v>
      </c>
      <c r="AR64" s="22">
        <v>495.96</v>
      </c>
      <c r="AS64" s="22">
        <v>-1.1676E-3</v>
      </c>
      <c r="AT64" s="22">
        <v>54</v>
      </c>
      <c r="AU64" s="22">
        <v>1.427</v>
      </c>
      <c r="AV64">
        <f t="shared" si="8"/>
        <v>1.1676</v>
      </c>
      <c r="AW64">
        <f t="shared" si="9"/>
        <v>1.667414532</v>
      </c>
      <c r="AX64" s="9"/>
      <c r="AY64" s="22">
        <v>0.17196700000000001</v>
      </c>
      <c r="AZ64" s="22">
        <v>618.31799999999998</v>
      </c>
      <c r="BA64" s="22">
        <v>-1.7977900000000002E-2</v>
      </c>
      <c r="BB64" s="22">
        <v>54</v>
      </c>
      <c r="BC64" s="22">
        <v>0.17135600000000001</v>
      </c>
      <c r="BD64">
        <f t="shared" si="10"/>
        <v>17.977900000000002</v>
      </c>
      <c r="BE64">
        <f t="shared" si="11"/>
        <v>3.0916055293000007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81.800200000000004</v>
      </c>
      <c r="I65" s="22">
        <v>-1.6085800000000001E-2</v>
      </c>
      <c r="J65" s="22">
        <v>55</v>
      </c>
      <c r="K65" s="22">
        <v>1.4221200000000001</v>
      </c>
      <c r="L65">
        <f t="shared" si="0"/>
        <v>16.085800000000003</v>
      </c>
      <c r="M65">
        <f t="shared" si="1"/>
        <v>22.890575974000004</v>
      </c>
      <c r="N65" s="9"/>
      <c r="O65" s="22">
        <v>0.17700199999999999</v>
      </c>
      <c r="P65" s="22">
        <v>196.71700000000001</v>
      </c>
      <c r="Q65" s="22">
        <v>-1.80237E-2</v>
      </c>
      <c r="R65" s="22">
        <v>55</v>
      </c>
      <c r="S65" s="22">
        <v>0.17657500000000001</v>
      </c>
      <c r="T65">
        <f t="shared" si="2"/>
        <v>18.023700000000002</v>
      </c>
      <c r="U65">
        <f t="shared" si="3"/>
        <v>3.1902309474000003</v>
      </c>
      <c r="X65" s="9"/>
      <c r="Y65" s="22">
        <v>1.42303</v>
      </c>
      <c r="Z65" s="22">
        <v>299.70400000000001</v>
      </c>
      <c r="AA65" s="22">
        <v>-1.6091899999999999E-2</v>
      </c>
      <c r="AB65" s="22">
        <v>55</v>
      </c>
      <c r="AC65" s="22">
        <v>1.4221200000000001</v>
      </c>
      <c r="AD65">
        <f t="shared" si="4"/>
        <v>16.091899999999999</v>
      </c>
      <c r="AE65">
        <f t="shared" si="5"/>
        <v>22.899256457</v>
      </c>
      <c r="AF65" s="9"/>
      <c r="AG65" s="22">
        <v>0.17700199999999999</v>
      </c>
      <c r="AH65" s="22">
        <v>360.28300000000002</v>
      </c>
      <c r="AI65" s="22">
        <v>-1.7999299999999999E-2</v>
      </c>
      <c r="AJ65" s="22">
        <v>55</v>
      </c>
      <c r="AK65" s="22">
        <v>0.17636099999999999</v>
      </c>
      <c r="AL65">
        <f t="shared" si="6"/>
        <v>17.999299999999998</v>
      </c>
      <c r="AM65">
        <f t="shared" si="7"/>
        <v>3.1859120985999994</v>
      </c>
      <c r="AP65" s="9"/>
      <c r="AQ65" s="22">
        <v>1.42303</v>
      </c>
      <c r="AR65" s="22">
        <v>496.06099999999998</v>
      </c>
      <c r="AS65" s="22">
        <v>-1.1166399999999999E-3</v>
      </c>
      <c r="AT65" s="22">
        <v>55</v>
      </c>
      <c r="AU65" s="22">
        <v>1.4227300000000001</v>
      </c>
      <c r="AV65">
        <f t="shared" si="8"/>
        <v>1.1166399999999999</v>
      </c>
      <c r="AW65">
        <f t="shared" si="9"/>
        <v>1.5890122191999998</v>
      </c>
      <c r="AX65" s="9"/>
      <c r="AY65" s="22">
        <v>0.17700199999999999</v>
      </c>
      <c r="AZ65" s="22">
        <v>618.41800000000001</v>
      </c>
      <c r="BA65" s="22">
        <v>-1.79718E-2</v>
      </c>
      <c r="BB65" s="22">
        <v>55</v>
      </c>
      <c r="BC65" s="22">
        <v>0.176514</v>
      </c>
      <c r="BD65">
        <f t="shared" si="10"/>
        <v>17.971799999999998</v>
      </c>
      <c r="BE65">
        <f t="shared" si="11"/>
        <v>3.1810445435999997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81.900899999999993</v>
      </c>
      <c r="I66" s="22">
        <v>-1.6153000000000001E-2</v>
      </c>
      <c r="J66" s="22">
        <v>56</v>
      </c>
      <c r="K66" s="22">
        <v>1.41693</v>
      </c>
      <c r="L66">
        <f t="shared" si="0"/>
        <v>16.153000000000002</v>
      </c>
      <c r="M66">
        <f t="shared" si="1"/>
        <v>22.904954000000004</v>
      </c>
      <c r="N66" s="9"/>
      <c r="O66" s="22">
        <v>0.182037</v>
      </c>
      <c r="P66" s="22">
        <v>196.81800000000001</v>
      </c>
      <c r="Q66" s="22">
        <v>-1.80237E-2</v>
      </c>
      <c r="R66" s="22">
        <v>56</v>
      </c>
      <c r="S66" s="22">
        <v>0.18160999999999999</v>
      </c>
      <c r="T66">
        <f t="shared" si="2"/>
        <v>18.023700000000002</v>
      </c>
      <c r="U66">
        <f t="shared" si="3"/>
        <v>3.2809802769000003</v>
      </c>
      <c r="X66" s="9"/>
      <c r="Y66" s="22">
        <v>1.4179999999999999</v>
      </c>
      <c r="Z66" s="22">
        <v>299.80500000000001</v>
      </c>
      <c r="AA66" s="22">
        <v>-1.6177400000000002E-2</v>
      </c>
      <c r="AB66" s="22">
        <v>56</v>
      </c>
      <c r="AC66" s="22">
        <v>1.4172400000000001</v>
      </c>
      <c r="AD66">
        <f t="shared" si="4"/>
        <v>16.177400000000002</v>
      </c>
      <c r="AE66">
        <f t="shared" si="5"/>
        <v>22.939553200000002</v>
      </c>
      <c r="AF66" s="9"/>
      <c r="AG66" s="22">
        <v>0.182037</v>
      </c>
      <c r="AH66" s="22">
        <v>360.38400000000001</v>
      </c>
      <c r="AI66" s="22">
        <v>-1.79962E-2</v>
      </c>
      <c r="AJ66" s="22">
        <v>56</v>
      </c>
      <c r="AK66" s="22">
        <v>0.18154899999999999</v>
      </c>
      <c r="AL66">
        <f t="shared" si="6"/>
        <v>17.996200000000002</v>
      </c>
      <c r="AM66">
        <f t="shared" si="7"/>
        <v>3.2759742594000003</v>
      </c>
      <c r="AP66" s="9"/>
      <c r="AQ66" s="22">
        <v>1.4179999999999999</v>
      </c>
      <c r="AR66" s="22">
        <v>496.16199999999998</v>
      </c>
      <c r="AS66" s="22">
        <v>-1.0952799999999999E-3</v>
      </c>
      <c r="AT66" s="22">
        <v>56</v>
      </c>
      <c r="AU66" s="22">
        <v>1.4166300000000001</v>
      </c>
      <c r="AV66">
        <f t="shared" si="8"/>
        <v>1.0952799999999998</v>
      </c>
      <c r="AW66">
        <f t="shared" si="9"/>
        <v>1.5531070399999996</v>
      </c>
      <c r="AX66" s="9"/>
      <c r="AY66" s="22">
        <v>0.182037</v>
      </c>
      <c r="AZ66" s="22">
        <v>618.51900000000001</v>
      </c>
      <c r="BA66" s="22">
        <v>-1.7974899999999999E-2</v>
      </c>
      <c r="BB66" s="22">
        <v>56</v>
      </c>
      <c r="BC66" s="22">
        <v>0.18160999999999999</v>
      </c>
      <c r="BD66">
        <f t="shared" si="10"/>
        <v>17.974899999999998</v>
      </c>
      <c r="BE66">
        <f t="shared" si="11"/>
        <v>3.2720968712999996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82.001599999999996</v>
      </c>
      <c r="I67" s="22">
        <v>-1.6186499999999999E-2</v>
      </c>
      <c r="J67" s="22">
        <v>57</v>
      </c>
      <c r="K67" s="22">
        <v>1.41235</v>
      </c>
      <c r="L67">
        <f t="shared" si="0"/>
        <v>16.186499999999999</v>
      </c>
      <c r="M67">
        <f t="shared" si="1"/>
        <v>22.87087704</v>
      </c>
      <c r="N67" s="9"/>
      <c r="O67" s="22">
        <v>0.18707299999999999</v>
      </c>
      <c r="P67" s="22">
        <v>196.91900000000001</v>
      </c>
      <c r="Q67" s="22">
        <v>-1.80237E-2</v>
      </c>
      <c r="R67" s="22">
        <v>57</v>
      </c>
      <c r="S67" s="22">
        <v>0.18643199999999999</v>
      </c>
      <c r="T67">
        <f t="shared" si="2"/>
        <v>18.023700000000002</v>
      </c>
      <c r="U67">
        <f t="shared" si="3"/>
        <v>3.3717476301000002</v>
      </c>
      <c r="X67" s="9"/>
      <c r="Y67" s="22">
        <v>1.41296</v>
      </c>
      <c r="Z67" s="22">
        <v>299.90499999999997</v>
      </c>
      <c r="AA67" s="22">
        <v>-1.61957E-2</v>
      </c>
      <c r="AB67" s="22">
        <v>57</v>
      </c>
      <c r="AC67" s="22">
        <v>1.41205</v>
      </c>
      <c r="AD67">
        <f t="shared" si="4"/>
        <v>16.195699999999999</v>
      </c>
      <c r="AE67">
        <f t="shared" si="5"/>
        <v>22.883876271999998</v>
      </c>
      <c r="AF67" s="9"/>
      <c r="AG67" s="22">
        <v>0.18707299999999999</v>
      </c>
      <c r="AH67" s="22">
        <v>360.48399999999998</v>
      </c>
      <c r="AI67" s="22">
        <v>-1.79962E-2</v>
      </c>
      <c r="AJ67" s="22">
        <v>57</v>
      </c>
      <c r="AK67" s="22">
        <v>0.18652299999999999</v>
      </c>
      <c r="AL67">
        <f t="shared" si="6"/>
        <v>17.996200000000002</v>
      </c>
      <c r="AM67">
        <f t="shared" si="7"/>
        <v>3.3666031225999999</v>
      </c>
      <c r="AP67" s="9"/>
      <c r="AQ67" s="22">
        <v>1.41296</v>
      </c>
      <c r="AR67" s="22">
        <v>496.26299999999998</v>
      </c>
      <c r="AS67" s="22">
        <v>-1.12671E-3</v>
      </c>
      <c r="AT67" s="22">
        <v>57</v>
      </c>
      <c r="AU67" s="22">
        <v>1.41174</v>
      </c>
      <c r="AV67">
        <f t="shared" si="8"/>
        <v>1.1267099999999999</v>
      </c>
      <c r="AW67">
        <f t="shared" si="9"/>
        <v>1.5919961615999998</v>
      </c>
      <c r="AX67" s="9"/>
      <c r="AY67" s="22">
        <v>0.18707299999999999</v>
      </c>
      <c r="AZ67" s="22">
        <v>618.62</v>
      </c>
      <c r="BA67" s="22">
        <v>-1.7959599999999999E-2</v>
      </c>
      <c r="BB67" s="22">
        <v>57</v>
      </c>
      <c r="BC67" s="22">
        <v>0.18652299999999999</v>
      </c>
      <c r="BD67">
        <f t="shared" si="10"/>
        <v>17.959599999999998</v>
      </c>
      <c r="BE67">
        <f t="shared" si="11"/>
        <v>3.3597562507999994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82.1023</v>
      </c>
      <c r="I68" s="22">
        <v>-1.62262E-2</v>
      </c>
      <c r="J68" s="22">
        <v>58</v>
      </c>
      <c r="K68" s="22">
        <v>1.40686</v>
      </c>
      <c r="L68">
        <f t="shared" si="0"/>
        <v>16.226199999999999</v>
      </c>
      <c r="M68">
        <f t="shared" si="1"/>
        <v>22.845353765999995</v>
      </c>
      <c r="N68" s="9"/>
      <c r="O68" s="22">
        <v>0.192108</v>
      </c>
      <c r="P68" s="22">
        <v>197.01900000000001</v>
      </c>
      <c r="Q68" s="22">
        <v>-1.8008400000000001E-2</v>
      </c>
      <c r="R68" s="22">
        <v>58</v>
      </c>
      <c r="S68" s="22">
        <v>0.19168099999999999</v>
      </c>
      <c r="T68">
        <f t="shared" si="2"/>
        <v>18.008400000000002</v>
      </c>
      <c r="U68">
        <f t="shared" si="3"/>
        <v>3.4595577072000006</v>
      </c>
      <c r="X68" s="9"/>
      <c r="Y68" s="22">
        <v>1.4079299999999999</v>
      </c>
      <c r="Z68" s="22">
        <v>300.00599999999997</v>
      </c>
      <c r="AA68" s="22">
        <v>-1.6244499999999999E-2</v>
      </c>
      <c r="AB68" s="22">
        <v>58</v>
      </c>
      <c r="AC68" s="22">
        <v>1.40778</v>
      </c>
      <c r="AD68">
        <f t="shared" si="4"/>
        <v>16.244499999999999</v>
      </c>
      <c r="AE68">
        <f t="shared" si="5"/>
        <v>22.871118884999998</v>
      </c>
      <c r="AF68" s="9"/>
      <c r="AG68" s="22">
        <v>0.192108</v>
      </c>
      <c r="AH68" s="22">
        <v>360.58499999999998</v>
      </c>
      <c r="AI68" s="22">
        <v>-1.7987099999999999E-2</v>
      </c>
      <c r="AJ68" s="22">
        <v>58</v>
      </c>
      <c r="AK68" s="22">
        <v>0.19158900000000001</v>
      </c>
      <c r="AL68">
        <f t="shared" si="6"/>
        <v>17.987099999999998</v>
      </c>
      <c r="AM68">
        <f t="shared" si="7"/>
        <v>3.4554658067999995</v>
      </c>
      <c r="AP68" s="9"/>
      <c r="AQ68" s="22">
        <v>1.4079299999999999</v>
      </c>
      <c r="AR68" s="22">
        <v>496.363</v>
      </c>
      <c r="AS68" s="22">
        <v>-9.9822999999999991E-4</v>
      </c>
      <c r="AT68" s="22">
        <v>58</v>
      </c>
      <c r="AU68" s="22">
        <v>1.40656</v>
      </c>
      <c r="AV68">
        <f t="shared" si="8"/>
        <v>0.99822999999999995</v>
      </c>
      <c r="AW68">
        <f t="shared" si="9"/>
        <v>1.4054379638999999</v>
      </c>
      <c r="AX68" s="9"/>
      <c r="AY68" s="22">
        <v>0.192108</v>
      </c>
      <c r="AZ68" s="22">
        <v>618.72</v>
      </c>
      <c r="BA68" s="22">
        <v>-1.7965700000000001E-2</v>
      </c>
      <c r="BB68" s="22">
        <v>58</v>
      </c>
      <c r="BC68" s="22">
        <v>0.19168099999999999</v>
      </c>
      <c r="BD68">
        <f t="shared" si="10"/>
        <v>17.965700000000002</v>
      </c>
      <c r="BE68">
        <f t="shared" si="11"/>
        <v>3.4513546956000005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82.203000000000003</v>
      </c>
      <c r="I69" s="22">
        <v>-1.6287200000000002E-2</v>
      </c>
      <c r="J69" s="22">
        <v>59</v>
      </c>
      <c r="K69" s="22">
        <v>1.40228</v>
      </c>
      <c r="L69">
        <f t="shared" si="0"/>
        <v>16.287200000000002</v>
      </c>
      <c r="M69">
        <f t="shared" si="1"/>
        <v>22.849150008000002</v>
      </c>
      <c r="N69" s="9"/>
      <c r="O69" s="22">
        <v>0.19714400000000001</v>
      </c>
      <c r="P69" s="22">
        <v>197.12</v>
      </c>
      <c r="Q69" s="22">
        <v>-1.8014499999999999E-2</v>
      </c>
      <c r="R69" s="22">
        <v>59</v>
      </c>
      <c r="S69" s="22">
        <v>0.196655</v>
      </c>
      <c r="T69">
        <f t="shared" si="2"/>
        <v>18.014499999999998</v>
      </c>
      <c r="U69">
        <f t="shared" si="3"/>
        <v>3.5514505879999998</v>
      </c>
      <c r="X69" s="9"/>
      <c r="Y69" s="22">
        <v>1.40289</v>
      </c>
      <c r="Z69" s="22">
        <v>300.10700000000003</v>
      </c>
      <c r="AA69" s="22">
        <v>-1.6299399999999999E-2</v>
      </c>
      <c r="AB69" s="22">
        <v>59</v>
      </c>
      <c r="AC69" s="22">
        <v>1.40198</v>
      </c>
      <c r="AD69">
        <f t="shared" si="4"/>
        <v>16.299399999999999</v>
      </c>
      <c r="AE69">
        <f t="shared" si="5"/>
        <v>22.866265265999999</v>
      </c>
      <c r="AF69" s="9"/>
      <c r="AG69" s="22">
        <v>0.19714400000000001</v>
      </c>
      <c r="AH69" s="22">
        <v>360.68599999999998</v>
      </c>
      <c r="AI69" s="22">
        <v>-1.7984E-2</v>
      </c>
      <c r="AJ69" s="22">
        <v>59</v>
      </c>
      <c r="AK69" s="22">
        <v>0.19653300000000001</v>
      </c>
      <c r="AL69">
        <f t="shared" si="6"/>
        <v>17.984000000000002</v>
      </c>
      <c r="AM69">
        <f t="shared" si="7"/>
        <v>3.5454376960000005</v>
      </c>
      <c r="AP69" s="9"/>
      <c r="AQ69" s="22">
        <v>1.40289</v>
      </c>
      <c r="AR69" s="22">
        <v>496.464</v>
      </c>
      <c r="AS69" s="22">
        <v>-9.1888400000000002E-4</v>
      </c>
      <c r="AT69" s="22">
        <v>59</v>
      </c>
      <c r="AU69" s="22">
        <v>1.40228</v>
      </c>
      <c r="AV69">
        <f t="shared" si="8"/>
        <v>0.91888400000000003</v>
      </c>
      <c r="AW69">
        <f t="shared" si="9"/>
        <v>1.2890931747600001</v>
      </c>
      <c r="AX69" s="9"/>
      <c r="AY69" s="22">
        <v>0.19714400000000001</v>
      </c>
      <c r="AZ69" s="22">
        <v>618.82100000000003</v>
      </c>
      <c r="BA69" s="22">
        <v>-1.7962599999999999E-2</v>
      </c>
      <c r="BB69" s="22">
        <v>59</v>
      </c>
      <c r="BC69" s="22">
        <v>0.19659399999999999</v>
      </c>
      <c r="BD69">
        <f t="shared" si="10"/>
        <v>17.962599999999998</v>
      </c>
      <c r="BE69">
        <f t="shared" si="11"/>
        <v>3.5412188144000001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82.303799999999995</v>
      </c>
      <c r="I70" s="22">
        <v>-1.6326899999999998E-2</v>
      </c>
      <c r="J70" s="22">
        <v>60</v>
      </c>
      <c r="K70" s="22">
        <v>1.3970899999999999</v>
      </c>
      <c r="L70">
        <f t="shared" si="0"/>
        <v>16.326899999999998</v>
      </c>
      <c r="M70">
        <f t="shared" si="1"/>
        <v>22.822720434000001</v>
      </c>
      <c r="N70" s="9"/>
      <c r="O70" s="22">
        <v>0.202179</v>
      </c>
      <c r="P70" s="22">
        <v>197.221</v>
      </c>
      <c r="Q70" s="22">
        <v>-1.8014499999999999E-2</v>
      </c>
      <c r="R70" s="22">
        <v>60</v>
      </c>
      <c r="S70" s="22">
        <v>0.20150799999999999</v>
      </c>
      <c r="T70">
        <f t="shared" si="2"/>
        <v>18.014499999999998</v>
      </c>
      <c r="U70">
        <f t="shared" si="3"/>
        <v>3.6421535954999995</v>
      </c>
      <c r="X70" s="9"/>
      <c r="Y70" s="22">
        <v>1.3978600000000001</v>
      </c>
      <c r="Z70" s="22">
        <v>300.20699999999999</v>
      </c>
      <c r="AA70" s="22">
        <v>-1.6342200000000001E-2</v>
      </c>
      <c r="AB70" s="22">
        <v>60</v>
      </c>
      <c r="AC70" s="22">
        <v>1.3974</v>
      </c>
      <c r="AD70">
        <f t="shared" si="4"/>
        <v>16.342200000000002</v>
      </c>
      <c r="AE70">
        <f t="shared" si="5"/>
        <v>22.844107692000005</v>
      </c>
      <c r="AF70" s="9"/>
      <c r="AG70" s="22">
        <v>0.202179</v>
      </c>
      <c r="AH70" s="22">
        <v>360.786</v>
      </c>
      <c r="AI70" s="22">
        <v>-1.7977900000000002E-2</v>
      </c>
      <c r="AJ70" s="22">
        <v>60</v>
      </c>
      <c r="AK70" s="22">
        <v>0.20166000000000001</v>
      </c>
      <c r="AL70">
        <f t="shared" si="6"/>
        <v>17.977900000000002</v>
      </c>
      <c r="AM70">
        <f t="shared" si="7"/>
        <v>3.6347538441000005</v>
      </c>
      <c r="AP70" s="9"/>
      <c r="AQ70" s="22">
        <v>1.3978600000000001</v>
      </c>
      <c r="AR70" s="22">
        <v>496.565</v>
      </c>
      <c r="AS70" s="22">
        <v>-9.8266600000000009E-4</v>
      </c>
      <c r="AT70" s="22">
        <v>60</v>
      </c>
      <c r="AU70" s="22">
        <v>1.3970899999999999</v>
      </c>
      <c r="AV70">
        <f t="shared" si="8"/>
        <v>0.98266600000000004</v>
      </c>
      <c r="AW70">
        <f t="shared" si="9"/>
        <v>1.3736294947600001</v>
      </c>
      <c r="AX70" s="9"/>
      <c r="AY70" s="22">
        <v>0.202179</v>
      </c>
      <c r="AZ70" s="22">
        <v>618.92200000000003</v>
      </c>
      <c r="BA70" s="22">
        <v>-1.7962599999999999E-2</v>
      </c>
      <c r="BB70" s="22">
        <v>60</v>
      </c>
      <c r="BC70" s="22">
        <v>0.20196500000000001</v>
      </c>
      <c r="BD70">
        <f t="shared" si="10"/>
        <v>17.962599999999998</v>
      </c>
      <c r="BE70">
        <f t="shared" si="11"/>
        <v>3.6316605053999997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82.404499999999999</v>
      </c>
      <c r="I71" s="22">
        <v>-1.6186499999999999E-2</v>
      </c>
      <c r="J71" s="22">
        <v>61</v>
      </c>
      <c r="K71" s="22">
        <v>1.3915999999999999</v>
      </c>
      <c r="L71">
        <f t="shared" si="0"/>
        <v>16.186499999999999</v>
      </c>
      <c r="M71">
        <f t="shared" si="1"/>
        <v>22.544880929999998</v>
      </c>
      <c r="N71" s="9"/>
      <c r="O71" s="22">
        <v>0.20721400000000001</v>
      </c>
      <c r="P71" s="22">
        <v>197.321</v>
      </c>
      <c r="Q71" s="22">
        <v>-1.8005400000000001E-2</v>
      </c>
      <c r="R71" s="22">
        <v>61</v>
      </c>
      <c r="S71" s="22">
        <v>0.206512</v>
      </c>
      <c r="T71">
        <f t="shared" si="2"/>
        <v>18.005400000000002</v>
      </c>
      <c r="U71">
        <f t="shared" si="3"/>
        <v>3.7309709556000006</v>
      </c>
      <c r="X71" s="9"/>
      <c r="Y71" s="22">
        <v>1.3928199999999999</v>
      </c>
      <c r="Z71" s="22">
        <v>300.30799999999999</v>
      </c>
      <c r="AA71" s="22">
        <v>-1.6357400000000001E-2</v>
      </c>
      <c r="AB71" s="22">
        <v>61</v>
      </c>
      <c r="AC71" s="22">
        <v>1.39252</v>
      </c>
      <c r="AD71">
        <f t="shared" si="4"/>
        <v>16.357400000000002</v>
      </c>
      <c r="AE71">
        <f t="shared" si="5"/>
        <v>22.782913868000001</v>
      </c>
      <c r="AF71" s="9"/>
      <c r="AG71" s="22">
        <v>0.20721400000000001</v>
      </c>
      <c r="AH71" s="22">
        <v>360.887</v>
      </c>
      <c r="AI71" s="22">
        <v>-1.7981E-2</v>
      </c>
      <c r="AJ71" s="22">
        <v>61</v>
      </c>
      <c r="AK71" s="22">
        <v>0.20669599999999999</v>
      </c>
      <c r="AL71">
        <f t="shared" si="6"/>
        <v>17.981000000000002</v>
      </c>
      <c r="AM71">
        <f t="shared" si="7"/>
        <v>3.7259149340000004</v>
      </c>
      <c r="AP71" s="9"/>
      <c r="AQ71" s="22">
        <v>1.3928199999999999</v>
      </c>
      <c r="AR71" s="22">
        <v>496.66500000000002</v>
      </c>
      <c r="AS71" s="22">
        <v>-1.26709E-3</v>
      </c>
      <c r="AT71" s="22">
        <v>61</v>
      </c>
      <c r="AU71" s="22">
        <v>1.3928199999999999</v>
      </c>
      <c r="AV71">
        <f t="shared" si="8"/>
        <v>1.26709</v>
      </c>
      <c r="AW71">
        <f t="shared" si="9"/>
        <v>1.7648282937999999</v>
      </c>
      <c r="AX71" s="9"/>
      <c r="AY71" s="22">
        <v>0.20721400000000001</v>
      </c>
      <c r="AZ71" s="22">
        <v>619.02300000000002</v>
      </c>
      <c r="BA71" s="22">
        <v>-1.7947399999999999E-2</v>
      </c>
      <c r="BB71" s="22">
        <v>61</v>
      </c>
      <c r="BC71" s="22">
        <v>0.20663500000000001</v>
      </c>
      <c r="BD71">
        <f t="shared" si="10"/>
        <v>17.947399999999998</v>
      </c>
      <c r="BE71">
        <f t="shared" si="11"/>
        <v>3.7189525435999999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82.505200000000002</v>
      </c>
      <c r="I72" s="22">
        <v>-1.61011E-2</v>
      </c>
      <c r="J72" s="22">
        <v>62</v>
      </c>
      <c r="K72" s="22">
        <v>1.3870199999999999</v>
      </c>
      <c r="L72">
        <f t="shared" si="0"/>
        <v>16.101099999999999</v>
      </c>
      <c r="M72">
        <f t="shared" si="1"/>
        <v>22.344945569</v>
      </c>
      <c r="N72" s="9"/>
      <c r="O72" s="22">
        <v>0.21224999999999999</v>
      </c>
      <c r="P72" s="22">
        <v>197.422</v>
      </c>
      <c r="Q72" s="22">
        <v>-1.80115E-2</v>
      </c>
      <c r="R72" s="22">
        <v>62</v>
      </c>
      <c r="S72" s="22">
        <v>0.21160899999999999</v>
      </c>
      <c r="T72">
        <f t="shared" si="2"/>
        <v>18.011499999999998</v>
      </c>
      <c r="U72">
        <f t="shared" si="3"/>
        <v>3.8229408749999996</v>
      </c>
      <c r="X72" s="9"/>
      <c r="Y72" s="22">
        <v>1.3877900000000001</v>
      </c>
      <c r="Z72" s="22">
        <v>300.40899999999999</v>
      </c>
      <c r="AA72" s="22">
        <v>-1.6409300000000002E-2</v>
      </c>
      <c r="AB72" s="22">
        <v>62</v>
      </c>
      <c r="AC72" s="22">
        <v>1.3870199999999999</v>
      </c>
      <c r="AD72">
        <f t="shared" si="4"/>
        <v>16.409300000000002</v>
      </c>
      <c r="AE72">
        <f t="shared" si="5"/>
        <v>22.772662447000005</v>
      </c>
      <c r="AF72" s="9"/>
      <c r="AG72" s="22">
        <v>0.21224999999999999</v>
      </c>
      <c r="AH72" s="22">
        <v>360.988</v>
      </c>
      <c r="AI72" s="22">
        <v>-1.7974899999999999E-2</v>
      </c>
      <c r="AJ72" s="22">
        <v>62</v>
      </c>
      <c r="AK72" s="22">
        <v>0.211975</v>
      </c>
      <c r="AL72">
        <f t="shared" si="6"/>
        <v>17.974899999999998</v>
      </c>
      <c r="AM72">
        <f t="shared" si="7"/>
        <v>3.8151725249999995</v>
      </c>
      <c r="AP72" s="9"/>
      <c r="AQ72" s="22">
        <v>1.3877900000000001</v>
      </c>
      <c r="AR72" s="22">
        <v>496.76600000000002</v>
      </c>
      <c r="AS72" s="22">
        <v>-1.27991E-3</v>
      </c>
      <c r="AT72" s="22">
        <v>62</v>
      </c>
      <c r="AU72" s="22">
        <v>1.3864099999999999</v>
      </c>
      <c r="AV72">
        <f t="shared" si="8"/>
        <v>1.2799099999999999</v>
      </c>
      <c r="AW72">
        <f t="shared" si="9"/>
        <v>1.7762462988999999</v>
      </c>
      <c r="AX72" s="9"/>
      <c r="AY72" s="22">
        <v>0.21224999999999999</v>
      </c>
      <c r="AZ72" s="22">
        <v>619.12300000000005</v>
      </c>
      <c r="BA72" s="22">
        <v>-1.7947399999999999E-2</v>
      </c>
      <c r="BB72" s="22">
        <v>62</v>
      </c>
      <c r="BC72" s="22">
        <v>0.2117</v>
      </c>
      <c r="BD72">
        <f t="shared" si="10"/>
        <v>17.947399999999998</v>
      </c>
      <c r="BE72">
        <f t="shared" si="11"/>
        <v>3.8093356499999995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82.605900000000005</v>
      </c>
      <c r="I73" s="22">
        <v>-1.6055300000000002E-2</v>
      </c>
      <c r="J73" s="22">
        <v>63</v>
      </c>
      <c r="K73" s="22">
        <v>1.38184</v>
      </c>
      <c r="L73">
        <f t="shared" si="0"/>
        <v>16.055300000000003</v>
      </c>
      <c r="M73">
        <f t="shared" si="1"/>
        <v>22.200466075000001</v>
      </c>
      <c r="N73" s="9"/>
      <c r="O73" s="22">
        <v>0.21728500000000001</v>
      </c>
      <c r="P73" s="22">
        <v>197.523</v>
      </c>
      <c r="Q73" s="22">
        <v>-1.8008400000000001E-2</v>
      </c>
      <c r="R73" s="22">
        <v>63</v>
      </c>
      <c r="S73" s="22">
        <v>0.21676599999999999</v>
      </c>
      <c r="T73">
        <f t="shared" si="2"/>
        <v>18.008400000000002</v>
      </c>
      <c r="U73">
        <f t="shared" si="3"/>
        <v>3.9129551940000007</v>
      </c>
      <c r="X73" s="9"/>
      <c r="Y73" s="22">
        <v>1.3827499999999999</v>
      </c>
      <c r="Z73" s="22">
        <v>300.51</v>
      </c>
      <c r="AA73" s="22">
        <v>-1.6464199999999998E-2</v>
      </c>
      <c r="AB73" s="22">
        <v>63</v>
      </c>
      <c r="AC73" s="22">
        <v>1.3821399999999999</v>
      </c>
      <c r="AD73">
        <f t="shared" si="4"/>
        <v>16.464199999999998</v>
      </c>
      <c r="AE73">
        <f t="shared" si="5"/>
        <v>22.765872549999997</v>
      </c>
      <c r="AF73" s="9"/>
      <c r="AG73" s="22">
        <v>0.21728500000000001</v>
      </c>
      <c r="AH73" s="22">
        <v>361.089</v>
      </c>
      <c r="AI73" s="22">
        <v>-1.7965700000000001E-2</v>
      </c>
      <c r="AJ73" s="22">
        <v>63</v>
      </c>
      <c r="AK73" s="22">
        <v>0.21679699999999999</v>
      </c>
      <c r="AL73">
        <f t="shared" si="6"/>
        <v>17.965700000000002</v>
      </c>
      <c r="AM73">
        <f t="shared" si="7"/>
        <v>3.9036771245000006</v>
      </c>
      <c r="AP73" s="9"/>
      <c r="AQ73" s="22">
        <v>1.3827499999999999</v>
      </c>
      <c r="AR73" s="22">
        <v>496.86700000000002</v>
      </c>
      <c r="AS73" s="22">
        <v>-6.9366499999999999E-3</v>
      </c>
      <c r="AT73" s="22">
        <v>63</v>
      </c>
      <c r="AU73" s="22">
        <v>1.38184</v>
      </c>
      <c r="AV73">
        <f t="shared" si="8"/>
        <v>6.9366500000000002</v>
      </c>
      <c r="AW73">
        <f t="shared" si="9"/>
        <v>9.5916527874999993</v>
      </c>
      <c r="AX73" s="9"/>
      <c r="AY73" s="22">
        <v>0.21728500000000001</v>
      </c>
      <c r="AZ73" s="22">
        <v>619.22400000000005</v>
      </c>
      <c r="BA73" s="22">
        <v>-1.7947399999999999E-2</v>
      </c>
      <c r="BB73" s="22">
        <v>63</v>
      </c>
      <c r="BC73" s="22">
        <v>0.21676599999999999</v>
      </c>
      <c r="BD73">
        <f t="shared" si="10"/>
        <v>17.947399999999998</v>
      </c>
      <c r="BE73">
        <f t="shared" si="11"/>
        <v>3.8997008089999996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82.706599999999995</v>
      </c>
      <c r="I74" s="22">
        <v>-1.60065E-2</v>
      </c>
      <c r="J74" s="22">
        <v>64</v>
      </c>
      <c r="K74" s="22">
        <v>1.3775599999999999</v>
      </c>
      <c r="L74">
        <f t="shared" si="0"/>
        <v>16.006499999999999</v>
      </c>
      <c r="M74">
        <f t="shared" si="1"/>
        <v>22.052475179999998</v>
      </c>
      <c r="N74" s="9"/>
      <c r="O74" s="22">
        <v>0.22232099999999999</v>
      </c>
      <c r="P74" s="22">
        <v>197.624</v>
      </c>
      <c r="Q74" s="22">
        <v>-1.8008400000000001E-2</v>
      </c>
      <c r="R74" s="22">
        <v>64</v>
      </c>
      <c r="S74" s="22">
        <v>0.221771</v>
      </c>
      <c r="T74">
        <f t="shared" si="2"/>
        <v>18.008400000000002</v>
      </c>
      <c r="U74">
        <f t="shared" si="3"/>
        <v>4.0036454963999999</v>
      </c>
      <c r="X74" s="9"/>
      <c r="Y74" s="22">
        <v>1.3777200000000001</v>
      </c>
      <c r="Z74" s="22">
        <v>300.61</v>
      </c>
      <c r="AA74" s="22">
        <v>-1.6522200000000001E-2</v>
      </c>
      <c r="AB74" s="22">
        <v>64</v>
      </c>
      <c r="AC74" s="22">
        <v>1.3766499999999999</v>
      </c>
      <c r="AD74">
        <f t="shared" si="4"/>
        <v>16.522200000000002</v>
      </c>
      <c r="AE74">
        <f t="shared" si="5"/>
        <v>22.762965384000005</v>
      </c>
      <c r="AF74" s="9"/>
      <c r="AG74" s="22">
        <v>0.22232099999999999</v>
      </c>
      <c r="AH74" s="22">
        <v>361.18900000000002</v>
      </c>
      <c r="AI74" s="22">
        <v>-1.7959599999999999E-2</v>
      </c>
      <c r="AJ74" s="22">
        <v>64</v>
      </c>
      <c r="AK74" s="22">
        <v>0.222137</v>
      </c>
      <c r="AL74">
        <f t="shared" si="6"/>
        <v>17.959599999999998</v>
      </c>
      <c r="AM74">
        <f t="shared" si="7"/>
        <v>3.9927962315999994</v>
      </c>
      <c r="AP74" s="9"/>
      <c r="AQ74" s="22">
        <v>1.3777200000000001</v>
      </c>
      <c r="AR74" s="22">
        <v>496.96800000000002</v>
      </c>
      <c r="AS74" s="22">
        <v>-1.50391E-2</v>
      </c>
      <c r="AT74" s="22">
        <v>64</v>
      </c>
      <c r="AU74" s="22">
        <v>1.3766499999999999</v>
      </c>
      <c r="AV74">
        <f t="shared" si="8"/>
        <v>15.039099999999999</v>
      </c>
      <c r="AW74">
        <f t="shared" si="9"/>
        <v>20.719668852000002</v>
      </c>
      <c r="AX74" s="9"/>
      <c r="AY74" s="22">
        <v>0.22232099999999999</v>
      </c>
      <c r="AZ74" s="22">
        <v>619.32500000000005</v>
      </c>
      <c r="BA74" s="22">
        <v>-1.79413E-2</v>
      </c>
      <c r="BB74" s="22">
        <v>64</v>
      </c>
      <c r="BC74" s="22">
        <v>0.22189300000000001</v>
      </c>
      <c r="BD74">
        <f t="shared" si="10"/>
        <v>17.941300000000002</v>
      </c>
      <c r="BE74">
        <f t="shared" si="11"/>
        <v>3.9887277573000004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82.807299999999998</v>
      </c>
      <c r="I75" s="22">
        <v>-1.5588400000000001E-2</v>
      </c>
      <c r="J75" s="22">
        <v>65</v>
      </c>
      <c r="K75" s="22">
        <v>1.3717699999999999</v>
      </c>
      <c r="L75">
        <f t="shared" si="0"/>
        <v>15.5884</v>
      </c>
      <c r="M75">
        <f t="shared" si="1"/>
        <v>21.397884911999999</v>
      </c>
      <c r="N75" s="9"/>
      <c r="O75" s="22">
        <v>0.227356</v>
      </c>
      <c r="P75" s="22">
        <v>197.72399999999999</v>
      </c>
      <c r="Q75" s="22">
        <v>-1.8005400000000001E-2</v>
      </c>
      <c r="R75" s="22">
        <v>65</v>
      </c>
      <c r="S75" s="22">
        <v>0.22656299999999999</v>
      </c>
      <c r="T75">
        <f t="shared" si="2"/>
        <v>18.005400000000002</v>
      </c>
      <c r="U75">
        <f t="shared" si="3"/>
        <v>4.0936357224000002</v>
      </c>
      <c r="X75" s="9"/>
      <c r="Y75" s="22">
        <v>1.3726799999999999</v>
      </c>
      <c r="Z75" s="22">
        <v>300.71100000000001</v>
      </c>
      <c r="AA75" s="22">
        <v>-1.6558799999999999E-2</v>
      </c>
      <c r="AB75" s="22">
        <v>65</v>
      </c>
      <c r="AC75" s="22">
        <v>1.3723799999999999</v>
      </c>
      <c r="AD75">
        <f t="shared" si="4"/>
        <v>16.558799999999998</v>
      </c>
      <c r="AE75">
        <f t="shared" si="5"/>
        <v>22.729933583999994</v>
      </c>
      <c r="AF75" s="9"/>
      <c r="AG75" s="22">
        <v>0.227356</v>
      </c>
      <c r="AH75" s="22">
        <v>361.29</v>
      </c>
      <c r="AI75" s="22">
        <v>-1.7953500000000001E-2</v>
      </c>
      <c r="AJ75" s="22">
        <v>65</v>
      </c>
      <c r="AK75" s="22">
        <v>0.22644</v>
      </c>
      <c r="AL75">
        <f t="shared" si="6"/>
        <v>17.953500000000002</v>
      </c>
      <c r="AM75">
        <f t="shared" si="7"/>
        <v>4.0818359460000009</v>
      </c>
      <c r="AP75" s="9"/>
      <c r="AQ75" s="22">
        <v>1.3726799999999999</v>
      </c>
      <c r="AR75" s="22">
        <v>497.06799999999998</v>
      </c>
      <c r="AS75" s="22">
        <v>-1.54938E-2</v>
      </c>
      <c r="AT75" s="22">
        <v>65</v>
      </c>
      <c r="AU75" s="22">
        <v>1.3717699999999999</v>
      </c>
      <c r="AV75">
        <f t="shared" si="8"/>
        <v>15.4938</v>
      </c>
      <c r="AW75">
        <f t="shared" si="9"/>
        <v>21.268029383999998</v>
      </c>
      <c r="AX75" s="9"/>
      <c r="AY75" s="22">
        <v>0.227356</v>
      </c>
      <c r="AZ75" s="22">
        <v>619.42499999999995</v>
      </c>
      <c r="BA75" s="22">
        <v>-1.79443E-2</v>
      </c>
      <c r="BB75" s="22">
        <v>65</v>
      </c>
      <c r="BC75" s="22">
        <v>0.22680700000000001</v>
      </c>
      <c r="BD75">
        <f t="shared" si="10"/>
        <v>17.944299999999998</v>
      </c>
      <c r="BE75">
        <f t="shared" si="11"/>
        <v>4.0797442708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82.908000000000001</v>
      </c>
      <c r="I76" s="22">
        <v>-1.57196E-2</v>
      </c>
      <c r="J76" s="22">
        <v>66</v>
      </c>
      <c r="K76" s="22">
        <v>1.3665799999999999</v>
      </c>
      <c r="L76">
        <f t="shared" ref="L76:L139" si="12">-I76/$F$2*1000</f>
        <v>15.7196</v>
      </c>
      <c r="M76">
        <f t="shared" ref="M76:M139" si="13">L76*G76</f>
        <v>21.498910940000002</v>
      </c>
      <c r="N76" s="9"/>
      <c r="O76" s="22">
        <v>0.23239099999999999</v>
      </c>
      <c r="P76" s="22">
        <v>197.82499999999999</v>
      </c>
      <c r="Q76" s="22">
        <v>-1.7987099999999999E-2</v>
      </c>
      <c r="R76" s="22">
        <v>66</v>
      </c>
      <c r="S76" s="22">
        <v>0.231903</v>
      </c>
      <c r="T76">
        <f t="shared" ref="T76:T139" si="14">-Q76/$F$2*1000</f>
        <v>17.987099999999998</v>
      </c>
      <c r="U76">
        <f t="shared" ref="U76:U139" si="15">T76*O76</f>
        <v>4.1800401560999996</v>
      </c>
      <c r="X76" s="9"/>
      <c r="Y76" s="22">
        <v>1.36765</v>
      </c>
      <c r="Z76" s="22">
        <v>300.81200000000001</v>
      </c>
      <c r="AA76" s="22">
        <v>-1.6586299999999998E-2</v>
      </c>
      <c r="AB76" s="22">
        <v>66</v>
      </c>
      <c r="AC76" s="22">
        <v>1.3665799999999999</v>
      </c>
      <c r="AD76">
        <f t="shared" ref="AD76:AD139" si="16">-AA76/$F$2*1000</f>
        <v>16.586299999999998</v>
      </c>
      <c r="AE76">
        <f t="shared" ref="AE76:AE139" si="17">AD76*Y76</f>
        <v>22.684253194999997</v>
      </c>
      <c r="AF76" s="9"/>
      <c r="AG76" s="22">
        <v>0.23239099999999999</v>
      </c>
      <c r="AH76" s="22">
        <v>361.39100000000002</v>
      </c>
      <c r="AI76" s="22">
        <v>-1.7950399999999998E-2</v>
      </c>
      <c r="AJ76" s="22">
        <v>66</v>
      </c>
      <c r="AK76" s="22">
        <v>0.23211699999999999</v>
      </c>
      <c r="AL76">
        <f t="shared" ref="AL76:AL139" si="18">-AI76/$F$2*1000</f>
        <v>17.950399999999998</v>
      </c>
      <c r="AM76">
        <f t="shared" ref="AM76:AM139" si="19">AL76*AG76</f>
        <v>4.1715114063999996</v>
      </c>
      <c r="AP76" s="9"/>
      <c r="AQ76" s="22">
        <v>1.36765</v>
      </c>
      <c r="AR76" s="22">
        <v>497.16899999999998</v>
      </c>
      <c r="AS76" s="22">
        <v>-1.5802E-2</v>
      </c>
      <c r="AT76" s="22">
        <v>66</v>
      </c>
      <c r="AU76" s="22">
        <v>1.3668800000000001</v>
      </c>
      <c r="AV76">
        <f t="shared" ref="AV76:AV139" si="20">-AS76/$F$2*1000</f>
        <v>15.802</v>
      </c>
      <c r="AW76">
        <f t="shared" ref="AW76:AW139" si="21">AV76*AQ76</f>
        <v>21.611605300000001</v>
      </c>
      <c r="AX76" s="9"/>
      <c r="AY76" s="22">
        <v>0.23239099999999999</v>
      </c>
      <c r="AZ76" s="22">
        <v>619.52599999999995</v>
      </c>
      <c r="BA76" s="22">
        <v>-1.7932099999999999E-2</v>
      </c>
      <c r="BB76" s="22">
        <v>66</v>
      </c>
      <c r="BC76" s="22">
        <v>0.231873</v>
      </c>
      <c r="BD76">
        <f t="shared" ref="BD76:BD139" si="22">-BA76/$F$2*1000</f>
        <v>17.932099999999998</v>
      </c>
      <c r="BE76">
        <f t="shared" ref="BE76:BE139" si="23">BD76*AY76</f>
        <v>4.1672586510999992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83.008700000000005</v>
      </c>
      <c r="I77" s="22">
        <v>-1.53992E-2</v>
      </c>
      <c r="J77" s="22">
        <v>67</v>
      </c>
      <c r="K77" s="22">
        <v>1.3616900000000001</v>
      </c>
      <c r="L77">
        <f t="shared" si="12"/>
        <v>15.3992</v>
      </c>
      <c r="M77">
        <f t="shared" si="13"/>
        <v>20.983103912000001</v>
      </c>
      <c r="N77" s="9"/>
      <c r="O77" s="22">
        <v>0.237427</v>
      </c>
      <c r="P77" s="22">
        <v>197.92599999999999</v>
      </c>
      <c r="Q77" s="22">
        <v>-1.7990099999999998E-2</v>
      </c>
      <c r="R77" s="22">
        <v>67</v>
      </c>
      <c r="S77" s="22">
        <v>0.23693800000000001</v>
      </c>
      <c r="T77">
        <f t="shared" si="14"/>
        <v>17.990099999999998</v>
      </c>
      <c r="U77">
        <f t="shared" si="15"/>
        <v>4.2713354726999997</v>
      </c>
      <c r="X77" s="9"/>
      <c r="Y77" s="22">
        <v>1.3626100000000001</v>
      </c>
      <c r="Z77" s="22">
        <v>300.91199999999998</v>
      </c>
      <c r="AA77" s="22">
        <v>-1.66199E-2</v>
      </c>
      <c r="AB77" s="22">
        <v>67</v>
      </c>
      <c r="AC77" s="22">
        <v>1.3620000000000001</v>
      </c>
      <c r="AD77">
        <f t="shared" si="16"/>
        <v>16.619900000000001</v>
      </c>
      <c r="AE77">
        <f t="shared" si="17"/>
        <v>22.646441939000002</v>
      </c>
      <c r="AF77" s="9"/>
      <c r="AG77" s="22">
        <v>0.237427</v>
      </c>
      <c r="AH77" s="22">
        <v>361.49099999999999</v>
      </c>
      <c r="AI77" s="22">
        <v>-1.7950399999999998E-2</v>
      </c>
      <c r="AJ77" s="22">
        <v>67</v>
      </c>
      <c r="AK77" s="22">
        <v>0.23690800000000001</v>
      </c>
      <c r="AL77">
        <f t="shared" si="18"/>
        <v>17.950399999999998</v>
      </c>
      <c r="AM77">
        <f t="shared" si="19"/>
        <v>4.2619096208</v>
      </c>
      <c r="AP77" s="9"/>
      <c r="AQ77" s="22">
        <v>1.3626100000000001</v>
      </c>
      <c r="AR77" s="22">
        <v>497.27</v>
      </c>
      <c r="AS77" s="22">
        <v>-1.5976000000000001E-2</v>
      </c>
      <c r="AT77" s="22">
        <v>67</v>
      </c>
      <c r="AU77" s="22">
        <v>1.3613900000000001</v>
      </c>
      <c r="AV77">
        <f t="shared" si="20"/>
        <v>15.976000000000001</v>
      </c>
      <c r="AW77">
        <f t="shared" si="21"/>
        <v>21.769057360000001</v>
      </c>
      <c r="AX77" s="9"/>
      <c r="AY77" s="22">
        <v>0.237427</v>
      </c>
      <c r="AZ77" s="22">
        <v>619.62699999999995</v>
      </c>
      <c r="BA77" s="22">
        <v>-1.7926000000000001E-2</v>
      </c>
      <c r="BB77" s="22">
        <v>67</v>
      </c>
      <c r="BC77" s="22">
        <v>0.23660300000000001</v>
      </c>
      <c r="BD77">
        <f t="shared" si="22"/>
        <v>17.926000000000002</v>
      </c>
      <c r="BE77">
        <f t="shared" si="23"/>
        <v>4.2561164020000009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83.109399999999994</v>
      </c>
      <c r="I78" s="22">
        <v>-1.5875199999999999E-2</v>
      </c>
      <c r="J78" s="22">
        <v>68</v>
      </c>
      <c r="K78" s="22">
        <v>1.3583400000000001</v>
      </c>
      <c r="L78">
        <f t="shared" si="12"/>
        <v>15.8752</v>
      </c>
      <c r="M78">
        <f t="shared" si="13"/>
        <v>21.551695263999999</v>
      </c>
      <c r="N78" s="9"/>
      <c r="O78" s="22">
        <v>0.24246200000000001</v>
      </c>
      <c r="P78" s="22">
        <v>198.02600000000001</v>
      </c>
      <c r="Q78" s="22">
        <v>-1.7981E-2</v>
      </c>
      <c r="R78" s="22">
        <v>68</v>
      </c>
      <c r="S78" s="22">
        <v>0.24185200000000001</v>
      </c>
      <c r="T78">
        <f t="shared" si="14"/>
        <v>17.981000000000002</v>
      </c>
      <c r="U78">
        <f t="shared" si="15"/>
        <v>4.3597092220000002</v>
      </c>
      <c r="X78" s="9"/>
      <c r="Y78" s="22">
        <v>1.3575699999999999</v>
      </c>
      <c r="Z78" s="22">
        <v>301.01299999999998</v>
      </c>
      <c r="AA78" s="22">
        <v>-1.6638199999999999E-2</v>
      </c>
      <c r="AB78" s="22">
        <v>68</v>
      </c>
      <c r="AC78" s="22">
        <v>1.3565100000000001</v>
      </c>
      <c r="AD78">
        <f t="shared" si="16"/>
        <v>16.638199999999998</v>
      </c>
      <c r="AE78">
        <f t="shared" si="17"/>
        <v>22.587521173999995</v>
      </c>
      <c r="AF78" s="9"/>
      <c r="AG78" s="22">
        <v>0.24246200000000001</v>
      </c>
      <c r="AH78" s="22">
        <v>361.59199999999998</v>
      </c>
      <c r="AI78" s="22">
        <v>-1.7950399999999998E-2</v>
      </c>
      <c r="AJ78" s="22">
        <v>68</v>
      </c>
      <c r="AK78" s="22">
        <v>0.24160799999999999</v>
      </c>
      <c r="AL78">
        <f t="shared" si="18"/>
        <v>17.950399999999998</v>
      </c>
      <c r="AM78">
        <f t="shared" si="19"/>
        <v>4.3522898848000002</v>
      </c>
      <c r="AP78" s="9"/>
      <c r="AQ78" s="22">
        <v>1.3575699999999999</v>
      </c>
      <c r="AR78" s="22">
        <v>497.37</v>
      </c>
      <c r="AS78" s="22">
        <v>-1.6067499999999998E-2</v>
      </c>
      <c r="AT78" s="22">
        <v>68</v>
      </c>
      <c r="AU78" s="22">
        <v>1.3562000000000001</v>
      </c>
      <c r="AV78">
        <f t="shared" si="20"/>
        <v>16.067499999999999</v>
      </c>
      <c r="AW78">
        <f t="shared" si="21"/>
        <v>21.812755974999998</v>
      </c>
      <c r="AX78" s="9"/>
      <c r="AY78" s="22">
        <v>0.24246200000000001</v>
      </c>
      <c r="AZ78" s="22">
        <v>619.72699999999998</v>
      </c>
      <c r="BA78" s="22">
        <v>-1.79291E-2</v>
      </c>
      <c r="BB78" s="22">
        <v>68</v>
      </c>
      <c r="BC78" s="22">
        <v>0.24163799999999999</v>
      </c>
      <c r="BD78">
        <f t="shared" si="22"/>
        <v>17.929099999999998</v>
      </c>
      <c r="BE78">
        <f t="shared" si="23"/>
        <v>4.3471254441999996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83.210099999999997</v>
      </c>
      <c r="I79" s="22">
        <v>-1.60889E-2</v>
      </c>
      <c r="J79" s="22">
        <v>69</v>
      </c>
      <c r="K79" s="22">
        <v>1.3525400000000001</v>
      </c>
      <c r="L79">
        <f t="shared" si="12"/>
        <v>16.088899999999999</v>
      </c>
      <c r="M79">
        <f t="shared" si="13"/>
        <v>21.760880805999999</v>
      </c>
      <c r="N79" s="9"/>
      <c r="O79" s="22">
        <v>0.247498</v>
      </c>
      <c r="P79" s="22">
        <v>198.12700000000001</v>
      </c>
      <c r="Q79" s="22">
        <v>-1.7987099999999999E-2</v>
      </c>
      <c r="R79" s="22">
        <v>69</v>
      </c>
      <c r="S79" s="22">
        <v>0.24707000000000001</v>
      </c>
      <c r="T79">
        <f t="shared" si="14"/>
        <v>17.987099999999998</v>
      </c>
      <c r="U79">
        <f t="shared" si="15"/>
        <v>4.4517712757999996</v>
      </c>
      <c r="X79" s="9"/>
      <c r="Y79" s="22">
        <v>1.3525400000000001</v>
      </c>
      <c r="Z79" s="22">
        <v>301.11399999999998</v>
      </c>
      <c r="AA79" s="22">
        <v>-1.6665599999999999E-2</v>
      </c>
      <c r="AB79" s="22">
        <v>69</v>
      </c>
      <c r="AC79" s="22">
        <v>1.35223</v>
      </c>
      <c r="AD79">
        <f t="shared" si="16"/>
        <v>16.665599999999998</v>
      </c>
      <c r="AE79">
        <f t="shared" si="17"/>
        <v>22.540890623999999</v>
      </c>
      <c r="AF79" s="9"/>
      <c r="AG79" s="22">
        <v>0.247498</v>
      </c>
      <c r="AH79" s="22">
        <v>361.69299999999998</v>
      </c>
      <c r="AI79" s="22">
        <v>-1.7953500000000001E-2</v>
      </c>
      <c r="AJ79" s="22">
        <v>69</v>
      </c>
      <c r="AK79" s="22">
        <v>0.24673500000000001</v>
      </c>
      <c r="AL79">
        <f t="shared" si="18"/>
        <v>17.953500000000002</v>
      </c>
      <c r="AM79">
        <f t="shared" si="19"/>
        <v>4.4434553430000001</v>
      </c>
      <c r="AP79" s="9"/>
      <c r="AQ79" s="22">
        <v>1.3525400000000001</v>
      </c>
      <c r="AR79" s="22">
        <v>497.471</v>
      </c>
      <c r="AS79" s="22">
        <v>-1.6180400000000001E-2</v>
      </c>
      <c r="AT79" s="22">
        <v>69</v>
      </c>
      <c r="AU79" s="22">
        <v>1.35162</v>
      </c>
      <c r="AV79">
        <f t="shared" si="20"/>
        <v>16.180400000000002</v>
      </c>
      <c r="AW79">
        <f t="shared" si="21"/>
        <v>21.884638216000006</v>
      </c>
      <c r="AX79" s="9"/>
      <c r="AY79" s="22">
        <v>0.247498</v>
      </c>
      <c r="AZ79" s="22">
        <v>619.82799999999997</v>
      </c>
      <c r="BA79" s="22">
        <v>-1.7913800000000001E-2</v>
      </c>
      <c r="BB79" s="22">
        <v>69</v>
      </c>
      <c r="BC79" s="22">
        <v>0.24682599999999999</v>
      </c>
      <c r="BD79">
        <f t="shared" si="22"/>
        <v>17.913800000000002</v>
      </c>
      <c r="BE79">
        <f t="shared" si="23"/>
        <v>4.4336296724000004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83.3108</v>
      </c>
      <c r="I80" s="22">
        <v>-1.6030900000000001E-2</v>
      </c>
      <c r="J80" s="22">
        <v>70</v>
      </c>
      <c r="K80" s="22">
        <v>1.35162</v>
      </c>
      <c r="L80">
        <f t="shared" si="12"/>
        <v>16.030899999999999</v>
      </c>
      <c r="M80">
        <f t="shared" si="13"/>
        <v>21.601637749999998</v>
      </c>
      <c r="N80" s="9"/>
      <c r="O80" s="22">
        <v>0.25253300000000001</v>
      </c>
      <c r="P80" s="22">
        <v>198.22800000000001</v>
      </c>
      <c r="Q80" s="22">
        <v>-1.7984E-2</v>
      </c>
      <c r="R80" s="22">
        <v>70</v>
      </c>
      <c r="S80" s="22">
        <v>0.25186199999999997</v>
      </c>
      <c r="T80">
        <f t="shared" si="14"/>
        <v>17.984000000000002</v>
      </c>
      <c r="U80">
        <f t="shared" si="15"/>
        <v>4.5415534720000004</v>
      </c>
      <c r="X80" s="9"/>
      <c r="Y80" s="22">
        <v>1.3474999999999999</v>
      </c>
      <c r="Z80" s="22">
        <v>301.21499999999997</v>
      </c>
      <c r="AA80" s="22">
        <v>-1.66626E-2</v>
      </c>
      <c r="AB80" s="22">
        <v>70</v>
      </c>
      <c r="AC80" s="22">
        <v>1.3470500000000001</v>
      </c>
      <c r="AD80">
        <f t="shared" si="16"/>
        <v>16.662600000000001</v>
      </c>
      <c r="AE80">
        <f t="shared" si="17"/>
        <v>22.4528535</v>
      </c>
      <c r="AF80" s="9"/>
      <c r="AG80" s="22">
        <v>0.25253300000000001</v>
      </c>
      <c r="AH80" s="22">
        <v>361.79300000000001</v>
      </c>
      <c r="AI80" s="22">
        <v>-1.7950399999999998E-2</v>
      </c>
      <c r="AJ80" s="22">
        <v>70</v>
      </c>
      <c r="AK80" s="22">
        <v>0.25228899999999999</v>
      </c>
      <c r="AL80">
        <f t="shared" si="18"/>
        <v>17.950399999999998</v>
      </c>
      <c r="AM80">
        <f t="shared" si="19"/>
        <v>4.5330683632</v>
      </c>
      <c r="AP80" s="9"/>
      <c r="AQ80" s="22">
        <v>1.3474999999999999</v>
      </c>
      <c r="AR80" s="22">
        <v>497.572</v>
      </c>
      <c r="AS80" s="22">
        <v>-1.62384E-2</v>
      </c>
      <c r="AT80" s="22">
        <v>70</v>
      </c>
      <c r="AU80" s="22">
        <v>1.34735</v>
      </c>
      <c r="AV80">
        <f t="shared" si="20"/>
        <v>16.238399999999999</v>
      </c>
      <c r="AW80">
        <f t="shared" si="21"/>
        <v>21.881243999999995</v>
      </c>
      <c r="AX80" s="9"/>
      <c r="AY80" s="22">
        <v>0.25253300000000001</v>
      </c>
      <c r="AZ80" s="22">
        <v>619.92899999999997</v>
      </c>
      <c r="BA80" s="22">
        <v>-1.7919899999999999E-2</v>
      </c>
      <c r="BB80" s="22">
        <v>70</v>
      </c>
      <c r="BC80" s="22">
        <v>0.25198399999999999</v>
      </c>
      <c r="BD80">
        <f t="shared" si="22"/>
        <v>17.919899999999998</v>
      </c>
      <c r="BE80">
        <f t="shared" si="23"/>
        <v>4.5253661066999999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83.411500000000004</v>
      </c>
      <c r="I81" s="22">
        <v>-1.6137700000000001E-2</v>
      </c>
      <c r="J81" s="22">
        <v>71</v>
      </c>
      <c r="K81" s="22">
        <v>1.34155</v>
      </c>
      <c r="L81">
        <f t="shared" si="12"/>
        <v>16.137700000000002</v>
      </c>
      <c r="M81">
        <f t="shared" si="13"/>
        <v>21.664378119000006</v>
      </c>
      <c r="N81" s="9"/>
      <c r="O81" s="22">
        <v>0.25756800000000002</v>
      </c>
      <c r="P81" s="22">
        <v>198.328</v>
      </c>
      <c r="Q81" s="22">
        <v>-1.7984E-2</v>
      </c>
      <c r="R81" s="22">
        <v>71</v>
      </c>
      <c r="S81" s="22">
        <v>0.257019</v>
      </c>
      <c r="T81">
        <f t="shared" si="14"/>
        <v>17.984000000000002</v>
      </c>
      <c r="U81">
        <f t="shared" si="15"/>
        <v>4.6321029120000006</v>
      </c>
      <c r="X81" s="9"/>
      <c r="Y81" s="22">
        <v>1.3424700000000001</v>
      </c>
      <c r="Z81" s="22">
        <v>301.315</v>
      </c>
      <c r="AA81" s="22">
        <v>-1.6696200000000001E-2</v>
      </c>
      <c r="AB81" s="22">
        <v>71</v>
      </c>
      <c r="AC81" s="22">
        <v>1.34216</v>
      </c>
      <c r="AD81">
        <f t="shared" si="16"/>
        <v>16.696200000000001</v>
      </c>
      <c r="AE81">
        <f t="shared" si="17"/>
        <v>22.414147614000001</v>
      </c>
      <c r="AF81" s="9"/>
      <c r="AG81" s="22">
        <v>0.25756800000000002</v>
      </c>
      <c r="AH81" s="22">
        <v>361.89400000000001</v>
      </c>
      <c r="AI81" s="22">
        <v>-1.7947399999999999E-2</v>
      </c>
      <c r="AJ81" s="22">
        <v>71</v>
      </c>
      <c r="AK81" s="22">
        <v>0.25698900000000002</v>
      </c>
      <c r="AL81">
        <f t="shared" si="18"/>
        <v>17.947399999999998</v>
      </c>
      <c r="AM81">
        <f t="shared" si="19"/>
        <v>4.6226759232000001</v>
      </c>
      <c r="AP81" s="9"/>
      <c r="AQ81" s="22">
        <v>1.3424700000000001</v>
      </c>
      <c r="AR81" s="22">
        <v>497.673</v>
      </c>
      <c r="AS81" s="22">
        <v>-1.6290300000000001E-2</v>
      </c>
      <c r="AT81" s="22">
        <v>71</v>
      </c>
      <c r="AU81" s="22">
        <v>1.3418600000000001</v>
      </c>
      <c r="AV81">
        <f t="shared" si="20"/>
        <v>16.290300000000002</v>
      </c>
      <c r="AW81">
        <f t="shared" si="21"/>
        <v>21.869239041000004</v>
      </c>
      <c r="AX81" s="9"/>
      <c r="AY81" s="22">
        <v>0.25756800000000002</v>
      </c>
      <c r="AZ81" s="22">
        <v>620.03</v>
      </c>
      <c r="BA81" s="22">
        <v>-1.7923000000000001E-2</v>
      </c>
      <c r="BB81" s="22">
        <v>71</v>
      </c>
      <c r="BC81" s="22">
        <v>0.25698900000000002</v>
      </c>
      <c r="BD81">
        <f t="shared" si="22"/>
        <v>17.923000000000002</v>
      </c>
      <c r="BE81">
        <f t="shared" si="23"/>
        <v>4.6163912640000007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83.512299999999996</v>
      </c>
      <c r="I82" s="22">
        <v>-1.5771500000000001E-2</v>
      </c>
      <c r="J82" s="22">
        <v>72</v>
      </c>
      <c r="K82" s="22">
        <v>1.3369800000000001</v>
      </c>
      <c r="L82">
        <f t="shared" si="12"/>
        <v>15.771500000000001</v>
      </c>
      <c r="M82">
        <f t="shared" si="13"/>
        <v>21.093277244999999</v>
      </c>
      <c r="N82" s="9"/>
      <c r="O82" s="22">
        <v>0.262604</v>
      </c>
      <c r="P82" s="22">
        <v>198.429</v>
      </c>
      <c r="Q82" s="22">
        <v>-1.7987099999999999E-2</v>
      </c>
      <c r="R82" s="22">
        <v>72</v>
      </c>
      <c r="S82" s="22">
        <v>0.26202399999999998</v>
      </c>
      <c r="T82">
        <f t="shared" si="14"/>
        <v>17.987099999999998</v>
      </c>
      <c r="U82">
        <f t="shared" si="15"/>
        <v>4.7234844083999992</v>
      </c>
      <c r="X82" s="9"/>
      <c r="Y82" s="22">
        <v>1.3374299999999999</v>
      </c>
      <c r="Z82" s="22">
        <v>301.416</v>
      </c>
      <c r="AA82" s="22">
        <v>-1.6726700000000001E-2</v>
      </c>
      <c r="AB82" s="22">
        <v>72</v>
      </c>
      <c r="AC82" s="22">
        <v>1.33667</v>
      </c>
      <c r="AD82">
        <f t="shared" si="16"/>
        <v>16.726700000000001</v>
      </c>
      <c r="AE82">
        <f t="shared" si="17"/>
        <v>22.370790380999999</v>
      </c>
      <c r="AF82" s="9"/>
      <c r="AG82" s="22">
        <v>0.262604</v>
      </c>
      <c r="AH82" s="22">
        <v>361.995</v>
      </c>
      <c r="AI82" s="22">
        <v>-1.7953500000000001E-2</v>
      </c>
      <c r="AJ82" s="22">
        <v>72</v>
      </c>
      <c r="AK82" s="22">
        <v>0.261627</v>
      </c>
      <c r="AL82">
        <f t="shared" si="18"/>
        <v>17.953500000000002</v>
      </c>
      <c r="AM82">
        <f t="shared" si="19"/>
        <v>4.7146609140000004</v>
      </c>
      <c r="AP82" s="9"/>
      <c r="AQ82" s="22">
        <v>1.3374299999999999</v>
      </c>
      <c r="AR82" s="22">
        <v>497.77300000000002</v>
      </c>
      <c r="AS82" s="22">
        <v>-1.6326899999999998E-2</v>
      </c>
      <c r="AT82" s="22">
        <v>72</v>
      </c>
      <c r="AU82" s="22">
        <v>1.33667</v>
      </c>
      <c r="AV82">
        <f t="shared" si="20"/>
        <v>16.326899999999998</v>
      </c>
      <c r="AW82">
        <f t="shared" si="21"/>
        <v>21.836085866999998</v>
      </c>
      <c r="AX82" s="9"/>
      <c r="AY82" s="22">
        <v>0.262604</v>
      </c>
      <c r="AZ82" s="22">
        <v>620.13</v>
      </c>
      <c r="BA82" s="22">
        <v>-1.7907699999999999E-2</v>
      </c>
      <c r="BB82" s="22">
        <v>72</v>
      </c>
      <c r="BC82" s="22">
        <v>0.26205400000000001</v>
      </c>
      <c r="BD82">
        <f t="shared" si="22"/>
        <v>17.907699999999998</v>
      </c>
      <c r="BE82">
        <f t="shared" si="23"/>
        <v>4.7026336507999993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83.613</v>
      </c>
      <c r="I83" s="22">
        <v>-1.5594500000000001E-2</v>
      </c>
      <c r="J83" s="22">
        <v>73</v>
      </c>
      <c r="K83" s="22">
        <v>1.33148</v>
      </c>
      <c r="L83">
        <f t="shared" si="12"/>
        <v>15.5945</v>
      </c>
      <c r="M83">
        <f t="shared" si="13"/>
        <v>20.778111800000001</v>
      </c>
      <c r="N83" s="9"/>
      <c r="O83" s="22">
        <v>0.26763900000000002</v>
      </c>
      <c r="P83" s="22">
        <v>198.53</v>
      </c>
      <c r="Q83" s="22">
        <v>-1.7977900000000002E-2</v>
      </c>
      <c r="R83" s="22">
        <v>73</v>
      </c>
      <c r="S83" s="22">
        <v>0.267181</v>
      </c>
      <c r="T83">
        <f t="shared" si="14"/>
        <v>17.977900000000002</v>
      </c>
      <c r="U83">
        <f t="shared" si="15"/>
        <v>4.8115871781000008</v>
      </c>
      <c r="X83" s="9"/>
      <c r="Y83" s="22">
        <v>1.3324</v>
      </c>
      <c r="Z83" s="22">
        <v>301.517</v>
      </c>
      <c r="AA83" s="22">
        <v>-1.6741900000000001E-2</v>
      </c>
      <c r="AB83" s="22">
        <v>73</v>
      </c>
      <c r="AC83" s="22">
        <v>1.33148</v>
      </c>
      <c r="AD83">
        <f t="shared" si="16"/>
        <v>16.741900000000001</v>
      </c>
      <c r="AE83">
        <f t="shared" si="17"/>
        <v>22.306907560000003</v>
      </c>
      <c r="AF83" s="9"/>
      <c r="AG83" s="22">
        <v>0.26763900000000002</v>
      </c>
      <c r="AH83" s="22">
        <v>362.096</v>
      </c>
      <c r="AI83" s="22">
        <v>-1.79413E-2</v>
      </c>
      <c r="AJ83" s="22">
        <v>73</v>
      </c>
      <c r="AK83" s="22">
        <v>0.26690700000000001</v>
      </c>
      <c r="AL83">
        <f t="shared" si="18"/>
        <v>17.941300000000002</v>
      </c>
      <c r="AM83">
        <f t="shared" si="19"/>
        <v>4.8017915907000006</v>
      </c>
      <c r="AP83" s="9"/>
      <c r="AQ83" s="22">
        <v>1.3324</v>
      </c>
      <c r="AR83" s="22">
        <v>497.87400000000002</v>
      </c>
      <c r="AS83" s="22">
        <v>-1.6393999999999999E-2</v>
      </c>
      <c r="AT83" s="22">
        <v>73</v>
      </c>
      <c r="AU83" s="22">
        <v>1.33179</v>
      </c>
      <c r="AV83">
        <f t="shared" si="20"/>
        <v>16.393999999999998</v>
      </c>
      <c r="AW83">
        <f t="shared" si="21"/>
        <v>21.843365599999998</v>
      </c>
      <c r="AX83" s="9"/>
      <c r="AY83" s="22">
        <v>0.26763900000000002</v>
      </c>
      <c r="AZ83" s="22">
        <v>620.23099999999999</v>
      </c>
      <c r="BA83" s="22">
        <v>-1.7913800000000001E-2</v>
      </c>
      <c r="BB83" s="22">
        <v>73</v>
      </c>
      <c r="BC83" s="22">
        <v>0.26699800000000001</v>
      </c>
      <c r="BD83">
        <f t="shared" si="22"/>
        <v>17.913800000000002</v>
      </c>
      <c r="BE83">
        <f t="shared" si="23"/>
        <v>4.7944315182000006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83.713700000000003</v>
      </c>
      <c r="I84" s="22">
        <v>-1.4941400000000001E-2</v>
      </c>
      <c r="J84" s="22">
        <v>74</v>
      </c>
      <c r="K84" s="22">
        <v>1.3269</v>
      </c>
      <c r="L84">
        <f t="shared" si="12"/>
        <v>14.9414</v>
      </c>
      <c r="M84">
        <f t="shared" si="13"/>
        <v>19.832616703999999</v>
      </c>
      <c r="N84" s="9"/>
      <c r="O84" s="22">
        <v>0.272675</v>
      </c>
      <c r="P84" s="22">
        <v>198.631</v>
      </c>
      <c r="Q84" s="22">
        <v>-1.7977900000000002E-2</v>
      </c>
      <c r="R84" s="22">
        <v>74</v>
      </c>
      <c r="S84" s="22">
        <v>0.27209499999999998</v>
      </c>
      <c r="T84">
        <f t="shared" si="14"/>
        <v>17.977900000000002</v>
      </c>
      <c r="U84">
        <f t="shared" si="15"/>
        <v>4.9021238825000006</v>
      </c>
      <c r="X84" s="9"/>
      <c r="Y84" s="22">
        <v>1.3273600000000001</v>
      </c>
      <c r="Z84" s="22">
        <v>301.61700000000002</v>
      </c>
      <c r="AA84" s="22">
        <v>-1.6778600000000001E-2</v>
      </c>
      <c r="AB84" s="22">
        <v>74</v>
      </c>
      <c r="AC84" s="22">
        <v>1.32599</v>
      </c>
      <c r="AD84">
        <f t="shared" si="16"/>
        <v>16.778600000000001</v>
      </c>
      <c r="AE84">
        <f t="shared" si="17"/>
        <v>22.271242496000003</v>
      </c>
      <c r="AF84" s="9"/>
      <c r="AG84" s="22">
        <v>0.272675</v>
      </c>
      <c r="AH84" s="22">
        <v>362.19600000000003</v>
      </c>
      <c r="AI84" s="22">
        <v>-1.7932099999999999E-2</v>
      </c>
      <c r="AJ84" s="22">
        <v>74</v>
      </c>
      <c r="AK84" s="22">
        <v>0.272034</v>
      </c>
      <c r="AL84">
        <f t="shared" si="18"/>
        <v>17.932099999999998</v>
      </c>
      <c r="AM84">
        <f t="shared" si="19"/>
        <v>4.8896353674999995</v>
      </c>
      <c r="AP84" s="9"/>
      <c r="AQ84" s="22">
        <v>1.3273600000000001</v>
      </c>
      <c r="AR84" s="22">
        <v>497.97500000000002</v>
      </c>
      <c r="AS84" s="22">
        <v>-1.64551E-2</v>
      </c>
      <c r="AT84" s="22">
        <v>74</v>
      </c>
      <c r="AU84" s="22">
        <v>1.3269</v>
      </c>
      <c r="AV84">
        <f t="shared" si="20"/>
        <v>16.455100000000002</v>
      </c>
      <c r="AW84">
        <f t="shared" si="21"/>
        <v>21.841841536000004</v>
      </c>
      <c r="AX84" s="9"/>
      <c r="AY84" s="22">
        <v>0.272675</v>
      </c>
      <c r="AZ84" s="22">
        <v>620.33199999999999</v>
      </c>
      <c r="BA84" s="22">
        <v>-1.79016E-2</v>
      </c>
      <c r="BB84" s="22">
        <v>74</v>
      </c>
      <c r="BC84" s="22">
        <v>0.27200299999999999</v>
      </c>
      <c r="BD84">
        <f t="shared" si="22"/>
        <v>17.901599999999998</v>
      </c>
      <c r="BE84">
        <f t="shared" si="23"/>
        <v>4.88131878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83.814400000000006</v>
      </c>
      <c r="I85" s="22">
        <v>-1.5429699999999999E-2</v>
      </c>
      <c r="J85" s="22">
        <v>75</v>
      </c>
      <c r="K85" s="22">
        <v>1.32202</v>
      </c>
      <c r="L85">
        <f t="shared" si="12"/>
        <v>15.429699999999999</v>
      </c>
      <c r="M85">
        <f t="shared" si="13"/>
        <v>20.403155200999997</v>
      </c>
      <c r="N85" s="9"/>
      <c r="O85" s="22">
        <v>0.27771000000000001</v>
      </c>
      <c r="P85" s="22">
        <v>198.73099999999999</v>
      </c>
      <c r="Q85" s="22">
        <v>-1.7981E-2</v>
      </c>
      <c r="R85" s="22">
        <v>75</v>
      </c>
      <c r="S85" s="22">
        <v>0.27712999999999999</v>
      </c>
      <c r="T85">
        <f t="shared" si="14"/>
        <v>17.981000000000002</v>
      </c>
      <c r="U85">
        <f t="shared" si="15"/>
        <v>4.9935035100000009</v>
      </c>
      <c r="X85" s="9"/>
      <c r="Y85" s="22">
        <v>1.32233</v>
      </c>
      <c r="Z85" s="22">
        <v>301.71800000000002</v>
      </c>
      <c r="AA85" s="22">
        <v>-1.6793800000000001E-2</v>
      </c>
      <c r="AB85" s="22">
        <v>75</v>
      </c>
      <c r="AC85" s="22">
        <v>1.32141</v>
      </c>
      <c r="AD85">
        <f t="shared" si="16"/>
        <v>16.793800000000001</v>
      </c>
      <c r="AE85">
        <f t="shared" si="17"/>
        <v>22.206945554000001</v>
      </c>
      <c r="AF85" s="9"/>
      <c r="AG85" s="22">
        <v>0.27771000000000001</v>
      </c>
      <c r="AH85" s="22">
        <v>362.29700000000003</v>
      </c>
      <c r="AI85" s="22">
        <v>-1.79291E-2</v>
      </c>
      <c r="AJ85" s="22">
        <v>75</v>
      </c>
      <c r="AK85" s="22">
        <v>0.27712999999999999</v>
      </c>
      <c r="AL85">
        <f t="shared" si="18"/>
        <v>17.929099999999998</v>
      </c>
      <c r="AM85">
        <f t="shared" si="19"/>
        <v>4.9790903609999999</v>
      </c>
      <c r="AP85" s="9"/>
      <c r="AQ85" s="22">
        <v>1.32233</v>
      </c>
      <c r="AR85" s="22">
        <v>498.07499999999999</v>
      </c>
      <c r="AS85" s="22">
        <v>-1.6491700000000001E-2</v>
      </c>
      <c r="AT85" s="22">
        <v>75</v>
      </c>
      <c r="AU85" s="22">
        <v>1.32172</v>
      </c>
      <c r="AV85">
        <f t="shared" si="20"/>
        <v>16.491700000000002</v>
      </c>
      <c r="AW85">
        <f t="shared" si="21"/>
        <v>21.807469661000003</v>
      </c>
      <c r="AX85" s="9"/>
      <c r="AY85" s="22">
        <v>0.27771000000000001</v>
      </c>
      <c r="AZ85" s="22">
        <v>620.43200000000002</v>
      </c>
      <c r="BA85" s="22">
        <v>-1.79016E-2</v>
      </c>
      <c r="BB85" s="22">
        <v>75</v>
      </c>
      <c r="BC85" s="22">
        <v>0.27676400000000001</v>
      </c>
      <c r="BD85">
        <f t="shared" si="22"/>
        <v>17.901599999999998</v>
      </c>
      <c r="BE85">
        <f t="shared" si="23"/>
        <v>4.9714533359999997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83.915099999999995</v>
      </c>
      <c r="I86" s="22">
        <v>-1.51337E-2</v>
      </c>
      <c r="J86" s="22">
        <v>76</v>
      </c>
      <c r="K86" s="22">
        <v>1.3162199999999999</v>
      </c>
      <c r="L86">
        <f t="shared" si="12"/>
        <v>15.133699999999999</v>
      </c>
      <c r="M86">
        <f t="shared" si="13"/>
        <v>19.935471672999999</v>
      </c>
      <c r="N86" s="9"/>
      <c r="O86" s="22">
        <v>0.28274500000000002</v>
      </c>
      <c r="P86" s="22">
        <v>198.83199999999999</v>
      </c>
      <c r="Q86" s="22">
        <v>-1.7974899999999999E-2</v>
      </c>
      <c r="R86" s="22">
        <v>76</v>
      </c>
      <c r="S86" s="22">
        <v>0.28228799999999998</v>
      </c>
      <c r="T86">
        <f t="shared" si="14"/>
        <v>17.974899999999998</v>
      </c>
      <c r="U86">
        <f t="shared" si="15"/>
        <v>5.0823131004999995</v>
      </c>
      <c r="X86" s="9"/>
      <c r="Y86" s="22">
        <v>1.3172900000000001</v>
      </c>
      <c r="Z86" s="22">
        <v>301.81900000000002</v>
      </c>
      <c r="AA86" s="22">
        <v>-1.68091E-2</v>
      </c>
      <c r="AB86" s="22">
        <v>76</v>
      </c>
      <c r="AC86" s="22">
        <v>1.31653</v>
      </c>
      <c r="AD86">
        <f t="shared" si="16"/>
        <v>16.809100000000001</v>
      </c>
      <c r="AE86">
        <f t="shared" si="17"/>
        <v>22.142459339000002</v>
      </c>
      <c r="AF86" s="9"/>
      <c r="AG86" s="22">
        <v>0.28274500000000002</v>
      </c>
      <c r="AH86" s="22">
        <v>362.39800000000002</v>
      </c>
      <c r="AI86" s="22">
        <v>-1.7913800000000001E-2</v>
      </c>
      <c r="AJ86" s="22">
        <v>76</v>
      </c>
      <c r="AK86" s="22">
        <v>0.28201300000000001</v>
      </c>
      <c r="AL86">
        <f t="shared" si="18"/>
        <v>17.913800000000002</v>
      </c>
      <c r="AM86">
        <f t="shared" si="19"/>
        <v>5.0650373810000007</v>
      </c>
      <c r="AP86" s="9"/>
      <c r="AQ86" s="22">
        <v>1.3172900000000001</v>
      </c>
      <c r="AR86" s="22">
        <v>498.17599999999999</v>
      </c>
      <c r="AS86" s="22">
        <v>-1.6534400000000001E-2</v>
      </c>
      <c r="AT86" s="22">
        <v>76</v>
      </c>
      <c r="AU86" s="22">
        <v>1.31653</v>
      </c>
      <c r="AV86">
        <f t="shared" si="20"/>
        <v>16.534400000000002</v>
      </c>
      <c r="AW86">
        <f t="shared" si="21"/>
        <v>21.780599776000003</v>
      </c>
      <c r="AX86" s="9"/>
      <c r="AY86" s="22">
        <v>0.28274500000000002</v>
      </c>
      <c r="AZ86" s="22">
        <v>620.53300000000002</v>
      </c>
      <c r="BA86" s="22">
        <v>-1.7892499999999999E-2</v>
      </c>
      <c r="BB86" s="22">
        <v>76</v>
      </c>
      <c r="BC86" s="22">
        <v>0.28213500000000002</v>
      </c>
      <c r="BD86">
        <f t="shared" si="22"/>
        <v>17.892499999999998</v>
      </c>
      <c r="BE86">
        <f t="shared" si="23"/>
        <v>5.0590149125000003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84.015799999999999</v>
      </c>
      <c r="I87" s="22">
        <v>-1.4770500000000001E-2</v>
      </c>
      <c r="J87" s="22">
        <v>77</v>
      </c>
      <c r="K87" s="22">
        <v>1.31165</v>
      </c>
      <c r="L87">
        <f t="shared" si="12"/>
        <v>14.7705</v>
      </c>
      <c r="M87">
        <f t="shared" si="13"/>
        <v>19.38273633</v>
      </c>
      <c r="N87" s="9"/>
      <c r="O87" s="22">
        <v>0.28778100000000001</v>
      </c>
      <c r="P87" s="22">
        <v>198.93299999999999</v>
      </c>
      <c r="Q87" s="22">
        <v>-1.7965700000000001E-2</v>
      </c>
      <c r="R87" s="22">
        <v>77</v>
      </c>
      <c r="S87" s="22">
        <v>0.28729199999999999</v>
      </c>
      <c r="T87">
        <f t="shared" si="14"/>
        <v>17.965700000000002</v>
      </c>
      <c r="U87">
        <f t="shared" si="15"/>
        <v>5.1701871117000007</v>
      </c>
      <c r="X87" s="9"/>
      <c r="Y87" s="22">
        <v>1.31226</v>
      </c>
      <c r="Z87" s="22">
        <v>301.91899999999998</v>
      </c>
      <c r="AA87" s="22">
        <v>-1.6836500000000001E-2</v>
      </c>
      <c r="AB87" s="22">
        <v>77</v>
      </c>
      <c r="AC87" s="22">
        <v>1.3119499999999999</v>
      </c>
      <c r="AD87">
        <f t="shared" si="16"/>
        <v>16.836500000000001</v>
      </c>
      <c r="AE87">
        <f t="shared" si="17"/>
        <v>22.093865490000002</v>
      </c>
      <c r="AF87" s="9"/>
      <c r="AG87" s="22">
        <v>0.28778100000000001</v>
      </c>
      <c r="AH87" s="22">
        <v>362.49799999999999</v>
      </c>
      <c r="AI87" s="22">
        <v>-1.7907699999999999E-2</v>
      </c>
      <c r="AJ87" s="22">
        <v>77</v>
      </c>
      <c r="AK87" s="22">
        <v>0.287323</v>
      </c>
      <c r="AL87">
        <f t="shared" si="18"/>
        <v>17.907699999999998</v>
      </c>
      <c r="AM87">
        <f t="shared" si="19"/>
        <v>5.1534958136999993</v>
      </c>
      <c r="AP87" s="9"/>
      <c r="AQ87" s="22">
        <v>1.31226</v>
      </c>
      <c r="AR87" s="22">
        <v>498.27699999999999</v>
      </c>
      <c r="AS87" s="22">
        <v>-1.65405E-2</v>
      </c>
      <c r="AT87" s="22">
        <v>77</v>
      </c>
      <c r="AU87" s="22">
        <v>1.31134</v>
      </c>
      <c r="AV87">
        <f t="shared" si="20"/>
        <v>16.540499999999998</v>
      </c>
      <c r="AW87">
        <f t="shared" si="21"/>
        <v>21.705436529999997</v>
      </c>
      <c r="AX87" s="9"/>
      <c r="AY87" s="22">
        <v>0.28778100000000001</v>
      </c>
      <c r="AZ87" s="22">
        <v>620.63400000000001</v>
      </c>
      <c r="BA87" s="22">
        <v>-1.7883300000000001E-2</v>
      </c>
      <c r="BB87" s="22">
        <v>77</v>
      </c>
      <c r="BC87" s="22">
        <v>0.28716999999999998</v>
      </c>
      <c r="BD87">
        <f t="shared" si="22"/>
        <v>17.883300000000002</v>
      </c>
      <c r="BE87">
        <f t="shared" si="23"/>
        <v>5.1464739573000005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84.116500000000002</v>
      </c>
      <c r="I88" s="22">
        <v>-1.4389000000000001E-2</v>
      </c>
      <c r="J88" s="22">
        <v>78</v>
      </c>
      <c r="K88" s="22">
        <v>1.3073699999999999</v>
      </c>
      <c r="L88">
        <f t="shared" si="12"/>
        <v>14.389000000000001</v>
      </c>
      <c r="M88">
        <f t="shared" si="13"/>
        <v>18.809588580000003</v>
      </c>
      <c r="N88" s="9"/>
      <c r="O88" s="22">
        <v>0.29281600000000002</v>
      </c>
      <c r="P88" s="22">
        <v>199.03299999999999</v>
      </c>
      <c r="Q88" s="22">
        <v>-1.7974899999999999E-2</v>
      </c>
      <c r="R88" s="22">
        <v>78</v>
      </c>
      <c r="S88" s="22">
        <v>0.292236</v>
      </c>
      <c r="T88">
        <f t="shared" si="14"/>
        <v>17.974899999999998</v>
      </c>
      <c r="U88">
        <f t="shared" si="15"/>
        <v>5.2633383183999998</v>
      </c>
      <c r="X88" s="9"/>
      <c r="Y88" s="22">
        <v>1.30722</v>
      </c>
      <c r="Z88" s="22">
        <v>302.02</v>
      </c>
      <c r="AA88" s="22">
        <v>-1.6836500000000001E-2</v>
      </c>
      <c r="AB88" s="22">
        <v>78</v>
      </c>
      <c r="AC88" s="22">
        <v>1.3061499999999999</v>
      </c>
      <c r="AD88">
        <f t="shared" si="16"/>
        <v>16.836500000000001</v>
      </c>
      <c r="AE88">
        <f t="shared" si="17"/>
        <v>22.009009530000004</v>
      </c>
      <c r="AF88" s="9"/>
      <c r="AG88" s="22">
        <v>0.29281600000000002</v>
      </c>
      <c r="AH88" s="22">
        <v>362.59899999999999</v>
      </c>
      <c r="AI88" s="22">
        <v>-1.7910800000000001E-2</v>
      </c>
      <c r="AJ88" s="22">
        <v>78</v>
      </c>
      <c r="AK88" s="22">
        <v>0.292236</v>
      </c>
      <c r="AL88">
        <f t="shared" si="18"/>
        <v>17.910800000000002</v>
      </c>
      <c r="AM88">
        <f t="shared" si="19"/>
        <v>5.2445688128000008</v>
      </c>
      <c r="AP88" s="9"/>
      <c r="AQ88" s="22">
        <v>1.30722</v>
      </c>
      <c r="AR88" s="22">
        <v>498.37700000000001</v>
      </c>
      <c r="AS88" s="22">
        <v>-1.6577100000000001E-2</v>
      </c>
      <c r="AT88" s="22">
        <v>78</v>
      </c>
      <c r="AU88" s="22">
        <v>1.30646</v>
      </c>
      <c r="AV88">
        <f t="shared" si="20"/>
        <v>16.577100000000002</v>
      </c>
      <c r="AW88">
        <f t="shared" si="21"/>
        <v>21.669916662000002</v>
      </c>
      <c r="AX88" s="9"/>
      <c r="AY88" s="22">
        <v>0.29281600000000002</v>
      </c>
      <c r="AZ88" s="22">
        <v>620.73500000000001</v>
      </c>
      <c r="BA88" s="22">
        <v>-1.7880199999999999E-2</v>
      </c>
      <c r="BB88" s="22">
        <v>78</v>
      </c>
      <c r="BC88" s="22">
        <v>0.29211399999999998</v>
      </c>
      <c r="BD88">
        <f t="shared" si="22"/>
        <v>17.880199999999999</v>
      </c>
      <c r="BE88">
        <f t="shared" si="23"/>
        <v>5.2356086432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84.217200000000005</v>
      </c>
      <c r="I89" s="22">
        <v>-1.6854899999999999E-2</v>
      </c>
      <c r="J89" s="22">
        <v>79</v>
      </c>
      <c r="K89" s="22">
        <v>1.3018799999999999</v>
      </c>
      <c r="L89">
        <f t="shared" si="12"/>
        <v>16.854900000000001</v>
      </c>
      <c r="M89">
        <f t="shared" si="13"/>
        <v>21.948282231</v>
      </c>
      <c r="N89" s="9"/>
      <c r="O89" s="22">
        <v>0.29785200000000001</v>
      </c>
      <c r="P89" s="22">
        <v>199.13399999999999</v>
      </c>
      <c r="Q89" s="22">
        <v>-1.79718E-2</v>
      </c>
      <c r="R89" s="22">
        <v>79</v>
      </c>
      <c r="S89" s="22">
        <v>0.29718</v>
      </c>
      <c r="T89">
        <f t="shared" si="14"/>
        <v>17.971799999999998</v>
      </c>
      <c r="U89">
        <f t="shared" si="15"/>
        <v>5.3529365735999992</v>
      </c>
      <c r="X89" s="9"/>
      <c r="Y89" s="22">
        <v>1.30219</v>
      </c>
      <c r="Z89" s="22">
        <v>302.12099999999998</v>
      </c>
      <c r="AA89" s="22">
        <v>-1.6763299999999998E-2</v>
      </c>
      <c r="AB89" s="22">
        <v>79</v>
      </c>
      <c r="AC89" s="22">
        <v>1.3012699999999999</v>
      </c>
      <c r="AD89">
        <f t="shared" si="16"/>
        <v>16.763299999999997</v>
      </c>
      <c r="AE89">
        <f t="shared" si="17"/>
        <v>21.829001626999997</v>
      </c>
      <c r="AF89" s="9"/>
      <c r="AG89" s="22">
        <v>0.29785200000000001</v>
      </c>
      <c r="AH89" s="22">
        <v>362.7</v>
      </c>
      <c r="AI89" s="22">
        <v>-1.7904699999999999E-2</v>
      </c>
      <c r="AJ89" s="22">
        <v>79</v>
      </c>
      <c r="AK89" s="22">
        <v>0.29730200000000001</v>
      </c>
      <c r="AL89">
        <f t="shared" si="18"/>
        <v>17.904699999999998</v>
      </c>
      <c r="AM89">
        <f t="shared" si="19"/>
        <v>5.3329507044</v>
      </c>
      <c r="AP89" s="9"/>
      <c r="AQ89" s="22">
        <v>1.30219</v>
      </c>
      <c r="AR89" s="22">
        <v>498.47800000000001</v>
      </c>
      <c r="AS89" s="22">
        <v>-1.6567999999999999E-2</v>
      </c>
      <c r="AT89" s="22">
        <v>79</v>
      </c>
      <c r="AU89" s="22">
        <v>1.3012699999999999</v>
      </c>
      <c r="AV89">
        <f t="shared" si="20"/>
        <v>16.567999999999998</v>
      </c>
      <c r="AW89">
        <f t="shared" si="21"/>
        <v>21.574683919999998</v>
      </c>
      <c r="AX89" s="9"/>
      <c r="AY89" s="22">
        <v>0.29785200000000001</v>
      </c>
      <c r="AZ89" s="22">
        <v>620.83500000000004</v>
      </c>
      <c r="BA89" s="22">
        <v>-1.78741E-2</v>
      </c>
      <c r="BB89" s="22">
        <v>79</v>
      </c>
      <c r="BC89" s="22">
        <v>0.29705799999999999</v>
      </c>
      <c r="BD89">
        <f t="shared" si="22"/>
        <v>17.874100000000002</v>
      </c>
      <c r="BE89">
        <f t="shared" si="23"/>
        <v>5.3238364332000003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84.317899999999995</v>
      </c>
      <c r="I90" s="22">
        <v>-1.69312E-2</v>
      </c>
      <c r="J90" s="22">
        <v>80</v>
      </c>
      <c r="K90" s="22">
        <v>1.2957799999999999</v>
      </c>
      <c r="L90">
        <f t="shared" si="12"/>
        <v>16.9312</v>
      </c>
      <c r="M90">
        <f t="shared" si="13"/>
        <v>21.962306080000001</v>
      </c>
      <c r="N90" s="9"/>
      <c r="O90" s="22">
        <v>0.30288700000000002</v>
      </c>
      <c r="P90" s="22">
        <v>199.23500000000001</v>
      </c>
      <c r="Q90" s="22">
        <v>-1.7965700000000001E-2</v>
      </c>
      <c r="R90" s="22">
        <v>80</v>
      </c>
      <c r="S90" s="22">
        <v>0.302338</v>
      </c>
      <c r="T90">
        <f t="shared" si="14"/>
        <v>17.965700000000002</v>
      </c>
      <c r="U90">
        <f t="shared" si="15"/>
        <v>5.4415769759000012</v>
      </c>
      <c r="X90" s="9"/>
      <c r="Y90" s="22">
        <v>1.29715</v>
      </c>
      <c r="Z90" s="22">
        <v>302.22199999999998</v>
      </c>
      <c r="AA90" s="22">
        <v>-1.6082800000000001E-2</v>
      </c>
      <c r="AB90" s="22">
        <v>80</v>
      </c>
      <c r="AC90" s="22">
        <v>1.2976099999999999</v>
      </c>
      <c r="AD90">
        <f t="shared" si="16"/>
        <v>16.082800000000002</v>
      </c>
      <c r="AE90">
        <f t="shared" si="17"/>
        <v>20.861804020000005</v>
      </c>
      <c r="AF90" s="9"/>
      <c r="AG90" s="22">
        <v>0.30288700000000002</v>
      </c>
      <c r="AH90" s="22">
        <v>362.80099999999999</v>
      </c>
      <c r="AI90" s="22">
        <v>-1.7898600000000001E-2</v>
      </c>
      <c r="AJ90" s="22">
        <v>80</v>
      </c>
      <c r="AK90" s="22">
        <v>0.30252099999999998</v>
      </c>
      <c r="AL90">
        <f t="shared" si="18"/>
        <v>17.898600000000002</v>
      </c>
      <c r="AM90">
        <f t="shared" si="19"/>
        <v>5.421253258200001</v>
      </c>
      <c r="AP90" s="9"/>
      <c r="AQ90" s="22">
        <v>1.29715</v>
      </c>
      <c r="AR90" s="22">
        <v>498.57900000000001</v>
      </c>
      <c r="AS90" s="22">
        <v>-1.65253E-2</v>
      </c>
      <c r="AT90" s="22">
        <v>80</v>
      </c>
      <c r="AU90" s="22">
        <v>1.2963899999999999</v>
      </c>
      <c r="AV90">
        <f t="shared" si="20"/>
        <v>16.525300000000001</v>
      </c>
      <c r="AW90">
        <f t="shared" si="21"/>
        <v>21.435792895000002</v>
      </c>
      <c r="AX90" s="9"/>
      <c r="AY90" s="22">
        <v>0.30288700000000002</v>
      </c>
      <c r="AZ90" s="22">
        <v>620.93600000000004</v>
      </c>
      <c r="BA90" s="22">
        <v>-1.7880199999999999E-2</v>
      </c>
      <c r="BB90" s="22">
        <v>80</v>
      </c>
      <c r="BC90" s="22">
        <v>0.30258200000000002</v>
      </c>
      <c r="BD90">
        <f t="shared" si="22"/>
        <v>17.880199999999999</v>
      </c>
      <c r="BE90">
        <f t="shared" si="23"/>
        <v>5.4156801373999999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84.418599999999998</v>
      </c>
      <c r="I91" s="22">
        <v>-1.69312E-2</v>
      </c>
      <c r="J91" s="22">
        <v>81</v>
      </c>
      <c r="K91" s="22">
        <v>1.2911999999999999</v>
      </c>
      <c r="L91">
        <f t="shared" si="12"/>
        <v>16.9312</v>
      </c>
      <c r="M91">
        <f t="shared" si="13"/>
        <v>21.876972832000003</v>
      </c>
      <c r="N91" s="9"/>
      <c r="O91" s="22">
        <v>0.30792199999999997</v>
      </c>
      <c r="P91" s="22">
        <v>199.33600000000001</v>
      </c>
      <c r="Q91" s="22">
        <v>-1.7965700000000001E-2</v>
      </c>
      <c r="R91" s="22">
        <v>81</v>
      </c>
      <c r="S91" s="22">
        <v>0.30734299999999998</v>
      </c>
      <c r="T91">
        <f t="shared" si="14"/>
        <v>17.965700000000002</v>
      </c>
      <c r="U91">
        <f t="shared" si="15"/>
        <v>5.5320342754</v>
      </c>
      <c r="X91" s="9"/>
      <c r="Y91" s="22">
        <v>1.2921100000000001</v>
      </c>
      <c r="Z91" s="22">
        <v>302.322</v>
      </c>
      <c r="AA91" s="22">
        <v>-1.6693099999999999E-2</v>
      </c>
      <c r="AB91" s="22">
        <v>81</v>
      </c>
      <c r="AC91" s="22">
        <v>1.2908900000000001</v>
      </c>
      <c r="AD91">
        <f t="shared" si="16"/>
        <v>16.693099999999998</v>
      </c>
      <c r="AE91">
        <f t="shared" si="17"/>
        <v>21.569321441</v>
      </c>
      <c r="AF91" s="9"/>
      <c r="AG91" s="22">
        <v>0.30792199999999997</v>
      </c>
      <c r="AH91" s="22">
        <v>362.90100000000001</v>
      </c>
      <c r="AI91" s="22">
        <v>-1.79016E-2</v>
      </c>
      <c r="AJ91" s="22">
        <v>81</v>
      </c>
      <c r="AK91" s="22">
        <v>0.30697600000000003</v>
      </c>
      <c r="AL91">
        <f t="shared" si="18"/>
        <v>17.901599999999998</v>
      </c>
      <c r="AM91">
        <f t="shared" si="19"/>
        <v>5.5122964751999994</v>
      </c>
      <c r="AP91" s="9"/>
      <c r="AQ91" s="22">
        <v>1.2921100000000001</v>
      </c>
      <c r="AR91" s="22">
        <v>498.68</v>
      </c>
      <c r="AS91" s="22">
        <v>-1.6705299999999999E-2</v>
      </c>
      <c r="AT91" s="22">
        <v>81</v>
      </c>
      <c r="AU91" s="22">
        <v>1.2911999999999999</v>
      </c>
      <c r="AV91">
        <f t="shared" si="20"/>
        <v>16.705299999999998</v>
      </c>
      <c r="AW91">
        <f t="shared" si="21"/>
        <v>21.585085182999997</v>
      </c>
      <c r="AX91" s="9"/>
      <c r="AY91" s="22">
        <v>0.30792199999999997</v>
      </c>
      <c r="AZ91" s="22">
        <v>621.03700000000003</v>
      </c>
      <c r="BA91" s="22">
        <v>-1.78864E-2</v>
      </c>
      <c r="BB91" s="22">
        <v>81</v>
      </c>
      <c r="BC91" s="22">
        <v>0.307251</v>
      </c>
      <c r="BD91">
        <f t="shared" si="22"/>
        <v>17.886400000000002</v>
      </c>
      <c r="BE91">
        <f t="shared" si="23"/>
        <v>5.5076160608000002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84.519300000000001</v>
      </c>
      <c r="I92" s="22">
        <v>-1.6943400000000001E-2</v>
      </c>
      <c r="J92" s="22">
        <v>82</v>
      </c>
      <c r="K92" s="22">
        <v>1.2863199999999999</v>
      </c>
      <c r="L92">
        <f t="shared" si="12"/>
        <v>16.9434</v>
      </c>
      <c r="M92">
        <f t="shared" si="13"/>
        <v>21.807511271999999</v>
      </c>
      <c r="N92" s="9"/>
      <c r="O92" s="22">
        <v>0.31295800000000001</v>
      </c>
      <c r="P92" s="22">
        <v>199.43600000000001</v>
      </c>
      <c r="Q92" s="22">
        <v>-1.79565E-2</v>
      </c>
      <c r="R92" s="22">
        <v>82</v>
      </c>
      <c r="S92" s="22">
        <v>0.31231700000000001</v>
      </c>
      <c r="T92">
        <f t="shared" si="14"/>
        <v>17.956500000000002</v>
      </c>
      <c r="U92">
        <f t="shared" si="15"/>
        <v>5.6196303270000012</v>
      </c>
      <c r="X92" s="9"/>
      <c r="Y92" s="22">
        <v>1.28708</v>
      </c>
      <c r="Z92" s="22">
        <v>302.423</v>
      </c>
      <c r="AA92" s="22">
        <v>-1.6763299999999998E-2</v>
      </c>
      <c r="AB92" s="22">
        <v>82</v>
      </c>
      <c r="AC92" s="22">
        <v>1.2854000000000001</v>
      </c>
      <c r="AD92">
        <f t="shared" si="16"/>
        <v>16.763299999999997</v>
      </c>
      <c r="AE92">
        <f t="shared" si="17"/>
        <v>21.575708163999998</v>
      </c>
      <c r="AF92" s="9"/>
      <c r="AG92" s="22">
        <v>0.31295800000000001</v>
      </c>
      <c r="AH92" s="22">
        <v>363.00200000000001</v>
      </c>
      <c r="AI92" s="22">
        <v>-1.7895500000000002E-2</v>
      </c>
      <c r="AJ92" s="22">
        <v>82</v>
      </c>
      <c r="AK92" s="22">
        <v>0.31231700000000001</v>
      </c>
      <c r="AL92">
        <f t="shared" si="18"/>
        <v>17.895500000000002</v>
      </c>
      <c r="AM92">
        <f t="shared" si="19"/>
        <v>5.6005398890000011</v>
      </c>
      <c r="AP92" s="9"/>
      <c r="AQ92" s="22">
        <v>1.28708</v>
      </c>
      <c r="AR92" s="22">
        <v>498.78</v>
      </c>
      <c r="AS92" s="22">
        <v>-1.6690099999999999E-2</v>
      </c>
      <c r="AT92" s="22">
        <v>82</v>
      </c>
      <c r="AU92" s="22">
        <v>1.2860100000000001</v>
      </c>
      <c r="AV92">
        <f t="shared" si="20"/>
        <v>16.690100000000001</v>
      </c>
      <c r="AW92">
        <f t="shared" si="21"/>
        <v>21.481493908000001</v>
      </c>
      <c r="AX92" s="9"/>
      <c r="AY92" s="22">
        <v>0.31295800000000001</v>
      </c>
      <c r="AZ92" s="22">
        <v>621.13699999999994</v>
      </c>
      <c r="BA92" s="22">
        <v>-1.7880199999999999E-2</v>
      </c>
      <c r="BB92" s="22">
        <v>82</v>
      </c>
      <c r="BC92" s="22">
        <v>0.31225599999999998</v>
      </c>
      <c r="BD92">
        <f t="shared" si="22"/>
        <v>17.880199999999999</v>
      </c>
      <c r="BE92">
        <f t="shared" si="23"/>
        <v>5.5957516315999998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84.62</v>
      </c>
      <c r="I93" s="22">
        <v>-1.69769E-2</v>
      </c>
      <c r="J93" s="22">
        <v>83</v>
      </c>
      <c r="K93" s="22">
        <v>1.2811300000000001</v>
      </c>
      <c r="L93">
        <f t="shared" si="12"/>
        <v>16.976900000000001</v>
      </c>
      <c r="M93">
        <f t="shared" si="13"/>
        <v>21.765064876</v>
      </c>
      <c r="N93" s="9"/>
      <c r="O93" s="22">
        <v>0.31799300000000003</v>
      </c>
      <c r="P93" s="22">
        <v>199.53700000000001</v>
      </c>
      <c r="Q93" s="22">
        <v>-1.79688E-2</v>
      </c>
      <c r="R93" s="22">
        <v>83</v>
      </c>
      <c r="S93" s="22">
        <v>0.31732199999999999</v>
      </c>
      <c r="T93">
        <f t="shared" si="14"/>
        <v>17.968800000000002</v>
      </c>
      <c r="U93">
        <f t="shared" si="15"/>
        <v>5.7139526184000013</v>
      </c>
      <c r="X93" s="9"/>
      <c r="Y93" s="22">
        <v>1.2820400000000001</v>
      </c>
      <c r="Z93" s="22">
        <v>302.524</v>
      </c>
      <c r="AA93" s="22">
        <v>-1.6793800000000001E-2</v>
      </c>
      <c r="AB93" s="22">
        <v>83</v>
      </c>
      <c r="AC93" s="22">
        <v>1.2811300000000001</v>
      </c>
      <c r="AD93">
        <f t="shared" si="16"/>
        <v>16.793800000000001</v>
      </c>
      <c r="AE93">
        <f t="shared" si="17"/>
        <v>21.530323352000003</v>
      </c>
      <c r="AF93" s="9"/>
      <c r="AG93" s="22">
        <v>0.31799300000000003</v>
      </c>
      <c r="AH93" s="22">
        <v>363.10300000000001</v>
      </c>
      <c r="AI93" s="22">
        <v>-1.78894E-2</v>
      </c>
      <c r="AJ93" s="22">
        <v>83</v>
      </c>
      <c r="AK93" s="22">
        <v>0.31732199999999999</v>
      </c>
      <c r="AL93">
        <f t="shared" si="18"/>
        <v>17.889399999999998</v>
      </c>
      <c r="AM93">
        <f t="shared" si="19"/>
        <v>5.6887039742000001</v>
      </c>
      <c r="AP93" s="9"/>
      <c r="AQ93" s="22">
        <v>1.2820400000000001</v>
      </c>
      <c r="AR93" s="22">
        <v>498.88099999999997</v>
      </c>
      <c r="AS93" s="22">
        <v>-1.6690099999999999E-2</v>
      </c>
      <c r="AT93" s="22">
        <v>83</v>
      </c>
      <c r="AU93" s="22">
        <v>1.2808200000000001</v>
      </c>
      <c r="AV93">
        <f t="shared" si="20"/>
        <v>16.690100000000001</v>
      </c>
      <c r="AW93">
        <f t="shared" si="21"/>
        <v>21.397375804000003</v>
      </c>
      <c r="AX93" s="9"/>
      <c r="AY93" s="22">
        <v>0.31799300000000003</v>
      </c>
      <c r="AZ93" s="22">
        <v>621.23800000000006</v>
      </c>
      <c r="BA93" s="22">
        <v>-1.7871100000000001E-2</v>
      </c>
      <c r="BB93" s="22">
        <v>83</v>
      </c>
      <c r="BC93" s="22">
        <v>0.31750499999999998</v>
      </c>
      <c r="BD93">
        <f t="shared" si="22"/>
        <v>17.871100000000002</v>
      </c>
      <c r="BE93">
        <f t="shared" si="23"/>
        <v>5.6828847023000009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84.720699999999994</v>
      </c>
      <c r="I94" s="22">
        <v>-1.6888400000000001E-2</v>
      </c>
      <c r="J94" s="22">
        <v>84</v>
      </c>
      <c r="K94" s="22">
        <v>1.2759400000000001</v>
      </c>
      <c r="L94">
        <f t="shared" si="12"/>
        <v>16.888400000000001</v>
      </c>
      <c r="M94">
        <f t="shared" si="13"/>
        <v>21.566655684000001</v>
      </c>
      <c r="N94" s="9"/>
      <c r="O94" s="22">
        <v>0.32302900000000001</v>
      </c>
      <c r="P94" s="22">
        <v>199.63800000000001</v>
      </c>
      <c r="Q94" s="22">
        <v>-1.79688E-2</v>
      </c>
      <c r="R94" s="22">
        <v>84</v>
      </c>
      <c r="S94" s="22">
        <v>0.32260100000000003</v>
      </c>
      <c r="T94">
        <f t="shared" si="14"/>
        <v>17.968800000000002</v>
      </c>
      <c r="U94">
        <f t="shared" si="15"/>
        <v>5.804443495200001</v>
      </c>
      <c r="X94" s="9"/>
      <c r="Y94" s="22">
        <v>1.27701</v>
      </c>
      <c r="Z94" s="22">
        <v>302.62400000000002</v>
      </c>
      <c r="AA94" s="22">
        <v>-1.6873200000000001E-2</v>
      </c>
      <c r="AB94" s="22">
        <v>84</v>
      </c>
      <c r="AC94" s="22">
        <v>1.2762500000000001</v>
      </c>
      <c r="AD94">
        <f t="shared" si="16"/>
        <v>16.873200000000001</v>
      </c>
      <c r="AE94">
        <f t="shared" si="17"/>
        <v>21.547245132</v>
      </c>
      <c r="AF94" s="9"/>
      <c r="AG94" s="22">
        <v>0.32302900000000001</v>
      </c>
      <c r="AH94" s="22">
        <v>363.20299999999997</v>
      </c>
      <c r="AI94" s="22">
        <v>-1.78619E-2</v>
      </c>
      <c r="AJ94" s="22">
        <v>84</v>
      </c>
      <c r="AK94" s="22">
        <v>0.32260100000000003</v>
      </c>
      <c r="AL94">
        <f t="shared" si="18"/>
        <v>17.861899999999999</v>
      </c>
      <c r="AM94">
        <f t="shared" si="19"/>
        <v>5.7699116950999993</v>
      </c>
      <c r="AP94" s="9"/>
      <c r="AQ94" s="22">
        <v>1.27701</v>
      </c>
      <c r="AR94" s="22">
        <v>498.98200000000003</v>
      </c>
      <c r="AS94" s="22">
        <v>-1.6693099999999999E-2</v>
      </c>
      <c r="AT94" s="22">
        <v>84</v>
      </c>
      <c r="AU94" s="22">
        <v>1.2762500000000001</v>
      </c>
      <c r="AV94">
        <f t="shared" si="20"/>
        <v>16.693099999999998</v>
      </c>
      <c r="AW94">
        <f t="shared" si="21"/>
        <v>21.317255630999998</v>
      </c>
      <c r="AX94" s="9"/>
      <c r="AY94" s="22">
        <v>0.32302900000000001</v>
      </c>
      <c r="AZ94" s="22">
        <v>621.33900000000006</v>
      </c>
      <c r="BA94" s="22">
        <v>-1.78589E-2</v>
      </c>
      <c r="BB94" s="22">
        <v>84</v>
      </c>
      <c r="BC94" s="22">
        <v>0.32244899999999999</v>
      </c>
      <c r="BD94">
        <f t="shared" si="22"/>
        <v>17.858900000000002</v>
      </c>
      <c r="BE94">
        <f t="shared" si="23"/>
        <v>5.7689426081000006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84.8215</v>
      </c>
      <c r="I95" s="22">
        <v>-1.6955600000000001E-2</v>
      </c>
      <c r="J95" s="22">
        <v>85</v>
      </c>
      <c r="K95" s="22">
        <v>1.27136</v>
      </c>
      <c r="L95">
        <f t="shared" si="12"/>
        <v>16.9556</v>
      </c>
      <c r="M95">
        <f t="shared" si="13"/>
        <v>21.567014532000002</v>
      </c>
      <c r="N95" s="9"/>
      <c r="O95" s="22">
        <v>0.32806400000000002</v>
      </c>
      <c r="P95" s="22">
        <v>199.738</v>
      </c>
      <c r="Q95" s="22">
        <v>-1.7962599999999999E-2</v>
      </c>
      <c r="R95" s="22">
        <v>85</v>
      </c>
      <c r="S95" s="22">
        <v>0.32699600000000001</v>
      </c>
      <c r="T95">
        <f t="shared" si="14"/>
        <v>17.962599999999998</v>
      </c>
      <c r="U95">
        <f t="shared" si="15"/>
        <v>5.8928824064000001</v>
      </c>
      <c r="X95" s="9"/>
      <c r="Y95" s="22">
        <v>1.27197</v>
      </c>
      <c r="Z95" s="22">
        <v>302.72500000000002</v>
      </c>
      <c r="AA95" s="22">
        <v>-1.69067E-2</v>
      </c>
      <c r="AB95" s="22">
        <v>85</v>
      </c>
      <c r="AC95" s="22">
        <v>1.27075</v>
      </c>
      <c r="AD95">
        <f t="shared" si="16"/>
        <v>16.906700000000001</v>
      </c>
      <c r="AE95">
        <f t="shared" si="17"/>
        <v>21.504815199000003</v>
      </c>
      <c r="AF95" s="9"/>
      <c r="AG95" s="22">
        <v>0.32806400000000002</v>
      </c>
      <c r="AH95" s="22">
        <v>363.30399999999997</v>
      </c>
      <c r="AI95" s="22">
        <v>-1.7831400000000001E-2</v>
      </c>
      <c r="AJ95" s="22">
        <v>85</v>
      </c>
      <c r="AK95" s="22">
        <v>0.32760600000000001</v>
      </c>
      <c r="AL95">
        <f t="shared" si="18"/>
        <v>17.831400000000002</v>
      </c>
      <c r="AM95">
        <f t="shared" si="19"/>
        <v>5.8498404096000014</v>
      </c>
      <c r="AP95" s="9"/>
      <c r="AQ95" s="22">
        <v>1.27197</v>
      </c>
      <c r="AR95" s="22">
        <v>499.08199999999999</v>
      </c>
      <c r="AS95" s="22">
        <v>-1.67694E-2</v>
      </c>
      <c r="AT95" s="22">
        <v>85</v>
      </c>
      <c r="AU95" s="22">
        <v>1.2716700000000001</v>
      </c>
      <c r="AV95">
        <f t="shared" si="20"/>
        <v>16.769400000000001</v>
      </c>
      <c r="AW95">
        <f t="shared" si="21"/>
        <v>21.330173718000001</v>
      </c>
      <c r="AX95" s="9"/>
      <c r="AY95" s="22">
        <v>0.32806400000000002</v>
      </c>
      <c r="AZ95" s="22">
        <v>621.44000000000005</v>
      </c>
      <c r="BA95" s="22">
        <v>-1.7864999999999999E-2</v>
      </c>
      <c r="BB95" s="22">
        <v>85</v>
      </c>
      <c r="BC95" s="22">
        <v>0.32733200000000001</v>
      </c>
      <c r="BD95">
        <f t="shared" si="22"/>
        <v>17.864999999999998</v>
      </c>
      <c r="BE95">
        <f t="shared" si="23"/>
        <v>5.8608633599999997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84.922200000000004</v>
      </c>
      <c r="I96" s="22">
        <v>-1.6986100000000001E-2</v>
      </c>
      <c r="J96" s="22">
        <v>86</v>
      </c>
      <c r="K96" s="22">
        <v>1.2664800000000001</v>
      </c>
      <c r="L96">
        <f t="shared" si="12"/>
        <v>16.9861</v>
      </c>
      <c r="M96">
        <f t="shared" si="13"/>
        <v>21.520369534</v>
      </c>
      <c r="N96" s="9"/>
      <c r="O96" s="22">
        <v>0.33309899999999998</v>
      </c>
      <c r="P96" s="22">
        <v>199.839</v>
      </c>
      <c r="Q96" s="22">
        <v>-1.7950399999999998E-2</v>
      </c>
      <c r="R96" s="22">
        <v>86</v>
      </c>
      <c r="S96" s="22">
        <v>0.33233600000000002</v>
      </c>
      <c r="T96">
        <f t="shared" si="14"/>
        <v>17.950399999999998</v>
      </c>
      <c r="U96">
        <f t="shared" si="15"/>
        <v>5.9792602895999991</v>
      </c>
      <c r="X96" s="9"/>
      <c r="Y96" s="22">
        <v>1.26694</v>
      </c>
      <c r="Z96" s="22">
        <v>302.82600000000002</v>
      </c>
      <c r="AA96" s="22">
        <v>-1.6937299999999999E-2</v>
      </c>
      <c r="AB96" s="22">
        <v>86</v>
      </c>
      <c r="AC96" s="22">
        <v>1.26617</v>
      </c>
      <c r="AD96">
        <f t="shared" si="16"/>
        <v>16.9373</v>
      </c>
      <c r="AE96">
        <f t="shared" si="17"/>
        <v>21.458542862000002</v>
      </c>
      <c r="AF96" s="9"/>
      <c r="AG96" s="22">
        <v>0.33309899999999998</v>
      </c>
      <c r="AH96" s="22">
        <v>363.40499999999997</v>
      </c>
      <c r="AI96" s="22">
        <v>-1.78467E-2</v>
      </c>
      <c r="AJ96" s="22">
        <v>86</v>
      </c>
      <c r="AK96" s="22">
        <v>0.33248899999999998</v>
      </c>
      <c r="AL96">
        <f t="shared" si="18"/>
        <v>17.846699999999998</v>
      </c>
      <c r="AM96">
        <f t="shared" si="19"/>
        <v>5.9447179232999989</v>
      </c>
      <c r="AP96" s="9"/>
      <c r="AQ96" s="22">
        <v>1.26694</v>
      </c>
      <c r="AR96" s="22">
        <v>499.18299999999999</v>
      </c>
      <c r="AS96" s="22">
        <v>-1.6790800000000002E-2</v>
      </c>
      <c r="AT96" s="22">
        <v>86</v>
      </c>
      <c r="AU96" s="22">
        <v>1.26617</v>
      </c>
      <c r="AV96">
        <f t="shared" si="20"/>
        <v>16.790800000000001</v>
      </c>
      <c r="AW96">
        <f t="shared" si="21"/>
        <v>21.272936152</v>
      </c>
      <c r="AX96" s="9"/>
      <c r="AY96" s="22">
        <v>0.33309899999999998</v>
      </c>
      <c r="AZ96" s="22">
        <v>621.54</v>
      </c>
      <c r="BA96" s="22">
        <v>-1.7867999999999998E-2</v>
      </c>
      <c r="BB96" s="22">
        <v>86</v>
      </c>
      <c r="BC96" s="22">
        <v>0.33282499999999998</v>
      </c>
      <c r="BD96">
        <f t="shared" si="22"/>
        <v>17.867999999999999</v>
      </c>
      <c r="BE96">
        <f t="shared" si="23"/>
        <v>5.9518129319999993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85.022900000000007</v>
      </c>
      <c r="I97" s="22">
        <v>-1.6986100000000001E-2</v>
      </c>
      <c r="J97" s="22">
        <v>87</v>
      </c>
      <c r="K97" s="22">
        <v>1.2609900000000001</v>
      </c>
      <c r="L97">
        <f t="shared" si="12"/>
        <v>16.9861</v>
      </c>
      <c r="M97">
        <f t="shared" si="13"/>
        <v>21.434759590000002</v>
      </c>
      <c r="N97" s="9"/>
      <c r="O97" s="22">
        <v>0.33813500000000002</v>
      </c>
      <c r="P97" s="22">
        <v>199.94</v>
      </c>
      <c r="Q97" s="22">
        <v>-1.7950399999999998E-2</v>
      </c>
      <c r="R97" s="22">
        <v>87</v>
      </c>
      <c r="S97" s="22">
        <v>0.33755499999999999</v>
      </c>
      <c r="T97">
        <f t="shared" si="14"/>
        <v>17.950399999999998</v>
      </c>
      <c r="U97">
        <f t="shared" si="15"/>
        <v>6.0696585039999995</v>
      </c>
      <c r="X97" s="9"/>
      <c r="Y97" s="22">
        <v>1.2619</v>
      </c>
      <c r="Z97" s="22">
        <v>302.92700000000002</v>
      </c>
      <c r="AA97" s="22">
        <v>-1.6958600000000001E-2</v>
      </c>
      <c r="AB97" s="22">
        <v>87</v>
      </c>
      <c r="AC97" s="22">
        <v>1.2616000000000001</v>
      </c>
      <c r="AD97">
        <f t="shared" si="16"/>
        <v>16.958600000000001</v>
      </c>
      <c r="AE97">
        <f t="shared" si="17"/>
        <v>21.40005734</v>
      </c>
      <c r="AF97" s="9"/>
      <c r="AG97" s="22">
        <v>0.33813500000000002</v>
      </c>
      <c r="AH97" s="22">
        <v>363.505</v>
      </c>
      <c r="AI97" s="22">
        <v>-1.78497E-2</v>
      </c>
      <c r="AJ97" s="22">
        <v>87</v>
      </c>
      <c r="AK97" s="22">
        <v>0.337677</v>
      </c>
      <c r="AL97">
        <f t="shared" si="18"/>
        <v>17.849699999999999</v>
      </c>
      <c r="AM97">
        <f t="shared" si="19"/>
        <v>6.0356083094999997</v>
      </c>
      <c r="AP97" s="9"/>
      <c r="AQ97" s="22">
        <v>1.2619</v>
      </c>
      <c r="AR97" s="22">
        <v>499.28399999999999</v>
      </c>
      <c r="AS97" s="22">
        <v>-1.6802999999999998E-2</v>
      </c>
      <c r="AT97" s="22">
        <v>87</v>
      </c>
      <c r="AU97" s="22">
        <v>1.26129</v>
      </c>
      <c r="AV97">
        <f t="shared" si="20"/>
        <v>16.802999999999997</v>
      </c>
      <c r="AW97">
        <f t="shared" si="21"/>
        <v>21.203705699999997</v>
      </c>
      <c r="AX97" s="9"/>
      <c r="AY97" s="22">
        <v>0.33813500000000002</v>
      </c>
      <c r="AZ97" s="22">
        <v>621.64099999999996</v>
      </c>
      <c r="BA97" s="22">
        <v>-1.7867999999999998E-2</v>
      </c>
      <c r="BB97" s="22">
        <v>87</v>
      </c>
      <c r="BC97" s="22">
        <v>0.337646</v>
      </c>
      <c r="BD97">
        <f t="shared" si="22"/>
        <v>17.867999999999999</v>
      </c>
      <c r="BE97">
        <f t="shared" si="23"/>
        <v>6.0417961799999995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85.123599999999996</v>
      </c>
      <c r="I98" s="22">
        <v>-1.7010500000000001E-2</v>
      </c>
      <c r="J98" s="22">
        <v>88</v>
      </c>
      <c r="K98" s="22">
        <v>1.2561</v>
      </c>
      <c r="L98">
        <f t="shared" si="12"/>
        <v>17.0105</v>
      </c>
      <c r="M98">
        <f t="shared" si="13"/>
        <v>21.379987135</v>
      </c>
      <c r="N98" s="9"/>
      <c r="O98" s="22">
        <v>0.34316999999999998</v>
      </c>
      <c r="P98" s="22">
        <v>200.041</v>
      </c>
      <c r="Q98" s="22">
        <v>-1.7953500000000001E-2</v>
      </c>
      <c r="R98" s="22">
        <v>88</v>
      </c>
      <c r="S98" s="22">
        <v>0.34210200000000002</v>
      </c>
      <c r="T98">
        <f t="shared" si="14"/>
        <v>17.953500000000002</v>
      </c>
      <c r="U98">
        <f t="shared" si="15"/>
        <v>6.161102595</v>
      </c>
      <c r="X98" s="9"/>
      <c r="Y98" s="22">
        <v>1.2568699999999999</v>
      </c>
      <c r="Z98" s="22">
        <v>303.02699999999999</v>
      </c>
      <c r="AA98" s="22">
        <v>-1.69769E-2</v>
      </c>
      <c r="AB98" s="22">
        <v>88</v>
      </c>
      <c r="AC98" s="22">
        <v>1.2561</v>
      </c>
      <c r="AD98">
        <f t="shared" si="16"/>
        <v>16.976900000000001</v>
      </c>
      <c r="AE98">
        <f t="shared" si="17"/>
        <v>21.337756302999999</v>
      </c>
      <c r="AF98" s="9"/>
      <c r="AG98" s="22">
        <v>0.34316999999999998</v>
      </c>
      <c r="AH98" s="22">
        <v>363.60599999999999</v>
      </c>
      <c r="AI98" s="22">
        <v>-1.78467E-2</v>
      </c>
      <c r="AJ98" s="22">
        <v>88</v>
      </c>
      <c r="AK98" s="22">
        <v>0.34259000000000001</v>
      </c>
      <c r="AL98">
        <f t="shared" si="18"/>
        <v>17.846699999999998</v>
      </c>
      <c r="AM98">
        <f t="shared" si="19"/>
        <v>6.1244520389999995</v>
      </c>
      <c r="AP98" s="9"/>
      <c r="AQ98" s="22">
        <v>1.2568699999999999</v>
      </c>
      <c r="AR98" s="22">
        <v>499.38499999999999</v>
      </c>
      <c r="AS98" s="22">
        <v>-1.68091E-2</v>
      </c>
      <c r="AT98" s="22">
        <v>88</v>
      </c>
      <c r="AU98" s="22">
        <v>1.2558</v>
      </c>
      <c r="AV98">
        <f t="shared" si="20"/>
        <v>16.809100000000001</v>
      </c>
      <c r="AW98">
        <f t="shared" si="21"/>
        <v>21.126853517000001</v>
      </c>
      <c r="AX98" s="9"/>
      <c r="AY98" s="22">
        <v>0.34316999999999998</v>
      </c>
      <c r="AZ98" s="22">
        <v>621.74199999999996</v>
      </c>
      <c r="BA98" s="22">
        <v>-1.78589E-2</v>
      </c>
      <c r="BB98" s="22">
        <v>88</v>
      </c>
      <c r="BC98" s="22">
        <v>0.34259000000000001</v>
      </c>
      <c r="BD98">
        <f t="shared" si="22"/>
        <v>17.858900000000002</v>
      </c>
      <c r="BE98">
        <f t="shared" si="23"/>
        <v>6.128638713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85.224299999999999</v>
      </c>
      <c r="I99" s="22">
        <v>-1.7022700000000002E-2</v>
      </c>
      <c r="J99" s="22">
        <v>89</v>
      </c>
      <c r="K99" s="22">
        <v>1.25153</v>
      </c>
      <c r="L99">
        <f t="shared" si="12"/>
        <v>17.0227</v>
      </c>
      <c r="M99">
        <f t="shared" si="13"/>
        <v>21.309526541</v>
      </c>
      <c r="N99" s="9"/>
      <c r="O99" s="22">
        <v>0.34820600000000002</v>
      </c>
      <c r="P99" s="22">
        <v>200.14099999999999</v>
      </c>
      <c r="Q99" s="22">
        <v>-1.7938200000000001E-2</v>
      </c>
      <c r="R99" s="22">
        <v>89</v>
      </c>
      <c r="S99" s="22">
        <v>0.34811399999999998</v>
      </c>
      <c r="T99">
        <f t="shared" si="14"/>
        <v>17.938200000000002</v>
      </c>
      <c r="U99">
        <f t="shared" si="15"/>
        <v>6.2461888692000009</v>
      </c>
      <c r="X99" s="9"/>
      <c r="Y99" s="22">
        <v>1.25183</v>
      </c>
      <c r="Z99" s="22">
        <v>303.12799999999999</v>
      </c>
      <c r="AA99" s="22">
        <v>-1.70013E-2</v>
      </c>
      <c r="AB99" s="22">
        <v>89</v>
      </c>
      <c r="AC99" s="22">
        <v>1.25031</v>
      </c>
      <c r="AD99">
        <f t="shared" si="16"/>
        <v>17.001300000000001</v>
      </c>
      <c r="AE99">
        <f t="shared" si="17"/>
        <v>21.282737379</v>
      </c>
      <c r="AF99" s="9"/>
      <c r="AG99" s="22">
        <v>0.34820600000000002</v>
      </c>
      <c r="AH99" s="22">
        <v>363.70699999999999</v>
      </c>
      <c r="AI99" s="22">
        <v>-1.78467E-2</v>
      </c>
      <c r="AJ99" s="22">
        <v>89</v>
      </c>
      <c r="AK99" s="22">
        <v>0.34728999999999999</v>
      </c>
      <c r="AL99">
        <f t="shared" si="18"/>
        <v>17.846699999999998</v>
      </c>
      <c r="AM99">
        <f t="shared" si="19"/>
        <v>6.2143280202</v>
      </c>
      <c r="AP99" s="9"/>
      <c r="AQ99" s="22">
        <v>1.25183</v>
      </c>
      <c r="AR99" s="22">
        <v>499.48500000000001</v>
      </c>
      <c r="AS99" s="22">
        <v>-1.68121E-2</v>
      </c>
      <c r="AT99" s="22">
        <v>89</v>
      </c>
      <c r="AU99" s="22">
        <v>1.25122</v>
      </c>
      <c r="AV99">
        <f t="shared" si="20"/>
        <v>16.812100000000001</v>
      </c>
      <c r="AW99">
        <f t="shared" si="21"/>
        <v>21.045891143000002</v>
      </c>
      <c r="AX99" s="9"/>
      <c r="AY99" s="22">
        <v>0.34820600000000002</v>
      </c>
      <c r="AZ99" s="22">
        <v>621.84199999999998</v>
      </c>
      <c r="BA99" s="22">
        <v>-1.78497E-2</v>
      </c>
      <c r="BB99" s="22">
        <v>89</v>
      </c>
      <c r="BC99" s="22">
        <v>0.34747299999999998</v>
      </c>
      <c r="BD99">
        <f t="shared" si="22"/>
        <v>17.849699999999999</v>
      </c>
      <c r="BE99">
        <f t="shared" si="23"/>
        <v>6.2153726381999999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85.325000000000003</v>
      </c>
      <c r="I100" s="22">
        <v>-1.7038000000000001E-2</v>
      </c>
      <c r="J100" s="22">
        <v>90</v>
      </c>
      <c r="K100" s="22">
        <v>1.24542</v>
      </c>
      <c r="L100">
        <f t="shared" si="12"/>
        <v>17.038</v>
      </c>
      <c r="M100">
        <f t="shared" si="13"/>
        <v>21.242978399999998</v>
      </c>
      <c r="N100" s="9"/>
      <c r="O100" s="22">
        <v>0.35324100000000003</v>
      </c>
      <c r="P100" s="22">
        <v>200.24199999999999</v>
      </c>
      <c r="Q100" s="22">
        <v>-1.7926000000000001E-2</v>
      </c>
      <c r="R100" s="22">
        <v>90</v>
      </c>
      <c r="S100" s="22">
        <v>0.35250900000000002</v>
      </c>
      <c r="T100">
        <f t="shared" si="14"/>
        <v>17.926000000000002</v>
      </c>
      <c r="U100">
        <f t="shared" si="15"/>
        <v>6.3321981660000013</v>
      </c>
      <c r="X100" s="9"/>
      <c r="Y100" s="22">
        <v>1.2467999999999999</v>
      </c>
      <c r="Z100" s="22">
        <v>303.22899999999998</v>
      </c>
      <c r="AA100" s="22">
        <v>-1.7013500000000001E-2</v>
      </c>
      <c r="AB100" s="22">
        <v>90</v>
      </c>
      <c r="AC100" s="22">
        <v>1.24634</v>
      </c>
      <c r="AD100">
        <f t="shared" si="16"/>
        <v>17.013500000000001</v>
      </c>
      <c r="AE100">
        <f t="shared" si="17"/>
        <v>21.212431799999997</v>
      </c>
      <c r="AF100" s="9"/>
      <c r="AG100" s="22">
        <v>0.35324100000000003</v>
      </c>
      <c r="AH100" s="22">
        <v>363.80799999999999</v>
      </c>
      <c r="AI100" s="22">
        <v>-1.78345E-2</v>
      </c>
      <c r="AJ100" s="22">
        <v>90</v>
      </c>
      <c r="AK100" s="22">
        <v>0.35305799999999998</v>
      </c>
      <c r="AL100">
        <f t="shared" si="18"/>
        <v>17.834499999999998</v>
      </c>
      <c r="AM100">
        <f t="shared" si="19"/>
        <v>6.2998766144999996</v>
      </c>
      <c r="AP100" s="9"/>
      <c r="AQ100" s="22">
        <v>1.2467999999999999</v>
      </c>
      <c r="AR100" s="22">
        <v>499.58600000000001</v>
      </c>
      <c r="AS100" s="22">
        <v>-1.6821300000000001E-2</v>
      </c>
      <c r="AT100" s="22">
        <v>90</v>
      </c>
      <c r="AU100" s="22">
        <v>1.24573</v>
      </c>
      <c r="AV100">
        <f t="shared" si="20"/>
        <v>16.821300000000001</v>
      </c>
      <c r="AW100">
        <f t="shared" si="21"/>
        <v>20.972796840000001</v>
      </c>
      <c r="AX100" s="9"/>
      <c r="AY100" s="22">
        <v>0.35324100000000003</v>
      </c>
      <c r="AZ100" s="22">
        <v>621.94299999999998</v>
      </c>
      <c r="BA100" s="22">
        <v>-1.78497E-2</v>
      </c>
      <c r="BB100" s="22">
        <v>90</v>
      </c>
      <c r="BC100" s="22">
        <v>0.35275299999999998</v>
      </c>
      <c r="BD100">
        <f t="shared" si="22"/>
        <v>17.849699999999999</v>
      </c>
      <c r="BE100">
        <f t="shared" si="23"/>
        <v>6.3052458777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85.425700000000006</v>
      </c>
      <c r="I101" s="22">
        <v>-1.7074599999999999E-2</v>
      </c>
      <c r="J101" s="22">
        <v>91</v>
      </c>
      <c r="K101" s="22">
        <v>1.2408399999999999</v>
      </c>
      <c r="L101">
        <f t="shared" si="12"/>
        <v>17.0746</v>
      </c>
      <c r="M101">
        <f t="shared" si="13"/>
        <v>21.202555296</v>
      </c>
      <c r="N101" s="9"/>
      <c r="O101" s="22">
        <v>0.35827599999999998</v>
      </c>
      <c r="P101" s="22">
        <v>200.34299999999999</v>
      </c>
      <c r="Q101" s="22">
        <v>-1.79291E-2</v>
      </c>
      <c r="R101" s="22">
        <v>91</v>
      </c>
      <c r="S101" s="22">
        <v>0.35736099999999998</v>
      </c>
      <c r="T101">
        <f t="shared" si="14"/>
        <v>17.929099999999998</v>
      </c>
      <c r="U101">
        <f t="shared" si="15"/>
        <v>6.4235662315999988</v>
      </c>
      <c r="X101" s="9"/>
      <c r="Y101" s="22">
        <v>1.24176</v>
      </c>
      <c r="Z101" s="22">
        <v>303.32900000000001</v>
      </c>
      <c r="AA101" s="22">
        <v>-1.7022700000000002E-2</v>
      </c>
      <c r="AB101" s="22">
        <v>91</v>
      </c>
      <c r="AC101" s="22">
        <v>1.24115</v>
      </c>
      <c r="AD101">
        <f t="shared" si="16"/>
        <v>17.0227</v>
      </c>
      <c r="AE101">
        <f t="shared" si="17"/>
        <v>21.138107951999999</v>
      </c>
      <c r="AF101" s="9"/>
      <c r="AG101" s="22">
        <v>0.35827599999999998</v>
      </c>
      <c r="AH101" s="22">
        <v>363.90800000000002</v>
      </c>
      <c r="AI101" s="22">
        <v>-1.78345E-2</v>
      </c>
      <c r="AJ101" s="22">
        <v>91</v>
      </c>
      <c r="AK101" s="22">
        <v>0.35772700000000002</v>
      </c>
      <c r="AL101">
        <f t="shared" si="18"/>
        <v>17.834499999999998</v>
      </c>
      <c r="AM101">
        <f t="shared" si="19"/>
        <v>6.3896733219999993</v>
      </c>
      <c r="AP101" s="9"/>
      <c r="AQ101" s="22">
        <v>1.24176</v>
      </c>
      <c r="AR101" s="22">
        <v>499.68700000000001</v>
      </c>
      <c r="AS101" s="22">
        <v>-1.6781600000000001E-2</v>
      </c>
      <c r="AT101" s="22">
        <v>91</v>
      </c>
      <c r="AU101" s="22">
        <v>1.24115</v>
      </c>
      <c r="AV101">
        <f t="shared" si="20"/>
        <v>16.781600000000001</v>
      </c>
      <c r="AW101">
        <f t="shared" si="21"/>
        <v>20.838719616000002</v>
      </c>
      <c r="AX101" s="9"/>
      <c r="AY101" s="22">
        <v>0.35827599999999998</v>
      </c>
      <c r="AZ101" s="22">
        <v>622.04399999999998</v>
      </c>
      <c r="BA101" s="22">
        <v>-1.7852799999999999E-2</v>
      </c>
      <c r="BB101" s="22">
        <v>91</v>
      </c>
      <c r="BC101" s="22">
        <v>0.35784899999999997</v>
      </c>
      <c r="BD101">
        <f t="shared" si="22"/>
        <v>17.852799999999998</v>
      </c>
      <c r="BE101">
        <f t="shared" si="23"/>
        <v>6.396229772799999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85.526399999999995</v>
      </c>
      <c r="I102" s="22">
        <v>-1.7102099999999999E-2</v>
      </c>
      <c r="J102" s="22">
        <v>92</v>
      </c>
      <c r="K102" s="22">
        <v>1.2353499999999999</v>
      </c>
      <c r="L102">
        <f t="shared" si="12"/>
        <v>17.1021</v>
      </c>
      <c r="M102">
        <f t="shared" si="13"/>
        <v>21.150509112000002</v>
      </c>
      <c r="N102" s="9"/>
      <c r="O102" s="22">
        <v>0.36331200000000002</v>
      </c>
      <c r="P102" s="22">
        <v>200.44300000000001</v>
      </c>
      <c r="Q102" s="22">
        <v>-1.7919899999999999E-2</v>
      </c>
      <c r="R102" s="22">
        <v>92</v>
      </c>
      <c r="S102" s="22">
        <v>0.362732</v>
      </c>
      <c r="T102">
        <f t="shared" si="14"/>
        <v>17.919899999999998</v>
      </c>
      <c r="U102">
        <f t="shared" si="15"/>
        <v>6.5105147087999997</v>
      </c>
      <c r="X102" s="9"/>
      <c r="Y102" s="22">
        <v>1.23672</v>
      </c>
      <c r="Z102" s="22">
        <v>303.43</v>
      </c>
      <c r="AA102" s="22">
        <v>-1.7022700000000002E-2</v>
      </c>
      <c r="AB102" s="22">
        <v>92</v>
      </c>
      <c r="AC102" s="22">
        <v>1.2359599999999999</v>
      </c>
      <c r="AD102">
        <f t="shared" si="16"/>
        <v>17.0227</v>
      </c>
      <c r="AE102">
        <f t="shared" si="17"/>
        <v>21.052313544</v>
      </c>
      <c r="AF102" s="9"/>
      <c r="AG102" s="22">
        <v>0.36331200000000002</v>
      </c>
      <c r="AH102" s="22">
        <v>364.00900000000001</v>
      </c>
      <c r="AI102" s="22">
        <v>-1.7828400000000001E-2</v>
      </c>
      <c r="AJ102" s="22">
        <v>92</v>
      </c>
      <c r="AK102" s="22">
        <v>0.36260999999999999</v>
      </c>
      <c r="AL102">
        <f t="shared" si="18"/>
        <v>17.828400000000002</v>
      </c>
      <c r="AM102">
        <f t="shared" si="19"/>
        <v>6.4772716608000014</v>
      </c>
      <c r="AP102" s="9"/>
      <c r="AQ102" s="22">
        <v>1.23672</v>
      </c>
      <c r="AR102" s="22">
        <v>499.78699999999998</v>
      </c>
      <c r="AS102" s="22">
        <v>-1.6848800000000001E-2</v>
      </c>
      <c r="AT102" s="22">
        <v>92</v>
      </c>
      <c r="AU102" s="22">
        <v>1.23566</v>
      </c>
      <c r="AV102">
        <f t="shared" si="20"/>
        <v>16.848800000000001</v>
      </c>
      <c r="AW102">
        <f t="shared" si="21"/>
        <v>20.837247936000001</v>
      </c>
      <c r="AX102" s="9"/>
      <c r="AY102" s="22">
        <v>0.36331200000000002</v>
      </c>
      <c r="AZ102" s="22">
        <v>622.14400000000001</v>
      </c>
      <c r="BA102" s="22">
        <v>-1.78497E-2</v>
      </c>
      <c r="BB102" s="22">
        <v>92</v>
      </c>
      <c r="BC102" s="22">
        <v>0.36294599999999999</v>
      </c>
      <c r="BD102">
        <f t="shared" si="22"/>
        <v>17.849699999999999</v>
      </c>
      <c r="BE102">
        <f t="shared" si="23"/>
        <v>6.4850102064000001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85.627099999999999</v>
      </c>
      <c r="I103" s="22">
        <v>-1.7105100000000002E-2</v>
      </c>
      <c r="J103" s="22">
        <v>93</v>
      </c>
      <c r="K103" s="22">
        <v>1.23108</v>
      </c>
      <c r="L103">
        <f t="shared" si="12"/>
        <v>17.1051</v>
      </c>
      <c r="M103">
        <f t="shared" si="13"/>
        <v>21.068180619</v>
      </c>
      <c r="N103" s="9"/>
      <c r="O103" s="22">
        <v>0.36834699999999998</v>
      </c>
      <c r="P103" s="22">
        <v>200.54400000000001</v>
      </c>
      <c r="Q103" s="22">
        <v>-1.7923000000000001E-2</v>
      </c>
      <c r="R103" s="22">
        <v>93</v>
      </c>
      <c r="S103" s="22">
        <v>0.36773699999999998</v>
      </c>
      <c r="T103">
        <f t="shared" si="14"/>
        <v>17.923000000000002</v>
      </c>
      <c r="U103">
        <f t="shared" si="15"/>
        <v>6.6018832810000001</v>
      </c>
      <c r="X103" s="9"/>
      <c r="Y103" s="22">
        <v>1.23169</v>
      </c>
      <c r="Z103" s="22">
        <v>303.53100000000001</v>
      </c>
      <c r="AA103" s="22">
        <v>-1.7041000000000001E-2</v>
      </c>
      <c r="AB103" s="22">
        <v>93</v>
      </c>
      <c r="AC103" s="22">
        <v>1.2313799999999999</v>
      </c>
      <c r="AD103">
        <f t="shared" si="16"/>
        <v>17.041</v>
      </c>
      <c r="AE103">
        <f t="shared" si="17"/>
        <v>20.989229290000001</v>
      </c>
      <c r="AF103" s="9"/>
      <c r="AG103" s="22">
        <v>0.36834699999999998</v>
      </c>
      <c r="AH103" s="22">
        <v>364.11</v>
      </c>
      <c r="AI103" s="22">
        <v>-1.7828400000000001E-2</v>
      </c>
      <c r="AJ103" s="22">
        <v>93</v>
      </c>
      <c r="AK103" s="22">
        <v>0.36792000000000002</v>
      </c>
      <c r="AL103">
        <f t="shared" si="18"/>
        <v>17.828400000000002</v>
      </c>
      <c r="AM103">
        <f t="shared" si="19"/>
        <v>6.5670376548</v>
      </c>
      <c r="AP103" s="9"/>
      <c r="AQ103" s="22">
        <v>1.23169</v>
      </c>
      <c r="AR103" s="22">
        <v>499.88799999999998</v>
      </c>
      <c r="AS103" s="22">
        <v>-1.68396E-2</v>
      </c>
      <c r="AT103" s="22">
        <v>93</v>
      </c>
      <c r="AU103" s="22">
        <v>1.23108</v>
      </c>
      <c r="AV103">
        <f t="shared" si="20"/>
        <v>16.839600000000001</v>
      </c>
      <c r="AW103">
        <f t="shared" si="21"/>
        <v>20.741166924000002</v>
      </c>
      <c r="AX103" s="9"/>
      <c r="AY103" s="22">
        <v>0.36834699999999998</v>
      </c>
      <c r="AZ103" s="22">
        <v>622.245</v>
      </c>
      <c r="BA103" s="22">
        <v>-1.78467E-2</v>
      </c>
      <c r="BB103" s="22">
        <v>93</v>
      </c>
      <c r="BC103" s="22">
        <v>0.367645</v>
      </c>
      <c r="BD103">
        <f t="shared" si="22"/>
        <v>17.846699999999998</v>
      </c>
      <c r="BE103">
        <f t="shared" si="23"/>
        <v>6.5737784048999988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85.727800000000002</v>
      </c>
      <c r="I104" s="22">
        <v>-1.7102099999999999E-2</v>
      </c>
      <c r="J104" s="22">
        <v>94</v>
      </c>
      <c r="K104" s="22">
        <v>1.2262</v>
      </c>
      <c r="L104">
        <f t="shared" si="12"/>
        <v>17.1021</v>
      </c>
      <c r="M104">
        <f t="shared" si="13"/>
        <v>20.978290964999999</v>
      </c>
      <c r="N104" s="9"/>
      <c r="O104" s="22">
        <v>0.37338300000000002</v>
      </c>
      <c r="P104" s="22">
        <v>200.64500000000001</v>
      </c>
      <c r="Q104" s="22">
        <v>-1.7910800000000001E-2</v>
      </c>
      <c r="R104" s="22">
        <v>94</v>
      </c>
      <c r="S104" s="22">
        <v>0.37268099999999998</v>
      </c>
      <c r="T104">
        <f t="shared" si="14"/>
        <v>17.910800000000002</v>
      </c>
      <c r="U104">
        <f t="shared" si="15"/>
        <v>6.6875882364000008</v>
      </c>
      <c r="X104" s="9"/>
      <c r="Y104" s="22">
        <v>1.22665</v>
      </c>
      <c r="Z104" s="22">
        <v>303.63099999999997</v>
      </c>
      <c r="AA104" s="22">
        <v>-1.70441E-2</v>
      </c>
      <c r="AB104" s="22">
        <v>94</v>
      </c>
      <c r="AC104" s="22">
        <v>1.2252799999999999</v>
      </c>
      <c r="AD104">
        <f t="shared" si="16"/>
        <v>17.0441</v>
      </c>
      <c r="AE104">
        <f t="shared" si="17"/>
        <v>20.907145265</v>
      </c>
      <c r="AF104" s="9"/>
      <c r="AG104" s="22">
        <v>0.37338300000000002</v>
      </c>
      <c r="AH104" s="22">
        <v>364.21</v>
      </c>
      <c r="AI104" s="22">
        <v>-1.7831400000000001E-2</v>
      </c>
      <c r="AJ104" s="22">
        <v>94</v>
      </c>
      <c r="AK104" s="22">
        <v>0.37316899999999997</v>
      </c>
      <c r="AL104">
        <f t="shared" si="18"/>
        <v>17.831400000000002</v>
      </c>
      <c r="AM104">
        <f t="shared" si="19"/>
        <v>6.6579416262000013</v>
      </c>
      <c r="AP104" s="9"/>
      <c r="AQ104" s="22">
        <v>1.22665</v>
      </c>
      <c r="AR104" s="22">
        <v>499.98899999999998</v>
      </c>
      <c r="AS104" s="22">
        <v>-1.6845700000000002E-2</v>
      </c>
      <c r="AT104" s="22">
        <v>94</v>
      </c>
      <c r="AU104" s="22">
        <v>1.22559</v>
      </c>
      <c r="AV104">
        <f t="shared" si="20"/>
        <v>16.845700000000001</v>
      </c>
      <c r="AW104">
        <f t="shared" si="21"/>
        <v>20.663777905</v>
      </c>
      <c r="AX104" s="9"/>
      <c r="AY104" s="22">
        <v>0.37338300000000002</v>
      </c>
      <c r="AZ104" s="22">
        <v>622.346</v>
      </c>
      <c r="BA104" s="22">
        <v>-1.7837499999999999E-2</v>
      </c>
      <c r="BB104" s="22">
        <v>94</v>
      </c>
      <c r="BC104" s="22">
        <v>0.37268099999999998</v>
      </c>
      <c r="BD104">
        <f t="shared" si="22"/>
        <v>17.837499999999999</v>
      </c>
      <c r="BE104">
        <f t="shared" si="23"/>
        <v>6.6602192625000001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85.828500000000005</v>
      </c>
      <c r="I105" s="22">
        <v>-1.71387E-2</v>
      </c>
      <c r="J105" s="22">
        <v>95</v>
      </c>
      <c r="K105" s="22">
        <v>1.2216199999999999</v>
      </c>
      <c r="L105">
        <f t="shared" si="12"/>
        <v>17.1387</v>
      </c>
      <c r="M105">
        <f t="shared" si="13"/>
        <v>20.936978694</v>
      </c>
      <c r="N105" s="9"/>
      <c r="O105" s="22">
        <v>0.37841799999999998</v>
      </c>
      <c r="P105" s="22">
        <v>200.745</v>
      </c>
      <c r="Q105" s="22">
        <v>-1.7916899999999999E-2</v>
      </c>
      <c r="R105" s="22">
        <v>95</v>
      </c>
      <c r="S105" s="22">
        <v>0.377716</v>
      </c>
      <c r="T105">
        <f t="shared" si="14"/>
        <v>17.916899999999998</v>
      </c>
      <c r="U105">
        <f t="shared" si="15"/>
        <v>6.7800774641999988</v>
      </c>
      <c r="X105" s="9"/>
      <c r="Y105" s="22">
        <v>1.2216199999999999</v>
      </c>
      <c r="Z105" s="22">
        <v>303.73200000000003</v>
      </c>
      <c r="AA105" s="22">
        <v>-1.7053200000000001E-2</v>
      </c>
      <c r="AB105" s="22">
        <v>95</v>
      </c>
      <c r="AC105" s="22">
        <v>1.2203999999999999</v>
      </c>
      <c r="AD105">
        <f t="shared" si="16"/>
        <v>17.0532</v>
      </c>
      <c r="AE105">
        <f t="shared" si="17"/>
        <v>20.832530183999999</v>
      </c>
      <c r="AF105" s="9"/>
      <c r="AG105" s="22">
        <v>0.37841799999999998</v>
      </c>
      <c r="AH105" s="22">
        <v>364.31099999999998</v>
      </c>
      <c r="AI105" s="22">
        <v>-1.78345E-2</v>
      </c>
      <c r="AJ105" s="22">
        <v>95</v>
      </c>
      <c r="AK105" s="22">
        <v>0.37777699999999997</v>
      </c>
      <c r="AL105">
        <f t="shared" si="18"/>
        <v>17.834499999999998</v>
      </c>
      <c r="AM105">
        <f t="shared" si="19"/>
        <v>6.7488958209999987</v>
      </c>
      <c r="AP105" s="9"/>
      <c r="AQ105" s="22">
        <v>1.2216199999999999</v>
      </c>
      <c r="AR105" s="22">
        <v>500.089</v>
      </c>
      <c r="AS105" s="22">
        <v>-1.6848800000000001E-2</v>
      </c>
      <c r="AT105" s="22">
        <v>95</v>
      </c>
      <c r="AU105" s="22">
        <v>1.2206999999999999</v>
      </c>
      <c r="AV105">
        <f t="shared" si="20"/>
        <v>16.848800000000001</v>
      </c>
      <c r="AW105">
        <f t="shared" si="21"/>
        <v>20.582831056</v>
      </c>
      <c r="AX105" s="9"/>
      <c r="AY105" s="22">
        <v>0.37841799999999998</v>
      </c>
      <c r="AZ105" s="22">
        <v>622.447</v>
      </c>
      <c r="BA105" s="22">
        <v>-1.7825299999999999E-2</v>
      </c>
      <c r="BB105" s="22">
        <v>95</v>
      </c>
      <c r="BC105" s="22">
        <v>0.37789899999999998</v>
      </c>
      <c r="BD105">
        <f t="shared" si="22"/>
        <v>17.825299999999999</v>
      </c>
      <c r="BE105">
        <f t="shared" si="23"/>
        <v>6.7454143753999993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85.929199999999994</v>
      </c>
      <c r="I106" s="22">
        <v>-1.7163100000000001E-2</v>
      </c>
      <c r="J106" s="22">
        <v>96</v>
      </c>
      <c r="K106" s="22">
        <v>1.2161299999999999</v>
      </c>
      <c r="L106">
        <f t="shared" si="12"/>
        <v>17.1631</v>
      </c>
      <c r="M106">
        <f t="shared" si="13"/>
        <v>20.880284197999998</v>
      </c>
      <c r="N106" s="9"/>
      <c r="O106" s="22">
        <v>0.38345299999999999</v>
      </c>
      <c r="P106" s="22">
        <v>200.846</v>
      </c>
      <c r="Q106" s="22">
        <v>-1.7907699999999999E-2</v>
      </c>
      <c r="R106" s="22">
        <v>96</v>
      </c>
      <c r="S106" s="22">
        <v>0.38278200000000001</v>
      </c>
      <c r="T106">
        <f t="shared" si="14"/>
        <v>17.907699999999998</v>
      </c>
      <c r="U106">
        <f t="shared" si="15"/>
        <v>6.8667612880999993</v>
      </c>
      <c r="X106" s="9"/>
      <c r="Y106" s="22">
        <v>1.21658</v>
      </c>
      <c r="Z106" s="22">
        <v>303.83300000000003</v>
      </c>
      <c r="AA106" s="22">
        <v>-1.70685E-2</v>
      </c>
      <c r="AB106" s="22">
        <v>96</v>
      </c>
      <c r="AC106" s="22">
        <v>1.2158199999999999</v>
      </c>
      <c r="AD106">
        <f t="shared" si="16"/>
        <v>17.0685</v>
      </c>
      <c r="AE106">
        <f t="shared" si="17"/>
        <v>20.765195729999999</v>
      </c>
      <c r="AF106" s="9"/>
      <c r="AG106" s="22">
        <v>0.38345299999999999</v>
      </c>
      <c r="AH106" s="22">
        <v>364.41199999999998</v>
      </c>
      <c r="AI106" s="22">
        <v>-1.7816200000000001E-2</v>
      </c>
      <c r="AJ106" s="22">
        <v>96</v>
      </c>
      <c r="AK106" s="22">
        <v>0.38305699999999998</v>
      </c>
      <c r="AL106">
        <f t="shared" si="18"/>
        <v>17.816200000000002</v>
      </c>
      <c r="AM106">
        <f t="shared" si="19"/>
        <v>6.8316753386000002</v>
      </c>
      <c r="AP106" s="9"/>
      <c r="AQ106" s="22">
        <v>1.21658</v>
      </c>
      <c r="AR106" s="22">
        <v>500.19</v>
      </c>
      <c r="AS106" s="22">
        <v>-1.6873200000000001E-2</v>
      </c>
      <c r="AT106" s="22">
        <v>96</v>
      </c>
      <c r="AU106" s="22">
        <v>1.2155199999999999</v>
      </c>
      <c r="AV106">
        <f t="shared" si="20"/>
        <v>16.873200000000001</v>
      </c>
      <c r="AW106">
        <f t="shared" si="21"/>
        <v>20.527597656000001</v>
      </c>
      <c r="AX106" s="9"/>
      <c r="AY106" s="22">
        <v>0.38345299999999999</v>
      </c>
      <c r="AZ106" s="22">
        <v>622.54700000000003</v>
      </c>
      <c r="BA106" s="22">
        <v>-1.7816200000000001E-2</v>
      </c>
      <c r="BB106" s="22">
        <v>96</v>
      </c>
      <c r="BC106" s="22">
        <v>0.38317899999999999</v>
      </c>
      <c r="BD106">
        <f t="shared" si="22"/>
        <v>17.816200000000002</v>
      </c>
      <c r="BE106">
        <f t="shared" si="23"/>
        <v>6.8316753386000002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86.03</v>
      </c>
      <c r="I107" s="22">
        <v>-1.7172199999999999E-2</v>
      </c>
      <c r="J107" s="22">
        <v>97</v>
      </c>
      <c r="K107" s="22">
        <v>1.2112400000000001</v>
      </c>
      <c r="L107">
        <f t="shared" si="12"/>
        <v>17.1722</v>
      </c>
      <c r="M107">
        <f t="shared" si="13"/>
        <v>20.804978909999999</v>
      </c>
      <c r="N107" s="9"/>
      <c r="O107" s="22">
        <v>0.38848899999999997</v>
      </c>
      <c r="P107" s="22">
        <v>200.947</v>
      </c>
      <c r="Q107" s="22">
        <v>-1.79016E-2</v>
      </c>
      <c r="R107" s="22">
        <v>97</v>
      </c>
      <c r="S107" s="22">
        <v>0.38751200000000002</v>
      </c>
      <c r="T107">
        <f t="shared" si="14"/>
        <v>17.901599999999998</v>
      </c>
      <c r="U107">
        <f t="shared" si="15"/>
        <v>6.9545746823999988</v>
      </c>
      <c r="X107" s="9"/>
      <c r="Y107" s="22">
        <v>1.2115499999999999</v>
      </c>
      <c r="Z107" s="22">
        <v>303.93400000000003</v>
      </c>
      <c r="AA107" s="22">
        <v>-1.70715E-2</v>
      </c>
      <c r="AB107" s="22">
        <v>97</v>
      </c>
      <c r="AC107" s="22">
        <v>1.2112400000000001</v>
      </c>
      <c r="AD107">
        <f t="shared" si="16"/>
        <v>17.0715</v>
      </c>
      <c r="AE107">
        <f t="shared" si="17"/>
        <v>20.682975825</v>
      </c>
      <c r="AF107" s="9"/>
      <c r="AG107" s="22">
        <v>0.38848899999999997</v>
      </c>
      <c r="AH107" s="22">
        <v>364.51299999999998</v>
      </c>
      <c r="AI107" s="22">
        <v>-1.7825299999999999E-2</v>
      </c>
      <c r="AJ107" s="22">
        <v>97</v>
      </c>
      <c r="AK107" s="22">
        <v>0.38793899999999998</v>
      </c>
      <c r="AL107">
        <f t="shared" si="18"/>
        <v>17.825299999999999</v>
      </c>
      <c r="AM107">
        <f t="shared" si="19"/>
        <v>6.9249329716999988</v>
      </c>
      <c r="AP107" s="9"/>
      <c r="AQ107" s="22">
        <v>1.2115499999999999</v>
      </c>
      <c r="AR107" s="22">
        <v>500.291</v>
      </c>
      <c r="AS107" s="22">
        <v>-1.6882299999999999E-2</v>
      </c>
      <c r="AT107" s="22">
        <v>97</v>
      </c>
      <c r="AU107" s="22">
        <v>1.2106300000000001</v>
      </c>
      <c r="AV107">
        <f t="shared" si="20"/>
        <v>16.882300000000001</v>
      </c>
      <c r="AW107">
        <f t="shared" si="21"/>
        <v>20.453750565</v>
      </c>
      <c r="AX107" s="9"/>
      <c r="AY107" s="22">
        <v>0.38848899999999997</v>
      </c>
      <c r="AZ107" s="22">
        <v>622.64800000000002</v>
      </c>
      <c r="BA107" s="22">
        <v>-1.7831400000000001E-2</v>
      </c>
      <c r="BB107" s="22">
        <v>97</v>
      </c>
      <c r="BC107" s="22">
        <v>0.38769500000000001</v>
      </c>
      <c r="BD107">
        <f t="shared" si="22"/>
        <v>17.831400000000002</v>
      </c>
      <c r="BE107">
        <f t="shared" si="23"/>
        <v>6.9273027546000003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86.130700000000004</v>
      </c>
      <c r="I108" s="22">
        <v>-1.7187500000000001E-2</v>
      </c>
      <c r="J108" s="22">
        <v>98</v>
      </c>
      <c r="K108" s="22">
        <v>1.2103299999999999</v>
      </c>
      <c r="L108">
        <f t="shared" si="12"/>
        <v>17.1875</v>
      </c>
      <c r="M108">
        <f t="shared" si="13"/>
        <v>20.736890625000001</v>
      </c>
      <c r="N108" s="9"/>
      <c r="O108" s="22">
        <v>0.39352399999999998</v>
      </c>
      <c r="P108" s="22">
        <v>201.048</v>
      </c>
      <c r="Q108" s="22">
        <v>-1.7907699999999999E-2</v>
      </c>
      <c r="R108" s="22">
        <v>98</v>
      </c>
      <c r="S108" s="22">
        <v>0.39276100000000003</v>
      </c>
      <c r="T108">
        <f t="shared" si="14"/>
        <v>17.907699999999998</v>
      </c>
      <c r="U108">
        <f t="shared" si="15"/>
        <v>7.0471097347999994</v>
      </c>
      <c r="X108" s="9"/>
      <c r="Y108" s="22">
        <v>1.20651</v>
      </c>
      <c r="Z108" s="22">
        <v>304.03399999999999</v>
      </c>
      <c r="AA108" s="22">
        <v>-1.70837E-2</v>
      </c>
      <c r="AB108" s="22">
        <v>98</v>
      </c>
      <c r="AC108" s="22">
        <v>1.2051400000000001</v>
      </c>
      <c r="AD108">
        <f t="shared" si="16"/>
        <v>17.0837</v>
      </c>
      <c r="AE108">
        <f t="shared" si="17"/>
        <v>20.611654887</v>
      </c>
      <c r="AF108" s="9"/>
      <c r="AG108" s="22">
        <v>0.39352399999999998</v>
      </c>
      <c r="AH108" s="22">
        <v>364.613</v>
      </c>
      <c r="AI108" s="22">
        <v>-1.78192E-2</v>
      </c>
      <c r="AJ108" s="22">
        <v>98</v>
      </c>
      <c r="AK108" s="22">
        <v>0.39294400000000002</v>
      </c>
      <c r="AL108">
        <f t="shared" si="18"/>
        <v>17.819199999999999</v>
      </c>
      <c r="AM108">
        <f t="shared" si="19"/>
        <v>7.0122828607999992</v>
      </c>
      <c r="AP108" s="9"/>
      <c r="AQ108" s="22">
        <v>1.20651</v>
      </c>
      <c r="AR108" s="22">
        <v>500.392</v>
      </c>
      <c r="AS108" s="22">
        <v>-1.6897599999999999E-2</v>
      </c>
      <c r="AT108" s="22">
        <v>98</v>
      </c>
      <c r="AU108" s="22">
        <v>1.2057500000000001</v>
      </c>
      <c r="AV108">
        <f t="shared" si="20"/>
        <v>16.897599999999997</v>
      </c>
      <c r="AW108">
        <f t="shared" si="21"/>
        <v>20.387123375999995</v>
      </c>
      <c r="AX108" s="9"/>
      <c r="AY108" s="22">
        <v>0.39352399999999998</v>
      </c>
      <c r="AZ108" s="22">
        <v>622.74900000000002</v>
      </c>
      <c r="BA108" s="22">
        <v>-1.7828400000000001E-2</v>
      </c>
      <c r="BB108" s="22">
        <v>98</v>
      </c>
      <c r="BC108" s="22">
        <v>0.39297500000000002</v>
      </c>
      <c r="BD108">
        <f t="shared" si="22"/>
        <v>17.828400000000002</v>
      </c>
      <c r="BE108">
        <f t="shared" si="23"/>
        <v>7.0159032816000009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86.231399999999994</v>
      </c>
      <c r="I109" s="22">
        <v>-1.71936E-2</v>
      </c>
      <c r="J109" s="22">
        <v>99</v>
      </c>
      <c r="K109" s="22">
        <v>1.2008700000000001</v>
      </c>
      <c r="L109">
        <f t="shared" si="12"/>
        <v>17.1936</v>
      </c>
      <c r="M109">
        <f t="shared" si="13"/>
        <v>20.657766528000003</v>
      </c>
      <c r="N109" s="9"/>
      <c r="O109" s="22">
        <v>0.39856000000000003</v>
      </c>
      <c r="P109" s="22">
        <v>201.148</v>
      </c>
      <c r="Q109" s="22">
        <v>-1.7895500000000002E-2</v>
      </c>
      <c r="R109" s="22">
        <v>99</v>
      </c>
      <c r="S109" s="22">
        <v>0.39791900000000002</v>
      </c>
      <c r="T109">
        <f t="shared" si="14"/>
        <v>17.895500000000002</v>
      </c>
      <c r="U109">
        <f t="shared" si="15"/>
        <v>7.1324304800000009</v>
      </c>
      <c r="X109" s="9"/>
      <c r="Y109" s="22">
        <v>1.2014800000000001</v>
      </c>
      <c r="Z109" s="22">
        <v>304.13499999999999</v>
      </c>
      <c r="AA109" s="22">
        <v>-1.70837E-2</v>
      </c>
      <c r="AB109" s="22">
        <v>99</v>
      </c>
      <c r="AC109" s="22">
        <v>1.2005600000000001</v>
      </c>
      <c r="AD109">
        <f t="shared" si="16"/>
        <v>17.0837</v>
      </c>
      <c r="AE109">
        <f t="shared" si="17"/>
        <v>20.525723876000001</v>
      </c>
      <c r="AF109" s="9"/>
      <c r="AG109" s="22">
        <v>0.39856000000000003</v>
      </c>
      <c r="AH109" s="22">
        <v>364.714</v>
      </c>
      <c r="AI109" s="22">
        <v>-1.7816200000000001E-2</v>
      </c>
      <c r="AJ109" s="22">
        <v>99</v>
      </c>
      <c r="AK109" s="22">
        <v>0.39798</v>
      </c>
      <c r="AL109">
        <f t="shared" si="18"/>
        <v>17.816200000000002</v>
      </c>
      <c r="AM109">
        <f t="shared" si="19"/>
        <v>7.1008246720000017</v>
      </c>
      <c r="AP109" s="9"/>
      <c r="AQ109" s="22">
        <v>1.2014800000000001</v>
      </c>
      <c r="AR109" s="22">
        <v>500.49200000000002</v>
      </c>
      <c r="AS109" s="22">
        <v>-1.6900600000000002E-2</v>
      </c>
      <c r="AT109" s="22">
        <v>99</v>
      </c>
      <c r="AU109" s="22">
        <v>1.2005600000000001</v>
      </c>
      <c r="AV109">
        <f t="shared" si="20"/>
        <v>16.900600000000001</v>
      </c>
      <c r="AW109">
        <f t="shared" si="21"/>
        <v>20.305732888000001</v>
      </c>
      <c r="AX109" s="9"/>
      <c r="AY109" s="22">
        <v>0.39856000000000003</v>
      </c>
      <c r="AZ109" s="22">
        <v>622.84900000000005</v>
      </c>
      <c r="BA109" s="22">
        <v>-1.78192E-2</v>
      </c>
      <c r="BB109" s="22">
        <v>99</v>
      </c>
      <c r="BC109" s="22">
        <v>0.39788800000000002</v>
      </c>
      <c r="BD109">
        <f t="shared" si="22"/>
        <v>17.819199999999999</v>
      </c>
      <c r="BE109">
        <f t="shared" si="23"/>
        <v>7.1020203520000003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86.332099999999997</v>
      </c>
      <c r="I110" s="22">
        <v>-1.7199699999999998E-2</v>
      </c>
      <c r="J110" s="22">
        <v>100</v>
      </c>
      <c r="K110" s="22">
        <v>1.1981200000000001</v>
      </c>
      <c r="L110">
        <f t="shared" si="12"/>
        <v>17.1997</v>
      </c>
      <c r="M110">
        <f t="shared" si="13"/>
        <v>20.578409067999999</v>
      </c>
      <c r="N110" s="9"/>
      <c r="O110" s="22">
        <v>0.40359499999999998</v>
      </c>
      <c r="P110" s="22">
        <v>201.249</v>
      </c>
      <c r="Q110" s="22">
        <v>-1.7892499999999999E-2</v>
      </c>
      <c r="R110" s="22">
        <v>100</v>
      </c>
      <c r="S110" s="22">
        <v>0.40307599999999999</v>
      </c>
      <c r="T110">
        <f t="shared" si="14"/>
        <v>17.892499999999998</v>
      </c>
      <c r="U110">
        <f t="shared" si="15"/>
        <v>7.2213235374999991</v>
      </c>
      <c r="X110" s="9"/>
      <c r="Y110" s="22">
        <v>1.1964399999999999</v>
      </c>
      <c r="Z110" s="22">
        <v>304.23599999999999</v>
      </c>
      <c r="AA110" s="22">
        <v>-1.7092900000000001E-2</v>
      </c>
      <c r="AB110" s="22">
        <v>100</v>
      </c>
      <c r="AC110" s="22">
        <v>1.19537</v>
      </c>
      <c r="AD110">
        <f t="shared" si="16"/>
        <v>17.0929</v>
      </c>
      <c r="AE110">
        <f t="shared" si="17"/>
        <v>20.450629276000001</v>
      </c>
      <c r="AF110" s="9"/>
      <c r="AG110" s="22">
        <v>0.40359499999999998</v>
      </c>
      <c r="AH110" s="22">
        <v>364.815</v>
      </c>
      <c r="AI110" s="22">
        <v>-1.7810099999999999E-2</v>
      </c>
      <c r="AJ110" s="22">
        <v>100</v>
      </c>
      <c r="AK110" s="22">
        <v>0.40295399999999998</v>
      </c>
      <c r="AL110">
        <f t="shared" si="18"/>
        <v>17.810099999999998</v>
      </c>
      <c r="AM110">
        <f t="shared" si="19"/>
        <v>7.1880673094999992</v>
      </c>
      <c r="AP110" s="9"/>
      <c r="AQ110" s="22">
        <v>1.1964399999999999</v>
      </c>
      <c r="AR110" s="22">
        <v>500.59300000000002</v>
      </c>
      <c r="AS110" s="22">
        <v>-1.6909799999999999E-2</v>
      </c>
      <c r="AT110" s="22">
        <v>100</v>
      </c>
      <c r="AU110" s="22">
        <v>1.19598</v>
      </c>
      <c r="AV110">
        <f t="shared" si="20"/>
        <v>16.909800000000001</v>
      </c>
      <c r="AW110">
        <f t="shared" si="21"/>
        <v>20.231561112000001</v>
      </c>
      <c r="AX110" s="9"/>
      <c r="AY110" s="22">
        <v>0.40359499999999998</v>
      </c>
      <c r="AZ110" s="22">
        <v>622.95000000000005</v>
      </c>
      <c r="BA110" s="22">
        <v>-1.7810099999999999E-2</v>
      </c>
      <c r="BB110" s="22">
        <v>100</v>
      </c>
      <c r="BC110" s="22">
        <v>0.40301500000000001</v>
      </c>
      <c r="BD110">
        <f t="shared" si="22"/>
        <v>17.810099999999998</v>
      </c>
      <c r="BE110">
        <f t="shared" si="23"/>
        <v>7.1880673094999992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86.4328</v>
      </c>
      <c r="I111" s="22">
        <v>-1.7187500000000001E-2</v>
      </c>
      <c r="J111" s="22">
        <v>101</v>
      </c>
      <c r="K111" s="22">
        <v>1.18988</v>
      </c>
      <c r="L111">
        <f t="shared" si="12"/>
        <v>17.1875</v>
      </c>
      <c r="M111">
        <f t="shared" si="13"/>
        <v>20.477359375000002</v>
      </c>
      <c r="N111" s="9"/>
      <c r="O111" s="22">
        <v>0.40862999999999999</v>
      </c>
      <c r="P111" s="22">
        <v>201.35</v>
      </c>
      <c r="Q111" s="22">
        <v>-1.7892499999999999E-2</v>
      </c>
      <c r="R111" s="22">
        <v>101</v>
      </c>
      <c r="S111" s="22">
        <v>0.40826400000000002</v>
      </c>
      <c r="T111">
        <f t="shared" si="14"/>
        <v>17.892499999999998</v>
      </c>
      <c r="U111">
        <f t="shared" si="15"/>
        <v>7.3114122749999995</v>
      </c>
      <c r="X111" s="9"/>
      <c r="Y111" s="22">
        <v>1.1914100000000001</v>
      </c>
      <c r="Z111" s="22">
        <v>304.33600000000001</v>
      </c>
      <c r="AA111" s="22">
        <v>-1.7102099999999999E-2</v>
      </c>
      <c r="AB111" s="22">
        <v>101</v>
      </c>
      <c r="AC111" s="22">
        <v>1.1901900000000001</v>
      </c>
      <c r="AD111">
        <f t="shared" si="16"/>
        <v>17.1021</v>
      </c>
      <c r="AE111">
        <f t="shared" si="17"/>
        <v>20.375612961000002</v>
      </c>
      <c r="AF111" s="9"/>
      <c r="AG111" s="22">
        <v>0.40862999999999999</v>
      </c>
      <c r="AH111" s="22">
        <v>364.91500000000002</v>
      </c>
      <c r="AI111" s="22">
        <v>-1.7810099999999999E-2</v>
      </c>
      <c r="AJ111" s="22">
        <v>101</v>
      </c>
      <c r="AK111" s="22">
        <v>0.40792800000000001</v>
      </c>
      <c r="AL111">
        <f t="shared" si="18"/>
        <v>17.810099999999998</v>
      </c>
      <c r="AM111">
        <f t="shared" si="19"/>
        <v>7.2777411629999991</v>
      </c>
      <c r="AP111" s="9"/>
      <c r="AQ111" s="22">
        <v>1.1914100000000001</v>
      </c>
      <c r="AR111" s="22">
        <v>500.69400000000002</v>
      </c>
      <c r="AS111" s="22">
        <v>-1.69067E-2</v>
      </c>
      <c r="AT111" s="22">
        <v>101</v>
      </c>
      <c r="AU111" s="22">
        <v>1.1901900000000001</v>
      </c>
      <c r="AV111">
        <f t="shared" si="20"/>
        <v>16.906700000000001</v>
      </c>
      <c r="AW111">
        <f t="shared" si="21"/>
        <v>20.142811447000003</v>
      </c>
      <c r="AX111" s="9"/>
      <c r="AY111" s="22">
        <v>0.40862999999999999</v>
      </c>
      <c r="AZ111" s="22">
        <v>623.05100000000004</v>
      </c>
      <c r="BA111" s="22">
        <v>-1.7804E-2</v>
      </c>
      <c r="BB111" s="22">
        <v>101</v>
      </c>
      <c r="BC111" s="22">
        <v>0.40801999999999999</v>
      </c>
      <c r="BD111">
        <f t="shared" si="22"/>
        <v>17.804000000000002</v>
      </c>
      <c r="BE111">
        <f t="shared" si="23"/>
        <v>7.2752485200000008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86.533500000000004</v>
      </c>
      <c r="I112" s="22">
        <v>-1.71936E-2</v>
      </c>
      <c r="J112" s="22">
        <v>102</v>
      </c>
      <c r="K112" s="22">
        <v>1.18652</v>
      </c>
      <c r="L112">
        <f t="shared" si="12"/>
        <v>17.1936</v>
      </c>
      <c r="M112">
        <f t="shared" si="13"/>
        <v>20.397971232</v>
      </c>
      <c r="N112" s="9"/>
      <c r="O112" s="22">
        <v>0.41366599999999998</v>
      </c>
      <c r="P112" s="22">
        <v>201.45</v>
      </c>
      <c r="Q112" s="22">
        <v>-1.7895500000000002E-2</v>
      </c>
      <c r="R112" s="22">
        <v>102</v>
      </c>
      <c r="S112" s="22">
        <v>0.41287200000000002</v>
      </c>
      <c r="T112">
        <f t="shared" si="14"/>
        <v>17.895500000000002</v>
      </c>
      <c r="U112">
        <f t="shared" si="15"/>
        <v>7.4027599030000006</v>
      </c>
      <c r="X112" s="9"/>
      <c r="Y112" s="22">
        <v>1.1863699999999999</v>
      </c>
      <c r="Z112" s="22">
        <v>304.43700000000001</v>
      </c>
      <c r="AA112" s="22">
        <v>-1.7114299999999999E-2</v>
      </c>
      <c r="AB112" s="22">
        <v>102</v>
      </c>
      <c r="AC112" s="22">
        <v>1.1853</v>
      </c>
      <c r="AD112">
        <f t="shared" si="16"/>
        <v>17.1143</v>
      </c>
      <c r="AE112">
        <f t="shared" si="17"/>
        <v>20.303892090999998</v>
      </c>
      <c r="AF112" s="9"/>
      <c r="AG112" s="22">
        <v>0.41366599999999998</v>
      </c>
      <c r="AH112" s="22">
        <v>365.01600000000002</v>
      </c>
      <c r="AI112" s="22">
        <v>-1.78192E-2</v>
      </c>
      <c r="AJ112" s="22">
        <v>102</v>
      </c>
      <c r="AK112" s="22">
        <v>0.41293299999999999</v>
      </c>
      <c r="AL112">
        <f t="shared" si="18"/>
        <v>17.819199999999999</v>
      </c>
      <c r="AM112">
        <f t="shared" si="19"/>
        <v>7.3711971871999991</v>
      </c>
      <c r="AP112" s="9"/>
      <c r="AQ112" s="22">
        <v>1.1863699999999999</v>
      </c>
      <c r="AR112" s="22">
        <v>500.79399999999998</v>
      </c>
      <c r="AS112" s="22">
        <v>-1.68915E-2</v>
      </c>
      <c r="AT112" s="22">
        <v>102</v>
      </c>
      <c r="AU112" s="22">
        <v>1.1856100000000001</v>
      </c>
      <c r="AV112">
        <f t="shared" si="20"/>
        <v>16.891500000000001</v>
      </c>
      <c r="AW112">
        <f t="shared" si="21"/>
        <v>20.039568854999999</v>
      </c>
      <c r="AX112" s="9"/>
      <c r="AY112" s="22">
        <v>0.41366599999999998</v>
      </c>
      <c r="AZ112" s="22">
        <v>623.15200000000004</v>
      </c>
      <c r="BA112" s="22">
        <v>-1.77948E-2</v>
      </c>
      <c r="BB112" s="22">
        <v>102</v>
      </c>
      <c r="BC112" s="22">
        <v>0.41317700000000002</v>
      </c>
      <c r="BD112">
        <f t="shared" si="22"/>
        <v>17.794799999999999</v>
      </c>
      <c r="BE112">
        <f t="shared" si="23"/>
        <v>7.3611037367999987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86.634200000000007</v>
      </c>
      <c r="I113" s="22">
        <v>-1.7199699999999998E-2</v>
      </c>
      <c r="J113" s="22">
        <v>103</v>
      </c>
      <c r="K113" s="22">
        <v>1.18011</v>
      </c>
      <c r="L113">
        <f t="shared" si="12"/>
        <v>17.1997</v>
      </c>
      <c r="M113">
        <f t="shared" si="13"/>
        <v>20.318693597999999</v>
      </c>
      <c r="N113" s="9"/>
      <c r="O113" s="22">
        <v>0.41870099999999999</v>
      </c>
      <c r="P113" s="22">
        <v>201.55099999999999</v>
      </c>
      <c r="Q113" s="22">
        <v>-1.78864E-2</v>
      </c>
      <c r="R113" s="22">
        <v>103</v>
      </c>
      <c r="S113" s="22">
        <v>0.41793799999999998</v>
      </c>
      <c r="T113">
        <f t="shared" si="14"/>
        <v>17.886400000000002</v>
      </c>
      <c r="U113">
        <f t="shared" si="15"/>
        <v>7.4890535664000009</v>
      </c>
      <c r="X113" s="9"/>
      <c r="Y113" s="22">
        <v>1.1813400000000001</v>
      </c>
      <c r="Z113" s="22">
        <v>304.53800000000001</v>
      </c>
      <c r="AA113" s="22">
        <v>-1.7120400000000001E-2</v>
      </c>
      <c r="AB113" s="22">
        <v>103</v>
      </c>
      <c r="AC113" s="22">
        <v>1.18042</v>
      </c>
      <c r="AD113">
        <f t="shared" si="16"/>
        <v>17.1204</v>
      </c>
      <c r="AE113">
        <f t="shared" si="17"/>
        <v>20.225013336</v>
      </c>
      <c r="AF113" s="9"/>
      <c r="AG113" s="22">
        <v>0.41870099999999999</v>
      </c>
      <c r="AH113" s="22">
        <v>365.11700000000002</v>
      </c>
      <c r="AI113" s="22">
        <v>-1.7804E-2</v>
      </c>
      <c r="AJ113" s="22">
        <v>103</v>
      </c>
      <c r="AK113" s="22">
        <v>0.41812100000000002</v>
      </c>
      <c r="AL113">
        <f t="shared" si="18"/>
        <v>17.804000000000002</v>
      </c>
      <c r="AM113">
        <f t="shared" si="19"/>
        <v>7.4545526040000007</v>
      </c>
      <c r="AP113" s="9"/>
      <c r="AQ113" s="22">
        <v>1.1813400000000001</v>
      </c>
      <c r="AR113" s="22">
        <v>500.89499999999998</v>
      </c>
      <c r="AS113" s="22">
        <v>-1.6885399999999998E-2</v>
      </c>
      <c r="AT113" s="22">
        <v>103</v>
      </c>
      <c r="AU113" s="22">
        <v>1.18042</v>
      </c>
      <c r="AV113">
        <f t="shared" si="20"/>
        <v>16.885399999999997</v>
      </c>
      <c r="AW113">
        <f t="shared" si="21"/>
        <v>19.947398435999997</v>
      </c>
      <c r="AX113" s="9"/>
      <c r="AY113" s="22">
        <v>0.41870099999999999</v>
      </c>
      <c r="AZ113" s="22">
        <v>623.25199999999995</v>
      </c>
      <c r="BA113" s="22">
        <v>-1.7797899999999998E-2</v>
      </c>
      <c r="BB113" s="22">
        <v>103</v>
      </c>
      <c r="BC113" s="22">
        <v>0.41799900000000001</v>
      </c>
      <c r="BD113">
        <f t="shared" si="22"/>
        <v>17.797899999999998</v>
      </c>
      <c r="BE113">
        <f t="shared" si="23"/>
        <v>7.4519985278999989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86.734899999999996</v>
      </c>
      <c r="I114" s="22">
        <v>-1.7218000000000001E-2</v>
      </c>
      <c r="J114" s="22">
        <v>104</v>
      </c>
      <c r="K114" s="22">
        <v>1.17493</v>
      </c>
      <c r="L114">
        <f t="shared" si="12"/>
        <v>17.218</v>
      </c>
      <c r="M114">
        <f t="shared" si="13"/>
        <v>20.253533399999998</v>
      </c>
      <c r="N114" s="9"/>
      <c r="O114" s="22">
        <v>0.42373699999999997</v>
      </c>
      <c r="P114" s="22">
        <v>201.65199999999999</v>
      </c>
      <c r="Q114" s="22">
        <v>-1.78864E-2</v>
      </c>
      <c r="R114" s="22">
        <v>104</v>
      </c>
      <c r="S114" s="22">
        <v>0.42318699999999998</v>
      </c>
      <c r="T114">
        <f t="shared" si="14"/>
        <v>17.886400000000002</v>
      </c>
      <c r="U114">
        <f t="shared" si="15"/>
        <v>7.5791294768000004</v>
      </c>
      <c r="X114" s="9"/>
      <c r="Y114" s="22">
        <v>1.1762999999999999</v>
      </c>
      <c r="Z114" s="22">
        <v>304.63900000000001</v>
      </c>
      <c r="AA114" s="22">
        <v>-1.7132600000000001E-2</v>
      </c>
      <c r="AB114" s="22">
        <v>104</v>
      </c>
      <c r="AC114" s="22">
        <v>1.17584</v>
      </c>
      <c r="AD114">
        <f t="shared" si="16"/>
        <v>17.1326</v>
      </c>
      <c r="AE114">
        <f t="shared" si="17"/>
        <v>20.153077379999999</v>
      </c>
      <c r="AF114" s="9"/>
      <c r="AG114" s="22">
        <v>0.42373699999999997</v>
      </c>
      <c r="AH114" s="22">
        <v>365.21800000000002</v>
      </c>
      <c r="AI114" s="22">
        <v>-1.7800900000000001E-2</v>
      </c>
      <c r="AJ114" s="22">
        <v>104</v>
      </c>
      <c r="AK114" s="22">
        <v>0.42288199999999998</v>
      </c>
      <c r="AL114">
        <f t="shared" si="18"/>
        <v>17.800900000000002</v>
      </c>
      <c r="AM114">
        <f t="shared" si="19"/>
        <v>7.5428999633000009</v>
      </c>
      <c r="AP114" s="9"/>
      <c r="AQ114" s="22">
        <v>1.1762999999999999</v>
      </c>
      <c r="AR114" s="22">
        <v>500.99599999999998</v>
      </c>
      <c r="AS114" s="22">
        <v>-1.69342E-2</v>
      </c>
      <c r="AT114" s="22">
        <v>104</v>
      </c>
      <c r="AU114" s="22">
        <v>1.17554</v>
      </c>
      <c r="AV114">
        <f t="shared" si="20"/>
        <v>16.934200000000001</v>
      </c>
      <c r="AW114">
        <f t="shared" si="21"/>
        <v>19.91969946</v>
      </c>
      <c r="AX114" s="9"/>
      <c r="AY114" s="22">
        <v>0.42373699999999997</v>
      </c>
      <c r="AZ114" s="22">
        <v>623.35299999999995</v>
      </c>
      <c r="BA114" s="22">
        <v>-1.7804E-2</v>
      </c>
      <c r="BB114" s="22">
        <v>104</v>
      </c>
      <c r="BC114" s="22">
        <v>0.42306500000000002</v>
      </c>
      <c r="BD114">
        <f t="shared" si="22"/>
        <v>17.804000000000002</v>
      </c>
      <c r="BE114">
        <f t="shared" si="23"/>
        <v>7.5442135480000001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86.835599999999999</v>
      </c>
      <c r="I115" s="22">
        <v>-1.72211E-2</v>
      </c>
      <c r="J115" s="22">
        <v>105</v>
      </c>
      <c r="K115" s="22">
        <v>1.17004</v>
      </c>
      <c r="L115">
        <f t="shared" si="12"/>
        <v>17.2211</v>
      </c>
      <c r="M115">
        <f t="shared" si="13"/>
        <v>20.170385585999998</v>
      </c>
      <c r="N115" s="9"/>
      <c r="O115" s="22">
        <v>0.42877199999999999</v>
      </c>
      <c r="P115" s="22">
        <v>201.75299999999999</v>
      </c>
      <c r="Q115" s="22">
        <v>-1.78864E-2</v>
      </c>
      <c r="R115" s="22">
        <v>105</v>
      </c>
      <c r="S115" s="22">
        <v>0.42810100000000001</v>
      </c>
      <c r="T115">
        <f t="shared" si="14"/>
        <v>17.886400000000002</v>
      </c>
      <c r="U115">
        <f t="shared" si="15"/>
        <v>7.6691875008000006</v>
      </c>
      <c r="X115" s="9"/>
      <c r="Y115" s="22">
        <v>1.17126</v>
      </c>
      <c r="Z115" s="22">
        <v>304.73899999999998</v>
      </c>
      <c r="AA115" s="22">
        <v>-1.71387E-2</v>
      </c>
      <c r="AB115" s="22">
        <v>105</v>
      </c>
      <c r="AC115" s="22">
        <v>1.16943</v>
      </c>
      <c r="AD115">
        <f t="shared" si="16"/>
        <v>17.1387</v>
      </c>
      <c r="AE115">
        <f t="shared" si="17"/>
        <v>20.073873761999998</v>
      </c>
      <c r="AF115" s="9"/>
      <c r="AG115" s="22">
        <v>0.42877199999999999</v>
      </c>
      <c r="AH115" s="22">
        <v>365.31799999999998</v>
      </c>
      <c r="AI115" s="22">
        <v>-1.7797899999999998E-2</v>
      </c>
      <c r="AJ115" s="22">
        <v>105</v>
      </c>
      <c r="AK115" s="22">
        <v>0.42837500000000001</v>
      </c>
      <c r="AL115">
        <f t="shared" si="18"/>
        <v>17.797899999999998</v>
      </c>
      <c r="AM115">
        <f t="shared" si="19"/>
        <v>7.631241178799999</v>
      </c>
      <c r="AP115" s="9"/>
      <c r="AQ115" s="22">
        <v>1.17126</v>
      </c>
      <c r="AR115" s="22">
        <v>501.09699999999998</v>
      </c>
      <c r="AS115" s="22">
        <v>-1.68915E-2</v>
      </c>
      <c r="AT115" s="22">
        <v>105</v>
      </c>
      <c r="AU115" s="22">
        <v>1.17035</v>
      </c>
      <c r="AV115">
        <f t="shared" si="20"/>
        <v>16.891500000000001</v>
      </c>
      <c r="AW115">
        <f t="shared" si="21"/>
        <v>19.784338290000001</v>
      </c>
      <c r="AX115" s="9"/>
      <c r="AY115" s="22">
        <v>0.42877199999999999</v>
      </c>
      <c r="AZ115" s="22">
        <v>623.45399999999995</v>
      </c>
      <c r="BA115" s="22">
        <v>-1.7804E-2</v>
      </c>
      <c r="BB115" s="22">
        <v>105</v>
      </c>
      <c r="BC115" s="22">
        <v>0.42810100000000001</v>
      </c>
      <c r="BD115">
        <f t="shared" si="22"/>
        <v>17.804000000000002</v>
      </c>
      <c r="BE115">
        <f t="shared" si="23"/>
        <v>7.6338566880000007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86.936300000000003</v>
      </c>
      <c r="I116" s="22">
        <v>-1.72485E-2</v>
      </c>
      <c r="J116" s="22">
        <v>106</v>
      </c>
      <c r="K116" s="22">
        <v>1.16516</v>
      </c>
      <c r="L116">
        <f t="shared" si="12"/>
        <v>17.2485</v>
      </c>
      <c r="M116">
        <f t="shared" si="13"/>
        <v>20.115718155000003</v>
      </c>
      <c r="N116" s="9"/>
      <c r="O116" s="22">
        <v>0.433807</v>
      </c>
      <c r="P116" s="22">
        <v>201.85300000000001</v>
      </c>
      <c r="Q116" s="22">
        <v>-1.7877199999999999E-2</v>
      </c>
      <c r="R116" s="22">
        <v>106</v>
      </c>
      <c r="S116" s="22">
        <v>0.43328899999999998</v>
      </c>
      <c r="T116">
        <f t="shared" si="14"/>
        <v>17.877199999999998</v>
      </c>
      <c r="U116">
        <f t="shared" si="15"/>
        <v>7.7552545003999995</v>
      </c>
      <c r="X116" s="9"/>
      <c r="Y116" s="22">
        <v>1.1662300000000001</v>
      </c>
      <c r="Z116" s="22">
        <v>304.83999999999997</v>
      </c>
      <c r="AA116" s="22">
        <v>-1.7144800000000002E-2</v>
      </c>
      <c r="AB116" s="22">
        <v>106</v>
      </c>
      <c r="AC116" s="22">
        <v>1.16547</v>
      </c>
      <c r="AD116">
        <f t="shared" si="16"/>
        <v>17.1448</v>
      </c>
      <c r="AE116">
        <f t="shared" si="17"/>
        <v>19.994780104</v>
      </c>
      <c r="AF116" s="9"/>
      <c r="AG116" s="22">
        <v>0.433807</v>
      </c>
      <c r="AH116" s="22">
        <v>365.41899999999998</v>
      </c>
      <c r="AI116" s="22">
        <v>-1.7807E-2</v>
      </c>
      <c r="AJ116" s="22">
        <v>106</v>
      </c>
      <c r="AK116" s="22">
        <v>0.43328899999999998</v>
      </c>
      <c r="AL116">
        <f t="shared" si="18"/>
        <v>17.806999999999999</v>
      </c>
      <c r="AM116">
        <f t="shared" si="19"/>
        <v>7.7248012489999995</v>
      </c>
      <c r="AP116" s="9"/>
      <c r="AQ116" s="22">
        <v>1.1662300000000001</v>
      </c>
      <c r="AR116" s="22">
        <v>501.197</v>
      </c>
      <c r="AS116" s="22">
        <v>-1.6873200000000001E-2</v>
      </c>
      <c r="AT116" s="22">
        <v>106</v>
      </c>
      <c r="AU116" s="22">
        <v>1.16547</v>
      </c>
      <c r="AV116">
        <f t="shared" si="20"/>
        <v>16.873200000000001</v>
      </c>
      <c r="AW116">
        <f t="shared" si="21"/>
        <v>19.678032036000001</v>
      </c>
      <c r="AX116" s="9"/>
      <c r="AY116" s="22">
        <v>0.433807</v>
      </c>
      <c r="AZ116" s="22">
        <v>623.55399999999997</v>
      </c>
      <c r="BA116" s="22">
        <v>-1.7791700000000001E-2</v>
      </c>
      <c r="BB116" s="22">
        <v>106</v>
      </c>
      <c r="BC116" s="22">
        <v>0.43325799999999998</v>
      </c>
      <c r="BD116">
        <f t="shared" si="22"/>
        <v>17.791700000000002</v>
      </c>
      <c r="BE116">
        <f t="shared" si="23"/>
        <v>7.7181640019000008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87.037000000000006</v>
      </c>
      <c r="I117" s="22">
        <v>-1.7254599999999998E-2</v>
      </c>
      <c r="J117" s="22">
        <v>107</v>
      </c>
      <c r="K117" s="22">
        <v>1.16028</v>
      </c>
      <c r="L117">
        <f t="shared" si="12"/>
        <v>17.2546</v>
      </c>
      <c r="M117">
        <f t="shared" si="13"/>
        <v>20.035868974</v>
      </c>
      <c r="N117" s="9"/>
      <c r="O117" s="22">
        <v>0.43884299999999998</v>
      </c>
      <c r="P117" s="22">
        <v>201.95400000000001</v>
      </c>
      <c r="Q117" s="22">
        <v>-1.7880199999999999E-2</v>
      </c>
      <c r="R117" s="22">
        <v>107</v>
      </c>
      <c r="S117" s="22">
        <v>0.43829299999999999</v>
      </c>
      <c r="T117">
        <f t="shared" si="14"/>
        <v>17.880199999999999</v>
      </c>
      <c r="U117">
        <f t="shared" si="15"/>
        <v>7.8466006085999993</v>
      </c>
      <c r="X117" s="9"/>
      <c r="Y117" s="22">
        <v>1.1611899999999999</v>
      </c>
      <c r="Z117" s="22">
        <v>304.94099999999997</v>
      </c>
      <c r="AA117" s="22">
        <v>-1.71539E-2</v>
      </c>
      <c r="AB117" s="22">
        <v>107</v>
      </c>
      <c r="AC117" s="22">
        <v>1.16028</v>
      </c>
      <c r="AD117">
        <f t="shared" si="16"/>
        <v>17.1539</v>
      </c>
      <c r="AE117">
        <f t="shared" si="17"/>
        <v>19.918937141000001</v>
      </c>
      <c r="AF117" s="9"/>
      <c r="AG117" s="22">
        <v>0.43884299999999998</v>
      </c>
      <c r="AH117" s="22">
        <v>365.52</v>
      </c>
      <c r="AI117" s="22">
        <v>-1.7797899999999998E-2</v>
      </c>
      <c r="AJ117" s="22">
        <v>107</v>
      </c>
      <c r="AK117" s="22">
        <v>0.43826300000000001</v>
      </c>
      <c r="AL117">
        <f t="shared" si="18"/>
        <v>17.797899999999998</v>
      </c>
      <c r="AM117">
        <f t="shared" si="19"/>
        <v>7.810483829699999</v>
      </c>
      <c r="AP117" s="9"/>
      <c r="AQ117" s="22">
        <v>1.1611899999999999</v>
      </c>
      <c r="AR117" s="22">
        <v>501.298</v>
      </c>
      <c r="AS117" s="22">
        <v>-1.69067E-2</v>
      </c>
      <c r="AT117" s="22">
        <v>107</v>
      </c>
      <c r="AU117" s="22">
        <v>1.16089</v>
      </c>
      <c r="AV117">
        <f t="shared" si="20"/>
        <v>16.906700000000001</v>
      </c>
      <c r="AW117">
        <f t="shared" si="21"/>
        <v>19.631890973000001</v>
      </c>
      <c r="AX117" s="9"/>
      <c r="AY117" s="22">
        <v>0.43884299999999998</v>
      </c>
      <c r="AZ117" s="22">
        <v>623.65499999999997</v>
      </c>
      <c r="BA117" s="22">
        <v>-1.7788700000000001E-2</v>
      </c>
      <c r="BB117" s="22">
        <v>107</v>
      </c>
      <c r="BC117" s="22">
        <v>0.43820199999999998</v>
      </c>
      <c r="BD117">
        <f t="shared" si="22"/>
        <v>17.788700000000002</v>
      </c>
      <c r="BE117">
        <f t="shared" si="23"/>
        <v>7.8064464741000004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87.137699999999995</v>
      </c>
      <c r="I118" s="22">
        <v>-1.7269900000000001E-2</v>
      </c>
      <c r="J118" s="22">
        <v>108</v>
      </c>
      <c r="K118" s="22">
        <v>1.1554</v>
      </c>
      <c r="L118">
        <f t="shared" si="12"/>
        <v>17.2699</v>
      </c>
      <c r="M118">
        <f t="shared" si="13"/>
        <v>19.966767583999999</v>
      </c>
      <c r="N118" s="9"/>
      <c r="O118" s="22">
        <v>0.44387799999999999</v>
      </c>
      <c r="P118" s="22">
        <v>202.05500000000001</v>
      </c>
      <c r="Q118" s="22">
        <v>-1.7867999999999998E-2</v>
      </c>
      <c r="R118" s="22">
        <v>108</v>
      </c>
      <c r="S118" s="22">
        <v>0.44311499999999998</v>
      </c>
      <c r="T118">
        <f t="shared" si="14"/>
        <v>17.867999999999999</v>
      </c>
      <c r="U118">
        <f t="shared" si="15"/>
        <v>7.9312121039999992</v>
      </c>
      <c r="X118" s="9"/>
      <c r="Y118" s="22">
        <v>1.1561600000000001</v>
      </c>
      <c r="Z118" s="22">
        <v>305.041</v>
      </c>
      <c r="AA118" s="22">
        <v>-1.71539E-2</v>
      </c>
      <c r="AB118" s="22">
        <v>108</v>
      </c>
      <c r="AC118" s="22">
        <v>1.1554</v>
      </c>
      <c r="AD118">
        <f t="shared" si="16"/>
        <v>17.1539</v>
      </c>
      <c r="AE118">
        <f t="shared" si="17"/>
        <v>19.832653024000003</v>
      </c>
      <c r="AF118" s="9"/>
      <c r="AG118" s="22">
        <v>0.44387799999999999</v>
      </c>
      <c r="AH118" s="22">
        <v>365.62</v>
      </c>
      <c r="AI118" s="22">
        <v>-1.7797899999999998E-2</v>
      </c>
      <c r="AJ118" s="22">
        <v>108</v>
      </c>
      <c r="AK118" s="22">
        <v>0.44339000000000001</v>
      </c>
      <c r="AL118">
        <f t="shared" si="18"/>
        <v>17.797899999999998</v>
      </c>
      <c r="AM118">
        <f t="shared" si="19"/>
        <v>7.9000962561999994</v>
      </c>
      <c r="AP118" s="9"/>
      <c r="AQ118" s="22">
        <v>1.1561600000000001</v>
      </c>
      <c r="AR118" s="22">
        <v>501.399</v>
      </c>
      <c r="AS118" s="22">
        <v>-1.6912799999999999E-2</v>
      </c>
      <c r="AT118" s="22">
        <v>108</v>
      </c>
      <c r="AU118" s="22">
        <v>1.15601</v>
      </c>
      <c r="AV118">
        <f t="shared" si="20"/>
        <v>16.912799999999997</v>
      </c>
      <c r="AW118">
        <f t="shared" si="21"/>
        <v>19.553902847999996</v>
      </c>
      <c r="AX118" s="9"/>
      <c r="AY118" s="22">
        <v>0.44387799999999999</v>
      </c>
      <c r="AZ118" s="22">
        <v>623.75599999999997</v>
      </c>
      <c r="BA118" s="22">
        <v>-1.77948E-2</v>
      </c>
      <c r="BB118" s="22">
        <v>108</v>
      </c>
      <c r="BC118" s="22">
        <v>0.44323699999999999</v>
      </c>
      <c r="BD118">
        <f t="shared" si="22"/>
        <v>17.794799999999999</v>
      </c>
      <c r="BE118">
        <f t="shared" si="23"/>
        <v>7.8987202343999989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87.238399999999999</v>
      </c>
      <c r="I119" s="22">
        <v>-1.7269900000000001E-2</v>
      </c>
      <c r="J119" s="22">
        <v>109</v>
      </c>
      <c r="K119" s="22">
        <v>1.15021</v>
      </c>
      <c r="L119">
        <f t="shared" si="12"/>
        <v>17.2699</v>
      </c>
      <c r="M119">
        <f t="shared" si="13"/>
        <v>19.879727287999998</v>
      </c>
      <c r="N119" s="9"/>
      <c r="O119" s="22">
        <v>0.44891399999999998</v>
      </c>
      <c r="P119" s="22">
        <v>202.155</v>
      </c>
      <c r="Q119" s="22">
        <v>-1.7871100000000001E-2</v>
      </c>
      <c r="R119" s="22">
        <v>109</v>
      </c>
      <c r="S119" s="22">
        <v>0.448212</v>
      </c>
      <c r="T119">
        <f t="shared" si="14"/>
        <v>17.871100000000002</v>
      </c>
      <c r="U119">
        <f t="shared" si="15"/>
        <v>8.0225869854000003</v>
      </c>
      <c r="X119" s="9"/>
      <c r="Y119" s="22">
        <v>1.1511199999999999</v>
      </c>
      <c r="Z119" s="22">
        <v>305.142</v>
      </c>
      <c r="AA119" s="22">
        <v>-1.7156999999999999E-2</v>
      </c>
      <c r="AB119" s="22">
        <v>109</v>
      </c>
      <c r="AC119" s="22">
        <v>1.15082</v>
      </c>
      <c r="AD119">
        <f t="shared" si="16"/>
        <v>17.157</v>
      </c>
      <c r="AE119">
        <f t="shared" si="17"/>
        <v>19.749765839999998</v>
      </c>
      <c r="AF119" s="9"/>
      <c r="AG119" s="22">
        <v>0.44891399999999998</v>
      </c>
      <c r="AH119" s="22">
        <v>365.721</v>
      </c>
      <c r="AI119" s="22">
        <v>-1.7788700000000001E-2</v>
      </c>
      <c r="AJ119" s="22">
        <v>109</v>
      </c>
      <c r="AK119" s="22">
        <v>0.44827299999999998</v>
      </c>
      <c r="AL119">
        <f t="shared" si="18"/>
        <v>17.788700000000002</v>
      </c>
      <c r="AM119">
        <f t="shared" si="19"/>
        <v>7.985596471800001</v>
      </c>
      <c r="AP119" s="9"/>
      <c r="AQ119" s="22">
        <v>1.1511199999999999</v>
      </c>
      <c r="AR119" s="22">
        <v>501.49900000000002</v>
      </c>
      <c r="AS119" s="22">
        <v>-1.6949499999999999E-2</v>
      </c>
      <c r="AT119" s="22">
        <v>109</v>
      </c>
      <c r="AU119" s="22">
        <v>1.15021</v>
      </c>
      <c r="AV119">
        <f t="shared" si="20"/>
        <v>16.9495</v>
      </c>
      <c r="AW119">
        <f t="shared" si="21"/>
        <v>19.510908439999998</v>
      </c>
      <c r="AX119" s="9"/>
      <c r="AY119" s="22">
        <v>0.44891399999999998</v>
      </c>
      <c r="AZ119" s="22">
        <v>623.85699999999997</v>
      </c>
      <c r="BA119" s="22">
        <v>-1.7770399999999999E-2</v>
      </c>
      <c r="BB119" s="22">
        <v>109</v>
      </c>
      <c r="BC119" s="22">
        <v>0.44824199999999997</v>
      </c>
      <c r="BD119">
        <f t="shared" si="22"/>
        <v>17.770399999999999</v>
      </c>
      <c r="BE119">
        <f t="shared" si="23"/>
        <v>7.9773813455999987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87.339200000000005</v>
      </c>
      <c r="I120" s="22">
        <v>-1.7282100000000002E-2</v>
      </c>
      <c r="J120" s="22">
        <v>110</v>
      </c>
      <c r="K120" s="22">
        <v>1.1450199999999999</v>
      </c>
      <c r="L120">
        <f t="shared" si="12"/>
        <v>17.282100000000003</v>
      </c>
      <c r="M120">
        <f t="shared" si="13"/>
        <v>19.806841989000006</v>
      </c>
      <c r="N120" s="9"/>
      <c r="O120" s="22">
        <v>0.45394899999999999</v>
      </c>
      <c r="P120" s="22">
        <v>202.256</v>
      </c>
      <c r="Q120" s="22">
        <v>-1.7864999999999999E-2</v>
      </c>
      <c r="R120" s="22">
        <v>110</v>
      </c>
      <c r="S120" s="22">
        <v>0.45333899999999999</v>
      </c>
      <c r="T120">
        <f t="shared" si="14"/>
        <v>17.864999999999998</v>
      </c>
      <c r="U120">
        <f t="shared" si="15"/>
        <v>8.109798885</v>
      </c>
      <c r="X120" s="9"/>
      <c r="Y120" s="22">
        <v>1.1460900000000001</v>
      </c>
      <c r="Z120" s="22">
        <v>305.24299999999999</v>
      </c>
      <c r="AA120" s="22">
        <v>-1.71509E-2</v>
      </c>
      <c r="AB120" s="22">
        <v>110</v>
      </c>
      <c r="AC120" s="22">
        <v>1.1447099999999999</v>
      </c>
      <c r="AD120">
        <f t="shared" si="16"/>
        <v>17.1509</v>
      </c>
      <c r="AE120">
        <f t="shared" si="17"/>
        <v>19.656474981000002</v>
      </c>
      <c r="AF120" s="9"/>
      <c r="AG120" s="22">
        <v>0.45394899999999999</v>
      </c>
      <c r="AH120" s="22">
        <v>365.822</v>
      </c>
      <c r="AI120" s="22">
        <v>-1.7791700000000001E-2</v>
      </c>
      <c r="AJ120" s="22">
        <v>110</v>
      </c>
      <c r="AK120" s="22">
        <v>0.453094</v>
      </c>
      <c r="AL120">
        <f t="shared" si="18"/>
        <v>17.791700000000002</v>
      </c>
      <c r="AM120">
        <f t="shared" si="19"/>
        <v>8.0765244233000004</v>
      </c>
      <c r="AP120" s="9"/>
      <c r="AQ120" s="22">
        <v>1.1460900000000001</v>
      </c>
      <c r="AR120" s="22">
        <v>501.6</v>
      </c>
      <c r="AS120" s="22">
        <v>-1.6967800000000002E-2</v>
      </c>
      <c r="AT120" s="22">
        <v>110</v>
      </c>
      <c r="AU120" s="22">
        <v>1.1447099999999999</v>
      </c>
      <c r="AV120">
        <f t="shared" si="20"/>
        <v>16.9678</v>
      </c>
      <c r="AW120">
        <f t="shared" si="21"/>
        <v>19.446625902000001</v>
      </c>
      <c r="AX120" s="9"/>
      <c r="AY120" s="22">
        <v>0.45394899999999999</v>
      </c>
      <c r="AZ120" s="22">
        <v>623.95699999999999</v>
      </c>
      <c r="BA120" s="22">
        <v>-1.7776500000000001E-2</v>
      </c>
      <c r="BB120" s="22">
        <v>110</v>
      </c>
      <c r="BC120" s="22">
        <v>0.45333899999999999</v>
      </c>
      <c r="BD120">
        <f t="shared" si="22"/>
        <v>17.776500000000002</v>
      </c>
      <c r="BE120">
        <f t="shared" si="23"/>
        <v>8.0696243985000002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87.439899999999994</v>
      </c>
      <c r="I121" s="22">
        <v>-1.7291299999999999E-2</v>
      </c>
      <c r="J121" s="22">
        <v>111</v>
      </c>
      <c r="K121" s="22">
        <v>1.1407499999999999</v>
      </c>
      <c r="L121">
        <f t="shared" si="12"/>
        <v>17.2913</v>
      </c>
      <c r="M121">
        <f t="shared" si="13"/>
        <v>19.730237864999999</v>
      </c>
      <c r="N121" s="9"/>
      <c r="O121" s="22">
        <v>0.458984</v>
      </c>
      <c r="P121" s="22">
        <v>202.357</v>
      </c>
      <c r="Q121" s="22">
        <v>-1.7864999999999999E-2</v>
      </c>
      <c r="R121" s="22">
        <v>111</v>
      </c>
      <c r="S121" s="22">
        <v>0.45831300000000003</v>
      </c>
      <c r="T121">
        <f t="shared" si="14"/>
        <v>17.864999999999998</v>
      </c>
      <c r="U121">
        <f t="shared" si="15"/>
        <v>8.1997491599999996</v>
      </c>
      <c r="X121" s="9"/>
      <c r="Y121" s="22">
        <v>1.1410499999999999</v>
      </c>
      <c r="Z121" s="22">
        <v>305.34399999999999</v>
      </c>
      <c r="AA121" s="22">
        <v>-1.7160000000000002E-2</v>
      </c>
      <c r="AB121" s="22">
        <v>111</v>
      </c>
      <c r="AC121" s="22">
        <v>1.1398299999999999</v>
      </c>
      <c r="AD121">
        <f t="shared" si="16"/>
        <v>17.16</v>
      </c>
      <c r="AE121">
        <f t="shared" si="17"/>
        <v>19.580417999999998</v>
      </c>
      <c r="AF121" s="9"/>
      <c r="AG121" s="22">
        <v>0.458984</v>
      </c>
      <c r="AH121" s="22">
        <v>365.92200000000003</v>
      </c>
      <c r="AI121" s="22">
        <v>-1.7788700000000001E-2</v>
      </c>
      <c r="AJ121" s="22">
        <v>111</v>
      </c>
      <c r="AK121" s="22">
        <v>0.45846599999999998</v>
      </c>
      <c r="AL121">
        <f t="shared" si="18"/>
        <v>17.788700000000002</v>
      </c>
      <c r="AM121">
        <f t="shared" si="19"/>
        <v>8.1647286808000015</v>
      </c>
      <c r="AP121" s="9"/>
      <c r="AQ121" s="22">
        <v>1.1410499999999999</v>
      </c>
      <c r="AR121" s="22">
        <v>501.70100000000002</v>
      </c>
      <c r="AS121" s="22">
        <v>-1.6998300000000001E-2</v>
      </c>
      <c r="AT121" s="22">
        <v>111</v>
      </c>
      <c r="AU121" s="22">
        <v>1.1401399999999999</v>
      </c>
      <c r="AV121">
        <f t="shared" si="20"/>
        <v>16.9983</v>
      </c>
      <c r="AW121">
        <f t="shared" si="21"/>
        <v>19.395910214999997</v>
      </c>
      <c r="AX121" s="9"/>
      <c r="AY121" s="22">
        <v>0.458984</v>
      </c>
      <c r="AZ121" s="22">
        <v>624.05799999999999</v>
      </c>
      <c r="BA121" s="22">
        <v>-1.7773400000000002E-2</v>
      </c>
      <c r="BB121" s="22">
        <v>111</v>
      </c>
      <c r="BC121" s="22">
        <v>0.45822099999999999</v>
      </c>
      <c r="BD121">
        <f t="shared" si="22"/>
        <v>17.773400000000002</v>
      </c>
      <c r="BE121">
        <f t="shared" si="23"/>
        <v>8.1577062256000019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87.540599999999998</v>
      </c>
      <c r="I122" s="22">
        <v>-1.7291299999999999E-2</v>
      </c>
      <c r="J122" s="22">
        <v>112</v>
      </c>
      <c r="K122" s="22">
        <v>1.1352500000000001</v>
      </c>
      <c r="L122">
        <f t="shared" si="12"/>
        <v>17.2913</v>
      </c>
      <c r="M122">
        <f t="shared" si="13"/>
        <v>19.643262625999999</v>
      </c>
      <c r="N122" s="9"/>
      <c r="O122" s="22">
        <v>0.46401999999999999</v>
      </c>
      <c r="P122" s="22">
        <v>202.458</v>
      </c>
      <c r="Q122" s="22">
        <v>-1.7855800000000002E-2</v>
      </c>
      <c r="R122" s="22">
        <v>112</v>
      </c>
      <c r="S122" s="22">
        <v>0.46346999999999999</v>
      </c>
      <c r="T122">
        <f t="shared" si="14"/>
        <v>17.855800000000002</v>
      </c>
      <c r="U122">
        <f t="shared" si="15"/>
        <v>8.2854483160000001</v>
      </c>
      <c r="X122" s="9"/>
      <c r="Y122" s="22">
        <v>1.13602</v>
      </c>
      <c r="Z122" s="22">
        <v>305.44400000000002</v>
      </c>
      <c r="AA122" s="22">
        <v>-1.7163100000000001E-2</v>
      </c>
      <c r="AB122" s="22">
        <v>112</v>
      </c>
      <c r="AC122" s="22">
        <v>1.1352500000000001</v>
      </c>
      <c r="AD122">
        <f t="shared" si="16"/>
        <v>17.1631</v>
      </c>
      <c r="AE122">
        <f t="shared" si="17"/>
        <v>19.497624862000002</v>
      </c>
      <c r="AF122" s="9"/>
      <c r="AG122" s="22">
        <v>0.46401999999999999</v>
      </c>
      <c r="AH122" s="22">
        <v>366.02300000000002</v>
      </c>
      <c r="AI122" s="22">
        <v>-1.77795E-2</v>
      </c>
      <c r="AJ122" s="22">
        <v>112</v>
      </c>
      <c r="AK122" s="22">
        <v>0.46371499999999999</v>
      </c>
      <c r="AL122">
        <f t="shared" si="18"/>
        <v>17.779499999999999</v>
      </c>
      <c r="AM122">
        <f t="shared" si="19"/>
        <v>8.2500435899999989</v>
      </c>
      <c r="AP122" s="9"/>
      <c r="AQ122" s="22">
        <v>1.13602</v>
      </c>
      <c r="AR122" s="22">
        <v>501.80200000000002</v>
      </c>
      <c r="AS122" s="22">
        <v>-1.7034899999999999E-2</v>
      </c>
      <c r="AT122" s="22">
        <v>112</v>
      </c>
      <c r="AU122" s="22">
        <v>1.1355599999999999</v>
      </c>
      <c r="AV122">
        <f t="shared" si="20"/>
        <v>17.0349</v>
      </c>
      <c r="AW122">
        <f t="shared" si="21"/>
        <v>19.351987098000002</v>
      </c>
      <c r="AX122" s="9"/>
      <c r="AY122" s="22">
        <v>0.46401999999999999</v>
      </c>
      <c r="AZ122" s="22">
        <v>624.15899999999999</v>
      </c>
      <c r="BA122" s="22">
        <v>-1.7773400000000002E-2</v>
      </c>
      <c r="BB122" s="22">
        <v>112</v>
      </c>
      <c r="BC122" s="22">
        <v>0.46322600000000003</v>
      </c>
      <c r="BD122">
        <f t="shared" si="22"/>
        <v>17.773400000000002</v>
      </c>
      <c r="BE122">
        <f t="shared" si="23"/>
        <v>8.2472130680000006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87.641300000000001</v>
      </c>
      <c r="I123" s="22">
        <v>-1.7291299999999999E-2</v>
      </c>
      <c r="J123" s="22">
        <v>113</v>
      </c>
      <c r="K123" s="22">
        <v>1.1294599999999999</v>
      </c>
      <c r="L123">
        <f t="shared" si="12"/>
        <v>17.2913</v>
      </c>
      <c r="M123">
        <f t="shared" si="13"/>
        <v>19.556114474000001</v>
      </c>
      <c r="N123" s="9"/>
      <c r="O123" s="22">
        <v>0.469055</v>
      </c>
      <c r="P123" s="22">
        <v>202.55799999999999</v>
      </c>
      <c r="Q123" s="22">
        <v>-1.78497E-2</v>
      </c>
      <c r="R123" s="22">
        <v>113</v>
      </c>
      <c r="S123" s="22">
        <v>0.46820099999999998</v>
      </c>
      <c r="T123">
        <f t="shared" si="14"/>
        <v>17.849699999999999</v>
      </c>
      <c r="U123">
        <f t="shared" si="15"/>
        <v>8.3724910334999993</v>
      </c>
      <c r="X123" s="9"/>
      <c r="Y123" s="22">
        <v>1.1309800000000001</v>
      </c>
      <c r="Z123" s="22">
        <v>305.54500000000002</v>
      </c>
      <c r="AA123" s="22">
        <v>-1.7172199999999999E-2</v>
      </c>
      <c r="AB123" s="22">
        <v>113</v>
      </c>
      <c r="AC123" s="22">
        <v>1.1303700000000001</v>
      </c>
      <c r="AD123">
        <f t="shared" si="16"/>
        <v>17.1722</v>
      </c>
      <c r="AE123">
        <f t="shared" si="17"/>
        <v>19.421414756000001</v>
      </c>
      <c r="AF123" s="9"/>
      <c r="AG123" s="22">
        <v>0.469055</v>
      </c>
      <c r="AH123" s="22">
        <v>366.12400000000002</v>
      </c>
      <c r="AI123" s="22">
        <v>-1.7773400000000002E-2</v>
      </c>
      <c r="AJ123" s="22">
        <v>113</v>
      </c>
      <c r="AK123" s="22">
        <v>0.46835300000000002</v>
      </c>
      <c r="AL123">
        <f t="shared" si="18"/>
        <v>17.773400000000002</v>
      </c>
      <c r="AM123">
        <f t="shared" si="19"/>
        <v>8.3367021370000014</v>
      </c>
      <c r="AP123" s="9"/>
      <c r="AQ123" s="22">
        <v>1.1309800000000001</v>
      </c>
      <c r="AR123" s="22">
        <v>501.90199999999999</v>
      </c>
      <c r="AS123" s="22">
        <v>-1.7050200000000001E-2</v>
      </c>
      <c r="AT123" s="22">
        <v>113</v>
      </c>
      <c r="AU123" s="22">
        <v>1.1303700000000001</v>
      </c>
      <c r="AV123">
        <f t="shared" si="20"/>
        <v>17.0502</v>
      </c>
      <c r="AW123">
        <f t="shared" si="21"/>
        <v>19.283435196000003</v>
      </c>
      <c r="AX123" s="9"/>
      <c r="AY123" s="22">
        <v>0.469055</v>
      </c>
      <c r="AZ123" s="22">
        <v>624.25900000000001</v>
      </c>
      <c r="BA123" s="22">
        <v>-1.7770399999999999E-2</v>
      </c>
      <c r="BB123" s="22">
        <v>113</v>
      </c>
      <c r="BC123" s="22">
        <v>0.46847499999999997</v>
      </c>
      <c r="BD123">
        <f t="shared" si="22"/>
        <v>17.770399999999999</v>
      </c>
      <c r="BE123">
        <f t="shared" si="23"/>
        <v>8.3352949719999998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87.742000000000004</v>
      </c>
      <c r="I124" s="22">
        <v>-1.7294299999999999E-2</v>
      </c>
      <c r="J124" s="22">
        <v>114</v>
      </c>
      <c r="K124" s="22">
        <v>1.1251800000000001</v>
      </c>
      <c r="L124">
        <f t="shared" si="12"/>
        <v>17.2943</v>
      </c>
      <c r="M124">
        <f t="shared" si="13"/>
        <v>19.472517085</v>
      </c>
      <c r="N124" s="9"/>
      <c r="O124" s="22">
        <v>0.47409099999999998</v>
      </c>
      <c r="P124" s="22">
        <v>202.65899999999999</v>
      </c>
      <c r="Q124" s="22">
        <v>-1.78467E-2</v>
      </c>
      <c r="R124" s="22">
        <v>114</v>
      </c>
      <c r="S124" s="22">
        <v>0.47320600000000002</v>
      </c>
      <c r="T124">
        <f t="shared" si="14"/>
        <v>17.846699999999998</v>
      </c>
      <c r="U124">
        <f t="shared" si="15"/>
        <v>8.4609598496999983</v>
      </c>
      <c r="X124" s="9"/>
      <c r="Y124" s="22">
        <v>1.12595</v>
      </c>
      <c r="Z124" s="22">
        <v>305.64600000000002</v>
      </c>
      <c r="AA124" s="22">
        <v>-1.7181399999999999E-2</v>
      </c>
      <c r="AB124" s="22">
        <v>114</v>
      </c>
      <c r="AC124" s="22">
        <v>1.1251800000000001</v>
      </c>
      <c r="AD124">
        <f t="shared" si="16"/>
        <v>17.1814</v>
      </c>
      <c r="AE124">
        <f t="shared" si="17"/>
        <v>19.345397330000001</v>
      </c>
      <c r="AF124" s="9"/>
      <c r="AG124" s="22">
        <v>0.47409099999999998</v>
      </c>
      <c r="AH124" s="22">
        <v>366.22500000000002</v>
      </c>
      <c r="AI124" s="22">
        <v>-1.77795E-2</v>
      </c>
      <c r="AJ124" s="22">
        <v>114</v>
      </c>
      <c r="AK124" s="22">
        <v>0.47348000000000001</v>
      </c>
      <c r="AL124">
        <f t="shared" si="18"/>
        <v>17.779499999999999</v>
      </c>
      <c r="AM124">
        <f t="shared" si="19"/>
        <v>8.4291009344999992</v>
      </c>
      <c r="AP124" s="9"/>
      <c r="AQ124" s="22">
        <v>1.12595</v>
      </c>
      <c r="AR124" s="22">
        <v>502.00299999999999</v>
      </c>
      <c r="AS124" s="22">
        <v>-1.7062399999999998E-2</v>
      </c>
      <c r="AT124" s="22">
        <v>114</v>
      </c>
      <c r="AU124" s="22">
        <v>1.1245700000000001</v>
      </c>
      <c r="AV124">
        <f t="shared" si="20"/>
        <v>17.062399999999997</v>
      </c>
      <c r="AW124">
        <f t="shared" si="21"/>
        <v>19.211409279999998</v>
      </c>
      <c r="AX124" s="9"/>
      <c r="AY124" s="22">
        <v>0.47409099999999998</v>
      </c>
      <c r="AZ124" s="22">
        <v>624.36</v>
      </c>
      <c r="BA124" s="22">
        <v>-1.77643E-2</v>
      </c>
      <c r="BB124" s="22">
        <v>114</v>
      </c>
      <c r="BC124" s="22">
        <v>0.47357199999999999</v>
      </c>
      <c r="BD124">
        <f t="shared" si="22"/>
        <v>17.764299999999999</v>
      </c>
      <c r="BE124">
        <f t="shared" si="23"/>
        <v>8.4218947512999982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87.842699999999994</v>
      </c>
      <c r="I125" s="22">
        <v>-1.7285200000000001E-2</v>
      </c>
      <c r="J125" s="22">
        <v>115</v>
      </c>
      <c r="K125" s="22">
        <v>1.1203000000000001</v>
      </c>
      <c r="L125">
        <f t="shared" si="12"/>
        <v>17.2852</v>
      </c>
      <c r="M125">
        <f t="shared" si="13"/>
        <v>19.375153532000002</v>
      </c>
      <c r="N125" s="9"/>
      <c r="O125" s="22">
        <v>0.479126</v>
      </c>
      <c r="P125" s="22">
        <v>202.76</v>
      </c>
      <c r="Q125" s="22">
        <v>-1.78467E-2</v>
      </c>
      <c r="R125" s="22">
        <v>115</v>
      </c>
      <c r="S125" s="22">
        <v>0.47866799999999998</v>
      </c>
      <c r="T125">
        <f t="shared" si="14"/>
        <v>17.846699999999998</v>
      </c>
      <c r="U125">
        <f t="shared" si="15"/>
        <v>8.5508179842000001</v>
      </c>
      <c r="X125" s="9"/>
      <c r="Y125" s="22">
        <v>1.1209100000000001</v>
      </c>
      <c r="Z125" s="22">
        <v>305.74599999999998</v>
      </c>
      <c r="AA125" s="22">
        <v>-1.7178300000000001E-2</v>
      </c>
      <c r="AB125" s="22">
        <v>115</v>
      </c>
      <c r="AC125" s="22">
        <v>1.1200000000000001</v>
      </c>
      <c r="AD125">
        <f t="shared" si="16"/>
        <v>17.1783</v>
      </c>
      <c r="AE125">
        <f t="shared" si="17"/>
        <v>19.255328253000002</v>
      </c>
      <c r="AF125" s="9"/>
      <c r="AG125" s="22">
        <v>0.479126</v>
      </c>
      <c r="AH125" s="22">
        <v>366.32499999999999</v>
      </c>
      <c r="AI125" s="22">
        <v>-1.7776500000000001E-2</v>
      </c>
      <c r="AJ125" s="22">
        <v>115</v>
      </c>
      <c r="AK125" s="22">
        <v>0.47878999999999999</v>
      </c>
      <c r="AL125">
        <f t="shared" si="18"/>
        <v>17.776500000000002</v>
      </c>
      <c r="AM125">
        <f t="shared" si="19"/>
        <v>8.5171833390000007</v>
      </c>
      <c r="AP125" s="9"/>
      <c r="AQ125" s="22">
        <v>1.1209100000000001</v>
      </c>
      <c r="AR125" s="22">
        <v>502.10399999999998</v>
      </c>
      <c r="AS125" s="22">
        <v>-1.7059299999999999E-2</v>
      </c>
      <c r="AT125" s="22">
        <v>115</v>
      </c>
      <c r="AU125" s="22">
        <v>1.1206100000000001</v>
      </c>
      <c r="AV125">
        <f t="shared" si="20"/>
        <v>17.0593</v>
      </c>
      <c r="AW125">
        <f t="shared" si="21"/>
        <v>19.121939963000003</v>
      </c>
      <c r="AX125" s="9"/>
      <c r="AY125" s="22">
        <v>0.479126</v>
      </c>
      <c r="AZ125" s="22">
        <v>624.46100000000001</v>
      </c>
      <c r="BA125" s="22">
        <v>-1.77521E-2</v>
      </c>
      <c r="BB125" s="22">
        <v>115</v>
      </c>
      <c r="BC125" s="22">
        <v>0.47848499999999999</v>
      </c>
      <c r="BD125">
        <f t="shared" si="22"/>
        <v>17.752099999999999</v>
      </c>
      <c r="BE125">
        <f t="shared" si="23"/>
        <v>8.5054926645999984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87.943399999999997</v>
      </c>
      <c r="I126" s="22">
        <v>-1.7282100000000002E-2</v>
      </c>
      <c r="J126" s="22">
        <v>116</v>
      </c>
      <c r="K126" s="22">
        <v>1.1148100000000001</v>
      </c>
      <c r="L126">
        <f t="shared" si="12"/>
        <v>17.282100000000003</v>
      </c>
      <c r="M126">
        <f t="shared" si="13"/>
        <v>19.284749748000003</v>
      </c>
      <c r="N126" s="9"/>
      <c r="O126" s="22">
        <v>0.48416100000000001</v>
      </c>
      <c r="P126" s="22">
        <v>202.86</v>
      </c>
      <c r="Q126" s="22">
        <v>-1.78345E-2</v>
      </c>
      <c r="R126" s="22">
        <v>116</v>
      </c>
      <c r="S126" s="22">
        <v>0.48367300000000002</v>
      </c>
      <c r="T126">
        <f t="shared" si="14"/>
        <v>17.834499999999998</v>
      </c>
      <c r="U126">
        <f t="shared" si="15"/>
        <v>8.6347693544999995</v>
      </c>
      <c r="X126" s="9"/>
      <c r="Y126" s="22">
        <v>1.11588</v>
      </c>
      <c r="Z126" s="22">
        <v>305.84699999999998</v>
      </c>
      <c r="AA126" s="22">
        <v>-1.7187500000000001E-2</v>
      </c>
      <c r="AB126" s="22">
        <v>116</v>
      </c>
      <c r="AC126" s="22">
        <v>1.11511</v>
      </c>
      <c r="AD126">
        <f t="shared" si="16"/>
        <v>17.1875</v>
      </c>
      <c r="AE126">
        <f t="shared" si="17"/>
        <v>19.179187500000001</v>
      </c>
      <c r="AF126" s="9"/>
      <c r="AG126" s="22">
        <v>0.48416100000000001</v>
      </c>
      <c r="AH126" s="22">
        <v>366.42599999999999</v>
      </c>
      <c r="AI126" s="22">
        <v>-1.77673E-2</v>
      </c>
      <c r="AJ126" s="22">
        <v>116</v>
      </c>
      <c r="AK126" s="22">
        <v>0.48355100000000001</v>
      </c>
      <c r="AL126">
        <f t="shared" si="18"/>
        <v>17.767299999999999</v>
      </c>
      <c r="AM126">
        <f t="shared" si="19"/>
        <v>8.6022337352999987</v>
      </c>
      <c r="AP126" s="9"/>
      <c r="AQ126" s="22">
        <v>1.11588</v>
      </c>
      <c r="AR126" s="22">
        <v>502.20400000000001</v>
      </c>
      <c r="AS126" s="22">
        <v>-1.7053200000000001E-2</v>
      </c>
      <c r="AT126" s="22">
        <v>116</v>
      </c>
      <c r="AU126" s="22">
        <v>1.1148100000000001</v>
      </c>
      <c r="AV126">
        <f t="shared" si="20"/>
        <v>17.0532</v>
      </c>
      <c r="AW126">
        <f t="shared" si="21"/>
        <v>19.029324815999999</v>
      </c>
      <c r="AX126" s="9"/>
      <c r="AY126" s="22">
        <v>0.48416100000000001</v>
      </c>
      <c r="AZ126" s="22">
        <v>624.56100000000004</v>
      </c>
      <c r="BA126" s="22">
        <v>-1.77521E-2</v>
      </c>
      <c r="BB126" s="22">
        <v>116</v>
      </c>
      <c r="BC126" s="22">
        <v>0.48352099999999998</v>
      </c>
      <c r="BD126">
        <f t="shared" si="22"/>
        <v>17.752099999999999</v>
      </c>
      <c r="BE126">
        <f t="shared" si="23"/>
        <v>8.5948744881000003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88.0441</v>
      </c>
      <c r="I127" s="22">
        <v>-1.7291299999999999E-2</v>
      </c>
      <c r="J127" s="22">
        <v>117</v>
      </c>
      <c r="K127" s="22">
        <v>1.1096200000000001</v>
      </c>
      <c r="L127">
        <f t="shared" si="12"/>
        <v>17.2913</v>
      </c>
      <c r="M127">
        <f t="shared" si="13"/>
        <v>19.207867692000001</v>
      </c>
      <c r="N127" s="9"/>
      <c r="O127" s="22">
        <v>0.48919699999999999</v>
      </c>
      <c r="P127" s="22">
        <v>202.96100000000001</v>
      </c>
      <c r="Q127" s="22">
        <v>-1.78467E-2</v>
      </c>
      <c r="R127" s="22">
        <v>117</v>
      </c>
      <c r="S127" s="22">
        <v>0.488678</v>
      </c>
      <c r="T127">
        <f t="shared" si="14"/>
        <v>17.846699999999998</v>
      </c>
      <c r="U127">
        <f t="shared" si="15"/>
        <v>8.7305520998999988</v>
      </c>
      <c r="X127" s="9"/>
      <c r="Y127" s="22">
        <v>1.11084</v>
      </c>
      <c r="Z127" s="22">
        <v>305.94799999999998</v>
      </c>
      <c r="AA127" s="22">
        <v>-1.7184399999999999E-2</v>
      </c>
      <c r="AB127" s="22">
        <v>117</v>
      </c>
      <c r="AC127" s="22">
        <v>1.1096200000000001</v>
      </c>
      <c r="AD127">
        <f t="shared" si="16"/>
        <v>17.1844</v>
      </c>
      <c r="AE127">
        <f t="shared" si="17"/>
        <v>19.089118896000002</v>
      </c>
      <c r="AF127" s="9"/>
      <c r="AG127" s="22">
        <v>0.48919699999999999</v>
      </c>
      <c r="AH127" s="22">
        <v>366.52699999999999</v>
      </c>
      <c r="AI127" s="22">
        <v>-1.77643E-2</v>
      </c>
      <c r="AJ127" s="22">
        <v>117</v>
      </c>
      <c r="AK127" s="22">
        <v>0.488647</v>
      </c>
      <c r="AL127">
        <f t="shared" si="18"/>
        <v>17.764299999999999</v>
      </c>
      <c r="AM127">
        <f t="shared" si="19"/>
        <v>8.6902422670999986</v>
      </c>
      <c r="AP127" s="9"/>
      <c r="AQ127" s="22">
        <v>1.11084</v>
      </c>
      <c r="AR127" s="22">
        <v>502.30500000000001</v>
      </c>
      <c r="AS127" s="22">
        <v>-1.70715E-2</v>
      </c>
      <c r="AT127" s="22">
        <v>117</v>
      </c>
      <c r="AU127" s="22">
        <v>1.1102300000000001</v>
      </c>
      <c r="AV127">
        <f t="shared" si="20"/>
        <v>17.0715</v>
      </c>
      <c r="AW127">
        <f t="shared" si="21"/>
        <v>18.963705060000002</v>
      </c>
      <c r="AX127" s="9"/>
      <c r="AY127" s="22">
        <v>0.48919699999999999</v>
      </c>
      <c r="AZ127" s="22">
        <v>624.66200000000003</v>
      </c>
      <c r="BA127" s="22">
        <v>-1.7761200000000001E-2</v>
      </c>
      <c r="BB127" s="22">
        <v>117</v>
      </c>
      <c r="BC127" s="22">
        <v>0.48876999999999998</v>
      </c>
      <c r="BD127">
        <f t="shared" si="22"/>
        <v>17.761200000000002</v>
      </c>
      <c r="BE127">
        <f t="shared" si="23"/>
        <v>8.6887257564000002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88.144800000000004</v>
      </c>
      <c r="I128" s="22">
        <v>-1.73004E-2</v>
      </c>
      <c r="J128" s="22">
        <v>118</v>
      </c>
      <c r="K128" s="22">
        <v>1.1047400000000001</v>
      </c>
      <c r="L128">
        <f t="shared" si="12"/>
        <v>17.3004</v>
      </c>
      <c r="M128">
        <f t="shared" si="13"/>
        <v>19.130782319999998</v>
      </c>
      <c r="N128" s="9"/>
      <c r="O128" s="22">
        <v>0.494232</v>
      </c>
      <c r="P128" s="22">
        <v>203.06200000000001</v>
      </c>
      <c r="Q128" s="22">
        <v>-1.7828400000000001E-2</v>
      </c>
      <c r="R128" s="22">
        <v>118</v>
      </c>
      <c r="S128" s="22">
        <v>0.49365199999999998</v>
      </c>
      <c r="T128">
        <f t="shared" si="14"/>
        <v>17.828400000000002</v>
      </c>
      <c r="U128">
        <f t="shared" si="15"/>
        <v>8.8113657888000017</v>
      </c>
      <c r="X128" s="9"/>
      <c r="Y128" s="22">
        <v>1.1057999999999999</v>
      </c>
      <c r="Z128" s="22">
        <v>306.048</v>
      </c>
      <c r="AA128" s="22">
        <v>-1.7196699999999999E-2</v>
      </c>
      <c r="AB128" s="22">
        <v>118</v>
      </c>
      <c r="AC128" s="22">
        <v>1.10504</v>
      </c>
      <c r="AD128">
        <f t="shared" si="16"/>
        <v>17.1967</v>
      </c>
      <c r="AE128">
        <f t="shared" si="17"/>
        <v>19.016110859999998</v>
      </c>
      <c r="AF128" s="9"/>
      <c r="AG128" s="22">
        <v>0.494232</v>
      </c>
      <c r="AH128" s="22">
        <v>366.62700000000001</v>
      </c>
      <c r="AI128" s="22">
        <v>-1.7758199999999998E-2</v>
      </c>
      <c r="AJ128" s="22">
        <v>118</v>
      </c>
      <c r="AK128" s="22">
        <v>0.49362200000000001</v>
      </c>
      <c r="AL128">
        <f t="shared" si="18"/>
        <v>17.758199999999999</v>
      </c>
      <c r="AM128">
        <f t="shared" si="19"/>
        <v>8.7766707023999988</v>
      </c>
      <c r="AP128" s="9"/>
      <c r="AQ128" s="22">
        <v>1.1057999999999999</v>
      </c>
      <c r="AR128" s="22">
        <v>502.40600000000001</v>
      </c>
      <c r="AS128" s="22">
        <v>-1.7095900000000001E-2</v>
      </c>
      <c r="AT128" s="22">
        <v>118</v>
      </c>
      <c r="AU128" s="22">
        <v>1.1047400000000001</v>
      </c>
      <c r="AV128">
        <f t="shared" si="20"/>
        <v>17.0959</v>
      </c>
      <c r="AW128">
        <f t="shared" si="21"/>
        <v>18.90464622</v>
      </c>
      <c r="AX128" s="9"/>
      <c r="AY128" s="22">
        <v>0.494232</v>
      </c>
      <c r="AZ128" s="22">
        <v>624.76300000000003</v>
      </c>
      <c r="BA128" s="22">
        <v>-1.7749000000000001E-2</v>
      </c>
      <c r="BB128" s="22">
        <v>118</v>
      </c>
      <c r="BC128" s="22">
        <v>0.49374400000000002</v>
      </c>
      <c r="BD128">
        <f t="shared" si="22"/>
        <v>17.749000000000002</v>
      </c>
      <c r="BE128">
        <f t="shared" si="23"/>
        <v>8.7721237680000019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88.245500000000007</v>
      </c>
      <c r="I129" s="22">
        <v>-1.73157E-2</v>
      </c>
      <c r="J129" s="22">
        <v>119</v>
      </c>
      <c r="K129" s="22">
        <v>1.09985</v>
      </c>
      <c r="L129">
        <f t="shared" si="12"/>
        <v>17.3157</v>
      </c>
      <c r="M129">
        <f t="shared" si="13"/>
        <v>19.060603089000001</v>
      </c>
      <c r="N129" s="9"/>
      <c r="O129" s="22">
        <v>0.49926799999999999</v>
      </c>
      <c r="P129" s="22">
        <v>203.16200000000001</v>
      </c>
      <c r="Q129" s="22">
        <v>-1.7825299999999999E-2</v>
      </c>
      <c r="R129" s="22">
        <v>119</v>
      </c>
      <c r="S129" s="22">
        <v>0.49871799999999999</v>
      </c>
      <c r="T129">
        <f t="shared" si="14"/>
        <v>17.825299999999999</v>
      </c>
      <c r="U129">
        <f t="shared" si="15"/>
        <v>8.8996018803999988</v>
      </c>
      <c r="X129" s="9"/>
      <c r="Y129" s="22">
        <v>1.10077</v>
      </c>
      <c r="Z129" s="22">
        <v>306.149</v>
      </c>
      <c r="AA129" s="22">
        <v>-1.7199699999999998E-2</v>
      </c>
      <c r="AB129" s="22">
        <v>119</v>
      </c>
      <c r="AC129" s="22">
        <v>1.10016</v>
      </c>
      <c r="AD129">
        <f t="shared" si="16"/>
        <v>17.1997</v>
      </c>
      <c r="AE129">
        <f t="shared" si="17"/>
        <v>18.932913768999999</v>
      </c>
      <c r="AF129" s="9"/>
      <c r="AG129" s="22">
        <v>0.49926799999999999</v>
      </c>
      <c r="AH129" s="22">
        <v>366.72800000000001</v>
      </c>
      <c r="AI129" s="22">
        <v>-1.7758199999999998E-2</v>
      </c>
      <c r="AJ129" s="22">
        <v>119</v>
      </c>
      <c r="AK129" s="22">
        <v>0.49877899999999997</v>
      </c>
      <c r="AL129">
        <f t="shared" si="18"/>
        <v>17.758199999999999</v>
      </c>
      <c r="AM129">
        <f t="shared" si="19"/>
        <v>8.8661009975999985</v>
      </c>
      <c r="AP129" s="9"/>
      <c r="AQ129" s="22">
        <v>1.10077</v>
      </c>
      <c r="AR129" s="22">
        <v>502.50599999999997</v>
      </c>
      <c r="AS129" s="22">
        <v>-1.7022700000000002E-2</v>
      </c>
      <c r="AT129" s="22">
        <v>119</v>
      </c>
      <c r="AU129" s="22">
        <v>1.09985</v>
      </c>
      <c r="AV129">
        <f t="shared" si="20"/>
        <v>17.0227</v>
      </c>
      <c r="AW129">
        <f t="shared" si="21"/>
        <v>18.738077479000001</v>
      </c>
      <c r="AX129" s="9"/>
      <c r="AY129" s="22">
        <v>0.49926799999999999</v>
      </c>
      <c r="AZ129" s="22">
        <v>624.86400000000003</v>
      </c>
      <c r="BA129" s="22">
        <v>-1.7749000000000001E-2</v>
      </c>
      <c r="BB129" s="22">
        <v>119</v>
      </c>
      <c r="BC129" s="22">
        <v>0.49850499999999998</v>
      </c>
      <c r="BD129">
        <f t="shared" si="22"/>
        <v>17.749000000000002</v>
      </c>
      <c r="BE129">
        <f t="shared" si="23"/>
        <v>8.8615077320000015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88.346199999999996</v>
      </c>
      <c r="I130" s="22">
        <v>-1.7321799999999998E-2</v>
      </c>
      <c r="J130" s="22">
        <v>120</v>
      </c>
      <c r="K130" s="22">
        <v>1.09406</v>
      </c>
      <c r="L130">
        <f t="shared" si="12"/>
        <v>17.3218</v>
      </c>
      <c r="M130">
        <f t="shared" si="13"/>
        <v>18.980015914000003</v>
      </c>
      <c r="N130" s="9"/>
      <c r="O130" s="22">
        <v>0.50430299999999995</v>
      </c>
      <c r="P130" s="22">
        <v>203.26300000000001</v>
      </c>
      <c r="Q130" s="22">
        <v>-1.7822299999999999E-2</v>
      </c>
      <c r="R130" s="22">
        <v>120</v>
      </c>
      <c r="S130" s="22">
        <v>0.50393699999999997</v>
      </c>
      <c r="T130">
        <f t="shared" si="14"/>
        <v>17.822299999999998</v>
      </c>
      <c r="U130">
        <f t="shared" si="15"/>
        <v>8.9878393568999986</v>
      </c>
      <c r="X130" s="9"/>
      <c r="Y130" s="22">
        <v>1.0957300000000001</v>
      </c>
      <c r="Z130" s="22">
        <v>306.25</v>
      </c>
      <c r="AA130" s="22">
        <v>-1.7202800000000001E-2</v>
      </c>
      <c r="AB130" s="22">
        <v>120</v>
      </c>
      <c r="AC130" s="22">
        <v>1.09375</v>
      </c>
      <c r="AD130">
        <f t="shared" si="16"/>
        <v>17.2028</v>
      </c>
      <c r="AE130">
        <f t="shared" si="17"/>
        <v>18.849624044000002</v>
      </c>
      <c r="AF130" s="9"/>
      <c r="AG130" s="22">
        <v>0.50430299999999995</v>
      </c>
      <c r="AH130" s="22">
        <v>366.82900000000001</v>
      </c>
      <c r="AI130" s="22">
        <v>-1.7746000000000001E-2</v>
      </c>
      <c r="AJ130" s="22">
        <v>120</v>
      </c>
      <c r="AK130" s="22">
        <v>0.50326499999999996</v>
      </c>
      <c r="AL130">
        <f t="shared" si="18"/>
        <v>17.746000000000002</v>
      </c>
      <c r="AM130">
        <f t="shared" si="19"/>
        <v>8.9493610379999993</v>
      </c>
      <c r="AP130" s="9"/>
      <c r="AQ130" s="22">
        <v>1.0957300000000001</v>
      </c>
      <c r="AR130" s="22">
        <v>502.60700000000003</v>
      </c>
      <c r="AS130" s="22">
        <v>-1.70288E-2</v>
      </c>
      <c r="AT130" s="22">
        <v>120</v>
      </c>
      <c r="AU130" s="22">
        <v>1.09619</v>
      </c>
      <c r="AV130">
        <f t="shared" si="20"/>
        <v>17.0288</v>
      </c>
      <c r="AW130">
        <f t="shared" si="21"/>
        <v>18.658967024000003</v>
      </c>
      <c r="AX130" s="9"/>
      <c r="AY130" s="22">
        <v>0.50430299999999995</v>
      </c>
      <c r="AZ130" s="22">
        <v>624.96400000000006</v>
      </c>
      <c r="BA130" s="22">
        <v>-1.7746000000000001E-2</v>
      </c>
      <c r="BB130" s="22">
        <v>120</v>
      </c>
      <c r="BC130" s="22">
        <v>0.50369299999999995</v>
      </c>
      <c r="BD130">
        <f t="shared" si="22"/>
        <v>17.746000000000002</v>
      </c>
      <c r="BE130">
        <f t="shared" si="23"/>
        <v>8.9493610379999993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88.446899999999999</v>
      </c>
      <c r="I131" s="22">
        <v>-1.73279E-2</v>
      </c>
      <c r="J131" s="22">
        <v>121</v>
      </c>
      <c r="K131" s="22">
        <v>1.08948</v>
      </c>
      <c r="L131">
        <f t="shared" si="12"/>
        <v>17.3279</v>
      </c>
      <c r="M131">
        <f t="shared" si="13"/>
        <v>18.899540529999999</v>
      </c>
      <c r="N131" s="9"/>
      <c r="O131" s="22">
        <v>0.50933799999999996</v>
      </c>
      <c r="P131" s="22">
        <v>203.364</v>
      </c>
      <c r="Q131" s="22">
        <v>-1.7828400000000001E-2</v>
      </c>
      <c r="R131" s="22">
        <v>121</v>
      </c>
      <c r="S131" s="22">
        <v>0.50869799999999998</v>
      </c>
      <c r="T131">
        <f t="shared" si="14"/>
        <v>17.828400000000002</v>
      </c>
      <c r="U131">
        <f t="shared" si="15"/>
        <v>9.0806815992000001</v>
      </c>
      <c r="X131" s="9"/>
      <c r="Y131" s="22">
        <v>1.0907</v>
      </c>
      <c r="Z131" s="22">
        <v>306.351</v>
      </c>
      <c r="AA131" s="22">
        <v>-1.7202800000000001E-2</v>
      </c>
      <c r="AB131" s="22">
        <v>121</v>
      </c>
      <c r="AC131" s="22">
        <v>1.07239</v>
      </c>
      <c r="AD131">
        <f t="shared" si="16"/>
        <v>17.2028</v>
      </c>
      <c r="AE131">
        <f t="shared" si="17"/>
        <v>18.763093959999999</v>
      </c>
      <c r="AF131" s="9"/>
      <c r="AG131" s="22">
        <v>0.50933799999999996</v>
      </c>
      <c r="AH131" s="22">
        <v>366.93</v>
      </c>
      <c r="AI131" s="22">
        <v>-1.7749000000000001E-2</v>
      </c>
      <c r="AJ131" s="22">
        <v>121</v>
      </c>
      <c r="AK131" s="22">
        <v>0.50848400000000005</v>
      </c>
      <c r="AL131">
        <f t="shared" si="18"/>
        <v>17.749000000000002</v>
      </c>
      <c r="AM131">
        <f t="shared" si="19"/>
        <v>9.0402401619999999</v>
      </c>
      <c r="AP131" s="9"/>
      <c r="AQ131" s="22">
        <v>1.0907</v>
      </c>
      <c r="AR131" s="22">
        <v>502.70800000000003</v>
      </c>
      <c r="AS131" s="22">
        <v>-1.71082E-2</v>
      </c>
      <c r="AT131" s="22">
        <v>121</v>
      </c>
      <c r="AU131" s="22">
        <v>1.08978</v>
      </c>
      <c r="AV131">
        <f t="shared" si="20"/>
        <v>17.1082</v>
      </c>
      <c r="AW131">
        <f t="shared" si="21"/>
        <v>18.65991374</v>
      </c>
      <c r="AX131" s="9"/>
      <c r="AY131" s="22">
        <v>0.50933799999999996</v>
      </c>
      <c r="AZ131" s="22">
        <v>625.06500000000005</v>
      </c>
      <c r="BA131" s="22">
        <v>-1.77368E-2</v>
      </c>
      <c r="BB131" s="22">
        <v>121</v>
      </c>
      <c r="BC131" s="22">
        <v>0.50863599999999998</v>
      </c>
      <c r="BD131">
        <f t="shared" si="22"/>
        <v>17.736799999999999</v>
      </c>
      <c r="BE131">
        <f t="shared" si="23"/>
        <v>9.0340262383999992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88.547700000000006</v>
      </c>
      <c r="I132" s="22">
        <v>-1.7340100000000001E-2</v>
      </c>
      <c r="J132" s="22">
        <v>122</v>
      </c>
      <c r="K132" s="22">
        <v>1.0845899999999999</v>
      </c>
      <c r="L132">
        <f t="shared" si="12"/>
        <v>17.3401</v>
      </c>
      <c r="M132">
        <f t="shared" si="13"/>
        <v>18.825452966</v>
      </c>
      <c r="N132" s="9"/>
      <c r="O132" s="22">
        <v>0.514374</v>
      </c>
      <c r="P132" s="22">
        <v>203.465</v>
      </c>
      <c r="Q132" s="22">
        <v>-1.7825299999999999E-2</v>
      </c>
      <c r="R132" s="22">
        <v>122</v>
      </c>
      <c r="S132" s="22">
        <v>0.513428</v>
      </c>
      <c r="T132">
        <f t="shared" si="14"/>
        <v>17.825299999999999</v>
      </c>
      <c r="U132">
        <f t="shared" si="15"/>
        <v>9.1688708621999986</v>
      </c>
      <c r="X132" s="9"/>
      <c r="Y132" s="22">
        <v>1.0856600000000001</v>
      </c>
      <c r="Z132" s="22">
        <v>306.45100000000002</v>
      </c>
      <c r="AA132" s="22">
        <v>-1.7215000000000001E-2</v>
      </c>
      <c r="AB132" s="22">
        <v>122</v>
      </c>
      <c r="AC132" s="22">
        <v>1.08948</v>
      </c>
      <c r="AD132">
        <f t="shared" si="16"/>
        <v>17.215</v>
      </c>
      <c r="AE132">
        <f t="shared" si="17"/>
        <v>18.6896369</v>
      </c>
      <c r="AF132" s="9"/>
      <c r="AG132" s="22">
        <v>0.514374</v>
      </c>
      <c r="AH132" s="22">
        <v>367.03</v>
      </c>
      <c r="AI132" s="22">
        <v>-1.7746000000000001E-2</v>
      </c>
      <c r="AJ132" s="22">
        <v>122</v>
      </c>
      <c r="AK132" s="22">
        <v>0.51364100000000001</v>
      </c>
      <c r="AL132">
        <f t="shared" si="18"/>
        <v>17.746000000000002</v>
      </c>
      <c r="AM132">
        <f t="shared" si="19"/>
        <v>9.1280810040000002</v>
      </c>
      <c r="AP132" s="9"/>
      <c r="AQ132" s="22">
        <v>1.0856600000000001</v>
      </c>
      <c r="AR132" s="22">
        <v>502.80900000000003</v>
      </c>
      <c r="AS132" s="22">
        <v>-1.7092900000000001E-2</v>
      </c>
      <c r="AT132" s="22">
        <v>122</v>
      </c>
      <c r="AU132" s="22">
        <v>1.0845899999999999</v>
      </c>
      <c r="AV132">
        <f t="shared" si="20"/>
        <v>17.0929</v>
      </c>
      <c r="AW132">
        <f t="shared" si="21"/>
        <v>18.557077814000003</v>
      </c>
      <c r="AX132" s="9"/>
      <c r="AY132" s="22">
        <v>0.514374</v>
      </c>
      <c r="AZ132" s="22">
        <v>625.16600000000005</v>
      </c>
      <c r="BA132" s="22">
        <v>-1.77368E-2</v>
      </c>
      <c r="BB132" s="22">
        <v>122</v>
      </c>
      <c r="BC132" s="22">
        <v>0.51403799999999999</v>
      </c>
      <c r="BD132">
        <f t="shared" si="22"/>
        <v>17.736799999999999</v>
      </c>
      <c r="BE132">
        <f t="shared" si="23"/>
        <v>9.1233487631999992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88.648399999999995</v>
      </c>
      <c r="I133" s="22">
        <v>-1.7337000000000002E-2</v>
      </c>
      <c r="J133" s="22">
        <v>123</v>
      </c>
      <c r="K133" s="22">
        <v>1.0797099999999999</v>
      </c>
      <c r="L133">
        <f t="shared" si="12"/>
        <v>17.337000000000003</v>
      </c>
      <c r="M133">
        <f t="shared" si="13"/>
        <v>18.734882310000003</v>
      </c>
      <c r="N133" s="9"/>
      <c r="O133" s="22">
        <v>0.51940900000000001</v>
      </c>
      <c r="P133" s="22">
        <v>203.565</v>
      </c>
      <c r="Q133" s="22">
        <v>-1.78192E-2</v>
      </c>
      <c r="R133" s="22">
        <v>123</v>
      </c>
      <c r="S133" s="22">
        <v>0.51855499999999999</v>
      </c>
      <c r="T133">
        <f t="shared" si="14"/>
        <v>17.819199999999999</v>
      </c>
      <c r="U133">
        <f t="shared" si="15"/>
        <v>9.2554528527999995</v>
      </c>
      <c r="X133" s="9"/>
      <c r="Y133" s="22">
        <v>1.08063</v>
      </c>
      <c r="Z133" s="22">
        <v>306.55200000000002</v>
      </c>
      <c r="AA133" s="22">
        <v>-1.7215000000000001E-2</v>
      </c>
      <c r="AB133" s="22">
        <v>123</v>
      </c>
      <c r="AC133" s="22">
        <v>1.07941</v>
      </c>
      <c r="AD133">
        <f t="shared" si="16"/>
        <v>17.215</v>
      </c>
      <c r="AE133">
        <f t="shared" si="17"/>
        <v>18.60304545</v>
      </c>
      <c r="AF133" s="9"/>
      <c r="AG133" s="22">
        <v>0.51940900000000001</v>
      </c>
      <c r="AH133" s="22">
        <v>367.13099999999997</v>
      </c>
      <c r="AI133" s="22">
        <v>-1.7746000000000001E-2</v>
      </c>
      <c r="AJ133" s="22">
        <v>123</v>
      </c>
      <c r="AK133" s="22">
        <v>0.51852399999999998</v>
      </c>
      <c r="AL133">
        <f t="shared" si="18"/>
        <v>17.746000000000002</v>
      </c>
      <c r="AM133">
        <f t="shared" si="19"/>
        <v>9.2174321140000011</v>
      </c>
      <c r="AP133" s="9"/>
      <c r="AQ133" s="22">
        <v>1.08063</v>
      </c>
      <c r="AR133" s="22">
        <v>502.90899999999999</v>
      </c>
      <c r="AS133" s="22">
        <v>-1.7117299999999998E-2</v>
      </c>
      <c r="AT133" s="22">
        <v>123</v>
      </c>
      <c r="AU133" s="22">
        <v>1.08002</v>
      </c>
      <c r="AV133">
        <f t="shared" si="20"/>
        <v>17.1173</v>
      </c>
      <c r="AW133">
        <f t="shared" si="21"/>
        <v>18.497467899</v>
      </c>
      <c r="AX133" s="9"/>
      <c r="AY133" s="22">
        <v>0.51940900000000001</v>
      </c>
      <c r="AZ133" s="22">
        <v>625.26599999999996</v>
      </c>
      <c r="BA133" s="22">
        <v>-1.7733800000000001E-2</v>
      </c>
      <c r="BB133" s="22">
        <v>123</v>
      </c>
      <c r="BC133" s="22">
        <v>0.51861599999999997</v>
      </c>
      <c r="BD133">
        <f t="shared" si="22"/>
        <v>17.733800000000002</v>
      </c>
      <c r="BE133">
        <f t="shared" si="23"/>
        <v>9.2110953242000022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88.749099999999999</v>
      </c>
      <c r="I134" s="22">
        <v>-1.7352300000000001E-2</v>
      </c>
      <c r="J134" s="22">
        <v>124</v>
      </c>
      <c r="K134" s="22">
        <v>1.0739099999999999</v>
      </c>
      <c r="L134">
        <f t="shared" si="12"/>
        <v>17.3523</v>
      </c>
      <c r="M134">
        <f t="shared" si="13"/>
        <v>18.663960357000001</v>
      </c>
      <c r="N134" s="9"/>
      <c r="O134" s="22">
        <v>0.52444500000000005</v>
      </c>
      <c r="P134" s="22">
        <v>203.666</v>
      </c>
      <c r="Q134" s="22">
        <v>-1.7810099999999999E-2</v>
      </c>
      <c r="R134" s="22">
        <v>124</v>
      </c>
      <c r="S134" s="22">
        <v>0.523621</v>
      </c>
      <c r="T134">
        <f t="shared" si="14"/>
        <v>17.810099999999998</v>
      </c>
      <c r="U134">
        <f t="shared" si="15"/>
        <v>9.3404178944999998</v>
      </c>
      <c r="X134" s="9"/>
      <c r="Y134" s="22">
        <v>1.07559</v>
      </c>
      <c r="Z134" s="22">
        <v>306.65300000000002</v>
      </c>
      <c r="AA134" s="22">
        <v>-1.7224099999999999E-2</v>
      </c>
      <c r="AB134" s="22">
        <v>124</v>
      </c>
      <c r="AC134" s="22">
        <v>1.07422</v>
      </c>
      <c r="AD134">
        <f t="shared" si="16"/>
        <v>17.2241</v>
      </c>
      <c r="AE134">
        <f t="shared" si="17"/>
        <v>18.526069719000002</v>
      </c>
      <c r="AF134" s="9"/>
      <c r="AG134" s="22">
        <v>0.52444500000000005</v>
      </c>
      <c r="AH134" s="22">
        <v>367.23200000000003</v>
      </c>
      <c r="AI134" s="22">
        <v>-1.7733800000000001E-2</v>
      </c>
      <c r="AJ134" s="22">
        <v>124</v>
      </c>
      <c r="AK134" s="22">
        <v>0.52386500000000003</v>
      </c>
      <c r="AL134">
        <f t="shared" si="18"/>
        <v>17.733800000000002</v>
      </c>
      <c r="AM134">
        <f t="shared" si="19"/>
        <v>9.3004027410000027</v>
      </c>
      <c r="AP134" s="9"/>
      <c r="AQ134" s="22">
        <v>1.07559</v>
      </c>
      <c r="AR134" s="22">
        <v>503.01</v>
      </c>
      <c r="AS134" s="22">
        <v>-1.7147800000000001E-2</v>
      </c>
      <c r="AT134" s="22">
        <v>124</v>
      </c>
      <c r="AU134" s="22">
        <v>1.0739099999999999</v>
      </c>
      <c r="AV134">
        <f t="shared" si="20"/>
        <v>17.1478</v>
      </c>
      <c r="AW134">
        <f t="shared" si="21"/>
        <v>18.444002202</v>
      </c>
      <c r="AX134" s="9"/>
      <c r="AY134" s="22">
        <v>0.52444500000000005</v>
      </c>
      <c r="AZ134" s="22">
        <v>625.36699999999996</v>
      </c>
      <c r="BA134" s="22">
        <v>-1.7727699999999999E-2</v>
      </c>
      <c r="BB134" s="22">
        <v>124</v>
      </c>
      <c r="BC134" s="22">
        <v>0.52371199999999996</v>
      </c>
      <c r="BD134">
        <f t="shared" si="22"/>
        <v>17.727699999999999</v>
      </c>
      <c r="BE134">
        <f t="shared" si="23"/>
        <v>9.2972036265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88.849800000000002</v>
      </c>
      <c r="I135" s="22">
        <v>-1.7364500000000001E-2</v>
      </c>
      <c r="J135" s="22">
        <v>125</v>
      </c>
      <c r="K135" s="22">
        <v>1.0696399999999999</v>
      </c>
      <c r="L135">
        <f t="shared" si="12"/>
        <v>17.364500000000003</v>
      </c>
      <c r="M135">
        <f t="shared" si="13"/>
        <v>18.589739120000004</v>
      </c>
      <c r="N135" s="9"/>
      <c r="O135" s="22">
        <v>0.52947999999999995</v>
      </c>
      <c r="P135" s="22">
        <v>203.767</v>
      </c>
      <c r="Q135" s="22">
        <v>-1.7807E-2</v>
      </c>
      <c r="R135" s="22">
        <v>125</v>
      </c>
      <c r="S135" s="22">
        <v>0.52862500000000001</v>
      </c>
      <c r="T135">
        <f t="shared" si="14"/>
        <v>17.806999999999999</v>
      </c>
      <c r="U135">
        <f t="shared" si="15"/>
        <v>9.4284503599999976</v>
      </c>
      <c r="X135" s="9"/>
      <c r="Y135" s="22">
        <v>1.07056</v>
      </c>
      <c r="Z135" s="22">
        <v>306.75299999999999</v>
      </c>
      <c r="AA135" s="22">
        <v>-1.7230200000000001E-2</v>
      </c>
      <c r="AB135" s="22">
        <v>125</v>
      </c>
      <c r="AC135" s="22">
        <v>1.0696399999999999</v>
      </c>
      <c r="AD135">
        <f t="shared" si="16"/>
        <v>17.2302</v>
      </c>
      <c r="AE135">
        <f t="shared" si="17"/>
        <v>18.445962911999999</v>
      </c>
      <c r="AF135" s="9"/>
      <c r="AG135" s="22">
        <v>0.52947999999999995</v>
      </c>
      <c r="AH135" s="22">
        <v>367.33199999999999</v>
      </c>
      <c r="AI135" s="22">
        <v>-1.77246E-2</v>
      </c>
      <c r="AJ135" s="22">
        <v>125</v>
      </c>
      <c r="AK135" s="22">
        <v>0.52899200000000002</v>
      </c>
      <c r="AL135">
        <f t="shared" si="18"/>
        <v>17.724599999999999</v>
      </c>
      <c r="AM135">
        <f t="shared" si="19"/>
        <v>9.3848212079999982</v>
      </c>
      <c r="AP135" s="9"/>
      <c r="AQ135" s="22">
        <v>1.07056</v>
      </c>
      <c r="AR135" s="22">
        <v>503.11099999999999</v>
      </c>
      <c r="AS135" s="22">
        <v>-1.71234E-2</v>
      </c>
      <c r="AT135" s="22">
        <v>125</v>
      </c>
      <c r="AU135" s="22">
        <v>1.0696399999999999</v>
      </c>
      <c r="AV135">
        <f t="shared" si="20"/>
        <v>17.1234</v>
      </c>
      <c r="AW135">
        <f t="shared" si="21"/>
        <v>18.331627103999999</v>
      </c>
      <c r="AX135" s="9"/>
      <c r="AY135" s="22">
        <v>0.52947999999999995</v>
      </c>
      <c r="AZ135" s="22">
        <v>625.46799999999996</v>
      </c>
      <c r="BA135" s="22">
        <v>-1.77246E-2</v>
      </c>
      <c r="BB135" s="22">
        <v>125</v>
      </c>
      <c r="BC135" s="22">
        <v>0.52871699999999999</v>
      </c>
      <c r="BD135">
        <f t="shared" si="22"/>
        <v>17.724599999999999</v>
      </c>
      <c r="BE135">
        <f t="shared" si="23"/>
        <v>9.3848212079999982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88.950500000000005</v>
      </c>
      <c r="I136" s="22">
        <v>-1.73706E-2</v>
      </c>
      <c r="J136" s="22">
        <v>126</v>
      </c>
      <c r="K136" s="22">
        <v>1.0644499999999999</v>
      </c>
      <c r="L136">
        <f t="shared" si="12"/>
        <v>17.3706</v>
      </c>
      <c r="M136">
        <f t="shared" si="13"/>
        <v>18.508721712</v>
      </c>
      <c r="N136" s="9"/>
      <c r="O136" s="22">
        <v>0.53451499999999996</v>
      </c>
      <c r="P136" s="22">
        <v>203.86699999999999</v>
      </c>
      <c r="Q136" s="22">
        <v>-1.7800900000000001E-2</v>
      </c>
      <c r="R136" s="22">
        <v>126</v>
      </c>
      <c r="S136" s="22">
        <v>0.53393599999999997</v>
      </c>
      <c r="T136">
        <f t="shared" si="14"/>
        <v>17.800900000000002</v>
      </c>
      <c r="U136">
        <f t="shared" si="15"/>
        <v>9.5148480635000006</v>
      </c>
      <c r="X136" s="9"/>
      <c r="Y136" s="22">
        <v>1.06552</v>
      </c>
      <c r="Z136" s="22">
        <v>306.85399999999998</v>
      </c>
      <c r="AA136" s="22">
        <v>-1.7227200000000002E-2</v>
      </c>
      <c r="AB136" s="22">
        <v>126</v>
      </c>
      <c r="AC136" s="22">
        <v>1.0644499999999999</v>
      </c>
      <c r="AD136">
        <f t="shared" si="16"/>
        <v>17.2272</v>
      </c>
      <c r="AE136">
        <f t="shared" si="17"/>
        <v>18.355926144000001</v>
      </c>
      <c r="AF136" s="9"/>
      <c r="AG136" s="22">
        <v>0.53451499999999996</v>
      </c>
      <c r="AH136" s="22">
        <v>367.43299999999999</v>
      </c>
      <c r="AI136" s="22">
        <v>-1.7721600000000001E-2</v>
      </c>
      <c r="AJ136" s="22">
        <v>126</v>
      </c>
      <c r="AK136" s="22">
        <v>0.53393599999999997</v>
      </c>
      <c r="AL136">
        <f t="shared" si="18"/>
        <v>17.721600000000002</v>
      </c>
      <c r="AM136">
        <f t="shared" si="19"/>
        <v>9.4724610240000011</v>
      </c>
      <c r="AP136" s="9"/>
      <c r="AQ136" s="22">
        <v>1.06552</v>
      </c>
      <c r="AR136" s="22">
        <v>503.21100000000001</v>
      </c>
      <c r="AS136" s="22">
        <v>-1.7135600000000001E-2</v>
      </c>
      <c r="AT136" s="22">
        <v>126</v>
      </c>
      <c r="AU136" s="22">
        <v>1.0647599999999999</v>
      </c>
      <c r="AV136">
        <f t="shared" si="20"/>
        <v>17.1356</v>
      </c>
      <c r="AW136">
        <f t="shared" si="21"/>
        <v>18.258324512000002</v>
      </c>
      <c r="AX136" s="9"/>
      <c r="AY136" s="22">
        <v>0.53451499999999996</v>
      </c>
      <c r="AZ136" s="22">
        <v>625.56899999999996</v>
      </c>
      <c r="BA136" s="22">
        <v>-1.7721600000000001E-2</v>
      </c>
      <c r="BB136" s="22">
        <v>126</v>
      </c>
      <c r="BC136" s="22">
        <v>0.53405800000000003</v>
      </c>
      <c r="BD136">
        <f t="shared" si="22"/>
        <v>17.721600000000002</v>
      </c>
      <c r="BE136">
        <f t="shared" si="23"/>
        <v>9.4724610240000011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89.051199999999994</v>
      </c>
      <c r="I137" s="22">
        <v>-1.73706E-2</v>
      </c>
      <c r="J137" s="22">
        <v>127</v>
      </c>
      <c r="K137" s="22">
        <v>1.0595699999999999</v>
      </c>
      <c r="L137">
        <f t="shared" si="12"/>
        <v>17.3706</v>
      </c>
      <c r="M137">
        <f t="shared" si="13"/>
        <v>18.421347593999997</v>
      </c>
      <c r="N137" s="9"/>
      <c r="O137" s="22">
        <v>0.539551</v>
      </c>
      <c r="P137" s="22">
        <v>203.96799999999999</v>
      </c>
      <c r="Q137" s="22">
        <v>-1.7800900000000001E-2</v>
      </c>
      <c r="R137" s="22">
        <v>127</v>
      </c>
      <c r="S137" s="22">
        <v>0.53884900000000002</v>
      </c>
      <c r="T137">
        <f t="shared" si="14"/>
        <v>17.800900000000002</v>
      </c>
      <c r="U137">
        <f t="shared" si="15"/>
        <v>9.6044933959000005</v>
      </c>
      <c r="X137" s="9"/>
      <c r="Y137" s="22">
        <v>1.0604899999999999</v>
      </c>
      <c r="Z137" s="22">
        <v>306.95499999999998</v>
      </c>
      <c r="AA137" s="22">
        <v>-1.7239399999999998E-2</v>
      </c>
      <c r="AB137" s="22">
        <v>127</v>
      </c>
      <c r="AC137" s="22">
        <v>1.0595699999999999</v>
      </c>
      <c r="AD137">
        <f t="shared" si="16"/>
        <v>17.2394</v>
      </c>
      <c r="AE137">
        <f t="shared" si="17"/>
        <v>18.282211305999997</v>
      </c>
      <c r="AF137" s="9"/>
      <c r="AG137" s="22">
        <v>0.539551</v>
      </c>
      <c r="AH137" s="22">
        <v>367.53399999999999</v>
      </c>
      <c r="AI137" s="22">
        <v>-1.7715499999999999E-2</v>
      </c>
      <c r="AJ137" s="22">
        <v>127</v>
      </c>
      <c r="AK137" s="22">
        <v>0.53869599999999995</v>
      </c>
      <c r="AL137">
        <f t="shared" si="18"/>
        <v>17.715499999999999</v>
      </c>
      <c r="AM137">
        <f t="shared" si="19"/>
        <v>9.5584157404999992</v>
      </c>
      <c r="AP137" s="9"/>
      <c r="AQ137" s="22">
        <v>1.0604899999999999</v>
      </c>
      <c r="AR137" s="22">
        <v>503.31200000000001</v>
      </c>
      <c r="AS137" s="22">
        <v>-1.7156999999999999E-2</v>
      </c>
      <c r="AT137" s="22">
        <v>127</v>
      </c>
      <c r="AU137" s="22">
        <v>1.0595699999999999</v>
      </c>
      <c r="AV137">
        <f t="shared" si="20"/>
        <v>17.157</v>
      </c>
      <c r="AW137">
        <f t="shared" si="21"/>
        <v>18.194826929999998</v>
      </c>
      <c r="AX137" s="9"/>
      <c r="AY137" s="22">
        <v>0.539551</v>
      </c>
      <c r="AZ137" s="22">
        <v>625.66899999999998</v>
      </c>
      <c r="BA137" s="22">
        <v>-1.77246E-2</v>
      </c>
      <c r="BB137" s="22">
        <v>127</v>
      </c>
      <c r="BC137" s="22">
        <v>0.539246</v>
      </c>
      <c r="BD137">
        <f t="shared" si="22"/>
        <v>17.724599999999999</v>
      </c>
      <c r="BE137">
        <f t="shared" si="23"/>
        <v>9.5633256545999998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89.151899999999998</v>
      </c>
      <c r="I138" s="22">
        <v>-1.73706E-2</v>
      </c>
      <c r="J138" s="22">
        <v>128</v>
      </c>
      <c r="K138" s="22">
        <v>1.0543800000000001</v>
      </c>
      <c r="L138">
        <f t="shared" si="12"/>
        <v>17.3706</v>
      </c>
      <c r="M138">
        <f t="shared" si="13"/>
        <v>18.333799769999999</v>
      </c>
      <c r="N138" s="9"/>
      <c r="O138" s="22">
        <v>0.54458600000000001</v>
      </c>
      <c r="P138" s="22">
        <v>204.06899999999999</v>
      </c>
      <c r="Q138" s="22">
        <v>-1.77948E-2</v>
      </c>
      <c r="R138" s="22">
        <v>128</v>
      </c>
      <c r="S138" s="22">
        <v>0.54382299999999995</v>
      </c>
      <c r="T138">
        <f t="shared" si="14"/>
        <v>17.794799999999999</v>
      </c>
      <c r="U138">
        <f t="shared" si="15"/>
        <v>9.6907989527999998</v>
      </c>
      <c r="X138" s="9"/>
      <c r="Y138" s="22">
        <v>1.05545</v>
      </c>
      <c r="Z138" s="22">
        <v>307.05599999999998</v>
      </c>
      <c r="AA138" s="22">
        <v>-1.7257700000000001E-2</v>
      </c>
      <c r="AB138" s="22">
        <v>128</v>
      </c>
      <c r="AC138" s="22">
        <v>1.0543800000000001</v>
      </c>
      <c r="AD138">
        <f t="shared" si="16"/>
        <v>17.2577</v>
      </c>
      <c r="AE138">
        <f t="shared" si="17"/>
        <v>18.214639465000001</v>
      </c>
      <c r="AF138" s="9"/>
      <c r="AG138" s="22">
        <v>0.54458600000000001</v>
      </c>
      <c r="AH138" s="22">
        <v>367.63499999999999</v>
      </c>
      <c r="AI138" s="22">
        <v>-1.77094E-2</v>
      </c>
      <c r="AJ138" s="22">
        <v>128</v>
      </c>
      <c r="AK138" s="22">
        <v>0.54382299999999995</v>
      </c>
      <c r="AL138">
        <f t="shared" si="18"/>
        <v>17.709399999999999</v>
      </c>
      <c r="AM138">
        <f t="shared" si="19"/>
        <v>9.6442913083999997</v>
      </c>
      <c r="AP138" s="9"/>
      <c r="AQ138" s="22">
        <v>1.05545</v>
      </c>
      <c r="AR138" s="22">
        <v>503.41300000000001</v>
      </c>
      <c r="AS138" s="22">
        <v>-1.71509E-2</v>
      </c>
      <c r="AT138" s="22">
        <v>128</v>
      </c>
      <c r="AU138" s="22">
        <v>1.0546899999999999</v>
      </c>
      <c r="AV138">
        <f t="shared" si="20"/>
        <v>17.1509</v>
      </c>
      <c r="AW138">
        <f t="shared" si="21"/>
        <v>18.101917405000002</v>
      </c>
      <c r="AX138" s="9"/>
      <c r="AY138" s="22">
        <v>0.54458600000000001</v>
      </c>
      <c r="AZ138" s="22">
        <v>625.77</v>
      </c>
      <c r="BA138" s="22">
        <v>-1.7715499999999999E-2</v>
      </c>
      <c r="BB138" s="22">
        <v>128</v>
      </c>
      <c r="BC138" s="22">
        <v>0.54394500000000001</v>
      </c>
      <c r="BD138">
        <f t="shared" si="22"/>
        <v>17.715499999999999</v>
      </c>
      <c r="BE138">
        <f t="shared" si="23"/>
        <v>9.6476132830000001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89.252600000000001</v>
      </c>
      <c r="I139" s="22">
        <v>-1.7373699999999999E-2</v>
      </c>
      <c r="J139" s="22">
        <v>129</v>
      </c>
      <c r="K139" s="22">
        <v>1.0495000000000001</v>
      </c>
      <c r="L139">
        <f t="shared" si="12"/>
        <v>17.373699999999999</v>
      </c>
      <c r="M139">
        <f t="shared" si="13"/>
        <v>18.249681953999996</v>
      </c>
      <c r="N139" s="9"/>
      <c r="O139" s="22">
        <v>0.54962200000000005</v>
      </c>
      <c r="P139" s="22">
        <v>204.17</v>
      </c>
      <c r="Q139" s="22">
        <v>-1.7800900000000001E-2</v>
      </c>
      <c r="R139" s="22">
        <v>129</v>
      </c>
      <c r="S139" s="22">
        <v>0.54916399999999999</v>
      </c>
      <c r="T139">
        <f t="shared" si="14"/>
        <v>17.800900000000002</v>
      </c>
      <c r="U139">
        <f t="shared" si="15"/>
        <v>9.7837662598000019</v>
      </c>
      <c r="X139" s="9"/>
      <c r="Y139" s="22">
        <v>1.0504199999999999</v>
      </c>
      <c r="Z139" s="22">
        <v>307.15600000000001</v>
      </c>
      <c r="AA139" s="22">
        <v>-1.7257700000000001E-2</v>
      </c>
      <c r="AB139" s="22">
        <v>129</v>
      </c>
      <c r="AC139" s="22">
        <v>1.0485800000000001</v>
      </c>
      <c r="AD139">
        <f t="shared" si="16"/>
        <v>17.2577</v>
      </c>
      <c r="AE139">
        <f t="shared" si="17"/>
        <v>18.127833233999997</v>
      </c>
      <c r="AF139" s="9"/>
      <c r="AG139" s="22">
        <v>0.54962200000000005</v>
      </c>
      <c r="AH139" s="22">
        <v>367.73500000000001</v>
      </c>
      <c r="AI139" s="22">
        <v>-1.7715499999999999E-2</v>
      </c>
      <c r="AJ139" s="22">
        <v>129</v>
      </c>
      <c r="AK139" s="22">
        <v>0.54898100000000005</v>
      </c>
      <c r="AL139">
        <f t="shared" si="18"/>
        <v>17.715499999999999</v>
      </c>
      <c r="AM139">
        <f t="shared" si="19"/>
        <v>9.7368285409999995</v>
      </c>
      <c r="AP139" s="9"/>
      <c r="AQ139" s="22">
        <v>1.0504199999999999</v>
      </c>
      <c r="AR139" s="22">
        <v>503.51400000000001</v>
      </c>
      <c r="AS139" s="22">
        <v>-1.7172199999999999E-2</v>
      </c>
      <c r="AT139" s="22">
        <v>129</v>
      </c>
      <c r="AU139" s="22">
        <v>1.0491900000000001</v>
      </c>
      <c r="AV139">
        <f t="shared" si="20"/>
        <v>17.1722</v>
      </c>
      <c r="AW139">
        <f t="shared" si="21"/>
        <v>18.038022324</v>
      </c>
      <c r="AX139" s="9"/>
      <c r="AY139" s="22">
        <v>0.54962200000000005</v>
      </c>
      <c r="AZ139" s="22">
        <v>625.87099999999998</v>
      </c>
      <c r="BA139" s="22">
        <v>-1.7715499999999999E-2</v>
      </c>
      <c r="BB139" s="22">
        <v>129</v>
      </c>
      <c r="BC139" s="22">
        <v>0.54904200000000003</v>
      </c>
      <c r="BD139">
        <f t="shared" si="22"/>
        <v>17.715499999999999</v>
      </c>
      <c r="BE139">
        <f t="shared" si="23"/>
        <v>9.7368285409999995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89.353300000000004</v>
      </c>
      <c r="I140" s="22">
        <v>-1.73828E-2</v>
      </c>
      <c r="J140" s="22">
        <v>130</v>
      </c>
      <c r="K140" s="22">
        <v>1.0443100000000001</v>
      </c>
      <c r="L140">
        <f t="shared" ref="L140:L203" si="24">-I140/$F$2*1000</f>
        <v>17.3828</v>
      </c>
      <c r="M140">
        <f t="shared" ref="M140:M203" si="25">L140*G140</f>
        <v>18.171631464000001</v>
      </c>
      <c r="N140" s="9"/>
      <c r="O140" s="22">
        <v>0.55465699999999996</v>
      </c>
      <c r="P140" s="22">
        <v>204.27</v>
      </c>
      <c r="Q140" s="22">
        <v>-1.7807E-2</v>
      </c>
      <c r="R140" s="22">
        <v>130</v>
      </c>
      <c r="S140" s="22">
        <v>0.55355799999999999</v>
      </c>
      <c r="T140">
        <f t="shared" ref="T140:T203" si="26">-Q140/$F$2*1000</f>
        <v>17.806999999999999</v>
      </c>
      <c r="U140">
        <f t="shared" ref="U140:U203" si="27">T140*O140</f>
        <v>9.8767771989999993</v>
      </c>
      <c r="X140" s="9"/>
      <c r="Y140" s="22">
        <v>1.04538</v>
      </c>
      <c r="Z140" s="22">
        <v>307.25700000000001</v>
      </c>
      <c r="AA140" s="22">
        <v>-1.72607E-2</v>
      </c>
      <c r="AB140" s="22">
        <v>130</v>
      </c>
      <c r="AC140" s="22">
        <v>1.0437000000000001</v>
      </c>
      <c r="AD140">
        <f t="shared" ref="AD140:AD203" si="28">-AA140/$F$2*1000</f>
        <v>17.2607</v>
      </c>
      <c r="AE140">
        <f t="shared" ref="AE140:AE203" si="29">AD140*Y140</f>
        <v>18.043990565999998</v>
      </c>
      <c r="AF140" s="9"/>
      <c r="AG140" s="22">
        <v>0.55465699999999996</v>
      </c>
      <c r="AH140" s="22">
        <v>367.83600000000001</v>
      </c>
      <c r="AI140" s="22">
        <v>-1.77094E-2</v>
      </c>
      <c r="AJ140" s="22">
        <v>130</v>
      </c>
      <c r="AK140" s="22">
        <v>0.55401599999999995</v>
      </c>
      <c r="AL140">
        <f t="shared" ref="AL140:AL203" si="30">-AI140/$F$2*1000</f>
        <v>17.709399999999999</v>
      </c>
      <c r="AM140">
        <f t="shared" ref="AM140:AM203" si="31">AL140*AG140</f>
        <v>9.8226426757999992</v>
      </c>
      <c r="AP140" s="9"/>
      <c r="AQ140" s="22">
        <v>1.04538</v>
      </c>
      <c r="AR140" s="22">
        <v>503.61399999999998</v>
      </c>
      <c r="AS140" s="22">
        <v>-1.7172199999999999E-2</v>
      </c>
      <c r="AT140" s="22">
        <v>130</v>
      </c>
      <c r="AU140" s="22">
        <v>1.0446200000000001</v>
      </c>
      <c r="AV140">
        <f t="shared" ref="AV140:AV203" si="32">-AS140/$F$2*1000</f>
        <v>17.1722</v>
      </c>
      <c r="AW140">
        <f t="shared" ref="AW140:AW203" si="33">AV140*AQ140</f>
        <v>17.951474435999998</v>
      </c>
      <c r="AX140" s="9"/>
      <c r="AY140" s="22">
        <v>0.55465699999999996</v>
      </c>
      <c r="AZ140" s="22">
        <v>625.971</v>
      </c>
      <c r="BA140" s="22">
        <v>-1.7715499999999999E-2</v>
      </c>
      <c r="BB140" s="22">
        <v>130</v>
      </c>
      <c r="BC140" s="22">
        <v>0.55374100000000004</v>
      </c>
      <c r="BD140">
        <f t="shared" ref="BD140:BD203" si="34">-BA140/$F$2*1000</f>
        <v>17.715499999999999</v>
      </c>
      <c r="BE140">
        <f t="shared" ref="BE140:BE203" si="35">BD140*AY140</f>
        <v>9.8260260834999986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89.453999999999994</v>
      </c>
      <c r="I141" s="22">
        <v>-1.7388899999999999E-2</v>
      </c>
      <c r="J141" s="22">
        <v>131</v>
      </c>
      <c r="K141" s="22">
        <v>1.03973</v>
      </c>
      <c r="L141">
        <f t="shared" si="24"/>
        <v>17.3889</v>
      </c>
      <c r="M141">
        <f t="shared" si="25"/>
        <v>18.090368225999999</v>
      </c>
      <c r="N141" s="9"/>
      <c r="O141" s="22">
        <v>0.55969199999999997</v>
      </c>
      <c r="P141" s="22">
        <v>204.37100000000001</v>
      </c>
      <c r="Q141" s="22">
        <v>-1.7800900000000001E-2</v>
      </c>
      <c r="R141" s="22">
        <v>131</v>
      </c>
      <c r="S141" s="22">
        <v>0.56161499999999998</v>
      </c>
      <c r="T141">
        <f t="shared" si="26"/>
        <v>17.800900000000002</v>
      </c>
      <c r="U141">
        <f t="shared" si="27"/>
        <v>9.9630213228000013</v>
      </c>
      <c r="X141" s="9"/>
      <c r="Y141" s="22">
        <v>1.04034</v>
      </c>
      <c r="Z141" s="22">
        <v>307.358</v>
      </c>
      <c r="AA141" s="22">
        <v>-1.7272900000000001E-2</v>
      </c>
      <c r="AB141" s="22">
        <v>131</v>
      </c>
      <c r="AC141" s="22">
        <v>1.03973</v>
      </c>
      <c r="AD141">
        <f t="shared" si="28"/>
        <v>17.2729</v>
      </c>
      <c r="AE141">
        <f t="shared" si="29"/>
        <v>17.969688785999999</v>
      </c>
      <c r="AF141" s="9"/>
      <c r="AG141" s="22">
        <v>0.55969199999999997</v>
      </c>
      <c r="AH141" s="22">
        <v>367.93700000000001</v>
      </c>
      <c r="AI141" s="22">
        <v>-1.7706300000000001E-2</v>
      </c>
      <c r="AJ141" s="22">
        <v>131</v>
      </c>
      <c r="AK141" s="22">
        <v>0.55898999999999999</v>
      </c>
      <c r="AL141">
        <f t="shared" si="30"/>
        <v>17.706300000000002</v>
      </c>
      <c r="AM141">
        <f t="shared" si="31"/>
        <v>9.9100744596000006</v>
      </c>
      <c r="AP141" s="9"/>
      <c r="AQ141" s="22">
        <v>1.04034</v>
      </c>
      <c r="AR141" s="22">
        <v>503.71499999999997</v>
      </c>
      <c r="AS141" s="22">
        <v>-1.7175300000000001E-2</v>
      </c>
      <c r="AT141" s="22">
        <v>131</v>
      </c>
      <c r="AU141" s="22">
        <v>1.0388200000000001</v>
      </c>
      <c r="AV141">
        <f t="shared" si="32"/>
        <v>17.1753</v>
      </c>
      <c r="AW141">
        <f t="shared" si="33"/>
        <v>17.868151602000001</v>
      </c>
      <c r="AX141" s="9"/>
      <c r="AY141" s="22">
        <v>0.55969199999999997</v>
      </c>
      <c r="AZ141" s="22">
        <v>626.072</v>
      </c>
      <c r="BA141" s="22">
        <v>-1.77124E-2</v>
      </c>
      <c r="BB141" s="22">
        <v>131</v>
      </c>
      <c r="BC141" s="22">
        <v>0.55917399999999995</v>
      </c>
      <c r="BD141">
        <f t="shared" si="34"/>
        <v>17.712399999999999</v>
      </c>
      <c r="BE141">
        <f t="shared" si="35"/>
        <v>9.9134885807999993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89.554699999999997</v>
      </c>
      <c r="I142" s="22">
        <v>-1.73981E-2</v>
      </c>
      <c r="J142" s="22">
        <v>132</v>
      </c>
      <c r="K142" s="22">
        <v>1.03546</v>
      </c>
      <c r="L142">
        <f t="shared" si="24"/>
        <v>17.398099999999999</v>
      </c>
      <c r="M142">
        <f t="shared" si="25"/>
        <v>18.012426910999999</v>
      </c>
      <c r="N142" s="9"/>
      <c r="O142" s="22">
        <v>0.56472800000000001</v>
      </c>
      <c r="P142" s="22">
        <v>204.47200000000001</v>
      </c>
      <c r="Q142" s="22">
        <v>-1.77795E-2</v>
      </c>
      <c r="R142" s="22">
        <v>132</v>
      </c>
      <c r="S142" s="22">
        <v>0.56390399999999996</v>
      </c>
      <c r="T142">
        <f t="shared" si="26"/>
        <v>17.779499999999999</v>
      </c>
      <c r="U142">
        <f t="shared" si="27"/>
        <v>10.040581476</v>
      </c>
      <c r="X142" s="9"/>
      <c r="Y142" s="22">
        <v>1.03531</v>
      </c>
      <c r="Z142" s="22">
        <v>307.45800000000003</v>
      </c>
      <c r="AA142" s="22">
        <v>-1.7276E-2</v>
      </c>
      <c r="AB142" s="22">
        <v>132</v>
      </c>
      <c r="AC142" s="22">
        <v>1.0339400000000001</v>
      </c>
      <c r="AD142">
        <f t="shared" si="28"/>
        <v>17.276</v>
      </c>
      <c r="AE142">
        <f t="shared" si="29"/>
        <v>17.886015560000001</v>
      </c>
      <c r="AF142" s="9"/>
      <c r="AG142" s="22">
        <v>0.56472800000000001</v>
      </c>
      <c r="AH142" s="22">
        <v>368.03699999999998</v>
      </c>
      <c r="AI142" s="22">
        <v>-1.76971E-2</v>
      </c>
      <c r="AJ142" s="22">
        <v>132</v>
      </c>
      <c r="AK142" s="22">
        <v>0.56387299999999996</v>
      </c>
      <c r="AL142">
        <f t="shared" si="30"/>
        <v>17.697099999999999</v>
      </c>
      <c r="AM142">
        <f t="shared" si="31"/>
        <v>9.9940478887999991</v>
      </c>
      <c r="AP142" s="9"/>
      <c r="AQ142" s="22">
        <v>1.03531</v>
      </c>
      <c r="AR142" s="22">
        <v>503.81599999999997</v>
      </c>
      <c r="AS142" s="22">
        <v>-1.7163100000000001E-2</v>
      </c>
      <c r="AT142" s="22">
        <v>132</v>
      </c>
      <c r="AU142" s="22">
        <v>1.0345500000000001</v>
      </c>
      <c r="AV142">
        <f t="shared" si="32"/>
        <v>17.1631</v>
      </c>
      <c r="AW142">
        <f t="shared" si="33"/>
        <v>17.769129060999997</v>
      </c>
      <c r="AX142" s="9"/>
      <c r="AY142" s="22">
        <v>0.56472800000000001</v>
      </c>
      <c r="AZ142" s="22">
        <v>626.173</v>
      </c>
      <c r="BA142" s="22">
        <v>-1.7700199999999999E-2</v>
      </c>
      <c r="BB142" s="22">
        <v>132</v>
      </c>
      <c r="BC142" s="22">
        <v>0.56393400000000005</v>
      </c>
      <c r="BD142">
        <f t="shared" si="34"/>
        <v>17.700199999999999</v>
      </c>
      <c r="BE142">
        <f t="shared" si="35"/>
        <v>9.9957985455999996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89.6554</v>
      </c>
      <c r="I143" s="22">
        <v>-1.7388899999999999E-2</v>
      </c>
      <c r="J143" s="22">
        <v>133</v>
      </c>
      <c r="K143" s="22">
        <v>1.0293600000000001</v>
      </c>
      <c r="L143">
        <f t="shared" si="24"/>
        <v>17.3889</v>
      </c>
      <c r="M143">
        <f t="shared" si="25"/>
        <v>17.915262002999999</v>
      </c>
      <c r="N143" s="9"/>
      <c r="O143" s="22">
        <v>0.56976300000000002</v>
      </c>
      <c r="P143" s="22">
        <v>204.572</v>
      </c>
      <c r="Q143" s="22">
        <v>-1.7776500000000001E-2</v>
      </c>
      <c r="R143" s="22">
        <v>133</v>
      </c>
      <c r="S143" s="22">
        <v>0.56927499999999998</v>
      </c>
      <c r="T143">
        <f t="shared" si="26"/>
        <v>17.776500000000002</v>
      </c>
      <c r="U143">
        <f t="shared" si="27"/>
        <v>10.128391969500001</v>
      </c>
      <c r="X143" s="9"/>
      <c r="Y143" s="22">
        <v>1.03027</v>
      </c>
      <c r="Z143" s="22">
        <v>307.55900000000003</v>
      </c>
      <c r="AA143" s="22">
        <v>-1.7291299999999999E-2</v>
      </c>
      <c r="AB143" s="22">
        <v>133</v>
      </c>
      <c r="AC143" s="22">
        <v>1.02905</v>
      </c>
      <c r="AD143">
        <f t="shared" si="28"/>
        <v>17.2913</v>
      </c>
      <c r="AE143">
        <f t="shared" si="29"/>
        <v>17.814707650999999</v>
      </c>
      <c r="AF143" s="9"/>
      <c r="AG143" s="22">
        <v>0.56976300000000002</v>
      </c>
      <c r="AH143" s="22">
        <v>368.13799999999998</v>
      </c>
      <c r="AI143" s="22">
        <v>-1.7687999999999999E-2</v>
      </c>
      <c r="AJ143" s="22">
        <v>133</v>
      </c>
      <c r="AK143" s="22">
        <v>0.56899999999999995</v>
      </c>
      <c r="AL143">
        <f t="shared" si="30"/>
        <v>17.687999999999999</v>
      </c>
      <c r="AM143">
        <f t="shared" si="31"/>
        <v>10.077967943999999</v>
      </c>
      <c r="AP143" s="9"/>
      <c r="AQ143" s="22">
        <v>1.03027</v>
      </c>
      <c r="AR143" s="22">
        <v>503.916</v>
      </c>
      <c r="AS143" s="22">
        <v>-1.7196699999999999E-2</v>
      </c>
      <c r="AT143" s="22">
        <v>133</v>
      </c>
      <c r="AU143" s="22">
        <v>1.0299700000000001</v>
      </c>
      <c r="AV143">
        <f t="shared" si="32"/>
        <v>17.1967</v>
      </c>
      <c r="AW143">
        <f t="shared" si="33"/>
        <v>17.717244108999999</v>
      </c>
      <c r="AX143" s="9"/>
      <c r="AY143" s="22">
        <v>0.56976300000000002</v>
      </c>
      <c r="AZ143" s="22">
        <v>626.274</v>
      </c>
      <c r="BA143" s="22">
        <v>-1.76819E-2</v>
      </c>
      <c r="BB143" s="22">
        <v>133</v>
      </c>
      <c r="BC143" s="22">
        <v>0.56875600000000004</v>
      </c>
      <c r="BD143">
        <f t="shared" si="34"/>
        <v>17.681899999999999</v>
      </c>
      <c r="BE143">
        <f t="shared" si="35"/>
        <v>10.0744923897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89.756100000000004</v>
      </c>
      <c r="I144" s="22">
        <v>-1.7395000000000001E-2</v>
      </c>
      <c r="J144" s="22">
        <v>134</v>
      </c>
      <c r="K144" s="22">
        <v>1.02417</v>
      </c>
      <c r="L144">
        <f t="shared" si="24"/>
        <v>17.395</v>
      </c>
      <c r="M144">
        <f t="shared" si="25"/>
        <v>17.834049799999999</v>
      </c>
      <c r="N144" s="9"/>
      <c r="O144" s="22">
        <v>0.57479899999999995</v>
      </c>
      <c r="P144" s="22">
        <v>204.673</v>
      </c>
      <c r="Q144" s="22">
        <v>-1.7770399999999999E-2</v>
      </c>
      <c r="R144" s="22">
        <v>134</v>
      </c>
      <c r="S144" s="22">
        <v>0.58816500000000005</v>
      </c>
      <c r="T144">
        <f t="shared" si="26"/>
        <v>17.770399999999999</v>
      </c>
      <c r="U144">
        <f t="shared" si="27"/>
        <v>10.214408149599999</v>
      </c>
      <c r="X144" s="9"/>
      <c r="Y144" s="22">
        <v>1.0252399999999999</v>
      </c>
      <c r="Z144" s="22">
        <v>307.66000000000003</v>
      </c>
      <c r="AA144" s="22">
        <v>-1.73004E-2</v>
      </c>
      <c r="AB144" s="22">
        <v>134</v>
      </c>
      <c r="AC144" s="22">
        <v>1.0321</v>
      </c>
      <c r="AD144">
        <f t="shared" si="28"/>
        <v>17.3004</v>
      </c>
      <c r="AE144">
        <f t="shared" si="29"/>
        <v>17.737062095999999</v>
      </c>
      <c r="AF144" s="9"/>
      <c r="AG144" s="22">
        <v>0.57479899999999995</v>
      </c>
      <c r="AH144" s="22">
        <v>368.23899999999998</v>
      </c>
      <c r="AI144" s="22">
        <v>-1.7678800000000001E-2</v>
      </c>
      <c r="AJ144" s="22">
        <v>134</v>
      </c>
      <c r="AK144" s="22">
        <v>0.57403599999999999</v>
      </c>
      <c r="AL144">
        <f t="shared" si="30"/>
        <v>17.678800000000003</v>
      </c>
      <c r="AM144">
        <f t="shared" si="31"/>
        <v>10.161756561200001</v>
      </c>
      <c r="AP144" s="9"/>
      <c r="AQ144" s="22">
        <v>1.0252399999999999</v>
      </c>
      <c r="AR144" s="22">
        <v>504.017</v>
      </c>
      <c r="AS144" s="22">
        <v>-1.7199699999999998E-2</v>
      </c>
      <c r="AT144" s="22">
        <v>134</v>
      </c>
      <c r="AU144" s="22">
        <v>1.02417</v>
      </c>
      <c r="AV144">
        <f t="shared" si="32"/>
        <v>17.1997</v>
      </c>
      <c r="AW144">
        <f t="shared" si="33"/>
        <v>17.633820428</v>
      </c>
      <c r="AX144" s="9"/>
      <c r="AY144" s="22">
        <v>0.57479899999999995</v>
      </c>
      <c r="AZ144" s="22">
        <v>626.37400000000002</v>
      </c>
      <c r="BA144" s="22">
        <v>-1.7687999999999999E-2</v>
      </c>
      <c r="BB144" s="22">
        <v>134</v>
      </c>
      <c r="BC144" s="22">
        <v>0.57412700000000005</v>
      </c>
      <c r="BD144">
        <f t="shared" si="34"/>
        <v>17.687999999999999</v>
      </c>
      <c r="BE144">
        <f t="shared" si="35"/>
        <v>10.167044711999999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89.856899999999996</v>
      </c>
      <c r="I145" s="22">
        <v>-1.7416399999999999E-2</v>
      </c>
      <c r="J145" s="22">
        <v>135</v>
      </c>
      <c r="K145" s="22">
        <v>1.01959</v>
      </c>
      <c r="L145">
        <f t="shared" si="24"/>
        <v>17.416399999999999</v>
      </c>
      <c r="M145">
        <f t="shared" si="25"/>
        <v>17.768211279999999</v>
      </c>
      <c r="N145" s="9"/>
      <c r="O145" s="22">
        <v>0.57983399999999996</v>
      </c>
      <c r="P145" s="22">
        <v>204.774</v>
      </c>
      <c r="Q145" s="22">
        <v>-1.7776500000000001E-2</v>
      </c>
      <c r="R145" s="22">
        <v>135</v>
      </c>
      <c r="S145" s="22">
        <v>0.52331499999999997</v>
      </c>
      <c r="T145">
        <f t="shared" si="26"/>
        <v>17.776500000000002</v>
      </c>
      <c r="U145">
        <f t="shared" si="27"/>
        <v>10.307419101000001</v>
      </c>
      <c r="X145" s="9"/>
      <c r="Y145" s="22">
        <v>1.0202</v>
      </c>
      <c r="Z145" s="22">
        <v>307.76100000000002</v>
      </c>
      <c r="AA145" s="22">
        <v>-1.7303499999999999E-2</v>
      </c>
      <c r="AB145" s="22">
        <v>135</v>
      </c>
      <c r="AC145" s="22">
        <v>1.01379</v>
      </c>
      <c r="AD145">
        <f t="shared" si="28"/>
        <v>17.3035</v>
      </c>
      <c r="AE145">
        <f t="shared" si="29"/>
        <v>17.653030699999999</v>
      </c>
      <c r="AF145" s="9"/>
      <c r="AG145" s="22">
        <v>0.57983399999999996</v>
      </c>
      <c r="AH145" s="22">
        <v>368.339</v>
      </c>
      <c r="AI145" s="22">
        <v>-1.76727E-2</v>
      </c>
      <c r="AJ145" s="22">
        <v>135</v>
      </c>
      <c r="AK145" s="22">
        <v>0.57943699999999998</v>
      </c>
      <c r="AL145">
        <f t="shared" si="30"/>
        <v>17.672699999999999</v>
      </c>
      <c r="AM145">
        <f t="shared" si="31"/>
        <v>10.247232331799999</v>
      </c>
      <c r="AP145" s="9"/>
      <c r="AQ145" s="22">
        <v>1.0202</v>
      </c>
      <c r="AR145" s="22">
        <v>504.11799999999999</v>
      </c>
      <c r="AS145" s="22">
        <v>-1.7224099999999999E-2</v>
      </c>
      <c r="AT145" s="22">
        <v>135</v>
      </c>
      <c r="AU145" s="22">
        <v>1.01929</v>
      </c>
      <c r="AV145">
        <f t="shared" si="32"/>
        <v>17.2241</v>
      </c>
      <c r="AW145">
        <f t="shared" si="33"/>
        <v>17.572026820000001</v>
      </c>
      <c r="AX145" s="9"/>
      <c r="AY145" s="22">
        <v>0.57983399999999996</v>
      </c>
      <c r="AZ145" s="22">
        <v>626.47500000000002</v>
      </c>
      <c r="BA145" s="22">
        <v>-1.76849E-2</v>
      </c>
      <c r="BB145" s="22">
        <v>135</v>
      </c>
      <c r="BC145" s="22">
        <v>0.57910200000000001</v>
      </c>
      <c r="BD145">
        <f t="shared" si="34"/>
        <v>17.684899999999999</v>
      </c>
      <c r="BE145">
        <f t="shared" si="35"/>
        <v>10.254306306599998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89.957599999999999</v>
      </c>
      <c r="I146" s="22">
        <v>-1.7404200000000002E-2</v>
      </c>
      <c r="J146" s="22">
        <v>136</v>
      </c>
      <c r="K146" s="22">
        <v>1.01715</v>
      </c>
      <c r="L146">
        <f t="shared" si="24"/>
        <v>17.404200000000003</v>
      </c>
      <c r="M146">
        <f t="shared" si="25"/>
        <v>17.668221714000001</v>
      </c>
      <c r="N146" s="9"/>
      <c r="O146" s="22">
        <v>0.58486899999999997</v>
      </c>
      <c r="P146" s="22">
        <v>204.875</v>
      </c>
      <c r="Q146" s="22">
        <v>-1.7773400000000002E-2</v>
      </c>
      <c r="R146" s="22">
        <v>136</v>
      </c>
      <c r="S146" s="22">
        <v>0.58401499999999995</v>
      </c>
      <c r="T146">
        <f t="shared" si="26"/>
        <v>17.773400000000002</v>
      </c>
      <c r="U146">
        <f t="shared" si="27"/>
        <v>10.395110684600001</v>
      </c>
      <c r="X146" s="9"/>
      <c r="Y146" s="22">
        <v>1.0151699999999999</v>
      </c>
      <c r="Z146" s="22">
        <v>307.86099999999999</v>
      </c>
      <c r="AA146" s="22">
        <v>-1.7312600000000001E-2</v>
      </c>
      <c r="AB146" s="22">
        <v>136</v>
      </c>
      <c r="AC146" s="22">
        <v>1.0144</v>
      </c>
      <c r="AD146">
        <f t="shared" si="28"/>
        <v>17.3126</v>
      </c>
      <c r="AE146">
        <f t="shared" si="29"/>
        <v>17.575232141999997</v>
      </c>
      <c r="AF146" s="9"/>
      <c r="AG146" s="22">
        <v>0.58486899999999997</v>
      </c>
      <c r="AH146" s="22">
        <v>368.44</v>
      </c>
      <c r="AI146" s="22">
        <v>-1.7666600000000001E-2</v>
      </c>
      <c r="AJ146" s="22">
        <v>136</v>
      </c>
      <c r="AK146" s="22">
        <v>0.58416699999999999</v>
      </c>
      <c r="AL146">
        <f t="shared" si="30"/>
        <v>17.666600000000003</v>
      </c>
      <c r="AM146">
        <f t="shared" si="31"/>
        <v>10.332646675400001</v>
      </c>
      <c r="AP146" s="9"/>
      <c r="AQ146" s="22">
        <v>1.0151699999999999</v>
      </c>
      <c r="AR146" s="22">
        <v>504.21899999999999</v>
      </c>
      <c r="AS146" s="22">
        <v>-1.7141699999999999E-2</v>
      </c>
      <c r="AT146" s="22">
        <v>136</v>
      </c>
      <c r="AU146" s="22">
        <v>1.01471</v>
      </c>
      <c r="AV146">
        <f t="shared" si="32"/>
        <v>17.1417</v>
      </c>
      <c r="AW146">
        <f t="shared" si="33"/>
        <v>17.401739588999998</v>
      </c>
      <c r="AX146" s="9"/>
      <c r="AY146" s="22">
        <v>0.58486899999999997</v>
      </c>
      <c r="AZ146" s="22">
        <v>626.57600000000002</v>
      </c>
      <c r="BA146" s="22">
        <v>-1.7694100000000001E-2</v>
      </c>
      <c r="BB146" s="22">
        <v>136</v>
      </c>
      <c r="BC146" s="22">
        <v>0.58410600000000001</v>
      </c>
      <c r="BD146">
        <f t="shared" si="34"/>
        <v>17.694100000000002</v>
      </c>
      <c r="BE146">
        <f t="shared" si="35"/>
        <v>10.348730572900001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90.058300000000003</v>
      </c>
      <c r="I147" s="22">
        <v>-1.74133E-2</v>
      </c>
      <c r="J147" s="22">
        <v>137</v>
      </c>
      <c r="K147" s="22">
        <v>1.00891</v>
      </c>
      <c r="L147">
        <f t="shared" si="24"/>
        <v>17.4133</v>
      </c>
      <c r="M147">
        <f t="shared" si="25"/>
        <v>17.589696729</v>
      </c>
      <c r="N147" s="9"/>
      <c r="O147" s="22">
        <v>0.58990500000000001</v>
      </c>
      <c r="P147" s="22">
        <v>204.97499999999999</v>
      </c>
      <c r="Q147" s="22">
        <v>-1.77673E-2</v>
      </c>
      <c r="R147" s="22">
        <v>137</v>
      </c>
      <c r="S147" s="22">
        <v>0.55160500000000001</v>
      </c>
      <c r="T147">
        <f t="shared" si="26"/>
        <v>17.767299999999999</v>
      </c>
      <c r="U147">
        <f t="shared" si="27"/>
        <v>10.4810191065</v>
      </c>
      <c r="X147" s="9"/>
      <c r="Y147" s="22">
        <v>1.01013</v>
      </c>
      <c r="Z147" s="22">
        <v>307.96199999999999</v>
      </c>
      <c r="AA147" s="22">
        <v>-1.7309600000000001E-2</v>
      </c>
      <c r="AB147" s="22">
        <v>137</v>
      </c>
      <c r="AC147" s="22">
        <v>1.00891</v>
      </c>
      <c r="AD147">
        <f t="shared" si="28"/>
        <v>17.3096</v>
      </c>
      <c r="AE147">
        <f t="shared" si="29"/>
        <v>17.484946248</v>
      </c>
      <c r="AF147" s="9"/>
      <c r="AG147" s="22">
        <v>0.58990500000000001</v>
      </c>
      <c r="AH147" s="22">
        <v>368.541</v>
      </c>
      <c r="AI147" s="22">
        <v>-1.7663600000000002E-2</v>
      </c>
      <c r="AJ147" s="22">
        <v>137</v>
      </c>
      <c r="AK147" s="22">
        <v>0.58926400000000001</v>
      </c>
      <c r="AL147">
        <f t="shared" si="30"/>
        <v>17.663600000000002</v>
      </c>
      <c r="AM147">
        <f t="shared" si="31"/>
        <v>10.419845958000002</v>
      </c>
      <c r="AP147" s="9"/>
      <c r="AQ147" s="22">
        <v>1.01013</v>
      </c>
      <c r="AR147" s="22">
        <v>504.31900000000002</v>
      </c>
      <c r="AS147" s="22">
        <v>-1.71539E-2</v>
      </c>
      <c r="AT147" s="22">
        <v>137</v>
      </c>
      <c r="AU147" s="22">
        <v>1.00922</v>
      </c>
      <c r="AV147">
        <f t="shared" si="32"/>
        <v>17.1539</v>
      </c>
      <c r="AW147">
        <f t="shared" si="33"/>
        <v>17.327669007000001</v>
      </c>
      <c r="AX147" s="9"/>
      <c r="AY147" s="22">
        <v>0.58990500000000001</v>
      </c>
      <c r="AZ147" s="22">
        <v>626.67600000000004</v>
      </c>
      <c r="BA147" s="22">
        <v>-1.76849E-2</v>
      </c>
      <c r="BB147" s="22">
        <v>137</v>
      </c>
      <c r="BC147" s="22">
        <v>0.58938599999999997</v>
      </c>
      <c r="BD147">
        <f t="shared" si="34"/>
        <v>17.684899999999999</v>
      </c>
      <c r="BE147">
        <f t="shared" si="35"/>
        <v>10.4324109345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90.159000000000006</v>
      </c>
      <c r="I148" s="22">
        <v>-1.74225E-2</v>
      </c>
      <c r="J148" s="22">
        <v>138</v>
      </c>
      <c r="K148" s="22">
        <v>1.0037199999999999</v>
      </c>
      <c r="L148">
        <f t="shared" si="24"/>
        <v>17.422499999999999</v>
      </c>
      <c r="M148">
        <f t="shared" si="25"/>
        <v>17.511354750000002</v>
      </c>
      <c r="N148" s="9"/>
      <c r="O148" s="22">
        <v>0.59494000000000002</v>
      </c>
      <c r="P148" s="22">
        <v>205.07599999999999</v>
      </c>
      <c r="Q148" s="22">
        <v>-1.7758199999999998E-2</v>
      </c>
      <c r="R148" s="22">
        <v>138</v>
      </c>
      <c r="S148" s="22">
        <v>0.51953099999999997</v>
      </c>
      <c r="T148">
        <f t="shared" si="26"/>
        <v>17.758199999999999</v>
      </c>
      <c r="U148">
        <f t="shared" si="27"/>
        <v>10.565063508</v>
      </c>
      <c r="X148" s="9"/>
      <c r="Y148" s="22">
        <v>1.0051000000000001</v>
      </c>
      <c r="Z148" s="22">
        <v>308.06299999999999</v>
      </c>
      <c r="AA148" s="22">
        <v>-1.7318699999999999E-2</v>
      </c>
      <c r="AB148" s="22">
        <v>138</v>
      </c>
      <c r="AC148" s="22">
        <v>1.0037199999999999</v>
      </c>
      <c r="AD148">
        <f t="shared" si="28"/>
        <v>17.3187</v>
      </c>
      <c r="AE148">
        <f t="shared" si="29"/>
        <v>17.407025370000003</v>
      </c>
      <c r="AF148" s="9"/>
      <c r="AG148" s="22">
        <v>0.59494000000000002</v>
      </c>
      <c r="AH148" s="22">
        <v>368.642</v>
      </c>
      <c r="AI148" s="22">
        <v>-1.7651400000000001E-2</v>
      </c>
      <c r="AJ148" s="22">
        <v>138</v>
      </c>
      <c r="AK148" s="22">
        <v>0.59436</v>
      </c>
      <c r="AL148">
        <f t="shared" si="30"/>
        <v>17.651400000000002</v>
      </c>
      <c r="AM148">
        <f t="shared" si="31"/>
        <v>10.501523916000002</v>
      </c>
      <c r="AP148" s="9"/>
      <c r="AQ148" s="22">
        <v>1.0051000000000001</v>
      </c>
      <c r="AR148" s="22">
        <v>504.42</v>
      </c>
      <c r="AS148" s="22">
        <v>-1.71906E-2</v>
      </c>
      <c r="AT148" s="22">
        <v>138</v>
      </c>
      <c r="AU148" s="22">
        <v>1.0043299999999999</v>
      </c>
      <c r="AV148">
        <f t="shared" si="32"/>
        <v>17.1906</v>
      </c>
      <c r="AW148">
        <f t="shared" si="33"/>
        <v>17.278272060000003</v>
      </c>
      <c r="AX148" s="9"/>
      <c r="AY148" s="22">
        <v>0.59494000000000002</v>
      </c>
      <c r="AZ148" s="22">
        <v>626.77700000000004</v>
      </c>
      <c r="BA148" s="22">
        <v>-1.76697E-2</v>
      </c>
      <c r="BB148" s="22">
        <v>138</v>
      </c>
      <c r="BC148" s="22">
        <v>0.594391</v>
      </c>
      <c r="BD148">
        <f t="shared" si="34"/>
        <v>17.669699999999999</v>
      </c>
      <c r="BE148">
        <f t="shared" si="35"/>
        <v>10.512411318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90.259699999999995</v>
      </c>
      <c r="I149" s="22">
        <v>-1.7416399999999999E-2</v>
      </c>
      <c r="J149" s="22">
        <v>139</v>
      </c>
      <c r="K149" s="22">
        <v>0.99945099999999998</v>
      </c>
      <c r="L149">
        <f t="shared" si="24"/>
        <v>17.416399999999999</v>
      </c>
      <c r="M149">
        <f t="shared" si="25"/>
        <v>17.417444983999999</v>
      </c>
      <c r="N149" s="9"/>
      <c r="O149" s="22">
        <v>0.59997599999999995</v>
      </c>
      <c r="P149" s="22">
        <v>205.17699999999999</v>
      </c>
      <c r="Q149" s="22">
        <v>-1.7758199999999998E-2</v>
      </c>
      <c r="R149" s="22">
        <v>139</v>
      </c>
      <c r="S149" s="22">
        <v>0.56903099999999995</v>
      </c>
      <c r="T149">
        <f t="shared" si="26"/>
        <v>17.758199999999999</v>
      </c>
      <c r="U149">
        <f t="shared" si="27"/>
        <v>10.654493803199998</v>
      </c>
      <c r="X149" s="9"/>
      <c r="Y149" s="22">
        <v>1.0000599999999999</v>
      </c>
      <c r="Z149" s="22">
        <v>308.16300000000001</v>
      </c>
      <c r="AA149" s="22">
        <v>-1.7333999999999999E-2</v>
      </c>
      <c r="AB149" s="22">
        <v>139</v>
      </c>
      <c r="AC149" s="22">
        <v>0.99945099999999998</v>
      </c>
      <c r="AD149">
        <f t="shared" si="28"/>
        <v>17.334</v>
      </c>
      <c r="AE149">
        <f t="shared" si="29"/>
        <v>17.335040039999999</v>
      </c>
      <c r="AF149" s="9"/>
      <c r="AG149" s="22">
        <v>0.59997599999999995</v>
      </c>
      <c r="AH149" s="22">
        <v>368.74200000000002</v>
      </c>
      <c r="AI149" s="22">
        <v>-1.7654400000000001E-2</v>
      </c>
      <c r="AJ149" s="22">
        <v>139</v>
      </c>
      <c r="AK149" s="22">
        <v>0.59909100000000004</v>
      </c>
      <c r="AL149">
        <f t="shared" si="30"/>
        <v>17.654399999999999</v>
      </c>
      <c r="AM149">
        <f t="shared" si="31"/>
        <v>10.592216294399998</v>
      </c>
      <c r="AP149" s="9"/>
      <c r="AQ149" s="22">
        <v>1.0000599999999999</v>
      </c>
      <c r="AR149" s="22">
        <v>504.52100000000002</v>
      </c>
      <c r="AS149" s="22">
        <v>-1.7202800000000001E-2</v>
      </c>
      <c r="AT149" s="22">
        <v>139</v>
      </c>
      <c r="AU149" s="22">
        <v>0.99945099999999998</v>
      </c>
      <c r="AV149">
        <f t="shared" si="32"/>
        <v>17.2028</v>
      </c>
      <c r="AW149">
        <f t="shared" si="33"/>
        <v>17.203832167999998</v>
      </c>
      <c r="AX149" s="9"/>
      <c r="AY149" s="22">
        <v>0.59997599999999995</v>
      </c>
      <c r="AZ149" s="22">
        <v>626.87800000000004</v>
      </c>
      <c r="BA149" s="22">
        <v>-1.76422E-2</v>
      </c>
      <c r="BB149" s="22">
        <v>139</v>
      </c>
      <c r="BC149" s="22">
        <v>0.599518</v>
      </c>
      <c r="BD149">
        <f t="shared" si="34"/>
        <v>17.642199999999999</v>
      </c>
      <c r="BE149">
        <f t="shared" si="35"/>
        <v>10.584896587199999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90.360399999999998</v>
      </c>
      <c r="I150" s="22">
        <v>-1.7416399999999999E-2</v>
      </c>
      <c r="J150" s="22">
        <v>140</v>
      </c>
      <c r="K150" s="22">
        <v>0.99426300000000001</v>
      </c>
      <c r="L150">
        <f t="shared" si="24"/>
        <v>17.416399999999999</v>
      </c>
      <c r="M150">
        <f t="shared" si="25"/>
        <v>17.329770826399997</v>
      </c>
      <c r="N150" s="9"/>
      <c r="O150" s="22">
        <v>0.60501099999999997</v>
      </c>
      <c r="P150" s="22">
        <v>205.27699999999999</v>
      </c>
      <c r="Q150" s="22">
        <v>-1.7755099999999999E-2</v>
      </c>
      <c r="R150" s="22">
        <v>140</v>
      </c>
      <c r="S150" s="22">
        <v>0.58081099999999997</v>
      </c>
      <c r="T150">
        <f t="shared" si="26"/>
        <v>17.755099999999999</v>
      </c>
      <c r="U150">
        <f t="shared" si="27"/>
        <v>10.742030806099999</v>
      </c>
      <c r="X150" s="9"/>
      <c r="Y150" s="22">
        <v>0.99502599999999997</v>
      </c>
      <c r="Z150" s="22">
        <v>308.26400000000001</v>
      </c>
      <c r="AA150" s="22">
        <v>-1.7337000000000002E-2</v>
      </c>
      <c r="AB150" s="22">
        <v>140</v>
      </c>
      <c r="AC150" s="22">
        <v>1.0061599999999999</v>
      </c>
      <c r="AD150">
        <f t="shared" si="28"/>
        <v>17.337000000000003</v>
      </c>
      <c r="AE150">
        <f t="shared" si="29"/>
        <v>17.250765762000004</v>
      </c>
      <c r="AF150" s="9"/>
      <c r="AG150" s="22">
        <v>0.60501099999999997</v>
      </c>
      <c r="AH150" s="22">
        <v>368.84300000000002</v>
      </c>
      <c r="AI150" s="22">
        <v>-1.7648299999999999E-2</v>
      </c>
      <c r="AJ150" s="22">
        <v>140</v>
      </c>
      <c r="AK150" s="22">
        <v>0.60433999999999999</v>
      </c>
      <c r="AL150">
        <f t="shared" si="30"/>
        <v>17.648299999999999</v>
      </c>
      <c r="AM150">
        <f t="shared" si="31"/>
        <v>10.677415631299999</v>
      </c>
      <c r="AP150" s="9"/>
      <c r="AQ150" s="22">
        <v>0.99502599999999997</v>
      </c>
      <c r="AR150" s="22">
        <v>504.62099999999998</v>
      </c>
      <c r="AS150" s="22">
        <v>-1.7218000000000001E-2</v>
      </c>
      <c r="AT150" s="22">
        <v>140</v>
      </c>
      <c r="AU150" s="22">
        <v>0.99456800000000001</v>
      </c>
      <c r="AV150">
        <f t="shared" si="32"/>
        <v>17.218</v>
      </c>
      <c r="AW150">
        <f t="shared" si="33"/>
        <v>17.132357668000001</v>
      </c>
      <c r="AX150" s="9"/>
      <c r="AY150" s="22">
        <v>0.60501099999999997</v>
      </c>
      <c r="AZ150" s="22">
        <v>626.97799999999995</v>
      </c>
      <c r="BA150" s="22">
        <v>-1.7645299999999999E-2</v>
      </c>
      <c r="BB150" s="22">
        <v>140</v>
      </c>
      <c r="BC150" s="22">
        <v>0.60427900000000001</v>
      </c>
      <c r="BD150">
        <f t="shared" si="34"/>
        <v>17.645299999999999</v>
      </c>
      <c r="BE150">
        <f t="shared" si="35"/>
        <v>10.675600598299999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90.461100000000002</v>
      </c>
      <c r="I151" s="22">
        <v>-1.7428599999999999E-2</v>
      </c>
      <c r="J151" s="22">
        <v>141</v>
      </c>
      <c r="K151" s="22">
        <v>0.98907500000000004</v>
      </c>
      <c r="L151">
        <f t="shared" si="24"/>
        <v>17.428599999999999</v>
      </c>
      <c r="M151">
        <f t="shared" si="25"/>
        <v>17.254139714000001</v>
      </c>
      <c r="N151" s="9"/>
      <c r="O151" s="22">
        <v>0.61004599999999998</v>
      </c>
      <c r="P151" s="22">
        <v>205.37799999999999</v>
      </c>
      <c r="Q151" s="22">
        <v>-1.7746000000000001E-2</v>
      </c>
      <c r="R151" s="22">
        <v>141</v>
      </c>
      <c r="S151" s="22">
        <v>0.609406</v>
      </c>
      <c r="T151">
        <f t="shared" si="26"/>
        <v>17.746000000000002</v>
      </c>
      <c r="U151">
        <f t="shared" si="27"/>
        <v>10.825876316</v>
      </c>
      <c r="X151" s="9"/>
      <c r="Y151" s="22">
        <v>0.98999000000000004</v>
      </c>
      <c r="Z151" s="22">
        <v>308.36500000000001</v>
      </c>
      <c r="AA151" s="22">
        <v>-1.7340100000000001E-2</v>
      </c>
      <c r="AB151" s="22">
        <v>141</v>
      </c>
      <c r="AC151" s="22">
        <v>0.98907500000000004</v>
      </c>
      <c r="AD151">
        <f t="shared" si="28"/>
        <v>17.3401</v>
      </c>
      <c r="AE151">
        <f t="shared" si="29"/>
        <v>17.166525599</v>
      </c>
      <c r="AF151" s="9"/>
      <c r="AG151" s="22">
        <v>0.61004599999999998</v>
      </c>
      <c r="AH151" s="22">
        <v>368.94400000000002</v>
      </c>
      <c r="AI151" s="22">
        <v>-1.7645299999999999E-2</v>
      </c>
      <c r="AJ151" s="22">
        <v>141</v>
      </c>
      <c r="AK151" s="22">
        <v>0.60931400000000002</v>
      </c>
      <c r="AL151">
        <f t="shared" si="30"/>
        <v>17.645299999999999</v>
      </c>
      <c r="AM151">
        <f t="shared" si="31"/>
        <v>10.764444683799999</v>
      </c>
      <c r="AP151" s="9"/>
      <c r="AQ151" s="22">
        <v>0.98999000000000004</v>
      </c>
      <c r="AR151" s="22">
        <v>504.72199999999998</v>
      </c>
      <c r="AS151" s="22">
        <v>-1.72211E-2</v>
      </c>
      <c r="AT151" s="22">
        <v>141</v>
      </c>
      <c r="AU151" s="22">
        <v>0.98938000000000004</v>
      </c>
      <c r="AV151">
        <f t="shared" si="32"/>
        <v>17.2211</v>
      </c>
      <c r="AW151">
        <f t="shared" si="33"/>
        <v>17.048716789</v>
      </c>
      <c r="AX151" s="9"/>
      <c r="AY151" s="22">
        <v>0.61004599999999998</v>
      </c>
      <c r="AZ151" s="22">
        <v>627.07899999999995</v>
      </c>
      <c r="BA151" s="22">
        <v>-1.763E-2</v>
      </c>
      <c r="BB151" s="22">
        <v>141</v>
      </c>
      <c r="BC151" s="22">
        <v>0.609344</v>
      </c>
      <c r="BD151">
        <f t="shared" si="34"/>
        <v>17.63</v>
      </c>
      <c r="BE151">
        <f t="shared" si="35"/>
        <v>10.75511098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90.561800000000005</v>
      </c>
      <c r="I152" s="22">
        <v>-1.7428599999999999E-2</v>
      </c>
      <c r="J152" s="22">
        <v>142</v>
      </c>
      <c r="K152" s="22">
        <v>0.98358199999999996</v>
      </c>
      <c r="L152">
        <f t="shared" si="24"/>
        <v>17.428599999999999</v>
      </c>
      <c r="M152">
        <f t="shared" si="25"/>
        <v>17.166386713000001</v>
      </c>
      <c r="N152" s="9"/>
      <c r="O152" s="22">
        <v>0.61508200000000002</v>
      </c>
      <c r="P152" s="22">
        <v>205.47900000000001</v>
      </c>
      <c r="Q152" s="22">
        <v>-1.7727699999999999E-2</v>
      </c>
      <c r="R152" s="22">
        <v>142</v>
      </c>
      <c r="S152" s="22">
        <v>0.61444100000000001</v>
      </c>
      <c r="T152">
        <f t="shared" si="26"/>
        <v>17.727699999999999</v>
      </c>
      <c r="U152">
        <f t="shared" si="27"/>
        <v>10.903989171399999</v>
      </c>
      <c r="X152" s="9"/>
      <c r="Y152" s="22">
        <v>0.98495500000000002</v>
      </c>
      <c r="Z152" s="22">
        <v>308.46499999999997</v>
      </c>
      <c r="AA152" s="22">
        <v>-1.73309E-2</v>
      </c>
      <c r="AB152" s="22">
        <v>142</v>
      </c>
      <c r="AC152" s="22">
        <v>0.98388699999999996</v>
      </c>
      <c r="AD152">
        <f t="shared" si="28"/>
        <v>17.3309</v>
      </c>
      <c r="AE152">
        <f t="shared" si="29"/>
        <v>17.0701566095</v>
      </c>
      <c r="AF152" s="9"/>
      <c r="AG152" s="22">
        <v>0.61508200000000002</v>
      </c>
      <c r="AH152" s="22">
        <v>369.04399999999998</v>
      </c>
      <c r="AI152" s="22">
        <v>-1.7627E-2</v>
      </c>
      <c r="AJ152" s="22">
        <v>142</v>
      </c>
      <c r="AK152" s="22">
        <v>0.61434900000000003</v>
      </c>
      <c r="AL152">
        <f t="shared" si="30"/>
        <v>17.626999999999999</v>
      </c>
      <c r="AM152">
        <f t="shared" si="31"/>
        <v>10.842050413999999</v>
      </c>
      <c r="AP152" s="9"/>
      <c r="AQ152" s="22">
        <v>0.98495500000000002</v>
      </c>
      <c r="AR152" s="22">
        <v>504.82299999999998</v>
      </c>
      <c r="AS152" s="22">
        <v>-1.7242400000000001E-2</v>
      </c>
      <c r="AT152" s="22">
        <v>142</v>
      </c>
      <c r="AU152" s="22">
        <v>0.98480199999999996</v>
      </c>
      <c r="AV152">
        <f t="shared" si="32"/>
        <v>17.2424</v>
      </c>
      <c r="AW152">
        <f t="shared" si="33"/>
        <v>16.982988091999999</v>
      </c>
      <c r="AX152" s="9"/>
      <c r="AY152" s="22">
        <v>0.61508200000000002</v>
      </c>
      <c r="AZ152" s="22">
        <v>627.17999999999995</v>
      </c>
      <c r="BA152" s="22">
        <v>-1.763E-2</v>
      </c>
      <c r="BB152" s="22">
        <v>142</v>
      </c>
      <c r="BC152" s="22">
        <v>0.61428799999999995</v>
      </c>
      <c r="BD152">
        <f t="shared" si="34"/>
        <v>17.63</v>
      </c>
      <c r="BE152">
        <f t="shared" si="35"/>
        <v>10.843895659999999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90.662499999999994</v>
      </c>
      <c r="I153" s="22">
        <v>-1.7428599999999999E-2</v>
      </c>
      <c r="J153" s="22">
        <v>143</v>
      </c>
      <c r="K153" s="22">
        <v>0.97961399999999998</v>
      </c>
      <c r="L153">
        <f t="shared" si="24"/>
        <v>17.428599999999999</v>
      </c>
      <c r="M153">
        <f t="shared" si="25"/>
        <v>17.078616283399999</v>
      </c>
      <c r="N153" s="9"/>
      <c r="O153" s="22">
        <v>0.62011700000000003</v>
      </c>
      <c r="P153" s="22">
        <v>205.57900000000001</v>
      </c>
      <c r="Q153" s="22">
        <v>-1.7739899999999999E-2</v>
      </c>
      <c r="R153" s="22">
        <v>143</v>
      </c>
      <c r="S153" s="22">
        <v>0.61938499999999996</v>
      </c>
      <c r="T153">
        <f t="shared" si="26"/>
        <v>17.739899999999999</v>
      </c>
      <c r="U153">
        <f t="shared" si="27"/>
        <v>11.0008135683</v>
      </c>
      <c r="X153" s="9"/>
      <c r="Y153" s="22">
        <v>0.97991899999999998</v>
      </c>
      <c r="Z153" s="22">
        <v>308.56599999999997</v>
      </c>
      <c r="AA153" s="22">
        <v>-1.7333999999999999E-2</v>
      </c>
      <c r="AB153" s="22">
        <v>143</v>
      </c>
      <c r="AC153" s="22">
        <v>0.97900399999999999</v>
      </c>
      <c r="AD153">
        <f t="shared" si="28"/>
        <v>17.334</v>
      </c>
      <c r="AE153">
        <f t="shared" si="29"/>
        <v>16.985915945999999</v>
      </c>
      <c r="AF153" s="9"/>
      <c r="AG153" s="22">
        <v>0.62011700000000003</v>
      </c>
      <c r="AH153" s="22">
        <v>369.14499999999998</v>
      </c>
      <c r="AI153" s="22">
        <v>-1.7620799999999999E-2</v>
      </c>
      <c r="AJ153" s="22">
        <v>143</v>
      </c>
      <c r="AK153" s="22">
        <v>0.61981200000000003</v>
      </c>
      <c r="AL153">
        <f t="shared" si="30"/>
        <v>17.620799999999999</v>
      </c>
      <c r="AM153">
        <f t="shared" si="31"/>
        <v>10.926957633600001</v>
      </c>
      <c r="AP153" s="9"/>
      <c r="AQ153" s="22">
        <v>0.97991899999999998</v>
      </c>
      <c r="AR153" s="22">
        <v>504.923</v>
      </c>
      <c r="AS153" s="22">
        <v>-1.7257700000000001E-2</v>
      </c>
      <c r="AT153" s="22">
        <v>143</v>
      </c>
      <c r="AU153" s="22">
        <v>0.97900399999999999</v>
      </c>
      <c r="AV153">
        <f t="shared" si="32"/>
        <v>17.2577</v>
      </c>
      <c r="AW153">
        <f t="shared" si="33"/>
        <v>16.911148126299999</v>
      </c>
      <c r="AX153" s="9"/>
      <c r="AY153" s="22">
        <v>0.62011700000000003</v>
      </c>
      <c r="AZ153" s="22">
        <v>627.28099999999995</v>
      </c>
      <c r="BA153" s="22">
        <v>-1.7623900000000001E-2</v>
      </c>
      <c r="BB153" s="22">
        <v>143</v>
      </c>
      <c r="BC153" s="22">
        <v>0.61941500000000005</v>
      </c>
      <c r="BD153">
        <f t="shared" si="34"/>
        <v>17.623900000000003</v>
      </c>
      <c r="BE153">
        <f t="shared" si="35"/>
        <v>10.928879996300003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90.763199999999998</v>
      </c>
      <c r="I154" s="22">
        <v>-1.7434700000000001E-2</v>
      </c>
      <c r="J154" s="22">
        <v>144</v>
      </c>
      <c r="K154" s="22">
        <v>0.97351100000000002</v>
      </c>
      <c r="L154">
        <f t="shared" si="24"/>
        <v>17.434699999999999</v>
      </c>
      <c r="M154">
        <f t="shared" si="25"/>
        <v>16.996810074799999</v>
      </c>
      <c r="N154" s="9"/>
      <c r="O154" s="22">
        <v>0.62515299999999996</v>
      </c>
      <c r="P154" s="22">
        <v>205.68</v>
      </c>
      <c r="Q154" s="22">
        <v>-1.7739899999999999E-2</v>
      </c>
      <c r="R154" s="22">
        <v>144</v>
      </c>
      <c r="S154" s="22">
        <v>0.62448099999999995</v>
      </c>
      <c r="T154">
        <f t="shared" si="26"/>
        <v>17.739899999999999</v>
      </c>
      <c r="U154">
        <f t="shared" si="27"/>
        <v>11.090151704699998</v>
      </c>
      <c r="X154" s="9"/>
      <c r="Y154" s="22">
        <v>0.97488399999999997</v>
      </c>
      <c r="Z154" s="22">
        <v>308.66699999999997</v>
      </c>
      <c r="AA154" s="22">
        <v>-1.73431E-2</v>
      </c>
      <c r="AB154" s="22">
        <v>144</v>
      </c>
      <c r="AC154" s="22">
        <v>0.97351100000000002</v>
      </c>
      <c r="AD154">
        <f t="shared" si="28"/>
        <v>17.3431</v>
      </c>
      <c r="AE154">
        <f t="shared" si="29"/>
        <v>16.9075107004</v>
      </c>
      <c r="AF154" s="9"/>
      <c r="AG154" s="22">
        <v>0.62515299999999996</v>
      </c>
      <c r="AH154" s="22">
        <v>369.24599999999998</v>
      </c>
      <c r="AI154" s="22">
        <v>-1.76147E-2</v>
      </c>
      <c r="AJ154" s="22">
        <v>144</v>
      </c>
      <c r="AK154" s="22">
        <v>0.62487800000000004</v>
      </c>
      <c r="AL154">
        <f t="shared" si="30"/>
        <v>17.614699999999999</v>
      </c>
      <c r="AM154">
        <f t="shared" si="31"/>
        <v>11.011882549099999</v>
      </c>
      <c r="AP154" s="9"/>
      <c r="AQ154" s="22">
        <v>0.97488399999999997</v>
      </c>
      <c r="AR154" s="22">
        <v>505.024</v>
      </c>
      <c r="AS154" s="22">
        <v>-1.7254599999999998E-2</v>
      </c>
      <c r="AT154" s="22">
        <v>144</v>
      </c>
      <c r="AU154" s="22">
        <v>0.97351100000000002</v>
      </c>
      <c r="AV154">
        <f t="shared" si="32"/>
        <v>17.2546</v>
      </c>
      <c r="AW154">
        <f t="shared" si="33"/>
        <v>16.821233466399999</v>
      </c>
      <c r="AX154" s="9"/>
      <c r="AY154" s="22">
        <v>0.62515299999999996</v>
      </c>
      <c r="AZ154" s="22">
        <v>627.38099999999997</v>
      </c>
      <c r="BA154" s="22">
        <v>-1.7608599999999999E-2</v>
      </c>
      <c r="BB154" s="22">
        <v>144</v>
      </c>
      <c r="BC154" s="22">
        <v>0.62445099999999998</v>
      </c>
      <c r="BD154">
        <f t="shared" si="34"/>
        <v>17.608599999999999</v>
      </c>
      <c r="BE154">
        <f t="shared" si="35"/>
        <v>11.008069115799998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90.863900000000001</v>
      </c>
      <c r="I155" s="22">
        <v>-1.7446900000000001E-2</v>
      </c>
      <c r="J155" s="22">
        <v>145</v>
      </c>
      <c r="K155" s="22">
        <v>0.96862800000000004</v>
      </c>
      <c r="L155">
        <f t="shared" si="24"/>
        <v>17.446900000000003</v>
      </c>
      <c r="M155">
        <f t="shared" si="25"/>
        <v>16.920858518100001</v>
      </c>
      <c r="N155" s="9"/>
      <c r="O155" s="22">
        <v>0.63018799999999997</v>
      </c>
      <c r="P155" s="22">
        <v>205.78100000000001</v>
      </c>
      <c r="Q155" s="22">
        <v>-1.7733800000000001E-2</v>
      </c>
      <c r="R155" s="22">
        <v>145</v>
      </c>
      <c r="S155" s="22">
        <v>0.62954699999999997</v>
      </c>
      <c r="T155">
        <f t="shared" si="26"/>
        <v>17.733800000000002</v>
      </c>
      <c r="U155">
        <f t="shared" si="27"/>
        <v>11.175627954400001</v>
      </c>
      <c r="X155" s="9"/>
      <c r="Y155" s="22">
        <v>0.96984899999999996</v>
      </c>
      <c r="Z155" s="22">
        <v>308.76799999999997</v>
      </c>
      <c r="AA155" s="22">
        <v>-1.7352300000000001E-2</v>
      </c>
      <c r="AB155" s="22">
        <v>145</v>
      </c>
      <c r="AC155" s="22">
        <v>0.96862800000000004</v>
      </c>
      <c r="AD155">
        <f t="shared" si="28"/>
        <v>17.3523</v>
      </c>
      <c r="AE155">
        <f t="shared" si="29"/>
        <v>16.829110802700001</v>
      </c>
      <c r="AF155" s="9"/>
      <c r="AG155" s="22">
        <v>0.63018799999999997</v>
      </c>
      <c r="AH155" s="22">
        <v>369.34699999999998</v>
      </c>
      <c r="AI155" s="22">
        <v>-1.76147E-2</v>
      </c>
      <c r="AJ155" s="22">
        <v>145</v>
      </c>
      <c r="AK155" s="22">
        <v>0.62960799999999995</v>
      </c>
      <c r="AL155">
        <f t="shared" si="30"/>
        <v>17.614699999999999</v>
      </c>
      <c r="AM155">
        <f t="shared" si="31"/>
        <v>11.100572563599998</v>
      </c>
      <c r="AP155" s="9"/>
      <c r="AQ155" s="22">
        <v>0.96984899999999996</v>
      </c>
      <c r="AR155" s="22">
        <v>505.125</v>
      </c>
      <c r="AS155" s="22">
        <v>-1.7266799999999999E-2</v>
      </c>
      <c r="AT155" s="22">
        <v>145</v>
      </c>
      <c r="AU155" s="22">
        <v>0.96893300000000004</v>
      </c>
      <c r="AV155">
        <f t="shared" si="32"/>
        <v>17.2668</v>
      </c>
      <c r="AW155">
        <f t="shared" si="33"/>
        <v>16.746188713199999</v>
      </c>
      <c r="AX155" s="9"/>
      <c r="AY155" s="22">
        <v>0.63018799999999997</v>
      </c>
      <c r="AZ155" s="22">
        <v>627.48199999999997</v>
      </c>
      <c r="BA155" s="22">
        <v>-1.7617799999999999E-2</v>
      </c>
      <c r="BB155" s="22">
        <v>145</v>
      </c>
      <c r="BC155" s="22">
        <v>0.62948599999999999</v>
      </c>
      <c r="BD155">
        <f t="shared" si="34"/>
        <v>17.617799999999999</v>
      </c>
      <c r="BE155">
        <f t="shared" si="35"/>
        <v>11.102526146399999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90.964600000000004</v>
      </c>
      <c r="I156" s="22">
        <v>-1.74377E-2</v>
      </c>
      <c r="J156" s="22">
        <v>146</v>
      </c>
      <c r="K156" s="22">
        <v>0.96435499999999996</v>
      </c>
      <c r="L156">
        <f t="shared" si="24"/>
        <v>17.4377</v>
      </c>
      <c r="M156">
        <f t="shared" si="25"/>
        <v>16.824119650100002</v>
      </c>
      <c r="N156" s="9"/>
      <c r="O156" s="22">
        <v>0.63522299999999998</v>
      </c>
      <c r="P156" s="22">
        <v>205.88200000000001</v>
      </c>
      <c r="Q156" s="22">
        <v>-1.7730699999999999E-2</v>
      </c>
      <c r="R156" s="22">
        <v>146</v>
      </c>
      <c r="S156" s="22">
        <v>0.63427699999999998</v>
      </c>
      <c r="T156">
        <f t="shared" si="26"/>
        <v>17.730699999999999</v>
      </c>
      <c r="U156">
        <f t="shared" si="27"/>
        <v>11.262948446099999</v>
      </c>
      <c r="X156" s="9"/>
      <c r="Y156" s="22">
        <v>0.96481300000000003</v>
      </c>
      <c r="Z156" s="22">
        <v>308.86799999999999</v>
      </c>
      <c r="AA156" s="22">
        <v>-1.73584E-2</v>
      </c>
      <c r="AB156" s="22">
        <v>146</v>
      </c>
      <c r="AC156" s="22">
        <v>0.96374499999999996</v>
      </c>
      <c r="AD156">
        <f t="shared" si="28"/>
        <v>17.3584</v>
      </c>
      <c r="AE156">
        <f t="shared" si="29"/>
        <v>16.7476099792</v>
      </c>
      <c r="AF156" s="9"/>
      <c r="AG156" s="22">
        <v>0.63522299999999998</v>
      </c>
      <c r="AH156" s="22">
        <v>369.447</v>
      </c>
      <c r="AI156" s="22">
        <v>-1.7605599999999999E-2</v>
      </c>
      <c r="AJ156" s="22">
        <v>146</v>
      </c>
      <c r="AK156" s="22">
        <v>0.63461299999999998</v>
      </c>
      <c r="AL156">
        <f t="shared" si="30"/>
        <v>17.605599999999999</v>
      </c>
      <c r="AM156">
        <f t="shared" si="31"/>
        <v>11.183482048799998</v>
      </c>
      <c r="AP156" s="9"/>
      <c r="AQ156" s="22">
        <v>0.96481300000000003</v>
      </c>
      <c r="AR156" s="22">
        <v>505.226</v>
      </c>
      <c r="AS156" s="22">
        <v>-1.7279099999999999E-2</v>
      </c>
      <c r="AT156" s="22">
        <v>146</v>
      </c>
      <c r="AU156" s="22">
        <v>0.96404999999999996</v>
      </c>
      <c r="AV156">
        <f t="shared" si="32"/>
        <v>17.2791</v>
      </c>
      <c r="AW156">
        <f t="shared" si="33"/>
        <v>16.671100308300002</v>
      </c>
      <c r="AX156" s="9"/>
      <c r="AY156" s="22">
        <v>0.63522299999999998</v>
      </c>
      <c r="AZ156" s="22">
        <v>627.58299999999997</v>
      </c>
      <c r="BA156" s="22">
        <v>-1.7611700000000001E-2</v>
      </c>
      <c r="BB156" s="22">
        <v>146</v>
      </c>
      <c r="BC156" s="22">
        <v>0.63458300000000001</v>
      </c>
      <c r="BD156">
        <f t="shared" si="34"/>
        <v>17.611700000000003</v>
      </c>
      <c r="BE156">
        <f t="shared" si="35"/>
        <v>11.187356909100002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91.065399999999997</v>
      </c>
      <c r="I157" s="22">
        <v>-1.7453E-2</v>
      </c>
      <c r="J157" s="22">
        <v>147</v>
      </c>
      <c r="K157" s="22">
        <v>0.95977800000000002</v>
      </c>
      <c r="L157">
        <f t="shared" si="24"/>
        <v>17.452999999999999</v>
      </c>
      <c r="M157">
        <f t="shared" si="25"/>
        <v>16.751005434</v>
      </c>
      <c r="N157" s="9"/>
      <c r="O157" s="22">
        <v>0.64025900000000002</v>
      </c>
      <c r="P157" s="22">
        <v>205.982</v>
      </c>
      <c r="Q157" s="22">
        <v>-1.7730699999999999E-2</v>
      </c>
      <c r="R157" s="22">
        <v>147</v>
      </c>
      <c r="S157" s="22">
        <v>0.63940399999999997</v>
      </c>
      <c r="T157">
        <f t="shared" si="26"/>
        <v>17.730699999999999</v>
      </c>
      <c r="U157">
        <f t="shared" si="27"/>
        <v>11.3522402513</v>
      </c>
      <c r="X157" s="9"/>
      <c r="Y157" s="22">
        <v>0.95977800000000002</v>
      </c>
      <c r="Z157" s="22">
        <v>308.96899999999999</v>
      </c>
      <c r="AA157" s="22">
        <v>-1.7364500000000001E-2</v>
      </c>
      <c r="AB157" s="22">
        <v>147</v>
      </c>
      <c r="AC157" s="22">
        <v>0.95855699999999999</v>
      </c>
      <c r="AD157">
        <f t="shared" si="28"/>
        <v>17.364500000000003</v>
      </c>
      <c r="AE157">
        <f t="shared" si="29"/>
        <v>16.666065081000003</v>
      </c>
      <c r="AF157" s="9"/>
      <c r="AG157" s="22">
        <v>0.64025900000000002</v>
      </c>
      <c r="AH157" s="22">
        <v>369.548</v>
      </c>
      <c r="AI157" s="22">
        <v>-1.7605599999999999E-2</v>
      </c>
      <c r="AJ157" s="22">
        <v>147</v>
      </c>
      <c r="AK157" s="22">
        <v>0.63958700000000002</v>
      </c>
      <c r="AL157">
        <f t="shared" si="30"/>
        <v>17.605599999999999</v>
      </c>
      <c r="AM157">
        <f t="shared" si="31"/>
        <v>11.272143850399999</v>
      </c>
      <c r="AP157" s="9"/>
      <c r="AQ157" s="22">
        <v>0.95977800000000002</v>
      </c>
      <c r="AR157" s="22">
        <v>505.32600000000002</v>
      </c>
      <c r="AS157" s="22">
        <v>-1.7279099999999999E-2</v>
      </c>
      <c r="AT157" s="22">
        <v>147</v>
      </c>
      <c r="AU157" s="22">
        <v>0.95855699999999999</v>
      </c>
      <c r="AV157">
        <f t="shared" si="32"/>
        <v>17.2791</v>
      </c>
      <c r="AW157">
        <f t="shared" si="33"/>
        <v>16.584100039799999</v>
      </c>
      <c r="AX157" s="9"/>
      <c r="AY157" s="22">
        <v>0.64025900000000002</v>
      </c>
      <c r="AZ157" s="22">
        <v>627.68299999999999</v>
      </c>
      <c r="BA157" s="22">
        <v>-1.7611700000000001E-2</v>
      </c>
      <c r="BB157" s="22">
        <v>147</v>
      </c>
      <c r="BC157" s="22">
        <v>0.63949599999999995</v>
      </c>
      <c r="BD157">
        <f t="shared" si="34"/>
        <v>17.611700000000003</v>
      </c>
      <c r="BE157">
        <f t="shared" si="35"/>
        <v>11.276049430300002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91.1661</v>
      </c>
      <c r="I158" s="22">
        <v>-1.7446900000000001E-2</v>
      </c>
      <c r="J158" s="22">
        <v>148</v>
      </c>
      <c r="K158" s="22">
        <v>0.95397900000000002</v>
      </c>
      <c r="L158">
        <f t="shared" si="24"/>
        <v>17.446900000000003</v>
      </c>
      <c r="M158">
        <f t="shared" si="25"/>
        <v>16.657288199800004</v>
      </c>
      <c r="N158" s="9"/>
      <c r="O158" s="22">
        <v>0.64529400000000003</v>
      </c>
      <c r="P158" s="22">
        <v>206.083</v>
      </c>
      <c r="Q158" s="22">
        <v>-1.77246E-2</v>
      </c>
      <c r="R158" s="22">
        <v>148</v>
      </c>
      <c r="S158" s="22">
        <v>0.64440900000000001</v>
      </c>
      <c r="T158">
        <f t="shared" si="26"/>
        <v>17.724599999999999</v>
      </c>
      <c r="U158">
        <f t="shared" si="27"/>
        <v>11.437578032399999</v>
      </c>
      <c r="X158" s="9"/>
      <c r="Y158" s="22">
        <v>0.95474199999999998</v>
      </c>
      <c r="Z158" s="22">
        <v>309.07</v>
      </c>
      <c r="AA158" s="22">
        <v>-1.73706E-2</v>
      </c>
      <c r="AB158" s="22">
        <v>148</v>
      </c>
      <c r="AC158" s="22">
        <v>0.95397900000000002</v>
      </c>
      <c r="AD158">
        <f t="shared" si="28"/>
        <v>17.3706</v>
      </c>
      <c r="AE158">
        <f t="shared" si="29"/>
        <v>16.584441385199998</v>
      </c>
      <c r="AF158" s="9"/>
      <c r="AG158" s="22">
        <v>0.64529400000000003</v>
      </c>
      <c r="AH158" s="22">
        <v>369.649</v>
      </c>
      <c r="AI158" s="22">
        <v>-1.76025E-2</v>
      </c>
      <c r="AJ158" s="22">
        <v>148</v>
      </c>
      <c r="AK158" s="22">
        <v>0.64471400000000001</v>
      </c>
      <c r="AL158">
        <f t="shared" si="30"/>
        <v>17.602499999999999</v>
      </c>
      <c r="AM158">
        <f t="shared" si="31"/>
        <v>11.358787635000001</v>
      </c>
      <c r="AP158" s="9"/>
      <c r="AQ158" s="22">
        <v>0.95474199999999998</v>
      </c>
      <c r="AR158" s="22">
        <v>505.42700000000002</v>
      </c>
      <c r="AS158" s="22">
        <v>-1.7279099999999999E-2</v>
      </c>
      <c r="AT158" s="22">
        <v>148</v>
      </c>
      <c r="AU158" s="22">
        <v>0.95336900000000002</v>
      </c>
      <c r="AV158">
        <f t="shared" si="32"/>
        <v>17.2791</v>
      </c>
      <c r="AW158">
        <f t="shared" si="33"/>
        <v>16.497082492200001</v>
      </c>
      <c r="AX158" s="9"/>
      <c r="AY158" s="22">
        <v>0.64529400000000003</v>
      </c>
      <c r="AZ158" s="22">
        <v>627.78399999999999</v>
      </c>
      <c r="BA158" s="22">
        <v>-1.76025E-2</v>
      </c>
      <c r="BB158" s="22">
        <v>148</v>
      </c>
      <c r="BC158" s="22">
        <v>0.64486699999999997</v>
      </c>
      <c r="BD158">
        <f t="shared" si="34"/>
        <v>17.602499999999999</v>
      </c>
      <c r="BE158">
        <f t="shared" si="35"/>
        <v>11.358787635000001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91.266800000000003</v>
      </c>
      <c r="I159" s="22">
        <v>-1.7440799999999999E-2</v>
      </c>
      <c r="J159" s="22">
        <v>149</v>
      </c>
      <c r="K159" s="22">
        <v>0.94879199999999997</v>
      </c>
      <c r="L159">
        <f t="shared" si="24"/>
        <v>17.440799999999999</v>
      </c>
      <c r="M159">
        <f t="shared" si="25"/>
        <v>16.563649845600001</v>
      </c>
      <c r="N159" s="9"/>
      <c r="O159" s="22">
        <v>0.65032999999999996</v>
      </c>
      <c r="P159" s="22">
        <v>206.184</v>
      </c>
      <c r="Q159" s="22">
        <v>-1.77246E-2</v>
      </c>
      <c r="R159" s="22">
        <v>149</v>
      </c>
      <c r="S159" s="22">
        <v>0.64965799999999996</v>
      </c>
      <c r="T159">
        <f t="shared" si="26"/>
        <v>17.724599999999999</v>
      </c>
      <c r="U159">
        <f t="shared" si="27"/>
        <v>11.526839117999998</v>
      </c>
      <c r="X159" s="9"/>
      <c r="Y159" s="22">
        <v>0.94970699999999997</v>
      </c>
      <c r="Z159" s="22">
        <v>309.17</v>
      </c>
      <c r="AA159" s="22">
        <v>-1.73706E-2</v>
      </c>
      <c r="AB159" s="22">
        <v>149</v>
      </c>
      <c r="AC159" s="22">
        <v>0.94818100000000005</v>
      </c>
      <c r="AD159">
        <f t="shared" si="28"/>
        <v>17.3706</v>
      </c>
      <c r="AE159">
        <f t="shared" si="29"/>
        <v>16.496980414199999</v>
      </c>
      <c r="AF159" s="9"/>
      <c r="AG159" s="22">
        <v>0.65032999999999996</v>
      </c>
      <c r="AH159" s="22">
        <v>369.74900000000002</v>
      </c>
      <c r="AI159" s="22">
        <v>-1.7596400000000002E-2</v>
      </c>
      <c r="AJ159" s="22">
        <v>149</v>
      </c>
      <c r="AK159" s="22">
        <v>0.64990199999999998</v>
      </c>
      <c r="AL159">
        <f t="shared" si="30"/>
        <v>17.596400000000003</v>
      </c>
      <c r="AM159">
        <f t="shared" si="31"/>
        <v>11.443466812</v>
      </c>
      <c r="AP159" s="9"/>
      <c r="AQ159" s="22">
        <v>0.94970699999999997</v>
      </c>
      <c r="AR159" s="22">
        <v>505.52800000000002</v>
      </c>
      <c r="AS159" s="22">
        <v>-1.7282100000000002E-2</v>
      </c>
      <c r="AT159" s="22">
        <v>149</v>
      </c>
      <c r="AU159" s="22">
        <v>0.94909699999999997</v>
      </c>
      <c r="AV159">
        <f t="shared" si="32"/>
        <v>17.282100000000003</v>
      </c>
      <c r="AW159">
        <f t="shared" si="33"/>
        <v>16.412931344700002</v>
      </c>
      <c r="AX159" s="9"/>
      <c r="AY159" s="22">
        <v>0.65032999999999996</v>
      </c>
      <c r="AZ159" s="22">
        <v>627.88499999999999</v>
      </c>
      <c r="BA159" s="22">
        <v>-1.7569000000000001E-2</v>
      </c>
      <c r="BB159" s="22">
        <v>149</v>
      </c>
      <c r="BC159" s="22">
        <v>0.64975000000000005</v>
      </c>
      <c r="BD159">
        <f t="shared" si="34"/>
        <v>17.569000000000003</v>
      </c>
      <c r="BE159">
        <f t="shared" si="35"/>
        <v>11.425647770000001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91.367500000000007</v>
      </c>
      <c r="I160" s="22">
        <v>-1.7446900000000001E-2</v>
      </c>
      <c r="J160" s="22">
        <v>150</v>
      </c>
      <c r="K160" s="22">
        <v>0.943909</v>
      </c>
      <c r="L160">
        <f t="shared" si="24"/>
        <v>17.446900000000003</v>
      </c>
      <c r="M160">
        <f t="shared" si="25"/>
        <v>16.481597916800002</v>
      </c>
      <c r="N160" s="9"/>
      <c r="O160" s="22">
        <v>0.65536499999999998</v>
      </c>
      <c r="P160" s="22">
        <v>206.28399999999999</v>
      </c>
      <c r="Q160" s="22">
        <v>-1.7727699999999999E-2</v>
      </c>
      <c r="R160" s="22">
        <v>150</v>
      </c>
      <c r="S160" s="22">
        <v>0.65481599999999995</v>
      </c>
      <c r="T160">
        <f t="shared" si="26"/>
        <v>17.727699999999999</v>
      </c>
      <c r="U160">
        <f t="shared" si="27"/>
        <v>11.618114110499999</v>
      </c>
      <c r="X160" s="9"/>
      <c r="Y160" s="22">
        <v>0.94467199999999996</v>
      </c>
      <c r="Z160" s="22">
        <v>309.27100000000002</v>
      </c>
      <c r="AA160" s="22">
        <v>-1.73706E-2</v>
      </c>
      <c r="AB160" s="22">
        <v>150</v>
      </c>
      <c r="AC160" s="22">
        <v>0.943604</v>
      </c>
      <c r="AD160">
        <f t="shared" si="28"/>
        <v>17.3706</v>
      </c>
      <c r="AE160">
        <f t="shared" si="29"/>
        <v>16.409519443199997</v>
      </c>
      <c r="AF160" s="9"/>
      <c r="AG160" s="22">
        <v>0.65536499999999998</v>
      </c>
      <c r="AH160" s="22">
        <v>369.85</v>
      </c>
      <c r="AI160" s="22">
        <v>-1.7596400000000002E-2</v>
      </c>
      <c r="AJ160" s="22">
        <v>150</v>
      </c>
      <c r="AK160" s="22">
        <v>0.65502899999999997</v>
      </c>
      <c r="AL160">
        <f t="shared" si="30"/>
        <v>17.596400000000003</v>
      </c>
      <c r="AM160">
        <f t="shared" si="31"/>
        <v>11.532064686000002</v>
      </c>
      <c r="AP160" s="9"/>
      <c r="AQ160" s="22">
        <v>0.94467199999999996</v>
      </c>
      <c r="AR160" s="22">
        <v>505.62799999999999</v>
      </c>
      <c r="AS160" s="22">
        <v>-1.73004E-2</v>
      </c>
      <c r="AT160" s="22">
        <v>150</v>
      </c>
      <c r="AU160" s="22">
        <v>0.943909</v>
      </c>
      <c r="AV160">
        <f t="shared" si="32"/>
        <v>17.3004</v>
      </c>
      <c r="AW160">
        <f t="shared" si="33"/>
        <v>16.343203468799999</v>
      </c>
      <c r="AX160" s="9"/>
      <c r="AY160" s="22">
        <v>0.65536499999999998</v>
      </c>
      <c r="AZ160" s="22">
        <v>627.98599999999999</v>
      </c>
      <c r="BA160" s="22">
        <v>-1.7562899999999999E-2</v>
      </c>
      <c r="BB160" s="22">
        <v>150</v>
      </c>
      <c r="BC160" s="22">
        <v>0.65466299999999999</v>
      </c>
      <c r="BD160">
        <f t="shared" si="34"/>
        <v>17.562899999999999</v>
      </c>
      <c r="BE160">
        <f t="shared" si="35"/>
        <v>11.510109958499999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91.468199999999996</v>
      </c>
      <c r="I161" s="22">
        <v>-1.745E-2</v>
      </c>
      <c r="J161" s="22">
        <v>151</v>
      </c>
      <c r="K161" s="22">
        <v>0.93902600000000003</v>
      </c>
      <c r="L161">
        <f t="shared" si="24"/>
        <v>17.45</v>
      </c>
      <c r="M161">
        <f t="shared" si="25"/>
        <v>16.396648200000001</v>
      </c>
      <c r="N161" s="9"/>
      <c r="O161" s="22">
        <v>0.66039999999999999</v>
      </c>
      <c r="P161" s="22">
        <v>206.38499999999999</v>
      </c>
      <c r="Q161" s="22">
        <v>-1.7721600000000001E-2</v>
      </c>
      <c r="R161" s="22">
        <v>151</v>
      </c>
      <c r="S161" s="22">
        <v>0.65972900000000001</v>
      </c>
      <c r="T161">
        <f t="shared" si="26"/>
        <v>17.721600000000002</v>
      </c>
      <c r="U161">
        <f t="shared" si="27"/>
        <v>11.703344640000001</v>
      </c>
      <c r="X161" s="9"/>
      <c r="Y161" s="22">
        <v>0.93963600000000003</v>
      </c>
      <c r="Z161" s="22">
        <v>309.37200000000001</v>
      </c>
      <c r="AA161" s="22">
        <v>-1.7376699999999998E-2</v>
      </c>
      <c r="AB161" s="22">
        <v>151</v>
      </c>
      <c r="AC161" s="22">
        <v>0.93933100000000003</v>
      </c>
      <c r="AD161">
        <f t="shared" si="28"/>
        <v>17.3767</v>
      </c>
      <c r="AE161">
        <f t="shared" si="29"/>
        <v>16.327772881200001</v>
      </c>
      <c r="AF161" s="9"/>
      <c r="AG161" s="22">
        <v>0.66039999999999999</v>
      </c>
      <c r="AH161" s="22">
        <v>369.95100000000002</v>
      </c>
      <c r="AI161" s="22">
        <v>-1.7581200000000002E-2</v>
      </c>
      <c r="AJ161" s="22">
        <v>151</v>
      </c>
      <c r="AK161" s="22">
        <v>0.65951499999999996</v>
      </c>
      <c r="AL161">
        <f t="shared" si="30"/>
        <v>17.581200000000003</v>
      </c>
      <c r="AM161">
        <f t="shared" si="31"/>
        <v>11.610624480000002</v>
      </c>
      <c r="AP161" s="9"/>
      <c r="AQ161" s="22">
        <v>0.93963600000000003</v>
      </c>
      <c r="AR161" s="22">
        <v>505.72899999999998</v>
      </c>
      <c r="AS161" s="22">
        <v>-1.7306499999999999E-2</v>
      </c>
      <c r="AT161" s="22">
        <v>151</v>
      </c>
      <c r="AU161" s="22">
        <v>0.93902600000000003</v>
      </c>
      <c r="AV161">
        <f t="shared" si="32"/>
        <v>17.3065</v>
      </c>
      <c r="AW161">
        <f t="shared" si="33"/>
        <v>16.261810434000001</v>
      </c>
      <c r="AX161" s="9"/>
      <c r="AY161" s="22">
        <v>0.66039999999999999</v>
      </c>
      <c r="AZ161" s="22">
        <v>628.08600000000001</v>
      </c>
      <c r="BA161" s="22">
        <v>-1.7556800000000001E-2</v>
      </c>
      <c r="BB161" s="22">
        <v>151</v>
      </c>
      <c r="BC161" s="22">
        <v>0.65994299999999995</v>
      </c>
      <c r="BD161">
        <f t="shared" si="34"/>
        <v>17.556800000000003</v>
      </c>
      <c r="BE161">
        <f t="shared" si="35"/>
        <v>11.594510720000002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91.568899999999999</v>
      </c>
      <c r="I162" s="22">
        <v>-1.7459100000000002E-2</v>
      </c>
      <c r="J162" s="22">
        <v>152</v>
      </c>
      <c r="K162" s="22">
        <v>0.93414299999999995</v>
      </c>
      <c r="L162">
        <f t="shared" si="24"/>
        <v>17.459100000000003</v>
      </c>
      <c r="M162">
        <f t="shared" si="25"/>
        <v>16.317292319100002</v>
      </c>
      <c r="N162" s="9"/>
      <c r="O162" s="22">
        <v>0.66543600000000003</v>
      </c>
      <c r="P162" s="22">
        <v>206.48599999999999</v>
      </c>
      <c r="Q162" s="22">
        <v>-1.7706300000000001E-2</v>
      </c>
      <c r="R162" s="22">
        <v>152</v>
      </c>
      <c r="S162" s="22">
        <v>0.664215</v>
      </c>
      <c r="T162">
        <f t="shared" si="26"/>
        <v>17.706300000000002</v>
      </c>
      <c r="U162">
        <f t="shared" si="27"/>
        <v>11.782409446800003</v>
      </c>
      <c r="X162" s="9"/>
      <c r="Y162" s="22">
        <v>0.93460100000000002</v>
      </c>
      <c r="Z162" s="22">
        <v>309.47300000000001</v>
      </c>
      <c r="AA162" s="22">
        <v>-1.7373699999999999E-2</v>
      </c>
      <c r="AB162" s="22">
        <v>152</v>
      </c>
      <c r="AC162" s="22">
        <v>0.93322799999999995</v>
      </c>
      <c r="AD162">
        <f t="shared" si="28"/>
        <v>17.373699999999999</v>
      </c>
      <c r="AE162">
        <f t="shared" si="29"/>
        <v>16.237477393700001</v>
      </c>
      <c r="AF162" s="9"/>
      <c r="AG162" s="22">
        <v>0.66543600000000003</v>
      </c>
      <c r="AH162" s="22">
        <v>370.05200000000002</v>
      </c>
      <c r="AI162" s="22">
        <v>-1.7565899999999999E-2</v>
      </c>
      <c r="AJ162" s="22">
        <v>152</v>
      </c>
      <c r="AK162" s="22">
        <v>0.66479500000000002</v>
      </c>
      <c r="AL162">
        <f t="shared" si="30"/>
        <v>17.565899999999999</v>
      </c>
      <c r="AM162">
        <f t="shared" si="31"/>
        <v>11.688982232400001</v>
      </c>
      <c r="AP162" s="9"/>
      <c r="AQ162" s="22">
        <v>0.93460100000000002</v>
      </c>
      <c r="AR162" s="22">
        <v>505.83</v>
      </c>
      <c r="AS162" s="22">
        <v>-1.7303499999999999E-2</v>
      </c>
      <c r="AT162" s="22">
        <v>152</v>
      </c>
      <c r="AU162" s="22">
        <v>0.93353299999999995</v>
      </c>
      <c r="AV162">
        <f t="shared" si="32"/>
        <v>17.3035</v>
      </c>
      <c r="AW162">
        <f t="shared" si="33"/>
        <v>16.1718684035</v>
      </c>
      <c r="AX162" s="9"/>
      <c r="AY162" s="22">
        <v>0.66543600000000003</v>
      </c>
      <c r="AZ162" s="22">
        <v>628.18700000000001</v>
      </c>
      <c r="BA162" s="22">
        <v>-1.7538499999999999E-2</v>
      </c>
      <c r="BB162" s="22">
        <v>152</v>
      </c>
      <c r="BC162" s="22">
        <v>0.66479500000000002</v>
      </c>
      <c r="BD162">
        <f t="shared" si="34"/>
        <v>17.538499999999999</v>
      </c>
      <c r="BE162">
        <f t="shared" si="35"/>
        <v>11.670749286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91.669600000000003</v>
      </c>
      <c r="I163" s="22">
        <v>-1.7471299999999999E-2</v>
      </c>
      <c r="J163" s="22">
        <v>153</v>
      </c>
      <c r="K163" s="22">
        <v>0.92864999999999998</v>
      </c>
      <c r="L163">
        <f t="shared" si="24"/>
        <v>17.471299999999999</v>
      </c>
      <c r="M163">
        <f t="shared" si="25"/>
        <v>16.240708984499999</v>
      </c>
      <c r="N163" s="9"/>
      <c r="O163" s="22">
        <v>0.67047100000000004</v>
      </c>
      <c r="P163" s="22">
        <v>206.58699999999999</v>
      </c>
      <c r="Q163" s="22">
        <v>-1.7703199999999999E-2</v>
      </c>
      <c r="R163" s="22">
        <v>153</v>
      </c>
      <c r="S163" s="22">
        <v>0.66973899999999997</v>
      </c>
      <c r="T163">
        <f t="shared" si="26"/>
        <v>17.703199999999999</v>
      </c>
      <c r="U163">
        <f t="shared" si="27"/>
        <v>11.869482207200001</v>
      </c>
      <c r="X163" s="9"/>
      <c r="Y163" s="22">
        <v>0.92956499999999997</v>
      </c>
      <c r="Z163" s="22">
        <v>309.57299999999998</v>
      </c>
      <c r="AA163" s="22">
        <v>-1.7395000000000001E-2</v>
      </c>
      <c r="AB163" s="22">
        <v>153</v>
      </c>
      <c r="AC163" s="22">
        <v>0.92834499999999998</v>
      </c>
      <c r="AD163">
        <f t="shared" si="28"/>
        <v>17.395</v>
      </c>
      <c r="AE163">
        <f t="shared" si="29"/>
        <v>16.169783174999999</v>
      </c>
      <c r="AF163" s="9"/>
      <c r="AG163" s="22">
        <v>0.67047100000000004</v>
      </c>
      <c r="AH163" s="22">
        <v>370.15199999999999</v>
      </c>
      <c r="AI163" s="22">
        <v>-1.7569000000000001E-2</v>
      </c>
      <c r="AJ163" s="22">
        <v>153</v>
      </c>
      <c r="AK163" s="22">
        <v>0.66979999999999995</v>
      </c>
      <c r="AL163">
        <f t="shared" si="30"/>
        <v>17.569000000000003</v>
      </c>
      <c r="AM163">
        <f t="shared" si="31"/>
        <v>11.779504999000002</v>
      </c>
      <c r="AP163" s="9"/>
      <c r="AQ163" s="22">
        <v>0.92956499999999997</v>
      </c>
      <c r="AR163" s="22">
        <v>505.93099999999998</v>
      </c>
      <c r="AS163" s="22">
        <v>-1.7306499999999999E-2</v>
      </c>
      <c r="AT163" s="22">
        <v>153</v>
      </c>
      <c r="AU163" s="22">
        <v>0.92834499999999998</v>
      </c>
      <c r="AV163">
        <f t="shared" si="32"/>
        <v>17.3065</v>
      </c>
      <c r="AW163">
        <f t="shared" si="33"/>
        <v>16.087516672499998</v>
      </c>
      <c r="AX163" s="9"/>
      <c r="AY163" s="22">
        <v>0.67047100000000004</v>
      </c>
      <c r="AZ163" s="22">
        <v>628.28800000000001</v>
      </c>
      <c r="BA163" s="22">
        <v>-1.7532300000000001E-2</v>
      </c>
      <c r="BB163" s="22">
        <v>153</v>
      </c>
      <c r="BC163" s="22">
        <v>0.66973899999999997</v>
      </c>
      <c r="BD163">
        <f t="shared" si="34"/>
        <v>17.532299999999999</v>
      </c>
      <c r="BE163">
        <f t="shared" si="35"/>
        <v>11.754898713299999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91.770300000000006</v>
      </c>
      <c r="I164" s="22">
        <v>-1.7474400000000001E-2</v>
      </c>
      <c r="J164" s="22">
        <v>154</v>
      </c>
      <c r="K164" s="22">
        <v>0.924072</v>
      </c>
      <c r="L164">
        <f t="shared" si="24"/>
        <v>17.474400000000003</v>
      </c>
      <c r="M164">
        <f t="shared" si="25"/>
        <v>16.155607032000002</v>
      </c>
      <c r="N164" s="9"/>
      <c r="O164" s="22">
        <v>0.67550699999999997</v>
      </c>
      <c r="P164" s="22">
        <v>206.68700000000001</v>
      </c>
      <c r="Q164" s="22">
        <v>-1.77094E-2</v>
      </c>
      <c r="R164" s="22">
        <v>154</v>
      </c>
      <c r="S164" s="22">
        <v>0.67492700000000005</v>
      </c>
      <c r="T164">
        <f t="shared" si="26"/>
        <v>17.709399999999999</v>
      </c>
      <c r="U164">
        <f t="shared" si="27"/>
        <v>11.962823665799998</v>
      </c>
      <c r="X164" s="9"/>
      <c r="Y164" s="22">
        <v>0.92452999999999996</v>
      </c>
      <c r="Z164" s="22">
        <v>309.67399999999998</v>
      </c>
      <c r="AA164" s="22">
        <v>-1.7392000000000001E-2</v>
      </c>
      <c r="AB164" s="22">
        <v>154</v>
      </c>
      <c r="AC164" s="22">
        <v>0.923767</v>
      </c>
      <c r="AD164">
        <f t="shared" si="28"/>
        <v>17.391999999999999</v>
      </c>
      <c r="AE164">
        <f t="shared" si="29"/>
        <v>16.079425759999999</v>
      </c>
      <c r="AF164" s="9"/>
      <c r="AG164" s="22">
        <v>0.67550699999999997</v>
      </c>
      <c r="AH164" s="22">
        <v>370.25299999999999</v>
      </c>
      <c r="AI164" s="22">
        <v>-1.75903E-2</v>
      </c>
      <c r="AJ164" s="22">
        <v>154</v>
      </c>
      <c r="AK164" s="22">
        <v>0.67468300000000003</v>
      </c>
      <c r="AL164">
        <f t="shared" si="30"/>
        <v>17.590299999999999</v>
      </c>
      <c r="AM164">
        <f t="shared" si="31"/>
        <v>11.882370782099999</v>
      </c>
      <c r="AP164" s="9"/>
      <c r="AQ164" s="22">
        <v>0.92452999999999996</v>
      </c>
      <c r="AR164" s="22">
        <v>506.03100000000001</v>
      </c>
      <c r="AS164" s="22">
        <v>-1.73157E-2</v>
      </c>
      <c r="AT164" s="22">
        <v>154</v>
      </c>
      <c r="AU164" s="22">
        <v>0.923767</v>
      </c>
      <c r="AV164">
        <f t="shared" si="32"/>
        <v>17.3157</v>
      </c>
      <c r="AW164">
        <f t="shared" si="33"/>
        <v>16.008884120999998</v>
      </c>
      <c r="AX164" s="9"/>
      <c r="AY164" s="22">
        <v>0.67550699999999997</v>
      </c>
      <c r="AZ164" s="22">
        <v>628.38800000000003</v>
      </c>
      <c r="BA164" s="22">
        <v>-1.7523199999999999E-2</v>
      </c>
      <c r="BB164" s="22">
        <v>154</v>
      </c>
      <c r="BC164" s="22">
        <v>0.67520100000000005</v>
      </c>
      <c r="BD164">
        <f t="shared" si="34"/>
        <v>17.523199999999999</v>
      </c>
      <c r="BE164">
        <f t="shared" si="35"/>
        <v>11.837044262399999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91.870999999999995</v>
      </c>
      <c r="I165" s="22">
        <v>-1.7459100000000002E-2</v>
      </c>
      <c r="J165" s="22">
        <v>155</v>
      </c>
      <c r="K165" s="22">
        <v>0.91857900000000003</v>
      </c>
      <c r="L165">
        <f t="shared" si="24"/>
        <v>17.459100000000003</v>
      </c>
      <c r="M165">
        <f t="shared" si="25"/>
        <v>16.053555154500003</v>
      </c>
      <c r="N165" s="9"/>
      <c r="O165" s="22">
        <v>0.68054199999999998</v>
      </c>
      <c r="P165" s="22">
        <v>206.78800000000001</v>
      </c>
      <c r="Q165" s="22">
        <v>-1.7694100000000001E-2</v>
      </c>
      <c r="R165" s="22">
        <v>155</v>
      </c>
      <c r="S165" s="22">
        <v>0.67984</v>
      </c>
      <c r="T165">
        <f t="shared" si="26"/>
        <v>17.694100000000002</v>
      </c>
      <c r="U165">
        <f t="shared" si="27"/>
        <v>12.041578202200002</v>
      </c>
      <c r="X165" s="9"/>
      <c r="Y165" s="22">
        <v>0.91949499999999995</v>
      </c>
      <c r="Z165" s="22">
        <v>309.77499999999998</v>
      </c>
      <c r="AA165" s="22">
        <v>-1.7379800000000001E-2</v>
      </c>
      <c r="AB165" s="22">
        <v>155</v>
      </c>
      <c r="AC165" s="22">
        <v>0.91827400000000003</v>
      </c>
      <c r="AD165">
        <f t="shared" si="28"/>
        <v>17.379799999999999</v>
      </c>
      <c r="AE165">
        <f t="shared" si="29"/>
        <v>15.980639200999999</v>
      </c>
      <c r="AF165" s="9"/>
      <c r="AG165" s="22">
        <v>0.68054199999999998</v>
      </c>
      <c r="AH165" s="22">
        <v>370.35399999999998</v>
      </c>
      <c r="AI165" s="22">
        <v>-1.7572000000000001E-2</v>
      </c>
      <c r="AJ165" s="22">
        <v>155</v>
      </c>
      <c r="AK165" s="22">
        <v>0.67977900000000002</v>
      </c>
      <c r="AL165">
        <f t="shared" si="30"/>
        <v>17.571999999999999</v>
      </c>
      <c r="AM165">
        <f t="shared" si="31"/>
        <v>11.958484023999999</v>
      </c>
      <c r="AP165" s="9"/>
      <c r="AQ165" s="22">
        <v>0.91949499999999995</v>
      </c>
      <c r="AR165" s="22">
        <v>506.13200000000001</v>
      </c>
      <c r="AS165" s="22">
        <v>-1.7324800000000001E-2</v>
      </c>
      <c r="AT165" s="22">
        <v>155</v>
      </c>
      <c r="AU165" s="22">
        <v>0.91857900000000003</v>
      </c>
      <c r="AV165">
        <f t="shared" si="32"/>
        <v>17.3248</v>
      </c>
      <c r="AW165">
        <f t="shared" si="33"/>
        <v>15.930066975999999</v>
      </c>
      <c r="AX165" s="9"/>
      <c r="AY165" s="22">
        <v>0.68054199999999998</v>
      </c>
      <c r="AZ165" s="22">
        <v>628.48900000000003</v>
      </c>
      <c r="BA165" s="22">
        <v>-1.7495699999999999E-2</v>
      </c>
      <c r="BB165" s="22">
        <v>155</v>
      </c>
      <c r="BC165" s="22">
        <v>0.68005400000000005</v>
      </c>
      <c r="BD165">
        <f t="shared" si="34"/>
        <v>17.495699999999999</v>
      </c>
      <c r="BE165">
        <f t="shared" si="35"/>
        <v>11.906558669399999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91.971699999999998</v>
      </c>
      <c r="I166" s="22">
        <v>-1.7440799999999999E-2</v>
      </c>
      <c r="J166" s="22">
        <v>156</v>
      </c>
      <c r="K166" s="22">
        <v>0.91400099999999995</v>
      </c>
      <c r="L166">
        <f t="shared" si="24"/>
        <v>17.440799999999999</v>
      </c>
      <c r="M166">
        <f t="shared" si="25"/>
        <v>15.948896527200001</v>
      </c>
      <c r="N166" s="9"/>
      <c r="O166" s="22">
        <v>0.68557699999999999</v>
      </c>
      <c r="P166" s="22">
        <v>206.88900000000001</v>
      </c>
      <c r="Q166" s="22">
        <v>-1.7715499999999999E-2</v>
      </c>
      <c r="R166" s="22">
        <v>156</v>
      </c>
      <c r="S166" s="22">
        <v>0.768127</v>
      </c>
      <c r="T166">
        <f t="shared" si="26"/>
        <v>17.715499999999999</v>
      </c>
      <c r="U166">
        <f t="shared" si="27"/>
        <v>12.145339343499998</v>
      </c>
      <c r="X166" s="9"/>
      <c r="Y166" s="22">
        <v>0.91445900000000002</v>
      </c>
      <c r="Z166" s="22">
        <v>309.875</v>
      </c>
      <c r="AA166" s="22">
        <v>-1.7379800000000001E-2</v>
      </c>
      <c r="AB166" s="22">
        <v>156</v>
      </c>
      <c r="AC166" s="22">
        <v>0.91308599999999995</v>
      </c>
      <c r="AD166">
        <f t="shared" si="28"/>
        <v>17.379799999999999</v>
      </c>
      <c r="AE166">
        <f t="shared" si="29"/>
        <v>15.8931145282</v>
      </c>
      <c r="AF166" s="9"/>
      <c r="AG166" s="22">
        <v>0.68557699999999999</v>
      </c>
      <c r="AH166" s="22">
        <v>370.45400000000001</v>
      </c>
      <c r="AI166" s="22">
        <v>-1.7556800000000001E-2</v>
      </c>
      <c r="AJ166" s="22">
        <v>156</v>
      </c>
      <c r="AK166" s="22">
        <v>0.68487500000000001</v>
      </c>
      <c r="AL166">
        <f t="shared" si="30"/>
        <v>17.556800000000003</v>
      </c>
      <c r="AM166">
        <f t="shared" si="31"/>
        <v>12.036538273600002</v>
      </c>
      <c r="AP166" s="9"/>
      <c r="AQ166" s="22">
        <v>0.91445900000000002</v>
      </c>
      <c r="AR166" s="22">
        <v>506.233</v>
      </c>
      <c r="AS166" s="22">
        <v>-1.73279E-2</v>
      </c>
      <c r="AT166" s="22">
        <v>156</v>
      </c>
      <c r="AU166" s="22">
        <v>0.91369599999999995</v>
      </c>
      <c r="AV166">
        <f t="shared" si="32"/>
        <v>17.3279</v>
      </c>
      <c r="AW166">
        <f t="shared" si="33"/>
        <v>15.8456541061</v>
      </c>
      <c r="AX166" s="9"/>
      <c r="AY166" s="22">
        <v>0.68557699999999999</v>
      </c>
      <c r="AZ166" s="22">
        <v>628.59</v>
      </c>
      <c r="BA166" s="22">
        <v>-1.7529300000000001E-2</v>
      </c>
      <c r="BB166" s="22">
        <v>156</v>
      </c>
      <c r="BC166" s="22">
        <v>0.68484500000000004</v>
      </c>
      <c r="BD166">
        <f t="shared" si="34"/>
        <v>17.529300000000003</v>
      </c>
      <c r="BE166">
        <f t="shared" si="35"/>
        <v>12.017684906100001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92.072400000000002</v>
      </c>
      <c r="I167" s="22">
        <v>-1.7434700000000001E-2</v>
      </c>
      <c r="J167" s="22">
        <v>157</v>
      </c>
      <c r="K167" s="22">
        <v>0.90820299999999998</v>
      </c>
      <c r="L167">
        <f t="shared" si="24"/>
        <v>17.434699999999999</v>
      </c>
      <c r="M167">
        <f t="shared" si="25"/>
        <v>15.8555346128</v>
      </c>
      <c r="N167" s="9"/>
      <c r="O167" s="22">
        <v>0.69061300000000003</v>
      </c>
      <c r="P167" s="22">
        <v>206.989</v>
      </c>
      <c r="Q167" s="22">
        <v>-1.76971E-2</v>
      </c>
      <c r="R167" s="22">
        <v>157</v>
      </c>
      <c r="S167" s="22">
        <v>0.69015499999999996</v>
      </c>
      <c r="T167">
        <f t="shared" si="26"/>
        <v>17.697099999999999</v>
      </c>
      <c r="U167">
        <f t="shared" si="27"/>
        <v>12.2218473223</v>
      </c>
      <c r="X167" s="9"/>
      <c r="Y167" s="22">
        <v>0.90942400000000001</v>
      </c>
      <c r="Z167" s="22">
        <v>309.976</v>
      </c>
      <c r="AA167" s="22">
        <v>-1.73828E-2</v>
      </c>
      <c r="AB167" s="22">
        <v>157</v>
      </c>
      <c r="AC167" s="22">
        <v>0.90850799999999998</v>
      </c>
      <c r="AD167">
        <f t="shared" si="28"/>
        <v>17.3828</v>
      </c>
      <c r="AE167">
        <f t="shared" si="29"/>
        <v>15.808335507199999</v>
      </c>
      <c r="AF167" s="9"/>
      <c r="AG167" s="22">
        <v>0.69061300000000003</v>
      </c>
      <c r="AH167" s="22">
        <v>370.55500000000001</v>
      </c>
      <c r="AI167" s="22">
        <v>-1.7550699999999999E-2</v>
      </c>
      <c r="AJ167" s="22">
        <v>157</v>
      </c>
      <c r="AK167" s="22">
        <v>0.68997200000000003</v>
      </c>
      <c r="AL167">
        <f t="shared" si="30"/>
        <v>17.550699999999999</v>
      </c>
      <c r="AM167">
        <f t="shared" si="31"/>
        <v>12.120741579100001</v>
      </c>
      <c r="AP167" s="9"/>
      <c r="AQ167" s="22">
        <v>0.90942400000000001</v>
      </c>
      <c r="AR167" s="22">
        <v>506.33300000000003</v>
      </c>
      <c r="AS167" s="22">
        <v>-1.7340100000000001E-2</v>
      </c>
      <c r="AT167" s="22">
        <v>157</v>
      </c>
      <c r="AU167" s="22">
        <v>0.90911900000000001</v>
      </c>
      <c r="AV167">
        <f t="shared" si="32"/>
        <v>17.3401</v>
      </c>
      <c r="AW167">
        <f t="shared" si="33"/>
        <v>15.7695031024</v>
      </c>
      <c r="AX167" s="9"/>
      <c r="AY167" s="22">
        <v>0.69061300000000003</v>
      </c>
      <c r="AZ167" s="22">
        <v>628.69100000000003</v>
      </c>
      <c r="BA167" s="22">
        <v>-1.7526199999999999E-2</v>
      </c>
      <c r="BB167" s="22">
        <v>157</v>
      </c>
      <c r="BC167" s="22">
        <v>0.68960600000000005</v>
      </c>
      <c r="BD167">
        <f t="shared" si="34"/>
        <v>17.526199999999999</v>
      </c>
      <c r="BE167">
        <f t="shared" si="35"/>
        <v>12.1038215606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92.173100000000005</v>
      </c>
      <c r="I168" s="22">
        <v>-1.74133E-2</v>
      </c>
      <c r="J168" s="22">
        <v>158</v>
      </c>
      <c r="K168" s="22">
        <v>0.90362500000000001</v>
      </c>
      <c r="L168">
        <f t="shared" si="24"/>
        <v>17.4133</v>
      </c>
      <c r="M168">
        <f t="shared" si="25"/>
        <v>15.748379560399998</v>
      </c>
      <c r="N168" s="9"/>
      <c r="O168" s="22">
        <v>0.69564800000000004</v>
      </c>
      <c r="P168" s="22">
        <v>207.09</v>
      </c>
      <c r="Q168" s="22">
        <v>-1.7687999999999999E-2</v>
      </c>
      <c r="R168" s="22">
        <v>158</v>
      </c>
      <c r="S168" s="22">
        <v>0.69509900000000002</v>
      </c>
      <c r="T168">
        <f t="shared" si="26"/>
        <v>17.687999999999999</v>
      </c>
      <c r="U168">
        <f t="shared" si="27"/>
        <v>12.304621824</v>
      </c>
      <c r="X168" s="9"/>
      <c r="Y168" s="22">
        <v>0.90438799999999997</v>
      </c>
      <c r="Z168" s="22">
        <v>310.077</v>
      </c>
      <c r="AA168" s="22">
        <v>-1.73706E-2</v>
      </c>
      <c r="AB168" s="22">
        <v>158</v>
      </c>
      <c r="AC168" s="22">
        <v>0.90362500000000001</v>
      </c>
      <c r="AD168">
        <f t="shared" si="28"/>
        <v>17.3706</v>
      </c>
      <c r="AE168">
        <f t="shared" si="29"/>
        <v>15.7097621928</v>
      </c>
      <c r="AF168" s="9"/>
      <c r="AG168" s="22">
        <v>0.69564800000000004</v>
      </c>
      <c r="AH168" s="22">
        <v>370.65600000000001</v>
      </c>
      <c r="AI168" s="22">
        <v>-1.75354E-2</v>
      </c>
      <c r="AJ168" s="22">
        <v>158</v>
      </c>
      <c r="AK168" s="22">
        <v>0.694824</v>
      </c>
      <c r="AL168">
        <f t="shared" si="30"/>
        <v>17.535399999999999</v>
      </c>
      <c r="AM168">
        <f t="shared" si="31"/>
        <v>12.1984659392</v>
      </c>
      <c r="AP168" s="9"/>
      <c r="AQ168" s="22">
        <v>0.90438799999999997</v>
      </c>
      <c r="AR168" s="22">
        <v>506.43400000000003</v>
      </c>
      <c r="AS168" s="22">
        <v>-1.73279E-2</v>
      </c>
      <c r="AT168" s="22">
        <v>158</v>
      </c>
      <c r="AU168" s="22">
        <v>0.90301500000000001</v>
      </c>
      <c r="AV168">
        <f t="shared" si="32"/>
        <v>17.3279</v>
      </c>
      <c r="AW168">
        <f t="shared" si="33"/>
        <v>15.671144825199999</v>
      </c>
      <c r="AX168" s="9"/>
      <c r="AY168" s="22">
        <v>0.69564800000000004</v>
      </c>
      <c r="AZ168" s="22">
        <v>628.79100000000005</v>
      </c>
      <c r="BA168" s="22">
        <v>-1.75201E-2</v>
      </c>
      <c r="BB168" s="22">
        <v>158</v>
      </c>
      <c r="BC168" s="22">
        <v>0.69516</v>
      </c>
      <c r="BD168">
        <f t="shared" si="34"/>
        <v>17.520099999999999</v>
      </c>
      <c r="BE168">
        <f t="shared" si="35"/>
        <v>12.1878225248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92.273799999999994</v>
      </c>
      <c r="I169" s="22">
        <v>-1.73981E-2</v>
      </c>
      <c r="J169" s="22">
        <v>159</v>
      </c>
      <c r="K169" s="22">
        <v>0.89813200000000004</v>
      </c>
      <c r="L169">
        <f t="shared" si="24"/>
        <v>17.398099999999999</v>
      </c>
      <c r="M169">
        <f t="shared" si="25"/>
        <v>15.647033429299999</v>
      </c>
      <c r="N169" s="9"/>
      <c r="O169" s="22">
        <v>0.70068399999999997</v>
      </c>
      <c r="P169" s="22">
        <v>207.191</v>
      </c>
      <c r="Q169" s="22">
        <v>-1.7690999999999998E-2</v>
      </c>
      <c r="R169" s="22">
        <v>159</v>
      </c>
      <c r="S169" s="22">
        <v>0.69992100000000002</v>
      </c>
      <c r="T169">
        <f t="shared" si="26"/>
        <v>17.690999999999999</v>
      </c>
      <c r="U169">
        <f t="shared" si="27"/>
        <v>12.395800643999999</v>
      </c>
      <c r="X169" s="9"/>
      <c r="Y169" s="22">
        <v>0.89935299999999996</v>
      </c>
      <c r="Z169" s="22">
        <v>310.178</v>
      </c>
      <c r="AA169" s="22">
        <v>-1.7385899999999999E-2</v>
      </c>
      <c r="AB169" s="22">
        <v>159</v>
      </c>
      <c r="AC169" s="22">
        <v>0.89874299999999996</v>
      </c>
      <c r="AD169">
        <f t="shared" si="28"/>
        <v>17.385899999999999</v>
      </c>
      <c r="AE169">
        <f t="shared" si="29"/>
        <v>15.636061322699998</v>
      </c>
      <c r="AF169" s="9"/>
      <c r="AG169" s="22">
        <v>0.70068399999999997</v>
      </c>
      <c r="AH169" s="22">
        <v>370.75599999999997</v>
      </c>
      <c r="AI169" s="22">
        <v>-1.7553699999999998E-2</v>
      </c>
      <c r="AJ169" s="22">
        <v>159</v>
      </c>
      <c r="AK169" s="22">
        <v>0.69986000000000004</v>
      </c>
      <c r="AL169">
        <f t="shared" si="30"/>
        <v>17.553699999999999</v>
      </c>
      <c r="AM169">
        <f t="shared" si="31"/>
        <v>12.299596730799999</v>
      </c>
      <c r="AP169" s="9"/>
      <c r="AQ169" s="22">
        <v>0.89935299999999996</v>
      </c>
      <c r="AR169" s="22">
        <v>506.53500000000003</v>
      </c>
      <c r="AS169" s="22">
        <v>-1.7321799999999998E-2</v>
      </c>
      <c r="AT169" s="22">
        <v>159</v>
      </c>
      <c r="AU169" s="22">
        <v>0.89904799999999996</v>
      </c>
      <c r="AV169">
        <f t="shared" si="32"/>
        <v>17.3218</v>
      </c>
      <c r="AW169">
        <f t="shared" si="33"/>
        <v>15.578412795399998</v>
      </c>
      <c r="AX169" s="9"/>
      <c r="AY169" s="22">
        <v>0.70068399999999997</v>
      </c>
      <c r="AZ169" s="22">
        <v>628.89200000000005</v>
      </c>
      <c r="BA169" s="22">
        <v>-1.7513999999999998E-2</v>
      </c>
      <c r="BB169" s="22">
        <v>159</v>
      </c>
      <c r="BC169" s="22">
        <v>0.70019500000000001</v>
      </c>
      <c r="BD169">
        <f t="shared" si="34"/>
        <v>17.513999999999999</v>
      </c>
      <c r="BE169">
        <f t="shared" si="35"/>
        <v>12.271779575999998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92.374600000000001</v>
      </c>
      <c r="I170" s="22">
        <v>-1.7392000000000001E-2</v>
      </c>
      <c r="J170" s="22">
        <v>160</v>
      </c>
      <c r="K170" s="22">
        <v>0.89294399999999996</v>
      </c>
      <c r="L170">
        <f t="shared" si="24"/>
        <v>17.391999999999999</v>
      </c>
      <c r="M170">
        <f t="shared" si="25"/>
        <v>15.553978655999998</v>
      </c>
      <c r="N170" s="9"/>
      <c r="O170" s="22">
        <v>0.70571899999999999</v>
      </c>
      <c r="P170" s="22">
        <v>207.292</v>
      </c>
      <c r="Q170" s="22">
        <v>-1.76849E-2</v>
      </c>
      <c r="R170" s="22">
        <v>160</v>
      </c>
      <c r="S170" s="22">
        <v>0.70516999999999996</v>
      </c>
      <c r="T170">
        <f t="shared" si="26"/>
        <v>17.684899999999999</v>
      </c>
      <c r="U170">
        <f t="shared" si="27"/>
        <v>12.480569943099999</v>
      </c>
      <c r="X170" s="9"/>
      <c r="Y170" s="22">
        <v>0.89431799999999995</v>
      </c>
      <c r="Z170" s="22">
        <v>310.27800000000002</v>
      </c>
      <c r="AA170" s="22">
        <v>-1.7385899999999999E-2</v>
      </c>
      <c r="AB170" s="22">
        <v>160</v>
      </c>
      <c r="AC170" s="22">
        <v>0.89294399999999996</v>
      </c>
      <c r="AD170">
        <f t="shared" si="28"/>
        <v>17.385899999999999</v>
      </c>
      <c r="AE170">
        <f t="shared" si="29"/>
        <v>15.548523316199999</v>
      </c>
      <c r="AF170" s="9"/>
      <c r="AG170" s="22">
        <v>0.70571899999999999</v>
      </c>
      <c r="AH170" s="22">
        <v>370.85700000000003</v>
      </c>
      <c r="AI170" s="22">
        <v>-1.75476E-2</v>
      </c>
      <c r="AJ170" s="22">
        <v>160</v>
      </c>
      <c r="AK170" s="22">
        <v>0.70486499999999996</v>
      </c>
      <c r="AL170">
        <f t="shared" si="30"/>
        <v>17.547599999999999</v>
      </c>
      <c r="AM170">
        <f t="shared" si="31"/>
        <v>12.383674724399999</v>
      </c>
      <c r="AP170" s="9"/>
      <c r="AQ170" s="22">
        <v>0.89431799999999995</v>
      </c>
      <c r="AR170" s="22">
        <v>506.63600000000002</v>
      </c>
      <c r="AS170" s="22">
        <v>-1.7352300000000001E-2</v>
      </c>
      <c r="AT170" s="22">
        <v>160</v>
      </c>
      <c r="AU170" s="22">
        <v>0.89416499999999999</v>
      </c>
      <c r="AV170">
        <f t="shared" si="32"/>
        <v>17.3523</v>
      </c>
      <c r="AW170">
        <f t="shared" si="33"/>
        <v>15.518474231399999</v>
      </c>
      <c r="AX170" s="9"/>
      <c r="AY170" s="22">
        <v>0.70571899999999999</v>
      </c>
      <c r="AZ170" s="22">
        <v>628.99300000000005</v>
      </c>
      <c r="BA170" s="22">
        <v>-1.7529300000000001E-2</v>
      </c>
      <c r="BB170" s="22">
        <v>160</v>
      </c>
      <c r="BC170" s="22">
        <v>0.70526100000000003</v>
      </c>
      <c r="BD170">
        <f t="shared" si="34"/>
        <v>17.529300000000003</v>
      </c>
      <c r="BE170">
        <f t="shared" si="35"/>
        <v>12.370760066700001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92.475300000000004</v>
      </c>
      <c r="I171" s="22">
        <v>-1.73157E-2</v>
      </c>
      <c r="J171" s="22">
        <v>161</v>
      </c>
      <c r="K171" s="22">
        <v>0.88867200000000002</v>
      </c>
      <c r="L171">
        <f t="shared" si="24"/>
        <v>17.3157</v>
      </c>
      <c r="M171">
        <f t="shared" si="25"/>
        <v>15.398540327399999</v>
      </c>
      <c r="N171" s="9"/>
      <c r="O171" s="22">
        <v>0.710754</v>
      </c>
      <c r="P171" s="22">
        <v>207.392</v>
      </c>
      <c r="Q171" s="22">
        <v>-1.76819E-2</v>
      </c>
      <c r="R171" s="22">
        <v>161</v>
      </c>
      <c r="S171" s="22">
        <v>0.71002200000000004</v>
      </c>
      <c r="T171">
        <f t="shared" si="26"/>
        <v>17.681899999999999</v>
      </c>
      <c r="U171">
        <f t="shared" si="27"/>
        <v>12.567481152599999</v>
      </c>
      <c r="X171" s="9"/>
      <c r="Y171" s="22">
        <v>0.88928200000000002</v>
      </c>
      <c r="Z171" s="22">
        <v>310.37900000000002</v>
      </c>
      <c r="AA171" s="22">
        <v>-1.7379800000000001E-2</v>
      </c>
      <c r="AB171" s="22">
        <v>161</v>
      </c>
      <c r="AC171" s="22">
        <v>0.88836700000000002</v>
      </c>
      <c r="AD171">
        <f t="shared" si="28"/>
        <v>17.379799999999999</v>
      </c>
      <c r="AE171">
        <f t="shared" si="29"/>
        <v>15.455543303599999</v>
      </c>
      <c r="AF171" s="9"/>
      <c r="AG171" s="22">
        <v>0.710754</v>
      </c>
      <c r="AH171" s="22">
        <v>370.95800000000003</v>
      </c>
      <c r="AI171" s="22">
        <v>-1.7529300000000001E-2</v>
      </c>
      <c r="AJ171" s="22">
        <v>161</v>
      </c>
      <c r="AK171" s="22">
        <v>0.71008300000000002</v>
      </c>
      <c r="AL171">
        <f t="shared" si="30"/>
        <v>17.529300000000003</v>
      </c>
      <c r="AM171">
        <f t="shared" si="31"/>
        <v>12.459020092200001</v>
      </c>
      <c r="AP171" s="9"/>
      <c r="AQ171" s="22">
        <v>0.88928200000000002</v>
      </c>
      <c r="AR171" s="22">
        <v>506.73599999999999</v>
      </c>
      <c r="AS171" s="22">
        <v>-1.73706E-2</v>
      </c>
      <c r="AT171" s="22">
        <v>161</v>
      </c>
      <c r="AU171" s="22">
        <v>0.88867200000000002</v>
      </c>
      <c r="AV171">
        <f t="shared" si="32"/>
        <v>17.3706</v>
      </c>
      <c r="AW171">
        <f t="shared" si="33"/>
        <v>15.4473619092</v>
      </c>
      <c r="AX171" s="9"/>
      <c r="AY171" s="22">
        <v>0.710754</v>
      </c>
      <c r="AZ171" s="22">
        <v>629.09299999999996</v>
      </c>
      <c r="BA171" s="22">
        <v>-1.75201E-2</v>
      </c>
      <c r="BB171" s="22">
        <v>161</v>
      </c>
      <c r="BC171" s="22">
        <v>0.70989999999999998</v>
      </c>
      <c r="BD171">
        <f t="shared" si="34"/>
        <v>17.520099999999999</v>
      </c>
      <c r="BE171">
        <f t="shared" si="35"/>
        <v>12.452481155399999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92.575999999999993</v>
      </c>
      <c r="I172" s="22">
        <v>-1.7385899999999999E-2</v>
      </c>
      <c r="J172" s="22">
        <v>162</v>
      </c>
      <c r="K172" s="22">
        <v>0.88287400000000005</v>
      </c>
      <c r="L172">
        <f t="shared" si="24"/>
        <v>17.385899999999999</v>
      </c>
      <c r="M172">
        <f t="shared" si="25"/>
        <v>15.373429917299999</v>
      </c>
      <c r="N172" s="9"/>
      <c r="O172" s="22">
        <v>0.71579000000000004</v>
      </c>
      <c r="P172" s="22">
        <v>207.49299999999999</v>
      </c>
      <c r="Q172" s="22">
        <v>-1.7678800000000001E-2</v>
      </c>
      <c r="R172" s="22">
        <v>162</v>
      </c>
      <c r="S172" s="22">
        <v>0.71508799999999995</v>
      </c>
      <c r="T172">
        <f t="shared" si="26"/>
        <v>17.678800000000003</v>
      </c>
      <c r="U172">
        <f t="shared" si="27"/>
        <v>12.654308252000002</v>
      </c>
      <c r="X172" s="9"/>
      <c r="Y172" s="22">
        <v>0.88424700000000001</v>
      </c>
      <c r="Z172" s="22">
        <v>310.48</v>
      </c>
      <c r="AA172" s="22">
        <v>-1.73981E-2</v>
      </c>
      <c r="AB172" s="22">
        <v>162</v>
      </c>
      <c r="AC172" s="22">
        <v>0.88348400000000005</v>
      </c>
      <c r="AD172">
        <f t="shared" si="28"/>
        <v>17.398099999999999</v>
      </c>
      <c r="AE172">
        <f t="shared" si="29"/>
        <v>15.3842177307</v>
      </c>
      <c r="AF172" s="9"/>
      <c r="AG172" s="22">
        <v>0.71579000000000004</v>
      </c>
      <c r="AH172" s="22">
        <v>371.05900000000003</v>
      </c>
      <c r="AI172" s="22">
        <v>-1.75446E-2</v>
      </c>
      <c r="AJ172" s="22">
        <v>162</v>
      </c>
      <c r="AK172" s="22">
        <v>0.71521000000000001</v>
      </c>
      <c r="AL172">
        <f t="shared" si="30"/>
        <v>17.544599999999999</v>
      </c>
      <c r="AM172">
        <f t="shared" si="31"/>
        <v>12.558249234</v>
      </c>
      <c r="AP172" s="9"/>
      <c r="AQ172" s="22">
        <v>0.88424700000000001</v>
      </c>
      <c r="AR172" s="22">
        <v>506.83699999999999</v>
      </c>
      <c r="AS172" s="22">
        <v>-1.7376699999999998E-2</v>
      </c>
      <c r="AT172" s="22">
        <v>162</v>
      </c>
      <c r="AU172" s="22">
        <v>0.88317900000000005</v>
      </c>
      <c r="AV172">
        <f t="shared" si="32"/>
        <v>17.3767</v>
      </c>
      <c r="AW172">
        <f t="shared" si="33"/>
        <v>15.365294844899999</v>
      </c>
      <c r="AX172" s="9"/>
      <c r="AY172" s="22">
        <v>0.71579000000000004</v>
      </c>
      <c r="AZ172" s="22">
        <v>629.19399999999996</v>
      </c>
      <c r="BA172" s="22">
        <v>-1.7526199999999999E-2</v>
      </c>
      <c r="BB172" s="22">
        <v>162</v>
      </c>
      <c r="BC172" s="22">
        <v>0.71551500000000001</v>
      </c>
      <c r="BD172">
        <f t="shared" si="34"/>
        <v>17.526199999999999</v>
      </c>
      <c r="BE172">
        <f t="shared" si="35"/>
        <v>12.545078697999999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92.676699999999997</v>
      </c>
      <c r="I173" s="22">
        <v>-1.7419400000000002E-2</v>
      </c>
      <c r="J173" s="22">
        <v>163</v>
      </c>
      <c r="K173" s="22">
        <v>0.87829599999999997</v>
      </c>
      <c r="L173">
        <f t="shared" si="24"/>
        <v>17.419400000000003</v>
      </c>
      <c r="M173">
        <f t="shared" si="25"/>
        <v>15.315328093400002</v>
      </c>
      <c r="N173" s="9"/>
      <c r="O173" s="22">
        <v>0.72082500000000005</v>
      </c>
      <c r="P173" s="22">
        <v>207.59399999999999</v>
      </c>
      <c r="Q173" s="22">
        <v>-1.76575E-2</v>
      </c>
      <c r="R173" s="22">
        <v>163</v>
      </c>
      <c r="S173" s="22">
        <v>0.72012299999999996</v>
      </c>
      <c r="T173">
        <f t="shared" si="26"/>
        <v>17.657499999999999</v>
      </c>
      <c r="U173">
        <f t="shared" si="27"/>
        <v>12.7279674375</v>
      </c>
      <c r="X173" s="9"/>
      <c r="Y173" s="22">
        <v>0.87921099999999996</v>
      </c>
      <c r="Z173" s="22">
        <v>310.58</v>
      </c>
      <c r="AA173" s="22">
        <v>-1.7404200000000002E-2</v>
      </c>
      <c r="AB173" s="22">
        <v>163</v>
      </c>
      <c r="AC173" s="22">
        <v>0.87768599999999997</v>
      </c>
      <c r="AD173">
        <f t="shared" si="28"/>
        <v>17.404200000000003</v>
      </c>
      <c r="AE173">
        <f t="shared" si="29"/>
        <v>15.301964086200002</v>
      </c>
      <c r="AF173" s="9"/>
      <c r="AG173" s="22">
        <v>0.72082500000000005</v>
      </c>
      <c r="AH173" s="22">
        <v>371.15899999999999</v>
      </c>
      <c r="AI173" s="22">
        <v>-1.7523199999999999E-2</v>
      </c>
      <c r="AJ173" s="22">
        <v>163</v>
      </c>
      <c r="AK173" s="22">
        <v>0.72027600000000003</v>
      </c>
      <c r="AL173">
        <f t="shared" si="30"/>
        <v>17.523199999999999</v>
      </c>
      <c r="AM173">
        <f t="shared" si="31"/>
        <v>12.631160640000001</v>
      </c>
      <c r="AP173" s="9"/>
      <c r="AQ173" s="22">
        <v>0.87921099999999996</v>
      </c>
      <c r="AR173" s="22">
        <v>506.93799999999999</v>
      </c>
      <c r="AS173" s="22">
        <v>-1.7388899999999999E-2</v>
      </c>
      <c r="AT173" s="22">
        <v>163</v>
      </c>
      <c r="AU173" s="22">
        <v>0.87860099999999997</v>
      </c>
      <c r="AV173">
        <f t="shared" si="32"/>
        <v>17.3889</v>
      </c>
      <c r="AW173">
        <f t="shared" si="33"/>
        <v>15.2885121579</v>
      </c>
      <c r="AX173" s="9"/>
      <c r="AY173" s="22">
        <v>0.72082500000000005</v>
      </c>
      <c r="AZ173" s="22">
        <v>629.29499999999996</v>
      </c>
      <c r="BA173" s="22">
        <v>-1.7523199999999999E-2</v>
      </c>
      <c r="BB173" s="22">
        <v>163</v>
      </c>
      <c r="BC173" s="22">
        <v>0.72027600000000003</v>
      </c>
      <c r="BD173">
        <f t="shared" si="34"/>
        <v>17.523199999999999</v>
      </c>
      <c r="BE173">
        <f t="shared" si="35"/>
        <v>12.631160640000001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92.7774</v>
      </c>
      <c r="I174" s="22">
        <v>-1.7431599999999998E-2</v>
      </c>
      <c r="J174" s="22">
        <v>164</v>
      </c>
      <c r="K174" s="22">
        <v>0.87341299999999999</v>
      </c>
      <c r="L174">
        <f t="shared" si="24"/>
        <v>17.4316</v>
      </c>
      <c r="M174">
        <f t="shared" si="25"/>
        <v>15.238286361599998</v>
      </c>
      <c r="N174" s="9"/>
      <c r="O174" s="22">
        <v>0.72586099999999998</v>
      </c>
      <c r="P174" s="22">
        <v>207.69399999999999</v>
      </c>
      <c r="Q174" s="22">
        <v>-1.7660499999999999E-2</v>
      </c>
      <c r="R174" s="22">
        <v>164</v>
      </c>
      <c r="S174" s="22">
        <v>0.725159</v>
      </c>
      <c r="T174">
        <f t="shared" si="26"/>
        <v>17.660499999999999</v>
      </c>
      <c r="U174">
        <f t="shared" si="27"/>
        <v>12.819068190499999</v>
      </c>
      <c r="X174" s="9"/>
      <c r="Y174" s="22">
        <v>0.87417599999999995</v>
      </c>
      <c r="Z174" s="22">
        <v>310.68099999999998</v>
      </c>
      <c r="AA174" s="22">
        <v>-1.74225E-2</v>
      </c>
      <c r="AB174" s="22">
        <v>164</v>
      </c>
      <c r="AC174" s="22">
        <v>0.872803</v>
      </c>
      <c r="AD174">
        <f t="shared" si="28"/>
        <v>17.422499999999999</v>
      </c>
      <c r="AE174">
        <f t="shared" si="29"/>
        <v>15.230331359999999</v>
      </c>
      <c r="AF174" s="9"/>
      <c r="AG174" s="22">
        <v>0.72586099999999998</v>
      </c>
      <c r="AH174" s="22">
        <v>371.26</v>
      </c>
      <c r="AI174" s="22">
        <v>-1.7538499999999999E-2</v>
      </c>
      <c r="AJ174" s="22">
        <v>164</v>
      </c>
      <c r="AK174" s="22">
        <v>0.725159</v>
      </c>
      <c r="AL174">
        <f t="shared" si="30"/>
        <v>17.538499999999999</v>
      </c>
      <c r="AM174">
        <f t="shared" si="31"/>
        <v>12.730513148499998</v>
      </c>
      <c r="AP174" s="9"/>
      <c r="AQ174" s="22">
        <v>0.87417599999999995</v>
      </c>
      <c r="AR174" s="22">
        <v>507.03800000000001</v>
      </c>
      <c r="AS174" s="22">
        <v>-1.7392000000000001E-2</v>
      </c>
      <c r="AT174" s="22">
        <v>164</v>
      </c>
      <c r="AU174" s="22">
        <v>0.87341299999999999</v>
      </c>
      <c r="AV174">
        <f t="shared" si="32"/>
        <v>17.391999999999999</v>
      </c>
      <c r="AW174">
        <f t="shared" si="33"/>
        <v>15.203668991999999</v>
      </c>
      <c r="AX174" s="9"/>
      <c r="AY174" s="22">
        <v>0.72586099999999998</v>
      </c>
      <c r="AZ174" s="22">
        <v>629.39499999999998</v>
      </c>
      <c r="BA174" s="22">
        <v>-1.7523199999999999E-2</v>
      </c>
      <c r="BB174" s="22">
        <v>164</v>
      </c>
      <c r="BC174" s="22">
        <v>0.72524999999999995</v>
      </c>
      <c r="BD174">
        <f t="shared" si="34"/>
        <v>17.523199999999999</v>
      </c>
      <c r="BE174">
        <f t="shared" si="35"/>
        <v>12.719407475199999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92.878100000000003</v>
      </c>
      <c r="I175" s="22">
        <v>-1.74927E-2</v>
      </c>
      <c r="J175" s="22">
        <v>165</v>
      </c>
      <c r="K175" s="22">
        <v>0.86822500000000002</v>
      </c>
      <c r="L175">
        <f t="shared" si="24"/>
        <v>17.492699999999999</v>
      </c>
      <c r="M175">
        <f t="shared" si="25"/>
        <v>15.203622770700001</v>
      </c>
      <c r="N175" s="9"/>
      <c r="O175" s="22">
        <v>0.73089599999999999</v>
      </c>
      <c r="P175" s="22">
        <v>207.79499999999999</v>
      </c>
      <c r="Q175" s="22">
        <v>-1.7666600000000001E-2</v>
      </c>
      <c r="R175" s="22">
        <v>165</v>
      </c>
      <c r="S175" s="22">
        <v>0.73022500000000001</v>
      </c>
      <c r="T175">
        <f t="shared" si="26"/>
        <v>17.666600000000003</v>
      </c>
      <c r="U175">
        <f t="shared" si="27"/>
        <v>12.912447273600002</v>
      </c>
      <c r="X175" s="9"/>
      <c r="Y175" s="22">
        <v>0.86914100000000005</v>
      </c>
      <c r="Z175" s="22">
        <v>310.78199999999998</v>
      </c>
      <c r="AA175" s="22">
        <v>-1.74377E-2</v>
      </c>
      <c r="AB175" s="22">
        <v>165</v>
      </c>
      <c r="AC175" s="22">
        <v>0.86822500000000002</v>
      </c>
      <c r="AD175">
        <f t="shared" si="28"/>
        <v>17.4377</v>
      </c>
      <c r="AE175">
        <f t="shared" si="29"/>
        <v>15.1558200157</v>
      </c>
      <c r="AF175" s="9"/>
      <c r="AG175" s="22">
        <v>0.73089599999999999</v>
      </c>
      <c r="AH175" s="22">
        <v>371.36099999999999</v>
      </c>
      <c r="AI175" s="22">
        <v>-1.75201E-2</v>
      </c>
      <c r="AJ175" s="22">
        <v>165</v>
      </c>
      <c r="AK175" s="22">
        <v>0.73019400000000001</v>
      </c>
      <c r="AL175">
        <f t="shared" si="30"/>
        <v>17.520099999999999</v>
      </c>
      <c r="AM175">
        <f t="shared" si="31"/>
        <v>12.8053710096</v>
      </c>
      <c r="AP175" s="9"/>
      <c r="AQ175" s="22">
        <v>0.86914100000000005</v>
      </c>
      <c r="AR175" s="22">
        <v>507.13900000000001</v>
      </c>
      <c r="AS175" s="22">
        <v>-1.7385899999999999E-2</v>
      </c>
      <c r="AT175" s="22">
        <v>165</v>
      </c>
      <c r="AU175" s="22">
        <v>0.86822500000000002</v>
      </c>
      <c r="AV175">
        <f t="shared" si="32"/>
        <v>17.385899999999999</v>
      </c>
      <c r="AW175">
        <f t="shared" si="33"/>
        <v>15.110798511900001</v>
      </c>
      <c r="AX175" s="9"/>
      <c r="AY175" s="22">
        <v>0.73089599999999999</v>
      </c>
      <c r="AZ175" s="22">
        <v>629.49599999999998</v>
      </c>
      <c r="BA175" s="22">
        <v>-1.75049E-2</v>
      </c>
      <c r="BB175" s="22">
        <v>165</v>
      </c>
      <c r="BC175" s="22">
        <v>0.73007200000000005</v>
      </c>
      <c r="BD175">
        <f t="shared" si="34"/>
        <v>17.504899999999999</v>
      </c>
      <c r="BE175">
        <f t="shared" si="35"/>
        <v>12.794261390399999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92.978800000000007</v>
      </c>
      <c r="I176" s="22">
        <v>-1.7495699999999999E-2</v>
      </c>
      <c r="J176" s="22">
        <v>166</v>
      </c>
      <c r="K176" s="22">
        <v>0.86334200000000005</v>
      </c>
      <c r="L176">
        <f t="shared" si="24"/>
        <v>17.495699999999999</v>
      </c>
      <c r="M176">
        <f t="shared" si="25"/>
        <v>15.1181218485</v>
      </c>
      <c r="N176" s="9"/>
      <c r="O176" s="22">
        <v>0.735931</v>
      </c>
      <c r="P176" s="22">
        <v>207.89599999999999</v>
      </c>
      <c r="Q176" s="22">
        <v>-1.7666600000000001E-2</v>
      </c>
      <c r="R176" s="22">
        <v>166</v>
      </c>
      <c r="S176" s="22">
        <v>0.73529100000000003</v>
      </c>
      <c r="T176">
        <f t="shared" si="26"/>
        <v>17.666600000000003</v>
      </c>
      <c r="U176">
        <f t="shared" si="27"/>
        <v>13.001398604600002</v>
      </c>
      <c r="X176" s="9"/>
      <c r="Y176" s="22">
        <v>0.86410500000000001</v>
      </c>
      <c r="Z176" s="22">
        <v>310.88200000000001</v>
      </c>
      <c r="AA176" s="22">
        <v>-1.7446900000000001E-2</v>
      </c>
      <c r="AB176" s="22">
        <v>166</v>
      </c>
      <c r="AC176" s="22">
        <v>0.86364700000000005</v>
      </c>
      <c r="AD176">
        <f t="shared" si="28"/>
        <v>17.446900000000003</v>
      </c>
      <c r="AE176">
        <f t="shared" si="29"/>
        <v>15.075953524500003</v>
      </c>
      <c r="AF176" s="9"/>
      <c r="AG176" s="22">
        <v>0.735931</v>
      </c>
      <c r="AH176" s="22">
        <v>371.46100000000001</v>
      </c>
      <c r="AI176" s="22">
        <v>-1.7517100000000001E-2</v>
      </c>
      <c r="AJ176" s="22">
        <v>166</v>
      </c>
      <c r="AK176" s="22">
        <v>0.73513799999999996</v>
      </c>
      <c r="AL176">
        <f t="shared" si="30"/>
        <v>17.517099999999999</v>
      </c>
      <c r="AM176">
        <f t="shared" si="31"/>
        <v>12.891376920099999</v>
      </c>
      <c r="AP176" s="9"/>
      <c r="AQ176" s="22">
        <v>0.86410500000000001</v>
      </c>
      <c r="AR176" s="22">
        <v>507.24</v>
      </c>
      <c r="AS176" s="22">
        <v>-1.7392000000000001E-2</v>
      </c>
      <c r="AT176" s="22">
        <v>166</v>
      </c>
      <c r="AU176" s="22">
        <v>0.86364700000000005</v>
      </c>
      <c r="AV176">
        <f t="shared" si="32"/>
        <v>17.391999999999999</v>
      </c>
      <c r="AW176">
        <f t="shared" si="33"/>
        <v>15.02851416</v>
      </c>
      <c r="AX176" s="9"/>
      <c r="AY176" s="22">
        <v>0.735931</v>
      </c>
      <c r="AZ176" s="22">
        <v>629.59699999999998</v>
      </c>
      <c r="BA176" s="22">
        <v>-1.75049E-2</v>
      </c>
      <c r="BB176" s="22">
        <v>166</v>
      </c>
      <c r="BC176" s="22">
        <v>0.73516800000000004</v>
      </c>
      <c r="BD176">
        <f t="shared" si="34"/>
        <v>17.504899999999999</v>
      </c>
      <c r="BE176">
        <f t="shared" si="35"/>
        <v>12.882398561899999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93.079499999999996</v>
      </c>
      <c r="I177" s="22">
        <v>-1.7434700000000001E-2</v>
      </c>
      <c r="J177" s="22">
        <v>167</v>
      </c>
      <c r="K177" s="22">
        <v>0.85784899999999997</v>
      </c>
      <c r="L177">
        <f t="shared" si="24"/>
        <v>17.434699999999999</v>
      </c>
      <c r="M177">
        <f t="shared" si="25"/>
        <v>14.977627729</v>
      </c>
      <c r="N177" s="9"/>
      <c r="O177" s="22">
        <v>0.74096700000000004</v>
      </c>
      <c r="P177" s="22">
        <v>207.99600000000001</v>
      </c>
      <c r="Q177" s="22">
        <v>-1.7660499999999999E-2</v>
      </c>
      <c r="R177" s="22">
        <v>167</v>
      </c>
      <c r="S177" s="22">
        <v>0.74020399999999997</v>
      </c>
      <c r="T177">
        <f t="shared" si="26"/>
        <v>17.660499999999999</v>
      </c>
      <c r="U177">
        <f t="shared" si="27"/>
        <v>13.085847703500001</v>
      </c>
      <c r="X177" s="9"/>
      <c r="Y177" s="22">
        <v>0.85907</v>
      </c>
      <c r="Z177" s="22">
        <v>310.983</v>
      </c>
      <c r="AA177" s="22">
        <v>-1.7456099999999999E-2</v>
      </c>
      <c r="AB177" s="22">
        <v>167</v>
      </c>
      <c r="AC177" s="22">
        <v>0.85907</v>
      </c>
      <c r="AD177">
        <f t="shared" si="28"/>
        <v>17.456099999999999</v>
      </c>
      <c r="AE177">
        <f t="shared" si="29"/>
        <v>14.996011827</v>
      </c>
      <c r="AF177" s="9"/>
      <c r="AG177" s="22">
        <v>0.74096700000000004</v>
      </c>
      <c r="AH177" s="22">
        <v>371.56200000000001</v>
      </c>
      <c r="AI177" s="22">
        <v>-1.7513999999999998E-2</v>
      </c>
      <c r="AJ177" s="22">
        <v>167</v>
      </c>
      <c r="AK177" s="22">
        <v>0.74029500000000004</v>
      </c>
      <c r="AL177">
        <f t="shared" si="30"/>
        <v>17.513999999999999</v>
      </c>
      <c r="AM177">
        <f t="shared" si="31"/>
        <v>12.977296038</v>
      </c>
      <c r="AP177" s="9"/>
      <c r="AQ177" s="22">
        <v>0.85907</v>
      </c>
      <c r="AR177" s="22">
        <v>507.34</v>
      </c>
      <c r="AS177" s="22">
        <v>-1.7401099999999999E-2</v>
      </c>
      <c r="AT177" s="22">
        <v>167</v>
      </c>
      <c r="AU177" s="22">
        <v>0.85845899999999997</v>
      </c>
      <c r="AV177">
        <f t="shared" si="32"/>
        <v>17.4011</v>
      </c>
      <c r="AW177">
        <f t="shared" si="33"/>
        <v>14.948762976999999</v>
      </c>
      <c r="AX177" s="9"/>
      <c r="AY177" s="22">
        <v>0.74096700000000004</v>
      </c>
      <c r="AZ177" s="22">
        <v>629.69799999999998</v>
      </c>
      <c r="BA177" s="22">
        <v>-1.7495699999999999E-2</v>
      </c>
      <c r="BB177" s="22">
        <v>167</v>
      </c>
      <c r="BC177" s="22">
        <v>0.74066200000000004</v>
      </c>
      <c r="BD177">
        <f t="shared" si="34"/>
        <v>17.495699999999999</v>
      </c>
      <c r="BE177">
        <f t="shared" si="35"/>
        <v>12.963736341900001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93.180199999999999</v>
      </c>
      <c r="I178" s="22">
        <v>-1.7459100000000002E-2</v>
      </c>
      <c r="J178" s="22">
        <v>168</v>
      </c>
      <c r="K178" s="22">
        <v>0.853271</v>
      </c>
      <c r="L178">
        <f t="shared" si="24"/>
        <v>17.459100000000003</v>
      </c>
      <c r="M178">
        <f t="shared" si="25"/>
        <v>14.910665009400002</v>
      </c>
      <c r="N178" s="9"/>
      <c r="O178" s="22">
        <v>0.74600200000000005</v>
      </c>
      <c r="P178" s="22">
        <v>208.09700000000001</v>
      </c>
      <c r="Q178" s="22">
        <v>-1.7663600000000002E-2</v>
      </c>
      <c r="R178" s="22">
        <v>168</v>
      </c>
      <c r="S178" s="22">
        <v>0.74539200000000005</v>
      </c>
      <c r="T178">
        <f t="shared" si="26"/>
        <v>17.663600000000002</v>
      </c>
      <c r="U178">
        <f t="shared" si="27"/>
        <v>13.177080927200002</v>
      </c>
      <c r="X178" s="9"/>
      <c r="Y178" s="22">
        <v>0.85403399999999996</v>
      </c>
      <c r="Z178" s="22">
        <v>311.084</v>
      </c>
      <c r="AA178" s="22">
        <v>-1.7474400000000001E-2</v>
      </c>
      <c r="AB178" s="22">
        <v>168</v>
      </c>
      <c r="AC178" s="22">
        <v>0.852966</v>
      </c>
      <c r="AD178">
        <f t="shared" si="28"/>
        <v>17.474400000000003</v>
      </c>
      <c r="AE178">
        <f t="shared" si="29"/>
        <v>14.923731729600002</v>
      </c>
      <c r="AF178" s="9"/>
      <c r="AG178" s="22">
        <v>0.74600200000000005</v>
      </c>
      <c r="AH178" s="22">
        <v>371.66300000000001</v>
      </c>
      <c r="AI178" s="22">
        <v>-1.7510999999999999E-2</v>
      </c>
      <c r="AJ178" s="22">
        <v>168</v>
      </c>
      <c r="AK178" s="22">
        <v>0.74529999999999996</v>
      </c>
      <c r="AL178">
        <f t="shared" si="30"/>
        <v>17.510999999999999</v>
      </c>
      <c r="AM178">
        <f t="shared" si="31"/>
        <v>13.063241022</v>
      </c>
      <c r="AP178" s="9"/>
      <c r="AQ178" s="22">
        <v>0.85403399999999996</v>
      </c>
      <c r="AR178" s="22">
        <v>507.44099999999997</v>
      </c>
      <c r="AS178" s="22">
        <v>-1.7407200000000001E-2</v>
      </c>
      <c r="AT178" s="22">
        <v>168</v>
      </c>
      <c r="AU178" s="22">
        <v>0.85388200000000003</v>
      </c>
      <c r="AV178">
        <f t="shared" si="32"/>
        <v>17.4072</v>
      </c>
      <c r="AW178">
        <f t="shared" si="33"/>
        <v>14.866340644799999</v>
      </c>
      <c r="AX178" s="9"/>
      <c r="AY178" s="22">
        <v>0.74600200000000005</v>
      </c>
      <c r="AZ178" s="22">
        <v>629.798</v>
      </c>
      <c r="BA178" s="22">
        <v>-1.7486600000000001E-2</v>
      </c>
      <c r="BB178" s="22">
        <v>168</v>
      </c>
      <c r="BC178" s="22">
        <v>0.74539200000000005</v>
      </c>
      <c r="BD178">
        <f t="shared" si="34"/>
        <v>17.486600000000003</v>
      </c>
      <c r="BE178">
        <f t="shared" si="35"/>
        <v>13.045038573200003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93.280900000000003</v>
      </c>
      <c r="I179" s="22">
        <v>-1.74652E-2</v>
      </c>
      <c r="J179" s="22">
        <v>169</v>
      </c>
      <c r="K179" s="22">
        <v>0.84899899999999995</v>
      </c>
      <c r="L179">
        <f t="shared" si="24"/>
        <v>17.465199999999999</v>
      </c>
      <c r="M179">
        <f t="shared" si="25"/>
        <v>14.827937334799998</v>
      </c>
      <c r="N179" s="9"/>
      <c r="O179" s="22">
        <v>0.75103799999999998</v>
      </c>
      <c r="P179" s="22">
        <v>208.19800000000001</v>
      </c>
      <c r="Q179" s="22">
        <v>-1.7666600000000001E-2</v>
      </c>
      <c r="R179" s="22">
        <v>169</v>
      </c>
      <c r="S179" s="22">
        <v>0.75439500000000004</v>
      </c>
      <c r="T179">
        <f t="shared" si="26"/>
        <v>17.666600000000003</v>
      </c>
      <c r="U179">
        <f t="shared" si="27"/>
        <v>13.268287930800001</v>
      </c>
      <c r="X179" s="9"/>
      <c r="Y179" s="22">
        <v>0.84899899999999995</v>
      </c>
      <c r="Z179" s="22">
        <v>311.185</v>
      </c>
      <c r="AA179" s="22">
        <v>-1.7495699999999999E-2</v>
      </c>
      <c r="AB179" s="22">
        <v>169</v>
      </c>
      <c r="AC179" s="22">
        <v>0.84838899999999995</v>
      </c>
      <c r="AD179">
        <f t="shared" si="28"/>
        <v>17.495699999999999</v>
      </c>
      <c r="AE179">
        <f t="shared" si="29"/>
        <v>14.853831804299999</v>
      </c>
      <c r="AF179" s="9"/>
      <c r="AG179" s="22">
        <v>0.75103799999999998</v>
      </c>
      <c r="AH179" s="22">
        <v>371.76400000000001</v>
      </c>
      <c r="AI179" s="22">
        <v>-1.7501800000000001E-2</v>
      </c>
      <c r="AJ179" s="22">
        <v>169</v>
      </c>
      <c r="AK179" s="22">
        <v>0.750336</v>
      </c>
      <c r="AL179">
        <f t="shared" si="30"/>
        <v>17.501800000000003</v>
      </c>
      <c r="AM179">
        <f t="shared" si="31"/>
        <v>13.144516868400002</v>
      </c>
      <c r="AP179" s="9"/>
      <c r="AQ179" s="22">
        <v>0.84899899999999995</v>
      </c>
      <c r="AR179" s="22">
        <v>507.54199999999997</v>
      </c>
      <c r="AS179" s="22">
        <v>-1.7419400000000002E-2</v>
      </c>
      <c r="AT179" s="22">
        <v>169</v>
      </c>
      <c r="AU179" s="22">
        <v>0.84777800000000003</v>
      </c>
      <c r="AV179">
        <f t="shared" si="32"/>
        <v>17.419400000000003</v>
      </c>
      <c r="AW179">
        <f t="shared" si="33"/>
        <v>14.789053180600002</v>
      </c>
      <c r="AX179" s="9"/>
      <c r="AY179" s="22">
        <v>0.75103799999999998</v>
      </c>
      <c r="AZ179" s="22">
        <v>629.899</v>
      </c>
      <c r="BA179" s="22">
        <v>-1.7501800000000001E-2</v>
      </c>
      <c r="BB179" s="22">
        <v>169</v>
      </c>
      <c r="BC179" s="22">
        <v>0.75018300000000004</v>
      </c>
      <c r="BD179">
        <f t="shared" si="34"/>
        <v>17.501800000000003</v>
      </c>
      <c r="BE179">
        <f t="shared" si="35"/>
        <v>13.144516868400002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93.381600000000006</v>
      </c>
      <c r="I180" s="22">
        <v>-1.7510999999999999E-2</v>
      </c>
      <c r="J180" s="22">
        <v>170</v>
      </c>
      <c r="K180" s="22">
        <v>0.83892800000000001</v>
      </c>
      <c r="L180">
        <f t="shared" si="24"/>
        <v>17.510999999999999</v>
      </c>
      <c r="M180">
        <f t="shared" si="25"/>
        <v>14.778653604</v>
      </c>
      <c r="N180" s="9"/>
      <c r="O180" s="22">
        <v>0.756073</v>
      </c>
      <c r="P180" s="22">
        <v>208.29900000000001</v>
      </c>
      <c r="Q180" s="22">
        <v>-1.7651400000000001E-2</v>
      </c>
      <c r="R180" s="22">
        <v>170</v>
      </c>
      <c r="S180" s="22">
        <v>0.75470000000000004</v>
      </c>
      <c r="T180">
        <f t="shared" si="26"/>
        <v>17.651400000000002</v>
      </c>
      <c r="U180">
        <f t="shared" si="27"/>
        <v>13.345746952200003</v>
      </c>
      <c r="X180" s="9"/>
      <c r="Y180" s="22">
        <v>0.84396400000000005</v>
      </c>
      <c r="Z180" s="22">
        <v>311.28500000000003</v>
      </c>
      <c r="AA180" s="22">
        <v>-1.74927E-2</v>
      </c>
      <c r="AB180" s="22">
        <v>170</v>
      </c>
      <c r="AC180" s="22">
        <v>0.84320099999999998</v>
      </c>
      <c r="AD180">
        <f t="shared" si="28"/>
        <v>17.492699999999999</v>
      </c>
      <c r="AE180">
        <f t="shared" si="29"/>
        <v>14.7632090628</v>
      </c>
      <c r="AF180" s="9"/>
      <c r="AG180" s="22">
        <v>0.756073</v>
      </c>
      <c r="AH180" s="22">
        <v>371.86399999999998</v>
      </c>
      <c r="AI180" s="22">
        <v>-1.7486600000000001E-2</v>
      </c>
      <c r="AJ180" s="22">
        <v>170</v>
      </c>
      <c r="AK180" s="22">
        <v>0.75531000000000004</v>
      </c>
      <c r="AL180">
        <f t="shared" si="30"/>
        <v>17.486600000000003</v>
      </c>
      <c r="AM180">
        <f t="shared" si="31"/>
        <v>13.221146121800002</v>
      </c>
      <c r="AP180" s="9"/>
      <c r="AQ180" s="22">
        <v>0.84396400000000005</v>
      </c>
      <c r="AR180" s="22">
        <v>507.64299999999997</v>
      </c>
      <c r="AS180" s="22">
        <v>-1.7416399999999999E-2</v>
      </c>
      <c r="AT180" s="22">
        <v>170</v>
      </c>
      <c r="AU180" s="22">
        <v>0.84289599999999998</v>
      </c>
      <c r="AV180">
        <f t="shared" si="32"/>
        <v>17.416399999999999</v>
      </c>
      <c r="AW180">
        <f t="shared" si="33"/>
        <v>14.698814609600001</v>
      </c>
      <c r="AX180" s="9"/>
      <c r="AY180" s="22">
        <v>0.756073</v>
      </c>
      <c r="AZ180" s="22">
        <v>630</v>
      </c>
      <c r="BA180" s="22">
        <v>-1.7501800000000001E-2</v>
      </c>
      <c r="BB180" s="22">
        <v>170</v>
      </c>
      <c r="BC180" s="22">
        <v>0.75531000000000004</v>
      </c>
      <c r="BD180">
        <f t="shared" si="34"/>
        <v>17.501800000000003</v>
      </c>
      <c r="BE180">
        <f t="shared" si="35"/>
        <v>13.232638431400002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93.482299999999995</v>
      </c>
      <c r="I181" s="22">
        <v>-1.7513999999999998E-2</v>
      </c>
      <c r="J181" s="22">
        <v>171</v>
      </c>
      <c r="K181" s="22">
        <v>0.83770800000000001</v>
      </c>
      <c r="L181">
        <f t="shared" si="24"/>
        <v>17.513999999999999</v>
      </c>
      <c r="M181">
        <f t="shared" si="25"/>
        <v>14.692984992</v>
      </c>
      <c r="N181" s="9"/>
      <c r="O181" s="22">
        <v>0.76110800000000001</v>
      </c>
      <c r="P181" s="22">
        <v>208.399</v>
      </c>
      <c r="Q181" s="22">
        <v>-1.7645299999999999E-2</v>
      </c>
      <c r="R181" s="22">
        <v>171</v>
      </c>
      <c r="S181" s="22">
        <v>0.76019300000000001</v>
      </c>
      <c r="T181">
        <f t="shared" si="26"/>
        <v>17.645299999999999</v>
      </c>
      <c r="U181">
        <f t="shared" si="27"/>
        <v>13.429978992399999</v>
      </c>
      <c r="X181" s="9"/>
      <c r="Y181" s="22">
        <v>0.83892800000000001</v>
      </c>
      <c r="Z181" s="22">
        <v>311.38600000000002</v>
      </c>
      <c r="AA181" s="22">
        <v>-1.75049E-2</v>
      </c>
      <c r="AB181" s="22">
        <v>171</v>
      </c>
      <c r="AC181" s="22">
        <v>0.83801300000000001</v>
      </c>
      <c r="AD181">
        <f t="shared" si="28"/>
        <v>17.504899999999999</v>
      </c>
      <c r="AE181">
        <f t="shared" si="29"/>
        <v>14.685350747199999</v>
      </c>
      <c r="AF181" s="9"/>
      <c r="AG181" s="22">
        <v>0.76110800000000001</v>
      </c>
      <c r="AH181" s="22">
        <v>371.96499999999997</v>
      </c>
      <c r="AI181" s="22">
        <v>-1.74805E-2</v>
      </c>
      <c r="AJ181" s="22">
        <v>171</v>
      </c>
      <c r="AK181" s="22">
        <v>0.76049800000000001</v>
      </c>
      <c r="AL181">
        <f t="shared" si="30"/>
        <v>17.480499999999999</v>
      </c>
      <c r="AM181">
        <f t="shared" si="31"/>
        <v>13.304548393999999</v>
      </c>
      <c r="AP181" s="9"/>
      <c r="AQ181" s="22">
        <v>0.83892800000000001</v>
      </c>
      <c r="AR181" s="22">
        <v>507.74299999999999</v>
      </c>
      <c r="AS181" s="22">
        <v>-1.7434700000000001E-2</v>
      </c>
      <c r="AT181" s="22">
        <v>171</v>
      </c>
      <c r="AU181" s="22">
        <v>0.83862300000000001</v>
      </c>
      <c r="AV181">
        <f t="shared" si="32"/>
        <v>17.434699999999999</v>
      </c>
      <c r="AW181">
        <f t="shared" si="33"/>
        <v>14.6264580016</v>
      </c>
      <c r="AX181" s="9"/>
      <c r="AY181" s="22">
        <v>0.76110800000000001</v>
      </c>
      <c r="AZ181" s="22">
        <v>630.1</v>
      </c>
      <c r="BA181" s="22">
        <v>-1.74927E-2</v>
      </c>
      <c r="BB181" s="22">
        <v>171</v>
      </c>
      <c r="BC181" s="22">
        <v>0.76019300000000001</v>
      </c>
      <c r="BD181">
        <f t="shared" si="34"/>
        <v>17.492699999999999</v>
      </c>
      <c r="BE181">
        <f t="shared" si="35"/>
        <v>13.3138339116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93.583100000000002</v>
      </c>
      <c r="I182" s="22">
        <v>-1.7532300000000001E-2</v>
      </c>
      <c r="J182" s="22">
        <v>172</v>
      </c>
      <c r="K182" s="22">
        <v>0.83374000000000004</v>
      </c>
      <c r="L182">
        <f t="shared" si="24"/>
        <v>17.532299999999999</v>
      </c>
      <c r="M182">
        <f t="shared" si="25"/>
        <v>14.6200622439</v>
      </c>
      <c r="N182" s="9"/>
      <c r="O182" s="22">
        <v>0.76614400000000005</v>
      </c>
      <c r="P182" s="22">
        <v>208.5</v>
      </c>
      <c r="Q182" s="22">
        <v>-1.76422E-2</v>
      </c>
      <c r="R182" s="22">
        <v>172</v>
      </c>
      <c r="S182" s="22">
        <v>0.76599099999999998</v>
      </c>
      <c r="T182">
        <f t="shared" si="26"/>
        <v>17.642199999999999</v>
      </c>
      <c r="U182">
        <f t="shared" si="27"/>
        <v>13.516465676799999</v>
      </c>
      <c r="X182" s="9"/>
      <c r="Y182" s="22">
        <v>0.833893</v>
      </c>
      <c r="Z182" s="22">
        <v>311.48700000000002</v>
      </c>
      <c r="AA182" s="22">
        <v>-1.7510999999999999E-2</v>
      </c>
      <c r="AB182" s="22">
        <v>172</v>
      </c>
      <c r="AC182" s="22">
        <v>0.83343500000000004</v>
      </c>
      <c r="AD182">
        <f t="shared" si="28"/>
        <v>17.510999999999999</v>
      </c>
      <c r="AE182">
        <f t="shared" si="29"/>
        <v>14.602300323</v>
      </c>
      <c r="AF182" s="9"/>
      <c r="AG182" s="22">
        <v>0.76614400000000005</v>
      </c>
      <c r="AH182" s="22">
        <v>372.06599999999997</v>
      </c>
      <c r="AI182" s="22">
        <v>-1.7471299999999999E-2</v>
      </c>
      <c r="AJ182" s="22">
        <v>172</v>
      </c>
      <c r="AK182" s="22">
        <v>0.76477099999999998</v>
      </c>
      <c r="AL182">
        <f t="shared" si="30"/>
        <v>17.471299999999999</v>
      </c>
      <c r="AM182">
        <f t="shared" si="31"/>
        <v>13.3855316672</v>
      </c>
      <c r="AP182" s="9"/>
      <c r="AQ182" s="22">
        <v>0.833893</v>
      </c>
      <c r="AR182" s="22">
        <v>507.84399999999999</v>
      </c>
      <c r="AS182" s="22">
        <v>-1.74377E-2</v>
      </c>
      <c r="AT182" s="22">
        <v>172</v>
      </c>
      <c r="AU182" s="22">
        <v>0.83282500000000004</v>
      </c>
      <c r="AV182">
        <f t="shared" si="32"/>
        <v>17.4377</v>
      </c>
      <c r="AW182">
        <f t="shared" si="33"/>
        <v>14.541175966099999</v>
      </c>
      <c r="AX182" s="9"/>
      <c r="AY182" s="22">
        <v>0.76614400000000005</v>
      </c>
      <c r="AZ182" s="22">
        <v>630.20100000000002</v>
      </c>
      <c r="BA182" s="22">
        <v>-1.7489600000000001E-2</v>
      </c>
      <c r="BB182" s="22">
        <v>172</v>
      </c>
      <c r="BC182" s="22">
        <v>0.76568599999999998</v>
      </c>
      <c r="BD182">
        <f t="shared" si="34"/>
        <v>17.489599999999999</v>
      </c>
      <c r="BE182">
        <f t="shared" si="35"/>
        <v>13.399552102399999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93.683800000000005</v>
      </c>
      <c r="I183" s="22">
        <v>-1.75354E-2</v>
      </c>
      <c r="J183" s="22">
        <v>173</v>
      </c>
      <c r="K183" s="22">
        <v>0.82763699999999996</v>
      </c>
      <c r="L183">
        <f t="shared" si="24"/>
        <v>17.535399999999999</v>
      </c>
      <c r="M183">
        <f t="shared" si="25"/>
        <v>14.534339037799999</v>
      </c>
      <c r="N183" s="9"/>
      <c r="O183" s="22">
        <v>0.77117899999999995</v>
      </c>
      <c r="P183" s="22">
        <v>208.601</v>
      </c>
      <c r="Q183" s="22">
        <v>-1.7636099999999998E-2</v>
      </c>
      <c r="R183" s="22">
        <v>173</v>
      </c>
      <c r="S183" s="22">
        <v>0.77026399999999995</v>
      </c>
      <c r="T183">
        <f t="shared" si="26"/>
        <v>17.636099999999999</v>
      </c>
      <c r="U183">
        <f t="shared" si="27"/>
        <v>13.600589961899999</v>
      </c>
      <c r="X183" s="9"/>
      <c r="Y183" s="22">
        <v>0.82885699999999995</v>
      </c>
      <c r="Z183" s="22">
        <v>311.58699999999999</v>
      </c>
      <c r="AA183" s="22">
        <v>-1.75201E-2</v>
      </c>
      <c r="AB183" s="22">
        <v>173</v>
      </c>
      <c r="AC183" s="22">
        <v>0.82763699999999996</v>
      </c>
      <c r="AD183">
        <f t="shared" si="28"/>
        <v>17.520099999999999</v>
      </c>
      <c r="AE183">
        <f t="shared" si="29"/>
        <v>14.521657525699998</v>
      </c>
      <c r="AF183" s="9"/>
      <c r="AG183" s="22">
        <v>0.77117899999999995</v>
      </c>
      <c r="AH183" s="22">
        <v>372.166</v>
      </c>
      <c r="AI183" s="22">
        <v>-1.7471299999999999E-2</v>
      </c>
      <c r="AJ183" s="22">
        <v>173</v>
      </c>
      <c r="AK183" s="22">
        <v>0.76965300000000003</v>
      </c>
      <c r="AL183">
        <f t="shared" si="30"/>
        <v>17.471299999999999</v>
      </c>
      <c r="AM183">
        <f t="shared" si="31"/>
        <v>13.473499662699998</v>
      </c>
      <c r="AP183" s="9"/>
      <c r="AQ183" s="22">
        <v>0.82885699999999995</v>
      </c>
      <c r="AR183" s="22">
        <v>507.94499999999999</v>
      </c>
      <c r="AS183" s="22">
        <v>-1.745E-2</v>
      </c>
      <c r="AT183" s="22">
        <v>173</v>
      </c>
      <c r="AU183" s="22">
        <v>0.82763699999999996</v>
      </c>
      <c r="AV183">
        <f t="shared" si="32"/>
        <v>17.45</v>
      </c>
      <c r="AW183">
        <f t="shared" si="33"/>
        <v>14.463554649999999</v>
      </c>
      <c r="AX183" s="9"/>
      <c r="AY183" s="22">
        <v>0.77117899999999995</v>
      </c>
      <c r="AZ183" s="22">
        <v>630.30200000000002</v>
      </c>
      <c r="BA183" s="22">
        <v>-1.7471299999999999E-2</v>
      </c>
      <c r="BB183" s="22">
        <v>173</v>
      </c>
      <c r="BC183" s="22">
        <v>0.76995800000000003</v>
      </c>
      <c r="BD183">
        <f t="shared" si="34"/>
        <v>17.471299999999999</v>
      </c>
      <c r="BE183">
        <f t="shared" si="35"/>
        <v>13.473499662699998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93.784499999999994</v>
      </c>
      <c r="I184" s="22">
        <v>-1.75446E-2</v>
      </c>
      <c r="J184" s="22">
        <v>174</v>
      </c>
      <c r="K184" s="22">
        <v>0.82305899999999999</v>
      </c>
      <c r="L184">
        <f t="shared" si="24"/>
        <v>17.544599999999999</v>
      </c>
      <c r="M184">
        <f t="shared" si="25"/>
        <v>14.4536274612</v>
      </c>
      <c r="N184" s="9"/>
      <c r="O184" s="22">
        <v>0.77621499999999999</v>
      </c>
      <c r="P184" s="22">
        <v>208.70099999999999</v>
      </c>
      <c r="Q184" s="22">
        <v>-1.7648299999999999E-2</v>
      </c>
      <c r="R184" s="22">
        <v>174</v>
      </c>
      <c r="S184" s="22">
        <v>0.77545200000000003</v>
      </c>
      <c r="T184">
        <f t="shared" si="26"/>
        <v>17.648299999999999</v>
      </c>
      <c r="U184">
        <f t="shared" si="27"/>
        <v>13.698875184499999</v>
      </c>
      <c r="X184" s="9"/>
      <c r="Y184" s="22">
        <v>0.82382200000000005</v>
      </c>
      <c r="Z184" s="22">
        <v>311.68799999999999</v>
      </c>
      <c r="AA184" s="22">
        <v>-1.75201E-2</v>
      </c>
      <c r="AB184" s="22">
        <v>174</v>
      </c>
      <c r="AC184" s="22">
        <v>0.82305899999999999</v>
      </c>
      <c r="AD184">
        <f t="shared" si="28"/>
        <v>17.520099999999999</v>
      </c>
      <c r="AE184">
        <f t="shared" si="29"/>
        <v>14.433443822200001</v>
      </c>
      <c r="AF184" s="9"/>
      <c r="AG184" s="22">
        <v>0.77621499999999999</v>
      </c>
      <c r="AH184" s="22">
        <v>372.267</v>
      </c>
      <c r="AI184" s="22">
        <v>-1.7462200000000001E-2</v>
      </c>
      <c r="AJ184" s="22">
        <v>174</v>
      </c>
      <c r="AK184" s="22">
        <v>0.77575700000000003</v>
      </c>
      <c r="AL184">
        <f t="shared" si="30"/>
        <v>17.462199999999999</v>
      </c>
      <c r="AM184">
        <f t="shared" si="31"/>
        <v>13.554421572999999</v>
      </c>
      <c r="AP184" s="9"/>
      <c r="AQ184" s="22">
        <v>0.82382200000000005</v>
      </c>
      <c r="AR184" s="22">
        <v>508.04500000000002</v>
      </c>
      <c r="AS184" s="22">
        <v>-1.7446900000000001E-2</v>
      </c>
      <c r="AT184" s="22">
        <v>174</v>
      </c>
      <c r="AU184" s="22">
        <v>0.82305899999999999</v>
      </c>
      <c r="AV184">
        <f t="shared" si="32"/>
        <v>17.446900000000003</v>
      </c>
      <c r="AW184">
        <f t="shared" si="33"/>
        <v>14.373140051800004</v>
      </c>
      <c r="AX184" s="9"/>
      <c r="AY184" s="22">
        <v>0.77621499999999999</v>
      </c>
      <c r="AZ184" s="22">
        <v>630.40300000000002</v>
      </c>
      <c r="BA184" s="22">
        <v>-1.7471299999999999E-2</v>
      </c>
      <c r="BB184" s="22">
        <v>174</v>
      </c>
      <c r="BC184" s="22">
        <v>0.77575700000000003</v>
      </c>
      <c r="BD184">
        <f t="shared" si="34"/>
        <v>17.471299999999999</v>
      </c>
      <c r="BE184">
        <f t="shared" si="35"/>
        <v>13.561485129499999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93.885199999999998</v>
      </c>
      <c r="I185" s="22">
        <v>-1.75476E-2</v>
      </c>
      <c r="J185" s="22">
        <v>175</v>
      </c>
      <c r="K185" s="22">
        <v>0.81787100000000001</v>
      </c>
      <c r="L185">
        <f t="shared" si="24"/>
        <v>17.547599999999999</v>
      </c>
      <c r="M185">
        <f t="shared" si="25"/>
        <v>14.367746761199999</v>
      </c>
      <c r="N185" s="9"/>
      <c r="O185" s="22">
        <v>0.78125</v>
      </c>
      <c r="P185" s="22">
        <v>208.80199999999999</v>
      </c>
      <c r="Q185" s="22">
        <v>-1.7645299999999999E-2</v>
      </c>
      <c r="R185" s="22">
        <v>175</v>
      </c>
      <c r="S185" s="22">
        <v>0.78033399999999997</v>
      </c>
      <c r="T185">
        <f t="shared" si="26"/>
        <v>17.645299999999999</v>
      </c>
      <c r="U185">
        <f t="shared" si="27"/>
        <v>13.785390625</v>
      </c>
      <c r="X185" s="9"/>
      <c r="Y185" s="22">
        <v>0.81878700000000004</v>
      </c>
      <c r="Z185" s="22">
        <v>311.78899999999999</v>
      </c>
      <c r="AA185" s="22">
        <v>-1.75079E-2</v>
      </c>
      <c r="AB185" s="22">
        <v>175</v>
      </c>
      <c r="AC185" s="22">
        <v>0.81817600000000001</v>
      </c>
      <c r="AD185">
        <f t="shared" si="28"/>
        <v>17.507899999999999</v>
      </c>
      <c r="AE185">
        <f t="shared" si="29"/>
        <v>14.3352409173</v>
      </c>
      <c r="AF185" s="9"/>
      <c r="AG185" s="22">
        <v>0.78125</v>
      </c>
      <c r="AH185" s="22">
        <v>372.36799999999999</v>
      </c>
      <c r="AI185" s="22">
        <v>-1.7474400000000001E-2</v>
      </c>
      <c r="AJ185" s="22">
        <v>175</v>
      </c>
      <c r="AK185" s="22">
        <v>0.78064</v>
      </c>
      <c r="AL185">
        <f t="shared" si="30"/>
        <v>17.474400000000003</v>
      </c>
      <c r="AM185">
        <f t="shared" si="31"/>
        <v>13.651875000000002</v>
      </c>
      <c r="AP185" s="9"/>
      <c r="AQ185" s="22">
        <v>0.81878700000000004</v>
      </c>
      <c r="AR185" s="22">
        <v>508.14600000000002</v>
      </c>
      <c r="AS185" s="22">
        <v>-1.7446900000000001E-2</v>
      </c>
      <c r="AT185" s="22">
        <v>175</v>
      </c>
      <c r="AU185" s="22">
        <v>0.81756600000000001</v>
      </c>
      <c r="AV185">
        <f t="shared" si="32"/>
        <v>17.446900000000003</v>
      </c>
      <c r="AW185">
        <f t="shared" si="33"/>
        <v>14.285294910300003</v>
      </c>
      <c r="AX185" s="9"/>
      <c r="AY185" s="22">
        <v>0.78125</v>
      </c>
      <c r="AZ185" s="22">
        <v>630.50300000000004</v>
      </c>
      <c r="BA185" s="22">
        <v>-1.7462200000000001E-2</v>
      </c>
      <c r="BB185" s="22">
        <v>175</v>
      </c>
      <c r="BC185" s="22">
        <v>0.78033399999999997</v>
      </c>
      <c r="BD185">
        <f t="shared" si="34"/>
        <v>17.462199999999999</v>
      </c>
      <c r="BE185">
        <f t="shared" si="35"/>
        <v>13.64234375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93.985900000000001</v>
      </c>
      <c r="I186" s="22">
        <v>-1.7538499999999999E-2</v>
      </c>
      <c r="J186" s="22">
        <v>176</v>
      </c>
      <c r="K186" s="22">
        <v>0.81298800000000004</v>
      </c>
      <c r="L186">
        <f t="shared" si="24"/>
        <v>17.538499999999999</v>
      </c>
      <c r="M186">
        <f t="shared" si="25"/>
        <v>14.2719719135</v>
      </c>
      <c r="N186" s="9"/>
      <c r="O186" s="22">
        <v>0.78628500000000001</v>
      </c>
      <c r="P186" s="22">
        <v>208.90299999999999</v>
      </c>
      <c r="Q186" s="22">
        <v>-1.7639200000000001E-2</v>
      </c>
      <c r="R186" s="22">
        <v>176</v>
      </c>
      <c r="S186" s="22">
        <v>0.78460700000000005</v>
      </c>
      <c r="T186">
        <f t="shared" si="26"/>
        <v>17.639200000000002</v>
      </c>
      <c r="U186">
        <f t="shared" si="27"/>
        <v>13.869438372000003</v>
      </c>
      <c r="X186" s="9"/>
      <c r="Y186" s="22">
        <v>0.813751</v>
      </c>
      <c r="Z186" s="22">
        <v>311.89</v>
      </c>
      <c r="AA186" s="22">
        <v>-1.75354E-2</v>
      </c>
      <c r="AB186" s="22">
        <v>176</v>
      </c>
      <c r="AC186" s="22">
        <v>0.81298800000000004</v>
      </c>
      <c r="AD186">
        <f t="shared" si="28"/>
        <v>17.535399999999999</v>
      </c>
      <c r="AE186">
        <f t="shared" si="29"/>
        <v>14.269449285399999</v>
      </c>
      <c r="AF186" s="9"/>
      <c r="AG186" s="22">
        <v>0.78628500000000001</v>
      </c>
      <c r="AH186" s="22">
        <v>372.46899999999999</v>
      </c>
      <c r="AI186" s="22">
        <v>-1.7477400000000001E-2</v>
      </c>
      <c r="AJ186" s="22">
        <v>176</v>
      </c>
      <c r="AK186" s="22">
        <v>0.78582799999999997</v>
      </c>
      <c r="AL186">
        <f t="shared" si="30"/>
        <v>17.477399999999999</v>
      </c>
      <c r="AM186">
        <f t="shared" si="31"/>
        <v>13.742217458999999</v>
      </c>
      <c r="AP186" s="9"/>
      <c r="AQ186" s="22">
        <v>0.813751</v>
      </c>
      <c r="AR186" s="22">
        <v>508.24700000000001</v>
      </c>
      <c r="AS186" s="22">
        <v>-1.74652E-2</v>
      </c>
      <c r="AT186" s="22">
        <v>176</v>
      </c>
      <c r="AU186" s="22">
        <v>0.81237800000000004</v>
      </c>
      <c r="AV186">
        <f t="shared" si="32"/>
        <v>17.465199999999999</v>
      </c>
      <c r="AW186">
        <f t="shared" si="33"/>
        <v>14.2123239652</v>
      </c>
      <c r="AX186" s="9"/>
      <c r="AY186" s="22">
        <v>0.78628500000000001</v>
      </c>
      <c r="AZ186" s="22">
        <v>630.60400000000004</v>
      </c>
      <c r="BA186" s="22">
        <v>-1.7453E-2</v>
      </c>
      <c r="BB186" s="22">
        <v>176</v>
      </c>
      <c r="BC186" s="22">
        <v>0.78521700000000005</v>
      </c>
      <c r="BD186">
        <f t="shared" si="34"/>
        <v>17.452999999999999</v>
      </c>
      <c r="BE186">
        <f t="shared" si="35"/>
        <v>13.723032105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94.086600000000004</v>
      </c>
      <c r="I187" s="22">
        <v>-1.7553699999999998E-2</v>
      </c>
      <c r="J187" s="22">
        <v>177</v>
      </c>
      <c r="K187" s="22">
        <v>0.80718999999999996</v>
      </c>
      <c r="L187">
        <f t="shared" si="24"/>
        <v>17.553699999999999</v>
      </c>
      <c r="M187">
        <f t="shared" si="25"/>
        <v>14.1959580492</v>
      </c>
      <c r="N187" s="9"/>
      <c r="O187" s="22">
        <v>0.79132100000000005</v>
      </c>
      <c r="P187" s="22">
        <v>209.00399999999999</v>
      </c>
      <c r="Q187" s="22">
        <v>-1.7633099999999999E-2</v>
      </c>
      <c r="R187" s="22">
        <v>177</v>
      </c>
      <c r="S187" s="22">
        <v>0.79071000000000002</v>
      </c>
      <c r="T187">
        <f t="shared" si="26"/>
        <v>17.633099999999999</v>
      </c>
      <c r="U187">
        <f t="shared" si="27"/>
        <v>13.953442325099999</v>
      </c>
      <c r="X187" s="9"/>
      <c r="Y187" s="22">
        <v>0.80871599999999999</v>
      </c>
      <c r="Z187" s="22">
        <v>311.99</v>
      </c>
      <c r="AA187" s="22">
        <v>-1.75354E-2</v>
      </c>
      <c r="AB187" s="22">
        <v>177</v>
      </c>
      <c r="AC187" s="22">
        <v>0.80779999999999996</v>
      </c>
      <c r="AD187">
        <f t="shared" si="28"/>
        <v>17.535399999999999</v>
      </c>
      <c r="AE187">
        <f t="shared" si="29"/>
        <v>14.181158546399999</v>
      </c>
      <c r="AF187" s="9"/>
      <c r="AG187" s="22">
        <v>0.79132100000000005</v>
      </c>
      <c r="AH187" s="22">
        <v>372.56900000000002</v>
      </c>
      <c r="AI187" s="22">
        <v>-1.74652E-2</v>
      </c>
      <c r="AJ187" s="22">
        <v>177</v>
      </c>
      <c r="AK187" s="22">
        <v>0.79040500000000002</v>
      </c>
      <c r="AL187">
        <f t="shared" si="30"/>
        <v>17.465199999999999</v>
      </c>
      <c r="AM187">
        <f t="shared" si="31"/>
        <v>13.8205795292</v>
      </c>
      <c r="AP187" s="9"/>
      <c r="AQ187" s="22">
        <v>0.80871599999999999</v>
      </c>
      <c r="AR187" s="22">
        <v>508.34800000000001</v>
      </c>
      <c r="AS187" s="22">
        <v>-1.7456099999999999E-2</v>
      </c>
      <c r="AT187" s="22">
        <v>177</v>
      </c>
      <c r="AU187" s="22">
        <v>0.80779999999999996</v>
      </c>
      <c r="AV187">
        <f t="shared" si="32"/>
        <v>17.456099999999999</v>
      </c>
      <c r="AW187">
        <f t="shared" si="33"/>
        <v>14.117027367599999</v>
      </c>
      <c r="AX187" s="9"/>
      <c r="AY187" s="22">
        <v>0.79132100000000005</v>
      </c>
      <c r="AZ187" s="22">
        <v>630.70500000000004</v>
      </c>
      <c r="BA187" s="22">
        <v>-1.7446900000000001E-2</v>
      </c>
      <c r="BB187" s="22">
        <v>177</v>
      </c>
      <c r="BC187" s="22">
        <v>0.79040500000000002</v>
      </c>
      <c r="BD187">
        <f t="shared" si="34"/>
        <v>17.446900000000003</v>
      </c>
      <c r="BE187">
        <f t="shared" si="35"/>
        <v>13.806098354900003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94.187299999999993</v>
      </c>
      <c r="I188" s="22">
        <v>-1.7541500000000002E-2</v>
      </c>
      <c r="J188" s="22">
        <v>178</v>
      </c>
      <c r="K188" s="22">
        <v>0.80627400000000005</v>
      </c>
      <c r="L188">
        <f t="shared" si="24"/>
        <v>17.541500000000003</v>
      </c>
      <c r="M188">
        <f t="shared" si="25"/>
        <v>14.097752720000001</v>
      </c>
      <c r="N188" s="9"/>
      <c r="O188" s="22">
        <v>0.79635599999999995</v>
      </c>
      <c r="P188" s="22">
        <v>209.10400000000001</v>
      </c>
      <c r="Q188" s="22">
        <v>-1.7623900000000001E-2</v>
      </c>
      <c r="R188" s="22">
        <v>178</v>
      </c>
      <c r="S188" s="22">
        <v>0.79559299999999999</v>
      </c>
      <c r="T188">
        <f t="shared" si="26"/>
        <v>17.623900000000003</v>
      </c>
      <c r="U188">
        <f t="shared" si="27"/>
        <v>14.034898508400001</v>
      </c>
      <c r="X188" s="9"/>
      <c r="Y188" s="22">
        <v>0.80367999999999995</v>
      </c>
      <c r="Z188" s="22">
        <v>312.09100000000001</v>
      </c>
      <c r="AA188" s="22">
        <v>-1.7532300000000001E-2</v>
      </c>
      <c r="AB188" s="22">
        <v>178</v>
      </c>
      <c r="AC188" s="22">
        <v>0.80322300000000002</v>
      </c>
      <c r="AD188">
        <f t="shared" si="28"/>
        <v>17.532299999999999</v>
      </c>
      <c r="AE188">
        <f t="shared" si="29"/>
        <v>14.090358863999999</v>
      </c>
      <c r="AF188" s="9"/>
      <c r="AG188" s="22">
        <v>0.79635599999999995</v>
      </c>
      <c r="AH188" s="22">
        <v>372.67</v>
      </c>
      <c r="AI188" s="22">
        <v>-1.7471299999999999E-2</v>
      </c>
      <c r="AJ188" s="22">
        <v>178</v>
      </c>
      <c r="AK188" s="22">
        <v>0.79528799999999999</v>
      </c>
      <c r="AL188">
        <f t="shared" si="30"/>
        <v>17.471299999999999</v>
      </c>
      <c r="AM188">
        <f t="shared" si="31"/>
        <v>13.9133745828</v>
      </c>
      <c r="AP188" s="9"/>
      <c r="AQ188" s="22">
        <v>0.80367999999999995</v>
      </c>
      <c r="AR188" s="22">
        <v>508.44799999999998</v>
      </c>
      <c r="AS188" s="22">
        <v>-1.74652E-2</v>
      </c>
      <c r="AT188" s="22">
        <v>178</v>
      </c>
      <c r="AU188" s="22">
        <v>0.80230699999999999</v>
      </c>
      <c r="AV188">
        <f t="shared" si="32"/>
        <v>17.465199999999999</v>
      </c>
      <c r="AW188">
        <f t="shared" si="33"/>
        <v>14.036431935999998</v>
      </c>
      <c r="AX188" s="9"/>
      <c r="AY188" s="22">
        <v>0.79635599999999995</v>
      </c>
      <c r="AZ188" s="22">
        <v>630.80499999999995</v>
      </c>
      <c r="BA188" s="22">
        <v>-1.7453E-2</v>
      </c>
      <c r="BB188" s="22">
        <v>178</v>
      </c>
      <c r="BC188" s="22">
        <v>0.79528799999999999</v>
      </c>
      <c r="BD188">
        <f t="shared" si="34"/>
        <v>17.452999999999999</v>
      </c>
      <c r="BE188">
        <f t="shared" si="35"/>
        <v>13.898801267999998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94.287999999999997</v>
      </c>
      <c r="I189" s="22">
        <v>-1.7532300000000001E-2</v>
      </c>
      <c r="J189" s="22">
        <v>179</v>
      </c>
      <c r="K189" s="22">
        <v>0.80566400000000005</v>
      </c>
      <c r="L189">
        <f t="shared" si="24"/>
        <v>17.532299999999999</v>
      </c>
      <c r="M189">
        <f t="shared" si="25"/>
        <v>14.002083733500001</v>
      </c>
      <c r="N189" s="9"/>
      <c r="O189" s="22">
        <v>0.80139199999999999</v>
      </c>
      <c r="P189" s="22">
        <v>209.20500000000001</v>
      </c>
      <c r="Q189" s="22">
        <v>-1.7617799999999999E-2</v>
      </c>
      <c r="R189" s="22">
        <v>179</v>
      </c>
      <c r="S189" s="22">
        <v>0.80078099999999997</v>
      </c>
      <c r="T189">
        <f t="shared" si="26"/>
        <v>17.617799999999999</v>
      </c>
      <c r="U189">
        <f t="shared" si="27"/>
        <v>14.118763977599999</v>
      </c>
      <c r="X189" s="9"/>
      <c r="Y189" s="22">
        <v>0.79864500000000005</v>
      </c>
      <c r="Z189" s="22">
        <v>312.19200000000001</v>
      </c>
      <c r="AA189" s="22">
        <v>-1.7541500000000002E-2</v>
      </c>
      <c r="AB189" s="22">
        <v>179</v>
      </c>
      <c r="AC189" s="22">
        <v>0.79772900000000002</v>
      </c>
      <c r="AD189">
        <f t="shared" si="28"/>
        <v>17.541500000000003</v>
      </c>
      <c r="AE189">
        <f t="shared" si="29"/>
        <v>14.009431267500004</v>
      </c>
      <c r="AF189" s="9"/>
      <c r="AG189" s="22">
        <v>0.80139199999999999</v>
      </c>
      <c r="AH189" s="22">
        <v>372.77100000000002</v>
      </c>
      <c r="AI189" s="22">
        <v>-1.7462200000000001E-2</v>
      </c>
      <c r="AJ189" s="22">
        <v>179</v>
      </c>
      <c r="AK189" s="22">
        <v>0.80047599999999997</v>
      </c>
      <c r="AL189">
        <f t="shared" si="30"/>
        <v>17.462199999999999</v>
      </c>
      <c r="AM189">
        <f t="shared" si="31"/>
        <v>13.994067382399999</v>
      </c>
      <c r="AP189" s="9"/>
      <c r="AQ189" s="22">
        <v>0.79864500000000005</v>
      </c>
      <c r="AR189" s="22">
        <v>508.54899999999998</v>
      </c>
      <c r="AS189" s="22">
        <v>-1.7471299999999999E-2</v>
      </c>
      <c r="AT189" s="22">
        <v>179</v>
      </c>
      <c r="AU189" s="22">
        <v>0.79772900000000002</v>
      </c>
      <c r="AV189">
        <f t="shared" si="32"/>
        <v>17.471299999999999</v>
      </c>
      <c r="AW189">
        <f t="shared" si="33"/>
        <v>13.953366388500001</v>
      </c>
      <c r="AX189" s="9"/>
      <c r="AY189" s="22">
        <v>0.80139199999999999</v>
      </c>
      <c r="AZ189" s="22">
        <v>630.90599999999995</v>
      </c>
      <c r="BA189" s="22">
        <v>-1.7431599999999998E-2</v>
      </c>
      <c r="BB189" s="22">
        <v>179</v>
      </c>
      <c r="BC189" s="22">
        <v>0.80047599999999997</v>
      </c>
      <c r="BD189">
        <f t="shared" si="34"/>
        <v>17.4316</v>
      </c>
      <c r="BE189">
        <f t="shared" si="35"/>
        <v>13.9695447872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94.3887</v>
      </c>
      <c r="I190" s="22">
        <v>-1.7532300000000001E-2</v>
      </c>
      <c r="J190" s="22">
        <v>180</v>
      </c>
      <c r="K190" s="22">
        <v>0.79284699999999997</v>
      </c>
      <c r="L190">
        <f t="shared" si="24"/>
        <v>17.532299999999999</v>
      </c>
      <c r="M190">
        <f t="shared" si="25"/>
        <v>13.913808603</v>
      </c>
      <c r="N190" s="9"/>
      <c r="O190" s="22">
        <v>0.806427</v>
      </c>
      <c r="P190" s="22">
        <v>209.30600000000001</v>
      </c>
      <c r="Q190" s="22">
        <v>-1.7617799999999999E-2</v>
      </c>
      <c r="R190" s="22">
        <v>180</v>
      </c>
      <c r="S190" s="22">
        <v>0.80535900000000005</v>
      </c>
      <c r="T190">
        <f t="shared" si="26"/>
        <v>17.617799999999999</v>
      </c>
      <c r="U190">
        <f t="shared" si="27"/>
        <v>14.2074696006</v>
      </c>
      <c r="X190" s="9"/>
      <c r="Y190" s="22">
        <v>0.79361000000000004</v>
      </c>
      <c r="Z190" s="22">
        <v>312.29199999999997</v>
      </c>
      <c r="AA190" s="22">
        <v>-1.7553699999999998E-2</v>
      </c>
      <c r="AB190" s="22">
        <v>180</v>
      </c>
      <c r="AC190" s="22">
        <v>0.79254199999999997</v>
      </c>
      <c r="AD190">
        <f t="shared" si="28"/>
        <v>17.553699999999999</v>
      </c>
      <c r="AE190">
        <f t="shared" si="29"/>
        <v>13.930791857000001</v>
      </c>
      <c r="AF190" s="9"/>
      <c r="AG190" s="22">
        <v>0.806427</v>
      </c>
      <c r="AH190" s="22">
        <v>372.87099999999998</v>
      </c>
      <c r="AI190" s="22">
        <v>-1.7471299999999999E-2</v>
      </c>
      <c r="AJ190" s="22">
        <v>180</v>
      </c>
      <c r="AK190" s="22">
        <v>0.80535900000000005</v>
      </c>
      <c r="AL190">
        <f t="shared" si="30"/>
        <v>17.471299999999999</v>
      </c>
      <c r="AM190">
        <f t="shared" si="31"/>
        <v>14.0893280451</v>
      </c>
      <c r="AP190" s="9"/>
      <c r="AQ190" s="22">
        <v>0.79361000000000004</v>
      </c>
      <c r="AR190" s="22">
        <v>508.65</v>
      </c>
      <c r="AS190" s="22">
        <v>-1.7474400000000001E-2</v>
      </c>
      <c r="AT190" s="22">
        <v>180</v>
      </c>
      <c r="AU190" s="22">
        <v>0.79284699999999997</v>
      </c>
      <c r="AV190">
        <f t="shared" si="32"/>
        <v>17.474400000000003</v>
      </c>
      <c r="AW190">
        <f t="shared" si="33"/>
        <v>13.867858584000002</v>
      </c>
      <c r="AX190" s="9"/>
      <c r="AY190" s="22">
        <v>0.806427</v>
      </c>
      <c r="AZ190" s="22">
        <v>631.00699999999995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94.489400000000003</v>
      </c>
      <c r="I191" s="22">
        <v>-1.7538499999999999E-2</v>
      </c>
      <c r="J191" s="22">
        <v>181</v>
      </c>
      <c r="K191" s="22">
        <v>0.787659</v>
      </c>
      <c r="L191">
        <f t="shared" si="24"/>
        <v>17.538499999999999</v>
      </c>
      <c r="M191">
        <f t="shared" si="25"/>
        <v>13.830405099</v>
      </c>
      <c r="N191" s="9"/>
      <c r="O191" s="22">
        <v>0.81146200000000002</v>
      </c>
      <c r="P191" s="22">
        <v>209.40600000000001</v>
      </c>
      <c r="Q191" s="22">
        <v>-1.76147E-2</v>
      </c>
      <c r="R191" s="22">
        <v>181</v>
      </c>
      <c r="S191" s="22">
        <v>0.81054700000000002</v>
      </c>
      <c r="T191">
        <f t="shared" si="26"/>
        <v>17.614699999999999</v>
      </c>
      <c r="U191">
        <f t="shared" si="27"/>
        <v>14.2936596914</v>
      </c>
      <c r="X191" s="9"/>
      <c r="Y191" s="22">
        <v>0.788574</v>
      </c>
      <c r="Z191" s="22">
        <v>312.39299999999997</v>
      </c>
      <c r="AA191" s="22">
        <v>-1.7562899999999999E-2</v>
      </c>
      <c r="AB191" s="22">
        <v>181</v>
      </c>
      <c r="AC191" s="22">
        <v>0.787964</v>
      </c>
      <c r="AD191">
        <f t="shared" si="28"/>
        <v>17.562899999999999</v>
      </c>
      <c r="AE191">
        <f t="shared" si="29"/>
        <v>13.849646304599998</v>
      </c>
      <c r="AF191" s="9"/>
      <c r="AG191" s="22">
        <v>0.81146200000000002</v>
      </c>
      <c r="AH191" s="22">
        <v>372.97199999999998</v>
      </c>
      <c r="AI191" s="22">
        <v>-1.7462200000000001E-2</v>
      </c>
      <c r="AJ191" s="22">
        <v>181</v>
      </c>
      <c r="AK191" s="22">
        <v>0.81085200000000002</v>
      </c>
      <c r="AL191">
        <f t="shared" si="30"/>
        <v>17.462199999999999</v>
      </c>
      <c r="AM191">
        <f t="shared" si="31"/>
        <v>14.1699117364</v>
      </c>
      <c r="AP191" s="9"/>
      <c r="AQ191" s="22">
        <v>0.788574</v>
      </c>
      <c r="AR191" s="22">
        <v>508.75</v>
      </c>
      <c r="AS191" s="22">
        <v>-1.7474400000000001E-2</v>
      </c>
      <c r="AT191" s="22">
        <v>181</v>
      </c>
      <c r="AU191" s="22">
        <v>0.788269</v>
      </c>
      <c r="AV191">
        <f t="shared" si="32"/>
        <v>17.474400000000003</v>
      </c>
      <c r="AW191">
        <f t="shared" si="33"/>
        <v>13.779857505600003</v>
      </c>
      <c r="AX191" s="9"/>
      <c r="AY191" s="22">
        <v>0.81146200000000002</v>
      </c>
      <c r="AZ191" s="22">
        <v>631.10699999999997</v>
      </c>
      <c r="BA191" s="22">
        <v>-1.7419400000000002E-2</v>
      </c>
      <c r="BB191" s="22">
        <v>181</v>
      </c>
      <c r="BC191" s="22">
        <v>0.81085200000000002</v>
      </c>
      <c r="BD191">
        <f t="shared" si="34"/>
        <v>17.419400000000003</v>
      </c>
      <c r="BE191">
        <f t="shared" si="35"/>
        <v>14.135181162800002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94.590100000000007</v>
      </c>
      <c r="I192" s="22">
        <v>-1.7529300000000001E-2</v>
      </c>
      <c r="J192" s="22">
        <v>182</v>
      </c>
      <c r="K192" s="22">
        <v>0.78247100000000003</v>
      </c>
      <c r="L192">
        <f t="shared" si="24"/>
        <v>17.529300000000003</v>
      </c>
      <c r="M192">
        <f t="shared" si="25"/>
        <v>13.734890192700002</v>
      </c>
      <c r="N192" s="9"/>
      <c r="O192" s="22">
        <v>0.81649799999999995</v>
      </c>
      <c r="P192" s="22">
        <v>209.50700000000001</v>
      </c>
      <c r="Q192" s="22">
        <v>-1.7611700000000001E-2</v>
      </c>
      <c r="R192" s="22">
        <v>182</v>
      </c>
      <c r="S192" s="22">
        <v>0.81573499999999999</v>
      </c>
      <c r="T192">
        <f t="shared" si="26"/>
        <v>17.611700000000003</v>
      </c>
      <c r="U192">
        <f t="shared" si="27"/>
        <v>14.379917826600002</v>
      </c>
      <c r="X192" s="9"/>
      <c r="Y192" s="22">
        <v>0.78353899999999999</v>
      </c>
      <c r="Z192" s="22">
        <v>312.49400000000003</v>
      </c>
      <c r="AA192" s="22">
        <v>-1.7572000000000001E-2</v>
      </c>
      <c r="AB192" s="22">
        <v>182</v>
      </c>
      <c r="AC192" s="22">
        <v>0.78247100000000003</v>
      </c>
      <c r="AD192">
        <f t="shared" si="28"/>
        <v>17.571999999999999</v>
      </c>
      <c r="AE192">
        <f t="shared" si="29"/>
        <v>13.768347307999999</v>
      </c>
      <c r="AF192" s="9"/>
      <c r="AG192" s="22">
        <v>0.81649799999999995</v>
      </c>
      <c r="AH192" s="22">
        <v>373.07299999999998</v>
      </c>
      <c r="AI192" s="22">
        <v>-1.74652E-2</v>
      </c>
      <c r="AJ192" s="22">
        <v>182</v>
      </c>
      <c r="AK192" s="22">
        <v>0.81573499999999999</v>
      </c>
      <c r="AL192">
        <f t="shared" si="30"/>
        <v>17.465199999999999</v>
      </c>
      <c r="AM192">
        <f t="shared" si="31"/>
        <v>14.260300869599998</v>
      </c>
      <c r="AP192" s="9"/>
      <c r="AQ192" s="22">
        <v>0.78353899999999999</v>
      </c>
      <c r="AR192" s="22">
        <v>508.851</v>
      </c>
      <c r="AS192" s="22">
        <v>-1.7483499999999999E-2</v>
      </c>
      <c r="AT192" s="22">
        <v>182</v>
      </c>
      <c r="AU192" s="22">
        <v>0.78308100000000003</v>
      </c>
      <c r="AV192">
        <f t="shared" si="32"/>
        <v>17.483499999999999</v>
      </c>
      <c r="AW192">
        <f t="shared" si="33"/>
        <v>13.699004106499999</v>
      </c>
      <c r="AX192" s="9"/>
      <c r="AY192" s="22">
        <v>0.81649799999999995</v>
      </c>
      <c r="AZ192" s="22">
        <v>631.20799999999997</v>
      </c>
      <c r="BA192" s="22">
        <v>-1.74133E-2</v>
      </c>
      <c r="BB192" s="22">
        <v>182</v>
      </c>
      <c r="BC192" s="22">
        <v>0.81542999999999999</v>
      </c>
      <c r="BD192">
        <f t="shared" si="34"/>
        <v>17.4133</v>
      </c>
      <c r="BE192">
        <f t="shared" si="35"/>
        <v>14.217924623399998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94.690799999999996</v>
      </c>
      <c r="I193" s="22">
        <v>-1.7541500000000002E-2</v>
      </c>
      <c r="J193" s="22">
        <v>183</v>
      </c>
      <c r="K193" s="22">
        <v>0.77697799999999995</v>
      </c>
      <c r="L193">
        <f t="shared" si="24"/>
        <v>17.541500000000003</v>
      </c>
      <c r="M193">
        <f t="shared" si="25"/>
        <v>13.656110374500001</v>
      </c>
      <c r="N193" s="9"/>
      <c r="O193" s="22">
        <v>0.82153299999999996</v>
      </c>
      <c r="P193" s="22">
        <v>209.608</v>
      </c>
      <c r="Q193" s="22">
        <v>-1.76025E-2</v>
      </c>
      <c r="R193" s="22">
        <v>183</v>
      </c>
      <c r="S193" s="22">
        <v>0.82122799999999996</v>
      </c>
      <c r="T193">
        <f t="shared" si="26"/>
        <v>17.602499999999999</v>
      </c>
      <c r="U193">
        <f t="shared" si="27"/>
        <v>14.461034632499999</v>
      </c>
      <c r="X193" s="9"/>
      <c r="Y193" s="22">
        <v>0.77850299999999995</v>
      </c>
      <c r="Z193" s="22">
        <v>312.59500000000003</v>
      </c>
      <c r="AA193" s="22">
        <v>-1.7572000000000001E-2</v>
      </c>
      <c r="AB193" s="22">
        <v>183</v>
      </c>
      <c r="AC193" s="22">
        <v>0.77789299999999995</v>
      </c>
      <c r="AD193">
        <f t="shared" si="28"/>
        <v>17.571999999999999</v>
      </c>
      <c r="AE193">
        <f t="shared" si="29"/>
        <v>13.679854715999998</v>
      </c>
      <c r="AF193" s="9"/>
      <c r="AG193" s="22">
        <v>0.82153299999999996</v>
      </c>
      <c r="AH193" s="22">
        <v>373.173</v>
      </c>
      <c r="AI193" s="22">
        <v>-1.745E-2</v>
      </c>
      <c r="AJ193" s="22">
        <v>183</v>
      </c>
      <c r="AK193" s="22">
        <v>0.82092299999999996</v>
      </c>
      <c r="AL193">
        <f t="shared" si="30"/>
        <v>17.45</v>
      </c>
      <c r="AM193">
        <f t="shared" si="31"/>
        <v>14.335750849999998</v>
      </c>
      <c r="AP193" s="9"/>
      <c r="AQ193" s="22">
        <v>0.77850299999999995</v>
      </c>
      <c r="AR193" s="22">
        <v>508.952</v>
      </c>
      <c r="AS193" s="22">
        <v>-1.7486600000000001E-2</v>
      </c>
      <c r="AT193" s="22">
        <v>183</v>
      </c>
      <c r="AU193" s="22">
        <v>0.77789299999999995</v>
      </c>
      <c r="AV193">
        <f t="shared" si="32"/>
        <v>17.486600000000003</v>
      </c>
      <c r="AW193">
        <f t="shared" si="33"/>
        <v>13.613370559800002</v>
      </c>
      <c r="AX193" s="9"/>
      <c r="AY193" s="22">
        <v>0.82153299999999996</v>
      </c>
      <c r="AZ193" s="22">
        <v>631.30899999999997</v>
      </c>
      <c r="BA193" s="22">
        <v>-1.74133E-2</v>
      </c>
      <c r="BB193" s="22">
        <v>183</v>
      </c>
      <c r="BC193" s="22">
        <v>0.82061799999999996</v>
      </c>
      <c r="BD193">
        <f t="shared" si="34"/>
        <v>17.4133</v>
      </c>
      <c r="BE193">
        <f t="shared" si="35"/>
        <v>14.305600588899999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94.791499999999999</v>
      </c>
      <c r="I194" s="22">
        <v>-1.7556800000000001E-2</v>
      </c>
      <c r="J194" s="22">
        <v>184</v>
      </c>
      <c r="K194" s="22">
        <v>0.77270499999999998</v>
      </c>
      <c r="L194">
        <f t="shared" si="24"/>
        <v>17.556800000000003</v>
      </c>
      <c r="M194">
        <f t="shared" si="25"/>
        <v>13.579622982400004</v>
      </c>
      <c r="N194" s="9"/>
      <c r="O194" s="22">
        <v>0.826569</v>
      </c>
      <c r="P194" s="22">
        <v>209.708</v>
      </c>
      <c r="Q194" s="22">
        <v>-1.7596400000000002E-2</v>
      </c>
      <c r="R194" s="22">
        <v>184</v>
      </c>
      <c r="S194" s="22">
        <v>0.82580600000000004</v>
      </c>
      <c r="T194">
        <f t="shared" si="26"/>
        <v>17.596400000000003</v>
      </c>
      <c r="U194">
        <f t="shared" si="27"/>
        <v>14.544638751600003</v>
      </c>
      <c r="X194" s="9"/>
      <c r="Y194" s="22">
        <v>0.77346800000000004</v>
      </c>
      <c r="Z194" s="22">
        <v>312.69499999999999</v>
      </c>
      <c r="AA194" s="22">
        <v>-1.75751E-2</v>
      </c>
      <c r="AB194" s="22">
        <v>184</v>
      </c>
      <c r="AC194" s="22">
        <v>0.77270499999999998</v>
      </c>
      <c r="AD194">
        <f t="shared" si="28"/>
        <v>17.575099999999999</v>
      </c>
      <c r="AE194">
        <f t="shared" si="29"/>
        <v>13.593777446800001</v>
      </c>
      <c r="AF194" s="9"/>
      <c r="AG194" s="22">
        <v>0.826569</v>
      </c>
      <c r="AH194" s="22">
        <v>373.274</v>
      </c>
      <c r="AI194" s="22">
        <v>-1.7446900000000001E-2</v>
      </c>
      <c r="AJ194" s="22">
        <v>184</v>
      </c>
      <c r="AK194" s="22">
        <v>0.82672100000000004</v>
      </c>
      <c r="AL194">
        <f t="shared" si="30"/>
        <v>17.446900000000003</v>
      </c>
      <c r="AM194">
        <f t="shared" si="31"/>
        <v>14.421066686100003</v>
      </c>
      <c r="AP194" s="9"/>
      <c r="AQ194" s="22">
        <v>0.77346800000000004</v>
      </c>
      <c r="AR194" s="22">
        <v>509.053</v>
      </c>
      <c r="AS194" s="22">
        <v>-1.7501800000000001E-2</v>
      </c>
      <c r="AT194" s="22">
        <v>184</v>
      </c>
      <c r="AU194" s="22">
        <v>0.77239999999999998</v>
      </c>
      <c r="AV194">
        <f t="shared" si="32"/>
        <v>17.501800000000003</v>
      </c>
      <c r="AW194">
        <f t="shared" si="33"/>
        <v>13.537082242400004</v>
      </c>
      <c r="AX194" s="9"/>
      <c r="AY194" s="22">
        <v>0.826569</v>
      </c>
      <c r="AZ194" s="22">
        <v>631.41</v>
      </c>
      <c r="BA194" s="22">
        <v>-1.74103E-2</v>
      </c>
      <c r="BB194" s="22">
        <v>184</v>
      </c>
      <c r="BC194" s="22">
        <v>0.82580600000000004</v>
      </c>
      <c r="BD194">
        <f t="shared" si="34"/>
        <v>17.410299999999999</v>
      </c>
      <c r="BE194">
        <f t="shared" si="35"/>
        <v>14.390814260699999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94.892300000000006</v>
      </c>
      <c r="I195" s="22">
        <v>-1.7556800000000001E-2</v>
      </c>
      <c r="J195" s="22">
        <v>185</v>
      </c>
      <c r="K195" s="22">
        <v>0.76660200000000001</v>
      </c>
      <c r="L195">
        <f t="shared" si="24"/>
        <v>17.556800000000003</v>
      </c>
      <c r="M195">
        <f t="shared" si="25"/>
        <v>13.491224494400003</v>
      </c>
      <c r="N195" s="9"/>
      <c r="O195" s="22">
        <v>0.83160400000000001</v>
      </c>
      <c r="P195" s="22">
        <v>209.809</v>
      </c>
      <c r="Q195" s="22">
        <v>-1.7593399999999999E-2</v>
      </c>
      <c r="R195" s="22">
        <v>185</v>
      </c>
      <c r="S195" s="22">
        <v>0.83038299999999998</v>
      </c>
      <c r="T195">
        <f t="shared" si="26"/>
        <v>17.593399999999999</v>
      </c>
      <c r="U195">
        <f t="shared" si="27"/>
        <v>14.6307418136</v>
      </c>
      <c r="X195" s="9"/>
      <c r="Y195" s="22">
        <v>0.76843300000000003</v>
      </c>
      <c r="Z195" s="22">
        <v>312.79599999999999</v>
      </c>
      <c r="AA195" s="22">
        <v>-1.75903E-2</v>
      </c>
      <c r="AB195" s="22">
        <v>185</v>
      </c>
      <c r="AC195" s="22">
        <v>0.767517</v>
      </c>
      <c r="AD195">
        <f t="shared" si="28"/>
        <v>17.590299999999999</v>
      </c>
      <c r="AE195">
        <f t="shared" si="29"/>
        <v>13.516966999899999</v>
      </c>
      <c r="AF195" s="9"/>
      <c r="AG195" s="22">
        <v>0.83160400000000001</v>
      </c>
      <c r="AH195" s="22">
        <v>373.375</v>
      </c>
      <c r="AI195" s="22">
        <v>-1.7443799999999999E-2</v>
      </c>
      <c r="AJ195" s="22">
        <v>185</v>
      </c>
      <c r="AK195" s="22">
        <v>0.83068799999999998</v>
      </c>
      <c r="AL195">
        <f t="shared" si="30"/>
        <v>17.4438</v>
      </c>
      <c r="AM195">
        <f t="shared" si="31"/>
        <v>14.506333855199999</v>
      </c>
      <c r="AP195" s="9"/>
      <c r="AQ195" s="22">
        <v>0.76843300000000003</v>
      </c>
      <c r="AR195" s="22">
        <v>509.15300000000002</v>
      </c>
      <c r="AS195" s="22">
        <v>-1.74927E-2</v>
      </c>
      <c r="AT195" s="22">
        <v>185</v>
      </c>
      <c r="AU195" s="22">
        <v>0.767517</v>
      </c>
      <c r="AV195">
        <f t="shared" si="32"/>
        <v>17.492699999999999</v>
      </c>
      <c r="AW195">
        <f t="shared" si="33"/>
        <v>13.4419679391</v>
      </c>
      <c r="AX195" s="9"/>
      <c r="AY195" s="22">
        <v>0.83160400000000001</v>
      </c>
      <c r="AZ195" s="22">
        <v>631.51</v>
      </c>
      <c r="BA195" s="22">
        <v>-1.7419400000000002E-2</v>
      </c>
      <c r="BB195" s="22">
        <v>185</v>
      </c>
      <c r="BC195" s="22">
        <v>0.83129900000000001</v>
      </c>
      <c r="BD195">
        <f t="shared" si="34"/>
        <v>17.419400000000003</v>
      </c>
      <c r="BE195">
        <f t="shared" si="35"/>
        <v>14.486042717600002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94.992999999999995</v>
      </c>
      <c r="I196" s="22">
        <v>-1.7569000000000001E-2</v>
      </c>
      <c r="J196" s="22">
        <v>186</v>
      </c>
      <c r="K196" s="22">
        <v>0.76263400000000003</v>
      </c>
      <c r="L196">
        <f t="shared" si="24"/>
        <v>17.569000000000003</v>
      </c>
      <c r="M196">
        <f t="shared" si="25"/>
        <v>13.412121893000002</v>
      </c>
      <c r="N196" s="9"/>
      <c r="O196" s="22">
        <v>0.83663900000000002</v>
      </c>
      <c r="P196" s="22">
        <v>209.91</v>
      </c>
      <c r="Q196" s="22">
        <v>-1.7596400000000002E-2</v>
      </c>
      <c r="R196" s="22">
        <v>186</v>
      </c>
      <c r="S196" s="22">
        <v>0.83587599999999995</v>
      </c>
      <c r="T196">
        <f t="shared" si="26"/>
        <v>17.596400000000003</v>
      </c>
      <c r="U196">
        <f t="shared" si="27"/>
        <v>14.721834499600003</v>
      </c>
      <c r="X196" s="9"/>
      <c r="Y196" s="22">
        <v>0.76339699999999999</v>
      </c>
      <c r="Z196" s="22">
        <v>312.89699999999999</v>
      </c>
      <c r="AA196" s="22">
        <v>-1.75873E-2</v>
      </c>
      <c r="AB196" s="22">
        <v>186</v>
      </c>
      <c r="AC196" s="22">
        <v>0.76232900000000003</v>
      </c>
      <c r="AD196">
        <f t="shared" si="28"/>
        <v>17.587299999999999</v>
      </c>
      <c r="AE196">
        <f t="shared" si="29"/>
        <v>13.426092058099998</v>
      </c>
      <c r="AF196" s="9"/>
      <c r="AG196" s="22">
        <v>0.83663900000000002</v>
      </c>
      <c r="AH196" s="22">
        <v>373.476</v>
      </c>
      <c r="AI196" s="22">
        <v>-1.7443799999999999E-2</v>
      </c>
      <c r="AJ196" s="22">
        <v>186</v>
      </c>
      <c r="AK196" s="22">
        <v>0.83557099999999995</v>
      </c>
      <c r="AL196">
        <f t="shared" si="30"/>
        <v>17.4438</v>
      </c>
      <c r="AM196">
        <f t="shared" si="31"/>
        <v>14.5941633882</v>
      </c>
      <c r="AP196" s="9"/>
      <c r="AQ196" s="22">
        <v>0.76339699999999999</v>
      </c>
      <c r="AR196" s="22">
        <v>509.25400000000002</v>
      </c>
      <c r="AS196" s="22">
        <v>-1.7495699999999999E-2</v>
      </c>
      <c r="AT196" s="22">
        <v>186</v>
      </c>
      <c r="AU196" s="22">
        <v>0.76324499999999995</v>
      </c>
      <c r="AV196">
        <f t="shared" si="32"/>
        <v>17.495699999999999</v>
      </c>
      <c r="AW196">
        <f t="shared" si="33"/>
        <v>13.356164892899999</v>
      </c>
      <c r="AX196" s="9"/>
      <c r="AY196" s="22">
        <v>0.83663900000000002</v>
      </c>
      <c r="AZ196" s="22">
        <v>631.61099999999999</v>
      </c>
      <c r="BA196" s="22">
        <v>-1.74103E-2</v>
      </c>
      <c r="BB196" s="22">
        <v>186</v>
      </c>
      <c r="BC196" s="22">
        <v>0.83587599999999995</v>
      </c>
      <c r="BD196">
        <f t="shared" si="34"/>
        <v>17.410299999999999</v>
      </c>
      <c r="BE196">
        <f t="shared" si="35"/>
        <v>14.5661359817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95.093699999999998</v>
      </c>
      <c r="I197" s="22">
        <v>-1.7562899999999999E-2</v>
      </c>
      <c r="J197" s="22">
        <v>187</v>
      </c>
      <c r="K197" s="22">
        <v>0.75775099999999995</v>
      </c>
      <c r="L197">
        <f t="shared" si="24"/>
        <v>17.562899999999999</v>
      </c>
      <c r="M197">
        <f t="shared" si="25"/>
        <v>13.3190359698</v>
      </c>
      <c r="N197" s="9"/>
      <c r="O197" s="22">
        <v>0.84167499999999995</v>
      </c>
      <c r="P197" s="22">
        <v>210.011</v>
      </c>
      <c r="Q197" s="22">
        <v>-1.7593399999999999E-2</v>
      </c>
      <c r="R197" s="22">
        <v>187</v>
      </c>
      <c r="S197" s="22">
        <v>0.84045400000000003</v>
      </c>
      <c r="T197">
        <f t="shared" si="26"/>
        <v>17.593399999999999</v>
      </c>
      <c r="U197">
        <f t="shared" si="27"/>
        <v>14.807924944999998</v>
      </c>
      <c r="X197" s="9"/>
      <c r="Y197" s="22">
        <v>0.75836199999999998</v>
      </c>
      <c r="Z197" s="22">
        <v>312.99700000000001</v>
      </c>
      <c r="AA197" s="22">
        <v>-1.7599500000000001E-2</v>
      </c>
      <c r="AB197" s="22">
        <v>187</v>
      </c>
      <c r="AC197" s="22">
        <v>0.75714099999999995</v>
      </c>
      <c r="AD197">
        <f t="shared" si="28"/>
        <v>17.599499999999999</v>
      </c>
      <c r="AE197">
        <f t="shared" si="29"/>
        <v>13.346792018999999</v>
      </c>
      <c r="AF197" s="9"/>
      <c r="AG197" s="22">
        <v>0.84167499999999995</v>
      </c>
      <c r="AH197" s="22">
        <v>373.57600000000002</v>
      </c>
      <c r="AI197" s="22">
        <v>-1.7443799999999999E-2</v>
      </c>
      <c r="AJ197" s="22">
        <v>187</v>
      </c>
      <c r="AK197" s="22">
        <v>0.84075900000000003</v>
      </c>
      <c r="AL197">
        <f t="shared" si="30"/>
        <v>17.4438</v>
      </c>
      <c r="AM197">
        <f t="shared" si="31"/>
        <v>14.682010364999998</v>
      </c>
      <c r="AP197" s="9"/>
      <c r="AQ197" s="22">
        <v>0.75836199999999998</v>
      </c>
      <c r="AR197" s="22">
        <v>509.35500000000002</v>
      </c>
      <c r="AS197" s="22">
        <v>-1.7510999999999999E-2</v>
      </c>
      <c r="AT197" s="22">
        <v>187</v>
      </c>
      <c r="AU197" s="22">
        <v>0.75744599999999995</v>
      </c>
      <c r="AV197">
        <f t="shared" si="32"/>
        <v>17.510999999999999</v>
      </c>
      <c r="AW197">
        <f t="shared" si="33"/>
        <v>13.279676982</v>
      </c>
      <c r="AX197" s="9"/>
      <c r="AY197" s="22">
        <v>0.84167499999999995</v>
      </c>
      <c r="AZ197" s="22">
        <v>631.71199999999999</v>
      </c>
      <c r="BA197" s="22">
        <v>-1.7401099999999999E-2</v>
      </c>
      <c r="BB197" s="22">
        <v>187</v>
      </c>
      <c r="BC197" s="22">
        <v>0.84136999999999995</v>
      </c>
      <c r="BD197">
        <f t="shared" si="34"/>
        <v>17.4011</v>
      </c>
      <c r="BE197">
        <f t="shared" si="35"/>
        <v>14.646070842499999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95.194400000000002</v>
      </c>
      <c r="I198" s="22">
        <v>-1.75751E-2</v>
      </c>
      <c r="J198" s="22">
        <v>188</v>
      </c>
      <c r="K198" s="22">
        <v>0.75225799999999998</v>
      </c>
      <c r="L198">
        <f t="shared" si="24"/>
        <v>17.575099999999999</v>
      </c>
      <c r="M198">
        <f t="shared" si="25"/>
        <v>13.239779782599999</v>
      </c>
      <c r="N198" s="9"/>
      <c r="O198" s="22">
        <v>0.84670999999999996</v>
      </c>
      <c r="P198" s="22">
        <v>210.11099999999999</v>
      </c>
      <c r="Q198" s="22">
        <v>-1.7581200000000002E-2</v>
      </c>
      <c r="R198" s="22">
        <v>188</v>
      </c>
      <c r="S198" s="22">
        <v>0.846252</v>
      </c>
      <c r="T198">
        <f t="shared" si="26"/>
        <v>17.581200000000003</v>
      </c>
      <c r="U198">
        <f t="shared" si="27"/>
        <v>14.886177852000001</v>
      </c>
      <c r="X198" s="9"/>
      <c r="Y198" s="22">
        <v>0.75332600000000005</v>
      </c>
      <c r="Z198" s="22">
        <v>313.09800000000001</v>
      </c>
      <c r="AA198" s="22">
        <v>-1.7605599999999999E-2</v>
      </c>
      <c r="AB198" s="22">
        <v>188</v>
      </c>
      <c r="AC198" s="22">
        <v>0.75256299999999998</v>
      </c>
      <c r="AD198">
        <f t="shared" si="28"/>
        <v>17.605599999999999</v>
      </c>
      <c r="AE198">
        <f t="shared" si="29"/>
        <v>13.2627562256</v>
      </c>
      <c r="AF198" s="9"/>
      <c r="AG198" s="22">
        <v>0.84670999999999996</v>
      </c>
      <c r="AH198" s="22">
        <v>373.67700000000002</v>
      </c>
      <c r="AI198" s="22">
        <v>-1.74377E-2</v>
      </c>
      <c r="AJ198" s="22">
        <v>188</v>
      </c>
      <c r="AK198" s="22">
        <v>0.845947</v>
      </c>
      <c r="AL198">
        <f t="shared" si="30"/>
        <v>17.4377</v>
      </c>
      <c r="AM198">
        <f t="shared" si="31"/>
        <v>14.764674966999999</v>
      </c>
      <c r="AP198" s="9"/>
      <c r="AQ198" s="22">
        <v>0.75332600000000005</v>
      </c>
      <c r="AR198" s="22">
        <v>509.45499999999998</v>
      </c>
      <c r="AS198" s="22">
        <v>-1.75049E-2</v>
      </c>
      <c r="AT198" s="22">
        <v>188</v>
      </c>
      <c r="AU198" s="22">
        <v>0.75164799999999998</v>
      </c>
      <c r="AV198">
        <f t="shared" si="32"/>
        <v>17.504899999999999</v>
      </c>
      <c r="AW198">
        <f t="shared" si="33"/>
        <v>13.186896297400001</v>
      </c>
      <c r="AX198" s="9"/>
      <c r="AY198" s="22">
        <v>0.84670999999999996</v>
      </c>
      <c r="AZ198" s="22">
        <v>631.81200000000001</v>
      </c>
      <c r="BA198" s="22">
        <v>-1.7404200000000002E-2</v>
      </c>
      <c r="BB198" s="22">
        <v>188</v>
      </c>
      <c r="BC198" s="22">
        <v>0.845947</v>
      </c>
      <c r="BD198">
        <f t="shared" si="34"/>
        <v>17.404200000000003</v>
      </c>
      <c r="BE198">
        <f t="shared" si="35"/>
        <v>14.736310182000002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95.295100000000005</v>
      </c>
      <c r="I199" s="22">
        <v>-1.7584200000000001E-2</v>
      </c>
      <c r="J199" s="22">
        <v>189</v>
      </c>
      <c r="K199" s="22">
        <v>0.747803</v>
      </c>
      <c r="L199">
        <f t="shared" si="24"/>
        <v>17.584200000000003</v>
      </c>
      <c r="M199">
        <f t="shared" si="25"/>
        <v>13.158098602200003</v>
      </c>
      <c r="N199" s="9"/>
      <c r="O199" s="22">
        <v>0.851746</v>
      </c>
      <c r="P199" s="22">
        <v>210.21199999999999</v>
      </c>
      <c r="Q199" s="22">
        <v>-1.7578099999999999E-2</v>
      </c>
      <c r="R199" s="22">
        <v>189</v>
      </c>
      <c r="S199" s="22">
        <v>0.85052499999999998</v>
      </c>
      <c r="T199">
        <f t="shared" si="26"/>
        <v>17.578099999999999</v>
      </c>
      <c r="U199">
        <f t="shared" si="27"/>
        <v>14.972076362599999</v>
      </c>
      <c r="X199" s="9"/>
      <c r="Y199" s="22">
        <v>0.74829100000000004</v>
      </c>
      <c r="Z199" s="22">
        <v>313.19900000000001</v>
      </c>
      <c r="AA199" s="22">
        <v>-1.7599500000000001E-2</v>
      </c>
      <c r="AB199" s="22">
        <v>189</v>
      </c>
      <c r="AC199" s="22">
        <v>0.74765000000000004</v>
      </c>
      <c r="AD199">
        <f t="shared" si="28"/>
        <v>17.599499999999999</v>
      </c>
      <c r="AE199">
        <f t="shared" si="29"/>
        <v>13.1695474545</v>
      </c>
      <c r="AF199" s="9"/>
      <c r="AG199" s="22">
        <v>0.851746</v>
      </c>
      <c r="AH199" s="22">
        <v>373.77800000000002</v>
      </c>
      <c r="AI199" s="22">
        <v>-1.7428599999999999E-2</v>
      </c>
      <c r="AJ199" s="22">
        <v>189</v>
      </c>
      <c r="AK199" s="22">
        <v>0.85113499999999997</v>
      </c>
      <c r="AL199">
        <f t="shared" si="30"/>
        <v>17.428599999999999</v>
      </c>
      <c r="AM199">
        <f t="shared" si="31"/>
        <v>14.844740335599999</v>
      </c>
      <c r="AP199" s="9"/>
      <c r="AQ199" s="22">
        <v>0.74829100000000004</v>
      </c>
      <c r="AR199" s="22">
        <v>509.55599999999998</v>
      </c>
      <c r="AS199" s="22">
        <v>-1.7517100000000001E-2</v>
      </c>
      <c r="AT199" s="22">
        <v>189</v>
      </c>
      <c r="AU199" s="22">
        <v>0.74746699999999999</v>
      </c>
      <c r="AV199">
        <f t="shared" si="32"/>
        <v>17.517099999999999</v>
      </c>
      <c r="AW199">
        <f t="shared" si="33"/>
        <v>13.107888276100001</v>
      </c>
      <c r="AX199" s="9"/>
      <c r="AY199" s="22">
        <v>0.851746</v>
      </c>
      <c r="AZ199" s="22">
        <v>631.91300000000001</v>
      </c>
      <c r="BA199" s="22">
        <v>-1.73981E-2</v>
      </c>
      <c r="BB199" s="22">
        <v>189</v>
      </c>
      <c r="BC199" s="22">
        <v>0.85082999999999998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95.395799999999994</v>
      </c>
      <c r="I200" s="22">
        <v>-1.7556800000000001E-2</v>
      </c>
      <c r="J200" s="22">
        <v>190</v>
      </c>
      <c r="K200" s="22">
        <v>0.74240099999999998</v>
      </c>
      <c r="L200">
        <f t="shared" si="24"/>
        <v>17.556800000000003</v>
      </c>
      <c r="M200">
        <f t="shared" si="25"/>
        <v>13.049196940800002</v>
      </c>
      <c r="N200" s="9"/>
      <c r="O200" s="22">
        <v>0.85678100000000001</v>
      </c>
      <c r="P200" s="22">
        <v>210.31299999999999</v>
      </c>
      <c r="Q200" s="22">
        <v>-1.7569000000000001E-2</v>
      </c>
      <c r="R200" s="22">
        <v>190</v>
      </c>
      <c r="S200" s="22">
        <v>0.85632299999999995</v>
      </c>
      <c r="T200">
        <f t="shared" si="26"/>
        <v>17.569000000000003</v>
      </c>
      <c r="U200">
        <f t="shared" si="27"/>
        <v>15.052785389000002</v>
      </c>
      <c r="X200" s="9"/>
      <c r="Y200" s="22">
        <v>0.74325600000000003</v>
      </c>
      <c r="Z200" s="22">
        <v>313.29899999999998</v>
      </c>
      <c r="AA200" s="22">
        <v>-1.7605599999999999E-2</v>
      </c>
      <c r="AB200" s="22">
        <v>190</v>
      </c>
      <c r="AC200" s="22">
        <v>0.74603299999999995</v>
      </c>
      <c r="AD200">
        <f t="shared" si="28"/>
        <v>17.605599999999999</v>
      </c>
      <c r="AE200">
        <f t="shared" si="29"/>
        <v>13.085467833599999</v>
      </c>
      <c r="AF200" s="9"/>
      <c r="AG200" s="22">
        <v>0.85678100000000001</v>
      </c>
      <c r="AH200" s="22">
        <v>373.87799999999999</v>
      </c>
      <c r="AI200" s="22">
        <v>-1.74255E-2</v>
      </c>
      <c r="AJ200" s="22">
        <v>190</v>
      </c>
      <c r="AK200" s="22">
        <v>0.85601799999999995</v>
      </c>
      <c r="AL200">
        <f t="shared" si="30"/>
        <v>17.4255</v>
      </c>
      <c r="AM200">
        <f t="shared" si="31"/>
        <v>14.9298373155</v>
      </c>
      <c r="AP200" s="9"/>
      <c r="AQ200" s="22">
        <v>0.74325600000000003</v>
      </c>
      <c r="AR200" s="22">
        <v>509.65699999999998</v>
      </c>
      <c r="AS200" s="22">
        <v>-1.7517100000000001E-2</v>
      </c>
      <c r="AT200" s="22">
        <v>190</v>
      </c>
      <c r="AU200" s="22">
        <v>0.74261500000000003</v>
      </c>
      <c r="AV200">
        <f t="shared" si="32"/>
        <v>17.517099999999999</v>
      </c>
      <c r="AW200">
        <f t="shared" si="33"/>
        <v>13.019689677600001</v>
      </c>
      <c r="AX200" s="9"/>
      <c r="AY200" s="22">
        <v>0.85678100000000001</v>
      </c>
      <c r="AZ200" s="22">
        <v>632.01400000000001</v>
      </c>
      <c r="BA200" s="22">
        <v>-1.7395000000000001E-2</v>
      </c>
      <c r="BB200" s="22">
        <v>190</v>
      </c>
      <c r="BC200" s="22">
        <v>0.85571299999999995</v>
      </c>
      <c r="BD200">
        <f t="shared" si="34"/>
        <v>17.395</v>
      </c>
      <c r="BE200">
        <f t="shared" si="35"/>
        <v>14.903705495000001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95.496499999999997</v>
      </c>
      <c r="I201" s="22">
        <v>-1.7572000000000001E-2</v>
      </c>
      <c r="J201" s="22">
        <v>191</v>
      </c>
      <c r="K201" s="22">
        <v>0.73724400000000001</v>
      </c>
      <c r="L201">
        <f t="shared" si="24"/>
        <v>17.571999999999999</v>
      </c>
      <c r="M201">
        <f t="shared" si="25"/>
        <v>12.972001839999999</v>
      </c>
      <c r="N201" s="9"/>
      <c r="O201" s="22">
        <v>0.86181600000000003</v>
      </c>
      <c r="P201" s="22">
        <v>210.41300000000001</v>
      </c>
      <c r="Q201" s="22">
        <v>-1.7572000000000001E-2</v>
      </c>
      <c r="R201" s="22">
        <v>191</v>
      </c>
      <c r="S201" s="22">
        <v>0.86090100000000003</v>
      </c>
      <c r="T201">
        <f t="shared" si="26"/>
        <v>17.571999999999999</v>
      </c>
      <c r="U201">
        <f t="shared" si="27"/>
        <v>15.143830752</v>
      </c>
      <c r="X201" s="9"/>
      <c r="Y201" s="22">
        <v>0.73821999999999999</v>
      </c>
      <c r="Z201" s="22">
        <v>313.39999999999998</v>
      </c>
      <c r="AA201" s="22">
        <v>-1.7608599999999999E-2</v>
      </c>
      <c r="AB201" s="22">
        <v>191</v>
      </c>
      <c r="AC201" s="22">
        <v>0.736572</v>
      </c>
      <c r="AD201">
        <f t="shared" si="28"/>
        <v>17.608599999999999</v>
      </c>
      <c r="AE201">
        <f t="shared" si="29"/>
        <v>12.999020691999998</v>
      </c>
      <c r="AF201" s="9"/>
      <c r="AG201" s="22">
        <v>0.86181600000000003</v>
      </c>
      <c r="AH201" s="22">
        <v>373.97899999999998</v>
      </c>
      <c r="AI201" s="22">
        <v>-1.74255E-2</v>
      </c>
      <c r="AJ201" s="22">
        <v>191</v>
      </c>
      <c r="AK201" s="22">
        <v>0.86090100000000003</v>
      </c>
      <c r="AL201">
        <f t="shared" si="30"/>
        <v>17.4255</v>
      </c>
      <c r="AM201">
        <f t="shared" si="31"/>
        <v>15.017574708</v>
      </c>
      <c r="AP201" s="9"/>
      <c r="AQ201" s="22">
        <v>0.73821999999999999</v>
      </c>
      <c r="AR201" s="22">
        <v>509.75700000000001</v>
      </c>
      <c r="AS201" s="22">
        <v>-1.7529300000000001E-2</v>
      </c>
      <c r="AT201" s="22">
        <v>191</v>
      </c>
      <c r="AU201" s="22">
        <v>0.73733499999999996</v>
      </c>
      <c r="AV201">
        <f t="shared" si="32"/>
        <v>17.529300000000003</v>
      </c>
      <c r="AW201">
        <f t="shared" si="33"/>
        <v>12.940479846000002</v>
      </c>
      <c r="AX201" s="9"/>
      <c r="AY201" s="22">
        <v>0.86181600000000003</v>
      </c>
      <c r="AZ201" s="22">
        <v>632.11500000000001</v>
      </c>
      <c r="BA201" s="22">
        <v>-1.7376699999999998E-2</v>
      </c>
      <c r="BB201" s="22">
        <v>191</v>
      </c>
      <c r="BC201" s="22">
        <v>0.86090100000000003</v>
      </c>
      <c r="BD201">
        <f t="shared" si="34"/>
        <v>17.3767</v>
      </c>
      <c r="BE201">
        <f t="shared" si="35"/>
        <v>14.975518087199999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95.597200000000001</v>
      </c>
      <c r="I202" s="22">
        <v>-1.7581200000000002E-2</v>
      </c>
      <c r="J202" s="22">
        <v>192</v>
      </c>
      <c r="K202" s="22">
        <v>0.73251299999999997</v>
      </c>
      <c r="L202">
        <f t="shared" si="24"/>
        <v>17.581200000000003</v>
      </c>
      <c r="M202">
        <f t="shared" si="25"/>
        <v>12.890272122000001</v>
      </c>
      <c r="N202" s="9"/>
      <c r="O202" s="22">
        <v>0.86685199999999996</v>
      </c>
      <c r="P202" s="22">
        <v>210.51400000000001</v>
      </c>
      <c r="Q202" s="22">
        <v>-1.7569000000000001E-2</v>
      </c>
      <c r="R202" s="22">
        <v>192</v>
      </c>
      <c r="S202" s="22">
        <v>0.866089</v>
      </c>
      <c r="T202">
        <f t="shared" si="26"/>
        <v>17.569000000000003</v>
      </c>
      <c r="U202">
        <f t="shared" si="27"/>
        <v>15.229722788000002</v>
      </c>
      <c r="X202" s="9"/>
      <c r="Y202" s="22">
        <v>0.73318499999999998</v>
      </c>
      <c r="Z202" s="22">
        <v>313.50099999999998</v>
      </c>
      <c r="AA202" s="22">
        <v>-1.7617799999999999E-2</v>
      </c>
      <c r="AB202" s="22">
        <v>192</v>
      </c>
      <c r="AC202" s="22">
        <v>0.73251299999999997</v>
      </c>
      <c r="AD202">
        <f t="shared" si="28"/>
        <v>17.617799999999999</v>
      </c>
      <c r="AE202">
        <f t="shared" si="29"/>
        <v>12.917106692999999</v>
      </c>
      <c r="AF202" s="9"/>
      <c r="AG202" s="22">
        <v>0.86685199999999996</v>
      </c>
      <c r="AH202" s="22">
        <v>374.08</v>
      </c>
      <c r="AI202" s="22">
        <v>-1.74133E-2</v>
      </c>
      <c r="AJ202" s="22">
        <v>192</v>
      </c>
      <c r="AK202" s="22">
        <v>0.866089</v>
      </c>
      <c r="AL202">
        <f t="shared" si="30"/>
        <v>17.4133</v>
      </c>
      <c r="AM202">
        <f t="shared" si="31"/>
        <v>15.0947539316</v>
      </c>
      <c r="AP202" s="9"/>
      <c r="AQ202" s="22">
        <v>0.73318499999999998</v>
      </c>
      <c r="AR202" s="22">
        <v>509.858</v>
      </c>
      <c r="AS202" s="22">
        <v>-1.7532300000000001E-2</v>
      </c>
      <c r="AT202" s="22">
        <v>192</v>
      </c>
      <c r="AU202" s="22">
        <v>0.73223899999999997</v>
      </c>
      <c r="AV202">
        <f t="shared" si="32"/>
        <v>17.532299999999999</v>
      </c>
      <c r="AW202">
        <f t="shared" si="33"/>
        <v>12.854419375499999</v>
      </c>
      <c r="AX202" s="9"/>
      <c r="AY202" s="22">
        <v>0.86685199999999996</v>
      </c>
      <c r="AZ202" s="22">
        <v>632.21500000000003</v>
      </c>
      <c r="BA202" s="22">
        <v>-1.7385899999999999E-2</v>
      </c>
      <c r="BB202" s="22">
        <v>192</v>
      </c>
      <c r="BC202" s="22">
        <v>0.866394</v>
      </c>
      <c r="BD202">
        <f t="shared" si="34"/>
        <v>17.385899999999999</v>
      </c>
      <c r="BE202">
        <f t="shared" si="35"/>
        <v>15.071002186799999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95.697900000000004</v>
      </c>
      <c r="I203" s="22">
        <v>-1.7584200000000001E-2</v>
      </c>
      <c r="J203" s="22">
        <v>193</v>
      </c>
      <c r="K203" s="22">
        <v>0.72787500000000005</v>
      </c>
      <c r="L203">
        <f t="shared" si="24"/>
        <v>17.584200000000003</v>
      </c>
      <c r="M203">
        <f t="shared" si="25"/>
        <v>12.803917645800002</v>
      </c>
      <c r="N203" s="9"/>
      <c r="O203" s="22">
        <v>0.87188699999999997</v>
      </c>
      <c r="P203" s="22">
        <v>210.61500000000001</v>
      </c>
      <c r="Q203" s="22">
        <v>-1.75598E-2</v>
      </c>
      <c r="R203" s="22">
        <v>193</v>
      </c>
      <c r="S203" s="22">
        <v>0.87127699999999997</v>
      </c>
      <c r="T203">
        <f t="shared" si="26"/>
        <v>17.559799999999999</v>
      </c>
      <c r="U203">
        <f t="shared" si="27"/>
        <v>15.310161342599999</v>
      </c>
      <c r="X203" s="9"/>
      <c r="Y203" s="22">
        <v>0.72814900000000005</v>
      </c>
      <c r="Z203" s="22">
        <v>313.60199999999998</v>
      </c>
      <c r="AA203" s="22">
        <v>-1.763E-2</v>
      </c>
      <c r="AB203" s="22">
        <v>193</v>
      </c>
      <c r="AC203" s="22">
        <v>0.72763100000000003</v>
      </c>
      <c r="AD203">
        <f t="shared" si="28"/>
        <v>17.63</v>
      </c>
      <c r="AE203">
        <f t="shared" si="29"/>
        <v>12.837266870000001</v>
      </c>
      <c r="AF203" s="9"/>
      <c r="AG203" s="22">
        <v>0.87188699999999997</v>
      </c>
      <c r="AH203" s="22">
        <v>374.18099999999998</v>
      </c>
      <c r="AI203" s="22">
        <v>-1.7407200000000001E-2</v>
      </c>
      <c r="AJ203" s="22">
        <v>193</v>
      </c>
      <c r="AK203" s="22">
        <v>0.87158199999999997</v>
      </c>
      <c r="AL203">
        <f t="shared" si="30"/>
        <v>17.4072</v>
      </c>
      <c r="AM203">
        <f t="shared" si="31"/>
        <v>15.177111386399998</v>
      </c>
      <c r="AP203" s="9"/>
      <c r="AQ203" s="22">
        <v>0.72814900000000005</v>
      </c>
      <c r="AR203" s="22">
        <v>509.959</v>
      </c>
      <c r="AS203" s="22">
        <v>-1.7529300000000001E-2</v>
      </c>
      <c r="AT203" s="22">
        <v>193</v>
      </c>
      <c r="AU203" s="22">
        <v>0.727325</v>
      </c>
      <c r="AV203">
        <f t="shared" si="32"/>
        <v>17.529300000000003</v>
      </c>
      <c r="AW203">
        <f t="shared" si="33"/>
        <v>12.763942265700003</v>
      </c>
      <c r="AX203" s="9"/>
      <c r="AY203" s="22">
        <v>0.87188699999999997</v>
      </c>
      <c r="AZ203" s="22">
        <v>632.31600000000003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95.798599999999993</v>
      </c>
      <c r="I204" s="22">
        <v>-1.75873E-2</v>
      </c>
      <c r="J204" s="22">
        <v>194</v>
      </c>
      <c r="K204" s="22">
        <v>0.72250400000000004</v>
      </c>
      <c r="L204">
        <f t="shared" ref="L204:L267" si="36">-I204/$F$2*1000</f>
        <v>17.587299999999999</v>
      </c>
      <c r="M204">
        <f t="shared" ref="M204:M267" si="37">L204*G204</f>
        <v>12.7176228522</v>
      </c>
      <c r="N204" s="9"/>
      <c r="O204" s="22">
        <v>0.87692300000000001</v>
      </c>
      <c r="P204" s="22">
        <v>210.71600000000001</v>
      </c>
      <c r="Q204" s="22">
        <v>-1.7553699999999998E-2</v>
      </c>
      <c r="R204" s="22">
        <v>194</v>
      </c>
      <c r="S204" s="22">
        <v>0.87585400000000002</v>
      </c>
      <c r="T204">
        <f t="shared" ref="T204:T267" si="38">-Q204/$F$2*1000</f>
        <v>17.553699999999999</v>
      </c>
      <c r="U204">
        <f t="shared" ref="U204:U267" si="39">T204*O204</f>
        <v>15.393243265099999</v>
      </c>
      <c r="X204" s="9"/>
      <c r="Y204" s="22">
        <v>0.72311400000000003</v>
      </c>
      <c r="Z204" s="22">
        <v>313.702</v>
      </c>
      <c r="AA204" s="22">
        <v>-1.7627E-2</v>
      </c>
      <c r="AB204" s="22">
        <v>194</v>
      </c>
      <c r="AC204" s="22">
        <v>0.72241200000000005</v>
      </c>
      <c r="AD204">
        <f t="shared" ref="AD204:AD267" si="40">-AA204/$F$2*1000</f>
        <v>17.626999999999999</v>
      </c>
      <c r="AE204">
        <f t="shared" ref="AE204:AE267" si="41">AD204*Y204</f>
        <v>12.746330477999999</v>
      </c>
      <c r="AF204" s="9"/>
      <c r="AG204" s="22">
        <v>0.87692300000000001</v>
      </c>
      <c r="AH204" s="22">
        <v>374.28100000000001</v>
      </c>
      <c r="AI204" s="22">
        <v>-1.7401099999999999E-2</v>
      </c>
      <c r="AJ204" s="22">
        <v>194</v>
      </c>
      <c r="AK204" s="22">
        <v>0.87524400000000002</v>
      </c>
      <c r="AL204">
        <f t="shared" ref="AL204:AL267" si="42">-AI204/$F$2*1000</f>
        <v>17.4011</v>
      </c>
      <c r="AM204">
        <f t="shared" ref="AM204:AM267" si="43">AL204*AG204</f>
        <v>15.259424815299999</v>
      </c>
      <c r="AP204" s="9"/>
      <c r="AQ204" s="22">
        <v>0.72311400000000003</v>
      </c>
      <c r="AR204" s="22">
        <v>510.06</v>
      </c>
      <c r="AS204" s="22">
        <v>-1.7529300000000001E-2</v>
      </c>
      <c r="AT204" s="22">
        <v>194</v>
      </c>
      <c r="AU204" s="22">
        <v>0.72244299999999995</v>
      </c>
      <c r="AV204">
        <f t="shared" ref="AV204:AV267" si="44">-AS204/$F$2*1000</f>
        <v>17.529300000000003</v>
      </c>
      <c r="AW204">
        <f t="shared" ref="AW204:AW267" si="45">AV204*AQ204</f>
        <v>12.675682240200002</v>
      </c>
      <c r="AX204" s="9"/>
      <c r="AY204" s="22">
        <v>0.87692300000000001</v>
      </c>
      <c r="AZ204" s="22">
        <v>632.41700000000003</v>
      </c>
      <c r="BA204" s="22">
        <v>-1.73828E-2</v>
      </c>
      <c r="BB204" s="22">
        <v>194</v>
      </c>
      <c r="BC204" s="22">
        <v>0.87585400000000002</v>
      </c>
      <c r="BD204">
        <f t="shared" ref="BD204:BD267" si="46">-BA204/$F$2*1000</f>
        <v>17.3828</v>
      </c>
      <c r="BE204">
        <f t="shared" ref="BE204:BE267" si="47">BD204*AY204</f>
        <v>15.2433771244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95.899299999999997</v>
      </c>
      <c r="I205" s="22">
        <v>-1.76025E-2</v>
      </c>
      <c r="J205" s="22">
        <v>195</v>
      </c>
      <c r="K205" s="22">
        <v>0.71728499999999995</v>
      </c>
      <c r="L205">
        <f t="shared" si="36"/>
        <v>17.602499999999999</v>
      </c>
      <c r="M205">
        <f t="shared" si="37"/>
        <v>12.639985597499999</v>
      </c>
      <c r="N205" s="9"/>
      <c r="O205" s="22">
        <v>0.88195800000000002</v>
      </c>
      <c r="P205" s="22">
        <v>210.816</v>
      </c>
      <c r="Q205" s="22">
        <v>-1.7550699999999999E-2</v>
      </c>
      <c r="R205" s="22">
        <v>195</v>
      </c>
      <c r="S205" s="22">
        <v>0.88073699999999999</v>
      </c>
      <c r="T205">
        <f t="shared" si="38"/>
        <v>17.550699999999999</v>
      </c>
      <c r="U205">
        <f t="shared" si="39"/>
        <v>15.478980270599999</v>
      </c>
      <c r="X205" s="9"/>
      <c r="Y205" s="22">
        <v>0.71807900000000002</v>
      </c>
      <c r="Z205" s="22">
        <v>313.803</v>
      </c>
      <c r="AA205" s="22">
        <v>-1.7617799999999999E-2</v>
      </c>
      <c r="AB205" s="22">
        <v>195</v>
      </c>
      <c r="AC205" s="22">
        <v>0.71734600000000004</v>
      </c>
      <c r="AD205">
        <f t="shared" si="40"/>
        <v>17.617799999999999</v>
      </c>
      <c r="AE205">
        <f t="shared" si="41"/>
        <v>12.650972206200001</v>
      </c>
      <c r="AF205" s="9"/>
      <c r="AG205" s="22">
        <v>0.88195800000000002</v>
      </c>
      <c r="AH205" s="22">
        <v>374.38200000000001</v>
      </c>
      <c r="AI205" s="22">
        <v>-1.7395000000000001E-2</v>
      </c>
      <c r="AJ205" s="22">
        <v>195</v>
      </c>
      <c r="AK205" s="22">
        <v>0.88073699999999999</v>
      </c>
      <c r="AL205">
        <f t="shared" si="42"/>
        <v>17.395</v>
      </c>
      <c r="AM205">
        <f t="shared" si="43"/>
        <v>15.34165941</v>
      </c>
      <c r="AP205" s="9"/>
      <c r="AQ205" s="22">
        <v>0.71807900000000002</v>
      </c>
      <c r="AR205" s="22">
        <v>510.16</v>
      </c>
      <c r="AS205" s="22">
        <v>-1.7523199999999999E-2</v>
      </c>
      <c r="AT205" s="22">
        <v>195</v>
      </c>
      <c r="AU205" s="22">
        <v>0.71728499999999995</v>
      </c>
      <c r="AV205">
        <f t="shared" si="44"/>
        <v>17.523199999999999</v>
      </c>
      <c r="AW205">
        <f t="shared" si="45"/>
        <v>12.5830419328</v>
      </c>
      <c r="AX205" s="9"/>
      <c r="AY205" s="22">
        <v>0.88195800000000002</v>
      </c>
      <c r="AZ205" s="22">
        <v>632.51700000000005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96</v>
      </c>
      <c r="I206" s="22">
        <v>-1.7605599999999999E-2</v>
      </c>
      <c r="J206" s="22">
        <v>196</v>
      </c>
      <c r="K206" s="22">
        <v>0.71246299999999996</v>
      </c>
      <c r="L206">
        <f t="shared" si="36"/>
        <v>17.605599999999999</v>
      </c>
      <c r="M206">
        <f t="shared" si="37"/>
        <v>12.553549840799999</v>
      </c>
      <c r="N206" s="9"/>
      <c r="O206" s="22">
        <v>0.88699300000000003</v>
      </c>
      <c r="P206" s="22">
        <v>210.917</v>
      </c>
      <c r="Q206" s="22">
        <v>-1.75446E-2</v>
      </c>
      <c r="R206" s="22">
        <v>196</v>
      </c>
      <c r="S206" s="22">
        <v>0.88592499999999996</v>
      </c>
      <c r="T206">
        <f t="shared" si="38"/>
        <v>17.544599999999999</v>
      </c>
      <c r="U206">
        <f t="shared" si="39"/>
        <v>15.5619373878</v>
      </c>
      <c r="X206" s="9"/>
      <c r="Y206" s="22">
        <v>0.71304299999999998</v>
      </c>
      <c r="Z206" s="22">
        <v>313.904</v>
      </c>
      <c r="AA206" s="22">
        <v>-1.7617799999999999E-2</v>
      </c>
      <c r="AB206" s="22">
        <v>196</v>
      </c>
      <c r="AC206" s="22">
        <v>0.71225000000000005</v>
      </c>
      <c r="AD206">
        <f t="shared" si="40"/>
        <v>17.617799999999999</v>
      </c>
      <c r="AE206">
        <f t="shared" si="41"/>
        <v>12.562248965399998</v>
      </c>
      <c r="AF206" s="9"/>
      <c r="AG206" s="22">
        <v>0.88699300000000003</v>
      </c>
      <c r="AH206" s="22">
        <v>374.483</v>
      </c>
      <c r="AI206" s="22">
        <v>-1.7395000000000001E-2</v>
      </c>
      <c r="AJ206" s="22">
        <v>196</v>
      </c>
      <c r="AK206" s="22">
        <v>0.88561999999999996</v>
      </c>
      <c r="AL206">
        <f t="shared" si="42"/>
        <v>17.395</v>
      </c>
      <c r="AM206">
        <f t="shared" si="43"/>
        <v>15.429243235</v>
      </c>
      <c r="AP206" s="9"/>
      <c r="AQ206" s="22">
        <v>0.71304299999999998</v>
      </c>
      <c r="AR206" s="22">
        <v>510.26100000000002</v>
      </c>
      <c r="AS206" s="22">
        <v>-1.7523199999999999E-2</v>
      </c>
      <c r="AT206" s="22">
        <v>196</v>
      </c>
      <c r="AU206" s="22">
        <v>0.71255500000000005</v>
      </c>
      <c r="AV206">
        <f t="shared" si="44"/>
        <v>17.523199999999999</v>
      </c>
      <c r="AW206">
        <f t="shared" si="45"/>
        <v>12.494795097599999</v>
      </c>
      <c r="AX206" s="9"/>
      <c r="AY206" s="22">
        <v>0.88699300000000003</v>
      </c>
      <c r="AZ206" s="22">
        <v>632.61800000000005</v>
      </c>
      <c r="BA206" s="22">
        <v>-1.73676E-2</v>
      </c>
      <c r="BB206" s="22">
        <v>196</v>
      </c>
      <c r="BC206" s="22">
        <v>0.88622999999999996</v>
      </c>
      <c r="BD206">
        <f t="shared" si="46"/>
        <v>17.367599999999999</v>
      </c>
      <c r="BE206">
        <f t="shared" si="47"/>
        <v>15.404939626800001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96.100800000000007</v>
      </c>
      <c r="I207" s="22">
        <v>-1.7620799999999999E-2</v>
      </c>
      <c r="J207" s="22">
        <v>197</v>
      </c>
      <c r="K207" s="22">
        <v>0.70718400000000003</v>
      </c>
      <c r="L207">
        <f t="shared" si="36"/>
        <v>17.620799999999999</v>
      </c>
      <c r="M207">
        <f t="shared" si="37"/>
        <v>12.4756673664</v>
      </c>
      <c r="N207" s="9"/>
      <c r="O207" s="22">
        <v>0.89202899999999996</v>
      </c>
      <c r="P207" s="22">
        <v>211.018</v>
      </c>
      <c r="Q207" s="22">
        <v>-1.75354E-2</v>
      </c>
      <c r="R207" s="22">
        <v>197</v>
      </c>
      <c r="S207" s="22">
        <v>0.89141800000000004</v>
      </c>
      <c r="T207">
        <f t="shared" si="38"/>
        <v>17.535399999999999</v>
      </c>
      <c r="U207">
        <f t="shared" si="39"/>
        <v>15.642085326599998</v>
      </c>
      <c r="X207" s="9"/>
      <c r="Y207" s="22">
        <v>0.70800799999999997</v>
      </c>
      <c r="Z207" s="22">
        <v>314.00400000000002</v>
      </c>
      <c r="AA207" s="22">
        <v>-1.7623900000000001E-2</v>
      </c>
      <c r="AB207" s="22">
        <v>197</v>
      </c>
      <c r="AC207" s="22">
        <v>0.70727499999999999</v>
      </c>
      <c r="AD207">
        <f t="shared" si="40"/>
        <v>17.623900000000003</v>
      </c>
      <c r="AE207">
        <f t="shared" si="41"/>
        <v>12.477862191200002</v>
      </c>
      <c r="AF207" s="9"/>
      <c r="AG207" s="22">
        <v>0.89202899999999996</v>
      </c>
      <c r="AH207" s="22">
        <v>374.58300000000003</v>
      </c>
      <c r="AI207" s="22">
        <v>-1.7385899999999999E-2</v>
      </c>
      <c r="AJ207" s="22">
        <v>197</v>
      </c>
      <c r="AK207" s="22">
        <v>0.89050300000000004</v>
      </c>
      <c r="AL207">
        <f t="shared" si="42"/>
        <v>17.385899999999999</v>
      </c>
      <c r="AM207">
        <f t="shared" si="43"/>
        <v>15.5087269911</v>
      </c>
      <c r="AP207" s="9"/>
      <c r="AQ207" s="22">
        <v>0.70800799999999997</v>
      </c>
      <c r="AR207" s="22">
        <v>510.36200000000002</v>
      </c>
      <c r="AS207" s="22">
        <v>-1.75201E-2</v>
      </c>
      <c r="AT207" s="22">
        <v>197</v>
      </c>
      <c r="AU207" s="22">
        <v>0.70755000000000001</v>
      </c>
      <c r="AV207">
        <f t="shared" si="44"/>
        <v>17.520099999999999</v>
      </c>
      <c r="AW207">
        <f t="shared" si="45"/>
        <v>12.4043709608</v>
      </c>
      <c r="AX207" s="9"/>
      <c r="AY207" s="22">
        <v>0.89202899999999996</v>
      </c>
      <c r="AZ207" s="22">
        <v>632.71900000000005</v>
      </c>
      <c r="BA207" s="22">
        <v>-1.7361499999999998E-2</v>
      </c>
      <c r="BB207" s="22">
        <v>197</v>
      </c>
      <c r="BC207" s="22">
        <v>0.89141800000000004</v>
      </c>
      <c r="BD207">
        <f t="shared" si="46"/>
        <v>17.361499999999999</v>
      </c>
      <c r="BE207">
        <f t="shared" si="47"/>
        <v>15.486961483499998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96.201499999999996</v>
      </c>
      <c r="I208" s="22">
        <v>-1.7611700000000001E-2</v>
      </c>
      <c r="J208" s="22">
        <v>198</v>
      </c>
      <c r="K208" s="22">
        <v>0.70223999999999998</v>
      </c>
      <c r="L208">
        <f t="shared" si="36"/>
        <v>17.611700000000003</v>
      </c>
      <c r="M208">
        <f t="shared" si="37"/>
        <v>12.380531972400002</v>
      </c>
      <c r="N208" s="9"/>
      <c r="O208" s="22">
        <v>0.89706399999999997</v>
      </c>
      <c r="P208" s="22">
        <v>211.11799999999999</v>
      </c>
      <c r="Q208" s="22">
        <v>-1.7532300000000001E-2</v>
      </c>
      <c r="R208" s="22">
        <v>198</v>
      </c>
      <c r="S208" s="22">
        <v>0.89630100000000001</v>
      </c>
      <c r="T208">
        <f t="shared" si="38"/>
        <v>17.532299999999999</v>
      </c>
      <c r="U208">
        <f t="shared" si="39"/>
        <v>15.727595167199999</v>
      </c>
      <c r="X208" s="9"/>
      <c r="Y208" s="22">
        <v>0.70297200000000004</v>
      </c>
      <c r="Z208" s="22">
        <v>314.10500000000002</v>
      </c>
      <c r="AA208" s="22">
        <v>-1.7633099999999999E-2</v>
      </c>
      <c r="AB208" s="22">
        <v>198</v>
      </c>
      <c r="AC208" s="22">
        <v>0.70239300000000005</v>
      </c>
      <c r="AD208">
        <f t="shared" si="40"/>
        <v>17.633099999999999</v>
      </c>
      <c r="AE208">
        <f t="shared" si="41"/>
        <v>12.3955755732</v>
      </c>
      <c r="AF208" s="9"/>
      <c r="AG208" s="22">
        <v>0.89706399999999997</v>
      </c>
      <c r="AH208" s="22">
        <v>374.68400000000003</v>
      </c>
      <c r="AI208" s="22">
        <v>-1.7388899999999999E-2</v>
      </c>
      <c r="AJ208" s="22">
        <v>198</v>
      </c>
      <c r="AK208" s="22">
        <v>0.89599600000000001</v>
      </c>
      <c r="AL208">
        <f t="shared" si="42"/>
        <v>17.3889</v>
      </c>
      <c r="AM208">
        <f t="shared" si="43"/>
        <v>15.598956189599999</v>
      </c>
      <c r="AP208" s="9"/>
      <c r="AQ208" s="22">
        <v>0.70297200000000004</v>
      </c>
      <c r="AR208" s="22">
        <v>510.46199999999999</v>
      </c>
      <c r="AS208" s="22">
        <v>-1.7526199999999999E-2</v>
      </c>
      <c r="AT208" s="22">
        <v>198</v>
      </c>
      <c r="AU208" s="22">
        <v>0.70227099999999998</v>
      </c>
      <c r="AV208">
        <f t="shared" si="44"/>
        <v>17.526199999999999</v>
      </c>
      <c r="AW208">
        <f t="shared" si="45"/>
        <v>12.320427866400001</v>
      </c>
      <c r="AX208" s="9"/>
      <c r="AY208" s="22">
        <v>0.89706399999999997</v>
      </c>
      <c r="AZ208" s="22">
        <v>632.82000000000005</v>
      </c>
      <c r="BA208" s="22">
        <v>-1.73676E-2</v>
      </c>
      <c r="BB208" s="22">
        <v>198</v>
      </c>
      <c r="BC208" s="22">
        <v>0.89569100000000001</v>
      </c>
      <c r="BD208">
        <f t="shared" si="46"/>
        <v>17.367599999999999</v>
      </c>
      <c r="BE208">
        <f t="shared" si="47"/>
        <v>15.5798487264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96.302199999999999</v>
      </c>
      <c r="I209" s="22">
        <v>-1.7633099999999999E-2</v>
      </c>
      <c r="J209" s="22">
        <v>199</v>
      </c>
      <c r="K209" s="22">
        <v>0.69723500000000005</v>
      </c>
      <c r="L209">
        <f t="shared" si="36"/>
        <v>17.633099999999999</v>
      </c>
      <c r="M209">
        <f t="shared" si="37"/>
        <v>12.306792914699999</v>
      </c>
      <c r="N209" s="9"/>
      <c r="O209" s="22">
        <v>0.90210000000000001</v>
      </c>
      <c r="P209" s="22">
        <v>211.21899999999999</v>
      </c>
      <c r="Q209" s="22">
        <v>-1.7526199999999999E-2</v>
      </c>
      <c r="R209" s="22">
        <v>199</v>
      </c>
      <c r="S209" s="22">
        <v>0.90118399999999999</v>
      </c>
      <c r="T209">
        <f t="shared" si="38"/>
        <v>17.526199999999999</v>
      </c>
      <c r="U209">
        <f t="shared" si="39"/>
        <v>15.81038502</v>
      </c>
      <c r="X209" s="9"/>
      <c r="Y209" s="22">
        <v>0.69793700000000003</v>
      </c>
      <c r="Z209" s="22">
        <v>314.20600000000002</v>
      </c>
      <c r="AA209" s="22">
        <v>-1.7645299999999999E-2</v>
      </c>
      <c r="AB209" s="22">
        <v>199</v>
      </c>
      <c r="AC209" s="22">
        <v>0.69711299999999998</v>
      </c>
      <c r="AD209">
        <f t="shared" si="40"/>
        <v>17.645299999999999</v>
      </c>
      <c r="AE209">
        <f t="shared" si="41"/>
        <v>12.3153077461</v>
      </c>
      <c r="AF209" s="9"/>
      <c r="AG209" s="22">
        <v>0.90210000000000001</v>
      </c>
      <c r="AH209" s="22">
        <v>374.78500000000003</v>
      </c>
      <c r="AI209" s="22">
        <v>-1.7392000000000001E-2</v>
      </c>
      <c r="AJ209" s="22">
        <v>199</v>
      </c>
      <c r="AK209" s="22">
        <v>0.90118399999999999</v>
      </c>
      <c r="AL209">
        <f t="shared" si="42"/>
        <v>17.391999999999999</v>
      </c>
      <c r="AM209">
        <f t="shared" si="43"/>
        <v>15.6893232</v>
      </c>
      <c r="AP209" s="9"/>
      <c r="AQ209" s="22">
        <v>0.69793700000000003</v>
      </c>
      <c r="AR209" s="22">
        <v>510.56299999999999</v>
      </c>
      <c r="AS209" s="22">
        <v>-1.75446E-2</v>
      </c>
      <c r="AT209" s="22">
        <v>199</v>
      </c>
      <c r="AU209" s="22">
        <v>0.69741799999999998</v>
      </c>
      <c r="AV209">
        <f t="shared" si="44"/>
        <v>17.544599999999999</v>
      </c>
      <c r="AW209">
        <f t="shared" si="45"/>
        <v>12.2450254902</v>
      </c>
      <c r="AX209" s="9"/>
      <c r="AY209" s="22">
        <v>0.90210000000000001</v>
      </c>
      <c r="AZ209" s="22">
        <v>632.91999999999996</v>
      </c>
      <c r="BA209" s="22">
        <v>-1.7355300000000001E-2</v>
      </c>
      <c r="BB209" s="22">
        <v>199</v>
      </c>
      <c r="BC209" s="22">
        <v>0.90179399999999998</v>
      </c>
      <c r="BD209">
        <f t="shared" si="46"/>
        <v>17.3553</v>
      </c>
      <c r="BE209">
        <f t="shared" si="47"/>
        <v>15.656216130000001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96.402900000000002</v>
      </c>
      <c r="I210" s="22">
        <v>-1.7633099999999999E-2</v>
      </c>
      <c r="J210" s="22">
        <v>200</v>
      </c>
      <c r="K210" s="22">
        <v>0.69216900000000003</v>
      </c>
      <c r="L210">
        <f t="shared" si="36"/>
        <v>17.633099999999999</v>
      </c>
      <c r="M210">
        <f t="shared" si="37"/>
        <v>12.218010256199999</v>
      </c>
      <c r="N210" s="9"/>
      <c r="O210" s="22">
        <v>0.90713500000000002</v>
      </c>
      <c r="P210" s="22">
        <v>211.32</v>
      </c>
      <c r="Q210" s="22">
        <v>-1.75354E-2</v>
      </c>
      <c r="R210" s="22">
        <v>200</v>
      </c>
      <c r="S210" s="22">
        <v>0.90606699999999996</v>
      </c>
      <c r="T210">
        <f t="shared" si="38"/>
        <v>17.535399999999999</v>
      </c>
      <c r="U210">
        <f t="shared" si="39"/>
        <v>15.906975079</v>
      </c>
      <c r="X210" s="9"/>
      <c r="Y210" s="22">
        <v>0.69290200000000002</v>
      </c>
      <c r="Z210" s="22">
        <v>314.30700000000002</v>
      </c>
      <c r="AA210" s="22">
        <v>-1.76422E-2</v>
      </c>
      <c r="AB210" s="22">
        <v>200</v>
      </c>
      <c r="AC210" s="22">
        <v>0.693573</v>
      </c>
      <c r="AD210">
        <f t="shared" si="40"/>
        <v>17.642199999999999</v>
      </c>
      <c r="AE210">
        <f t="shared" si="41"/>
        <v>12.224315664399999</v>
      </c>
      <c r="AF210" s="9"/>
      <c r="AG210" s="22">
        <v>0.90713500000000002</v>
      </c>
      <c r="AH210" s="22">
        <v>374.88600000000002</v>
      </c>
      <c r="AI210" s="22">
        <v>-1.7392000000000001E-2</v>
      </c>
      <c r="AJ210" s="22">
        <v>200</v>
      </c>
      <c r="AK210" s="22">
        <v>0.90637199999999996</v>
      </c>
      <c r="AL210">
        <f t="shared" si="42"/>
        <v>17.391999999999999</v>
      </c>
      <c r="AM210">
        <f t="shared" si="43"/>
        <v>15.776891920000001</v>
      </c>
      <c r="AP210" s="9"/>
      <c r="AQ210" s="22">
        <v>0.69290200000000002</v>
      </c>
      <c r="AR210" s="22">
        <v>510.66399999999999</v>
      </c>
      <c r="AS210" s="22">
        <v>-1.7550699999999999E-2</v>
      </c>
      <c r="AT210" s="22">
        <v>200</v>
      </c>
      <c r="AU210" s="22">
        <v>0.69220000000000004</v>
      </c>
      <c r="AV210">
        <f t="shared" si="44"/>
        <v>17.550699999999999</v>
      </c>
      <c r="AW210">
        <f t="shared" si="45"/>
        <v>12.160915131399999</v>
      </c>
      <c r="AX210" s="9"/>
      <c r="AY210" s="22">
        <v>0.90713500000000002</v>
      </c>
      <c r="AZ210" s="22">
        <v>633.02099999999996</v>
      </c>
      <c r="BA210" s="22">
        <v>-1.7352300000000001E-2</v>
      </c>
      <c r="BB210" s="22">
        <v>200</v>
      </c>
      <c r="BC210" s="22">
        <v>0.90637199999999996</v>
      </c>
      <c r="BD210">
        <f t="shared" si="46"/>
        <v>17.3523</v>
      </c>
      <c r="BE210">
        <f t="shared" si="47"/>
        <v>15.7408786605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96.503600000000006</v>
      </c>
      <c r="I211" s="22">
        <v>-1.7627E-2</v>
      </c>
      <c r="J211" s="22">
        <v>201</v>
      </c>
      <c r="K211" s="22">
        <v>0.687195</v>
      </c>
      <c r="L211">
        <f t="shared" si="36"/>
        <v>17.626999999999999</v>
      </c>
      <c r="M211">
        <f t="shared" si="37"/>
        <v>12.125013981999999</v>
      </c>
      <c r="N211" s="9"/>
      <c r="O211" s="22">
        <v>0.91217000000000004</v>
      </c>
      <c r="P211" s="22">
        <v>211.42099999999999</v>
      </c>
      <c r="Q211" s="22">
        <v>-1.7523199999999999E-2</v>
      </c>
      <c r="R211" s="22">
        <v>201</v>
      </c>
      <c r="S211" s="22">
        <v>0.91186500000000004</v>
      </c>
      <c r="T211">
        <f t="shared" si="38"/>
        <v>17.523199999999999</v>
      </c>
      <c r="U211">
        <f t="shared" si="39"/>
        <v>15.984137344000001</v>
      </c>
      <c r="X211" s="9"/>
      <c r="Y211" s="22">
        <v>0.68786599999999998</v>
      </c>
      <c r="Z211" s="22">
        <v>314.40699999999998</v>
      </c>
      <c r="AA211" s="22">
        <v>-1.76422E-2</v>
      </c>
      <c r="AB211" s="22">
        <v>201</v>
      </c>
      <c r="AC211" s="22">
        <v>0.68801900000000005</v>
      </c>
      <c r="AD211">
        <f t="shared" si="40"/>
        <v>17.642199999999999</v>
      </c>
      <c r="AE211">
        <f t="shared" si="41"/>
        <v>12.135469545199999</v>
      </c>
      <c r="AF211" s="9"/>
      <c r="AG211" s="22">
        <v>0.91217000000000004</v>
      </c>
      <c r="AH211" s="22">
        <v>374.98599999999999</v>
      </c>
      <c r="AI211" s="22">
        <v>-1.7388899999999999E-2</v>
      </c>
      <c r="AJ211" s="22">
        <v>201</v>
      </c>
      <c r="AK211" s="22">
        <v>0.91125500000000004</v>
      </c>
      <c r="AL211">
        <f t="shared" si="42"/>
        <v>17.3889</v>
      </c>
      <c r="AM211">
        <f t="shared" si="43"/>
        <v>15.861632913000001</v>
      </c>
      <c r="AP211" s="9"/>
      <c r="AQ211" s="22">
        <v>0.68786599999999998</v>
      </c>
      <c r="AR211" s="22">
        <v>510.76499999999999</v>
      </c>
      <c r="AS211" s="22">
        <v>-1.75598E-2</v>
      </c>
      <c r="AT211" s="22">
        <v>201</v>
      </c>
      <c r="AU211" s="22">
        <v>0.68740800000000002</v>
      </c>
      <c r="AV211">
        <f t="shared" si="44"/>
        <v>17.559799999999999</v>
      </c>
      <c r="AW211">
        <f t="shared" si="45"/>
        <v>12.078789386799999</v>
      </c>
      <c r="AX211" s="9"/>
      <c r="AY211" s="22">
        <v>0.91217000000000004</v>
      </c>
      <c r="AZ211" s="22">
        <v>633.12199999999996</v>
      </c>
      <c r="BA211" s="22">
        <v>-1.7346199999999999E-2</v>
      </c>
      <c r="BB211" s="22">
        <v>201</v>
      </c>
      <c r="BC211" s="22">
        <v>0.91095000000000004</v>
      </c>
      <c r="BD211">
        <f t="shared" si="46"/>
        <v>17.3462</v>
      </c>
      <c r="BE211">
        <f t="shared" si="47"/>
        <v>15.822683254000001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96.604299999999995</v>
      </c>
      <c r="I212" s="22">
        <v>-1.7633099999999999E-2</v>
      </c>
      <c r="J212" s="22">
        <v>202</v>
      </c>
      <c r="K212" s="22">
        <v>0.68222000000000005</v>
      </c>
      <c r="L212">
        <f t="shared" si="36"/>
        <v>17.633099999999999</v>
      </c>
      <c r="M212">
        <f t="shared" si="37"/>
        <v>12.040427306099998</v>
      </c>
      <c r="N212" s="9"/>
      <c r="O212" s="22">
        <v>0.91720599999999997</v>
      </c>
      <c r="P212" s="22">
        <v>211.52099999999999</v>
      </c>
      <c r="Q212" s="22">
        <v>-1.7517100000000001E-2</v>
      </c>
      <c r="R212" s="22">
        <v>202</v>
      </c>
      <c r="S212" s="22">
        <v>0.91644300000000001</v>
      </c>
      <c r="T212">
        <f t="shared" si="38"/>
        <v>17.517099999999999</v>
      </c>
      <c r="U212">
        <f t="shared" si="39"/>
        <v>16.066789222599997</v>
      </c>
      <c r="X212" s="9"/>
      <c r="Y212" s="22">
        <v>0.68283099999999997</v>
      </c>
      <c r="Z212" s="22">
        <v>314.50799999999998</v>
      </c>
      <c r="AA212" s="22">
        <v>-1.76422E-2</v>
      </c>
      <c r="AB212" s="22">
        <v>202</v>
      </c>
      <c r="AC212" s="22">
        <v>0.68234300000000003</v>
      </c>
      <c r="AD212">
        <f t="shared" si="40"/>
        <v>17.642199999999999</v>
      </c>
      <c r="AE212">
        <f t="shared" si="41"/>
        <v>12.0466410682</v>
      </c>
      <c r="AF212" s="9"/>
      <c r="AG212" s="22">
        <v>0.91720599999999997</v>
      </c>
      <c r="AH212" s="22">
        <v>375.08699999999999</v>
      </c>
      <c r="AI212" s="22">
        <v>-1.7376699999999998E-2</v>
      </c>
      <c r="AJ212" s="22">
        <v>202</v>
      </c>
      <c r="AK212" s="22">
        <v>0.91583300000000001</v>
      </c>
      <c r="AL212">
        <f t="shared" si="42"/>
        <v>17.3767</v>
      </c>
      <c r="AM212">
        <f t="shared" si="43"/>
        <v>15.938013500199999</v>
      </c>
      <c r="AP212" s="9"/>
      <c r="AQ212" s="22">
        <v>0.68283099999999997</v>
      </c>
      <c r="AR212" s="22">
        <v>510.86500000000001</v>
      </c>
      <c r="AS212" s="22">
        <v>-1.75598E-2</v>
      </c>
      <c r="AT212" s="22">
        <v>202</v>
      </c>
      <c r="AU212" s="22">
        <v>0.682037</v>
      </c>
      <c r="AV212">
        <f t="shared" si="44"/>
        <v>17.559799999999999</v>
      </c>
      <c r="AW212">
        <f t="shared" si="45"/>
        <v>11.990375793799998</v>
      </c>
      <c r="AX212" s="9"/>
      <c r="AY212" s="22">
        <v>0.91720599999999997</v>
      </c>
      <c r="AZ212" s="22">
        <v>633.22199999999998</v>
      </c>
      <c r="BA212" s="22">
        <v>-1.73279E-2</v>
      </c>
      <c r="BB212" s="22">
        <v>202</v>
      </c>
      <c r="BC212" s="22">
        <v>0.91644300000000001</v>
      </c>
      <c r="BD212">
        <f t="shared" si="46"/>
        <v>17.3279</v>
      </c>
      <c r="BE212">
        <f t="shared" si="47"/>
        <v>15.893253847399999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96.704999999999998</v>
      </c>
      <c r="I213" s="22">
        <v>-1.7654400000000001E-2</v>
      </c>
      <c r="J213" s="22">
        <v>203</v>
      </c>
      <c r="K213" s="22">
        <v>0.67712399999999995</v>
      </c>
      <c r="L213">
        <f t="shared" si="36"/>
        <v>17.654399999999999</v>
      </c>
      <c r="M213">
        <f t="shared" si="37"/>
        <v>11.966064048</v>
      </c>
      <c r="N213" s="9"/>
      <c r="O213" s="22">
        <v>0.92224099999999998</v>
      </c>
      <c r="P213" s="22">
        <v>211.62200000000001</v>
      </c>
      <c r="Q213" s="22">
        <v>-1.75079E-2</v>
      </c>
      <c r="R213" s="22">
        <v>203</v>
      </c>
      <c r="S213" s="22">
        <v>0.92132599999999998</v>
      </c>
      <c r="T213">
        <f t="shared" si="38"/>
        <v>17.507899999999999</v>
      </c>
      <c r="U213">
        <f t="shared" si="39"/>
        <v>16.1465032039</v>
      </c>
      <c r="X213" s="9"/>
      <c r="Y213" s="22">
        <v>0.67779500000000004</v>
      </c>
      <c r="Z213" s="22">
        <v>314.60899999999998</v>
      </c>
      <c r="AA213" s="22">
        <v>-1.7639200000000001E-2</v>
      </c>
      <c r="AB213" s="22">
        <v>203</v>
      </c>
      <c r="AC213" s="22">
        <v>0.67718500000000004</v>
      </c>
      <c r="AD213">
        <f t="shared" si="40"/>
        <v>17.639200000000002</v>
      </c>
      <c r="AE213">
        <f t="shared" si="41"/>
        <v>11.955761564000003</v>
      </c>
      <c r="AF213" s="9"/>
      <c r="AG213" s="22">
        <v>0.92224099999999998</v>
      </c>
      <c r="AH213" s="22">
        <v>375.18799999999999</v>
      </c>
      <c r="AI213" s="22">
        <v>-1.7379800000000001E-2</v>
      </c>
      <c r="AJ213" s="22">
        <v>203</v>
      </c>
      <c r="AK213" s="22">
        <v>0.92132599999999998</v>
      </c>
      <c r="AL213">
        <f t="shared" si="42"/>
        <v>17.379799999999999</v>
      </c>
      <c r="AM213">
        <f t="shared" si="43"/>
        <v>16.0283641318</v>
      </c>
      <c r="AP213" s="9"/>
      <c r="AQ213" s="22">
        <v>0.67779500000000004</v>
      </c>
      <c r="AR213" s="22">
        <v>510.96600000000001</v>
      </c>
      <c r="AS213" s="22">
        <v>-1.7578099999999999E-2</v>
      </c>
      <c r="AT213" s="22">
        <v>203</v>
      </c>
      <c r="AU213" s="22">
        <v>0.67697099999999999</v>
      </c>
      <c r="AV213">
        <f t="shared" si="44"/>
        <v>17.578099999999999</v>
      </c>
      <c r="AW213">
        <f t="shared" si="45"/>
        <v>11.914348289499999</v>
      </c>
      <c r="AX213" s="9"/>
      <c r="AY213" s="22">
        <v>0.92224099999999998</v>
      </c>
      <c r="AZ213" s="22">
        <v>633.32299999999998</v>
      </c>
      <c r="BA213" s="22">
        <v>-1.7318699999999999E-2</v>
      </c>
      <c r="BB213" s="22">
        <v>203</v>
      </c>
      <c r="BC213" s="22">
        <v>0.92132599999999998</v>
      </c>
      <c r="BD213">
        <f t="shared" si="46"/>
        <v>17.3187</v>
      </c>
      <c r="BE213">
        <f t="shared" si="47"/>
        <v>15.9720152067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96.805700000000002</v>
      </c>
      <c r="I214" s="22">
        <v>-1.7651400000000001E-2</v>
      </c>
      <c r="J214" s="22">
        <v>204</v>
      </c>
      <c r="K214" s="22">
        <v>0.67172200000000004</v>
      </c>
      <c r="L214">
        <f t="shared" si="36"/>
        <v>17.651400000000002</v>
      </c>
      <c r="M214">
        <f t="shared" si="37"/>
        <v>11.875155864000002</v>
      </c>
      <c r="N214" s="9"/>
      <c r="O214" s="22">
        <v>0.92727700000000002</v>
      </c>
      <c r="P214" s="22">
        <v>211.72300000000001</v>
      </c>
      <c r="Q214" s="22">
        <v>-1.75049E-2</v>
      </c>
      <c r="R214" s="22">
        <v>204</v>
      </c>
      <c r="S214" s="22">
        <v>0.92651399999999995</v>
      </c>
      <c r="T214">
        <f t="shared" si="38"/>
        <v>17.504899999999999</v>
      </c>
      <c r="U214">
        <f t="shared" si="39"/>
        <v>16.231891157299998</v>
      </c>
      <c r="X214" s="9"/>
      <c r="Y214" s="22">
        <v>0.67276000000000002</v>
      </c>
      <c r="Z214" s="22">
        <v>314.709</v>
      </c>
      <c r="AA214" s="22">
        <v>-1.7636099999999998E-2</v>
      </c>
      <c r="AB214" s="22">
        <v>204</v>
      </c>
      <c r="AC214" s="22">
        <v>0.67211900000000002</v>
      </c>
      <c r="AD214">
        <f t="shared" si="40"/>
        <v>17.636099999999999</v>
      </c>
      <c r="AE214">
        <f t="shared" si="41"/>
        <v>11.864862636</v>
      </c>
      <c r="AF214" s="9"/>
      <c r="AG214" s="22">
        <v>0.92727700000000002</v>
      </c>
      <c r="AH214" s="22">
        <v>375.28800000000001</v>
      </c>
      <c r="AI214" s="22">
        <v>-1.73706E-2</v>
      </c>
      <c r="AJ214" s="22">
        <v>204</v>
      </c>
      <c r="AK214" s="22">
        <v>0.92620800000000003</v>
      </c>
      <c r="AL214">
        <f t="shared" si="42"/>
        <v>17.3706</v>
      </c>
      <c r="AM214">
        <f t="shared" si="43"/>
        <v>16.1073578562</v>
      </c>
      <c r="AP214" s="9"/>
      <c r="AQ214" s="22">
        <v>0.67276000000000002</v>
      </c>
      <c r="AR214" s="22">
        <v>511.06700000000001</v>
      </c>
      <c r="AS214" s="22">
        <v>-1.7581200000000002E-2</v>
      </c>
      <c r="AT214" s="22">
        <v>204</v>
      </c>
      <c r="AU214" s="22">
        <v>0.672485</v>
      </c>
      <c r="AV214">
        <f t="shared" si="44"/>
        <v>17.581200000000003</v>
      </c>
      <c r="AW214">
        <f t="shared" si="45"/>
        <v>11.827928112000002</v>
      </c>
      <c r="AX214" s="9"/>
      <c r="AY214" s="22">
        <v>0.92727700000000002</v>
      </c>
      <c r="AZ214" s="22">
        <v>633.42399999999998</v>
      </c>
      <c r="BA214" s="22">
        <v>-1.73279E-2</v>
      </c>
      <c r="BB214" s="22">
        <v>204</v>
      </c>
      <c r="BC214" s="22">
        <v>0.92620800000000003</v>
      </c>
      <c r="BD214">
        <f t="shared" si="46"/>
        <v>17.3279</v>
      </c>
      <c r="BE214">
        <f t="shared" si="47"/>
        <v>16.067763128300001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96.906400000000005</v>
      </c>
      <c r="I215" s="22">
        <v>-1.7654400000000001E-2</v>
      </c>
      <c r="J215" s="22">
        <v>205</v>
      </c>
      <c r="K215" s="22">
        <v>0.66699200000000003</v>
      </c>
      <c r="L215">
        <f t="shared" si="36"/>
        <v>17.654399999999999</v>
      </c>
      <c r="M215">
        <f t="shared" si="37"/>
        <v>11.788284239999999</v>
      </c>
      <c r="N215" s="9"/>
      <c r="O215" s="22">
        <v>0.93231200000000003</v>
      </c>
      <c r="P215" s="22">
        <v>211.82300000000001</v>
      </c>
      <c r="Q215" s="22">
        <v>-1.75079E-2</v>
      </c>
      <c r="R215" s="22">
        <v>205</v>
      </c>
      <c r="S215" s="22">
        <v>0.931091</v>
      </c>
      <c r="T215">
        <f t="shared" si="38"/>
        <v>17.507899999999999</v>
      </c>
      <c r="U215">
        <f t="shared" si="39"/>
        <v>16.322825264799999</v>
      </c>
      <c r="X215" s="9"/>
      <c r="Y215" s="22">
        <v>0.66772500000000001</v>
      </c>
      <c r="Z215" s="22">
        <v>314.81</v>
      </c>
      <c r="AA215" s="22">
        <v>-1.7627E-2</v>
      </c>
      <c r="AB215" s="22">
        <v>205</v>
      </c>
      <c r="AC215" s="22">
        <v>0.66702300000000003</v>
      </c>
      <c r="AD215">
        <f t="shared" si="40"/>
        <v>17.626999999999999</v>
      </c>
      <c r="AE215">
        <f t="shared" si="41"/>
        <v>11.769988574999999</v>
      </c>
      <c r="AF215" s="9"/>
      <c r="AG215" s="22">
        <v>0.93231200000000003</v>
      </c>
      <c r="AH215" s="22">
        <v>375.38900000000001</v>
      </c>
      <c r="AI215" s="22">
        <v>-1.7373699999999999E-2</v>
      </c>
      <c r="AJ215" s="22">
        <v>205</v>
      </c>
      <c r="AK215" s="22">
        <v>0.931396</v>
      </c>
      <c r="AL215">
        <f t="shared" si="42"/>
        <v>17.373699999999999</v>
      </c>
      <c r="AM215">
        <f t="shared" si="43"/>
        <v>16.197708994399999</v>
      </c>
      <c r="AP215" s="9"/>
      <c r="AQ215" s="22">
        <v>0.66772500000000001</v>
      </c>
      <c r="AR215" s="22">
        <v>511.16699999999997</v>
      </c>
      <c r="AS215" s="22">
        <v>-1.7581200000000002E-2</v>
      </c>
      <c r="AT215" s="22">
        <v>205</v>
      </c>
      <c r="AU215" s="22">
        <v>0.66693100000000005</v>
      </c>
      <c r="AV215">
        <f t="shared" si="44"/>
        <v>17.581200000000003</v>
      </c>
      <c r="AW215">
        <f t="shared" si="45"/>
        <v>11.739406770000002</v>
      </c>
      <c r="AX215" s="9"/>
      <c r="AY215" s="22">
        <v>0.93231200000000003</v>
      </c>
      <c r="AZ215" s="22">
        <v>633.524</v>
      </c>
      <c r="BA215" s="22">
        <v>-1.7318699999999999E-2</v>
      </c>
      <c r="BB215" s="22">
        <v>205</v>
      </c>
      <c r="BC215" s="22">
        <v>0.931396</v>
      </c>
      <c r="BD215">
        <f t="shared" si="46"/>
        <v>17.3187</v>
      </c>
      <c r="BE215">
        <f t="shared" si="47"/>
        <v>16.146431834400001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97.007099999999994</v>
      </c>
      <c r="I216" s="22">
        <v>-1.7675799999999998E-2</v>
      </c>
      <c r="J216" s="22">
        <v>206</v>
      </c>
      <c r="K216" s="22">
        <v>0.66192600000000001</v>
      </c>
      <c r="L216">
        <f t="shared" si="36"/>
        <v>17.675799999999999</v>
      </c>
      <c r="M216">
        <f t="shared" si="37"/>
        <v>11.713558226199998</v>
      </c>
      <c r="N216" s="9"/>
      <c r="O216" s="22">
        <v>0.93734700000000004</v>
      </c>
      <c r="P216" s="22">
        <v>211.92400000000001</v>
      </c>
      <c r="Q216" s="22">
        <v>-1.7501800000000001E-2</v>
      </c>
      <c r="R216" s="22">
        <v>206</v>
      </c>
      <c r="S216" s="22">
        <v>0.937195</v>
      </c>
      <c r="T216">
        <f t="shared" si="38"/>
        <v>17.501800000000003</v>
      </c>
      <c r="U216">
        <f t="shared" si="39"/>
        <v>16.405259724600004</v>
      </c>
      <c r="X216" s="9"/>
      <c r="Y216" s="22">
        <v>0.66268899999999997</v>
      </c>
      <c r="Z216" s="22">
        <v>314.911</v>
      </c>
      <c r="AA216" s="22">
        <v>-1.76422E-2</v>
      </c>
      <c r="AB216" s="22">
        <v>206</v>
      </c>
      <c r="AC216" s="22">
        <v>0.66195700000000002</v>
      </c>
      <c r="AD216">
        <f t="shared" si="40"/>
        <v>17.642199999999999</v>
      </c>
      <c r="AE216">
        <f t="shared" si="41"/>
        <v>11.691291875799999</v>
      </c>
      <c r="AF216" s="9"/>
      <c r="AG216" s="22">
        <v>0.93734700000000004</v>
      </c>
      <c r="AH216" s="22">
        <v>375.49</v>
      </c>
      <c r="AI216" s="22">
        <v>-1.7361499999999998E-2</v>
      </c>
      <c r="AJ216" s="22">
        <v>206</v>
      </c>
      <c r="AK216" s="22">
        <v>0.93658399999999997</v>
      </c>
      <c r="AL216">
        <f t="shared" si="42"/>
        <v>17.361499999999999</v>
      </c>
      <c r="AM216">
        <f t="shared" si="43"/>
        <v>16.2737499405</v>
      </c>
      <c r="AP216" s="9"/>
      <c r="AQ216" s="22">
        <v>0.66268899999999997</v>
      </c>
      <c r="AR216" s="22">
        <v>511.26799999999997</v>
      </c>
      <c r="AS216" s="22">
        <v>-1.75751E-2</v>
      </c>
      <c r="AT216" s="22">
        <v>206</v>
      </c>
      <c r="AU216" s="22">
        <v>0.66220100000000004</v>
      </c>
      <c r="AV216">
        <f t="shared" si="44"/>
        <v>17.575099999999999</v>
      </c>
      <c r="AW216">
        <f t="shared" si="45"/>
        <v>11.646825443899999</v>
      </c>
      <c r="AX216" s="9"/>
      <c r="AY216" s="22">
        <v>0.93734700000000004</v>
      </c>
      <c r="AZ216" s="22">
        <v>633.625</v>
      </c>
      <c r="BA216" s="22">
        <v>-1.7312600000000001E-2</v>
      </c>
      <c r="BB216" s="22">
        <v>206</v>
      </c>
      <c r="BC216" s="22">
        <v>0.93689</v>
      </c>
      <c r="BD216">
        <f t="shared" si="46"/>
        <v>17.3126</v>
      </c>
      <c r="BE216">
        <f t="shared" si="47"/>
        <v>16.2279136722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97.107799999999997</v>
      </c>
      <c r="I217" s="22">
        <v>-1.76727E-2</v>
      </c>
      <c r="J217" s="22">
        <v>207</v>
      </c>
      <c r="K217" s="22">
        <v>0.65707400000000005</v>
      </c>
      <c r="L217">
        <f t="shared" si="36"/>
        <v>17.672699999999999</v>
      </c>
      <c r="M217">
        <f t="shared" si="37"/>
        <v>11.622521845799998</v>
      </c>
      <c r="N217" s="9"/>
      <c r="O217" s="22">
        <v>0.94238299999999997</v>
      </c>
      <c r="P217" s="22">
        <v>212.02500000000001</v>
      </c>
      <c r="Q217" s="22">
        <v>-1.75049E-2</v>
      </c>
      <c r="R217" s="22">
        <v>207</v>
      </c>
      <c r="S217" s="22">
        <v>0.94116200000000005</v>
      </c>
      <c r="T217">
        <f t="shared" si="38"/>
        <v>17.504899999999999</v>
      </c>
      <c r="U217">
        <f t="shared" si="39"/>
        <v>16.496320176699999</v>
      </c>
      <c r="X217" s="9"/>
      <c r="Y217" s="22">
        <v>0.65765399999999996</v>
      </c>
      <c r="Z217" s="22">
        <v>315.01100000000002</v>
      </c>
      <c r="AA217" s="22">
        <v>-1.7651400000000001E-2</v>
      </c>
      <c r="AB217" s="22">
        <v>207</v>
      </c>
      <c r="AC217" s="22">
        <v>0.65698199999999995</v>
      </c>
      <c r="AD217">
        <f t="shared" si="40"/>
        <v>17.651400000000002</v>
      </c>
      <c r="AE217">
        <f t="shared" si="41"/>
        <v>11.6085138156</v>
      </c>
      <c r="AF217" s="9"/>
      <c r="AG217" s="22">
        <v>0.94238299999999997</v>
      </c>
      <c r="AH217" s="22">
        <v>375.59</v>
      </c>
      <c r="AI217" s="22">
        <v>-1.7364500000000001E-2</v>
      </c>
      <c r="AJ217" s="22">
        <v>207</v>
      </c>
      <c r="AK217" s="22">
        <v>0.94116200000000005</v>
      </c>
      <c r="AL217">
        <f t="shared" si="42"/>
        <v>17.364500000000003</v>
      </c>
      <c r="AM217">
        <f t="shared" si="43"/>
        <v>16.364009603500001</v>
      </c>
      <c r="AP217" s="9"/>
      <c r="AQ217" s="22">
        <v>0.65765399999999996</v>
      </c>
      <c r="AR217" s="22">
        <v>511.36900000000003</v>
      </c>
      <c r="AS217" s="22">
        <v>-1.7581200000000002E-2</v>
      </c>
      <c r="AT217" s="22">
        <v>207</v>
      </c>
      <c r="AU217" s="22">
        <v>0.65707400000000005</v>
      </c>
      <c r="AV217">
        <f t="shared" si="44"/>
        <v>17.581200000000003</v>
      </c>
      <c r="AW217">
        <f t="shared" si="45"/>
        <v>11.562346504800001</v>
      </c>
      <c r="AX217" s="9"/>
      <c r="AY217" s="22">
        <v>0.94238299999999997</v>
      </c>
      <c r="AZ217" s="22">
        <v>633.726</v>
      </c>
      <c r="BA217" s="22">
        <v>-1.7303499999999999E-2</v>
      </c>
      <c r="BB217" s="22">
        <v>207</v>
      </c>
      <c r="BC217" s="22">
        <v>0.94177200000000005</v>
      </c>
      <c r="BD217">
        <f t="shared" si="46"/>
        <v>17.3035</v>
      </c>
      <c r="BE217">
        <f t="shared" si="47"/>
        <v>16.3065242405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97.208500000000001</v>
      </c>
      <c r="I218" s="22">
        <v>-1.7654400000000001E-2</v>
      </c>
      <c r="J218" s="22">
        <v>208</v>
      </c>
      <c r="K218" s="22">
        <v>0.65219099999999997</v>
      </c>
      <c r="L218">
        <f t="shared" si="36"/>
        <v>17.654399999999999</v>
      </c>
      <c r="M218">
        <f t="shared" si="37"/>
        <v>11.521579219199999</v>
      </c>
      <c r="N218" s="9"/>
      <c r="O218" s="22">
        <v>0.94741799999999998</v>
      </c>
      <c r="P218" s="22">
        <v>212.125</v>
      </c>
      <c r="Q218" s="22">
        <v>-1.7501800000000001E-2</v>
      </c>
      <c r="R218" s="22">
        <v>208</v>
      </c>
      <c r="S218" s="22">
        <v>0.94665500000000002</v>
      </c>
      <c r="T218">
        <f t="shared" si="38"/>
        <v>17.501800000000003</v>
      </c>
      <c r="U218">
        <f t="shared" si="39"/>
        <v>16.581520352400002</v>
      </c>
      <c r="X218" s="9"/>
      <c r="Y218" s="22">
        <v>0.65261800000000003</v>
      </c>
      <c r="Z218" s="22">
        <v>315.11200000000002</v>
      </c>
      <c r="AA218" s="22">
        <v>-1.7663600000000002E-2</v>
      </c>
      <c r="AB218" s="22">
        <v>208</v>
      </c>
      <c r="AC218" s="22">
        <v>0.65200800000000003</v>
      </c>
      <c r="AD218">
        <f t="shared" si="40"/>
        <v>17.663600000000002</v>
      </c>
      <c r="AE218">
        <f t="shared" si="41"/>
        <v>11.527583304800002</v>
      </c>
      <c r="AF218" s="9"/>
      <c r="AG218" s="22">
        <v>0.94741799999999998</v>
      </c>
      <c r="AH218" s="22">
        <v>375.69099999999997</v>
      </c>
      <c r="AI218" s="22">
        <v>-1.73584E-2</v>
      </c>
      <c r="AJ218" s="22">
        <v>208</v>
      </c>
      <c r="AK218" s="22">
        <v>0.94604500000000002</v>
      </c>
      <c r="AL218">
        <f t="shared" si="42"/>
        <v>17.3584</v>
      </c>
      <c r="AM218">
        <f t="shared" si="43"/>
        <v>16.445660611200001</v>
      </c>
      <c r="AP218" s="9"/>
      <c r="AQ218" s="22">
        <v>0.65261800000000003</v>
      </c>
      <c r="AR218" s="22">
        <v>511.47</v>
      </c>
      <c r="AS218" s="22">
        <v>-1.7593399999999999E-2</v>
      </c>
      <c r="AT218" s="22">
        <v>208</v>
      </c>
      <c r="AU218" s="22">
        <v>0.65203900000000004</v>
      </c>
      <c r="AV218">
        <f t="shared" si="44"/>
        <v>17.593399999999999</v>
      </c>
      <c r="AW218">
        <f t="shared" si="45"/>
        <v>11.4817695212</v>
      </c>
      <c r="AX218" s="9"/>
      <c r="AY218" s="22">
        <v>0.94741799999999998</v>
      </c>
      <c r="AZ218" s="22">
        <v>633.827</v>
      </c>
      <c r="BA218" s="22">
        <v>-1.7303499999999999E-2</v>
      </c>
      <c r="BB218" s="22">
        <v>208</v>
      </c>
      <c r="BC218" s="22">
        <v>0.94696000000000002</v>
      </c>
      <c r="BD218">
        <f t="shared" si="46"/>
        <v>17.3035</v>
      </c>
      <c r="BE218">
        <f t="shared" si="47"/>
        <v>16.393647362999999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97.309200000000004</v>
      </c>
      <c r="I219" s="22">
        <v>-1.7666600000000001E-2</v>
      </c>
      <c r="J219" s="22">
        <v>209</v>
      </c>
      <c r="K219" s="22">
        <v>0.64721700000000004</v>
      </c>
      <c r="L219">
        <f t="shared" si="36"/>
        <v>17.666600000000003</v>
      </c>
      <c r="M219">
        <f t="shared" si="37"/>
        <v>11.440589827800002</v>
      </c>
      <c r="N219" s="9"/>
      <c r="O219" s="22">
        <v>0.95245400000000002</v>
      </c>
      <c r="P219" s="22">
        <v>212.226</v>
      </c>
      <c r="Q219" s="22">
        <v>-1.7495699999999999E-2</v>
      </c>
      <c r="R219" s="22">
        <v>209</v>
      </c>
      <c r="S219" s="22">
        <v>0.95153799999999999</v>
      </c>
      <c r="T219">
        <f t="shared" si="38"/>
        <v>17.495699999999999</v>
      </c>
      <c r="U219">
        <f t="shared" si="39"/>
        <v>16.663849447800001</v>
      </c>
      <c r="X219" s="9"/>
      <c r="Y219" s="22">
        <v>0.64758300000000002</v>
      </c>
      <c r="Z219" s="22">
        <v>315.21300000000002</v>
      </c>
      <c r="AA219" s="22">
        <v>-1.7663600000000002E-2</v>
      </c>
      <c r="AB219" s="22">
        <v>209</v>
      </c>
      <c r="AC219" s="22">
        <v>0.64706399999999997</v>
      </c>
      <c r="AD219">
        <f t="shared" si="40"/>
        <v>17.663600000000002</v>
      </c>
      <c r="AE219">
        <f t="shared" si="41"/>
        <v>11.438647078800003</v>
      </c>
      <c r="AF219" s="9"/>
      <c r="AG219" s="22">
        <v>0.95245400000000002</v>
      </c>
      <c r="AH219" s="22">
        <v>375.79199999999997</v>
      </c>
      <c r="AI219" s="22">
        <v>-1.7364500000000001E-2</v>
      </c>
      <c r="AJ219" s="22">
        <v>209</v>
      </c>
      <c r="AK219" s="22">
        <v>0.95153799999999999</v>
      </c>
      <c r="AL219">
        <f t="shared" si="42"/>
        <v>17.364500000000003</v>
      </c>
      <c r="AM219">
        <f t="shared" si="43"/>
        <v>16.538887483000003</v>
      </c>
      <c r="AP219" s="9"/>
      <c r="AQ219" s="22">
        <v>0.64758300000000002</v>
      </c>
      <c r="AR219" s="22">
        <v>511.57</v>
      </c>
      <c r="AS219" s="22">
        <v>-1.7596400000000002E-2</v>
      </c>
      <c r="AT219" s="22">
        <v>209</v>
      </c>
      <c r="AU219" s="22">
        <v>0.64697300000000002</v>
      </c>
      <c r="AV219">
        <f t="shared" si="44"/>
        <v>17.596400000000003</v>
      </c>
      <c r="AW219">
        <f t="shared" si="45"/>
        <v>11.395129501200001</v>
      </c>
      <c r="AX219" s="9"/>
      <c r="AY219" s="22">
        <v>0.95245400000000002</v>
      </c>
      <c r="AZ219" s="22">
        <v>633.92700000000002</v>
      </c>
      <c r="BA219" s="22">
        <v>-1.7309600000000001E-2</v>
      </c>
      <c r="BB219" s="22">
        <v>209</v>
      </c>
      <c r="BC219" s="22">
        <v>0.95184299999999999</v>
      </c>
      <c r="BD219">
        <f t="shared" si="46"/>
        <v>17.3096</v>
      </c>
      <c r="BE219">
        <f t="shared" si="47"/>
        <v>16.486597758399999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97.41</v>
      </c>
      <c r="I220" s="22">
        <v>-1.7660499999999999E-2</v>
      </c>
      <c r="J220" s="22">
        <v>210</v>
      </c>
      <c r="K220" s="22">
        <v>0.641876</v>
      </c>
      <c r="L220">
        <f t="shared" si="36"/>
        <v>17.660499999999999</v>
      </c>
      <c r="M220">
        <f t="shared" si="37"/>
        <v>11.347718953999999</v>
      </c>
      <c r="N220" s="9"/>
      <c r="O220" s="22">
        <v>0.95748900000000003</v>
      </c>
      <c r="P220" s="22">
        <v>212.327</v>
      </c>
      <c r="Q220" s="22">
        <v>-1.7474400000000001E-2</v>
      </c>
      <c r="R220" s="22">
        <v>210</v>
      </c>
      <c r="S220" s="22">
        <v>0.95611599999999997</v>
      </c>
      <c r="T220">
        <f t="shared" si="38"/>
        <v>17.474400000000003</v>
      </c>
      <c r="U220">
        <f t="shared" si="39"/>
        <v>16.731545781600005</v>
      </c>
      <c r="X220" s="9"/>
      <c r="Y220" s="22">
        <v>0.64254800000000001</v>
      </c>
      <c r="Z220" s="22">
        <v>315.31400000000002</v>
      </c>
      <c r="AA220" s="22">
        <v>-1.7633099999999999E-2</v>
      </c>
      <c r="AB220" s="22">
        <v>210</v>
      </c>
      <c r="AC220" s="22">
        <v>0.64172399999999996</v>
      </c>
      <c r="AD220">
        <f t="shared" si="40"/>
        <v>17.633099999999999</v>
      </c>
      <c r="AE220">
        <f t="shared" si="41"/>
        <v>11.3301131388</v>
      </c>
      <c r="AF220" s="9"/>
      <c r="AG220" s="22">
        <v>0.95748900000000003</v>
      </c>
      <c r="AH220" s="22">
        <v>375.89299999999997</v>
      </c>
      <c r="AI220" s="22">
        <v>-1.7361499999999998E-2</v>
      </c>
      <c r="AJ220" s="22">
        <v>210</v>
      </c>
      <c r="AK220" s="22">
        <v>0.95733599999999996</v>
      </c>
      <c r="AL220">
        <f t="shared" si="42"/>
        <v>17.361499999999999</v>
      </c>
      <c r="AM220">
        <f t="shared" si="43"/>
        <v>16.6234452735</v>
      </c>
      <c r="AP220" s="9"/>
      <c r="AQ220" s="22">
        <v>0.64254800000000001</v>
      </c>
      <c r="AR220" s="22">
        <v>511.67099999999999</v>
      </c>
      <c r="AS220" s="22">
        <v>-1.7605599999999999E-2</v>
      </c>
      <c r="AT220" s="22">
        <v>210</v>
      </c>
      <c r="AU220" s="22">
        <v>0.64190700000000001</v>
      </c>
      <c r="AV220">
        <f t="shared" si="44"/>
        <v>17.605599999999999</v>
      </c>
      <c r="AW220">
        <f t="shared" si="45"/>
        <v>11.3124430688</v>
      </c>
      <c r="AX220" s="9"/>
      <c r="AY220" s="22">
        <v>0.95748900000000003</v>
      </c>
      <c r="AZ220" s="22">
        <v>634.02800000000002</v>
      </c>
      <c r="BA220" s="22">
        <v>-1.7279099999999999E-2</v>
      </c>
      <c r="BB220" s="22">
        <v>210</v>
      </c>
      <c r="BC220" s="22">
        <v>0.95672599999999997</v>
      </c>
      <c r="BD220">
        <f t="shared" si="46"/>
        <v>17.2791</v>
      </c>
      <c r="BE220">
        <f t="shared" si="47"/>
        <v>16.544548179900001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97.5107</v>
      </c>
      <c r="I221" s="22">
        <v>-1.76727E-2</v>
      </c>
      <c r="J221" s="22">
        <v>211</v>
      </c>
      <c r="K221" s="22">
        <v>0.63711499999999999</v>
      </c>
      <c r="L221">
        <f t="shared" si="36"/>
        <v>17.672699999999999</v>
      </c>
      <c r="M221">
        <f t="shared" si="37"/>
        <v>11.266558322399998</v>
      </c>
      <c r="N221" s="9"/>
      <c r="O221" s="22">
        <v>0.96252400000000005</v>
      </c>
      <c r="P221" s="22">
        <v>212.428</v>
      </c>
      <c r="Q221" s="22">
        <v>-1.7477400000000001E-2</v>
      </c>
      <c r="R221" s="22">
        <v>211</v>
      </c>
      <c r="S221" s="22">
        <v>0.96191400000000005</v>
      </c>
      <c r="T221">
        <f t="shared" si="38"/>
        <v>17.477399999999999</v>
      </c>
      <c r="U221">
        <f t="shared" si="39"/>
        <v>16.822416957600002</v>
      </c>
      <c r="X221" s="9"/>
      <c r="Y221" s="22">
        <v>0.63751199999999997</v>
      </c>
      <c r="Z221" s="22">
        <v>315.41399999999999</v>
      </c>
      <c r="AA221" s="22">
        <v>-1.76575E-2</v>
      </c>
      <c r="AB221" s="22">
        <v>211</v>
      </c>
      <c r="AC221" s="22">
        <v>0.63717699999999999</v>
      </c>
      <c r="AD221">
        <f t="shared" si="40"/>
        <v>17.657499999999999</v>
      </c>
      <c r="AE221">
        <f t="shared" si="41"/>
        <v>11.256868139999998</v>
      </c>
      <c r="AF221" s="9"/>
      <c r="AG221" s="22">
        <v>0.96252400000000005</v>
      </c>
      <c r="AH221" s="22">
        <v>375.99299999999999</v>
      </c>
      <c r="AI221" s="22">
        <v>-1.7349199999999999E-2</v>
      </c>
      <c r="AJ221" s="22">
        <v>211</v>
      </c>
      <c r="AK221" s="22">
        <v>0.96160900000000005</v>
      </c>
      <c r="AL221">
        <f t="shared" si="42"/>
        <v>17.3492</v>
      </c>
      <c r="AM221">
        <f t="shared" si="43"/>
        <v>16.699021380800001</v>
      </c>
      <c r="AP221" s="9"/>
      <c r="AQ221" s="22">
        <v>0.63751199999999997</v>
      </c>
      <c r="AR221" s="22">
        <v>511.77199999999999</v>
      </c>
      <c r="AS221" s="22">
        <v>-1.7611700000000001E-2</v>
      </c>
      <c r="AT221" s="22">
        <v>211</v>
      </c>
      <c r="AU221" s="22">
        <v>0.63723799999999997</v>
      </c>
      <c r="AV221">
        <f t="shared" si="44"/>
        <v>17.611700000000003</v>
      </c>
      <c r="AW221">
        <f t="shared" si="45"/>
        <v>11.2276700904</v>
      </c>
      <c r="AX221" s="9"/>
      <c r="AY221" s="22">
        <v>0.96252400000000005</v>
      </c>
      <c r="AZ221" s="22">
        <v>634.12900000000002</v>
      </c>
      <c r="BA221" s="22">
        <v>-1.72607E-2</v>
      </c>
      <c r="BB221" s="22">
        <v>211</v>
      </c>
      <c r="BC221" s="22">
        <v>0.96862800000000004</v>
      </c>
      <c r="BD221">
        <f t="shared" si="46"/>
        <v>17.2607</v>
      </c>
      <c r="BE221">
        <f t="shared" si="47"/>
        <v>16.613838006800002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97.611400000000003</v>
      </c>
      <c r="I222" s="22">
        <v>-1.76849E-2</v>
      </c>
      <c r="J222" s="22">
        <v>212</v>
      </c>
      <c r="K222" s="22">
        <v>0.63174399999999997</v>
      </c>
      <c r="L222">
        <f t="shared" si="36"/>
        <v>17.684899999999999</v>
      </c>
      <c r="M222">
        <f t="shared" si="37"/>
        <v>11.185292497299999</v>
      </c>
      <c r="N222" s="9"/>
      <c r="O222" s="22">
        <v>0.96755999999999998</v>
      </c>
      <c r="P222" s="22">
        <v>212.52799999999999</v>
      </c>
      <c r="Q222" s="22">
        <v>-1.7471299999999999E-2</v>
      </c>
      <c r="R222" s="22">
        <v>212</v>
      </c>
      <c r="S222" s="22">
        <v>0.96649200000000002</v>
      </c>
      <c r="T222">
        <f t="shared" si="38"/>
        <v>17.471299999999999</v>
      </c>
      <c r="U222">
        <f t="shared" si="39"/>
        <v>16.904531027999997</v>
      </c>
      <c r="X222" s="9"/>
      <c r="Y222" s="22">
        <v>0.63247699999999996</v>
      </c>
      <c r="Z222" s="22">
        <v>315.51499999999999</v>
      </c>
      <c r="AA222" s="22">
        <v>-1.76575E-2</v>
      </c>
      <c r="AB222" s="22">
        <v>212</v>
      </c>
      <c r="AC222" s="22">
        <v>0.631714</v>
      </c>
      <c r="AD222">
        <f t="shared" si="40"/>
        <v>17.657499999999999</v>
      </c>
      <c r="AE222">
        <f t="shared" si="41"/>
        <v>11.167962627499998</v>
      </c>
      <c r="AF222" s="9"/>
      <c r="AG222" s="22">
        <v>0.96755999999999998</v>
      </c>
      <c r="AH222" s="22">
        <v>376.09399999999999</v>
      </c>
      <c r="AI222" s="22">
        <v>-1.7337000000000002E-2</v>
      </c>
      <c r="AJ222" s="22">
        <v>212</v>
      </c>
      <c r="AK222" s="22">
        <v>0.96618700000000002</v>
      </c>
      <c r="AL222">
        <f t="shared" si="42"/>
        <v>17.337000000000003</v>
      </c>
      <c r="AM222">
        <f t="shared" si="43"/>
        <v>16.774587720000003</v>
      </c>
      <c r="AP222" s="9"/>
      <c r="AQ222" s="22">
        <v>0.63247699999999996</v>
      </c>
      <c r="AR222" s="22">
        <v>511.87200000000001</v>
      </c>
      <c r="AS222" s="22">
        <v>-1.7608599999999999E-2</v>
      </c>
      <c r="AT222" s="22">
        <v>212</v>
      </c>
      <c r="AU222" s="22">
        <v>0.632019</v>
      </c>
      <c r="AV222">
        <f t="shared" si="44"/>
        <v>17.608599999999999</v>
      </c>
      <c r="AW222">
        <f t="shared" si="45"/>
        <v>11.137034502199999</v>
      </c>
      <c r="AX222" s="9"/>
      <c r="AY222" s="22">
        <v>0.96755999999999998</v>
      </c>
      <c r="AZ222" s="22">
        <v>634.22900000000004</v>
      </c>
      <c r="BA222" s="22">
        <v>-1.7257700000000001E-2</v>
      </c>
      <c r="BB222" s="22">
        <v>212</v>
      </c>
      <c r="BC222" s="22">
        <v>0.96710200000000002</v>
      </c>
      <c r="BD222">
        <f t="shared" si="46"/>
        <v>17.2577</v>
      </c>
      <c r="BE222">
        <f t="shared" si="47"/>
        <v>16.697860211999998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97.712100000000007</v>
      </c>
      <c r="I223" s="22">
        <v>-1.76819E-2</v>
      </c>
      <c r="J223" s="22">
        <v>213</v>
      </c>
      <c r="K223" s="22">
        <v>0.62692300000000001</v>
      </c>
      <c r="L223">
        <f t="shared" si="36"/>
        <v>17.681899999999999</v>
      </c>
      <c r="M223">
        <f t="shared" si="37"/>
        <v>11.094349017899999</v>
      </c>
      <c r="N223" s="9"/>
      <c r="O223" s="22">
        <v>0.97259499999999999</v>
      </c>
      <c r="P223" s="22">
        <v>212.62899999999999</v>
      </c>
      <c r="Q223" s="22">
        <v>-1.7459100000000002E-2</v>
      </c>
      <c r="R223" s="22">
        <v>213</v>
      </c>
      <c r="S223" s="22">
        <v>0.97228999999999999</v>
      </c>
      <c r="T223">
        <f t="shared" si="38"/>
        <v>17.459100000000003</v>
      </c>
      <c r="U223">
        <f t="shared" si="39"/>
        <v>16.980633364500001</v>
      </c>
      <c r="X223" s="9"/>
      <c r="Y223" s="22">
        <v>0.62744100000000003</v>
      </c>
      <c r="Z223" s="22">
        <v>315.61599999999999</v>
      </c>
      <c r="AA223" s="22">
        <v>-1.76727E-2</v>
      </c>
      <c r="AB223" s="22">
        <v>213</v>
      </c>
      <c r="AC223" s="22">
        <v>0.62677000000000005</v>
      </c>
      <c r="AD223">
        <f t="shared" si="40"/>
        <v>17.672699999999999</v>
      </c>
      <c r="AE223">
        <f t="shared" si="41"/>
        <v>11.0885765607</v>
      </c>
      <c r="AF223" s="9"/>
      <c r="AG223" s="22">
        <v>0.97259499999999999</v>
      </c>
      <c r="AH223" s="22">
        <v>376.19499999999999</v>
      </c>
      <c r="AI223" s="22">
        <v>-1.7346199999999999E-2</v>
      </c>
      <c r="AJ223" s="22">
        <v>213</v>
      </c>
      <c r="AK223" s="22">
        <v>0.97167999999999999</v>
      </c>
      <c r="AL223">
        <f t="shared" si="42"/>
        <v>17.3462</v>
      </c>
      <c r="AM223">
        <f t="shared" si="43"/>
        <v>16.870827388999999</v>
      </c>
      <c r="AP223" s="9"/>
      <c r="AQ223" s="22">
        <v>0.62744100000000003</v>
      </c>
      <c r="AR223" s="22">
        <v>511.97300000000001</v>
      </c>
      <c r="AS223" s="22">
        <v>-1.7593399999999999E-2</v>
      </c>
      <c r="AT223" s="22">
        <v>213</v>
      </c>
      <c r="AU223" s="22">
        <v>0.62585400000000002</v>
      </c>
      <c r="AV223">
        <f t="shared" si="44"/>
        <v>17.593399999999999</v>
      </c>
      <c r="AW223">
        <f t="shared" si="45"/>
        <v>11.038820489399999</v>
      </c>
      <c r="AX223" s="9"/>
      <c r="AY223" s="22">
        <v>0.97259499999999999</v>
      </c>
      <c r="AZ223" s="22">
        <v>634.33000000000004</v>
      </c>
      <c r="BA223" s="22">
        <v>-1.7276E-2</v>
      </c>
      <c r="BB223" s="22">
        <v>213</v>
      </c>
      <c r="BC223" s="22">
        <v>0.97106899999999996</v>
      </c>
      <c r="BD223">
        <f t="shared" si="46"/>
        <v>17.276</v>
      </c>
      <c r="BE223">
        <f t="shared" si="47"/>
        <v>16.802551219999998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97.812799999999996</v>
      </c>
      <c r="I224" s="22">
        <v>-1.7690999999999998E-2</v>
      </c>
      <c r="J224" s="22">
        <v>214</v>
      </c>
      <c r="K224" s="22">
        <v>0.62170400000000003</v>
      </c>
      <c r="L224">
        <f t="shared" si="36"/>
        <v>17.690999999999999</v>
      </c>
      <c r="M224">
        <f t="shared" si="37"/>
        <v>11.010984546</v>
      </c>
      <c r="N224" s="9"/>
      <c r="O224" s="22">
        <v>0.97763100000000003</v>
      </c>
      <c r="P224" s="22">
        <v>212.73</v>
      </c>
      <c r="Q224" s="22">
        <v>-1.7459100000000002E-2</v>
      </c>
      <c r="R224" s="22">
        <v>214</v>
      </c>
      <c r="S224" s="22">
        <v>0.97656299999999996</v>
      </c>
      <c r="T224">
        <f t="shared" si="38"/>
        <v>17.459100000000003</v>
      </c>
      <c r="U224">
        <f t="shared" si="39"/>
        <v>17.068557392100004</v>
      </c>
      <c r="X224" s="9"/>
      <c r="Y224" s="22">
        <v>0.62240600000000001</v>
      </c>
      <c r="Z224" s="22">
        <v>315.71600000000001</v>
      </c>
      <c r="AA224" s="22">
        <v>-1.76849E-2</v>
      </c>
      <c r="AB224" s="22">
        <v>214</v>
      </c>
      <c r="AC224" s="22">
        <v>0.62921099999999996</v>
      </c>
      <c r="AD224">
        <f t="shared" si="40"/>
        <v>17.684899999999999</v>
      </c>
      <c r="AE224">
        <f t="shared" si="41"/>
        <v>11.007187869399999</v>
      </c>
      <c r="AF224" s="9"/>
      <c r="AG224" s="22">
        <v>0.97763100000000003</v>
      </c>
      <c r="AH224" s="22">
        <v>376.29500000000002</v>
      </c>
      <c r="AI224" s="22">
        <v>-1.7337000000000002E-2</v>
      </c>
      <c r="AJ224" s="22">
        <v>214</v>
      </c>
      <c r="AK224" s="22">
        <v>0.97686799999999996</v>
      </c>
      <c r="AL224">
        <f t="shared" si="42"/>
        <v>17.337000000000003</v>
      </c>
      <c r="AM224">
        <f t="shared" si="43"/>
        <v>16.949188647000003</v>
      </c>
      <c r="AP224" s="9"/>
      <c r="AQ224" s="22">
        <v>0.62240600000000001</v>
      </c>
      <c r="AR224" s="22">
        <v>512.07399999999996</v>
      </c>
      <c r="AS224" s="22">
        <v>-1.76147E-2</v>
      </c>
      <c r="AT224" s="22">
        <v>214</v>
      </c>
      <c r="AU224" s="22">
        <v>0.62167399999999995</v>
      </c>
      <c r="AV224">
        <f t="shared" si="44"/>
        <v>17.614699999999999</v>
      </c>
      <c r="AW224">
        <f t="shared" si="45"/>
        <v>10.963494968199999</v>
      </c>
      <c r="AX224" s="9"/>
      <c r="AY224" s="22">
        <v>0.97763100000000003</v>
      </c>
      <c r="AZ224" s="22">
        <v>634.43100000000004</v>
      </c>
      <c r="BA224" s="22">
        <v>-1.7251599999999999E-2</v>
      </c>
      <c r="BB224" s="22">
        <v>214</v>
      </c>
      <c r="BC224" s="22">
        <v>0.97686799999999996</v>
      </c>
      <c r="BD224">
        <f t="shared" si="46"/>
        <v>17.2516</v>
      </c>
      <c r="BE224">
        <f t="shared" si="47"/>
        <v>16.8656989596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97.913499999999999</v>
      </c>
      <c r="I225" s="22">
        <v>-1.7706300000000001E-2</v>
      </c>
      <c r="J225" s="22">
        <v>215</v>
      </c>
      <c r="K225" s="22">
        <v>0.61666900000000002</v>
      </c>
      <c r="L225">
        <f t="shared" si="36"/>
        <v>17.706300000000002</v>
      </c>
      <c r="M225">
        <f t="shared" si="37"/>
        <v>10.931356137300002</v>
      </c>
      <c r="N225" s="9"/>
      <c r="O225" s="22">
        <v>0.98266600000000004</v>
      </c>
      <c r="P225" s="22">
        <v>212.83</v>
      </c>
      <c r="Q225" s="22">
        <v>-1.7453E-2</v>
      </c>
      <c r="R225" s="22">
        <v>215</v>
      </c>
      <c r="S225" s="22">
        <v>0.98175000000000001</v>
      </c>
      <c r="T225">
        <f t="shared" si="38"/>
        <v>17.452999999999999</v>
      </c>
      <c r="U225">
        <f t="shared" si="39"/>
        <v>17.150469697999998</v>
      </c>
      <c r="X225" s="9"/>
      <c r="Y225" s="22">
        <v>0.617371</v>
      </c>
      <c r="Z225" s="22">
        <v>315.81700000000001</v>
      </c>
      <c r="AA225" s="22">
        <v>-1.7694100000000001E-2</v>
      </c>
      <c r="AB225" s="22">
        <v>215</v>
      </c>
      <c r="AC225" s="22">
        <v>0.61651599999999995</v>
      </c>
      <c r="AD225">
        <f t="shared" si="40"/>
        <v>17.694100000000002</v>
      </c>
      <c r="AE225">
        <f t="shared" si="41"/>
        <v>10.923824211100001</v>
      </c>
      <c r="AF225" s="9"/>
      <c r="AG225" s="22">
        <v>0.98266600000000004</v>
      </c>
      <c r="AH225" s="22">
        <v>376.39600000000002</v>
      </c>
      <c r="AI225" s="22">
        <v>-1.73279E-2</v>
      </c>
      <c r="AJ225" s="22">
        <v>215</v>
      </c>
      <c r="AK225" s="22">
        <v>0.98175000000000001</v>
      </c>
      <c r="AL225">
        <f t="shared" si="42"/>
        <v>17.3279</v>
      </c>
      <c r="AM225">
        <f t="shared" si="43"/>
        <v>17.027538181400001</v>
      </c>
      <c r="AP225" s="9"/>
      <c r="AQ225" s="22">
        <v>0.617371</v>
      </c>
      <c r="AR225" s="22">
        <v>512.17399999999998</v>
      </c>
      <c r="AS225" s="22">
        <v>-1.763E-2</v>
      </c>
      <c r="AT225" s="22">
        <v>215</v>
      </c>
      <c r="AU225" s="22">
        <v>0.61654699999999996</v>
      </c>
      <c r="AV225">
        <f t="shared" si="44"/>
        <v>17.63</v>
      </c>
      <c r="AW225">
        <f t="shared" si="45"/>
        <v>10.88425073</v>
      </c>
      <c r="AX225" s="9"/>
      <c r="AY225" s="22">
        <v>0.98266600000000004</v>
      </c>
      <c r="AZ225" s="22">
        <v>634.53200000000004</v>
      </c>
      <c r="BA225" s="22">
        <v>-1.72058E-2</v>
      </c>
      <c r="BB225" s="22">
        <v>215</v>
      </c>
      <c r="BC225" s="22">
        <v>0.98236100000000004</v>
      </c>
      <c r="BD225">
        <f t="shared" si="46"/>
        <v>17.2058</v>
      </c>
      <c r="BE225">
        <f t="shared" si="47"/>
        <v>16.907554662799999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98.014200000000002</v>
      </c>
      <c r="I226" s="22">
        <v>-1.77124E-2</v>
      </c>
      <c r="J226" s="22">
        <v>216</v>
      </c>
      <c r="K226" s="22">
        <v>0.61154200000000003</v>
      </c>
      <c r="L226">
        <f t="shared" si="36"/>
        <v>17.712399999999999</v>
      </c>
      <c r="M226">
        <f t="shared" si="37"/>
        <v>10.845922453999998</v>
      </c>
      <c r="N226" s="9"/>
      <c r="O226" s="22">
        <v>0.98770100000000005</v>
      </c>
      <c r="P226" s="22">
        <v>212.93100000000001</v>
      </c>
      <c r="Q226" s="22">
        <v>-1.745E-2</v>
      </c>
      <c r="R226" s="22">
        <v>216</v>
      </c>
      <c r="S226" s="22">
        <v>0.98663299999999998</v>
      </c>
      <c r="T226">
        <f t="shared" si="38"/>
        <v>17.45</v>
      </c>
      <c r="U226">
        <f t="shared" si="39"/>
        <v>17.235382449999999</v>
      </c>
      <c r="X226" s="9"/>
      <c r="Y226" s="22">
        <v>0.61233499999999996</v>
      </c>
      <c r="Z226" s="22">
        <v>315.91800000000001</v>
      </c>
      <c r="AA226" s="22">
        <v>-1.7690999999999998E-2</v>
      </c>
      <c r="AB226" s="22">
        <v>216</v>
      </c>
      <c r="AC226" s="22">
        <v>0.61193799999999998</v>
      </c>
      <c r="AD226">
        <f t="shared" si="40"/>
        <v>17.690999999999999</v>
      </c>
      <c r="AE226">
        <f t="shared" si="41"/>
        <v>10.832818484999999</v>
      </c>
      <c r="AF226" s="9"/>
      <c r="AG226" s="22">
        <v>0.98770100000000005</v>
      </c>
      <c r="AH226" s="22">
        <v>376.49700000000001</v>
      </c>
      <c r="AI226" s="22">
        <v>-1.73157E-2</v>
      </c>
      <c r="AJ226" s="22">
        <v>216</v>
      </c>
      <c r="AK226" s="22">
        <v>0.98754900000000001</v>
      </c>
      <c r="AL226">
        <f t="shared" si="42"/>
        <v>17.3157</v>
      </c>
      <c r="AM226">
        <f t="shared" si="43"/>
        <v>17.102734205699999</v>
      </c>
      <c r="AP226" s="9"/>
      <c r="AQ226" s="22">
        <v>0.61233499999999996</v>
      </c>
      <c r="AR226" s="22">
        <v>512.27499999999998</v>
      </c>
      <c r="AS226" s="22">
        <v>-1.7636099999999998E-2</v>
      </c>
      <c r="AT226" s="22">
        <v>216</v>
      </c>
      <c r="AU226" s="22">
        <v>0.61166399999999999</v>
      </c>
      <c r="AV226">
        <f t="shared" si="44"/>
        <v>17.636099999999999</v>
      </c>
      <c r="AW226">
        <f t="shared" si="45"/>
        <v>10.799201293499999</v>
      </c>
      <c r="AX226" s="9"/>
      <c r="AY226" s="22">
        <v>0.98770100000000005</v>
      </c>
      <c r="AZ226" s="22">
        <v>634.63199999999995</v>
      </c>
      <c r="BA226" s="22">
        <v>-1.7251599999999999E-2</v>
      </c>
      <c r="BB226" s="22">
        <v>216</v>
      </c>
      <c r="BC226" s="22">
        <v>0.98693799999999998</v>
      </c>
      <c r="BD226">
        <f t="shared" si="46"/>
        <v>17.2516</v>
      </c>
      <c r="BE226">
        <f t="shared" si="47"/>
        <v>17.039422571599999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98.114900000000006</v>
      </c>
      <c r="I227" s="22">
        <v>-1.7721600000000001E-2</v>
      </c>
      <c r="J227" s="22">
        <v>217</v>
      </c>
      <c r="K227" s="22">
        <v>0.60662799999999995</v>
      </c>
      <c r="L227">
        <f t="shared" si="36"/>
        <v>17.721600000000002</v>
      </c>
      <c r="M227">
        <f t="shared" si="37"/>
        <v>10.76232768</v>
      </c>
      <c r="N227" s="9"/>
      <c r="O227" s="22">
        <v>0.99273699999999998</v>
      </c>
      <c r="P227" s="22">
        <v>213.03200000000001</v>
      </c>
      <c r="Q227" s="22">
        <v>-1.7440799999999999E-2</v>
      </c>
      <c r="R227" s="22">
        <v>217</v>
      </c>
      <c r="S227" s="22">
        <v>0.99151599999999995</v>
      </c>
      <c r="T227">
        <f t="shared" si="38"/>
        <v>17.440799999999999</v>
      </c>
      <c r="U227">
        <f t="shared" si="39"/>
        <v>17.314127469599999</v>
      </c>
      <c r="X227" s="9"/>
      <c r="Y227" s="22">
        <v>0.60729999999999995</v>
      </c>
      <c r="Z227" s="22">
        <v>316.01900000000001</v>
      </c>
      <c r="AA227" s="22">
        <v>-1.76971E-2</v>
      </c>
      <c r="AB227" s="22">
        <v>217</v>
      </c>
      <c r="AC227" s="22">
        <v>0.60675000000000001</v>
      </c>
      <c r="AD227">
        <f t="shared" si="40"/>
        <v>17.697099999999999</v>
      </c>
      <c r="AE227">
        <f t="shared" si="41"/>
        <v>10.747448829999998</v>
      </c>
      <c r="AF227" s="9"/>
      <c r="AG227" s="22">
        <v>0.99273699999999998</v>
      </c>
      <c r="AH227" s="22">
        <v>376.59800000000001</v>
      </c>
      <c r="AI227" s="22">
        <v>-1.7321799999999998E-2</v>
      </c>
      <c r="AJ227" s="22">
        <v>217</v>
      </c>
      <c r="AK227" s="22">
        <v>0.99182099999999995</v>
      </c>
      <c r="AL227">
        <f t="shared" si="42"/>
        <v>17.3218</v>
      </c>
      <c r="AM227">
        <f t="shared" si="43"/>
        <v>17.195991766599999</v>
      </c>
      <c r="AP227" s="9"/>
      <c r="AQ227" s="22">
        <v>0.60729999999999995</v>
      </c>
      <c r="AR227" s="22">
        <v>512.37599999999998</v>
      </c>
      <c r="AS227" s="22">
        <v>-1.7636099999999998E-2</v>
      </c>
      <c r="AT227" s="22">
        <v>217</v>
      </c>
      <c r="AU227" s="22">
        <v>0.60675000000000001</v>
      </c>
      <c r="AV227">
        <f t="shared" si="44"/>
        <v>17.636099999999999</v>
      </c>
      <c r="AW227">
        <f t="shared" si="45"/>
        <v>10.710403529999999</v>
      </c>
      <c r="AX227" s="9"/>
      <c r="AY227" s="22">
        <v>0.99273699999999998</v>
      </c>
      <c r="AZ227" s="22">
        <v>634.73299999999995</v>
      </c>
      <c r="BA227" s="22">
        <v>-1.72485E-2</v>
      </c>
      <c r="BB227" s="22">
        <v>217</v>
      </c>
      <c r="BC227" s="22">
        <v>0.99182099999999995</v>
      </c>
      <c r="BD227">
        <f t="shared" si="46"/>
        <v>17.2485</v>
      </c>
      <c r="BE227">
        <f t="shared" si="47"/>
        <v>17.1232241445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98.215599999999995</v>
      </c>
      <c r="I228" s="22">
        <v>-1.7730699999999999E-2</v>
      </c>
      <c r="J228" s="22">
        <v>218</v>
      </c>
      <c r="K228" s="22">
        <v>0.60156299999999996</v>
      </c>
      <c r="L228">
        <f t="shared" si="36"/>
        <v>17.730699999999999</v>
      </c>
      <c r="M228">
        <f t="shared" si="37"/>
        <v>10.6785623048</v>
      </c>
      <c r="N228" s="9"/>
      <c r="O228" s="22">
        <v>0.99777199999999999</v>
      </c>
      <c r="P228" s="22">
        <v>213.13300000000001</v>
      </c>
      <c r="Q228" s="22">
        <v>-1.74377E-2</v>
      </c>
      <c r="R228" s="22">
        <v>218</v>
      </c>
      <c r="S228" s="22">
        <v>0.99700900000000003</v>
      </c>
      <c r="T228">
        <f t="shared" si="38"/>
        <v>17.4377</v>
      </c>
      <c r="U228">
        <f t="shared" si="39"/>
        <v>17.3988488044</v>
      </c>
      <c r="X228" s="9"/>
      <c r="Y228" s="22">
        <v>0.60226400000000002</v>
      </c>
      <c r="Z228" s="22">
        <v>316.11900000000003</v>
      </c>
      <c r="AA228" s="22">
        <v>-1.76971E-2</v>
      </c>
      <c r="AB228" s="22">
        <v>218</v>
      </c>
      <c r="AC228" s="22">
        <v>0.60202</v>
      </c>
      <c r="AD228">
        <f t="shared" si="40"/>
        <v>17.697099999999999</v>
      </c>
      <c r="AE228">
        <f t="shared" si="41"/>
        <v>10.6583262344</v>
      </c>
      <c r="AF228" s="9"/>
      <c r="AG228" s="22">
        <v>0.99777199999999999</v>
      </c>
      <c r="AH228" s="22">
        <v>376.69799999999998</v>
      </c>
      <c r="AI228" s="22">
        <v>-1.73157E-2</v>
      </c>
      <c r="AJ228" s="22">
        <v>218</v>
      </c>
      <c r="AK228" s="22">
        <v>0.99670400000000003</v>
      </c>
      <c r="AL228">
        <f t="shared" si="42"/>
        <v>17.3157</v>
      </c>
      <c r="AM228">
        <f t="shared" si="43"/>
        <v>17.277120620399998</v>
      </c>
      <c r="AP228" s="9"/>
      <c r="AQ228" s="22">
        <v>0.60226400000000002</v>
      </c>
      <c r="AR228" s="22">
        <v>512.47699999999998</v>
      </c>
      <c r="AS228" s="22">
        <v>-1.7651400000000001E-2</v>
      </c>
      <c r="AT228" s="22">
        <v>218</v>
      </c>
      <c r="AU228" s="22">
        <v>0.60141</v>
      </c>
      <c r="AV228">
        <f t="shared" si="44"/>
        <v>17.651400000000002</v>
      </c>
      <c r="AW228">
        <f t="shared" si="45"/>
        <v>10.630802769600002</v>
      </c>
      <c r="AX228" s="9"/>
      <c r="AY228" s="22">
        <v>0.99777199999999999</v>
      </c>
      <c r="AZ228" s="22">
        <v>634.83399999999995</v>
      </c>
      <c r="BA228" s="22">
        <v>-1.72485E-2</v>
      </c>
      <c r="BB228" s="22">
        <v>218</v>
      </c>
      <c r="BC228" s="22">
        <v>0.99670400000000003</v>
      </c>
      <c r="BD228">
        <f t="shared" si="46"/>
        <v>17.2485</v>
      </c>
      <c r="BE228">
        <f t="shared" si="47"/>
        <v>17.210070341999998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98.316299999999998</v>
      </c>
      <c r="I229" s="22">
        <v>-1.77368E-2</v>
      </c>
      <c r="J229" s="22">
        <v>219</v>
      </c>
      <c r="K229" s="22">
        <v>0.59661900000000001</v>
      </c>
      <c r="L229">
        <f t="shared" si="36"/>
        <v>17.736799999999999</v>
      </c>
      <c r="M229">
        <f t="shared" si="37"/>
        <v>10.592931327199999</v>
      </c>
      <c r="N229" s="9"/>
      <c r="O229" s="22">
        <v>1.00281</v>
      </c>
      <c r="P229" s="22">
        <v>213.233</v>
      </c>
      <c r="Q229" s="22">
        <v>-1.74255E-2</v>
      </c>
      <c r="R229" s="22">
        <v>219</v>
      </c>
      <c r="S229" s="22">
        <v>1.0022</v>
      </c>
      <c r="T229">
        <f t="shared" si="38"/>
        <v>17.4255</v>
      </c>
      <c r="U229">
        <f t="shared" si="39"/>
        <v>17.474465654999999</v>
      </c>
      <c r="X229" s="9"/>
      <c r="Y229" s="22">
        <v>0.59722900000000001</v>
      </c>
      <c r="Z229" s="22">
        <v>316.22000000000003</v>
      </c>
      <c r="AA229" s="22">
        <v>-1.7694100000000001E-2</v>
      </c>
      <c r="AB229" s="22">
        <v>219</v>
      </c>
      <c r="AC229" s="22">
        <v>0.59649700000000005</v>
      </c>
      <c r="AD229">
        <f t="shared" si="40"/>
        <v>17.694100000000002</v>
      </c>
      <c r="AE229">
        <f t="shared" si="41"/>
        <v>10.567429648900001</v>
      </c>
      <c r="AF229" s="9"/>
      <c r="AG229" s="22">
        <v>1.00281</v>
      </c>
      <c r="AH229" s="22">
        <v>376.79899999999998</v>
      </c>
      <c r="AI229" s="22">
        <v>-1.7318699999999999E-2</v>
      </c>
      <c r="AJ229" s="22">
        <v>219</v>
      </c>
      <c r="AK229" s="22">
        <v>1.0018899999999999</v>
      </c>
      <c r="AL229">
        <f t="shared" si="42"/>
        <v>17.3187</v>
      </c>
      <c r="AM229">
        <f t="shared" si="43"/>
        <v>17.367365546999999</v>
      </c>
      <c r="AP229" s="9"/>
      <c r="AQ229" s="22">
        <v>0.59722900000000001</v>
      </c>
      <c r="AR229" s="22">
        <v>512.577</v>
      </c>
      <c r="AS229" s="22">
        <v>-1.7651400000000001E-2</v>
      </c>
      <c r="AT229" s="22">
        <v>219</v>
      </c>
      <c r="AU229" s="22">
        <v>0.59664899999999998</v>
      </c>
      <c r="AV229">
        <f t="shared" si="44"/>
        <v>17.651400000000002</v>
      </c>
      <c r="AW229">
        <f t="shared" si="45"/>
        <v>10.541927970600002</v>
      </c>
      <c r="AX229" s="9"/>
      <c r="AY229" s="22">
        <v>1.00281</v>
      </c>
      <c r="AZ229" s="22">
        <v>634.93399999999997</v>
      </c>
      <c r="BA229" s="22">
        <v>-1.72455E-2</v>
      </c>
      <c r="BB229" s="22">
        <v>219</v>
      </c>
      <c r="BC229" s="22">
        <v>1.0018899999999999</v>
      </c>
      <c r="BD229">
        <f t="shared" si="46"/>
        <v>17.2455</v>
      </c>
      <c r="BE229">
        <f t="shared" si="47"/>
        <v>17.293959855000001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98.417000000000002</v>
      </c>
      <c r="I230" s="22">
        <v>-1.77368E-2</v>
      </c>
      <c r="J230" s="22">
        <v>220</v>
      </c>
      <c r="K230" s="22">
        <v>0.59170500000000004</v>
      </c>
      <c r="L230">
        <f t="shared" si="36"/>
        <v>17.736799999999999</v>
      </c>
      <c r="M230">
        <f t="shared" si="37"/>
        <v>10.503626539199999</v>
      </c>
      <c r="N230" s="9"/>
      <c r="O230" s="22">
        <v>1.0078400000000001</v>
      </c>
      <c r="P230" s="22">
        <v>213.334</v>
      </c>
      <c r="Q230" s="22">
        <v>-1.74225E-2</v>
      </c>
      <c r="R230" s="22">
        <v>220</v>
      </c>
      <c r="S230" s="22">
        <v>1.0067699999999999</v>
      </c>
      <c r="T230">
        <f t="shared" si="38"/>
        <v>17.422499999999999</v>
      </c>
      <c r="U230">
        <f t="shared" si="39"/>
        <v>17.559092400000001</v>
      </c>
      <c r="X230" s="9"/>
      <c r="Y230" s="22">
        <v>0.592194</v>
      </c>
      <c r="Z230" s="22">
        <v>316.32100000000003</v>
      </c>
      <c r="AA230" s="22">
        <v>-1.77094E-2</v>
      </c>
      <c r="AB230" s="22">
        <v>220</v>
      </c>
      <c r="AC230" s="22">
        <v>0.59146100000000001</v>
      </c>
      <c r="AD230">
        <f t="shared" si="40"/>
        <v>17.709399999999999</v>
      </c>
      <c r="AE230">
        <f t="shared" si="41"/>
        <v>10.487400423599999</v>
      </c>
      <c r="AF230" s="9"/>
      <c r="AG230" s="22">
        <v>1.0078400000000001</v>
      </c>
      <c r="AH230" s="22">
        <v>376.9</v>
      </c>
      <c r="AI230" s="22">
        <v>-1.7294299999999999E-2</v>
      </c>
      <c r="AJ230" s="22">
        <v>220</v>
      </c>
      <c r="AK230" s="22">
        <v>1.00647</v>
      </c>
      <c r="AL230">
        <f t="shared" si="42"/>
        <v>17.2943</v>
      </c>
      <c r="AM230">
        <f t="shared" si="43"/>
        <v>17.429887312000002</v>
      </c>
      <c r="AP230" s="9"/>
      <c r="AQ230" s="22">
        <v>0.592194</v>
      </c>
      <c r="AR230" s="22">
        <v>512.678</v>
      </c>
      <c r="AS230" s="22">
        <v>-1.7654400000000001E-2</v>
      </c>
      <c r="AT230" s="22">
        <v>220</v>
      </c>
      <c r="AU230" s="22">
        <v>0.591248</v>
      </c>
      <c r="AV230">
        <f t="shared" si="44"/>
        <v>17.654399999999999</v>
      </c>
      <c r="AW230">
        <f t="shared" si="45"/>
        <v>10.454829753599999</v>
      </c>
      <c r="AX230" s="9"/>
      <c r="AY230" s="22">
        <v>1.0078400000000001</v>
      </c>
      <c r="AZ230" s="22">
        <v>635.03499999999997</v>
      </c>
      <c r="BA230" s="22">
        <v>-1.72333E-2</v>
      </c>
      <c r="BB230" s="22">
        <v>220</v>
      </c>
      <c r="BC230" s="22">
        <v>1.00708</v>
      </c>
      <c r="BD230">
        <f t="shared" si="46"/>
        <v>17.2333</v>
      </c>
      <c r="BE230">
        <f t="shared" si="47"/>
        <v>17.368409072000002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98.517700000000005</v>
      </c>
      <c r="I231" s="22">
        <v>-1.7742899999999999E-2</v>
      </c>
      <c r="J231" s="22">
        <v>221</v>
      </c>
      <c r="K231" s="22">
        <v>0.586426</v>
      </c>
      <c r="L231">
        <f t="shared" si="36"/>
        <v>17.742899999999999</v>
      </c>
      <c r="M231">
        <f t="shared" si="37"/>
        <v>10.417885678199999</v>
      </c>
      <c r="N231" s="9"/>
      <c r="O231" s="22">
        <v>1.01288</v>
      </c>
      <c r="P231" s="22">
        <v>213.435</v>
      </c>
      <c r="Q231" s="22">
        <v>-1.7416399999999999E-2</v>
      </c>
      <c r="R231" s="22">
        <v>221</v>
      </c>
      <c r="S231" s="22">
        <v>1.01196</v>
      </c>
      <c r="T231">
        <f t="shared" si="38"/>
        <v>17.416399999999999</v>
      </c>
      <c r="U231">
        <f t="shared" si="39"/>
        <v>17.640723231999999</v>
      </c>
      <c r="X231" s="9"/>
      <c r="Y231" s="22">
        <v>0.58715799999999996</v>
      </c>
      <c r="Z231" s="22">
        <v>316.42099999999999</v>
      </c>
      <c r="AA231" s="22">
        <v>-1.7706300000000001E-2</v>
      </c>
      <c r="AB231" s="22">
        <v>221</v>
      </c>
      <c r="AC231" s="22">
        <v>0.58633400000000002</v>
      </c>
      <c r="AD231">
        <f t="shared" si="40"/>
        <v>17.706300000000002</v>
      </c>
      <c r="AE231">
        <f t="shared" si="41"/>
        <v>10.396395695400001</v>
      </c>
      <c r="AF231" s="9"/>
      <c r="AG231" s="22">
        <v>1.01288</v>
      </c>
      <c r="AH231" s="22">
        <v>377</v>
      </c>
      <c r="AI231" s="22">
        <v>-1.7291299999999999E-2</v>
      </c>
      <c r="AJ231" s="22">
        <v>221</v>
      </c>
      <c r="AK231" s="22">
        <v>1.01196</v>
      </c>
      <c r="AL231">
        <f t="shared" si="42"/>
        <v>17.2913</v>
      </c>
      <c r="AM231">
        <f t="shared" si="43"/>
        <v>17.514011944</v>
      </c>
      <c r="AP231" s="9"/>
      <c r="AQ231" s="22">
        <v>0.58715799999999996</v>
      </c>
      <c r="AR231" s="22">
        <v>512.779</v>
      </c>
      <c r="AS231" s="22">
        <v>-1.76575E-2</v>
      </c>
      <c r="AT231" s="22">
        <v>221</v>
      </c>
      <c r="AU231" s="22">
        <v>0.58648699999999998</v>
      </c>
      <c r="AV231">
        <f t="shared" si="44"/>
        <v>17.657499999999999</v>
      </c>
      <c r="AW231">
        <f t="shared" si="45"/>
        <v>10.367742384999998</v>
      </c>
      <c r="AX231" s="9"/>
      <c r="AY231" s="22">
        <v>1.01288</v>
      </c>
      <c r="AZ231" s="22">
        <v>635.13599999999997</v>
      </c>
      <c r="BA231" s="22">
        <v>-1.7215000000000001E-2</v>
      </c>
      <c r="BB231" s="22">
        <v>221</v>
      </c>
      <c r="BC231" s="22">
        <v>1.01288</v>
      </c>
      <c r="BD231">
        <f t="shared" si="46"/>
        <v>17.215</v>
      </c>
      <c r="BE231">
        <f t="shared" si="47"/>
        <v>17.436729199999998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98.618499999999997</v>
      </c>
      <c r="I232" s="22">
        <v>-1.7733800000000001E-2</v>
      </c>
      <c r="J232" s="22">
        <v>222</v>
      </c>
      <c r="K232" s="22">
        <v>0.58148200000000005</v>
      </c>
      <c r="L232">
        <f t="shared" si="36"/>
        <v>17.733800000000002</v>
      </c>
      <c r="M232">
        <f t="shared" si="37"/>
        <v>10.3232528574</v>
      </c>
      <c r="N232" s="9"/>
      <c r="O232" s="22">
        <v>1.0179100000000001</v>
      </c>
      <c r="P232" s="22">
        <v>213.535</v>
      </c>
      <c r="Q232" s="22">
        <v>-1.7404200000000002E-2</v>
      </c>
      <c r="R232" s="22">
        <v>222</v>
      </c>
      <c r="S232" s="22">
        <v>1.01715</v>
      </c>
      <c r="T232">
        <f t="shared" si="38"/>
        <v>17.404200000000003</v>
      </c>
      <c r="U232">
        <f t="shared" si="39"/>
        <v>17.715909222000004</v>
      </c>
      <c r="X232" s="9"/>
      <c r="Y232" s="22">
        <v>0.58212299999999995</v>
      </c>
      <c r="Z232" s="22">
        <v>316.52199999999999</v>
      </c>
      <c r="AA232" s="22">
        <v>-1.7703199999999999E-2</v>
      </c>
      <c r="AB232" s="22">
        <v>222</v>
      </c>
      <c r="AC232" s="22">
        <v>0.58148200000000005</v>
      </c>
      <c r="AD232">
        <f t="shared" si="40"/>
        <v>17.703199999999999</v>
      </c>
      <c r="AE232">
        <f t="shared" si="41"/>
        <v>10.305439893599999</v>
      </c>
      <c r="AF232" s="9"/>
      <c r="AG232" s="22">
        <v>1.0179100000000001</v>
      </c>
      <c r="AH232" s="22">
        <v>377.101</v>
      </c>
      <c r="AI232" s="22">
        <v>-1.7285200000000001E-2</v>
      </c>
      <c r="AJ232" s="22">
        <v>222</v>
      </c>
      <c r="AK232" s="22">
        <v>1.01685</v>
      </c>
      <c r="AL232">
        <f t="shared" si="42"/>
        <v>17.2852</v>
      </c>
      <c r="AM232">
        <f t="shared" si="43"/>
        <v>17.594777932</v>
      </c>
      <c r="AP232" s="9"/>
      <c r="AQ232" s="22">
        <v>0.58212299999999995</v>
      </c>
      <c r="AR232" s="22">
        <v>512.87900000000002</v>
      </c>
      <c r="AS232" s="22">
        <v>-1.76575E-2</v>
      </c>
      <c r="AT232" s="22">
        <v>222</v>
      </c>
      <c r="AU232" s="22">
        <v>0.58142099999999997</v>
      </c>
      <c r="AV232">
        <f t="shared" si="44"/>
        <v>17.657499999999999</v>
      </c>
      <c r="AW232">
        <f t="shared" si="45"/>
        <v>10.278836872499998</v>
      </c>
      <c r="AX232" s="9"/>
      <c r="AY232" s="22">
        <v>1.0179100000000001</v>
      </c>
      <c r="AZ232" s="22">
        <v>635.23699999999997</v>
      </c>
      <c r="BA232" s="22">
        <v>-1.71539E-2</v>
      </c>
      <c r="BB232" s="22">
        <v>222</v>
      </c>
      <c r="BC232" s="22">
        <v>1.01898</v>
      </c>
      <c r="BD232">
        <f t="shared" si="46"/>
        <v>17.1539</v>
      </c>
      <c r="BE232">
        <f t="shared" si="47"/>
        <v>17.461126349000001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98.719200000000001</v>
      </c>
      <c r="I233" s="22">
        <v>-1.7749000000000001E-2</v>
      </c>
      <c r="J233" s="22">
        <v>223</v>
      </c>
      <c r="K233" s="22">
        <v>0.57626299999999997</v>
      </c>
      <c r="L233">
        <f t="shared" si="36"/>
        <v>17.749000000000002</v>
      </c>
      <c r="M233">
        <f t="shared" si="37"/>
        <v>10.242717163000002</v>
      </c>
      <c r="N233" s="9"/>
      <c r="O233" s="22">
        <v>1.02295</v>
      </c>
      <c r="P233" s="22">
        <v>213.636</v>
      </c>
      <c r="Q233" s="22">
        <v>-1.7407200000000001E-2</v>
      </c>
      <c r="R233" s="22">
        <v>223</v>
      </c>
      <c r="S233" s="22">
        <v>1.02173</v>
      </c>
      <c r="T233">
        <f t="shared" si="38"/>
        <v>17.4072</v>
      </c>
      <c r="U233">
        <f t="shared" si="39"/>
        <v>17.80669524</v>
      </c>
      <c r="X233" s="9"/>
      <c r="Y233" s="22">
        <v>0.57708700000000002</v>
      </c>
      <c r="Z233" s="22">
        <v>316.62299999999999</v>
      </c>
      <c r="AA233" s="22">
        <v>-1.77124E-2</v>
      </c>
      <c r="AB233" s="22">
        <v>223</v>
      </c>
      <c r="AC233" s="22">
        <v>0.57653799999999999</v>
      </c>
      <c r="AD233">
        <f t="shared" si="40"/>
        <v>17.712399999999999</v>
      </c>
      <c r="AE233">
        <f t="shared" si="41"/>
        <v>10.221595778799999</v>
      </c>
      <c r="AF233" s="9"/>
      <c r="AG233" s="22">
        <v>1.02295</v>
      </c>
      <c r="AH233" s="22">
        <v>377.202</v>
      </c>
      <c r="AI233" s="22">
        <v>-1.7291299999999999E-2</v>
      </c>
      <c r="AJ233" s="22">
        <v>223</v>
      </c>
      <c r="AK233" s="22">
        <v>1.02203</v>
      </c>
      <c r="AL233">
        <f t="shared" si="42"/>
        <v>17.2913</v>
      </c>
      <c r="AM233">
        <f t="shared" si="43"/>
        <v>17.688135334999998</v>
      </c>
      <c r="AP233" s="9"/>
      <c r="AQ233" s="22">
        <v>0.57708700000000002</v>
      </c>
      <c r="AR233" s="22">
        <v>512.98</v>
      </c>
      <c r="AS233" s="22">
        <v>-1.7648299999999999E-2</v>
      </c>
      <c r="AT233" s="22">
        <v>223</v>
      </c>
      <c r="AU233" s="22">
        <v>0.57641600000000004</v>
      </c>
      <c r="AV233">
        <f t="shared" si="44"/>
        <v>17.648299999999999</v>
      </c>
      <c r="AW233">
        <f t="shared" si="45"/>
        <v>10.184604502099999</v>
      </c>
      <c r="AX233" s="9"/>
      <c r="AY233" s="22">
        <v>1.02295</v>
      </c>
      <c r="AZ233" s="22">
        <v>635.33699999999999</v>
      </c>
      <c r="BA233" s="22">
        <v>-1.7147800000000001E-2</v>
      </c>
      <c r="BB233" s="22">
        <v>223</v>
      </c>
      <c r="BC233" s="22">
        <v>1.02234</v>
      </c>
      <c r="BD233">
        <f t="shared" si="46"/>
        <v>17.1478</v>
      </c>
      <c r="BE233">
        <f t="shared" si="47"/>
        <v>17.541342010000001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98.819900000000004</v>
      </c>
      <c r="I234" s="22">
        <v>-1.7761200000000001E-2</v>
      </c>
      <c r="J234" s="22">
        <v>224</v>
      </c>
      <c r="K234" s="22">
        <v>0.57144200000000001</v>
      </c>
      <c r="L234">
        <f t="shared" si="36"/>
        <v>17.761200000000002</v>
      </c>
      <c r="M234">
        <f t="shared" si="37"/>
        <v>10.160329982400002</v>
      </c>
      <c r="N234" s="9"/>
      <c r="O234" s="22">
        <v>1.0279799999999999</v>
      </c>
      <c r="P234" s="22">
        <v>213.73699999999999</v>
      </c>
      <c r="Q234" s="22">
        <v>-1.7395000000000001E-2</v>
      </c>
      <c r="R234" s="22">
        <v>224</v>
      </c>
      <c r="S234" s="22">
        <v>1.02722</v>
      </c>
      <c r="T234">
        <f t="shared" si="38"/>
        <v>17.395</v>
      </c>
      <c r="U234">
        <f t="shared" si="39"/>
        <v>17.881712099999998</v>
      </c>
      <c r="X234" s="9"/>
      <c r="Y234" s="22">
        <v>0.572052</v>
      </c>
      <c r="Z234" s="22">
        <v>316.72399999999999</v>
      </c>
      <c r="AA234" s="22">
        <v>-1.7727699999999999E-2</v>
      </c>
      <c r="AB234" s="22">
        <v>224</v>
      </c>
      <c r="AC234" s="22">
        <v>0.57095300000000004</v>
      </c>
      <c r="AD234">
        <f t="shared" si="40"/>
        <v>17.727699999999999</v>
      </c>
      <c r="AE234">
        <f t="shared" si="41"/>
        <v>10.141166240399999</v>
      </c>
      <c r="AF234" s="9"/>
      <c r="AG234" s="22">
        <v>1.0279799999999999</v>
      </c>
      <c r="AH234" s="22">
        <v>377.30200000000002</v>
      </c>
      <c r="AI234" s="22">
        <v>-1.7285200000000001E-2</v>
      </c>
      <c r="AJ234" s="22">
        <v>224</v>
      </c>
      <c r="AK234" s="22">
        <v>1.02661</v>
      </c>
      <c r="AL234">
        <f t="shared" si="42"/>
        <v>17.2852</v>
      </c>
      <c r="AM234">
        <f t="shared" si="43"/>
        <v>17.768839895999999</v>
      </c>
      <c r="AP234" s="9"/>
      <c r="AQ234" s="22">
        <v>0.572052</v>
      </c>
      <c r="AR234" s="22">
        <v>513.08100000000002</v>
      </c>
      <c r="AS234" s="22">
        <v>-1.7648299999999999E-2</v>
      </c>
      <c r="AT234" s="22">
        <v>224</v>
      </c>
      <c r="AU234" s="22">
        <v>0.57135000000000002</v>
      </c>
      <c r="AV234">
        <f t="shared" si="44"/>
        <v>17.648299999999999</v>
      </c>
      <c r="AW234">
        <f t="shared" si="45"/>
        <v>10.0957453116</v>
      </c>
      <c r="AX234" s="9"/>
      <c r="AY234" s="22">
        <v>1.0279799999999999</v>
      </c>
      <c r="AZ234" s="22">
        <v>635.43799999999999</v>
      </c>
      <c r="BA234" s="22">
        <v>-1.71661E-2</v>
      </c>
      <c r="BB234" s="22">
        <v>224</v>
      </c>
      <c r="BC234" s="22">
        <v>1.0269200000000001</v>
      </c>
      <c r="BD234">
        <f t="shared" si="46"/>
        <v>17.1661</v>
      </c>
      <c r="BE234">
        <f t="shared" si="47"/>
        <v>17.646407477999997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98.920599999999993</v>
      </c>
      <c r="I235" s="22">
        <v>-1.7758199999999998E-2</v>
      </c>
      <c r="J235" s="22">
        <v>225</v>
      </c>
      <c r="K235" s="22">
        <v>0.56603999999999999</v>
      </c>
      <c r="L235">
        <f t="shared" si="36"/>
        <v>17.758199999999999</v>
      </c>
      <c r="M235">
        <f t="shared" si="37"/>
        <v>10.069201289399999</v>
      </c>
      <c r="N235" s="9"/>
      <c r="O235" s="22">
        <v>1.03302</v>
      </c>
      <c r="P235" s="22">
        <v>213.83799999999999</v>
      </c>
      <c r="Q235" s="22">
        <v>-1.7395000000000001E-2</v>
      </c>
      <c r="R235" s="22">
        <v>225</v>
      </c>
      <c r="S235" s="22">
        <v>1.03241</v>
      </c>
      <c r="T235">
        <f t="shared" si="38"/>
        <v>17.395</v>
      </c>
      <c r="U235">
        <f t="shared" si="39"/>
        <v>17.969382899999999</v>
      </c>
      <c r="X235" s="9"/>
      <c r="Y235" s="22">
        <v>0.56701699999999999</v>
      </c>
      <c r="Z235" s="22">
        <v>316.82400000000001</v>
      </c>
      <c r="AA235" s="22">
        <v>-1.7730699999999999E-2</v>
      </c>
      <c r="AB235" s="22">
        <v>225</v>
      </c>
      <c r="AC235" s="22">
        <v>0.56720000000000004</v>
      </c>
      <c r="AD235">
        <f t="shared" si="40"/>
        <v>17.730699999999999</v>
      </c>
      <c r="AE235">
        <f t="shared" si="41"/>
        <v>10.053608321899999</v>
      </c>
      <c r="AF235" s="9"/>
      <c r="AG235" s="22">
        <v>1.03302</v>
      </c>
      <c r="AH235" s="22">
        <v>377.40300000000002</v>
      </c>
      <c r="AI235" s="22">
        <v>-1.7279099999999999E-2</v>
      </c>
      <c r="AJ235" s="22">
        <v>225</v>
      </c>
      <c r="AK235" s="22">
        <v>1.0321</v>
      </c>
      <c r="AL235">
        <f t="shared" si="42"/>
        <v>17.2791</v>
      </c>
      <c r="AM235">
        <f t="shared" si="43"/>
        <v>17.849655882</v>
      </c>
      <c r="AP235" s="9"/>
      <c r="AQ235" s="22">
        <v>0.56701699999999999</v>
      </c>
      <c r="AR235" s="22">
        <v>513.18200000000002</v>
      </c>
      <c r="AS235" s="22">
        <v>-1.76697E-2</v>
      </c>
      <c r="AT235" s="22">
        <v>225</v>
      </c>
      <c r="AU235" s="22">
        <v>0.56634499999999999</v>
      </c>
      <c r="AV235">
        <f t="shared" si="44"/>
        <v>17.669699999999999</v>
      </c>
      <c r="AW235">
        <f t="shared" si="45"/>
        <v>10.0190202849</v>
      </c>
      <c r="AX235" s="9"/>
      <c r="AY235" s="22">
        <v>1.03302</v>
      </c>
      <c r="AZ235" s="22">
        <v>635.53899999999999</v>
      </c>
      <c r="BA235" s="22">
        <v>-1.7163100000000001E-2</v>
      </c>
      <c r="BB235" s="22">
        <v>225</v>
      </c>
      <c r="BC235" s="22">
        <v>1.03241</v>
      </c>
      <c r="BD235">
        <f t="shared" si="46"/>
        <v>17.1631</v>
      </c>
      <c r="BE235">
        <f t="shared" si="47"/>
        <v>17.729825562000002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99.021299999999997</v>
      </c>
      <c r="I236" s="22">
        <v>-1.7742899999999999E-2</v>
      </c>
      <c r="J236" s="22">
        <v>226</v>
      </c>
      <c r="K236" s="22">
        <v>0.56137099999999995</v>
      </c>
      <c r="L236">
        <f t="shared" si="36"/>
        <v>17.742899999999999</v>
      </c>
      <c r="M236">
        <f t="shared" si="37"/>
        <v>9.9711726848999991</v>
      </c>
      <c r="N236" s="9"/>
      <c r="O236" s="22">
        <v>1.03806</v>
      </c>
      <c r="P236" s="22">
        <v>213.93799999999999</v>
      </c>
      <c r="Q236" s="22">
        <v>-1.73828E-2</v>
      </c>
      <c r="R236" s="22">
        <v>226</v>
      </c>
      <c r="S236" s="22">
        <v>1.0369900000000001</v>
      </c>
      <c r="T236">
        <f t="shared" si="38"/>
        <v>17.3828</v>
      </c>
      <c r="U236">
        <f t="shared" si="39"/>
        <v>18.044389368000001</v>
      </c>
      <c r="X236" s="9"/>
      <c r="Y236" s="22">
        <v>0.56198099999999995</v>
      </c>
      <c r="Z236" s="22">
        <v>316.92500000000001</v>
      </c>
      <c r="AA236" s="22">
        <v>-1.7746000000000001E-2</v>
      </c>
      <c r="AB236" s="22">
        <v>226</v>
      </c>
      <c r="AC236" s="22">
        <v>0.56262199999999996</v>
      </c>
      <c r="AD236">
        <f t="shared" si="40"/>
        <v>17.746000000000002</v>
      </c>
      <c r="AE236">
        <f t="shared" si="41"/>
        <v>9.9729148260000002</v>
      </c>
      <c r="AF236" s="9"/>
      <c r="AG236" s="22">
        <v>1.03806</v>
      </c>
      <c r="AH236" s="22">
        <v>377.50400000000002</v>
      </c>
      <c r="AI236" s="22">
        <v>-1.7276E-2</v>
      </c>
      <c r="AJ236" s="22">
        <v>226</v>
      </c>
      <c r="AK236" s="22">
        <v>1.03668</v>
      </c>
      <c r="AL236">
        <f t="shared" si="42"/>
        <v>17.276</v>
      </c>
      <c r="AM236">
        <f t="shared" si="43"/>
        <v>17.933524559999999</v>
      </c>
      <c r="AP236" s="9"/>
      <c r="AQ236" s="22">
        <v>0.56198099999999995</v>
      </c>
      <c r="AR236" s="22">
        <v>513.28200000000004</v>
      </c>
      <c r="AS236" s="22">
        <v>-1.76727E-2</v>
      </c>
      <c r="AT236" s="22">
        <v>226</v>
      </c>
      <c r="AU236" s="22">
        <v>0.56130999999999998</v>
      </c>
      <c r="AV236">
        <f t="shared" si="44"/>
        <v>17.672699999999999</v>
      </c>
      <c r="AW236">
        <f t="shared" si="45"/>
        <v>9.9317216186999993</v>
      </c>
      <c r="AX236" s="9"/>
      <c r="AY236" s="22">
        <v>1.03806</v>
      </c>
      <c r="AZ236" s="22">
        <v>635.63900000000001</v>
      </c>
      <c r="BA236" s="22">
        <v>-1.7181399999999999E-2</v>
      </c>
      <c r="BB236" s="22">
        <v>226</v>
      </c>
      <c r="BC236" s="22">
        <v>1.03729</v>
      </c>
      <c r="BD236">
        <f t="shared" si="46"/>
        <v>17.1814</v>
      </c>
      <c r="BE236">
        <f t="shared" si="47"/>
        <v>17.835324084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99.122</v>
      </c>
      <c r="I237" s="22">
        <v>-1.7755099999999999E-2</v>
      </c>
      <c r="J237" s="22">
        <v>227</v>
      </c>
      <c r="K237" s="22">
        <v>0.55633500000000002</v>
      </c>
      <c r="L237">
        <f t="shared" si="36"/>
        <v>17.755099999999999</v>
      </c>
      <c r="M237">
        <f t="shared" si="37"/>
        <v>9.8886319246000003</v>
      </c>
      <c r="N237" s="9"/>
      <c r="O237" s="22">
        <v>1.0430900000000001</v>
      </c>
      <c r="P237" s="22">
        <v>214.03899999999999</v>
      </c>
      <c r="Q237" s="22">
        <v>-1.7373699999999999E-2</v>
      </c>
      <c r="R237" s="22">
        <v>227</v>
      </c>
      <c r="S237" s="22">
        <v>1.0421800000000001</v>
      </c>
      <c r="T237">
        <f t="shared" si="38"/>
        <v>17.373699999999999</v>
      </c>
      <c r="U237">
        <f t="shared" si="39"/>
        <v>18.122332733</v>
      </c>
      <c r="X237" s="9"/>
      <c r="Y237" s="22">
        <v>0.55694600000000005</v>
      </c>
      <c r="Z237" s="22">
        <v>317.02600000000001</v>
      </c>
      <c r="AA237" s="22">
        <v>-1.7746000000000001E-2</v>
      </c>
      <c r="AB237" s="22">
        <v>227</v>
      </c>
      <c r="AC237" s="22">
        <v>0.55630500000000005</v>
      </c>
      <c r="AD237">
        <f t="shared" si="40"/>
        <v>17.746000000000002</v>
      </c>
      <c r="AE237">
        <f t="shared" si="41"/>
        <v>9.8835637160000029</v>
      </c>
      <c r="AF237" s="9"/>
      <c r="AG237" s="22">
        <v>1.0430900000000001</v>
      </c>
      <c r="AH237" s="22">
        <v>377.60500000000002</v>
      </c>
      <c r="AI237" s="22">
        <v>-1.7272900000000001E-2</v>
      </c>
      <c r="AJ237" s="22">
        <v>227</v>
      </c>
      <c r="AK237" s="22">
        <v>1.0418700000000001</v>
      </c>
      <c r="AL237">
        <f t="shared" si="42"/>
        <v>17.2729</v>
      </c>
      <c r="AM237">
        <f t="shared" si="43"/>
        <v>18.017189261000002</v>
      </c>
      <c r="AP237" s="9"/>
      <c r="AQ237" s="22">
        <v>0.55694600000000005</v>
      </c>
      <c r="AR237" s="22">
        <v>513.38300000000004</v>
      </c>
      <c r="AS237" s="22">
        <v>-1.7690999999999998E-2</v>
      </c>
      <c r="AT237" s="22">
        <v>227</v>
      </c>
      <c r="AU237" s="22">
        <v>0.55633500000000002</v>
      </c>
      <c r="AV237">
        <f t="shared" si="44"/>
        <v>17.690999999999999</v>
      </c>
      <c r="AW237">
        <f t="shared" si="45"/>
        <v>9.8529316859999998</v>
      </c>
      <c r="AX237" s="9"/>
      <c r="AY237" s="22">
        <v>1.0430900000000001</v>
      </c>
      <c r="AZ237" s="22">
        <v>635.74</v>
      </c>
      <c r="BA237" s="22">
        <v>-1.7218000000000001E-2</v>
      </c>
      <c r="BB237" s="22">
        <v>227</v>
      </c>
      <c r="BC237" s="22">
        <v>1.0418700000000001</v>
      </c>
      <c r="BD237">
        <f t="shared" si="46"/>
        <v>17.218</v>
      </c>
      <c r="BE237">
        <f t="shared" si="47"/>
        <v>17.959923620000001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99.222700000000003</v>
      </c>
      <c r="I238" s="22">
        <v>-1.77521E-2</v>
      </c>
      <c r="J238" s="22">
        <v>228</v>
      </c>
      <c r="K238" s="22">
        <v>0.55114700000000005</v>
      </c>
      <c r="L238">
        <f t="shared" si="36"/>
        <v>17.752099999999999</v>
      </c>
      <c r="M238">
        <f t="shared" si="37"/>
        <v>9.7975615109999996</v>
      </c>
      <c r="N238" s="9"/>
      <c r="O238" s="22">
        <v>1.04813</v>
      </c>
      <c r="P238" s="22">
        <v>214.14</v>
      </c>
      <c r="Q238" s="22">
        <v>-1.7373699999999999E-2</v>
      </c>
      <c r="R238" s="22">
        <v>228</v>
      </c>
      <c r="S238" s="22">
        <v>1.0473600000000001</v>
      </c>
      <c r="T238">
        <f t="shared" si="38"/>
        <v>17.373699999999999</v>
      </c>
      <c r="U238">
        <f t="shared" si="39"/>
        <v>18.209896181000001</v>
      </c>
      <c r="X238" s="9"/>
      <c r="Y238" s="22">
        <v>0.55191000000000001</v>
      </c>
      <c r="Z238" s="22">
        <v>317.12599999999998</v>
      </c>
      <c r="AA238" s="22">
        <v>-1.77521E-2</v>
      </c>
      <c r="AB238" s="22">
        <v>228</v>
      </c>
      <c r="AC238" s="22">
        <v>0.55096400000000001</v>
      </c>
      <c r="AD238">
        <f t="shared" si="40"/>
        <v>17.752099999999999</v>
      </c>
      <c r="AE238">
        <f t="shared" si="41"/>
        <v>9.7975615109999996</v>
      </c>
      <c r="AF238" s="9"/>
      <c r="AG238" s="22">
        <v>1.04813</v>
      </c>
      <c r="AH238" s="22">
        <v>377.70499999999998</v>
      </c>
      <c r="AI238" s="22">
        <v>-1.7276E-2</v>
      </c>
      <c r="AJ238" s="22">
        <v>228</v>
      </c>
      <c r="AK238" s="22">
        <v>1.0470600000000001</v>
      </c>
      <c r="AL238">
        <f t="shared" si="42"/>
        <v>17.276</v>
      </c>
      <c r="AM238">
        <f t="shared" si="43"/>
        <v>18.10749388</v>
      </c>
      <c r="AP238" s="9"/>
      <c r="AQ238" s="22">
        <v>0.55191000000000001</v>
      </c>
      <c r="AR238" s="22">
        <v>513.48400000000004</v>
      </c>
      <c r="AS238" s="22">
        <v>-1.7694100000000001E-2</v>
      </c>
      <c r="AT238" s="22">
        <v>228</v>
      </c>
      <c r="AU238" s="22">
        <v>0.55154400000000003</v>
      </c>
      <c r="AV238">
        <f t="shared" si="44"/>
        <v>17.694100000000002</v>
      </c>
      <c r="AW238">
        <f t="shared" si="45"/>
        <v>9.7655507310000012</v>
      </c>
      <c r="AX238" s="9"/>
      <c r="AY238" s="22">
        <v>1.04813</v>
      </c>
      <c r="AZ238" s="22">
        <v>635.84100000000001</v>
      </c>
      <c r="BA238" s="22">
        <v>-1.7218000000000001E-2</v>
      </c>
      <c r="BB238" s="22">
        <v>228</v>
      </c>
      <c r="BC238" s="22">
        <v>1.0470600000000001</v>
      </c>
      <c r="BD238">
        <f t="shared" si="46"/>
        <v>17.218</v>
      </c>
      <c r="BE238">
        <f t="shared" si="47"/>
        <v>18.04670234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99.323400000000007</v>
      </c>
      <c r="I239" s="22">
        <v>-1.77643E-2</v>
      </c>
      <c r="J239" s="22">
        <v>229</v>
      </c>
      <c r="K239" s="22">
        <v>0.54583700000000002</v>
      </c>
      <c r="L239">
        <f t="shared" si="36"/>
        <v>17.764299999999999</v>
      </c>
      <c r="M239">
        <f t="shared" si="37"/>
        <v>9.7148515624999998</v>
      </c>
      <c r="N239" s="9"/>
      <c r="O239" s="22">
        <v>1.0531600000000001</v>
      </c>
      <c r="P239" s="22">
        <v>214.24</v>
      </c>
      <c r="Q239" s="22">
        <v>-1.7364500000000001E-2</v>
      </c>
      <c r="R239" s="22">
        <v>229</v>
      </c>
      <c r="S239" s="22">
        <v>1.0522499999999999</v>
      </c>
      <c r="T239">
        <f t="shared" si="38"/>
        <v>17.364500000000003</v>
      </c>
      <c r="U239">
        <f t="shared" si="39"/>
        <v>18.287596820000005</v>
      </c>
      <c r="X239" s="9"/>
      <c r="Y239" s="22">
        <v>0.546875</v>
      </c>
      <c r="Z239" s="22">
        <v>317.22699999999998</v>
      </c>
      <c r="AA239" s="22">
        <v>-1.7755099999999999E-2</v>
      </c>
      <c r="AB239" s="22">
        <v>229</v>
      </c>
      <c r="AC239" s="22">
        <v>0.54602099999999998</v>
      </c>
      <c r="AD239">
        <f t="shared" si="40"/>
        <v>17.755099999999999</v>
      </c>
      <c r="AE239">
        <f t="shared" si="41"/>
        <v>9.7098203124999998</v>
      </c>
      <c r="AF239" s="9"/>
      <c r="AG239" s="22">
        <v>1.0531600000000001</v>
      </c>
      <c r="AH239" s="22">
        <v>377.80599999999998</v>
      </c>
      <c r="AI239" s="22">
        <v>-1.7266799999999999E-2</v>
      </c>
      <c r="AJ239" s="22">
        <v>229</v>
      </c>
      <c r="AK239" s="22">
        <v>1.0519400000000001</v>
      </c>
      <c r="AL239">
        <f t="shared" si="42"/>
        <v>17.2668</v>
      </c>
      <c r="AM239">
        <f t="shared" si="43"/>
        <v>18.184703088000003</v>
      </c>
      <c r="AP239" s="9"/>
      <c r="AQ239" s="22">
        <v>0.546875</v>
      </c>
      <c r="AR239" s="22">
        <v>513.58399999999995</v>
      </c>
      <c r="AS239" s="22">
        <v>-1.7694100000000001E-2</v>
      </c>
      <c r="AT239" s="22">
        <v>229</v>
      </c>
      <c r="AU239" s="22">
        <v>0.54605099999999995</v>
      </c>
      <c r="AV239">
        <f t="shared" si="44"/>
        <v>17.694100000000002</v>
      </c>
      <c r="AW239">
        <f t="shared" si="45"/>
        <v>9.6764609375000017</v>
      </c>
      <c r="AX239" s="9"/>
      <c r="AY239" s="22">
        <v>1.0531600000000001</v>
      </c>
      <c r="AZ239" s="22">
        <v>635.94100000000003</v>
      </c>
      <c r="BA239" s="22">
        <v>-1.7211899999999999E-2</v>
      </c>
      <c r="BB239" s="22">
        <v>229</v>
      </c>
      <c r="BC239" s="22">
        <v>1.0522499999999999</v>
      </c>
      <c r="BD239">
        <f t="shared" si="46"/>
        <v>17.2119</v>
      </c>
      <c r="BE239">
        <f t="shared" si="47"/>
        <v>18.126884604000001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99.424099999999996</v>
      </c>
      <c r="I240" s="22">
        <v>-1.77673E-2</v>
      </c>
      <c r="J240" s="22">
        <v>230</v>
      </c>
      <c r="K240" s="22">
        <v>0.54125999999999996</v>
      </c>
      <c r="L240">
        <f t="shared" si="36"/>
        <v>17.767299999999999</v>
      </c>
      <c r="M240">
        <f t="shared" si="37"/>
        <v>9.6270338319999986</v>
      </c>
      <c r="N240" s="9"/>
      <c r="O240" s="22">
        <v>1.0582</v>
      </c>
      <c r="P240" s="22">
        <v>214.34100000000001</v>
      </c>
      <c r="Q240" s="22">
        <v>-1.7364500000000001E-2</v>
      </c>
      <c r="R240" s="22">
        <v>230</v>
      </c>
      <c r="S240" s="22">
        <v>1.0574300000000001</v>
      </c>
      <c r="T240">
        <f t="shared" si="38"/>
        <v>17.364500000000003</v>
      </c>
      <c r="U240">
        <f t="shared" si="39"/>
        <v>18.375113900000002</v>
      </c>
      <c r="X240" s="9"/>
      <c r="Y240" s="22">
        <v>0.54183999999999999</v>
      </c>
      <c r="Z240" s="22">
        <v>317.32799999999997</v>
      </c>
      <c r="AA240" s="22">
        <v>-1.7739899999999999E-2</v>
      </c>
      <c r="AB240" s="22">
        <v>230</v>
      </c>
      <c r="AC240" s="22">
        <v>0.54104600000000003</v>
      </c>
      <c r="AD240">
        <f t="shared" si="40"/>
        <v>17.739899999999999</v>
      </c>
      <c r="AE240">
        <f t="shared" si="41"/>
        <v>9.6121874159999994</v>
      </c>
      <c r="AF240" s="9"/>
      <c r="AG240" s="22">
        <v>1.0582</v>
      </c>
      <c r="AH240" s="22">
        <v>377.90699999999998</v>
      </c>
      <c r="AI240" s="22">
        <v>-1.7257700000000001E-2</v>
      </c>
      <c r="AJ240" s="22">
        <v>230</v>
      </c>
      <c r="AK240" s="22">
        <v>1.0568200000000001</v>
      </c>
      <c r="AL240">
        <f t="shared" si="42"/>
        <v>17.2577</v>
      </c>
      <c r="AM240">
        <f t="shared" si="43"/>
        <v>18.262098139999999</v>
      </c>
      <c r="AP240" s="9"/>
      <c r="AQ240" s="22">
        <v>0.54183999999999999</v>
      </c>
      <c r="AR240" s="22">
        <v>513.68499999999995</v>
      </c>
      <c r="AS240" s="22">
        <v>-1.7690999999999998E-2</v>
      </c>
      <c r="AT240" s="22">
        <v>230</v>
      </c>
      <c r="AU240" s="22">
        <v>0.54125999999999996</v>
      </c>
      <c r="AV240">
        <f t="shared" si="44"/>
        <v>17.690999999999999</v>
      </c>
      <c r="AW240">
        <f t="shared" si="45"/>
        <v>9.5856914399999997</v>
      </c>
      <c r="AX240" s="9"/>
      <c r="AY240" s="22">
        <v>1.0582</v>
      </c>
      <c r="AZ240" s="22">
        <v>636.04200000000003</v>
      </c>
      <c r="BA240" s="22">
        <v>-1.7218000000000001E-2</v>
      </c>
      <c r="BB240" s="22">
        <v>230</v>
      </c>
      <c r="BC240" s="22">
        <v>1.0580400000000001</v>
      </c>
      <c r="BD240">
        <f t="shared" si="46"/>
        <v>17.218</v>
      </c>
      <c r="BE240">
        <f t="shared" si="47"/>
        <v>18.220087599999999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99.524799999999999</v>
      </c>
      <c r="I241" s="22">
        <v>-1.7773400000000002E-2</v>
      </c>
      <c r="J241" s="22">
        <v>231</v>
      </c>
      <c r="K241" s="22">
        <v>0.53598000000000001</v>
      </c>
      <c r="L241">
        <f t="shared" si="36"/>
        <v>17.773400000000002</v>
      </c>
      <c r="M241">
        <f t="shared" si="37"/>
        <v>9.5408322135999999</v>
      </c>
      <c r="N241" s="9"/>
      <c r="O241" s="22">
        <v>1.0632299999999999</v>
      </c>
      <c r="P241" s="22">
        <v>214.44200000000001</v>
      </c>
      <c r="Q241" s="22">
        <v>-1.7364500000000001E-2</v>
      </c>
      <c r="R241" s="22">
        <v>231</v>
      </c>
      <c r="S241" s="22">
        <v>1.0620099999999999</v>
      </c>
      <c r="T241">
        <f t="shared" si="38"/>
        <v>17.364500000000003</v>
      </c>
      <c r="U241">
        <f t="shared" si="39"/>
        <v>18.462457335</v>
      </c>
      <c r="X241" s="9"/>
      <c r="Y241" s="22">
        <v>0.53680399999999995</v>
      </c>
      <c r="Z241" s="22">
        <v>317.428</v>
      </c>
      <c r="AA241" s="22">
        <v>-1.77521E-2</v>
      </c>
      <c r="AB241" s="22">
        <v>231</v>
      </c>
      <c r="AC241" s="22">
        <v>0.53601100000000002</v>
      </c>
      <c r="AD241">
        <f t="shared" si="40"/>
        <v>17.752099999999999</v>
      </c>
      <c r="AE241">
        <f t="shared" si="41"/>
        <v>9.5293982883999977</v>
      </c>
      <c r="AF241" s="9"/>
      <c r="AG241" s="22">
        <v>1.0632299999999999</v>
      </c>
      <c r="AH241" s="22">
        <v>378.00700000000001</v>
      </c>
      <c r="AI241" s="22">
        <v>-1.7257700000000001E-2</v>
      </c>
      <c r="AJ241" s="22">
        <v>231</v>
      </c>
      <c r="AK241" s="22">
        <v>1.0623199999999999</v>
      </c>
      <c r="AL241">
        <f t="shared" si="42"/>
        <v>17.2577</v>
      </c>
      <c r="AM241">
        <f t="shared" si="43"/>
        <v>18.348904371</v>
      </c>
      <c r="AP241" s="9"/>
      <c r="AQ241" s="22">
        <v>0.53680399999999995</v>
      </c>
      <c r="AR241" s="22">
        <v>513.78599999999994</v>
      </c>
      <c r="AS241" s="22">
        <v>-1.76971E-2</v>
      </c>
      <c r="AT241" s="22">
        <v>231</v>
      </c>
      <c r="AU241" s="22">
        <v>0.53579699999999997</v>
      </c>
      <c r="AV241">
        <f t="shared" si="44"/>
        <v>17.697099999999999</v>
      </c>
      <c r="AW241">
        <f t="shared" si="45"/>
        <v>9.4998740683999987</v>
      </c>
      <c r="AX241" s="9"/>
      <c r="AY241" s="22">
        <v>1.0632299999999999</v>
      </c>
      <c r="AZ241" s="22">
        <v>636.14300000000003</v>
      </c>
      <c r="BA241" s="22">
        <v>-1.7202800000000001E-2</v>
      </c>
      <c r="BB241" s="22">
        <v>231</v>
      </c>
      <c r="BC241" s="22">
        <v>1.0623199999999999</v>
      </c>
      <c r="BD241">
        <f t="shared" si="46"/>
        <v>17.2028</v>
      </c>
      <c r="BE241">
        <f t="shared" si="47"/>
        <v>18.290533043999996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99.625500000000002</v>
      </c>
      <c r="I242" s="22">
        <v>-1.7776500000000001E-2</v>
      </c>
      <c r="J242" s="22">
        <v>232</v>
      </c>
      <c r="K242" s="22">
        <v>0.53100599999999998</v>
      </c>
      <c r="L242">
        <f t="shared" si="36"/>
        <v>17.776500000000002</v>
      </c>
      <c r="M242">
        <f t="shared" si="37"/>
        <v>9.4529916285000013</v>
      </c>
      <c r="N242" s="9"/>
      <c r="O242" s="22">
        <v>1.0682700000000001</v>
      </c>
      <c r="P242" s="22">
        <v>214.542</v>
      </c>
      <c r="Q242" s="22">
        <v>-1.7355300000000001E-2</v>
      </c>
      <c r="R242" s="22">
        <v>232</v>
      </c>
      <c r="S242" s="22">
        <v>1.0674999999999999</v>
      </c>
      <c r="T242">
        <f t="shared" si="38"/>
        <v>17.3553</v>
      </c>
      <c r="U242">
        <f t="shared" si="39"/>
        <v>18.540146330999999</v>
      </c>
      <c r="X242" s="9"/>
      <c r="Y242" s="22">
        <v>0.53176900000000005</v>
      </c>
      <c r="Z242" s="22">
        <v>317.529</v>
      </c>
      <c r="AA242" s="22">
        <v>-1.7755099999999999E-2</v>
      </c>
      <c r="AB242" s="22">
        <v>232</v>
      </c>
      <c r="AC242" s="22">
        <v>0.531281</v>
      </c>
      <c r="AD242">
        <f t="shared" si="40"/>
        <v>17.755099999999999</v>
      </c>
      <c r="AE242">
        <f t="shared" si="41"/>
        <v>9.4416117718999999</v>
      </c>
      <c r="AF242" s="9"/>
      <c r="AG242" s="22">
        <v>1.0682700000000001</v>
      </c>
      <c r="AH242" s="22">
        <v>378.108</v>
      </c>
      <c r="AI242" s="22">
        <v>-1.72455E-2</v>
      </c>
      <c r="AJ242" s="22">
        <v>232</v>
      </c>
      <c r="AK242" s="22">
        <v>1.0671999999999999</v>
      </c>
      <c r="AL242">
        <f t="shared" si="42"/>
        <v>17.2455</v>
      </c>
      <c r="AM242">
        <f t="shared" si="43"/>
        <v>18.422850284999999</v>
      </c>
      <c r="AP242" s="9"/>
      <c r="AQ242" s="22">
        <v>0.53176900000000005</v>
      </c>
      <c r="AR242" s="22">
        <v>513.88599999999997</v>
      </c>
      <c r="AS242" s="22">
        <v>-1.7694100000000001E-2</v>
      </c>
      <c r="AT242" s="22">
        <v>232</v>
      </c>
      <c r="AU242" s="22">
        <v>0.53125</v>
      </c>
      <c r="AV242">
        <f t="shared" si="44"/>
        <v>17.694100000000002</v>
      </c>
      <c r="AW242">
        <f t="shared" si="45"/>
        <v>9.4091738629000012</v>
      </c>
      <c r="AX242" s="9"/>
      <c r="AY242" s="22">
        <v>1.0682700000000001</v>
      </c>
      <c r="AZ242" s="22">
        <v>636.24400000000003</v>
      </c>
      <c r="BA242" s="22">
        <v>-1.7202800000000001E-2</v>
      </c>
      <c r="BB242" s="22">
        <v>232</v>
      </c>
      <c r="BC242" s="22">
        <v>1.0674999999999999</v>
      </c>
      <c r="BD242">
        <f t="shared" si="46"/>
        <v>17.2028</v>
      </c>
      <c r="BE242">
        <f t="shared" si="47"/>
        <v>18.377235156000001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99.726200000000006</v>
      </c>
      <c r="I243" s="22">
        <v>-1.7782599999999999E-2</v>
      </c>
      <c r="J243" s="22">
        <v>233</v>
      </c>
      <c r="K243" s="22">
        <v>0.52609300000000003</v>
      </c>
      <c r="L243">
        <f t="shared" si="36"/>
        <v>17.782599999999999</v>
      </c>
      <c r="M243">
        <f t="shared" si="37"/>
        <v>9.3666822457999999</v>
      </c>
      <c r="N243" s="9"/>
      <c r="O243" s="22">
        <v>1.0732999999999999</v>
      </c>
      <c r="P243" s="22">
        <v>214.643</v>
      </c>
      <c r="Q243" s="22">
        <v>-1.7355300000000001E-2</v>
      </c>
      <c r="R243" s="22">
        <v>233</v>
      </c>
      <c r="S243" s="22">
        <v>1.0726899999999999</v>
      </c>
      <c r="T243">
        <f t="shared" si="38"/>
        <v>17.3553</v>
      </c>
      <c r="U243">
        <f t="shared" si="39"/>
        <v>18.627443489999997</v>
      </c>
      <c r="X243" s="9"/>
      <c r="Y243" s="22">
        <v>0.52673300000000001</v>
      </c>
      <c r="Z243" s="22">
        <v>317.63</v>
      </c>
      <c r="AA243" s="22">
        <v>-1.7749000000000001E-2</v>
      </c>
      <c r="AB243" s="22">
        <v>233</v>
      </c>
      <c r="AC243" s="22">
        <v>0.525787</v>
      </c>
      <c r="AD243">
        <f t="shared" si="40"/>
        <v>17.749000000000002</v>
      </c>
      <c r="AE243">
        <f t="shared" si="41"/>
        <v>9.3489840170000011</v>
      </c>
      <c r="AF243" s="9"/>
      <c r="AG243" s="22">
        <v>1.0732999999999999</v>
      </c>
      <c r="AH243" s="22">
        <v>378.209</v>
      </c>
      <c r="AI243" s="22">
        <v>-1.7251599999999999E-2</v>
      </c>
      <c r="AJ243" s="22">
        <v>233</v>
      </c>
      <c r="AK243" s="22">
        <v>1.07239</v>
      </c>
      <c r="AL243">
        <f t="shared" si="42"/>
        <v>17.2516</v>
      </c>
      <c r="AM243">
        <f t="shared" si="43"/>
        <v>18.516142279999997</v>
      </c>
      <c r="AP243" s="9"/>
      <c r="AQ243" s="22">
        <v>0.52673300000000001</v>
      </c>
      <c r="AR243" s="22">
        <v>513.98699999999997</v>
      </c>
      <c r="AS243" s="22">
        <v>-1.7700199999999999E-2</v>
      </c>
      <c r="AT243" s="22">
        <v>233</v>
      </c>
      <c r="AU243" s="22">
        <v>0.52597000000000005</v>
      </c>
      <c r="AV243">
        <f t="shared" si="44"/>
        <v>17.700199999999999</v>
      </c>
      <c r="AW243">
        <f t="shared" si="45"/>
        <v>9.3232794465999991</v>
      </c>
      <c r="AX243" s="9"/>
      <c r="AY243" s="22">
        <v>1.0732999999999999</v>
      </c>
      <c r="AZ243" s="22">
        <v>636.34400000000005</v>
      </c>
      <c r="BA243" s="22">
        <v>-1.7211899999999999E-2</v>
      </c>
      <c r="BB243" s="22">
        <v>233</v>
      </c>
      <c r="BC243" s="22">
        <v>1.0726899999999999</v>
      </c>
      <c r="BD243">
        <f t="shared" si="46"/>
        <v>17.2119</v>
      </c>
      <c r="BE243">
        <f t="shared" si="47"/>
        <v>18.47353227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99.826899999999995</v>
      </c>
      <c r="I244" s="22">
        <v>-1.7785599999999999E-2</v>
      </c>
      <c r="J244" s="22">
        <v>234</v>
      </c>
      <c r="K244" s="22">
        <v>0.52099600000000001</v>
      </c>
      <c r="L244">
        <f t="shared" si="36"/>
        <v>17.785599999999999</v>
      </c>
      <c r="M244">
        <f t="shared" si="37"/>
        <v>9.2787119487999998</v>
      </c>
      <c r="N244" s="9"/>
      <c r="O244" s="22">
        <v>1.0783400000000001</v>
      </c>
      <c r="P244" s="22">
        <v>214.744</v>
      </c>
      <c r="Q244" s="22">
        <v>-1.7355300000000001E-2</v>
      </c>
      <c r="R244" s="22">
        <v>234</v>
      </c>
      <c r="S244" s="22">
        <v>1.07697</v>
      </c>
      <c r="T244">
        <f t="shared" si="38"/>
        <v>17.3553</v>
      </c>
      <c r="U244">
        <f t="shared" si="39"/>
        <v>18.714914202000003</v>
      </c>
      <c r="X244" s="9"/>
      <c r="Y244" s="22">
        <v>0.521698</v>
      </c>
      <c r="Z244" s="22">
        <v>317.73099999999999</v>
      </c>
      <c r="AA244" s="22">
        <v>-1.7746000000000001E-2</v>
      </c>
      <c r="AB244" s="22">
        <v>234</v>
      </c>
      <c r="AC244" s="22">
        <v>0.521088</v>
      </c>
      <c r="AD244">
        <f t="shared" si="40"/>
        <v>17.746000000000002</v>
      </c>
      <c r="AE244">
        <f t="shared" si="41"/>
        <v>9.258052708000001</v>
      </c>
      <c r="AF244" s="9"/>
      <c r="AG244" s="22">
        <v>1.0783400000000001</v>
      </c>
      <c r="AH244" s="22">
        <v>378.31</v>
      </c>
      <c r="AI244" s="22">
        <v>-1.7239399999999998E-2</v>
      </c>
      <c r="AJ244" s="22">
        <v>234</v>
      </c>
      <c r="AK244" s="22">
        <v>1.07758</v>
      </c>
      <c r="AL244">
        <f t="shared" si="42"/>
        <v>17.2394</v>
      </c>
      <c r="AM244">
        <f t="shared" si="43"/>
        <v>18.589934596000003</v>
      </c>
      <c r="AP244" s="9"/>
      <c r="AQ244" s="22">
        <v>0.521698</v>
      </c>
      <c r="AR244" s="22">
        <v>514.08799999999997</v>
      </c>
      <c r="AS244" s="22">
        <v>-1.76971E-2</v>
      </c>
      <c r="AT244" s="22">
        <v>234</v>
      </c>
      <c r="AU244" s="22">
        <v>0.52111799999999997</v>
      </c>
      <c r="AV244">
        <f t="shared" si="44"/>
        <v>17.697099999999999</v>
      </c>
      <c r="AW244">
        <f t="shared" si="45"/>
        <v>9.2325416757999985</v>
      </c>
      <c r="AX244" s="9"/>
      <c r="AY244" s="22">
        <v>1.0783400000000001</v>
      </c>
      <c r="AZ244" s="22">
        <v>636.44500000000005</v>
      </c>
      <c r="BA244" s="22">
        <v>-1.7196699999999999E-2</v>
      </c>
      <c r="BB244" s="22">
        <v>234</v>
      </c>
      <c r="BC244" s="22">
        <v>1.07758</v>
      </c>
      <c r="BD244">
        <f t="shared" si="46"/>
        <v>17.1967</v>
      </c>
      <c r="BE244">
        <f t="shared" si="47"/>
        <v>18.543889478000001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99.927700000000002</v>
      </c>
      <c r="I245" s="22">
        <v>-1.7791700000000001E-2</v>
      </c>
      <c r="J245" s="22">
        <v>235</v>
      </c>
      <c r="K245" s="22">
        <v>0.51593</v>
      </c>
      <c r="L245">
        <f t="shared" si="36"/>
        <v>17.791700000000002</v>
      </c>
      <c r="M245">
        <f t="shared" si="37"/>
        <v>9.1923130971000013</v>
      </c>
      <c r="N245" s="9"/>
      <c r="O245" s="22">
        <v>1.0833699999999999</v>
      </c>
      <c r="P245" s="22">
        <v>214.845</v>
      </c>
      <c r="Q245" s="22">
        <v>-1.7349199999999999E-2</v>
      </c>
      <c r="R245" s="22">
        <v>235</v>
      </c>
      <c r="S245" s="22">
        <v>1.08246</v>
      </c>
      <c r="T245">
        <f t="shared" si="38"/>
        <v>17.3492</v>
      </c>
      <c r="U245">
        <f t="shared" si="39"/>
        <v>18.795602803999998</v>
      </c>
      <c r="X245" s="9"/>
      <c r="Y245" s="22">
        <v>0.51666299999999998</v>
      </c>
      <c r="Z245" s="22">
        <v>317.83100000000002</v>
      </c>
      <c r="AA245" s="22">
        <v>-1.7718500000000002E-2</v>
      </c>
      <c r="AB245" s="22">
        <v>235</v>
      </c>
      <c r="AC245" s="22">
        <v>0.51599099999999998</v>
      </c>
      <c r="AD245">
        <f t="shared" si="40"/>
        <v>17.718500000000002</v>
      </c>
      <c r="AE245">
        <f t="shared" si="41"/>
        <v>9.1544933655000005</v>
      </c>
      <c r="AF245" s="9"/>
      <c r="AG245" s="22">
        <v>1.0833699999999999</v>
      </c>
      <c r="AH245" s="22">
        <v>378.41</v>
      </c>
      <c r="AI245" s="22">
        <v>-1.72333E-2</v>
      </c>
      <c r="AJ245" s="22">
        <v>235</v>
      </c>
      <c r="AK245" s="22">
        <v>1.08185</v>
      </c>
      <c r="AL245">
        <f t="shared" si="42"/>
        <v>17.2333</v>
      </c>
      <c r="AM245">
        <f t="shared" si="43"/>
        <v>18.670040220999997</v>
      </c>
      <c r="AP245" s="9"/>
      <c r="AQ245" s="22">
        <v>0.51666299999999998</v>
      </c>
      <c r="AR245" s="22">
        <v>514.18899999999996</v>
      </c>
      <c r="AS245" s="22">
        <v>-1.77124E-2</v>
      </c>
      <c r="AT245" s="22">
        <v>235</v>
      </c>
      <c r="AU245" s="22">
        <v>0.51605199999999996</v>
      </c>
      <c r="AV245">
        <f t="shared" si="44"/>
        <v>17.712399999999999</v>
      </c>
      <c r="AW245">
        <f t="shared" si="45"/>
        <v>9.1513417211999997</v>
      </c>
      <c r="AX245" s="9"/>
      <c r="AY245" s="22">
        <v>1.0833699999999999</v>
      </c>
      <c r="AZ245" s="22">
        <v>636.54600000000005</v>
      </c>
      <c r="BA245" s="22">
        <v>-1.7184399999999999E-2</v>
      </c>
      <c r="BB245" s="22">
        <v>235</v>
      </c>
      <c r="BC245" s="22">
        <v>1.08246</v>
      </c>
      <c r="BD245">
        <f t="shared" si="46"/>
        <v>17.1844</v>
      </c>
      <c r="BE245">
        <f t="shared" si="47"/>
        <v>18.617063427999998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100.02800000000001</v>
      </c>
      <c r="I246" s="22">
        <v>-1.7800900000000001E-2</v>
      </c>
      <c r="J246" s="22">
        <v>236</v>
      </c>
      <c r="K246" s="22">
        <v>0.51092499999999996</v>
      </c>
      <c r="L246">
        <f t="shared" si="36"/>
        <v>17.800900000000002</v>
      </c>
      <c r="M246">
        <f t="shared" si="37"/>
        <v>9.1074210643000022</v>
      </c>
      <c r="N246" s="9"/>
      <c r="O246" s="22">
        <v>1.0884100000000001</v>
      </c>
      <c r="P246" s="22">
        <v>214.94499999999999</v>
      </c>
      <c r="Q246" s="22">
        <v>-1.7349199999999999E-2</v>
      </c>
      <c r="R246" s="22">
        <v>236</v>
      </c>
      <c r="S246" s="22">
        <v>1.08734</v>
      </c>
      <c r="T246">
        <f t="shared" si="38"/>
        <v>17.3492</v>
      </c>
      <c r="U246">
        <f t="shared" si="39"/>
        <v>18.883042772000003</v>
      </c>
      <c r="X246" s="9"/>
      <c r="Y246" s="22">
        <v>0.51162700000000005</v>
      </c>
      <c r="Z246" s="22">
        <v>317.93200000000002</v>
      </c>
      <c r="AA246" s="22">
        <v>-1.77246E-2</v>
      </c>
      <c r="AB246" s="22">
        <v>236</v>
      </c>
      <c r="AC246" s="22">
        <v>0.51104700000000003</v>
      </c>
      <c r="AD246">
        <f t="shared" si="40"/>
        <v>17.724599999999999</v>
      </c>
      <c r="AE246">
        <f t="shared" si="41"/>
        <v>9.0683839242000008</v>
      </c>
      <c r="AF246" s="9"/>
      <c r="AG246" s="22">
        <v>1.0884100000000001</v>
      </c>
      <c r="AH246" s="22">
        <v>378.51100000000002</v>
      </c>
      <c r="AI246" s="22">
        <v>-1.72211E-2</v>
      </c>
      <c r="AJ246" s="22">
        <v>236</v>
      </c>
      <c r="AK246" s="22">
        <v>1.08704</v>
      </c>
      <c r="AL246">
        <f t="shared" si="42"/>
        <v>17.2211</v>
      </c>
      <c r="AM246">
        <f t="shared" si="43"/>
        <v>18.743617451000002</v>
      </c>
      <c r="AP246" s="9"/>
      <c r="AQ246" s="22">
        <v>0.51162700000000005</v>
      </c>
      <c r="AR246" s="22">
        <v>514.28899999999999</v>
      </c>
      <c r="AS246" s="22">
        <v>-1.77094E-2</v>
      </c>
      <c r="AT246" s="22">
        <v>236</v>
      </c>
      <c r="AU246" s="22">
        <v>0.51080300000000001</v>
      </c>
      <c r="AV246">
        <f t="shared" si="44"/>
        <v>17.709399999999999</v>
      </c>
      <c r="AW246">
        <f t="shared" si="45"/>
        <v>9.060607193800001</v>
      </c>
      <c r="AX246" s="9"/>
      <c r="AY246" s="22">
        <v>1.0884100000000001</v>
      </c>
      <c r="AZ246" s="22">
        <v>636.64599999999996</v>
      </c>
      <c r="BA246" s="22">
        <v>-1.7178300000000001E-2</v>
      </c>
      <c r="BB246" s="22">
        <v>236</v>
      </c>
      <c r="BC246" s="22">
        <v>1.08673</v>
      </c>
      <c r="BD246">
        <f t="shared" si="46"/>
        <v>17.1783</v>
      </c>
      <c r="BE246">
        <f t="shared" si="47"/>
        <v>18.697033503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100.129</v>
      </c>
      <c r="I247" s="22">
        <v>-1.77948E-2</v>
      </c>
      <c r="J247" s="22">
        <v>237</v>
      </c>
      <c r="K247" s="22">
        <v>0.50601200000000002</v>
      </c>
      <c r="L247">
        <f t="shared" si="36"/>
        <v>17.794799999999999</v>
      </c>
      <c r="M247">
        <f t="shared" si="37"/>
        <v>9.0147033216000008</v>
      </c>
      <c r="N247" s="9"/>
      <c r="O247" s="22">
        <v>1.09344</v>
      </c>
      <c r="P247" s="22">
        <v>215.04599999999999</v>
      </c>
      <c r="Q247" s="22">
        <v>-1.73431E-2</v>
      </c>
      <c r="R247" s="22">
        <v>237</v>
      </c>
      <c r="S247" s="22">
        <v>1.08246</v>
      </c>
      <c r="T247">
        <f t="shared" si="38"/>
        <v>17.3431</v>
      </c>
      <c r="U247">
        <f t="shared" si="39"/>
        <v>18.963639263999998</v>
      </c>
      <c r="X247" s="9"/>
      <c r="Y247" s="22">
        <v>0.50659200000000004</v>
      </c>
      <c r="Z247" s="22">
        <v>318.03300000000002</v>
      </c>
      <c r="AA247" s="22">
        <v>-1.7730699999999999E-2</v>
      </c>
      <c r="AB247" s="22">
        <v>237</v>
      </c>
      <c r="AC247" s="22">
        <v>0.50616499999999998</v>
      </c>
      <c r="AD247">
        <f t="shared" si="40"/>
        <v>17.730699999999999</v>
      </c>
      <c r="AE247">
        <f t="shared" si="41"/>
        <v>8.9822307743999996</v>
      </c>
      <c r="AF247" s="9"/>
      <c r="AG247" s="22">
        <v>1.09344</v>
      </c>
      <c r="AH247" s="22">
        <v>378.61200000000002</v>
      </c>
      <c r="AI247" s="22">
        <v>-1.7211899999999999E-2</v>
      </c>
      <c r="AJ247" s="22">
        <v>237</v>
      </c>
      <c r="AK247" s="22">
        <v>1.09192</v>
      </c>
      <c r="AL247">
        <f t="shared" si="42"/>
        <v>17.2119</v>
      </c>
      <c r="AM247">
        <f t="shared" si="43"/>
        <v>18.820179935999999</v>
      </c>
      <c r="AP247" s="9"/>
      <c r="AQ247" s="22">
        <v>0.50659200000000004</v>
      </c>
      <c r="AR247" s="22">
        <v>514.39</v>
      </c>
      <c r="AS247" s="22">
        <v>-1.77094E-2</v>
      </c>
      <c r="AT247" s="22">
        <v>237</v>
      </c>
      <c r="AU247" s="22">
        <v>0.50601200000000002</v>
      </c>
      <c r="AV247">
        <f t="shared" si="44"/>
        <v>17.709399999999999</v>
      </c>
      <c r="AW247">
        <f t="shared" si="45"/>
        <v>8.9714403647999994</v>
      </c>
      <c r="AX247" s="9"/>
      <c r="AY247" s="22">
        <v>1.09344</v>
      </c>
      <c r="AZ247" s="22">
        <v>636.74699999999996</v>
      </c>
      <c r="BA247" s="22">
        <v>-1.71661E-2</v>
      </c>
      <c r="BB247" s="22">
        <v>237</v>
      </c>
      <c r="BC247" s="22">
        <v>1.09253</v>
      </c>
      <c r="BD247">
        <f t="shared" si="46"/>
        <v>17.1661</v>
      </c>
      <c r="BE247">
        <f t="shared" si="47"/>
        <v>18.770100383999999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100.23</v>
      </c>
      <c r="I248" s="22">
        <v>-1.7800900000000001E-2</v>
      </c>
      <c r="J248" s="22">
        <v>238</v>
      </c>
      <c r="K248" s="22">
        <v>0.50097700000000001</v>
      </c>
      <c r="L248">
        <f t="shared" si="36"/>
        <v>17.800900000000002</v>
      </c>
      <c r="M248">
        <f t="shared" si="37"/>
        <v>8.9281482004000008</v>
      </c>
      <c r="N248" s="9"/>
      <c r="O248" s="22">
        <v>1.0984799999999999</v>
      </c>
      <c r="P248" s="22">
        <v>215.14699999999999</v>
      </c>
      <c r="Q248" s="22">
        <v>-1.7355300000000001E-2</v>
      </c>
      <c r="R248" s="22">
        <v>238</v>
      </c>
      <c r="S248" s="22">
        <v>1.09772</v>
      </c>
      <c r="T248">
        <f t="shared" si="38"/>
        <v>17.3553</v>
      </c>
      <c r="U248">
        <f t="shared" si="39"/>
        <v>19.064449944</v>
      </c>
      <c r="X248" s="9"/>
      <c r="Y248" s="22">
        <v>0.501556</v>
      </c>
      <c r="Z248" s="22">
        <v>318.13299999999998</v>
      </c>
      <c r="AA248" s="22">
        <v>-1.77368E-2</v>
      </c>
      <c r="AB248" s="22">
        <v>238</v>
      </c>
      <c r="AC248" s="22">
        <v>0.50091600000000003</v>
      </c>
      <c r="AD248">
        <f t="shared" si="40"/>
        <v>17.736799999999999</v>
      </c>
      <c r="AE248">
        <f t="shared" si="41"/>
        <v>8.8959984607999996</v>
      </c>
      <c r="AF248" s="9"/>
      <c r="AG248" s="22">
        <v>1.0984799999999999</v>
      </c>
      <c r="AH248" s="22">
        <v>378.71199999999999</v>
      </c>
      <c r="AI248" s="22">
        <v>-1.72058E-2</v>
      </c>
      <c r="AJ248" s="22">
        <v>238</v>
      </c>
      <c r="AK248" s="22">
        <v>1.0968</v>
      </c>
      <c r="AL248">
        <f t="shared" si="42"/>
        <v>17.2058</v>
      </c>
      <c r="AM248">
        <f t="shared" si="43"/>
        <v>18.900227183999998</v>
      </c>
      <c r="AP248" s="9"/>
      <c r="AQ248" s="22">
        <v>0.501556</v>
      </c>
      <c r="AR248" s="22">
        <v>514.49099999999999</v>
      </c>
      <c r="AS248" s="22">
        <v>-1.77124E-2</v>
      </c>
      <c r="AT248" s="22">
        <v>238</v>
      </c>
      <c r="AU248" s="22">
        <v>0.50079300000000004</v>
      </c>
      <c r="AV248">
        <f t="shared" si="44"/>
        <v>17.712399999999999</v>
      </c>
      <c r="AW248">
        <f t="shared" si="45"/>
        <v>8.8837604943999988</v>
      </c>
      <c r="AX248" s="9"/>
      <c r="AY248" s="22">
        <v>1.0984799999999999</v>
      </c>
      <c r="AZ248" s="22">
        <v>636.84799999999996</v>
      </c>
      <c r="BA248" s="22">
        <v>-1.71661E-2</v>
      </c>
      <c r="BB248" s="22">
        <v>238</v>
      </c>
      <c r="BC248" s="22">
        <v>1.09833</v>
      </c>
      <c r="BD248">
        <f t="shared" si="46"/>
        <v>17.1661</v>
      </c>
      <c r="BE248">
        <f t="shared" si="47"/>
        <v>18.856617527999997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100.33</v>
      </c>
      <c r="I249" s="22">
        <v>-1.7807E-2</v>
      </c>
      <c r="J249" s="22">
        <v>239</v>
      </c>
      <c r="K249" s="22">
        <v>0.49606299999999998</v>
      </c>
      <c r="L249">
        <f t="shared" si="36"/>
        <v>17.806999999999999</v>
      </c>
      <c r="M249">
        <f t="shared" si="37"/>
        <v>8.8415494469999985</v>
      </c>
      <c r="N249" s="9"/>
      <c r="O249" s="22">
        <v>1.1035200000000001</v>
      </c>
      <c r="P249" s="22">
        <v>215.24700000000001</v>
      </c>
      <c r="Q249" s="22">
        <v>-1.73309E-2</v>
      </c>
      <c r="R249" s="22">
        <v>239</v>
      </c>
      <c r="S249" s="22">
        <v>1.1245700000000001</v>
      </c>
      <c r="T249">
        <f t="shared" si="38"/>
        <v>17.3309</v>
      </c>
      <c r="U249">
        <f t="shared" si="39"/>
        <v>19.124994768000001</v>
      </c>
      <c r="X249" s="9"/>
      <c r="Y249" s="22">
        <v>0.49652099999999999</v>
      </c>
      <c r="Z249" s="22">
        <v>318.23399999999998</v>
      </c>
      <c r="AA249" s="22">
        <v>-1.77368E-2</v>
      </c>
      <c r="AB249" s="22">
        <v>239</v>
      </c>
      <c r="AC249" s="22">
        <v>0.49597200000000002</v>
      </c>
      <c r="AD249">
        <f t="shared" si="40"/>
        <v>17.736799999999999</v>
      </c>
      <c r="AE249">
        <f t="shared" si="41"/>
        <v>8.8066936727999998</v>
      </c>
      <c r="AF249" s="9"/>
      <c r="AG249" s="22">
        <v>1.1035200000000001</v>
      </c>
      <c r="AH249" s="22">
        <v>378.81299999999999</v>
      </c>
      <c r="AI249" s="22">
        <v>-1.7202800000000001E-2</v>
      </c>
      <c r="AJ249" s="22">
        <v>239</v>
      </c>
      <c r="AK249" s="22">
        <v>1.1026</v>
      </c>
      <c r="AL249">
        <f t="shared" si="42"/>
        <v>17.2028</v>
      </c>
      <c r="AM249">
        <f t="shared" si="43"/>
        <v>18.983633856000001</v>
      </c>
      <c r="AP249" s="9"/>
      <c r="AQ249" s="22">
        <v>0.49652099999999999</v>
      </c>
      <c r="AR249" s="22">
        <v>514.59100000000001</v>
      </c>
      <c r="AS249" s="22">
        <v>-1.77124E-2</v>
      </c>
      <c r="AT249" s="22">
        <v>239</v>
      </c>
      <c r="AU249" s="22">
        <v>0.49578899999999998</v>
      </c>
      <c r="AV249">
        <f t="shared" si="44"/>
        <v>17.712399999999999</v>
      </c>
      <c r="AW249">
        <f t="shared" si="45"/>
        <v>8.7945785603999997</v>
      </c>
      <c r="AX249" s="9"/>
      <c r="AY249" s="22">
        <v>1.1035200000000001</v>
      </c>
      <c r="AZ249" s="22">
        <v>636.94899999999996</v>
      </c>
      <c r="BA249" s="22">
        <v>-1.71661E-2</v>
      </c>
      <c r="BB249" s="22">
        <v>239</v>
      </c>
      <c r="BC249" s="22">
        <v>1.1029100000000001</v>
      </c>
      <c r="BD249">
        <f t="shared" si="46"/>
        <v>17.1661</v>
      </c>
      <c r="BE249">
        <f t="shared" si="47"/>
        <v>18.943134672000003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100.431</v>
      </c>
      <c r="I250" s="22">
        <v>-1.7813099999999998E-2</v>
      </c>
      <c r="J250" s="22">
        <v>240</v>
      </c>
      <c r="K250" s="22">
        <v>0.49084499999999998</v>
      </c>
      <c r="L250">
        <f t="shared" si="36"/>
        <v>17.813099999999999</v>
      </c>
      <c r="M250">
        <f t="shared" si="37"/>
        <v>8.7548892665999993</v>
      </c>
      <c r="N250" s="9"/>
      <c r="O250" s="22">
        <v>1.1085499999999999</v>
      </c>
      <c r="P250" s="22">
        <v>215.34800000000001</v>
      </c>
      <c r="Q250" s="22">
        <v>-1.73309E-2</v>
      </c>
      <c r="R250" s="22">
        <v>240</v>
      </c>
      <c r="S250" s="22">
        <v>1.1029100000000001</v>
      </c>
      <c r="T250">
        <f t="shared" si="38"/>
        <v>17.3309</v>
      </c>
      <c r="U250">
        <f t="shared" si="39"/>
        <v>19.212169194999998</v>
      </c>
      <c r="X250" s="9"/>
      <c r="Y250" s="22">
        <v>0.49148599999999998</v>
      </c>
      <c r="Z250" s="22">
        <v>318.33499999999998</v>
      </c>
      <c r="AA250" s="22">
        <v>-1.7730699999999999E-2</v>
      </c>
      <c r="AB250" s="22">
        <v>240</v>
      </c>
      <c r="AC250" s="22">
        <v>0.49099700000000002</v>
      </c>
      <c r="AD250">
        <f t="shared" si="40"/>
        <v>17.730699999999999</v>
      </c>
      <c r="AE250">
        <f t="shared" si="41"/>
        <v>8.7143908201999984</v>
      </c>
      <c r="AF250" s="9"/>
      <c r="AG250" s="22">
        <v>1.1085499999999999</v>
      </c>
      <c r="AH250" s="22">
        <v>378.91399999999999</v>
      </c>
      <c r="AI250" s="22">
        <v>-1.71906E-2</v>
      </c>
      <c r="AJ250" s="22">
        <v>240</v>
      </c>
      <c r="AK250" s="22">
        <v>1.10748</v>
      </c>
      <c r="AL250">
        <f t="shared" si="42"/>
        <v>17.1906</v>
      </c>
      <c r="AM250">
        <f t="shared" si="43"/>
        <v>19.056639629999999</v>
      </c>
      <c r="AP250" s="9"/>
      <c r="AQ250" s="22">
        <v>0.49148599999999998</v>
      </c>
      <c r="AR250" s="22">
        <v>514.69200000000001</v>
      </c>
      <c r="AS250" s="22">
        <v>-1.77094E-2</v>
      </c>
      <c r="AT250" s="22">
        <v>240</v>
      </c>
      <c r="AU250" s="22">
        <v>0.49057000000000001</v>
      </c>
      <c r="AV250">
        <f t="shared" si="44"/>
        <v>17.709399999999999</v>
      </c>
      <c r="AW250">
        <f t="shared" si="45"/>
        <v>8.7039221683999983</v>
      </c>
      <c r="AX250" s="9"/>
      <c r="AY250" s="22">
        <v>1.1085499999999999</v>
      </c>
      <c r="AZ250" s="22">
        <v>637.04899999999998</v>
      </c>
      <c r="BA250" s="22">
        <v>-1.7141699999999999E-2</v>
      </c>
      <c r="BB250" s="22">
        <v>240</v>
      </c>
      <c r="BC250" s="22">
        <v>1.10748</v>
      </c>
      <c r="BD250">
        <f t="shared" si="46"/>
        <v>17.1417</v>
      </c>
      <c r="BE250">
        <f t="shared" si="47"/>
        <v>19.002431534999999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100.532</v>
      </c>
      <c r="I251" s="22">
        <v>-1.7828400000000001E-2</v>
      </c>
      <c r="J251" s="22">
        <v>241</v>
      </c>
      <c r="K251" s="22">
        <v>0.485931</v>
      </c>
      <c r="L251">
        <f t="shared" si="36"/>
        <v>17.828400000000002</v>
      </c>
      <c r="M251">
        <f t="shared" si="37"/>
        <v>8.6726251800000007</v>
      </c>
      <c r="N251" s="9"/>
      <c r="O251" s="22">
        <v>1.1135900000000001</v>
      </c>
      <c r="P251" s="22">
        <v>215.44900000000001</v>
      </c>
      <c r="Q251" s="22">
        <v>-1.7309600000000001E-2</v>
      </c>
      <c r="R251" s="22">
        <v>241</v>
      </c>
      <c r="S251" s="22">
        <v>1.1129800000000001</v>
      </c>
      <c r="T251">
        <f t="shared" si="38"/>
        <v>17.3096</v>
      </c>
      <c r="U251">
        <f t="shared" si="39"/>
        <v>19.275797464</v>
      </c>
      <c r="X251" s="9"/>
      <c r="Y251" s="22">
        <v>0.48644999999999999</v>
      </c>
      <c r="Z251" s="22">
        <v>318.43599999999998</v>
      </c>
      <c r="AA251" s="22">
        <v>-1.7746000000000001E-2</v>
      </c>
      <c r="AB251" s="22">
        <v>241</v>
      </c>
      <c r="AC251" s="22">
        <v>0.48544300000000001</v>
      </c>
      <c r="AD251">
        <f t="shared" si="40"/>
        <v>17.746000000000002</v>
      </c>
      <c r="AE251">
        <f t="shared" si="41"/>
        <v>8.6325417000000009</v>
      </c>
      <c r="AF251" s="9"/>
      <c r="AG251" s="22">
        <v>1.1135900000000001</v>
      </c>
      <c r="AH251" s="22">
        <v>379.01499999999999</v>
      </c>
      <c r="AI251" s="22">
        <v>-1.7175300000000001E-2</v>
      </c>
      <c r="AJ251" s="22">
        <v>241</v>
      </c>
      <c r="AK251" s="22">
        <v>1.11267</v>
      </c>
      <c r="AL251">
        <f t="shared" si="42"/>
        <v>17.1753</v>
      </c>
      <c r="AM251">
        <f t="shared" si="43"/>
        <v>19.126242327</v>
      </c>
      <c r="AP251" s="9"/>
      <c r="AQ251" s="22">
        <v>0.48644999999999999</v>
      </c>
      <c r="AR251" s="22">
        <v>514.79300000000001</v>
      </c>
      <c r="AS251" s="22">
        <v>-1.77246E-2</v>
      </c>
      <c r="AT251" s="22">
        <v>241</v>
      </c>
      <c r="AU251" s="22">
        <v>0.48587000000000002</v>
      </c>
      <c r="AV251">
        <f t="shared" si="44"/>
        <v>17.724599999999999</v>
      </c>
      <c r="AW251">
        <f t="shared" si="45"/>
        <v>8.6221316699999999</v>
      </c>
      <c r="AX251" s="9"/>
      <c r="AY251" s="22">
        <v>1.1135900000000001</v>
      </c>
      <c r="AZ251" s="22">
        <v>637.15</v>
      </c>
      <c r="BA251" s="22">
        <v>-1.7144800000000002E-2</v>
      </c>
      <c r="BB251" s="22">
        <v>241</v>
      </c>
      <c r="BC251" s="22">
        <v>1.1129800000000001</v>
      </c>
      <c r="BD251">
        <f t="shared" si="46"/>
        <v>17.1448</v>
      </c>
      <c r="BE251">
        <f t="shared" si="47"/>
        <v>19.092277832000001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100.633</v>
      </c>
      <c r="I252" s="22">
        <v>-1.7831400000000001E-2</v>
      </c>
      <c r="J252" s="22">
        <v>242</v>
      </c>
      <c r="K252" s="22">
        <v>0.480682</v>
      </c>
      <c r="L252">
        <f t="shared" si="36"/>
        <v>17.831400000000002</v>
      </c>
      <c r="M252">
        <f t="shared" si="37"/>
        <v>8.5843034310000004</v>
      </c>
      <c r="N252" s="9"/>
      <c r="O252" s="22">
        <v>1.1186199999999999</v>
      </c>
      <c r="P252" s="22">
        <v>215.55</v>
      </c>
      <c r="Q252" s="22">
        <v>-1.7312600000000001E-2</v>
      </c>
      <c r="R252" s="22">
        <v>242</v>
      </c>
      <c r="S252" s="22">
        <v>1.1190800000000001</v>
      </c>
      <c r="T252">
        <f t="shared" si="38"/>
        <v>17.3126</v>
      </c>
      <c r="U252">
        <f t="shared" si="39"/>
        <v>19.366220611999999</v>
      </c>
      <c r="X252" s="9"/>
      <c r="Y252" s="22">
        <v>0.48141499999999998</v>
      </c>
      <c r="Z252" s="22">
        <v>318.536</v>
      </c>
      <c r="AA252" s="22">
        <v>-1.7755099999999999E-2</v>
      </c>
      <c r="AB252" s="22">
        <v>242</v>
      </c>
      <c r="AC252" s="22">
        <v>0.48095700000000002</v>
      </c>
      <c r="AD252">
        <f t="shared" si="40"/>
        <v>17.755099999999999</v>
      </c>
      <c r="AE252">
        <f t="shared" si="41"/>
        <v>8.5475714664999991</v>
      </c>
      <c r="AF252" s="9"/>
      <c r="AG252" s="22">
        <v>1.1186199999999999</v>
      </c>
      <c r="AH252" s="22">
        <v>379.11500000000001</v>
      </c>
      <c r="AI252" s="22">
        <v>-1.7169199999999999E-2</v>
      </c>
      <c r="AJ252" s="22">
        <v>242</v>
      </c>
      <c r="AK252" s="22">
        <v>1.1178600000000001</v>
      </c>
      <c r="AL252">
        <f t="shared" si="42"/>
        <v>17.1692</v>
      </c>
      <c r="AM252">
        <f t="shared" si="43"/>
        <v>19.205810503999999</v>
      </c>
      <c r="AP252" s="9"/>
      <c r="AQ252" s="22">
        <v>0.48141499999999998</v>
      </c>
      <c r="AR252" s="22">
        <v>514.89400000000001</v>
      </c>
      <c r="AS252" s="22">
        <v>-1.7727699999999999E-2</v>
      </c>
      <c r="AT252" s="22">
        <v>242</v>
      </c>
      <c r="AU252" s="22">
        <v>0.48083500000000001</v>
      </c>
      <c r="AV252">
        <f t="shared" si="44"/>
        <v>17.727699999999999</v>
      </c>
      <c r="AW252">
        <f t="shared" si="45"/>
        <v>8.5343806954999994</v>
      </c>
      <c r="AX252" s="9"/>
      <c r="AY252" s="22">
        <v>1.1186199999999999</v>
      </c>
      <c r="AZ252" s="22">
        <v>637.25099999999998</v>
      </c>
      <c r="BA252" s="22">
        <v>-1.7147800000000001E-2</v>
      </c>
      <c r="BB252" s="22">
        <v>242</v>
      </c>
      <c r="BC252" s="22">
        <v>1.11755</v>
      </c>
      <c r="BD252">
        <f t="shared" si="46"/>
        <v>17.1478</v>
      </c>
      <c r="BE252">
        <f t="shared" si="47"/>
        <v>19.181872035999998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100.733</v>
      </c>
      <c r="I253" s="22">
        <v>-1.7825299999999999E-2</v>
      </c>
      <c r="J253" s="22">
        <v>243</v>
      </c>
      <c r="K253" s="22">
        <v>0.47592200000000001</v>
      </c>
      <c r="L253">
        <f t="shared" si="36"/>
        <v>17.825299999999999</v>
      </c>
      <c r="M253">
        <f t="shared" si="37"/>
        <v>8.4915985886999987</v>
      </c>
      <c r="N253" s="9"/>
      <c r="O253" s="22">
        <v>1.1236600000000001</v>
      </c>
      <c r="P253" s="22">
        <v>215.65</v>
      </c>
      <c r="Q253" s="22">
        <v>-1.7294299999999999E-2</v>
      </c>
      <c r="R253" s="22">
        <v>243</v>
      </c>
      <c r="S253" s="22">
        <v>1.1282300000000001</v>
      </c>
      <c r="T253">
        <f t="shared" si="38"/>
        <v>17.2943</v>
      </c>
      <c r="U253">
        <f t="shared" si="39"/>
        <v>19.432913138</v>
      </c>
      <c r="X253" s="9"/>
      <c r="Y253" s="22">
        <v>0.476379</v>
      </c>
      <c r="Z253" s="22">
        <v>318.637</v>
      </c>
      <c r="AA253" s="22">
        <v>-1.7761200000000001E-2</v>
      </c>
      <c r="AB253" s="22">
        <v>243</v>
      </c>
      <c r="AC253" s="22">
        <v>0.47555500000000001</v>
      </c>
      <c r="AD253">
        <f t="shared" si="40"/>
        <v>17.761200000000002</v>
      </c>
      <c r="AE253">
        <f t="shared" si="41"/>
        <v>8.4610626948000007</v>
      </c>
      <c r="AF253" s="9"/>
      <c r="AG253" s="22">
        <v>1.1236600000000001</v>
      </c>
      <c r="AH253" s="22">
        <v>379.21600000000001</v>
      </c>
      <c r="AI253" s="22">
        <v>-1.7172199999999999E-2</v>
      </c>
      <c r="AJ253" s="22">
        <v>243</v>
      </c>
      <c r="AK253" s="22">
        <v>1.1227400000000001</v>
      </c>
      <c r="AL253">
        <f t="shared" si="42"/>
        <v>17.1722</v>
      </c>
      <c r="AM253">
        <f t="shared" si="43"/>
        <v>19.295714252000003</v>
      </c>
      <c r="AP253" s="9"/>
      <c r="AQ253" s="22">
        <v>0.476379</v>
      </c>
      <c r="AR253" s="22">
        <v>514.99400000000003</v>
      </c>
      <c r="AS253" s="22">
        <v>-1.7730699999999999E-2</v>
      </c>
      <c r="AT253" s="22">
        <v>243</v>
      </c>
      <c r="AU253" s="22">
        <v>0.47592200000000001</v>
      </c>
      <c r="AV253">
        <f t="shared" si="44"/>
        <v>17.730699999999999</v>
      </c>
      <c r="AW253">
        <f t="shared" si="45"/>
        <v>8.4465331352999993</v>
      </c>
      <c r="AX253" s="9"/>
      <c r="AY253" s="22">
        <v>1.1236600000000001</v>
      </c>
      <c r="AZ253" s="22">
        <v>637.351</v>
      </c>
      <c r="BA253" s="22">
        <v>-1.7147800000000001E-2</v>
      </c>
      <c r="BB253" s="22">
        <v>243</v>
      </c>
      <c r="BC253" s="22">
        <v>1.1230500000000001</v>
      </c>
      <c r="BD253">
        <f t="shared" si="46"/>
        <v>17.1478</v>
      </c>
      <c r="BE253">
        <f t="shared" si="47"/>
        <v>19.268296948000003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100.834</v>
      </c>
      <c r="I254" s="22">
        <v>-1.7828400000000001E-2</v>
      </c>
      <c r="J254" s="22">
        <v>244</v>
      </c>
      <c r="K254" s="22">
        <v>0.470856</v>
      </c>
      <c r="L254">
        <f t="shared" si="36"/>
        <v>17.828400000000002</v>
      </c>
      <c r="M254">
        <f t="shared" si="37"/>
        <v>8.4033093696000005</v>
      </c>
      <c r="N254" s="9"/>
      <c r="O254" s="22">
        <v>1.12869</v>
      </c>
      <c r="P254" s="22">
        <v>215.751</v>
      </c>
      <c r="Q254" s="22">
        <v>-1.7294299999999999E-2</v>
      </c>
      <c r="R254" s="22">
        <v>244</v>
      </c>
      <c r="S254" s="22">
        <v>1.1276200000000001</v>
      </c>
      <c r="T254">
        <f t="shared" si="38"/>
        <v>17.2943</v>
      </c>
      <c r="U254">
        <f t="shared" si="39"/>
        <v>19.519903466999999</v>
      </c>
      <c r="X254" s="9"/>
      <c r="Y254" s="22">
        <v>0.47134399999999999</v>
      </c>
      <c r="Z254" s="22">
        <v>318.738</v>
      </c>
      <c r="AA254" s="22">
        <v>-1.7761200000000001E-2</v>
      </c>
      <c r="AB254" s="22">
        <v>244</v>
      </c>
      <c r="AC254" s="22">
        <v>0.470856</v>
      </c>
      <c r="AD254">
        <f t="shared" si="40"/>
        <v>17.761200000000002</v>
      </c>
      <c r="AE254">
        <f t="shared" si="41"/>
        <v>8.3716350528000003</v>
      </c>
      <c r="AF254" s="9"/>
      <c r="AG254" s="22">
        <v>1.12869</v>
      </c>
      <c r="AH254" s="22">
        <v>379.31700000000001</v>
      </c>
      <c r="AI254" s="22">
        <v>-1.71661E-2</v>
      </c>
      <c r="AJ254" s="22">
        <v>244</v>
      </c>
      <c r="AK254" s="22">
        <v>1.1279300000000001</v>
      </c>
      <c r="AL254">
        <f t="shared" si="42"/>
        <v>17.1661</v>
      </c>
      <c r="AM254">
        <f t="shared" si="43"/>
        <v>19.375205408999999</v>
      </c>
      <c r="AP254" s="9"/>
      <c r="AQ254" s="22">
        <v>0.47134399999999999</v>
      </c>
      <c r="AR254" s="22">
        <v>515.09500000000003</v>
      </c>
      <c r="AS254" s="22">
        <v>-1.7727699999999999E-2</v>
      </c>
      <c r="AT254" s="22">
        <v>244</v>
      </c>
      <c r="AU254" s="22">
        <v>0.470642</v>
      </c>
      <c r="AV254">
        <f t="shared" si="44"/>
        <v>17.727699999999999</v>
      </c>
      <c r="AW254">
        <f t="shared" si="45"/>
        <v>8.3558450287999992</v>
      </c>
      <c r="AX254" s="9"/>
      <c r="AY254" s="22">
        <v>1.12869</v>
      </c>
      <c r="AZ254" s="22">
        <v>637.452</v>
      </c>
      <c r="BA254" s="22">
        <v>-1.71387E-2</v>
      </c>
      <c r="BB254" s="22">
        <v>244</v>
      </c>
      <c r="BC254" s="22">
        <v>1.1279300000000001</v>
      </c>
      <c r="BD254">
        <f t="shared" si="46"/>
        <v>17.1387</v>
      </c>
      <c r="BE254">
        <f t="shared" si="47"/>
        <v>19.344279303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100.935</v>
      </c>
      <c r="I255" s="22">
        <v>-1.7822299999999999E-2</v>
      </c>
      <c r="J255" s="22">
        <v>245</v>
      </c>
      <c r="K255" s="22">
        <v>0.46566800000000003</v>
      </c>
      <c r="L255">
        <f t="shared" si="36"/>
        <v>17.822299999999998</v>
      </c>
      <c r="M255">
        <f t="shared" si="37"/>
        <v>8.3106988906999995</v>
      </c>
      <c r="N255" s="9"/>
      <c r="O255" s="22">
        <v>1.1337299999999999</v>
      </c>
      <c r="P255" s="22">
        <v>215.852</v>
      </c>
      <c r="Q255" s="22">
        <v>-1.7282100000000002E-2</v>
      </c>
      <c r="R255" s="22">
        <v>245</v>
      </c>
      <c r="S255" s="22">
        <v>1.1328100000000001</v>
      </c>
      <c r="T255">
        <f t="shared" si="38"/>
        <v>17.282100000000003</v>
      </c>
      <c r="U255">
        <f t="shared" si="39"/>
        <v>19.593235233000001</v>
      </c>
      <c r="X255" s="9"/>
      <c r="Y255" s="22">
        <v>0.46630899999999997</v>
      </c>
      <c r="Z255" s="22">
        <v>318.83800000000002</v>
      </c>
      <c r="AA255" s="22">
        <v>-1.7755099999999999E-2</v>
      </c>
      <c r="AB255" s="22">
        <v>245</v>
      </c>
      <c r="AC255" s="22">
        <v>0.465698</v>
      </c>
      <c r="AD255">
        <f t="shared" si="40"/>
        <v>17.755099999999999</v>
      </c>
      <c r="AE255">
        <f t="shared" si="41"/>
        <v>8.2793629258999992</v>
      </c>
      <c r="AF255" s="9"/>
      <c r="AG255" s="22">
        <v>1.1337299999999999</v>
      </c>
      <c r="AH255" s="22">
        <v>379.41699999999997</v>
      </c>
      <c r="AI255" s="22">
        <v>-1.7141699999999999E-2</v>
      </c>
      <c r="AJ255" s="22">
        <v>245</v>
      </c>
      <c r="AK255" s="22">
        <v>1.1331199999999999</v>
      </c>
      <c r="AL255">
        <f t="shared" si="42"/>
        <v>17.1417</v>
      </c>
      <c r="AM255">
        <f t="shared" si="43"/>
        <v>19.434059541</v>
      </c>
      <c r="AP255" s="9"/>
      <c r="AQ255" s="22">
        <v>0.46630899999999997</v>
      </c>
      <c r="AR255" s="22">
        <v>515.19600000000003</v>
      </c>
      <c r="AS255" s="22">
        <v>-1.7742899999999999E-2</v>
      </c>
      <c r="AT255" s="22">
        <v>245</v>
      </c>
      <c r="AU255" s="22">
        <v>0.46578999999999998</v>
      </c>
      <c r="AV255">
        <f t="shared" si="44"/>
        <v>17.742899999999999</v>
      </c>
      <c r="AW255">
        <f t="shared" si="45"/>
        <v>8.2736739560999997</v>
      </c>
      <c r="AX255" s="9"/>
      <c r="AY255" s="22">
        <v>1.1337299999999999</v>
      </c>
      <c r="AZ255" s="22">
        <v>637.553</v>
      </c>
      <c r="BA255" s="22">
        <v>-1.7126499999999999E-2</v>
      </c>
      <c r="BB255" s="22">
        <v>245</v>
      </c>
      <c r="BC255" s="22">
        <v>1.1325099999999999</v>
      </c>
      <c r="BD255">
        <f t="shared" si="46"/>
        <v>17.1265</v>
      </c>
      <c r="BE255">
        <f t="shared" si="47"/>
        <v>19.416826844999999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101.035</v>
      </c>
      <c r="I256" s="22">
        <v>-1.7825299999999999E-2</v>
      </c>
      <c r="J256" s="22">
        <v>246</v>
      </c>
      <c r="K256" s="22">
        <v>0.46066299999999999</v>
      </c>
      <c r="L256">
        <f t="shared" si="36"/>
        <v>17.825299999999999</v>
      </c>
      <c r="M256">
        <f t="shared" si="37"/>
        <v>8.2223296068999989</v>
      </c>
      <c r="N256" s="9"/>
      <c r="O256" s="22">
        <v>1.13876</v>
      </c>
      <c r="P256" s="22">
        <v>215.952</v>
      </c>
      <c r="Q256" s="22">
        <v>-1.7279099999999999E-2</v>
      </c>
      <c r="R256" s="22">
        <v>246</v>
      </c>
      <c r="S256" s="22">
        <v>1.1383099999999999</v>
      </c>
      <c r="T256">
        <f t="shared" si="38"/>
        <v>17.2791</v>
      </c>
      <c r="U256">
        <f t="shared" si="39"/>
        <v>19.676747916</v>
      </c>
      <c r="X256" s="9"/>
      <c r="Y256" s="22">
        <v>0.46127299999999999</v>
      </c>
      <c r="Z256" s="22">
        <v>318.93900000000002</v>
      </c>
      <c r="AA256" s="22">
        <v>-1.77521E-2</v>
      </c>
      <c r="AB256" s="22">
        <v>246</v>
      </c>
      <c r="AC256" s="22">
        <v>0.46048</v>
      </c>
      <c r="AD256">
        <f t="shared" si="40"/>
        <v>17.752099999999999</v>
      </c>
      <c r="AE256">
        <f t="shared" si="41"/>
        <v>8.188564423299999</v>
      </c>
      <c r="AF256" s="9"/>
      <c r="AG256" s="22">
        <v>1.13876</v>
      </c>
      <c r="AH256" s="22">
        <v>379.51799999999997</v>
      </c>
      <c r="AI256" s="22">
        <v>-1.7144800000000002E-2</v>
      </c>
      <c r="AJ256" s="22">
        <v>246</v>
      </c>
      <c r="AK256" s="22">
        <v>1.1370800000000001</v>
      </c>
      <c r="AL256">
        <f t="shared" si="42"/>
        <v>17.1448</v>
      </c>
      <c r="AM256">
        <f t="shared" si="43"/>
        <v>19.523812448000001</v>
      </c>
      <c r="AP256" s="9"/>
      <c r="AQ256" s="22">
        <v>0.46127299999999999</v>
      </c>
      <c r="AR256" s="22">
        <v>515.29600000000005</v>
      </c>
      <c r="AS256" s="22">
        <v>-1.7746000000000001E-2</v>
      </c>
      <c r="AT256" s="22">
        <v>246</v>
      </c>
      <c r="AU256" s="22">
        <v>0.46041900000000002</v>
      </c>
      <c r="AV256">
        <f t="shared" si="44"/>
        <v>17.746000000000002</v>
      </c>
      <c r="AW256">
        <f t="shared" si="45"/>
        <v>8.1857506580000017</v>
      </c>
      <c r="AX256" s="9"/>
      <c r="AY256" s="22">
        <v>1.13876</v>
      </c>
      <c r="AZ256" s="22">
        <v>637.654</v>
      </c>
      <c r="BA256" s="22">
        <v>-1.7135600000000001E-2</v>
      </c>
      <c r="BB256" s="22">
        <v>246</v>
      </c>
      <c r="BC256" s="22">
        <v>1.1379999999999999</v>
      </c>
      <c r="BD256">
        <f t="shared" si="46"/>
        <v>17.1356</v>
      </c>
      <c r="BE256">
        <f t="shared" si="47"/>
        <v>19.513335856000001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101.136</v>
      </c>
      <c r="I257" s="22">
        <v>-1.78345E-2</v>
      </c>
      <c r="J257" s="22">
        <v>247</v>
      </c>
      <c r="K257" s="22">
        <v>0.45556600000000003</v>
      </c>
      <c r="L257">
        <f t="shared" si="36"/>
        <v>17.834499999999998</v>
      </c>
      <c r="M257">
        <f t="shared" si="37"/>
        <v>8.1367766109999984</v>
      </c>
      <c r="N257" s="9"/>
      <c r="O257" s="22">
        <v>1.1437999999999999</v>
      </c>
      <c r="P257" s="22">
        <v>216.053</v>
      </c>
      <c r="Q257" s="22">
        <v>-1.7276E-2</v>
      </c>
      <c r="R257" s="22">
        <v>247</v>
      </c>
      <c r="S257" s="22">
        <v>1.1425799999999999</v>
      </c>
      <c r="T257">
        <f t="shared" si="38"/>
        <v>17.276</v>
      </c>
      <c r="U257">
        <f t="shared" si="39"/>
        <v>19.760288799999998</v>
      </c>
      <c r="X257" s="9"/>
      <c r="Y257" s="22">
        <v>0.45623799999999998</v>
      </c>
      <c r="Z257" s="22">
        <v>319.04000000000002</v>
      </c>
      <c r="AA257" s="22">
        <v>-1.7776500000000001E-2</v>
      </c>
      <c r="AB257" s="22">
        <v>247</v>
      </c>
      <c r="AC257" s="22">
        <v>0.455627</v>
      </c>
      <c r="AD257">
        <f t="shared" si="40"/>
        <v>17.776500000000002</v>
      </c>
      <c r="AE257">
        <f t="shared" si="41"/>
        <v>8.110314807</v>
      </c>
      <c r="AF257" s="9"/>
      <c r="AG257" s="22">
        <v>1.1437999999999999</v>
      </c>
      <c r="AH257" s="22">
        <v>379.61900000000003</v>
      </c>
      <c r="AI257" s="22">
        <v>-1.7126499999999999E-2</v>
      </c>
      <c r="AJ257" s="22">
        <v>247</v>
      </c>
      <c r="AK257" s="22">
        <v>1.1425799999999999</v>
      </c>
      <c r="AL257">
        <f t="shared" si="42"/>
        <v>17.1265</v>
      </c>
      <c r="AM257">
        <f t="shared" si="43"/>
        <v>19.589290699999999</v>
      </c>
      <c r="AP257" s="9"/>
      <c r="AQ257" s="22">
        <v>0.45623799999999998</v>
      </c>
      <c r="AR257" s="22">
        <v>515.39700000000005</v>
      </c>
      <c r="AS257" s="22">
        <v>-1.7739899999999999E-2</v>
      </c>
      <c r="AT257" s="22">
        <v>247</v>
      </c>
      <c r="AU257" s="22">
        <v>0.455627</v>
      </c>
      <c r="AV257">
        <f t="shared" si="44"/>
        <v>17.739899999999999</v>
      </c>
      <c r="AW257">
        <f t="shared" si="45"/>
        <v>8.0936164961999992</v>
      </c>
      <c r="AX257" s="9"/>
      <c r="AY257" s="22">
        <v>1.1437999999999999</v>
      </c>
      <c r="AZ257" s="22">
        <v>637.75400000000002</v>
      </c>
      <c r="BA257" s="22">
        <v>-1.71112E-2</v>
      </c>
      <c r="BB257" s="22">
        <v>247</v>
      </c>
      <c r="BC257" s="22">
        <v>1.1431899999999999</v>
      </c>
      <c r="BD257">
        <f t="shared" si="46"/>
        <v>17.1112</v>
      </c>
      <c r="BE257">
        <f t="shared" si="47"/>
        <v>19.57179056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101.23699999999999</v>
      </c>
      <c r="I258" s="22">
        <v>-1.7840600000000002E-2</v>
      </c>
      <c r="J258" s="22">
        <v>248</v>
      </c>
      <c r="K258" s="22">
        <v>0.45065300000000003</v>
      </c>
      <c r="L258">
        <f t="shared" si="36"/>
        <v>17.840600000000002</v>
      </c>
      <c r="M258">
        <f t="shared" si="37"/>
        <v>8.049714401200001</v>
      </c>
      <c r="N258" s="9"/>
      <c r="O258" s="22">
        <v>1.14883</v>
      </c>
      <c r="P258" s="22">
        <v>216.154</v>
      </c>
      <c r="Q258" s="22">
        <v>-1.7263799999999999E-2</v>
      </c>
      <c r="R258" s="22">
        <v>248</v>
      </c>
      <c r="S258" s="22">
        <v>1.1486799999999999</v>
      </c>
      <c r="T258">
        <f t="shared" si="38"/>
        <v>17.2638</v>
      </c>
      <c r="U258">
        <f t="shared" si="39"/>
        <v>19.833171354000001</v>
      </c>
      <c r="X258" s="9"/>
      <c r="Y258" s="22">
        <v>0.45120199999999999</v>
      </c>
      <c r="Z258" s="22">
        <v>319.14100000000002</v>
      </c>
      <c r="AA258" s="22">
        <v>-1.77795E-2</v>
      </c>
      <c r="AB258" s="22">
        <v>248</v>
      </c>
      <c r="AC258" s="22">
        <v>0.44995099999999999</v>
      </c>
      <c r="AD258">
        <f t="shared" si="40"/>
        <v>17.779499999999999</v>
      </c>
      <c r="AE258">
        <f t="shared" si="41"/>
        <v>8.0221459589999995</v>
      </c>
      <c r="AF258" s="9"/>
      <c r="AG258" s="22">
        <v>1.14883</v>
      </c>
      <c r="AH258" s="22">
        <v>379.71899999999999</v>
      </c>
      <c r="AI258" s="22">
        <v>-1.7114299999999999E-2</v>
      </c>
      <c r="AJ258" s="22">
        <v>248</v>
      </c>
      <c r="AK258" s="22">
        <v>1.14716</v>
      </c>
      <c r="AL258">
        <f t="shared" si="42"/>
        <v>17.1143</v>
      </c>
      <c r="AM258">
        <f t="shared" si="43"/>
        <v>19.661421269000002</v>
      </c>
      <c r="AP258" s="9"/>
      <c r="AQ258" s="22">
        <v>0.45120199999999999</v>
      </c>
      <c r="AR258" s="22">
        <v>515.49800000000005</v>
      </c>
      <c r="AS258" s="22">
        <v>-1.7761200000000001E-2</v>
      </c>
      <c r="AT258" s="22">
        <v>248</v>
      </c>
      <c r="AU258" s="22">
        <v>0.45098899999999997</v>
      </c>
      <c r="AV258">
        <f t="shared" si="44"/>
        <v>17.761200000000002</v>
      </c>
      <c r="AW258">
        <f t="shared" si="45"/>
        <v>8.0138889624000011</v>
      </c>
      <c r="AX258" s="9"/>
      <c r="AY258" s="22">
        <v>1.14883</v>
      </c>
      <c r="AZ258" s="22">
        <v>637.85500000000002</v>
      </c>
      <c r="BA258" s="22">
        <v>-1.71112E-2</v>
      </c>
      <c r="BB258" s="22">
        <v>248</v>
      </c>
      <c r="BC258" s="22">
        <v>1.14838</v>
      </c>
      <c r="BD258">
        <f t="shared" si="46"/>
        <v>17.1112</v>
      </c>
      <c r="BE258">
        <f t="shared" si="47"/>
        <v>19.657859896000001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101.33799999999999</v>
      </c>
      <c r="I259" s="22">
        <v>-1.7852799999999999E-2</v>
      </c>
      <c r="J259" s="22">
        <v>249</v>
      </c>
      <c r="K259" s="22">
        <v>0.44567899999999999</v>
      </c>
      <c r="L259">
        <f t="shared" si="36"/>
        <v>17.852799999999998</v>
      </c>
      <c r="M259">
        <f t="shared" si="37"/>
        <v>7.9653302175999992</v>
      </c>
      <c r="N259" s="9"/>
      <c r="O259" s="22">
        <v>1.15387</v>
      </c>
      <c r="P259" s="22">
        <v>216.255</v>
      </c>
      <c r="Q259" s="22">
        <v>-1.72607E-2</v>
      </c>
      <c r="R259" s="22">
        <v>249</v>
      </c>
      <c r="S259" s="22">
        <v>1.15265</v>
      </c>
      <c r="T259">
        <f t="shared" si="38"/>
        <v>17.2607</v>
      </c>
      <c r="U259">
        <f t="shared" si="39"/>
        <v>19.916603908999999</v>
      </c>
      <c r="X259" s="9"/>
      <c r="Y259" s="22">
        <v>0.44616699999999998</v>
      </c>
      <c r="Z259" s="22">
        <v>319.24099999999999</v>
      </c>
      <c r="AA259" s="22">
        <v>-1.7785599999999999E-2</v>
      </c>
      <c r="AB259" s="22">
        <v>249</v>
      </c>
      <c r="AC259" s="22">
        <v>0.44528200000000001</v>
      </c>
      <c r="AD259">
        <f t="shared" si="40"/>
        <v>17.785599999999999</v>
      </c>
      <c r="AE259">
        <f t="shared" si="41"/>
        <v>7.9353477951999993</v>
      </c>
      <c r="AF259" s="9"/>
      <c r="AG259" s="22">
        <v>1.15387</v>
      </c>
      <c r="AH259" s="22">
        <v>379.82</v>
      </c>
      <c r="AI259" s="22">
        <v>-1.7105100000000002E-2</v>
      </c>
      <c r="AJ259" s="22">
        <v>249</v>
      </c>
      <c r="AK259" s="22">
        <v>1.15326</v>
      </c>
      <c r="AL259">
        <f t="shared" si="42"/>
        <v>17.1051</v>
      </c>
      <c r="AM259">
        <f t="shared" si="43"/>
        <v>19.737061736999998</v>
      </c>
      <c r="AP259" s="9"/>
      <c r="AQ259" s="22">
        <v>0.44616699999999998</v>
      </c>
      <c r="AR259" s="22">
        <v>515.59900000000005</v>
      </c>
      <c r="AS259" s="22">
        <v>-1.77521E-2</v>
      </c>
      <c r="AT259" s="22">
        <v>249</v>
      </c>
      <c r="AU259" s="22">
        <v>0.44555699999999998</v>
      </c>
      <c r="AV259">
        <f t="shared" si="44"/>
        <v>17.752099999999999</v>
      </c>
      <c r="AW259">
        <f t="shared" si="45"/>
        <v>7.9204012006999989</v>
      </c>
      <c r="AX259" s="9"/>
      <c r="AY259" s="22">
        <v>1.15387</v>
      </c>
      <c r="AZ259" s="22">
        <v>637.95600000000002</v>
      </c>
      <c r="BA259" s="22">
        <v>-1.7102099999999999E-2</v>
      </c>
      <c r="BB259" s="22">
        <v>249</v>
      </c>
      <c r="BC259" s="22">
        <v>1.15326</v>
      </c>
      <c r="BD259">
        <f t="shared" si="46"/>
        <v>17.1021</v>
      </c>
      <c r="BE259">
        <f t="shared" si="47"/>
        <v>19.733600126999999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101.438</v>
      </c>
      <c r="I260" s="22">
        <v>-1.78497E-2</v>
      </c>
      <c r="J260" s="22">
        <v>250</v>
      </c>
      <c r="K260" s="22">
        <v>0.44061299999999998</v>
      </c>
      <c r="L260">
        <f t="shared" si="36"/>
        <v>17.849699999999999</v>
      </c>
      <c r="M260">
        <f t="shared" si="37"/>
        <v>7.8740738604000002</v>
      </c>
      <c r="N260" s="9"/>
      <c r="O260" s="22">
        <v>1.1589100000000001</v>
      </c>
      <c r="P260" s="22">
        <v>216.35499999999999</v>
      </c>
      <c r="Q260" s="22">
        <v>-1.7254599999999998E-2</v>
      </c>
      <c r="R260" s="22">
        <v>250</v>
      </c>
      <c r="S260" s="22">
        <v>1.15845</v>
      </c>
      <c r="T260">
        <f t="shared" si="38"/>
        <v>17.2546</v>
      </c>
      <c r="U260">
        <f t="shared" si="39"/>
        <v>19.996528486000003</v>
      </c>
      <c r="X260" s="9"/>
      <c r="Y260" s="22">
        <v>0.44113200000000002</v>
      </c>
      <c r="Z260" s="22">
        <v>319.34199999999998</v>
      </c>
      <c r="AA260" s="22">
        <v>-1.7804E-2</v>
      </c>
      <c r="AB260" s="22">
        <v>250</v>
      </c>
      <c r="AC260" s="22">
        <v>0.445465</v>
      </c>
      <c r="AD260">
        <f t="shared" si="40"/>
        <v>17.804000000000002</v>
      </c>
      <c r="AE260">
        <f t="shared" si="41"/>
        <v>7.8539141280000013</v>
      </c>
      <c r="AF260" s="9"/>
      <c r="AG260" s="22">
        <v>1.1589100000000001</v>
      </c>
      <c r="AH260" s="22">
        <v>379.92099999999999</v>
      </c>
      <c r="AI260" s="22">
        <v>-1.7102099999999999E-2</v>
      </c>
      <c r="AJ260" s="22">
        <v>250</v>
      </c>
      <c r="AK260" s="22">
        <v>1.15784</v>
      </c>
      <c r="AL260">
        <f t="shared" si="42"/>
        <v>17.1021</v>
      </c>
      <c r="AM260">
        <f t="shared" si="43"/>
        <v>19.819794711000004</v>
      </c>
      <c r="AP260" s="9"/>
      <c r="AQ260" s="22">
        <v>0.44113200000000002</v>
      </c>
      <c r="AR260" s="22">
        <v>515.69899999999996</v>
      </c>
      <c r="AS260" s="22">
        <v>-1.7758199999999998E-2</v>
      </c>
      <c r="AT260" s="22">
        <v>250</v>
      </c>
      <c r="AU260" s="22">
        <v>0.44058199999999997</v>
      </c>
      <c r="AV260">
        <f t="shared" si="44"/>
        <v>17.758199999999999</v>
      </c>
      <c r="AW260">
        <f t="shared" si="45"/>
        <v>7.8337102824000002</v>
      </c>
      <c r="AX260" s="9"/>
      <c r="AY260" s="22">
        <v>1.1589100000000001</v>
      </c>
      <c r="AZ260" s="22">
        <v>638.05600000000004</v>
      </c>
      <c r="BA260" s="22">
        <v>-1.7095900000000001E-2</v>
      </c>
      <c r="BB260" s="22">
        <v>250</v>
      </c>
      <c r="BC260" s="22">
        <v>1.15845</v>
      </c>
      <c r="BD260">
        <f t="shared" si="46"/>
        <v>17.0959</v>
      </c>
      <c r="BE260">
        <f t="shared" si="47"/>
        <v>19.812609469000002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101.539</v>
      </c>
      <c r="I261" s="22">
        <v>-1.78589E-2</v>
      </c>
      <c r="J261" s="22">
        <v>251</v>
      </c>
      <c r="K261" s="22">
        <v>0.43521100000000001</v>
      </c>
      <c r="L261">
        <f t="shared" si="36"/>
        <v>17.858900000000002</v>
      </c>
      <c r="M261">
        <f t="shared" si="37"/>
        <v>7.7881948544000004</v>
      </c>
      <c r="N261" s="9"/>
      <c r="O261" s="22">
        <v>1.16394</v>
      </c>
      <c r="P261" s="22">
        <v>216.45599999999999</v>
      </c>
      <c r="Q261" s="22">
        <v>-1.7254599999999998E-2</v>
      </c>
      <c r="R261" s="22">
        <v>251</v>
      </c>
      <c r="S261" s="22">
        <v>1.25519</v>
      </c>
      <c r="T261">
        <f t="shared" si="38"/>
        <v>17.2546</v>
      </c>
      <c r="U261">
        <f t="shared" si="39"/>
        <v>20.083319123999999</v>
      </c>
      <c r="X261" s="9"/>
      <c r="Y261" s="22">
        <v>0.43609599999999998</v>
      </c>
      <c r="Z261" s="22">
        <v>319.44299999999998</v>
      </c>
      <c r="AA261" s="22">
        <v>-1.7813099999999998E-2</v>
      </c>
      <c r="AB261" s="22">
        <v>251</v>
      </c>
      <c r="AC261" s="22">
        <v>0.43563800000000003</v>
      </c>
      <c r="AD261">
        <f t="shared" si="40"/>
        <v>17.813099999999999</v>
      </c>
      <c r="AE261">
        <f t="shared" si="41"/>
        <v>7.7682216575999989</v>
      </c>
      <c r="AF261" s="9"/>
      <c r="AG261" s="22">
        <v>1.16394</v>
      </c>
      <c r="AH261" s="22">
        <v>380.02199999999999</v>
      </c>
      <c r="AI261" s="22">
        <v>-1.7092900000000001E-2</v>
      </c>
      <c r="AJ261" s="22">
        <v>251</v>
      </c>
      <c r="AK261" s="22">
        <v>1.1630199999999999</v>
      </c>
      <c r="AL261">
        <f t="shared" si="42"/>
        <v>17.0929</v>
      </c>
      <c r="AM261">
        <f t="shared" si="43"/>
        <v>19.895110026000001</v>
      </c>
      <c r="AP261" s="9"/>
      <c r="AQ261" s="22">
        <v>0.43609599999999998</v>
      </c>
      <c r="AR261" s="22">
        <v>515.79999999999995</v>
      </c>
      <c r="AS261" s="22">
        <v>-1.7770399999999999E-2</v>
      </c>
      <c r="AT261" s="22">
        <v>251</v>
      </c>
      <c r="AU261" s="22">
        <v>0.435394</v>
      </c>
      <c r="AV261">
        <f t="shared" si="44"/>
        <v>17.770399999999999</v>
      </c>
      <c r="AW261">
        <f t="shared" si="45"/>
        <v>7.7496003583999995</v>
      </c>
      <c r="AX261" s="9"/>
      <c r="AY261" s="22">
        <v>1.16394</v>
      </c>
      <c r="AZ261" s="22">
        <v>638.15700000000004</v>
      </c>
      <c r="BA261" s="22">
        <v>-1.70837E-2</v>
      </c>
      <c r="BB261" s="22">
        <v>251</v>
      </c>
      <c r="BC261" s="22">
        <v>1.16272</v>
      </c>
      <c r="BD261">
        <f t="shared" si="46"/>
        <v>17.0837</v>
      </c>
      <c r="BE261">
        <f t="shared" si="47"/>
        <v>19.884401778000001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101.64</v>
      </c>
      <c r="I262" s="22">
        <v>-1.78589E-2</v>
      </c>
      <c r="J262" s="22">
        <v>252</v>
      </c>
      <c r="K262" s="22">
        <v>0.43011500000000003</v>
      </c>
      <c r="L262">
        <f t="shared" si="36"/>
        <v>17.858900000000002</v>
      </c>
      <c r="M262">
        <f t="shared" si="37"/>
        <v>7.6982752929000018</v>
      </c>
      <c r="N262" s="9"/>
      <c r="O262" s="22">
        <v>1.1689799999999999</v>
      </c>
      <c r="P262" s="22">
        <v>216.55699999999999</v>
      </c>
      <c r="Q262" s="22">
        <v>-1.72333E-2</v>
      </c>
      <c r="R262" s="22">
        <v>252</v>
      </c>
      <c r="S262" s="22">
        <v>1.16791</v>
      </c>
      <c r="T262">
        <f t="shared" si="38"/>
        <v>17.2333</v>
      </c>
      <c r="U262">
        <f t="shared" si="39"/>
        <v>20.145383033999998</v>
      </c>
      <c r="X262" s="9"/>
      <c r="Y262" s="22">
        <v>0.43106100000000003</v>
      </c>
      <c r="Z262" s="22">
        <v>319.54300000000001</v>
      </c>
      <c r="AA262" s="22">
        <v>-1.78192E-2</v>
      </c>
      <c r="AB262" s="22">
        <v>252</v>
      </c>
      <c r="AC262" s="22">
        <v>0.43090800000000001</v>
      </c>
      <c r="AD262">
        <f t="shared" si="40"/>
        <v>17.819199999999999</v>
      </c>
      <c r="AE262">
        <f t="shared" si="41"/>
        <v>7.6811621711999996</v>
      </c>
      <c r="AF262" s="9"/>
      <c r="AG262" s="22">
        <v>1.1689799999999999</v>
      </c>
      <c r="AH262" s="22">
        <v>380.12200000000001</v>
      </c>
      <c r="AI262" s="22">
        <v>-1.7074599999999999E-2</v>
      </c>
      <c r="AJ262" s="22">
        <v>252</v>
      </c>
      <c r="AK262" s="22">
        <v>1.16821</v>
      </c>
      <c r="AL262">
        <f t="shared" si="42"/>
        <v>17.0746</v>
      </c>
      <c r="AM262">
        <f t="shared" si="43"/>
        <v>19.959865907999998</v>
      </c>
      <c r="AP262" s="9"/>
      <c r="AQ262" s="22">
        <v>0.43106100000000003</v>
      </c>
      <c r="AR262" s="22">
        <v>515.90099999999995</v>
      </c>
      <c r="AS262" s="22">
        <v>-1.77673E-2</v>
      </c>
      <c r="AT262" s="22">
        <v>252</v>
      </c>
      <c r="AU262" s="22">
        <v>0.43081700000000001</v>
      </c>
      <c r="AV262">
        <f t="shared" si="44"/>
        <v>17.767299999999999</v>
      </c>
      <c r="AW262">
        <f t="shared" si="45"/>
        <v>7.6587901052999996</v>
      </c>
      <c r="AX262" s="9"/>
      <c r="AY262" s="22">
        <v>1.1689799999999999</v>
      </c>
      <c r="AZ262" s="22">
        <v>638.25800000000004</v>
      </c>
      <c r="BA262" s="22">
        <v>-1.7074599999999999E-2</v>
      </c>
      <c r="BB262" s="22">
        <v>252</v>
      </c>
      <c r="BC262" s="22">
        <v>1.16821</v>
      </c>
      <c r="BD262">
        <f t="shared" si="46"/>
        <v>17.0746</v>
      </c>
      <c r="BE262">
        <f t="shared" si="47"/>
        <v>19.959865907999998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101.74</v>
      </c>
      <c r="I263" s="22">
        <v>-1.7855800000000002E-2</v>
      </c>
      <c r="J263" s="22">
        <v>253</v>
      </c>
      <c r="K263" s="22">
        <v>0.42526199999999997</v>
      </c>
      <c r="L263">
        <f t="shared" si="36"/>
        <v>17.855800000000002</v>
      </c>
      <c r="M263">
        <f t="shared" si="37"/>
        <v>7.607017195000001</v>
      </c>
      <c r="N263" s="9"/>
      <c r="O263" s="22">
        <v>1.17401</v>
      </c>
      <c r="P263" s="22">
        <v>216.65700000000001</v>
      </c>
      <c r="Q263" s="22">
        <v>-1.7227200000000002E-2</v>
      </c>
      <c r="R263" s="22">
        <v>253</v>
      </c>
      <c r="S263" s="22">
        <v>1.1731</v>
      </c>
      <c r="T263">
        <f t="shared" si="38"/>
        <v>17.2272</v>
      </c>
      <c r="U263">
        <f t="shared" si="39"/>
        <v>20.224905071999999</v>
      </c>
      <c r="X263" s="9"/>
      <c r="Y263" s="22">
        <v>0.42602499999999999</v>
      </c>
      <c r="Z263" s="22">
        <v>319.64400000000001</v>
      </c>
      <c r="AA263" s="22">
        <v>-1.7825299999999999E-2</v>
      </c>
      <c r="AB263" s="22">
        <v>253</v>
      </c>
      <c r="AC263" s="22">
        <v>0.42532300000000001</v>
      </c>
      <c r="AD263">
        <f t="shared" si="40"/>
        <v>17.825299999999999</v>
      </c>
      <c r="AE263">
        <f t="shared" si="41"/>
        <v>7.5940234324999993</v>
      </c>
      <c r="AF263" s="9"/>
      <c r="AG263" s="22">
        <v>1.17401</v>
      </c>
      <c r="AH263" s="22">
        <v>380.22300000000001</v>
      </c>
      <c r="AI263" s="22">
        <v>-1.70441E-2</v>
      </c>
      <c r="AJ263" s="22">
        <v>253</v>
      </c>
      <c r="AK263" s="22">
        <v>1.17371</v>
      </c>
      <c r="AL263">
        <f t="shared" si="42"/>
        <v>17.0441</v>
      </c>
      <c r="AM263">
        <f t="shared" si="43"/>
        <v>20.009943841000002</v>
      </c>
      <c r="AP263" s="9"/>
      <c r="AQ263" s="22">
        <v>0.42602499999999999</v>
      </c>
      <c r="AR263" s="22">
        <v>516.00099999999998</v>
      </c>
      <c r="AS263" s="22">
        <v>-1.7776500000000001E-2</v>
      </c>
      <c r="AT263" s="22">
        <v>253</v>
      </c>
      <c r="AU263" s="22">
        <v>0.425568</v>
      </c>
      <c r="AV263">
        <f t="shared" si="44"/>
        <v>17.776500000000002</v>
      </c>
      <c r="AW263">
        <f t="shared" si="45"/>
        <v>7.5732334125000005</v>
      </c>
      <c r="AX263" s="9"/>
      <c r="AY263" s="22">
        <v>1.17401</v>
      </c>
      <c r="AZ263" s="22">
        <v>638.35799999999995</v>
      </c>
      <c r="BA263" s="22">
        <v>-1.7059299999999999E-2</v>
      </c>
      <c r="BB263" s="22">
        <v>253</v>
      </c>
      <c r="BC263" s="22">
        <v>1.1731</v>
      </c>
      <c r="BD263">
        <f t="shared" si="46"/>
        <v>17.0593</v>
      </c>
      <c r="BE263">
        <f t="shared" si="47"/>
        <v>20.027788792999999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101.84099999999999</v>
      </c>
      <c r="I264" s="22">
        <v>-1.7871100000000001E-2</v>
      </c>
      <c r="J264" s="22">
        <v>254</v>
      </c>
      <c r="K264" s="22">
        <v>0.420319</v>
      </c>
      <c r="L264">
        <f t="shared" si="36"/>
        <v>17.871100000000002</v>
      </c>
      <c r="M264">
        <f t="shared" si="37"/>
        <v>7.5235543890000001</v>
      </c>
      <c r="N264" s="9"/>
      <c r="O264" s="22">
        <v>1.1790499999999999</v>
      </c>
      <c r="P264" s="22">
        <v>216.75800000000001</v>
      </c>
      <c r="Q264" s="22">
        <v>-1.7227200000000002E-2</v>
      </c>
      <c r="R264" s="22">
        <v>254</v>
      </c>
      <c r="S264" s="22">
        <v>1.17798</v>
      </c>
      <c r="T264">
        <f t="shared" si="38"/>
        <v>17.2272</v>
      </c>
      <c r="U264">
        <f t="shared" si="39"/>
        <v>20.31173016</v>
      </c>
      <c r="X264" s="9"/>
      <c r="Y264" s="22">
        <v>0.42098999999999998</v>
      </c>
      <c r="Z264" s="22">
        <v>319.745</v>
      </c>
      <c r="AA264" s="22">
        <v>-1.78467E-2</v>
      </c>
      <c r="AB264" s="22">
        <v>254</v>
      </c>
      <c r="AC264" s="22">
        <v>0.42047099999999998</v>
      </c>
      <c r="AD264">
        <f t="shared" si="40"/>
        <v>17.846699999999998</v>
      </c>
      <c r="AE264">
        <f t="shared" si="41"/>
        <v>7.5132822329999991</v>
      </c>
      <c r="AF264" s="9"/>
      <c r="AG264" s="22">
        <v>1.1790499999999999</v>
      </c>
      <c r="AH264" s="22">
        <v>380.32400000000001</v>
      </c>
      <c r="AI264" s="22">
        <v>-1.7047099999999999E-2</v>
      </c>
      <c r="AJ264" s="22">
        <v>254</v>
      </c>
      <c r="AK264" s="22">
        <v>1.17798</v>
      </c>
      <c r="AL264">
        <f t="shared" si="42"/>
        <v>17.0471</v>
      </c>
      <c r="AM264">
        <f t="shared" si="43"/>
        <v>20.099383254999999</v>
      </c>
      <c r="AP264" s="9"/>
      <c r="AQ264" s="22">
        <v>0.42098999999999998</v>
      </c>
      <c r="AR264" s="22">
        <v>516.10199999999998</v>
      </c>
      <c r="AS264" s="22">
        <v>-1.77795E-2</v>
      </c>
      <c r="AT264" s="22">
        <v>254</v>
      </c>
      <c r="AU264" s="22">
        <v>0.42022700000000002</v>
      </c>
      <c r="AV264">
        <f t="shared" si="44"/>
        <v>17.779499999999999</v>
      </c>
      <c r="AW264">
        <f t="shared" si="45"/>
        <v>7.4849917049999988</v>
      </c>
      <c r="AX264" s="9"/>
      <c r="AY264" s="22">
        <v>1.1790499999999999</v>
      </c>
      <c r="AZ264" s="22">
        <v>638.45899999999995</v>
      </c>
      <c r="BA264" s="22">
        <v>-1.7062399999999998E-2</v>
      </c>
      <c r="BB264" s="22">
        <v>254</v>
      </c>
      <c r="BC264" s="22">
        <v>1.17798</v>
      </c>
      <c r="BD264">
        <f t="shared" si="46"/>
        <v>17.062399999999997</v>
      </c>
      <c r="BE264">
        <f t="shared" si="47"/>
        <v>20.117422719999993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101.94199999999999</v>
      </c>
      <c r="I265" s="22">
        <v>-1.7880199999999999E-2</v>
      </c>
      <c r="J265" s="22">
        <v>255</v>
      </c>
      <c r="K265" s="22">
        <v>0.41522199999999998</v>
      </c>
      <c r="L265">
        <f t="shared" si="36"/>
        <v>17.880199999999999</v>
      </c>
      <c r="M265">
        <f t="shared" si="37"/>
        <v>7.4373585909999997</v>
      </c>
      <c r="N265" s="9"/>
      <c r="O265" s="22">
        <v>1.18408</v>
      </c>
      <c r="P265" s="22">
        <v>216.85900000000001</v>
      </c>
      <c r="Q265" s="22">
        <v>-1.72211E-2</v>
      </c>
      <c r="R265" s="22">
        <v>255</v>
      </c>
      <c r="S265" s="22">
        <v>1.18286</v>
      </c>
      <c r="T265">
        <f t="shared" si="38"/>
        <v>17.2211</v>
      </c>
      <c r="U265">
        <f t="shared" si="39"/>
        <v>20.391160087999999</v>
      </c>
      <c r="X265" s="9"/>
      <c r="Y265" s="22">
        <v>0.41595500000000002</v>
      </c>
      <c r="Z265" s="22">
        <v>319.84500000000003</v>
      </c>
      <c r="AA265" s="22">
        <v>-1.7840600000000002E-2</v>
      </c>
      <c r="AB265" s="22">
        <v>255</v>
      </c>
      <c r="AC265" s="22">
        <v>0.41525299999999998</v>
      </c>
      <c r="AD265">
        <f t="shared" si="40"/>
        <v>17.840600000000002</v>
      </c>
      <c r="AE265">
        <f t="shared" si="41"/>
        <v>7.4208867730000012</v>
      </c>
      <c r="AF265" s="9"/>
      <c r="AG265" s="22">
        <v>1.18408</v>
      </c>
      <c r="AH265" s="22">
        <v>380.42399999999998</v>
      </c>
      <c r="AI265" s="22">
        <v>-1.70441E-2</v>
      </c>
      <c r="AJ265" s="22">
        <v>255</v>
      </c>
      <c r="AK265" s="22">
        <v>1.1837800000000001</v>
      </c>
      <c r="AL265">
        <f t="shared" si="42"/>
        <v>17.0441</v>
      </c>
      <c r="AM265">
        <f t="shared" si="43"/>
        <v>20.181577927999999</v>
      </c>
      <c r="AP265" s="9"/>
      <c r="AQ265" s="22">
        <v>0.41595500000000002</v>
      </c>
      <c r="AR265" s="22">
        <v>516.20299999999997</v>
      </c>
      <c r="AS265" s="22">
        <v>-1.7782599999999999E-2</v>
      </c>
      <c r="AT265" s="22">
        <v>255</v>
      </c>
      <c r="AU265" s="22">
        <v>0.41522199999999998</v>
      </c>
      <c r="AV265">
        <f t="shared" si="44"/>
        <v>17.782599999999999</v>
      </c>
      <c r="AW265">
        <f t="shared" si="45"/>
        <v>7.3967613829999994</v>
      </c>
      <c r="AX265" s="9"/>
      <c r="AY265" s="22">
        <v>1.18408</v>
      </c>
      <c r="AZ265" s="22">
        <v>638.55999999999995</v>
      </c>
      <c r="BA265" s="22">
        <v>-1.70563E-2</v>
      </c>
      <c r="BB265" s="22">
        <v>255</v>
      </c>
      <c r="BC265" s="22">
        <v>1.18347</v>
      </c>
      <c r="BD265">
        <f t="shared" si="46"/>
        <v>17.0563</v>
      </c>
      <c r="BE265">
        <f t="shared" si="47"/>
        <v>20.196023704000002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102.04300000000001</v>
      </c>
      <c r="I266" s="22">
        <v>-1.78864E-2</v>
      </c>
      <c r="J266" s="22">
        <v>256</v>
      </c>
      <c r="K266" s="22">
        <v>0.41030899999999998</v>
      </c>
      <c r="L266">
        <f t="shared" si="36"/>
        <v>17.886400000000002</v>
      </c>
      <c r="M266">
        <f t="shared" si="37"/>
        <v>7.3498616016000007</v>
      </c>
      <c r="N266" s="9"/>
      <c r="O266" s="22">
        <v>1.18912</v>
      </c>
      <c r="P266" s="22">
        <v>216.959</v>
      </c>
      <c r="Q266" s="22">
        <v>-1.7224099999999999E-2</v>
      </c>
      <c r="R266" s="22">
        <v>256</v>
      </c>
      <c r="S266" s="22">
        <v>1.1880500000000001</v>
      </c>
      <c r="T266">
        <f t="shared" si="38"/>
        <v>17.2241</v>
      </c>
      <c r="U266">
        <f t="shared" si="39"/>
        <v>20.481521791999999</v>
      </c>
      <c r="X266" s="9"/>
      <c r="Y266" s="22">
        <v>0.41091899999999998</v>
      </c>
      <c r="Z266" s="22">
        <v>319.94600000000003</v>
      </c>
      <c r="AA266" s="22">
        <v>-1.7840600000000002E-2</v>
      </c>
      <c r="AB266" s="22">
        <v>256</v>
      </c>
      <c r="AC266" s="22">
        <v>0.41043099999999999</v>
      </c>
      <c r="AD266">
        <f t="shared" si="40"/>
        <v>17.840600000000002</v>
      </c>
      <c r="AE266">
        <f t="shared" si="41"/>
        <v>7.3310415114000005</v>
      </c>
      <c r="AF266" s="9"/>
      <c r="AG266" s="22">
        <v>1.18912</v>
      </c>
      <c r="AH266" s="22">
        <v>380.52499999999998</v>
      </c>
      <c r="AI266" s="22">
        <v>-1.7034899999999999E-2</v>
      </c>
      <c r="AJ266" s="22">
        <v>256</v>
      </c>
      <c r="AK266" s="22">
        <v>1.1880500000000001</v>
      </c>
      <c r="AL266">
        <f t="shared" si="42"/>
        <v>17.0349</v>
      </c>
      <c r="AM266">
        <f t="shared" si="43"/>
        <v>20.256540288</v>
      </c>
      <c r="AP266" s="9"/>
      <c r="AQ266" s="22">
        <v>0.41091899999999998</v>
      </c>
      <c r="AR266" s="22">
        <v>516.303</v>
      </c>
      <c r="AS266" s="22">
        <v>-1.77795E-2</v>
      </c>
      <c r="AT266" s="22">
        <v>256</v>
      </c>
      <c r="AU266" s="22">
        <v>0.41030899999999998</v>
      </c>
      <c r="AV266">
        <f t="shared" si="44"/>
        <v>17.779499999999999</v>
      </c>
      <c r="AW266">
        <f t="shared" si="45"/>
        <v>7.3059343604999993</v>
      </c>
      <c r="AX266" s="9"/>
      <c r="AY266" s="22">
        <v>1.18912</v>
      </c>
      <c r="AZ266" s="22">
        <v>638.66099999999994</v>
      </c>
      <c r="BA266" s="22">
        <v>-1.7038000000000001E-2</v>
      </c>
      <c r="BB266" s="22">
        <v>256</v>
      </c>
      <c r="BC266" s="22">
        <v>1.18835</v>
      </c>
      <c r="BD266">
        <f t="shared" si="46"/>
        <v>17.038</v>
      </c>
      <c r="BE266">
        <f t="shared" si="47"/>
        <v>20.26022656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102.143</v>
      </c>
      <c r="I267" s="22">
        <v>-1.7877199999999999E-2</v>
      </c>
      <c r="J267" s="22">
        <v>257</v>
      </c>
      <c r="K267" s="22">
        <v>0.40536499999999998</v>
      </c>
      <c r="L267">
        <f t="shared" si="36"/>
        <v>17.877199999999998</v>
      </c>
      <c r="M267">
        <f t="shared" si="37"/>
        <v>7.2560694447999996</v>
      </c>
      <c r="N267" s="9"/>
      <c r="O267" s="22">
        <v>1.19415</v>
      </c>
      <c r="P267" s="22">
        <v>217.06</v>
      </c>
      <c r="Q267" s="22">
        <v>-1.7215000000000001E-2</v>
      </c>
      <c r="R267" s="22">
        <v>257</v>
      </c>
      <c r="S267" s="22">
        <v>1.1999500000000001</v>
      </c>
      <c r="T267">
        <f t="shared" si="38"/>
        <v>17.215</v>
      </c>
      <c r="U267">
        <f t="shared" si="39"/>
        <v>20.55729225</v>
      </c>
      <c r="X267" s="9"/>
      <c r="Y267" s="22">
        <v>0.40588400000000002</v>
      </c>
      <c r="Z267" s="22">
        <v>320.04700000000003</v>
      </c>
      <c r="AA267" s="22">
        <v>-1.7843600000000001E-2</v>
      </c>
      <c r="AB267" s="22">
        <v>257</v>
      </c>
      <c r="AC267" s="22">
        <v>0.40533400000000003</v>
      </c>
      <c r="AD267">
        <f t="shared" si="40"/>
        <v>17.843600000000002</v>
      </c>
      <c r="AE267">
        <f t="shared" si="41"/>
        <v>7.2424317424000009</v>
      </c>
      <c r="AF267" s="9"/>
      <c r="AG267" s="22">
        <v>1.19415</v>
      </c>
      <c r="AH267" s="22">
        <v>380.62599999999998</v>
      </c>
      <c r="AI267" s="22">
        <v>-1.7031899999999999E-2</v>
      </c>
      <c r="AJ267" s="22">
        <v>257</v>
      </c>
      <c r="AK267" s="22">
        <v>1.19293</v>
      </c>
      <c r="AL267">
        <f t="shared" si="42"/>
        <v>17.0319</v>
      </c>
      <c r="AM267">
        <f t="shared" si="43"/>
        <v>20.338643385000001</v>
      </c>
      <c r="AP267" s="9"/>
      <c r="AQ267" s="22">
        <v>0.40588400000000002</v>
      </c>
      <c r="AR267" s="22">
        <v>516.404</v>
      </c>
      <c r="AS267" s="22">
        <v>-1.7788700000000001E-2</v>
      </c>
      <c r="AT267" s="22">
        <v>257</v>
      </c>
      <c r="AU267" s="22">
        <v>0.40509000000000001</v>
      </c>
      <c r="AV267">
        <f t="shared" si="44"/>
        <v>17.788700000000002</v>
      </c>
      <c r="AW267">
        <f t="shared" si="45"/>
        <v>7.2201487108000011</v>
      </c>
      <c r="AX267" s="9"/>
      <c r="AY267" s="22">
        <v>1.19415</v>
      </c>
      <c r="AZ267" s="22">
        <v>638.76099999999997</v>
      </c>
      <c r="BA267" s="22">
        <v>-1.7025800000000001E-2</v>
      </c>
      <c r="BB267" s="22">
        <v>257</v>
      </c>
      <c r="BC267" s="22">
        <v>1.19354</v>
      </c>
      <c r="BD267">
        <f t="shared" si="46"/>
        <v>17.0258</v>
      </c>
      <c r="BE267">
        <f t="shared" si="47"/>
        <v>20.331359070000001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102.244</v>
      </c>
      <c r="I268" s="22">
        <v>-1.78894E-2</v>
      </c>
      <c r="J268" s="22">
        <v>258</v>
      </c>
      <c r="K268" s="22">
        <v>0.40042100000000003</v>
      </c>
      <c r="L268">
        <f t="shared" ref="L268:L331" si="48">-I268/$F$2*1000</f>
        <v>17.889399999999998</v>
      </c>
      <c r="M268">
        <f t="shared" ref="M268:M331" si="49">L268*G268</f>
        <v>7.1709302111999991</v>
      </c>
      <c r="N268" s="9"/>
      <c r="O268" s="22">
        <v>1.19919</v>
      </c>
      <c r="P268" s="22">
        <v>217.161</v>
      </c>
      <c r="Q268" s="22">
        <v>-1.7215000000000001E-2</v>
      </c>
      <c r="R268" s="22">
        <v>258</v>
      </c>
      <c r="S268" s="22">
        <v>1.2036100000000001</v>
      </c>
      <c r="T268">
        <f t="shared" ref="T268:T331" si="50">-Q268/$F$2*1000</f>
        <v>17.215</v>
      </c>
      <c r="U268">
        <f t="shared" ref="U268:U331" si="51">T268*O268</f>
        <v>20.644055850000001</v>
      </c>
      <c r="X268" s="9"/>
      <c r="Y268" s="22">
        <v>0.40084799999999998</v>
      </c>
      <c r="Z268" s="22">
        <v>320.14800000000002</v>
      </c>
      <c r="AA268" s="22">
        <v>-1.7852799999999999E-2</v>
      </c>
      <c r="AB268" s="22">
        <v>258</v>
      </c>
      <c r="AC268" s="22">
        <v>0.39990199999999998</v>
      </c>
      <c r="AD268">
        <f t="shared" ref="AD268:AD331" si="52">-AA268/$F$2*1000</f>
        <v>17.852799999999998</v>
      </c>
      <c r="AE268">
        <f t="shared" ref="AE268:AE331" si="53">AD268*Y268</f>
        <v>7.1562591743999988</v>
      </c>
      <c r="AF268" s="9"/>
      <c r="AG268" s="22">
        <v>1.19919</v>
      </c>
      <c r="AH268" s="22">
        <v>380.72699999999998</v>
      </c>
      <c r="AI268" s="22">
        <v>-1.7019699999999999E-2</v>
      </c>
      <c r="AJ268" s="22">
        <v>258</v>
      </c>
      <c r="AK268" s="22">
        <v>1.1984300000000001</v>
      </c>
      <c r="AL268">
        <f t="shared" ref="AL268:AL331" si="54">-AI268/$F$2*1000</f>
        <v>17.0197</v>
      </c>
      <c r="AM268">
        <f t="shared" ref="AM268:AM331" si="55">AL268*AG268</f>
        <v>20.409854042999999</v>
      </c>
      <c r="AP268" s="9"/>
      <c r="AQ268" s="22">
        <v>0.40084799999999998</v>
      </c>
      <c r="AR268" s="22">
        <v>516.505</v>
      </c>
      <c r="AS268" s="22">
        <v>-1.7800900000000001E-2</v>
      </c>
      <c r="AT268" s="22">
        <v>258</v>
      </c>
      <c r="AU268" s="22">
        <v>0.39993299999999998</v>
      </c>
      <c r="AV268">
        <f t="shared" ref="AV268:AV331" si="56">-AS268/$F$2*1000</f>
        <v>17.800900000000002</v>
      </c>
      <c r="AW268">
        <f t="shared" ref="AW268:AW331" si="57">AV268*AQ268</f>
        <v>7.1354551632000005</v>
      </c>
      <c r="AX268" s="9"/>
      <c r="AY268" s="22">
        <v>1.19919</v>
      </c>
      <c r="AZ268" s="22">
        <v>638.86199999999997</v>
      </c>
      <c r="BA268" s="22">
        <v>-1.7019699999999999E-2</v>
      </c>
      <c r="BB268" s="22">
        <v>258</v>
      </c>
      <c r="BC268" s="22">
        <v>1.1984300000000001</v>
      </c>
      <c r="BD268">
        <f t="shared" ref="BD268:BD331" si="58">-BA268/$F$2*1000</f>
        <v>17.0197</v>
      </c>
      <c r="BE268">
        <f t="shared" ref="BE268:BE331" si="59">BD268*AY268</f>
        <v>20.409854042999999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102.345</v>
      </c>
      <c r="I269" s="22">
        <v>-1.78894E-2</v>
      </c>
      <c r="J269" s="22">
        <v>259</v>
      </c>
      <c r="K269" s="22">
        <v>0.39517200000000002</v>
      </c>
      <c r="L269">
        <f t="shared" si="48"/>
        <v>17.889399999999998</v>
      </c>
      <c r="M269">
        <f t="shared" si="49"/>
        <v>7.0808570821999997</v>
      </c>
      <c r="N269" s="9"/>
      <c r="O269" s="22">
        <v>1.2042200000000001</v>
      </c>
      <c r="P269" s="22">
        <v>217.262</v>
      </c>
      <c r="Q269" s="22">
        <v>-1.7187500000000001E-2</v>
      </c>
      <c r="R269" s="22">
        <v>259</v>
      </c>
      <c r="S269" s="22">
        <v>1.2033100000000001</v>
      </c>
      <c r="T269">
        <f t="shared" si="50"/>
        <v>17.1875</v>
      </c>
      <c r="U269">
        <f t="shared" si="51"/>
        <v>20.697531250000001</v>
      </c>
      <c r="X269" s="9"/>
      <c r="Y269" s="22">
        <v>0.39581300000000003</v>
      </c>
      <c r="Z269" s="22">
        <v>320.24799999999999</v>
      </c>
      <c r="AA269" s="22">
        <v>-1.7855800000000002E-2</v>
      </c>
      <c r="AB269" s="22">
        <v>259</v>
      </c>
      <c r="AC269" s="22">
        <v>0.39514199999999999</v>
      </c>
      <c r="AD269">
        <f t="shared" si="52"/>
        <v>17.855800000000002</v>
      </c>
      <c r="AE269">
        <f t="shared" si="53"/>
        <v>7.067557765400001</v>
      </c>
      <c r="AF269" s="9"/>
      <c r="AG269" s="22">
        <v>1.2042200000000001</v>
      </c>
      <c r="AH269" s="22">
        <v>380.827</v>
      </c>
      <c r="AI269" s="22">
        <v>-1.7004399999999999E-2</v>
      </c>
      <c r="AJ269" s="22">
        <v>259</v>
      </c>
      <c r="AK269" s="22">
        <v>1.2030000000000001</v>
      </c>
      <c r="AL269">
        <f t="shared" si="54"/>
        <v>17.0044</v>
      </c>
      <c r="AM269">
        <f t="shared" si="55"/>
        <v>20.477038568000001</v>
      </c>
      <c r="AP269" s="9"/>
      <c r="AQ269" s="22">
        <v>0.39581300000000003</v>
      </c>
      <c r="AR269" s="22">
        <v>516.60599999999999</v>
      </c>
      <c r="AS269" s="22">
        <v>-1.7797899999999998E-2</v>
      </c>
      <c r="AT269" s="22">
        <v>259</v>
      </c>
      <c r="AU269" s="22">
        <v>0.39511099999999999</v>
      </c>
      <c r="AV269">
        <f t="shared" si="56"/>
        <v>17.797899999999998</v>
      </c>
      <c r="AW269">
        <f t="shared" si="57"/>
        <v>7.0446401927000002</v>
      </c>
      <c r="AX269" s="9"/>
      <c r="AY269" s="22">
        <v>1.2042200000000001</v>
      </c>
      <c r="AZ269" s="22">
        <v>638.96299999999997</v>
      </c>
      <c r="BA269" s="22">
        <v>-1.7004399999999999E-2</v>
      </c>
      <c r="BB269" s="22">
        <v>259</v>
      </c>
      <c r="BC269" s="22">
        <v>1.2036100000000001</v>
      </c>
      <c r="BD269">
        <f t="shared" si="58"/>
        <v>17.0044</v>
      </c>
      <c r="BE269">
        <f t="shared" si="59"/>
        <v>20.477038568000001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102.44499999999999</v>
      </c>
      <c r="I270" s="22">
        <v>-1.78894E-2</v>
      </c>
      <c r="J270" s="22">
        <v>260</v>
      </c>
      <c r="K270" s="22">
        <v>0.39010600000000001</v>
      </c>
      <c r="L270">
        <f t="shared" si="48"/>
        <v>17.889399999999998</v>
      </c>
      <c r="M270">
        <f t="shared" si="49"/>
        <v>6.9907839531999993</v>
      </c>
      <c r="N270" s="9"/>
      <c r="O270" s="22">
        <v>1.20926</v>
      </c>
      <c r="P270" s="22">
        <v>217.36199999999999</v>
      </c>
      <c r="Q270" s="22">
        <v>-1.7169199999999999E-2</v>
      </c>
      <c r="R270" s="22">
        <v>260</v>
      </c>
      <c r="S270" s="22">
        <v>1.2078899999999999</v>
      </c>
      <c r="T270">
        <f t="shared" si="50"/>
        <v>17.1692</v>
      </c>
      <c r="U270">
        <f t="shared" si="51"/>
        <v>20.762026792</v>
      </c>
      <c r="X270" s="9"/>
      <c r="Y270" s="22">
        <v>0.39077800000000001</v>
      </c>
      <c r="Z270" s="22">
        <v>320.34899999999999</v>
      </c>
      <c r="AA270" s="22">
        <v>-1.7864999999999999E-2</v>
      </c>
      <c r="AB270" s="22">
        <v>260</v>
      </c>
      <c r="AC270" s="22">
        <v>0.39019799999999999</v>
      </c>
      <c r="AD270">
        <f t="shared" si="52"/>
        <v>17.864999999999998</v>
      </c>
      <c r="AE270">
        <f t="shared" si="53"/>
        <v>6.9812489699999993</v>
      </c>
      <c r="AF270" s="9"/>
      <c r="AG270" s="22">
        <v>1.20926</v>
      </c>
      <c r="AH270" s="22">
        <v>380.928</v>
      </c>
      <c r="AI270" s="22">
        <v>-1.6983000000000002E-2</v>
      </c>
      <c r="AJ270" s="22">
        <v>260</v>
      </c>
      <c r="AK270" s="22">
        <v>1.2084999999999999</v>
      </c>
      <c r="AL270">
        <f t="shared" si="54"/>
        <v>16.983000000000001</v>
      </c>
      <c r="AM270">
        <f t="shared" si="55"/>
        <v>20.536862580000001</v>
      </c>
      <c r="AP270" s="9"/>
      <c r="AQ270" s="22">
        <v>0.39077800000000001</v>
      </c>
      <c r="AR270" s="22">
        <v>516.70600000000002</v>
      </c>
      <c r="AS270" s="22">
        <v>-1.7788700000000001E-2</v>
      </c>
      <c r="AT270" s="22">
        <v>260</v>
      </c>
      <c r="AU270" s="22">
        <v>0.39016699999999999</v>
      </c>
      <c r="AV270">
        <f t="shared" si="56"/>
        <v>17.788700000000002</v>
      </c>
      <c r="AW270">
        <f t="shared" si="57"/>
        <v>6.9514326086000011</v>
      </c>
      <c r="AX270" s="9"/>
      <c r="AY270" s="22">
        <v>1.20926</v>
      </c>
      <c r="AZ270" s="22">
        <v>639.06299999999999</v>
      </c>
      <c r="BA270" s="22">
        <v>-1.69891E-2</v>
      </c>
      <c r="BB270" s="22">
        <v>260</v>
      </c>
      <c r="BC270" s="22">
        <v>1.2084999999999999</v>
      </c>
      <c r="BD270">
        <f t="shared" si="58"/>
        <v>16.989100000000001</v>
      </c>
      <c r="BE270">
        <f t="shared" si="59"/>
        <v>20.544239065999999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102.54600000000001</v>
      </c>
      <c r="I271" s="22">
        <v>-1.7898600000000001E-2</v>
      </c>
      <c r="J271" s="22">
        <v>261</v>
      </c>
      <c r="K271" s="22">
        <v>0.385071</v>
      </c>
      <c r="L271">
        <f t="shared" si="48"/>
        <v>17.898600000000002</v>
      </c>
      <c r="M271">
        <f t="shared" si="49"/>
        <v>6.9042417612000007</v>
      </c>
      <c r="N271" s="9"/>
      <c r="O271" s="22">
        <v>1.2142900000000001</v>
      </c>
      <c r="P271" s="22">
        <v>217.46299999999999</v>
      </c>
      <c r="Q271" s="22">
        <v>-1.71539E-2</v>
      </c>
      <c r="R271" s="22">
        <v>261</v>
      </c>
      <c r="S271" s="22">
        <v>1.2133799999999999</v>
      </c>
      <c r="T271">
        <f t="shared" si="50"/>
        <v>17.1539</v>
      </c>
      <c r="U271">
        <f t="shared" si="51"/>
        <v>20.829809231000002</v>
      </c>
      <c r="X271" s="9"/>
      <c r="Y271" s="22">
        <v>0.38574199999999997</v>
      </c>
      <c r="Z271" s="22">
        <v>320.45</v>
      </c>
      <c r="AA271" s="22">
        <v>-1.7864999999999999E-2</v>
      </c>
      <c r="AB271" s="22">
        <v>261</v>
      </c>
      <c r="AC271" s="22">
        <v>0.38519300000000001</v>
      </c>
      <c r="AD271">
        <f t="shared" si="52"/>
        <v>17.864999999999998</v>
      </c>
      <c r="AE271">
        <f t="shared" si="53"/>
        <v>6.8912808299999986</v>
      </c>
      <c r="AF271" s="9"/>
      <c r="AG271" s="22">
        <v>1.2142900000000001</v>
      </c>
      <c r="AH271" s="22">
        <v>381.029</v>
      </c>
      <c r="AI271" s="22">
        <v>-1.69617E-2</v>
      </c>
      <c r="AJ271" s="22">
        <v>261</v>
      </c>
      <c r="AK271" s="22">
        <v>1.2142900000000001</v>
      </c>
      <c r="AL271">
        <f t="shared" si="54"/>
        <v>16.9617</v>
      </c>
      <c r="AM271">
        <f t="shared" si="55"/>
        <v>20.596422693000001</v>
      </c>
      <c r="AP271" s="9"/>
      <c r="AQ271" s="22">
        <v>0.38574199999999997</v>
      </c>
      <c r="AR271" s="22">
        <v>516.80700000000002</v>
      </c>
      <c r="AS271" s="22">
        <v>-1.7788700000000001E-2</v>
      </c>
      <c r="AT271" s="22">
        <v>261</v>
      </c>
      <c r="AU271" s="22">
        <v>0.385071</v>
      </c>
      <c r="AV271">
        <f t="shared" si="56"/>
        <v>17.788700000000002</v>
      </c>
      <c r="AW271">
        <f t="shared" si="57"/>
        <v>6.8618487154000007</v>
      </c>
      <c r="AX271" s="9"/>
      <c r="AY271" s="22">
        <v>1.2142900000000001</v>
      </c>
      <c r="AZ271" s="22">
        <v>639.16399999999999</v>
      </c>
      <c r="BA271" s="22">
        <v>-1.6970800000000001E-2</v>
      </c>
      <c r="BB271" s="22">
        <v>261</v>
      </c>
      <c r="BC271" s="22">
        <v>1.2130700000000001</v>
      </c>
      <c r="BD271">
        <f t="shared" si="58"/>
        <v>16.970800000000001</v>
      </c>
      <c r="BE271">
        <f t="shared" si="59"/>
        <v>20.607472732000002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102.64700000000001</v>
      </c>
      <c r="I272" s="22">
        <v>-1.7907699999999999E-2</v>
      </c>
      <c r="J272" s="22">
        <v>262</v>
      </c>
      <c r="K272" s="22">
        <v>0.37997399999999998</v>
      </c>
      <c r="L272">
        <f t="shared" si="48"/>
        <v>17.907699999999998</v>
      </c>
      <c r="M272">
        <f t="shared" si="49"/>
        <v>6.8175867438999997</v>
      </c>
      <c r="N272" s="9"/>
      <c r="O272" s="22">
        <v>1.21933</v>
      </c>
      <c r="P272" s="22">
        <v>217.56399999999999</v>
      </c>
      <c r="Q272" s="22">
        <v>-1.71661E-2</v>
      </c>
      <c r="R272" s="22">
        <v>262</v>
      </c>
      <c r="S272" s="22">
        <v>1.2185699999999999</v>
      </c>
      <c r="T272">
        <f t="shared" si="50"/>
        <v>17.1661</v>
      </c>
      <c r="U272">
        <f t="shared" si="51"/>
        <v>20.931140713000001</v>
      </c>
      <c r="X272" s="9"/>
      <c r="Y272" s="22">
        <v>0.38070700000000002</v>
      </c>
      <c r="Z272" s="22">
        <v>320.55</v>
      </c>
      <c r="AA272" s="22">
        <v>-1.78589E-2</v>
      </c>
      <c r="AB272" s="22">
        <v>262</v>
      </c>
      <c r="AC272" s="22">
        <v>0.38006600000000001</v>
      </c>
      <c r="AD272">
        <f t="shared" si="52"/>
        <v>17.858900000000002</v>
      </c>
      <c r="AE272">
        <f t="shared" si="53"/>
        <v>6.7990082423000011</v>
      </c>
      <c r="AF272" s="9"/>
      <c r="AG272" s="22">
        <v>1.21933</v>
      </c>
      <c r="AH272" s="22">
        <v>381.12900000000002</v>
      </c>
      <c r="AI272" s="22">
        <v>-1.6940299999999998E-2</v>
      </c>
      <c r="AJ272" s="22">
        <v>262</v>
      </c>
      <c r="AK272" s="22">
        <v>1.2179599999999999</v>
      </c>
      <c r="AL272">
        <f t="shared" si="54"/>
        <v>16.940299999999997</v>
      </c>
      <c r="AM272">
        <f t="shared" si="55"/>
        <v>20.655815998999998</v>
      </c>
      <c r="AP272" s="9"/>
      <c r="AQ272" s="22">
        <v>0.38070700000000002</v>
      </c>
      <c r="AR272" s="22">
        <v>516.90800000000002</v>
      </c>
      <c r="AS272" s="22">
        <v>-1.7800900000000001E-2</v>
      </c>
      <c r="AT272" s="22">
        <v>262</v>
      </c>
      <c r="AU272" s="22">
        <v>0.37997399999999998</v>
      </c>
      <c r="AV272">
        <f t="shared" si="56"/>
        <v>17.800900000000002</v>
      </c>
      <c r="AW272">
        <f t="shared" si="57"/>
        <v>6.7769272363000015</v>
      </c>
      <c r="AX272" s="9"/>
      <c r="AY272" s="22">
        <v>1.21933</v>
      </c>
      <c r="AZ272" s="22">
        <v>639.26499999999999</v>
      </c>
      <c r="BA272" s="22">
        <v>-1.69739E-2</v>
      </c>
      <c r="BB272" s="22">
        <v>262</v>
      </c>
      <c r="BC272" s="22">
        <v>1.2185699999999999</v>
      </c>
      <c r="BD272">
        <f t="shared" si="58"/>
        <v>16.9739</v>
      </c>
      <c r="BE272">
        <f t="shared" si="59"/>
        <v>20.696785487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102.747</v>
      </c>
      <c r="I273" s="22">
        <v>-1.7898600000000001E-2</v>
      </c>
      <c r="J273" s="22">
        <v>263</v>
      </c>
      <c r="K273" s="22">
        <v>0.37487799999999999</v>
      </c>
      <c r="L273">
        <f t="shared" si="48"/>
        <v>17.898600000000002</v>
      </c>
      <c r="M273">
        <f t="shared" si="49"/>
        <v>6.7239849606000002</v>
      </c>
      <c r="N273" s="9"/>
      <c r="O273" s="22">
        <v>1.22437</v>
      </c>
      <c r="P273" s="22">
        <v>217.66399999999999</v>
      </c>
      <c r="Q273" s="22">
        <v>-1.7141699999999999E-2</v>
      </c>
      <c r="R273" s="22">
        <v>263</v>
      </c>
      <c r="S273" s="22">
        <v>1.2231399999999999</v>
      </c>
      <c r="T273">
        <f t="shared" si="50"/>
        <v>17.1417</v>
      </c>
      <c r="U273">
        <f t="shared" si="51"/>
        <v>20.987783228999998</v>
      </c>
      <c r="X273" s="9"/>
      <c r="Y273" s="22">
        <v>0.37567099999999998</v>
      </c>
      <c r="Z273" s="22">
        <v>320.65100000000001</v>
      </c>
      <c r="AA273" s="22">
        <v>-1.7867999999999998E-2</v>
      </c>
      <c r="AB273" s="22">
        <v>263</v>
      </c>
      <c r="AC273" s="22">
        <v>0.37536599999999998</v>
      </c>
      <c r="AD273">
        <f t="shared" si="52"/>
        <v>17.867999999999999</v>
      </c>
      <c r="AE273">
        <f t="shared" si="53"/>
        <v>6.7124894279999987</v>
      </c>
      <c r="AF273" s="9"/>
      <c r="AG273" s="22">
        <v>1.22437</v>
      </c>
      <c r="AH273" s="22">
        <v>381.23</v>
      </c>
      <c r="AI273" s="22">
        <v>-1.6928100000000001E-2</v>
      </c>
      <c r="AJ273" s="22">
        <v>263</v>
      </c>
      <c r="AK273" s="22">
        <v>1.2234499999999999</v>
      </c>
      <c r="AL273">
        <f t="shared" si="54"/>
        <v>16.928100000000001</v>
      </c>
      <c r="AM273">
        <f t="shared" si="55"/>
        <v>20.726257796999999</v>
      </c>
      <c r="AP273" s="9"/>
      <c r="AQ273" s="22">
        <v>0.37567099999999998</v>
      </c>
      <c r="AR273" s="22">
        <v>517.00800000000004</v>
      </c>
      <c r="AS273" s="22">
        <v>-1.78192E-2</v>
      </c>
      <c r="AT273" s="22">
        <v>263</v>
      </c>
      <c r="AU273" s="22">
        <v>0.375</v>
      </c>
      <c r="AV273">
        <f t="shared" si="56"/>
        <v>17.819199999999999</v>
      </c>
      <c r="AW273">
        <f t="shared" si="57"/>
        <v>6.6941566831999992</v>
      </c>
      <c r="AX273" s="9"/>
      <c r="AY273" s="22">
        <v>1.22437</v>
      </c>
      <c r="AZ273" s="22">
        <v>639.36599999999999</v>
      </c>
      <c r="BA273" s="22">
        <v>-1.69617E-2</v>
      </c>
      <c r="BB273" s="22">
        <v>263</v>
      </c>
      <c r="BC273" s="22">
        <v>1.2234499999999999</v>
      </c>
      <c r="BD273">
        <f t="shared" si="58"/>
        <v>16.9617</v>
      </c>
      <c r="BE273">
        <f t="shared" si="59"/>
        <v>20.767396629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102.848</v>
      </c>
      <c r="I274" s="22">
        <v>-1.7904699999999999E-2</v>
      </c>
      <c r="J274" s="22">
        <v>264</v>
      </c>
      <c r="K274" s="22">
        <v>0.370056</v>
      </c>
      <c r="L274">
        <f t="shared" si="48"/>
        <v>17.904699999999998</v>
      </c>
      <c r="M274">
        <f t="shared" si="49"/>
        <v>6.6361263891999993</v>
      </c>
      <c r="N274" s="9"/>
      <c r="O274" s="22">
        <v>1.2294</v>
      </c>
      <c r="P274" s="22">
        <v>217.76499999999999</v>
      </c>
      <c r="Q274" s="22">
        <v>-1.7147800000000001E-2</v>
      </c>
      <c r="R274" s="22">
        <v>264</v>
      </c>
      <c r="S274" s="22">
        <v>1.2289399999999999</v>
      </c>
      <c r="T274">
        <f t="shared" si="50"/>
        <v>17.1478</v>
      </c>
      <c r="U274">
        <f t="shared" si="51"/>
        <v>21.081505320000002</v>
      </c>
      <c r="X274" s="9"/>
      <c r="Y274" s="22">
        <v>0.37063600000000002</v>
      </c>
      <c r="Z274" s="22">
        <v>320.75200000000001</v>
      </c>
      <c r="AA274" s="22">
        <v>-1.7871100000000001E-2</v>
      </c>
      <c r="AB274" s="22">
        <v>264</v>
      </c>
      <c r="AC274" s="22">
        <v>0.36996499999999999</v>
      </c>
      <c r="AD274">
        <f t="shared" si="52"/>
        <v>17.871100000000002</v>
      </c>
      <c r="AE274">
        <f t="shared" si="53"/>
        <v>6.6236730196000009</v>
      </c>
      <c r="AF274" s="9"/>
      <c r="AG274" s="22">
        <v>1.2294</v>
      </c>
      <c r="AH274" s="22">
        <v>381.33100000000002</v>
      </c>
      <c r="AI274" s="22">
        <v>-1.6918900000000001E-2</v>
      </c>
      <c r="AJ274" s="22">
        <v>264</v>
      </c>
      <c r="AK274" s="22">
        <v>1.2283299999999999</v>
      </c>
      <c r="AL274">
        <f t="shared" si="54"/>
        <v>16.918900000000001</v>
      </c>
      <c r="AM274">
        <f t="shared" si="55"/>
        <v>20.80009566</v>
      </c>
      <c r="AP274" s="9"/>
      <c r="AQ274" s="22">
        <v>0.37063600000000002</v>
      </c>
      <c r="AR274" s="22">
        <v>517.10900000000004</v>
      </c>
      <c r="AS274" s="22">
        <v>-1.7816200000000001E-2</v>
      </c>
      <c r="AT274" s="22">
        <v>264</v>
      </c>
      <c r="AU274" s="22">
        <v>0.37017800000000001</v>
      </c>
      <c r="AV274">
        <f t="shared" si="56"/>
        <v>17.816200000000002</v>
      </c>
      <c r="AW274">
        <f t="shared" si="57"/>
        <v>6.6033251032000013</v>
      </c>
      <c r="AX274" s="9"/>
      <c r="AY274" s="22">
        <v>1.2294</v>
      </c>
      <c r="AZ274" s="22">
        <v>639.46600000000001</v>
      </c>
      <c r="BA274" s="22">
        <v>-1.6937299999999999E-2</v>
      </c>
      <c r="BB274" s="22">
        <v>264</v>
      </c>
      <c r="BC274" s="22">
        <v>1.2289399999999999</v>
      </c>
      <c r="BD274">
        <f t="shared" si="58"/>
        <v>16.9373</v>
      </c>
      <c r="BE274">
        <f t="shared" si="59"/>
        <v>20.822716620000001</v>
      </c>
    </row>
    <row r="275" spans="6:101">
      <c r="F275" s="9"/>
      <c r="G275" s="22">
        <v>0.36560100000000001</v>
      </c>
      <c r="H275" s="22">
        <v>102.949</v>
      </c>
      <c r="I275" s="22">
        <v>-1.7904699999999999E-2</v>
      </c>
      <c r="J275" s="22">
        <v>265</v>
      </c>
      <c r="K275" s="22">
        <v>0.36508200000000002</v>
      </c>
      <c r="L275">
        <f t="shared" si="48"/>
        <v>17.904699999999998</v>
      </c>
      <c r="M275">
        <f t="shared" si="49"/>
        <v>6.5459762246999995</v>
      </c>
      <c r="N275" s="9"/>
      <c r="O275" s="22">
        <v>1.23444</v>
      </c>
      <c r="P275" s="22">
        <v>217.86600000000001</v>
      </c>
      <c r="Q275" s="22">
        <v>-1.7120400000000001E-2</v>
      </c>
      <c r="R275" s="22">
        <v>265</v>
      </c>
      <c r="S275" s="22">
        <v>1.23322</v>
      </c>
      <c r="T275">
        <f t="shared" si="50"/>
        <v>17.1204</v>
      </c>
      <c r="U275">
        <f t="shared" si="51"/>
        <v>21.134106576000001</v>
      </c>
      <c r="X275" s="9"/>
      <c r="Y275" s="22">
        <v>0.36560100000000001</v>
      </c>
      <c r="Z275" s="22">
        <v>320.85300000000001</v>
      </c>
      <c r="AA275" s="22">
        <v>-1.7877199999999999E-2</v>
      </c>
      <c r="AB275" s="22">
        <v>265</v>
      </c>
      <c r="AC275" s="22">
        <v>0.36505100000000001</v>
      </c>
      <c r="AD275">
        <f t="shared" si="52"/>
        <v>17.877199999999998</v>
      </c>
      <c r="AE275">
        <f t="shared" si="53"/>
        <v>6.5359221971999997</v>
      </c>
      <c r="AF275" s="9"/>
      <c r="AG275" s="22">
        <v>1.23444</v>
      </c>
      <c r="AH275" s="22">
        <v>381.43200000000002</v>
      </c>
      <c r="AI275" s="22">
        <v>-1.6903700000000001E-2</v>
      </c>
      <c r="AJ275" s="22">
        <v>265</v>
      </c>
      <c r="AK275" s="22">
        <v>1.23291</v>
      </c>
      <c r="AL275">
        <f t="shared" si="54"/>
        <v>16.903700000000001</v>
      </c>
      <c r="AM275">
        <f t="shared" si="55"/>
        <v>20.866603428000001</v>
      </c>
      <c r="AP275" s="9"/>
      <c r="AQ275" s="22">
        <v>0.36560100000000001</v>
      </c>
      <c r="AR275" s="22">
        <v>517.21</v>
      </c>
      <c r="AS275" s="22">
        <v>-1.7822299999999999E-2</v>
      </c>
      <c r="AT275" s="22">
        <v>265</v>
      </c>
      <c r="AU275" s="22">
        <v>0.36505100000000001</v>
      </c>
      <c r="AV275">
        <f t="shared" si="56"/>
        <v>17.822299999999998</v>
      </c>
      <c r="AW275">
        <f t="shared" si="57"/>
        <v>6.5158507022999999</v>
      </c>
      <c r="AX275" s="9"/>
      <c r="AY275" s="22">
        <v>1.23444</v>
      </c>
      <c r="AZ275" s="22">
        <v>639.56700000000001</v>
      </c>
      <c r="BA275" s="22">
        <v>-1.6922E-2</v>
      </c>
      <c r="BB275" s="22">
        <v>265</v>
      </c>
      <c r="BC275" s="22">
        <v>1.23383</v>
      </c>
      <c r="BD275">
        <f t="shared" si="58"/>
        <v>16.922000000000001</v>
      </c>
      <c r="BE275">
        <f t="shared" si="59"/>
        <v>20.889193680000002</v>
      </c>
    </row>
    <row r="276" spans="6:101">
      <c r="F276" s="9"/>
      <c r="G276" s="22">
        <v>0.36056500000000002</v>
      </c>
      <c r="H276" s="22">
        <v>103.05</v>
      </c>
      <c r="I276" s="22">
        <v>-1.7913800000000001E-2</v>
      </c>
      <c r="J276" s="22">
        <v>266</v>
      </c>
      <c r="K276" s="22">
        <v>0.359985</v>
      </c>
      <c r="L276">
        <f t="shared" si="48"/>
        <v>17.913800000000002</v>
      </c>
      <c r="M276">
        <f t="shared" si="49"/>
        <v>6.4590892970000011</v>
      </c>
      <c r="N276" s="9"/>
      <c r="O276" s="22">
        <v>1.2394700000000001</v>
      </c>
      <c r="P276" s="22">
        <v>217.96700000000001</v>
      </c>
      <c r="Q276" s="22">
        <v>-1.71112E-2</v>
      </c>
      <c r="R276" s="22">
        <v>266</v>
      </c>
      <c r="S276" s="22">
        <v>1.2381</v>
      </c>
      <c r="T276">
        <f t="shared" si="50"/>
        <v>17.1112</v>
      </c>
      <c r="U276">
        <f t="shared" si="51"/>
        <v>21.208819064</v>
      </c>
      <c r="X276" s="9"/>
      <c r="Y276" s="22">
        <v>0.36056500000000002</v>
      </c>
      <c r="Z276" s="22">
        <v>320.95299999999997</v>
      </c>
      <c r="AA276" s="22">
        <v>-1.78741E-2</v>
      </c>
      <c r="AB276" s="22">
        <v>266</v>
      </c>
      <c r="AC276" s="22">
        <v>0.360016</v>
      </c>
      <c r="AD276">
        <f t="shared" si="52"/>
        <v>17.874100000000002</v>
      </c>
      <c r="AE276">
        <f t="shared" si="53"/>
        <v>6.4447748665000013</v>
      </c>
      <c r="AF276" s="9"/>
      <c r="AG276" s="22">
        <v>1.2394700000000001</v>
      </c>
      <c r="AH276" s="22">
        <v>381.53199999999998</v>
      </c>
      <c r="AI276" s="22">
        <v>-1.68915E-2</v>
      </c>
      <c r="AJ276" s="22">
        <v>266</v>
      </c>
      <c r="AK276" s="22">
        <v>1.23871</v>
      </c>
      <c r="AL276">
        <f t="shared" si="54"/>
        <v>16.891500000000001</v>
      </c>
      <c r="AM276">
        <f t="shared" si="55"/>
        <v>20.936507505000002</v>
      </c>
      <c r="AP276" s="9"/>
      <c r="AQ276" s="22">
        <v>0.36056500000000002</v>
      </c>
      <c r="AR276" s="22">
        <v>517.31100000000004</v>
      </c>
      <c r="AS276" s="22">
        <v>-1.7810099999999999E-2</v>
      </c>
      <c r="AT276" s="22">
        <v>266</v>
      </c>
      <c r="AU276" s="22">
        <v>0.36004599999999998</v>
      </c>
      <c r="AV276">
        <f t="shared" si="56"/>
        <v>17.810099999999998</v>
      </c>
      <c r="AW276">
        <f t="shared" si="57"/>
        <v>6.4216987065</v>
      </c>
      <c r="AX276" s="9"/>
      <c r="AY276" s="22">
        <v>1.2394700000000001</v>
      </c>
      <c r="AZ276" s="22">
        <v>639.66800000000001</v>
      </c>
      <c r="BA276" s="22">
        <v>-1.6900600000000002E-2</v>
      </c>
      <c r="BB276" s="22">
        <v>266</v>
      </c>
      <c r="BC276" s="22">
        <v>1.2381</v>
      </c>
      <c r="BD276">
        <f t="shared" si="58"/>
        <v>16.900600000000001</v>
      </c>
      <c r="BE276">
        <f t="shared" si="59"/>
        <v>20.947786682000004</v>
      </c>
    </row>
    <row r="277" spans="6:101">
      <c r="F277" s="9"/>
      <c r="G277" s="22">
        <v>0.35553000000000001</v>
      </c>
      <c r="H277" s="22">
        <v>103.15</v>
      </c>
      <c r="I277" s="22">
        <v>-1.7916899999999999E-2</v>
      </c>
      <c r="J277" s="22">
        <v>267</v>
      </c>
      <c r="K277" s="22">
        <v>0.353302</v>
      </c>
      <c r="L277">
        <f t="shared" si="48"/>
        <v>17.916899999999998</v>
      </c>
      <c r="M277">
        <f t="shared" si="49"/>
        <v>6.3699954569999999</v>
      </c>
      <c r="N277" s="9"/>
      <c r="O277" s="22">
        <v>1.24451</v>
      </c>
      <c r="P277" s="22">
        <v>218.06700000000001</v>
      </c>
      <c r="Q277" s="22">
        <v>-1.7086799999999999E-2</v>
      </c>
      <c r="R277" s="22">
        <v>267</v>
      </c>
      <c r="S277" s="22">
        <v>1.2439</v>
      </c>
      <c r="T277">
        <f t="shared" si="50"/>
        <v>17.0868</v>
      </c>
      <c r="U277">
        <f t="shared" si="51"/>
        <v>21.264693468000001</v>
      </c>
      <c r="X277" s="9"/>
      <c r="Y277" s="22">
        <v>0.35553000000000001</v>
      </c>
      <c r="Z277" s="22">
        <v>321.05399999999997</v>
      </c>
      <c r="AA277" s="22">
        <v>-1.7883300000000001E-2</v>
      </c>
      <c r="AB277" s="22">
        <v>267</v>
      </c>
      <c r="AC277" s="22">
        <v>0.35491899999999998</v>
      </c>
      <c r="AD277">
        <f t="shared" si="52"/>
        <v>17.883300000000002</v>
      </c>
      <c r="AE277">
        <f t="shared" si="53"/>
        <v>6.3580496490000007</v>
      </c>
      <c r="AF277" s="9"/>
      <c r="AG277" s="22">
        <v>1.24451</v>
      </c>
      <c r="AH277" s="22">
        <v>381.63299999999998</v>
      </c>
      <c r="AI277" s="22">
        <v>-1.6870099999999999E-2</v>
      </c>
      <c r="AJ277" s="22">
        <v>267</v>
      </c>
      <c r="AK277" s="22">
        <v>1.24359</v>
      </c>
      <c r="AL277">
        <f t="shared" si="54"/>
        <v>16.870100000000001</v>
      </c>
      <c r="AM277">
        <f t="shared" si="55"/>
        <v>20.995008151</v>
      </c>
      <c r="AP277" s="9"/>
      <c r="AQ277" s="22">
        <v>0.35553000000000001</v>
      </c>
      <c r="AR277" s="22">
        <v>517.41099999999994</v>
      </c>
      <c r="AS277" s="22">
        <v>-1.7822299999999999E-2</v>
      </c>
      <c r="AT277" s="22">
        <v>267</v>
      </c>
      <c r="AU277" s="22">
        <v>0.35501100000000002</v>
      </c>
      <c r="AV277">
        <f t="shared" si="56"/>
        <v>17.822299999999998</v>
      </c>
      <c r="AW277">
        <f t="shared" si="57"/>
        <v>6.336362319</v>
      </c>
      <c r="AX277" s="9"/>
      <c r="AY277" s="22">
        <v>1.24451</v>
      </c>
      <c r="AZ277" s="22">
        <v>639.76800000000003</v>
      </c>
      <c r="BA277" s="22">
        <v>-1.68915E-2</v>
      </c>
      <c r="BB277" s="22">
        <v>267</v>
      </c>
      <c r="BC277" s="22">
        <v>1.24329</v>
      </c>
      <c r="BD277">
        <f t="shared" si="58"/>
        <v>16.891500000000001</v>
      </c>
      <c r="BE277">
        <f t="shared" si="59"/>
        <v>21.021640665</v>
      </c>
    </row>
    <row r="278" spans="6:101">
      <c r="F278" s="9"/>
      <c r="G278" s="22">
        <v>0.35049400000000003</v>
      </c>
      <c r="H278" s="22">
        <v>103.251</v>
      </c>
      <c r="I278" s="22">
        <v>-1.7916899999999999E-2</v>
      </c>
      <c r="J278" s="22">
        <v>268</v>
      </c>
      <c r="K278" s="22">
        <v>0.35104400000000002</v>
      </c>
      <c r="L278">
        <f t="shared" si="48"/>
        <v>17.916899999999998</v>
      </c>
      <c r="M278">
        <f t="shared" si="49"/>
        <v>6.2797659485999997</v>
      </c>
      <c r="N278" s="9"/>
      <c r="O278" s="22">
        <v>1.2495400000000001</v>
      </c>
      <c r="P278" s="22">
        <v>218.16800000000001</v>
      </c>
      <c r="Q278" s="22">
        <v>-1.7086799999999999E-2</v>
      </c>
      <c r="R278" s="22">
        <v>268</v>
      </c>
      <c r="S278" s="22">
        <v>1.25031</v>
      </c>
      <c r="T278">
        <f t="shared" si="50"/>
        <v>17.0868</v>
      </c>
      <c r="U278">
        <f t="shared" si="51"/>
        <v>21.350640072000001</v>
      </c>
      <c r="X278" s="9"/>
      <c r="Y278" s="22">
        <v>0.35049400000000003</v>
      </c>
      <c r="Z278" s="22">
        <v>321.15499999999997</v>
      </c>
      <c r="AA278" s="22">
        <v>-1.78894E-2</v>
      </c>
      <c r="AB278" s="22">
        <v>268</v>
      </c>
      <c r="AC278" s="22">
        <v>0.34979199999999999</v>
      </c>
      <c r="AD278">
        <f t="shared" si="52"/>
        <v>17.889399999999998</v>
      </c>
      <c r="AE278">
        <f t="shared" si="53"/>
        <v>6.2701273636000003</v>
      </c>
      <c r="AF278" s="9"/>
      <c r="AG278" s="22">
        <v>1.2495400000000001</v>
      </c>
      <c r="AH278" s="22">
        <v>381.73399999999998</v>
      </c>
      <c r="AI278" s="22">
        <v>-1.6845700000000002E-2</v>
      </c>
      <c r="AJ278" s="22">
        <v>268</v>
      </c>
      <c r="AK278" s="22">
        <v>1.24847</v>
      </c>
      <c r="AL278">
        <f t="shared" si="54"/>
        <v>16.845700000000001</v>
      </c>
      <c r="AM278">
        <f t="shared" si="55"/>
        <v>21.049375978000004</v>
      </c>
      <c r="AP278" s="9"/>
      <c r="AQ278" s="22">
        <v>0.35049400000000003</v>
      </c>
      <c r="AR278" s="22">
        <v>517.51199999999994</v>
      </c>
      <c r="AS278" s="22">
        <v>-1.78192E-2</v>
      </c>
      <c r="AT278" s="22">
        <v>268</v>
      </c>
      <c r="AU278" s="22">
        <v>0.34973100000000001</v>
      </c>
      <c r="AV278">
        <f t="shared" si="56"/>
        <v>17.819199999999999</v>
      </c>
      <c r="AW278">
        <f t="shared" si="57"/>
        <v>6.2455226848000001</v>
      </c>
      <c r="AX278" s="9"/>
      <c r="AY278" s="22">
        <v>1.2495400000000001</v>
      </c>
      <c r="AZ278" s="22">
        <v>639.86900000000003</v>
      </c>
      <c r="BA278" s="22">
        <v>-1.6857899999999999E-2</v>
      </c>
      <c r="BB278" s="22">
        <v>268</v>
      </c>
      <c r="BC278" s="22">
        <v>1.24878</v>
      </c>
      <c r="BD278">
        <f t="shared" si="58"/>
        <v>16.857899999999997</v>
      </c>
      <c r="BE278">
        <f t="shared" si="59"/>
        <v>21.064620366</v>
      </c>
    </row>
    <row r="279" spans="6:101">
      <c r="F279" s="9"/>
      <c r="G279" s="22">
        <v>0.34545900000000002</v>
      </c>
      <c r="H279" s="22">
        <v>103.352</v>
      </c>
      <c r="I279" s="22">
        <v>-1.7919899999999999E-2</v>
      </c>
      <c r="J279" s="22">
        <v>269</v>
      </c>
      <c r="K279" s="22">
        <v>0.34222399999999997</v>
      </c>
      <c r="L279">
        <f t="shared" si="48"/>
        <v>17.919899999999998</v>
      </c>
      <c r="M279">
        <f t="shared" si="49"/>
        <v>6.1905907340999997</v>
      </c>
      <c r="N279" s="9"/>
      <c r="O279" s="22">
        <v>1.25458</v>
      </c>
      <c r="P279" s="22">
        <v>218.26900000000001</v>
      </c>
      <c r="Q279" s="22">
        <v>-1.7080700000000001E-2</v>
      </c>
      <c r="R279" s="22">
        <v>269</v>
      </c>
      <c r="S279" s="22">
        <v>1.25366</v>
      </c>
      <c r="T279">
        <f t="shared" si="50"/>
        <v>17.0807</v>
      </c>
      <c r="U279">
        <f t="shared" si="51"/>
        <v>21.429104605999999</v>
      </c>
      <c r="X279" s="9"/>
      <c r="Y279" s="22">
        <v>0.34545900000000002</v>
      </c>
      <c r="Z279" s="22">
        <v>321.255</v>
      </c>
      <c r="AA279" s="22">
        <v>-1.7883300000000001E-2</v>
      </c>
      <c r="AB279" s="22">
        <v>269</v>
      </c>
      <c r="AC279" s="22">
        <v>0.34494000000000002</v>
      </c>
      <c r="AD279">
        <f t="shared" si="52"/>
        <v>17.883300000000002</v>
      </c>
      <c r="AE279">
        <f t="shared" si="53"/>
        <v>6.1779469347000013</v>
      </c>
      <c r="AF279" s="9"/>
      <c r="AG279" s="22">
        <v>1.25458</v>
      </c>
      <c r="AH279" s="22">
        <v>381.834</v>
      </c>
      <c r="AI279" s="22">
        <v>-1.6867099999999999E-2</v>
      </c>
      <c r="AJ279" s="22">
        <v>269</v>
      </c>
      <c r="AK279" s="22">
        <v>1.25336</v>
      </c>
      <c r="AL279">
        <f t="shared" si="54"/>
        <v>16.867100000000001</v>
      </c>
      <c r="AM279">
        <f t="shared" si="55"/>
        <v>21.161126318000001</v>
      </c>
      <c r="AP279" s="9"/>
      <c r="AQ279" s="22">
        <v>0.34545900000000002</v>
      </c>
      <c r="AR279" s="22">
        <v>517.61300000000006</v>
      </c>
      <c r="AS279" s="22">
        <v>-1.7837499999999999E-2</v>
      </c>
      <c r="AT279" s="22">
        <v>269</v>
      </c>
      <c r="AU279" s="22">
        <v>0.34545900000000002</v>
      </c>
      <c r="AV279">
        <f t="shared" si="56"/>
        <v>17.837499999999999</v>
      </c>
      <c r="AW279">
        <f t="shared" si="57"/>
        <v>6.1621249124999995</v>
      </c>
      <c r="AX279" s="9"/>
      <c r="AY279" s="22">
        <v>1.25458</v>
      </c>
      <c r="AZ279" s="22">
        <v>639.97</v>
      </c>
      <c r="BA279" s="22">
        <v>-1.6821300000000001E-2</v>
      </c>
      <c r="BB279" s="22">
        <v>269</v>
      </c>
      <c r="BC279" s="22">
        <v>1.25366</v>
      </c>
      <c r="BD279">
        <f t="shared" si="58"/>
        <v>16.821300000000001</v>
      </c>
      <c r="BE279">
        <f t="shared" si="59"/>
        <v>21.103666554</v>
      </c>
    </row>
    <row r="280" spans="6:101">
      <c r="F280" s="9"/>
      <c r="G280" s="22">
        <v>0.340424</v>
      </c>
      <c r="H280" s="22">
        <v>103.452</v>
      </c>
      <c r="I280" s="22">
        <v>-1.7926000000000001E-2</v>
      </c>
      <c r="J280" s="22">
        <v>270</v>
      </c>
      <c r="K280" s="22">
        <v>0.33990500000000001</v>
      </c>
      <c r="L280">
        <f t="shared" si="48"/>
        <v>17.926000000000002</v>
      </c>
      <c r="M280">
        <f t="shared" si="49"/>
        <v>6.1024406240000006</v>
      </c>
      <c r="N280" s="9"/>
      <c r="O280" s="22">
        <v>1.2596099999999999</v>
      </c>
      <c r="P280" s="22">
        <v>218.369</v>
      </c>
      <c r="Q280" s="22">
        <v>-1.7077599999999998E-2</v>
      </c>
      <c r="R280" s="22">
        <v>270</v>
      </c>
      <c r="S280" s="22">
        <v>1.25854</v>
      </c>
      <c r="T280">
        <f t="shared" si="50"/>
        <v>17.077599999999997</v>
      </c>
      <c r="U280">
        <f t="shared" si="51"/>
        <v>21.511115735999994</v>
      </c>
      <c r="X280" s="9"/>
      <c r="Y280" s="22">
        <v>0.340424</v>
      </c>
      <c r="Z280" s="22">
        <v>321.35599999999999</v>
      </c>
      <c r="AA280" s="22">
        <v>-1.7883300000000001E-2</v>
      </c>
      <c r="AB280" s="22">
        <v>270</v>
      </c>
      <c r="AC280" s="22">
        <v>0.33984399999999998</v>
      </c>
      <c r="AD280">
        <f t="shared" si="52"/>
        <v>17.883300000000002</v>
      </c>
      <c r="AE280">
        <f t="shared" si="53"/>
        <v>6.0879045192000003</v>
      </c>
      <c r="AF280" s="9"/>
      <c r="AG280" s="22">
        <v>1.2596099999999999</v>
      </c>
      <c r="AH280" s="22">
        <v>381.935</v>
      </c>
      <c r="AI280" s="22">
        <v>-1.68793E-2</v>
      </c>
      <c r="AJ280" s="22">
        <v>270</v>
      </c>
      <c r="AK280" s="22">
        <v>1.25854</v>
      </c>
      <c r="AL280">
        <f t="shared" si="54"/>
        <v>16.879300000000001</v>
      </c>
      <c r="AM280">
        <f t="shared" si="55"/>
        <v>21.261335072999998</v>
      </c>
      <c r="AP280" s="9"/>
      <c r="AQ280" s="22">
        <v>0.340424</v>
      </c>
      <c r="AR280" s="22">
        <v>517.71299999999997</v>
      </c>
      <c r="AS280" s="22">
        <v>-1.7840600000000002E-2</v>
      </c>
      <c r="AT280" s="22">
        <v>270</v>
      </c>
      <c r="AU280" s="22">
        <v>0.33990500000000001</v>
      </c>
      <c r="AV280">
        <f t="shared" si="56"/>
        <v>17.840600000000002</v>
      </c>
      <c r="AW280">
        <f t="shared" si="57"/>
        <v>6.0733684144000009</v>
      </c>
      <c r="AX280" s="9"/>
      <c r="AY280" s="22">
        <v>1.2596099999999999</v>
      </c>
      <c r="AZ280" s="22">
        <v>640.07100000000003</v>
      </c>
      <c r="BA280" s="22">
        <v>-1.67999E-2</v>
      </c>
      <c r="BB280" s="22">
        <v>270</v>
      </c>
      <c r="BC280" s="22">
        <v>1.25885</v>
      </c>
      <c r="BD280">
        <f t="shared" si="58"/>
        <v>16.799900000000001</v>
      </c>
      <c r="BE280">
        <f t="shared" si="59"/>
        <v>21.161322038999998</v>
      </c>
    </row>
    <row r="281" spans="6:101">
      <c r="F281" s="9"/>
      <c r="G281" s="22">
        <v>0.33538800000000002</v>
      </c>
      <c r="H281" s="22">
        <v>103.553</v>
      </c>
      <c r="I281" s="22">
        <v>-1.7935199999999998E-2</v>
      </c>
      <c r="J281" s="22">
        <v>271</v>
      </c>
      <c r="K281" s="22">
        <v>0.33499099999999998</v>
      </c>
      <c r="L281">
        <f t="shared" si="48"/>
        <v>17.935199999999998</v>
      </c>
      <c r="M281">
        <f t="shared" si="49"/>
        <v>6.0152508575999999</v>
      </c>
      <c r="N281" s="9"/>
      <c r="O281" s="22">
        <v>1.2646500000000001</v>
      </c>
      <c r="P281" s="22">
        <v>218.47</v>
      </c>
      <c r="Q281" s="22">
        <v>-1.7074599999999999E-2</v>
      </c>
      <c r="R281" s="22">
        <v>271</v>
      </c>
      <c r="S281" s="22">
        <v>1.26434</v>
      </c>
      <c r="T281">
        <f t="shared" si="50"/>
        <v>17.0746</v>
      </c>
      <c r="U281">
        <f t="shared" si="51"/>
        <v>21.593392890000001</v>
      </c>
      <c r="X281" s="9"/>
      <c r="Y281" s="22">
        <v>0.33538800000000002</v>
      </c>
      <c r="Z281" s="22">
        <v>321.45699999999999</v>
      </c>
      <c r="AA281" s="22">
        <v>-1.7895500000000002E-2</v>
      </c>
      <c r="AB281" s="22">
        <v>271</v>
      </c>
      <c r="AC281" s="22">
        <v>0.334839</v>
      </c>
      <c r="AD281">
        <f t="shared" si="52"/>
        <v>17.895500000000002</v>
      </c>
      <c r="AE281">
        <f t="shared" si="53"/>
        <v>6.0019359540000012</v>
      </c>
      <c r="AF281" s="9"/>
      <c r="AG281" s="22">
        <v>1.2646500000000001</v>
      </c>
      <c r="AH281" s="22">
        <v>382.036</v>
      </c>
      <c r="AI281" s="22">
        <v>-1.6861000000000001E-2</v>
      </c>
      <c r="AJ281" s="22">
        <v>271</v>
      </c>
      <c r="AK281" s="22">
        <v>1.2640400000000001</v>
      </c>
      <c r="AL281">
        <f t="shared" si="54"/>
        <v>16.861000000000001</v>
      </c>
      <c r="AM281">
        <f t="shared" si="55"/>
        <v>21.323263650000001</v>
      </c>
      <c r="AP281" s="9"/>
      <c r="AQ281" s="22">
        <v>0.33538800000000002</v>
      </c>
      <c r="AR281" s="22">
        <v>517.81399999999996</v>
      </c>
      <c r="AS281" s="22">
        <v>-1.7828400000000001E-2</v>
      </c>
      <c r="AT281" s="22">
        <v>271</v>
      </c>
      <c r="AU281" s="22">
        <v>0.33477800000000002</v>
      </c>
      <c r="AV281">
        <f t="shared" si="56"/>
        <v>17.828400000000002</v>
      </c>
      <c r="AW281">
        <f t="shared" si="57"/>
        <v>5.9794314192000009</v>
      </c>
      <c r="AX281" s="9"/>
      <c r="AY281" s="22">
        <v>1.2646500000000001</v>
      </c>
      <c r="AZ281" s="22">
        <v>640.17100000000005</v>
      </c>
      <c r="BA281" s="22">
        <v>-1.6778600000000001E-2</v>
      </c>
      <c r="BB281" s="22">
        <v>271</v>
      </c>
      <c r="BC281" s="22">
        <v>1.2640400000000001</v>
      </c>
      <c r="BD281">
        <f t="shared" si="58"/>
        <v>16.778600000000001</v>
      </c>
      <c r="BE281">
        <f t="shared" si="59"/>
        <v>21.219056490000003</v>
      </c>
    </row>
    <row r="282" spans="6:101">
      <c r="F282" s="9"/>
      <c r="G282" s="22">
        <v>0.33035300000000001</v>
      </c>
      <c r="H282" s="22">
        <v>103.654</v>
      </c>
      <c r="I282" s="22">
        <v>-1.7938200000000001E-2</v>
      </c>
      <c r="J282" s="22">
        <v>272</v>
      </c>
      <c r="K282" s="22">
        <v>0.33587600000000001</v>
      </c>
      <c r="L282">
        <f t="shared" si="48"/>
        <v>17.938200000000002</v>
      </c>
      <c r="M282">
        <f t="shared" si="49"/>
        <v>5.9259381846000005</v>
      </c>
      <c r="N282" s="9"/>
      <c r="O282" s="22">
        <v>1.2696799999999999</v>
      </c>
      <c r="P282" s="22">
        <v>218.571</v>
      </c>
      <c r="Q282" s="22">
        <v>-1.7053200000000001E-2</v>
      </c>
      <c r="R282" s="22">
        <v>272</v>
      </c>
      <c r="S282" s="22">
        <v>1.2686200000000001</v>
      </c>
      <c r="T282">
        <f t="shared" si="50"/>
        <v>17.0532</v>
      </c>
      <c r="U282">
        <f t="shared" si="51"/>
        <v>21.652106975999999</v>
      </c>
      <c r="X282" s="9"/>
      <c r="Y282" s="22">
        <v>0.33035300000000001</v>
      </c>
      <c r="Z282" s="22">
        <v>321.55799999999999</v>
      </c>
      <c r="AA282" s="22">
        <v>-1.7883300000000001E-2</v>
      </c>
      <c r="AB282" s="22">
        <v>272</v>
      </c>
      <c r="AC282" s="22">
        <v>0.32962000000000002</v>
      </c>
      <c r="AD282">
        <f t="shared" si="52"/>
        <v>17.883300000000002</v>
      </c>
      <c r="AE282">
        <f t="shared" si="53"/>
        <v>5.907801804900001</v>
      </c>
      <c r="AF282" s="9"/>
      <c r="AG282" s="22">
        <v>1.2696799999999999</v>
      </c>
      <c r="AH282" s="22">
        <v>382.13600000000002</v>
      </c>
      <c r="AI282" s="22">
        <v>-1.6876200000000001E-2</v>
      </c>
      <c r="AJ282" s="22">
        <v>272</v>
      </c>
      <c r="AK282" s="22">
        <v>1.26892</v>
      </c>
      <c r="AL282">
        <f t="shared" si="54"/>
        <v>16.876200000000001</v>
      </c>
      <c r="AM282">
        <f t="shared" si="55"/>
        <v>21.427373616000001</v>
      </c>
      <c r="AP282" s="9"/>
      <c r="AQ282" s="22">
        <v>0.33035300000000001</v>
      </c>
      <c r="AR282" s="22">
        <v>517.91499999999996</v>
      </c>
      <c r="AS282" s="22">
        <v>-1.7837499999999999E-2</v>
      </c>
      <c r="AT282" s="22">
        <v>272</v>
      </c>
      <c r="AU282" s="22">
        <v>0.32962000000000002</v>
      </c>
      <c r="AV282">
        <f t="shared" si="56"/>
        <v>17.837499999999999</v>
      </c>
      <c r="AW282">
        <f t="shared" si="57"/>
        <v>5.8926716374999994</v>
      </c>
      <c r="AX282" s="9"/>
      <c r="AY282" s="22">
        <v>1.2696799999999999</v>
      </c>
      <c r="AZ282" s="22">
        <v>640.27200000000005</v>
      </c>
      <c r="BA282" s="22">
        <v>-1.6687E-2</v>
      </c>
      <c r="BB282" s="22">
        <v>272</v>
      </c>
      <c r="BC282" s="22">
        <v>1.2692300000000001</v>
      </c>
      <c r="BD282">
        <f t="shared" si="58"/>
        <v>16.687000000000001</v>
      </c>
      <c r="BE282">
        <f t="shared" si="59"/>
        <v>21.187150160000002</v>
      </c>
    </row>
    <row r="283" spans="6:101">
      <c r="F283" s="9"/>
      <c r="G283" s="22">
        <v>0.32531700000000002</v>
      </c>
      <c r="H283" s="22">
        <v>103.755</v>
      </c>
      <c r="I283" s="22">
        <v>-1.7950399999999998E-2</v>
      </c>
      <c r="J283" s="22">
        <v>273</v>
      </c>
      <c r="K283" s="22">
        <v>0.32489000000000001</v>
      </c>
      <c r="L283">
        <f t="shared" si="48"/>
        <v>17.950399999999998</v>
      </c>
      <c r="M283">
        <f t="shared" si="49"/>
        <v>5.8395702768</v>
      </c>
      <c r="N283" s="9"/>
      <c r="O283" s="22">
        <v>1.2747200000000001</v>
      </c>
      <c r="P283" s="22">
        <v>218.672</v>
      </c>
      <c r="Q283" s="22">
        <v>-1.7038000000000001E-2</v>
      </c>
      <c r="R283" s="22">
        <v>273</v>
      </c>
      <c r="S283" s="22">
        <v>1.2738</v>
      </c>
      <c r="T283">
        <f t="shared" si="50"/>
        <v>17.038</v>
      </c>
      <c r="U283">
        <f t="shared" si="51"/>
        <v>21.718679360000003</v>
      </c>
      <c r="X283" s="9"/>
      <c r="Y283" s="22">
        <v>0.32531700000000002</v>
      </c>
      <c r="Z283" s="22">
        <v>321.65800000000002</v>
      </c>
      <c r="AA283" s="22">
        <v>-1.7898600000000001E-2</v>
      </c>
      <c r="AB283" s="22">
        <v>273</v>
      </c>
      <c r="AC283" s="22">
        <v>0.32470700000000002</v>
      </c>
      <c r="AD283">
        <f t="shared" si="52"/>
        <v>17.898600000000002</v>
      </c>
      <c r="AE283">
        <f t="shared" si="53"/>
        <v>5.8227188562000007</v>
      </c>
      <c r="AF283" s="9"/>
      <c r="AG283" s="22">
        <v>1.2747200000000001</v>
      </c>
      <c r="AH283" s="22">
        <v>382.23700000000002</v>
      </c>
      <c r="AI283" s="22">
        <v>-1.6870099999999999E-2</v>
      </c>
      <c r="AJ283" s="22">
        <v>273</v>
      </c>
      <c r="AK283" s="22">
        <v>1.2738</v>
      </c>
      <c r="AL283">
        <f t="shared" si="54"/>
        <v>16.870100000000001</v>
      </c>
      <c r="AM283">
        <f t="shared" si="55"/>
        <v>21.504653872000002</v>
      </c>
      <c r="AP283" s="9"/>
      <c r="AQ283" s="22">
        <v>0.32531700000000002</v>
      </c>
      <c r="AR283" s="22">
        <v>518.01599999999996</v>
      </c>
      <c r="AS283" s="22">
        <v>-1.7837499999999999E-2</v>
      </c>
      <c r="AT283" s="22">
        <v>273</v>
      </c>
      <c r="AU283" s="22">
        <v>0.32489000000000001</v>
      </c>
      <c r="AV283">
        <f t="shared" si="56"/>
        <v>17.837499999999999</v>
      </c>
      <c r="AW283">
        <f t="shared" si="57"/>
        <v>5.8028419874999999</v>
      </c>
      <c r="AX283" s="9"/>
      <c r="AY283" s="22">
        <v>1.2747200000000001</v>
      </c>
      <c r="AZ283" s="22">
        <v>640.37300000000005</v>
      </c>
      <c r="BA283" s="22">
        <v>-1.6641199999999998E-2</v>
      </c>
      <c r="BB283" s="22">
        <v>273</v>
      </c>
      <c r="BC283" s="22">
        <v>1.2738</v>
      </c>
      <c r="BD283">
        <f t="shared" si="58"/>
        <v>16.641199999999998</v>
      </c>
      <c r="BE283">
        <f t="shared" si="59"/>
        <v>21.212870463999998</v>
      </c>
    </row>
    <row r="284" spans="6:101">
      <c r="F284" s="9"/>
      <c r="G284" s="22">
        <v>0.32028200000000001</v>
      </c>
      <c r="H284" s="22">
        <v>103.855</v>
      </c>
      <c r="I284" s="22">
        <v>-1.7938200000000001E-2</v>
      </c>
      <c r="J284" s="22">
        <v>274</v>
      </c>
      <c r="K284" s="22">
        <v>0.31973299999999999</v>
      </c>
      <c r="L284">
        <f t="shared" si="48"/>
        <v>17.938200000000002</v>
      </c>
      <c r="M284">
        <f t="shared" si="49"/>
        <v>5.7452825724000007</v>
      </c>
      <c r="N284" s="9"/>
      <c r="O284" s="22">
        <v>1.2797499999999999</v>
      </c>
      <c r="P284" s="22">
        <v>218.77199999999999</v>
      </c>
      <c r="Q284" s="22">
        <v>-1.7034899999999999E-2</v>
      </c>
      <c r="R284" s="22">
        <v>274</v>
      </c>
      <c r="S284" s="22">
        <v>1.2789900000000001</v>
      </c>
      <c r="T284">
        <f t="shared" si="50"/>
        <v>17.0349</v>
      </c>
      <c r="U284">
        <f t="shared" si="51"/>
        <v>21.800413275</v>
      </c>
      <c r="X284" s="9"/>
      <c r="Y284" s="22">
        <v>0.32028200000000001</v>
      </c>
      <c r="Z284" s="22">
        <v>321.75900000000001</v>
      </c>
      <c r="AA284" s="22">
        <v>-1.7898600000000001E-2</v>
      </c>
      <c r="AB284" s="22">
        <v>274</v>
      </c>
      <c r="AC284" s="22">
        <v>0.31967200000000001</v>
      </c>
      <c r="AD284">
        <f t="shared" si="52"/>
        <v>17.898600000000002</v>
      </c>
      <c r="AE284">
        <f t="shared" si="53"/>
        <v>5.7325994052000011</v>
      </c>
      <c r="AF284" s="9"/>
      <c r="AG284" s="22">
        <v>1.2797499999999999</v>
      </c>
      <c r="AH284" s="22">
        <v>382.33800000000002</v>
      </c>
      <c r="AI284" s="22">
        <v>-1.68518E-2</v>
      </c>
      <c r="AJ284" s="22">
        <v>274</v>
      </c>
      <c r="AK284" s="22">
        <v>1.2796000000000001</v>
      </c>
      <c r="AL284">
        <f t="shared" si="54"/>
        <v>16.851800000000001</v>
      </c>
      <c r="AM284">
        <f t="shared" si="55"/>
        <v>21.566091050000001</v>
      </c>
      <c r="AP284" s="9"/>
      <c r="AQ284" s="22">
        <v>0.32028200000000001</v>
      </c>
      <c r="AR284" s="22">
        <v>518.11599999999999</v>
      </c>
      <c r="AS284" s="22">
        <v>-1.7822299999999999E-2</v>
      </c>
      <c r="AT284" s="22">
        <v>274</v>
      </c>
      <c r="AU284" s="22">
        <v>0.31973299999999999</v>
      </c>
      <c r="AV284">
        <f t="shared" si="56"/>
        <v>17.822299999999998</v>
      </c>
      <c r="AW284">
        <f t="shared" si="57"/>
        <v>5.7081618885999994</v>
      </c>
      <c r="AX284" s="9"/>
      <c r="AY284" s="22">
        <v>1.2797499999999999</v>
      </c>
      <c r="AZ284" s="22">
        <v>640.47299999999996</v>
      </c>
      <c r="BA284" s="22">
        <v>-1.6598499999999999E-2</v>
      </c>
      <c r="BB284" s="22">
        <v>274</v>
      </c>
      <c r="BC284" s="22">
        <v>1.2793000000000001</v>
      </c>
      <c r="BD284">
        <f t="shared" si="58"/>
        <v>16.598499999999998</v>
      </c>
      <c r="BE284">
        <f t="shared" si="59"/>
        <v>21.241930374999995</v>
      </c>
    </row>
    <row r="285" spans="6:101">
      <c r="F285" s="9"/>
      <c r="G285" s="22">
        <v>0.315247</v>
      </c>
      <c r="H285" s="22">
        <v>103.956</v>
      </c>
      <c r="I285" s="22">
        <v>-1.7935199999999998E-2</v>
      </c>
      <c r="J285" s="22">
        <v>275</v>
      </c>
      <c r="K285" s="22">
        <v>0.31533800000000001</v>
      </c>
      <c r="L285">
        <f t="shared" si="48"/>
        <v>17.935199999999998</v>
      </c>
      <c r="M285">
        <f t="shared" si="49"/>
        <v>5.6540179943999993</v>
      </c>
      <c r="N285" s="9"/>
      <c r="O285" s="22">
        <v>1.2847900000000001</v>
      </c>
      <c r="P285" s="22">
        <v>218.87299999999999</v>
      </c>
      <c r="Q285" s="22">
        <v>-1.70288E-2</v>
      </c>
      <c r="R285" s="22">
        <v>275</v>
      </c>
      <c r="S285" s="22">
        <v>1.2838700000000001</v>
      </c>
      <c r="T285">
        <f t="shared" si="50"/>
        <v>17.0288</v>
      </c>
      <c r="U285">
        <f t="shared" si="51"/>
        <v>21.878431952000003</v>
      </c>
      <c r="X285" s="9"/>
      <c r="Y285" s="22">
        <v>0.315247</v>
      </c>
      <c r="Z285" s="22">
        <v>321.86</v>
      </c>
      <c r="AA285" s="22">
        <v>-1.7892499999999999E-2</v>
      </c>
      <c r="AB285" s="22">
        <v>275</v>
      </c>
      <c r="AC285" s="22">
        <v>0.314697</v>
      </c>
      <c r="AD285">
        <f t="shared" si="52"/>
        <v>17.892499999999998</v>
      </c>
      <c r="AE285">
        <f t="shared" si="53"/>
        <v>5.6405569474999995</v>
      </c>
      <c r="AF285" s="9"/>
      <c r="AG285" s="22">
        <v>1.2847900000000001</v>
      </c>
      <c r="AH285" s="22">
        <v>382.43900000000002</v>
      </c>
      <c r="AI285" s="22">
        <v>-1.6830399999999999E-2</v>
      </c>
      <c r="AJ285" s="22">
        <v>275</v>
      </c>
      <c r="AK285" s="22">
        <v>1.2838700000000001</v>
      </c>
      <c r="AL285">
        <f t="shared" si="54"/>
        <v>16.830399999999997</v>
      </c>
      <c r="AM285">
        <f t="shared" si="55"/>
        <v>21.623529615999999</v>
      </c>
      <c r="AP285" s="9"/>
      <c r="AQ285" s="22">
        <v>0.315247</v>
      </c>
      <c r="AR285" s="22">
        <v>518.21699999999998</v>
      </c>
      <c r="AS285" s="22">
        <v>-1.78589E-2</v>
      </c>
      <c r="AT285" s="22">
        <v>275</v>
      </c>
      <c r="AU285" s="22">
        <v>0.31414799999999998</v>
      </c>
      <c r="AV285">
        <f t="shared" si="56"/>
        <v>17.858900000000002</v>
      </c>
      <c r="AW285">
        <f t="shared" si="57"/>
        <v>5.6299646483000005</v>
      </c>
      <c r="AX285" s="9"/>
      <c r="AY285" s="22">
        <v>1.2847900000000001</v>
      </c>
      <c r="AZ285" s="22">
        <v>640.57399999999996</v>
      </c>
      <c r="BA285" s="22">
        <v>-1.6558799999999999E-2</v>
      </c>
      <c r="BB285" s="22">
        <v>275</v>
      </c>
      <c r="BC285" s="22">
        <v>1.2841800000000001</v>
      </c>
      <c r="BD285">
        <f t="shared" si="58"/>
        <v>16.558799999999998</v>
      </c>
      <c r="BE285">
        <f t="shared" si="59"/>
        <v>21.274580651999997</v>
      </c>
    </row>
    <row r="286" spans="6:101">
      <c r="F286" s="9"/>
      <c r="G286" s="22">
        <v>0.31021100000000001</v>
      </c>
      <c r="H286" s="22">
        <v>104.057</v>
      </c>
      <c r="I286" s="22">
        <v>-1.7938200000000001E-2</v>
      </c>
      <c r="J286" s="22">
        <v>276</v>
      </c>
      <c r="K286" s="22">
        <v>0.31210300000000002</v>
      </c>
      <c r="L286">
        <f t="shared" si="48"/>
        <v>17.938200000000002</v>
      </c>
      <c r="M286">
        <f t="shared" si="49"/>
        <v>5.5646269602000009</v>
      </c>
      <c r="N286" s="9"/>
      <c r="O286" s="22">
        <v>1.28983</v>
      </c>
      <c r="P286" s="22">
        <v>218.97399999999999</v>
      </c>
      <c r="Q286" s="22">
        <v>-1.7010500000000001E-2</v>
      </c>
      <c r="R286" s="22">
        <v>276</v>
      </c>
      <c r="S286" s="22">
        <v>1.2893699999999999</v>
      </c>
      <c r="T286">
        <f t="shared" si="50"/>
        <v>17.0105</v>
      </c>
      <c r="U286">
        <f t="shared" si="51"/>
        <v>21.940653215000001</v>
      </c>
      <c r="X286" s="9"/>
      <c r="Y286" s="22">
        <v>0.31021100000000001</v>
      </c>
      <c r="Z286" s="22">
        <v>321.95999999999998</v>
      </c>
      <c r="AA286" s="22">
        <v>-1.78894E-2</v>
      </c>
      <c r="AB286" s="22">
        <v>276</v>
      </c>
      <c r="AC286" s="22">
        <v>0.309784</v>
      </c>
      <c r="AD286">
        <f t="shared" si="52"/>
        <v>17.889399999999998</v>
      </c>
      <c r="AE286">
        <f t="shared" si="53"/>
        <v>5.5494886634</v>
      </c>
      <c r="AF286" s="9"/>
      <c r="AG286" s="22">
        <v>1.28983</v>
      </c>
      <c r="AH286" s="22">
        <v>382.53899999999999</v>
      </c>
      <c r="AI286" s="22">
        <v>-1.68518E-2</v>
      </c>
      <c r="AJ286" s="22">
        <v>276</v>
      </c>
      <c r="AK286" s="22">
        <v>1.2887599999999999</v>
      </c>
      <c r="AL286">
        <f t="shared" si="54"/>
        <v>16.851800000000001</v>
      </c>
      <c r="AM286">
        <f t="shared" si="55"/>
        <v>21.735957194000001</v>
      </c>
      <c r="AP286" s="9"/>
      <c r="AQ286" s="22">
        <v>0.31021100000000001</v>
      </c>
      <c r="AR286" s="22">
        <v>518.31799999999998</v>
      </c>
      <c r="AS286" s="22">
        <v>-1.7880199999999999E-2</v>
      </c>
      <c r="AT286" s="22">
        <v>276</v>
      </c>
      <c r="AU286" s="22">
        <v>0.30953999999999998</v>
      </c>
      <c r="AV286">
        <f t="shared" si="56"/>
        <v>17.880199999999999</v>
      </c>
      <c r="AW286">
        <f t="shared" si="57"/>
        <v>5.5466347221999994</v>
      </c>
      <c r="AX286" s="9"/>
      <c r="AY286" s="22">
        <v>1.28983</v>
      </c>
      <c r="AZ286" s="22">
        <v>640.67499999999995</v>
      </c>
      <c r="BA286" s="22">
        <v>-1.651E-2</v>
      </c>
      <c r="BB286" s="22">
        <v>276</v>
      </c>
      <c r="BC286" s="22">
        <v>1.2884500000000001</v>
      </c>
      <c r="BD286">
        <f t="shared" si="58"/>
        <v>16.510000000000002</v>
      </c>
      <c r="BE286">
        <f t="shared" si="59"/>
        <v>21.295093300000001</v>
      </c>
    </row>
    <row r="287" spans="6:101">
      <c r="F287" s="9"/>
      <c r="G287" s="22">
        <v>0.305176</v>
      </c>
      <c r="H287" s="22">
        <v>104.157</v>
      </c>
      <c r="I287" s="22">
        <v>-1.7935199999999998E-2</v>
      </c>
      <c r="J287" s="22">
        <v>277</v>
      </c>
      <c r="K287" s="22">
        <v>0.30456499999999997</v>
      </c>
      <c r="L287">
        <f t="shared" si="48"/>
        <v>17.935199999999998</v>
      </c>
      <c r="M287">
        <f t="shared" si="49"/>
        <v>5.4733925951999991</v>
      </c>
      <c r="N287" s="9"/>
      <c r="O287" s="22">
        <v>1.2948599999999999</v>
      </c>
      <c r="P287" s="22">
        <v>219.07400000000001</v>
      </c>
      <c r="Q287" s="22">
        <v>-1.7010500000000001E-2</v>
      </c>
      <c r="R287" s="22">
        <v>277</v>
      </c>
      <c r="S287" s="22">
        <v>1.2948599999999999</v>
      </c>
      <c r="T287">
        <f t="shared" si="50"/>
        <v>17.0105</v>
      </c>
      <c r="U287">
        <f t="shared" si="51"/>
        <v>22.026216030000001</v>
      </c>
      <c r="X287" s="9"/>
      <c r="Y287" s="22">
        <v>0.305176</v>
      </c>
      <c r="Z287" s="22">
        <v>322.06099999999998</v>
      </c>
      <c r="AA287" s="22">
        <v>-1.78864E-2</v>
      </c>
      <c r="AB287" s="22">
        <v>277</v>
      </c>
      <c r="AC287" s="22">
        <v>0.30441299999999999</v>
      </c>
      <c r="AD287">
        <f t="shared" si="52"/>
        <v>17.886400000000002</v>
      </c>
      <c r="AE287">
        <f t="shared" si="53"/>
        <v>5.4585000064000004</v>
      </c>
      <c r="AF287" s="9"/>
      <c r="AG287" s="22">
        <v>1.2948599999999999</v>
      </c>
      <c r="AH287" s="22">
        <v>382.64</v>
      </c>
      <c r="AI287" s="22">
        <v>-1.6821300000000001E-2</v>
      </c>
      <c r="AJ287" s="22">
        <v>277</v>
      </c>
      <c r="AK287" s="22">
        <v>1.2942499999999999</v>
      </c>
      <c r="AL287">
        <f t="shared" si="54"/>
        <v>16.821300000000001</v>
      </c>
      <c r="AM287">
        <f t="shared" si="55"/>
        <v>21.781228517999999</v>
      </c>
      <c r="AP287" s="9"/>
      <c r="AQ287" s="22">
        <v>0.305176</v>
      </c>
      <c r="AR287" s="22">
        <v>518.41800000000001</v>
      </c>
      <c r="AS287" s="22">
        <v>-1.78619E-2</v>
      </c>
      <c r="AT287" s="22">
        <v>277</v>
      </c>
      <c r="AU287" s="22">
        <v>0.30459599999999998</v>
      </c>
      <c r="AV287">
        <f t="shared" si="56"/>
        <v>17.861899999999999</v>
      </c>
      <c r="AW287">
        <f t="shared" si="57"/>
        <v>5.4510231943999994</v>
      </c>
      <c r="AX287" s="9"/>
      <c r="AY287" s="22">
        <v>1.2948599999999999</v>
      </c>
      <c r="AZ287" s="22">
        <v>640.77499999999998</v>
      </c>
      <c r="BA287" s="22">
        <v>-1.6439800000000001E-2</v>
      </c>
      <c r="BB287" s="22">
        <v>277</v>
      </c>
      <c r="BC287" s="22">
        <v>1.2945599999999999</v>
      </c>
      <c r="BD287">
        <f t="shared" si="58"/>
        <v>16.439800000000002</v>
      </c>
      <c r="BE287">
        <f t="shared" si="59"/>
        <v>21.287239427999999</v>
      </c>
    </row>
    <row r="288" spans="6:101">
      <c r="F288" s="9"/>
      <c r="G288" s="22">
        <v>0.30014000000000002</v>
      </c>
      <c r="H288" s="22">
        <v>104.258</v>
      </c>
      <c r="I288" s="22">
        <v>-1.7938200000000001E-2</v>
      </c>
      <c r="J288" s="22">
        <v>278</v>
      </c>
      <c r="K288" s="22">
        <v>0.299896</v>
      </c>
      <c r="L288">
        <f t="shared" si="48"/>
        <v>17.938200000000002</v>
      </c>
      <c r="M288">
        <f t="shared" si="49"/>
        <v>5.3839713480000011</v>
      </c>
      <c r="N288" s="9"/>
      <c r="O288" s="22">
        <v>1.2999000000000001</v>
      </c>
      <c r="P288" s="22">
        <v>219.17500000000001</v>
      </c>
      <c r="Q288" s="22">
        <v>-1.69891E-2</v>
      </c>
      <c r="R288" s="22">
        <v>278</v>
      </c>
      <c r="S288" s="22">
        <v>1.2991299999999999</v>
      </c>
      <c r="T288">
        <f t="shared" si="50"/>
        <v>16.989100000000001</v>
      </c>
      <c r="U288">
        <f t="shared" si="51"/>
        <v>22.084131090000003</v>
      </c>
      <c r="X288" s="9"/>
      <c r="Y288" s="22">
        <v>0.30014000000000002</v>
      </c>
      <c r="Z288" s="22">
        <v>322.16199999999998</v>
      </c>
      <c r="AA288" s="22">
        <v>-1.78864E-2</v>
      </c>
      <c r="AB288" s="22">
        <v>278</v>
      </c>
      <c r="AC288" s="22">
        <v>0.29965199999999997</v>
      </c>
      <c r="AD288">
        <f t="shared" si="52"/>
        <v>17.886400000000002</v>
      </c>
      <c r="AE288">
        <f t="shared" si="53"/>
        <v>5.3684240960000009</v>
      </c>
      <c r="AF288" s="9"/>
      <c r="AG288" s="22">
        <v>1.2999000000000001</v>
      </c>
      <c r="AH288" s="22">
        <v>382.74099999999999</v>
      </c>
      <c r="AI288" s="22">
        <v>-1.67969E-2</v>
      </c>
      <c r="AJ288" s="22">
        <v>278</v>
      </c>
      <c r="AK288" s="22">
        <v>1.2988299999999999</v>
      </c>
      <c r="AL288">
        <f t="shared" si="54"/>
        <v>16.796900000000001</v>
      </c>
      <c r="AM288">
        <f t="shared" si="55"/>
        <v>21.834290310000004</v>
      </c>
      <c r="AP288" s="9"/>
      <c r="AQ288" s="22">
        <v>0.30014000000000002</v>
      </c>
      <c r="AR288" s="22">
        <v>518.51900000000001</v>
      </c>
      <c r="AS288" s="22">
        <v>-1.7871100000000001E-2</v>
      </c>
      <c r="AT288" s="22">
        <v>278</v>
      </c>
      <c r="AU288" s="22">
        <v>0.299072</v>
      </c>
      <c r="AV288">
        <f t="shared" si="56"/>
        <v>17.871100000000002</v>
      </c>
      <c r="AW288">
        <f t="shared" si="57"/>
        <v>5.363831954000001</v>
      </c>
      <c r="AX288" s="9"/>
      <c r="AY288" s="22">
        <v>1.2999000000000001</v>
      </c>
      <c r="AZ288" s="22">
        <v>640.87599999999998</v>
      </c>
      <c r="BA288" s="22">
        <v>-1.6393999999999999E-2</v>
      </c>
      <c r="BB288" s="22">
        <v>278</v>
      </c>
      <c r="BC288" s="22">
        <v>1.2988299999999999</v>
      </c>
      <c r="BD288">
        <f t="shared" si="58"/>
        <v>16.393999999999998</v>
      </c>
      <c r="BE288">
        <f t="shared" si="59"/>
        <v>21.310560599999999</v>
      </c>
    </row>
    <row r="289" spans="6:57">
      <c r="F289" s="9"/>
      <c r="G289" s="22">
        <v>0.29510500000000001</v>
      </c>
      <c r="H289" s="22">
        <v>104.35899999999999</v>
      </c>
      <c r="I289" s="22">
        <v>-1.7947399999999999E-2</v>
      </c>
      <c r="J289" s="22">
        <v>279</v>
      </c>
      <c r="K289" s="22">
        <v>0.29440300000000003</v>
      </c>
      <c r="L289">
        <f t="shared" si="48"/>
        <v>17.947399999999998</v>
      </c>
      <c r="M289">
        <f t="shared" si="49"/>
        <v>5.2963674769999995</v>
      </c>
      <c r="N289" s="9"/>
      <c r="O289" s="22">
        <v>1.3049299999999999</v>
      </c>
      <c r="P289" s="22">
        <v>219.27600000000001</v>
      </c>
      <c r="Q289" s="22">
        <v>-1.69739E-2</v>
      </c>
      <c r="R289" s="22">
        <v>279</v>
      </c>
      <c r="S289" s="22">
        <v>1.3043199999999999</v>
      </c>
      <c r="T289">
        <f t="shared" si="50"/>
        <v>16.9739</v>
      </c>
      <c r="U289">
        <f t="shared" si="51"/>
        <v>22.149751327000001</v>
      </c>
      <c r="X289" s="9"/>
      <c r="Y289" s="22">
        <v>0.29510500000000001</v>
      </c>
      <c r="Z289" s="22">
        <v>322.262</v>
      </c>
      <c r="AA289" s="22">
        <v>-1.7892499999999999E-2</v>
      </c>
      <c r="AB289" s="22">
        <v>279</v>
      </c>
      <c r="AC289" s="22">
        <v>0.29403699999999999</v>
      </c>
      <c r="AD289">
        <f t="shared" si="52"/>
        <v>17.892499999999998</v>
      </c>
      <c r="AE289">
        <f t="shared" si="53"/>
        <v>5.2801662124999993</v>
      </c>
      <c r="AF289" s="9"/>
      <c r="AG289" s="22">
        <v>1.3049299999999999</v>
      </c>
      <c r="AH289" s="22">
        <v>382.84100000000001</v>
      </c>
      <c r="AI289" s="22">
        <v>-1.67694E-2</v>
      </c>
      <c r="AJ289" s="22">
        <v>279</v>
      </c>
      <c r="AK289" s="22">
        <v>1.30402</v>
      </c>
      <c r="AL289">
        <f t="shared" si="54"/>
        <v>16.769400000000001</v>
      </c>
      <c r="AM289">
        <f t="shared" si="55"/>
        <v>21.882893142</v>
      </c>
      <c r="AP289" s="9"/>
      <c r="AQ289" s="22">
        <v>0.29510500000000001</v>
      </c>
      <c r="AR289" s="22">
        <v>518.62</v>
      </c>
      <c r="AS289" s="22">
        <v>-1.79016E-2</v>
      </c>
      <c r="AT289" s="22">
        <v>279</v>
      </c>
      <c r="AU289" s="22">
        <v>0.294159</v>
      </c>
      <c r="AV289">
        <f t="shared" si="56"/>
        <v>17.901599999999998</v>
      </c>
      <c r="AW289">
        <f t="shared" si="57"/>
        <v>5.2828516679999993</v>
      </c>
      <c r="AX289" s="9"/>
      <c r="AY289" s="22">
        <v>1.3049299999999999</v>
      </c>
      <c r="AZ289" s="22">
        <v>640.97699999999998</v>
      </c>
      <c r="BA289" s="22">
        <v>-1.6305500000000001E-2</v>
      </c>
      <c r="BB289" s="22">
        <v>279</v>
      </c>
      <c r="BC289" s="22">
        <v>1.3043199999999999</v>
      </c>
      <c r="BD289">
        <f t="shared" si="58"/>
        <v>16.305500000000002</v>
      </c>
      <c r="BE289">
        <f t="shared" si="59"/>
        <v>21.277536115</v>
      </c>
    </row>
    <row r="290" spans="6:57">
      <c r="F290" s="9"/>
      <c r="G290" s="22">
        <v>0.29006999999999999</v>
      </c>
      <c r="H290" s="22">
        <v>104.46</v>
      </c>
      <c r="I290" s="22">
        <v>-1.79565E-2</v>
      </c>
      <c r="J290" s="22">
        <v>280</v>
      </c>
      <c r="K290" s="22">
        <v>0.28961199999999998</v>
      </c>
      <c r="L290">
        <f t="shared" si="48"/>
        <v>17.956500000000002</v>
      </c>
      <c r="M290">
        <f t="shared" si="49"/>
        <v>5.208641955</v>
      </c>
      <c r="N290" s="9"/>
      <c r="O290" s="22">
        <v>1.3099700000000001</v>
      </c>
      <c r="P290" s="22">
        <v>219.376</v>
      </c>
      <c r="Q290" s="22">
        <v>-1.6940299999999998E-2</v>
      </c>
      <c r="R290" s="22">
        <v>280</v>
      </c>
      <c r="S290" s="22">
        <v>1.30951</v>
      </c>
      <c r="T290">
        <f t="shared" si="50"/>
        <v>16.940299999999997</v>
      </c>
      <c r="U290">
        <f t="shared" si="51"/>
        <v>22.191284790999998</v>
      </c>
      <c r="X290" s="9"/>
      <c r="Y290" s="22">
        <v>0.29006999999999999</v>
      </c>
      <c r="Z290" s="22">
        <v>322.363</v>
      </c>
      <c r="AA290" s="22">
        <v>-1.7892499999999999E-2</v>
      </c>
      <c r="AB290" s="22">
        <v>280</v>
      </c>
      <c r="AC290" s="22">
        <v>0.28961199999999998</v>
      </c>
      <c r="AD290">
        <f t="shared" si="52"/>
        <v>17.892499999999998</v>
      </c>
      <c r="AE290">
        <f t="shared" si="53"/>
        <v>5.1900774749999998</v>
      </c>
      <c r="AF290" s="9"/>
      <c r="AG290" s="22">
        <v>1.3099700000000001</v>
      </c>
      <c r="AH290" s="22">
        <v>382.94200000000001</v>
      </c>
      <c r="AI290" s="22">
        <v>-1.6738900000000001E-2</v>
      </c>
      <c r="AJ290" s="22">
        <v>280</v>
      </c>
      <c r="AK290" s="22">
        <v>1.30951</v>
      </c>
      <c r="AL290">
        <f t="shared" si="54"/>
        <v>16.738900000000001</v>
      </c>
      <c r="AM290">
        <f t="shared" si="55"/>
        <v>21.927456833000004</v>
      </c>
      <c r="AP290" s="9"/>
      <c r="AQ290" s="22">
        <v>0.29006999999999999</v>
      </c>
      <c r="AR290" s="22">
        <v>518.72</v>
      </c>
      <c r="AS290" s="22">
        <v>-1.7898600000000001E-2</v>
      </c>
      <c r="AT290" s="22">
        <v>280</v>
      </c>
      <c r="AU290" s="22">
        <v>0.28945900000000002</v>
      </c>
      <c r="AV290">
        <f t="shared" si="56"/>
        <v>17.898600000000002</v>
      </c>
      <c r="AW290">
        <f t="shared" si="57"/>
        <v>5.1918469020000009</v>
      </c>
      <c r="AX290" s="9"/>
      <c r="AY290" s="22">
        <v>1.3099700000000001</v>
      </c>
      <c r="AZ290" s="22">
        <v>641.07799999999997</v>
      </c>
      <c r="BA290" s="22">
        <v>-1.6244499999999999E-2</v>
      </c>
      <c r="BB290" s="22">
        <v>280</v>
      </c>
      <c r="BC290" s="22">
        <v>1.3089</v>
      </c>
      <c r="BD290">
        <f t="shared" si="58"/>
        <v>16.244499999999999</v>
      </c>
      <c r="BE290">
        <f t="shared" si="59"/>
        <v>21.279807665</v>
      </c>
    </row>
    <row r="291" spans="6:57">
      <c r="F291" s="9"/>
      <c r="G291" s="22">
        <v>0.28503400000000001</v>
      </c>
      <c r="H291" s="22">
        <v>104.56</v>
      </c>
      <c r="I291" s="22">
        <v>-1.79718E-2</v>
      </c>
      <c r="J291" s="22">
        <v>281</v>
      </c>
      <c r="K291" s="22">
        <v>0.28417999999999999</v>
      </c>
      <c r="L291">
        <f t="shared" si="48"/>
        <v>17.971799999999998</v>
      </c>
      <c r="M291">
        <f t="shared" si="49"/>
        <v>5.1225740412</v>
      </c>
      <c r="N291" s="9"/>
      <c r="O291" s="22">
        <v>1.3149999999999999</v>
      </c>
      <c r="P291" s="22">
        <v>219.477</v>
      </c>
      <c r="Q291" s="22">
        <v>-1.6937299999999999E-2</v>
      </c>
      <c r="R291" s="22">
        <v>281</v>
      </c>
      <c r="S291" s="22">
        <v>1.31409</v>
      </c>
      <c r="T291">
        <f t="shared" si="50"/>
        <v>16.9373</v>
      </c>
      <c r="U291">
        <f t="shared" si="51"/>
        <v>22.2725495</v>
      </c>
      <c r="X291" s="9"/>
      <c r="Y291" s="22">
        <v>0.28503400000000001</v>
      </c>
      <c r="Z291" s="22">
        <v>322.464</v>
      </c>
      <c r="AA291" s="22">
        <v>-1.7883300000000001E-2</v>
      </c>
      <c r="AB291" s="22">
        <v>281</v>
      </c>
      <c r="AC291" s="22">
        <v>0.284607</v>
      </c>
      <c r="AD291">
        <f t="shared" si="52"/>
        <v>17.883300000000002</v>
      </c>
      <c r="AE291">
        <f t="shared" si="53"/>
        <v>5.0973485322000007</v>
      </c>
      <c r="AF291" s="9"/>
      <c r="AG291" s="22">
        <v>1.3149999999999999</v>
      </c>
      <c r="AH291" s="22">
        <v>383.04300000000001</v>
      </c>
      <c r="AI291" s="22">
        <v>-1.6705299999999999E-2</v>
      </c>
      <c r="AJ291" s="22">
        <v>281</v>
      </c>
      <c r="AK291" s="22">
        <v>1.31409</v>
      </c>
      <c r="AL291">
        <f t="shared" si="54"/>
        <v>16.705299999999998</v>
      </c>
      <c r="AM291">
        <f t="shared" si="55"/>
        <v>21.967469499999996</v>
      </c>
      <c r="AP291" s="9"/>
      <c r="AQ291" s="22">
        <v>0.28503400000000001</v>
      </c>
      <c r="AR291" s="22">
        <v>518.82100000000003</v>
      </c>
      <c r="AS291" s="22">
        <v>-1.7895500000000002E-2</v>
      </c>
      <c r="AT291" s="22">
        <v>281</v>
      </c>
      <c r="AU291" s="22">
        <v>0.284302</v>
      </c>
      <c r="AV291">
        <f t="shared" si="56"/>
        <v>17.895500000000002</v>
      </c>
      <c r="AW291">
        <f t="shared" si="57"/>
        <v>5.1008259470000006</v>
      </c>
      <c r="AX291" s="9"/>
      <c r="AY291" s="22">
        <v>1.3149999999999999</v>
      </c>
      <c r="AZ291" s="22">
        <v>641.178</v>
      </c>
      <c r="BA291" s="22">
        <v>-1.61011E-2</v>
      </c>
      <c r="BB291" s="22">
        <v>281</v>
      </c>
      <c r="BC291" s="22">
        <v>1.3143899999999999</v>
      </c>
      <c r="BD291">
        <f t="shared" si="58"/>
        <v>16.101099999999999</v>
      </c>
      <c r="BE291">
        <f t="shared" si="59"/>
        <v>21.172946499999998</v>
      </c>
    </row>
    <row r="292" spans="6:57">
      <c r="F292" s="9"/>
      <c r="G292" s="22">
        <v>0.279999</v>
      </c>
      <c r="H292" s="22">
        <v>104.661</v>
      </c>
      <c r="I292" s="22">
        <v>-1.7953500000000001E-2</v>
      </c>
      <c r="J292" s="22">
        <v>282</v>
      </c>
      <c r="K292" s="22">
        <v>0.28097499999999997</v>
      </c>
      <c r="L292">
        <f t="shared" si="48"/>
        <v>17.953500000000002</v>
      </c>
      <c r="M292">
        <f t="shared" si="49"/>
        <v>5.0269620465000004</v>
      </c>
      <c r="N292" s="9"/>
      <c r="O292" s="22">
        <v>1.3200400000000001</v>
      </c>
      <c r="P292" s="22">
        <v>219.578</v>
      </c>
      <c r="Q292" s="22">
        <v>-1.6924999999999999E-2</v>
      </c>
      <c r="R292" s="22">
        <v>282</v>
      </c>
      <c r="S292" s="22">
        <v>1.31958</v>
      </c>
      <c r="T292">
        <f t="shared" si="50"/>
        <v>16.925000000000001</v>
      </c>
      <c r="U292">
        <f t="shared" si="51"/>
        <v>22.341677000000004</v>
      </c>
      <c r="X292" s="9"/>
      <c r="Y292" s="22">
        <v>0.279999</v>
      </c>
      <c r="Z292" s="22">
        <v>322.565</v>
      </c>
      <c r="AA292" s="22">
        <v>-1.7883300000000001E-2</v>
      </c>
      <c r="AB292" s="22">
        <v>282</v>
      </c>
      <c r="AC292" s="22">
        <v>0.27938800000000003</v>
      </c>
      <c r="AD292">
        <f t="shared" si="52"/>
        <v>17.883300000000002</v>
      </c>
      <c r="AE292">
        <f t="shared" si="53"/>
        <v>5.0073061167000006</v>
      </c>
      <c r="AF292" s="9"/>
      <c r="AG292" s="22">
        <v>1.3200400000000001</v>
      </c>
      <c r="AH292" s="22">
        <v>383.14400000000001</v>
      </c>
      <c r="AI292" s="22">
        <v>-1.6693099999999999E-2</v>
      </c>
      <c r="AJ292" s="22">
        <v>282</v>
      </c>
      <c r="AK292" s="22">
        <v>1.3192699999999999</v>
      </c>
      <c r="AL292">
        <f t="shared" si="54"/>
        <v>16.693099999999998</v>
      </c>
      <c r="AM292">
        <f t="shared" si="55"/>
        <v>22.035559723999999</v>
      </c>
      <c r="AP292" s="9"/>
      <c r="AQ292" s="22">
        <v>0.279999</v>
      </c>
      <c r="AR292" s="22">
        <v>518.92200000000003</v>
      </c>
      <c r="AS292" s="22">
        <v>-1.7910800000000001E-2</v>
      </c>
      <c r="AT292" s="22">
        <v>282</v>
      </c>
      <c r="AU292" s="22">
        <v>0.279449</v>
      </c>
      <c r="AV292">
        <f t="shared" si="56"/>
        <v>17.910800000000002</v>
      </c>
      <c r="AW292">
        <f t="shared" si="57"/>
        <v>5.0150060892000008</v>
      </c>
      <c r="AX292" s="9"/>
      <c r="AY292" s="22">
        <v>1.3200400000000001</v>
      </c>
      <c r="AZ292" s="22">
        <v>641.279</v>
      </c>
      <c r="BA292" s="22">
        <v>-1.6003400000000001E-2</v>
      </c>
      <c r="BB292" s="22">
        <v>282</v>
      </c>
      <c r="BC292" s="22">
        <v>1.31897</v>
      </c>
      <c r="BD292">
        <f t="shared" si="58"/>
        <v>16.003399999999999</v>
      </c>
      <c r="BE292">
        <f t="shared" si="59"/>
        <v>21.125128136000001</v>
      </c>
    </row>
    <row r="293" spans="6:57">
      <c r="F293" s="9"/>
      <c r="G293" s="22">
        <v>0.27496300000000001</v>
      </c>
      <c r="H293" s="22">
        <v>104.762</v>
      </c>
      <c r="I293" s="22">
        <v>-1.7950399999999998E-2</v>
      </c>
      <c r="J293" s="22">
        <v>283</v>
      </c>
      <c r="K293" s="22">
        <v>0.27435300000000001</v>
      </c>
      <c r="L293">
        <f t="shared" si="48"/>
        <v>17.950399999999998</v>
      </c>
      <c r="M293">
        <f t="shared" si="49"/>
        <v>4.9356958351999998</v>
      </c>
      <c r="N293" s="9"/>
      <c r="O293" s="22">
        <v>1.32507</v>
      </c>
      <c r="P293" s="22">
        <v>219.679</v>
      </c>
      <c r="Q293" s="22">
        <v>-1.6912799999999999E-2</v>
      </c>
      <c r="R293" s="22">
        <v>283</v>
      </c>
      <c r="S293" s="22">
        <v>1.32446</v>
      </c>
      <c r="T293">
        <f t="shared" si="50"/>
        <v>16.912799999999997</v>
      </c>
      <c r="U293">
        <f t="shared" si="51"/>
        <v>22.410643895999996</v>
      </c>
      <c r="X293" s="9"/>
      <c r="Y293" s="22">
        <v>0.27496300000000001</v>
      </c>
      <c r="Z293" s="22">
        <v>322.66500000000002</v>
      </c>
      <c r="AA293" s="22">
        <v>-1.78894E-2</v>
      </c>
      <c r="AB293" s="22">
        <v>283</v>
      </c>
      <c r="AC293" s="22">
        <v>0.27438400000000002</v>
      </c>
      <c r="AD293">
        <f t="shared" si="52"/>
        <v>17.889399999999998</v>
      </c>
      <c r="AE293">
        <f t="shared" si="53"/>
        <v>4.9189230922</v>
      </c>
      <c r="AF293" s="9"/>
      <c r="AG293" s="22">
        <v>1.32507</v>
      </c>
      <c r="AH293" s="22">
        <v>383.24400000000003</v>
      </c>
      <c r="AI293" s="22">
        <v>-1.6684000000000001E-2</v>
      </c>
      <c r="AJ293" s="22">
        <v>283</v>
      </c>
      <c r="AK293" s="22">
        <v>1.32385</v>
      </c>
      <c r="AL293">
        <f t="shared" si="54"/>
        <v>16.684000000000001</v>
      </c>
      <c r="AM293">
        <f t="shared" si="55"/>
        <v>22.107467880000002</v>
      </c>
      <c r="AP293" s="9"/>
      <c r="AQ293" s="22">
        <v>0.27496300000000001</v>
      </c>
      <c r="AR293" s="22">
        <v>519.02300000000002</v>
      </c>
      <c r="AS293" s="22">
        <v>-1.7907699999999999E-2</v>
      </c>
      <c r="AT293" s="22">
        <v>283</v>
      </c>
      <c r="AU293" s="22">
        <v>0.27447500000000002</v>
      </c>
      <c r="AV293">
        <f t="shared" si="56"/>
        <v>17.907699999999998</v>
      </c>
      <c r="AW293">
        <f t="shared" si="57"/>
        <v>4.9239549150999995</v>
      </c>
      <c r="AX293" s="9"/>
      <c r="AY293" s="22">
        <v>1.32507</v>
      </c>
      <c r="AZ293" s="22">
        <v>641.38</v>
      </c>
      <c r="BA293" s="22">
        <v>-1.5905800000000001E-2</v>
      </c>
      <c r="BB293" s="22">
        <v>283</v>
      </c>
      <c r="BC293" s="22">
        <v>1.32446</v>
      </c>
      <c r="BD293">
        <f t="shared" si="58"/>
        <v>15.905800000000001</v>
      </c>
      <c r="BE293">
        <f t="shared" si="59"/>
        <v>21.076298405999999</v>
      </c>
    </row>
    <row r="294" spans="6:57">
      <c r="F294" s="9"/>
      <c r="G294" s="22">
        <v>0.269928</v>
      </c>
      <c r="H294" s="22">
        <v>104.86199999999999</v>
      </c>
      <c r="I294" s="22">
        <v>-1.7974899999999999E-2</v>
      </c>
      <c r="J294" s="22">
        <v>284</v>
      </c>
      <c r="K294" s="22">
        <v>0.26934799999999998</v>
      </c>
      <c r="L294">
        <f t="shared" si="48"/>
        <v>17.974899999999998</v>
      </c>
      <c r="M294">
        <f t="shared" si="49"/>
        <v>4.8519288071999993</v>
      </c>
      <c r="N294" s="9"/>
      <c r="O294" s="22">
        <v>1.3301099999999999</v>
      </c>
      <c r="P294" s="22">
        <v>219.779</v>
      </c>
      <c r="Q294" s="22">
        <v>-1.6897599999999999E-2</v>
      </c>
      <c r="R294" s="22">
        <v>284</v>
      </c>
      <c r="S294" s="22">
        <v>1.32965</v>
      </c>
      <c r="T294">
        <f t="shared" si="50"/>
        <v>16.897599999999997</v>
      </c>
      <c r="U294">
        <f t="shared" si="51"/>
        <v>22.475666735999994</v>
      </c>
      <c r="X294" s="9"/>
      <c r="Y294" s="22">
        <v>0.269928</v>
      </c>
      <c r="Z294" s="22">
        <v>322.76600000000002</v>
      </c>
      <c r="AA294" s="22">
        <v>-1.7892499999999999E-2</v>
      </c>
      <c r="AB294" s="22">
        <v>284</v>
      </c>
      <c r="AC294" s="22">
        <v>0.26934799999999998</v>
      </c>
      <c r="AD294">
        <f t="shared" si="52"/>
        <v>17.892499999999998</v>
      </c>
      <c r="AE294">
        <f t="shared" si="53"/>
        <v>4.8296867399999996</v>
      </c>
      <c r="AF294" s="9"/>
      <c r="AG294" s="22">
        <v>1.3301099999999999</v>
      </c>
      <c r="AH294" s="22">
        <v>383.34500000000003</v>
      </c>
      <c r="AI294" s="22">
        <v>-1.6629000000000001E-2</v>
      </c>
      <c r="AJ294" s="22">
        <v>284</v>
      </c>
      <c r="AK294" s="22">
        <v>1.32874</v>
      </c>
      <c r="AL294">
        <f t="shared" si="54"/>
        <v>16.629000000000001</v>
      </c>
      <c r="AM294">
        <f t="shared" si="55"/>
        <v>22.118399190000002</v>
      </c>
      <c r="AP294" s="9"/>
      <c r="AQ294" s="22">
        <v>0.269928</v>
      </c>
      <c r="AR294" s="22">
        <v>519.12300000000005</v>
      </c>
      <c r="AS294" s="22">
        <v>-1.7904699999999999E-2</v>
      </c>
      <c r="AT294" s="22">
        <v>284</v>
      </c>
      <c r="AU294" s="22">
        <v>0.26956200000000002</v>
      </c>
      <c r="AV294">
        <f t="shared" si="56"/>
        <v>17.904699999999998</v>
      </c>
      <c r="AW294">
        <f t="shared" si="57"/>
        <v>4.8329798615999993</v>
      </c>
      <c r="AX294" s="9"/>
      <c r="AY294" s="22">
        <v>1.3301099999999999</v>
      </c>
      <c r="AZ294" s="22">
        <v>641.48</v>
      </c>
      <c r="BA294" s="22">
        <v>-1.54419E-2</v>
      </c>
      <c r="BB294" s="22">
        <v>284</v>
      </c>
      <c r="BC294" s="22">
        <v>1.32904</v>
      </c>
      <c r="BD294">
        <f t="shared" si="58"/>
        <v>15.4419</v>
      </c>
      <c r="BE294">
        <f t="shared" si="59"/>
        <v>20.539425608999998</v>
      </c>
    </row>
    <row r="295" spans="6:57">
      <c r="F295" s="9"/>
      <c r="G295" s="22">
        <v>0.26489299999999999</v>
      </c>
      <c r="H295" s="22">
        <v>104.96299999999999</v>
      </c>
      <c r="I295" s="22">
        <v>-1.7965700000000001E-2</v>
      </c>
      <c r="J295" s="22">
        <v>285</v>
      </c>
      <c r="K295" s="22">
        <v>0.26443499999999998</v>
      </c>
      <c r="L295">
        <f t="shared" si="48"/>
        <v>17.965700000000002</v>
      </c>
      <c r="M295">
        <f t="shared" si="49"/>
        <v>4.7589881701000003</v>
      </c>
      <c r="N295" s="9"/>
      <c r="O295" s="22">
        <v>1.33514</v>
      </c>
      <c r="P295" s="22">
        <v>219.88</v>
      </c>
      <c r="Q295" s="22">
        <v>-1.6873200000000001E-2</v>
      </c>
      <c r="R295" s="22">
        <v>285</v>
      </c>
      <c r="S295" s="22">
        <v>1.33453</v>
      </c>
      <c r="T295">
        <f t="shared" si="50"/>
        <v>16.873200000000001</v>
      </c>
      <c r="U295">
        <f t="shared" si="51"/>
        <v>22.528084247999999</v>
      </c>
      <c r="X295" s="9"/>
      <c r="Y295" s="22">
        <v>0.26489299999999999</v>
      </c>
      <c r="Z295" s="22">
        <v>322.86700000000002</v>
      </c>
      <c r="AA295" s="22">
        <v>-1.7892499999999999E-2</v>
      </c>
      <c r="AB295" s="22">
        <v>285</v>
      </c>
      <c r="AC295" s="22">
        <v>0.26422099999999998</v>
      </c>
      <c r="AD295">
        <f t="shared" si="52"/>
        <v>17.892499999999998</v>
      </c>
      <c r="AE295">
        <f t="shared" si="53"/>
        <v>4.7395980024999993</v>
      </c>
      <c r="AF295" s="9"/>
      <c r="AG295" s="22">
        <v>1.33514</v>
      </c>
      <c r="AH295" s="22">
        <v>383.44600000000003</v>
      </c>
      <c r="AI295" s="22">
        <v>-1.6558799999999999E-2</v>
      </c>
      <c r="AJ295" s="22">
        <v>285</v>
      </c>
      <c r="AK295" s="22">
        <v>1.33423</v>
      </c>
      <c r="AL295">
        <f t="shared" si="54"/>
        <v>16.558799999999998</v>
      </c>
      <c r="AM295">
        <f t="shared" si="55"/>
        <v>22.108316231999996</v>
      </c>
      <c r="AP295" s="9"/>
      <c r="AQ295" s="22">
        <v>0.26489299999999999</v>
      </c>
      <c r="AR295" s="22">
        <v>519.22400000000005</v>
      </c>
      <c r="AS295" s="22">
        <v>-1.7895500000000002E-2</v>
      </c>
      <c r="AT295" s="22">
        <v>285</v>
      </c>
      <c r="AU295" s="22">
        <v>0.26431300000000002</v>
      </c>
      <c r="AV295">
        <f t="shared" si="56"/>
        <v>17.895500000000002</v>
      </c>
      <c r="AW295">
        <f t="shared" si="57"/>
        <v>4.7403926815000004</v>
      </c>
      <c r="AX295" s="9"/>
      <c r="AY295" s="22">
        <v>1.33514</v>
      </c>
      <c r="AZ295" s="22">
        <v>641.58100000000002</v>
      </c>
      <c r="BA295" s="22">
        <v>-1.49292E-2</v>
      </c>
      <c r="BB295" s="22">
        <v>285</v>
      </c>
      <c r="BC295" s="22">
        <v>1.33392</v>
      </c>
      <c r="BD295">
        <f t="shared" si="58"/>
        <v>14.9292</v>
      </c>
      <c r="BE295">
        <f t="shared" si="59"/>
        <v>19.932572088000001</v>
      </c>
    </row>
    <row r="296" spans="6:57">
      <c r="F296" s="9"/>
      <c r="G296" s="22">
        <v>0.259857</v>
      </c>
      <c r="H296" s="22">
        <v>105.06399999999999</v>
      </c>
      <c r="I296" s="22">
        <v>-1.7974899999999999E-2</v>
      </c>
      <c r="J296" s="22">
        <v>286</v>
      </c>
      <c r="K296" s="22">
        <v>0.25909399999999999</v>
      </c>
      <c r="L296">
        <f t="shared" si="48"/>
        <v>17.974899999999998</v>
      </c>
      <c r="M296">
        <f t="shared" si="49"/>
        <v>4.6709035892999999</v>
      </c>
      <c r="N296" s="9"/>
      <c r="O296" s="22">
        <v>1.3401799999999999</v>
      </c>
      <c r="P296" s="22">
        <v>219.98099999999999</v>
      </c>
      <c r="Q296" s="22">
        <v>-1.68243E-2</v>
      </c>
      <c r="R296" s="22">
        <v>286</v>
      </c>
      <c r="S296" s="22">
        <v>1.3388100000000001</v>
      </c>
      <c r="T296">
        <f t="shared" si="50"/>
        <v>16.824300000000001</v>
      </c>
      <c r="U296">
        <f t="shared" si="51"/>
        <v>22.547590373999999</v>
      </c>
      <c r="X296" s="9"/>
      <c r="Y296" s="22">
        <v>0.259857</v>
      </c>
      <c r="Z296" s="22">
        <v>322.96699999999998</v>
      </c>
      <c r="AA296" s="22">
        <v>-1.7916899999999999E-2</v>
      </c>
      <c r="AB296" s="22">
        <v>286</v>
      </c>
      <c r="AC296" s="22">
        <v>0.25930799999999998</v>
      </c>
      <c r="AD296">
        <f t="shared" si="52"/>
        <v>17.916899999999998</v>
      </c>
      <c r="AE296">
        <f t="shared" si="53"/>
        <v>4.6558318832999994</v>
      </c>
      <c r="AF296" s="9"/>
      <c r="AG296" s="22">
        <v>1.3401799999999999</v>
      </c>
      <c r="AH296" s="22">
        <v>383.54599999999999</v>
      </c>
      <c r="AI296" s="22">
        <v>-1.6516099999999999E-2</v>
      </c>
      <c r="AJ296" s="22">
        <v>286</v>
      </c>
      <c r="AK296" s="22">
        <v>1.33972</v>
      </c>
      <c r="AL296">
        <f t="shared" si="54"/>
        <v>16.516099999999998</v>
      </c>
      <c r="AM296">
        <f t="shared" si="55"/>
        <v>22.134546897999996</v>
      </c>
      <c r="AP296" s="9"/>
      <c r="AQ296" s="22">
        <v>0.259857</v>
      </c>
      <c r="AR296" s="22">
        <v>519.32500000000005</v>
      </c>
      <c r="AS296" s="22">
        <v>-1.7898600000000001E-2</v>
      </c>
      <c r="AT296" s="22">
        <v>286</v>
      </c>
      <c r="AU296" s="22">
        <v>0.25939899999999999</v>
      </c>
      <c r="AV296">
        <f t="shared" si="56"/>
        <v>17.898600000000002</v>
      </c>
      <c r="AW296">
        <f t="shared" si="57"/>
        <v>4.6510765002000003</v>
      </c>
      <c r="AX296" s="9"/>
      <c r="AY296" s="22">
        <v>1.3401799999999999</v>
      </c>
      <c r="AZ296" s="22">
        <v>641.68200000000002</v>
      </c>
      <c r="BA296" s="22">
        <v>-1.48895E-2</v>
      </c>
      <c r="BB296" s="22">
        <v>286</v>
      </c>
      <c r="BC296" s="22">
        <v>1.3388100000000001</v>
      </c>
      <c r="BD296">
        <f t="shared" si="58"/>
        <v>14.8895</v>
      </c>
      <c r="BE296">
        <f t="shared" si="59"/>
        <v>19.954610109999997</v>
      </c>
    </row>
    <row r="297" spans="6:57">
      <c r="F297" s="9"/>
      <c r="G297" s="22">
        <v>0.25482199999999999</v>
      </c>
      <c r="H297" s="22">
        <v>105.164</v>
      </c>
      <c r="I297" s="22">
        <v>-1.79718E-2</v>
      </c>
      <c r="J297" s="22">
        <v>287</v>
      </c>
      <c r="K297" s="22">
        <v>0.25424200000000002</v>
      </c>
      <c r="L297">
        <f t="shared" si="48"/>
        <v>17.971799999999998</v>
      </c>
      <c r="M297">
        <f t="shared" si="49"/>
        <v>4.5796100195999996</v>
      </c>
      <c r="N297" s="9"/>
      <c r="O297" s="22">
        <v>1.34521</v>
      </c>
      <c r="P297" s="22">
        <v>220.08099999999999</v>
      </c>
      <c r="Q297" s="22">
        <v>-1.6744999999999999E-2</v>
      </c>
      <c r="R297" s="22">
        <v>287</v>
      </c>
      <c r="S297" s="22">
        <v>1.3436900000000001</v>
      </c>
      <c r="T297">
        <f t="shared" si="50"/>
        <v>16.745000000000001</v>
      </c>
      <c r="U297">
        <f t="shared" si="51"/>
        <v>22.525541450000002</v>
      </c>
      <c r="X297" s="9"/>
      <c r="Y297" s="22">
        <v>0.25482199999999999</v>
      </c>
      <c r="Z297" s="22">
        <v>323.06799999999998</v>
      </c>
      <c r="AA297" s="22">
        <v>-1.7913800000000001E-2</v>
      </c>
      <c r="AB297" s="22">
        <v>287</v>
      </c>
      <c r="AC297" s="22">
        <v>0.25445600000000002</v>
      </c>
      <c r="AD297">
        <f t="shared" si="52"/>
        <v>17.913800000000002</v>
      </c>
      <c r="AE297">
        <f t="shared" si="53"/>
        <v>4.5648303436000006</v>
      </c>
      <c r="AF297" s="9"/>
      <c r="AG297" s="22">
        <v>1.34521</v>
      </c>
      <c r="AH297" s="22">
        <v>383.64699999999999</v>
      </c>
      <c r="AI297" s="22">
        <v>-1.6467300000000001E-2</v>
      </c>
      <c r="AJ297" s="22">
        <v>287</v>
      </c>
      <c r="AK297" s="22">
        <v>1.3446</v>
      </c>
      <c r="AL297">
        <f t="shared" si="54"/>
        <v>16.467300000000002</v>
      </c>
      <c r="AM297">
        <f t="shared" si="55"/>
        <v>22.151976633000004</v>
      </c>
      <c r="AP297" s="9"/>
      <c r="AQ297" s="22">
        <v>0.25482199999999999</v>
      </c>
      <c r="AR297" s="22">
        <v>519.42499999999995</v>
      </c>
      <c r="AS297" s="22">
        <v>-1.79016E-2</v>
      </c>
      <c r="AT297" s="22">
        <v>287</v>
      </c>
      <c r="AU297" s="22">
        <v>0.254303</v>
      </c>
      <c r="AV297">
        <f t="shared" si="56"/>
        <v>17.901599999999998</v>
      </c>
      <c r="AW297">
        <f t="shared" si="57"/>
        <v>4.5617215151999995</v>
      </c>
      <c r="AX297" s="9"/>
      <c r="AY297" s="22">
        <v>1.34521</v>
      </c>
      <c r="AZ297" s="22">
        <v>641.78300000000002</v>
      </c>
      <c r="BA297" s="22">
        <v>-1.48529E-2</v>
      </c>
      <c r="BB297" s="22">
        <v>287</v>
      </c>
      <c r="BC297" s="22">
        <v>1.34399</v>
      </c>
      <c r="BD297">
        <f t="shared" si="58"/>
        <v>14.8529</v>
      </c>
      <c r="BE297">
        <f t="shared" si="59"/>
        <v>19.980269609</v>
      </c>
    </row>
    <row r="298" spans="6:57">
      <c r="F298" s="9"/>
      <c r="G298" s="22">
        <v>0.24978600000000001</v>
      </c>
      <c r="H298" s="22">
        <v>105.265</v>
      </c>
      <c r="I298" s="22">
        <v>-1.79718E-2</v>
      </c>
      <c r="J298" s="22">
        <v>288</v>
      </c>
      <c r="K298" s="22">
        <v>0.249115</v>
      </c>
      <c r="L298">
        <f t="shared" si="48"/>
        <v>17.971799999999998</v>
      </c>
      <c r="M298">
        <f t="shared" si="49"/>
        <v>4.4891040347999995</v>
      </c>
      <c r="N298" s="9"/>
      <c r="O298" s="22">
        <v>1.35025</v>
      </c>
      <c r="P298" s="22">
        <v>220.18199999999999</v>
      </c>
      <c r="Q298" s="22">
        <v>-1.67023E-2</v>
      </c>
      <c r="R298" s="22">
        <v>288</v>
      </c>
      <c r="S298" s="22">
        <v>1.34979</v>
      </c>
      <c r="T298">
        <f t="shared" si="50"/>
        <v>16.702300000000001</v>
      </c>
      <c r="U298">
        <f t="shared" si="51"/>
        <v>22.552280575000001</v>
      </c>
      <c r="X298" s="9"/>
      <c r="Y298" s="22">
        <v>0.24978600000000001</v>
      </c>
      <c r="Z298" s="22">
        <v>323.16899999999998</v>
      </c>
      <c r="AA298" s="22">
        <v>-1.7919899999999999E-2</v>
      </c>
      <c r="AB298" s="22">
        <v>288</v>
      </c>
      <c r="AC298" s="22">
        <v>0.24914600000000001</v>
      </c>
      <c r="AD298">
        <f t="shared" si="52"/>
        <v>17.919899999999998</v>
      </c>
      <c r="AE298">
        <f t="shared" si="53"/>
        <v>4.4761401414000002</v>
      </c>
      <c r="AF298" s="9"/>
      <c r="AG298" s="22">
        <v>1.35025</v>
      </c>
      <c r="AH298" s="22">
        <v>383.74799999999999</v>
      </c>
      <c r="AI298" s="22">
        <v>-1.6424600000000001E-2</v>
      </c>
      <c r="AJ298" s="22">
        <v>288</v>
      </c>
      <c r="AK298" s="22">
        <v>1.34918</v>
      </c>
      <c r="AL298">
        <f t="shared" si="54"/>
        <v>16.424600000000002</v>
      </c>
      <c r="AM298">
        <f t="shared" si="55"/>
        <v>22.177316150000003</v>
      </c>
      <c r="AP298" s="9"/>
      <c r="AQ298" s="22">
        <v>0.24978600000000001</v>
      </c>
      <c r="AR298" s="22">
        <v>519.52599999999995</v>
      </c>
      <c r="AS298" s="22">
        <v>-1.7898600000000001E-2</v>
      </c>
      <c r="AT298" s="22">
        <v>288</v>
      </c>
      <c r="AU298" s="22">
        <v>0.24926799999999999</v>
      </c>
      <c r="AV298">
        <f t="shared" si="56"/>
        <v>17.898600000000002</v>
      </c>
      <c r="AW298">
        <f t="shared" si="57"/>
        <v>4.4708196996000007</v>
      </c>
      <c r="AX298" s="9"/>
      <c r="AY298" s="22">
        <v>1.35025</v>
      </c>
      <c r="AZ298" s="22">
        <v>641.88300000000004</v>
      </c>
      <c r="BA298" s="22">
        <v>-1.45813E-2</v>
      </c>
      <c r="BB298" s="22">
        <v>288</v>
      </c>
      <c r="BC298" s="22">
        <v>1.3504</v>
      </c>
      <c r="BD298">
        <f t="shared" si="58"/>
        <v>14.581300000000001</v>
      </c>
      <c r="BE298">
        <f t="shared" si="59"/>
        <v>19.688400325</v>
      </c>
    </row>
    <row r="299" spans="6:57">
      <c r="F299" s="9"/>
      <c r="G299" s="22">
        <v>0.244751</v>
      </c>
      <c r="H299" s="22">
        <v>105.366</v>
      </c>
      <c r="I299" s="22">
        <v>-1.7974899999999999E-2</v>
      </c>
      <c r="J299" s="22">
        <v>289</v>
      </c>
      <c r="K299" s="22">
        <v>0.24374399999999999</v>
      </c>
      <c r="L299">
        <f t="shared" si="48"/>
        <v>17.974899999999998</v>
      </c>
      <c r="M299">
        <f t="shared" si="49"/>
        <v>4.3993747498999998</v>
      </c>
      <c r="N299" s="9"/>
      <c r="O299" s="22">
        <v>1.3552900000000001</v>
      </c>
      <c r="P299" s="22">
        <v>220.28299999999999</v>
      </c>
      <c r="Q299" s="22">
        <v>-1.66351E-2</v>
      </c>
      <c r="R299" s="22">
        <v>289</v>
      </c>
      <c r="S299" s="22">
        <v>1.3546800000000001</v>
      </c>
      <c r="T299">
        <f t="shared" si="50"/>
        <v>16.635100000000001</v>
      </c>
      <c r="U299">
        <f t="shared" si="51"/>
        <v>22.545384679000005</v>
      </c>
      <c r="X299" s="9"/>
      <c r="Y299" s="22">
        <v>0.244751</v>
      </c>
      <c r="Z299" s="22">
        <v>323.27</v>
      </c>
      <c r="AA299" s="22">
        <v>-1.7923000000000001E-2</v>
      </c>
      <c r="AB299" s="22">
        <v>289</v>
      </c>
      <c r="AC299" s="22">
        <v>0.24432400000000001</v>
      </c>
      <c r="AD299">
        <f t="shared" si="52"/>
        <v>17.923000000000002</v>
      </c>
      <c r="AE299">
        <f t="shared" si="53"/>
        <v>4.386672173</v>
      </c>
      <c r="AF299" s="9"/>
      <c r="AG299" s="22">
        <v>1.3552900000000001</v>
      </c>
      <c r="AH299" s="22">
        <v>383.84899999999999</v>
      </c>
      <c r="AI299" s="22">
        <v>-1.63879E-2</v>
      </c>
      <c r="AJ299" s="22">
        <v>289</v>
      </c>
      <c r="AK299" s="22">
        <v>1.3546800000000001</v>
      </c>
      <c r="AL299">
        <f t="shared" si="54"/>
        <v>16.387900000000002</v>
      </c>
      <c r="AM299">
        <f t="shared" si="55"/>
        <v>22.210356991000005</v>
      </c>
      <c r="AP299" s="9"/>
      <c r="AQ299" s="22">
        <v>0.244751</v>
      </c>
      <c r="AR299" s="22">
        <v>519.62699999999995</v>
      </c>
      <c r="AS299" s="22">
        <v>-1.7895500000000002E-2</v>
      </c>
      <c r="AT299" s="22">
        <v>289</v>
      </c>
      <c r="AU299" s="22">
        <v>0.243866</v>
      </c>
      <c r="AV299">
        <f t="shared" si="56"/>
        <v>17.895500000000002</v>
      </c>
      <c r="AW299">
        <f t="shared" si="57"/>
        <v>4.3799415205000001</v>
      </c>
      <c r="AX299" s="9"/>
      <c r="AY299" s="22">
        <v>1.3552900000000001</v>
      </c>
      <c r="AZ299" s="22">
        <v>641.98400000000004</v>
      </c>
      <c r="BA299" s="22">
        <v>-1.43707E-2</v>
      </c>
      <c r="BB299" s="22">
        <v>289</v>
      </c>
      <c r="BC299" s="22">
        <v>1.3543700000000001</v>
      </c>
      <c r="BD299">
        <f t="shared" si="58"/>
        <v>14.370699999999999</v>
      </c>
      <c r="BE299">
        <f t="shared" si="59"/>
        <v>19.476466003000002</v>
      </c>
    </row>
    <row r="300" spans="6:57">
      <c r="F300" s="9"/>
      <c r="G300" s="22">
        <v>0.23971600000000001</v>
      </c>
      <c r="H300" s="22">
        <v>105.467</v>
      </c>
      <c r="I300" s="22">
        <v>-1.7981E-2</v>
      </c>
      <c r="J300" s="22">
        <v>290</v>
      </c>
      <c r="K300" s="22">
        <v>0.23913599999999999</v>
      </c>
      <c r="L300">
        <f t="shared" si="48"/>
        <v>17.981000000000002</v>
      </c>
      <c r="M300">
        <f t="shared" si="49"/>
        <v>4.3103333960000008</v>
      </c>
      <c r="N300" s="9"/>
      <c r="O300" s="22">
        <v>1.36032</v>
      </c>
      <c r="P300" s="22">
        <v>220.38399999999999</v>
      </c>
      <c r="Q300" s="22">
        <v>-1.6641199999999998E-2</v>
      </c>
      <c r="R300" s="22">
        <v>290</v>
      </c>
      <c r="S300" s="22">
        <v>1.3598600000000001</v>
      </c>
      <c r="T300">
        <f t="shared" si="50"/>
        <v>16.641199999999998</v>
      </c>
      <c r="U300">
        <f t="shared" si="51"/>
        <v>22.637357183999995</v>
      </c>
      <c r="X300" s="9"/>
      <c r="Y300" s="22">
        <v>0.23971600000000001</v>
      </c>
      <c r="Z300" s="22">
        <v>323.37</v>
      </c>
      <c r="AA300" s="22">
        <v>-1.7932099999999999E-2</v>
      </c>
      <c r="AB300" s="22">
        <v>290</v>
      </c>
      <c r="AC300" s="22">
        <v>0.23916599999999999</v>
      </c>
      <c r="AD300">
        <f t="shared" si="52"/>
        <v>17.932099999999998</v>
      </c>
      <c r="AE300">
        <f t="shared" si="53"/>
        <v>4.2986112835999997</v>
      </c>
      <c r="AF300" s="9"/>
      <c r="AG300" s="22">
        <v>1.36032</v>
      </c>
      <c r="AH300" s="22">
        <v>383.94900000000001</v>
      </c>
      <c r="AI300" s="22">
        <v>-1.6390999999999999E-2</v>
      </c>
      <c r="AJ300" s="22">
        <v>290</v>
      </c>
      <c r="AK300" s="22">
        <v>1.3598600000000001</v>
      </c>
      <c r="AL300">
        <f t="shared" si="54"/>
        <v>16.390999999999998</v>
      </c>
      <c r="AM300">
        <f t="shared" si="55"/>
        <v>22.297005119999998</v>
      </c>
      <c r="AP300" s="9"/>
      <c r="AQ300" s="22">
        <v>0.23971600000000001</v>
      </c>
      <c r="AR300" s="22">
        <v>519.72799999999995</v>
      </c>
      <c r="AS300" s="22">
        <v>-1.7907699999999999E-2</v>
      </c>
      <c r="AT300" s="22">
        <v>290</v>
      </c>
      <c r="AU300" s="22">
        <v>0.239227</v>
      </c>
      <c r="AV300">
        <f t="shared" si="56"/>
        <v>17.907699999999998</v>
      </c>
      <c r="AW300">
        <f t="shared" si="57"/>
        <v>4.2927622131999996</v>
      </c>
      <c r="AX300" s="9"/>
      <c r="AY300" s="22">
        <v>1.36032</v>
      </c>
      <c r="AZ300" s="22">
        <v>642.08500000000004</v>
      </c>
      <c r="BA300" s="22">
        <v>-1.4151E-2</v>
      </c>
      <c r="BB300" s="22">
        <v>290</v>
      </c>
      <c r="BC300" s="22">
        <v>1.3592500000000001</v>
      </c>
      <c r="BD300">
        <f t="shared" si="58"/>
        <v>14.151</v>
      </c>
      <c r="BE300">
        <f t="shared" si="59"/>
        <v>19.24988832</v>
      </c>
    </row>
    <row r="301" spans="6:57">
      <c r="F301" s="9"/>
      <c r="G301" s="22">
        <v>0.23468</v>
      </c>
      <c r="H301" s="22">
        <v>105.56699999999999</v>
      </c>
      <c r="I301" s="22">
        <v>-1.7993200000000001E-2</v>
      </c>
      <c r="J301" s="22">
        <v>291</v>
      </c>
      <c r="K301" s="22">
        <v>0.23397799999999999</v>
      </c>
      <c r="L301">
        <f t="shared" si="48"/>
        <v>17.993200000000002</v>
      </c>
      <c r="M301">
        <f t="shared" si="49"/>
        <v>4.2226441760000002</v>
      </c>
      <c r="N301" s="9"/>
      <c r="O301" s="22">
        <v>1.3653599999999999</v>
      </c>
      <c r="P301" s="22">
        <v>220.48400000000001</v>
      </c>
      <c r="Q301" s="22">
        <v>-1.6503899999999998E-2</v>
      </c>
      <c r="R301" s="22">
        <v>291</v>
      </c>
      <c r="S301" s="22">
        <v>1.3644400000000001</v>
      </c>
      <c r="T301">
        <f t="shared" si="50"/>
        <v>16.503899999999998</v>
      </c>
      <c r="U301">
        <f t="shared" si="51"/>
        <v>22.533764903999995</v>
      </c>
      <c r="X301" s="9"/>
      <c r="Y301" s="22">
        <v>0.23468</v>
      </c>
      <c r="Z301" s="22">
        <v>323.471</v>
      </c>
      <c r="AA301" s="22">
        <v>-1.7932099999999999E-2</v>
      </c>
      <c r="AB301" s="22">
        <v>291</v>
      </c>
      <c r="AC301" s="22">
        <v>0.233765</v>
      </c>
      <c r="AD301">
        <f t="shared" si="52"/>
        <v>17.932099999999998</v>
      </c>
      <c r="AE301">
        <f t="shared" si="53"/>
        <v>4.2083052279999995</v>
      </c>
      <c r="AF301" s="9"/>
      <c r="AG301" s="22">
        <v>1.3653599999999999</v>
      </c>
      <c r="AH301" s="22">
        <v>384.05</v>
      </c>
      <c r="AI301" s="22">
        <v>-1.63208E-2</v>
      </c>
      <c r="AJ301" s="22">
        <v>291</v>
      </c>
      <c r="AK301" s="22">
        <v>1.3644400000000001</v>
      </c>
      <c r="AL301">
        <f t="shared" si="54"/>
        <v>16.320799999999998</v>
      </c>
      <c r="AM301">
        <f t="shared" si="55"/>
        <v>22.283767487999995</v>
      </c>
      <c r="AP301" s="9"/>
      <c r="AQ301" s="22">
        <v>0.23468</v>
      </c>
      <c r="AR301" s="22">
        <v>519.82799999999997</v>
      </c>
      <c r="AS301" s="22">
        <v>-1.79016E-2</v>
      </c>
      <c r="AT301" s="22">
        <v>291</v>
      </c>
      <c r="AU301" s="22">
        <v>0.23458899999999999</v>
      </c>
      <c r="AV301">
        <f t="shared" si="56"/>
        <v>17.901599999999998</v>
      </c>
      <c r="AW301">
        <f t="shared" si="57"/>
        <v>4.2011474879999993</v>
      </c>
      <c r="AX301" s="9"/>
      <c r="AY301" s="22">
        <v>1.3653599999999999</v>
      </c>
      <c r="AZ301" s="22">
        <v>642.18499999999995</v>
      </c>
      <c r="BA301" s="22">
        <v>-1.46973E-2</v>
      </c>
      <c r="BB301" s="22">
        <v>291</v>
      </c>
      <c r="BC301" s="22">
        <v>1.3647499999999999</v>
      </c>
      <c r="BD301">
        <f t="shared" si="58"/>
        <v>14.6973</v>
      </c>
      <c r="BE301">
        <f t="shared" si="59"/>
        <v>20.067105527999999</v>
      </c>
    </row>
    <row r="302" spans="6:57">
      <c r="F302" s="9"/>
      <c r="G302" s="22">
        <v>0.22964499999999999</v>
      </c>
      <c r="H302" s="22">
        <v>105.66800000000001</v>
      </c>
      <c r="I302" s="22">
        <v>-1.7987099999999999E-2</v>
      </c>
      <c r="J302" s="22">
        <v>292</v>
      </c>
      <c r="K302" s="22">
        <v>0.229187</v>
      </c>
      <c r="L302">
        <f t="shared" si="48"/>
        <v>17.987099999999998</v>
      </c>
      <c r="M302">
        <f t="shared" si="49"/>
        <v>4.1306475794999997</v>
      </c>
      <c r="N302" s="9"/>
      <c r="O302" s="22">
        <v>1.37039</v>
      </c>
      <c r="P302" s="22">
        <v>220.58500000000001</v>
      </c>
      <c r="Q302" s="22">
        <v>-1.6589400000000001E-2</v>
      </c>
      <c r="R302" s="22">
        <v>292</v>
      </c>
      <c r="S302" s="22">
        <v>1.3693200000000001</v>
      </c>
      <c r="T302">
        <f t="shared" si="50"/>
        <v>16.589400000000001</v>
      </c>
      <c r="U302">
        <f t="shared" si="51"/>
        <v>22.733947866000001</v>
      </c>
      <c r="X302" s="9"/>
      <c r="Y302" s="22">
        <v>0.22964499999999999</v>
      </c>
      <c r="Z302" s="22">
        <v>323.572</v>
      </c>
      <c r="AA302" s="22">
        <v>-1.79291E-2</v>
      </c>
      <c r="AB302" s="22">
        <v>292</v>
      </c>
      <c r="AC302" s="22">
        <v>0.228851</v>
      </c>
      <c r="AD302">
        <f t="shared" si="52"/>
        <v>17.929099999999998</v>
      </c>
      <c r="AE302">
        <f t="shared" si="53"/>
        <v>4.1173281694999995</v>
      </c>
      <c r="AF302" s="9"/>
      <c r="AG302" s="22">
        <v>1.37039</v>
      </c>
      <c r="AH302" s="22">
        <v>384.15100000000001</v>
      </c>
      <c r="AI302" s="22">
        <v>-1.62659E-2</v>
      </c>
      <c r="AJ302" s="22">
        <v>292</v>
      </c>
      <c r="AK302" s="22">
        <v>1.3696299999999999</v>
      </c>
      <c r="AL302">
        <f t="shared" si="54"/>
        <v>16.265899999999998</v>
      </c>
      <c r="AM302">
        <f t="shared" si="55"/>
        <v>22.290626700999997</v>
      </c>
      <c r="AP302" s="9"/>
      <c r="AQ302" s="22">
        <v>0.22964499999999999</v>
      </c>
      <c r="AR302" s="22">
        <v>519.92899999999997</v>
      </c>
      <c r="AS302" s="22">
        <v>-1.7904699999999999E-2</v>
      </c>
      <c r="AT302" s="22">
        <v>292</v>
      </c>
      <c r="AU302" s="22">
        <v>0.229126</v>
      </c>
      <c r="AV302">
        <f t="shared" si="56"/>
        <v>17.904699999999998</v>
      </c>
      <c r="AW302">
        <f t="shared" si="57"/>
        <v>4.1117248314999992</v>
      </c>
      <c r="AX302" s="9"/>
      <c r="AY302" s="22">
        <v>1.37039</v>
      </c>
      <c r="AZ302" s="22">
        <v>642.28599999999994</v>
      </c>
      <c r="BA302" s="22">
        <v>-1.4648400000000001E-2</v>
      </c>
      <c r="BB302" s="22">
        <v>292</v>
      </c>
      <c r="BC302" s="22">
        <v>1.3699300000000001</v>
      </c>
      <c r="BD302">
        <f t="shared" si="58"/>
        <v>14.648400000000001</v>
      </c>
      <c r="BE302">
        <f t="shared" si="59"/>
        <v>20.074020876000002</v>
      </c>
    </row>
    <row r="303" spans="6:57">
      <c r="F303" s="9"/>
      <c r="G303" s="22">
        <v>0.224609</v>
      </c>
      <c r="H303" s="22">
        <v>105.76900000000001</v>
      </c>
      <c r="I303" s="22">
        <v>-1.7993200000000001E-2</v>
      </c>
      <c r="J303" s="22">
        <v>293</v>
      </c>
      <c r="K303" s="22">
        <v>0.22415199999999999</v>
      </c>
      <c r="L303">
        <f t="shared" si="48"/>
        <v>17.993200000000002</v>
      </c>
      <c r="M303">
        <f t="shared" si="49"/>
        <v>4.0414346588000001</v>
      </c>
      <c r="N303" s="9"/>
      <c r="O303" s="22">
        <v>1.3754299999999999</v>
      </c>
      <c r="P303" s="22">
        <v>220.68600000000001</v>
      </c>
      <c r="Q303" s="22">
        <v>-1.6638199999999999E-2</v>
      </c>
      <c r="R303" s="22">
        <v>293</v>
      </c>
      <c r="S303" s="22">
        <v>1.3745099999999999</v>
      </c>
      <c r="T303">
        <f t="shared" si="50"/>
        <v>16.638199999999998</v>
      </c>
      <c r="U303">
        <f t="shared" si="51"/>
        <v>22.884679425999995</v>
      </c>
      <c r="X303" s="9"/>
      <c r="Y303" s="22">
        <v>0.224609</v>
      </c>
      <c r="Z303" s="22">
        <v>323.67200000000003</v>
      </c>
      <c r="AA303" s="22">
        <v>-1.79291E-2</v>
      </c>
      <c r="AB303" s="22">
        <v>293</v>
      </c>
      <c r="AC303" s="22">
        <v>0.22409100000000001</v>
      </c>
      <c r="AD303">
        <f t="shared" si="52"/>
        <v>17.929099999999998</v>
      </c>
      <c r="AE303">
        <f t="shared" si="53"/>
        <v>4.0270372218999997</v>
      </c>
      <c r="AF303" s="9"/>
      <c r="AG303" s="22">
        <v>1.3754299999999999</v>
      </c>
      <c r="AH303" s="22">
        <v>384.25099999999998</v>
      </c>
      <c r="AI303" s="22">
        <v>-1.6189599999999998E-2</v>
      </c>
      <c r="AJ303" s="22">
        <v>293</v>
      </c>
      <c r="AK303" s="22">
        <v>1.3745099999999999</v>
      </c>
      <c r="AL303">
        <f t="shared" si="54"/>
        <v>16.189599999999999</v>
      </c>
      <c r="AM303">
        <f t="shared" si="55"/>
        <v>22.267661527999998</v>
      </c>
      <c r="AP303" s="9"/>
      <c r="AQ303" s="22">
        <v>0.224609</v>
      </c>
      <c r="AR303" s="22">
        <v>520.03</v>
      </c>
      <c r="AS303" s="22">
        <v>-1.7919899999999999E-2</v>
      </c>
      <c r="AT303" s="22">
        <v>293</v>
      </c>
      <c r="AU303" s="22">
        <v>0.223938</v>
      </c>
      <c r="AV303">
        <f t="shared" si="56"/>
        <v>17.919899999999998</v>
      </c>
      <c r="AW303">
        <f t="shared" si="57"/>
        <v>4.0249708191</v>
      </c>
      <c r="AX303" s="9"/>
      <c r="AY303" s="22">
        <v>1.3754299999999999</v>
      </c>
      <c r="AZ303" s="22">
        <v>642.38699999999994</v>
      </c>
      <c r="BA303" s="22">
        <v>-1.4471400000000001E-2</v>
      </c>
      <c r="BB303" s="22">
        <v>293</v>
      </c>
      <c r="BC303" s="22">
        <v>1.3742099999999999</v>
      </c>
      <c r="BD303">
        <f t="shared" si="58"/>
        <v>14.471400000000001</v>
      </c>
      <c r="BE303">
        <f t="shared" si="59"/>
        <v>19.904397702000001</v>
      </c>
    </row>
    <row r="304" spans="6:57">
      <c r="F304" s="9"/>
      <c r="G304" s="22">
        <v>0.21957399999999999</v>
      </c>
      <c r="H304" s="22">
        <v>105.869</v>
      </c>
      <c r="I304" s="22">
        <v>-1.79962E-2</v>
      </c>
      <c r="J304" s="22">
        <v>294</v>
      </c>
      <c r="K304" s="22">
        <v>0.21899399999999999</v>
      </c>
      <c r="L304">
        <f t="shared" si="48"/>
        <v>17.996200000000002</v>
      </c>
      <c r="M304">
        <f t="shared" si="49"/>
        <v>3.9514976188000004</v>
      </c>
      <c r="N304" s="9"/>
      <c r="O304" s="22">
        <v>1.38046</v>
      </c>
      <c r="P304" s="22">
        <v>220.786</v>
      </c>
      <c r="Q304" s="22">
        <v>-1.6610699999999999E-2</v>
      </c>
      <c r="R304" s="22">
        <v>294</v>
      </c>
      <c r="S304" s="22">
        <v>1.3793899999999999</v>
      </c>
      <c r="T304">
        <f t="shared" si="50"/>
        <v>16.610699999999998</v>
      </c>
      <c r="U304">
        <f t="shared" si="51"/>
        <v>22.930406921999996</v>
      </c>
      <c r="X304" s="9"/>
      <c r="Y304" s="22">
        <v>0.21957399999999999</v>
      </c>
      <c r="Z304" s="22">
        <v>323.77300000000002</v>
      </c>
      <c r="AA304" s="22">
        <v>-1.79291E-2</v>
      </c>
      <c r="AB304" s="22">
        <v>294</v>
      </c>
      <c r="AC304" s="22">
        <v>0.21899399999999999</v>
      </c>
      <c r="AD304">
        <f t="shared" si="52"/>
        <v>17.929099999999998</v>
      </c>
      <c r="AE304">
        <f t="shared" si="53"/>
        <v>3.9367642033999997</v>
      </c>
      <c r="AF304" s="9"/>
      <c r="AG304" s="22">
        <v>1.38046</v>
      </c>
      <c r="AH304" s="22">
        <v>384.35199999999998</v>
      </c>
      <c r="AI304" s="22">
        <v>-1.61011E-2</v>
      </c>
      <c r="AJ304" s="22">
        <v>294</v>
      </c>
      <c r="AK304" s="22">
        <v>1.3793899999999999</v>
      </c>
      <c r="AL304">
        <f t="shared" si="54"/>
        <v>16.101099999999999</v>
      </c>
      <c r="AM304">
        <f t="shared" si="55"/>
        <v>22.226924506</v>
      </c>
      <c r="AP304" s="9"/>
      <c r="AQ304" s="22">
        <v>0.21957399999999999</v>
      </c>
      <c r="AR304" s="22">
        <v>520.13</v>
      </c>
      <c r="AS304" s="22">
        <v>-1.7910800000000001E-2</v>
      </c>
      <c r="AT304" s="22">
        <v>294</v>
      </c>
      <c r="AU304" s="22">
        <v>0.219055</v>
      </c>
      <c r="AV304">
        <f t="shared" si="56"/>
        <v>17.910800000000002</v>
      </c>
      <c r="AW304">
        <f t="shared" si="57"/>
        <v>3.9327459992000002</v>
      </c>
      <c r="AX304" s="9"/>
      <c r="AY304" s="22">
        <v>1.38046</v>
      </c>
      <c r="AZ304" s="22">
        <v>642.48699999999997</v>
      </c>
      <c r="BA304" s="22">
        <v>-1.4379899999999999E-2</v>
      </c>
      <c r="BB304" s="22">
        <v>294</v>
      </c>
      <c r="BC304" s="22">
        <v>1.38</v>
      </c>
      <c r="BD304">
        <f t="shared" si="58"/>
        <v>14.379899999999999</v>
      </c>
      <c r="BE304">
        <f t="shared" si="59"/>
        <v>19.850876753999998</v>
      </c>
    </row>
    <row r="305" spans="6:57">
      <c r="F305" s="9"/>
      <c r="G305" s="22">
        <v>0.21453900000000001</v>
      </c>
      <c r="H305" s="22">
        <v>105.97</v>
      </c>
      <c r="I305" s="22">
        <v>-1.80115E-2</v>
      </c>
      <c r="J305" s="22">
        <v>295</v>
      </c>
      <c r="K305" s="22">
        <v>0.21398900000000001</v>
      </c>
      <c r="L305">
        <f t="shared" si="48"/>
        <v>18.011499999999998</v>
      </c>
      <c r="M305">
        <f t="shared" si="49"/>
        <v>3.8641691984999995</v>
      </c>
      <c r="N305" s="9"/>
      <c r="O305" s="22">
        <v>1.3855</v>
      </c>
      <c r="P305" s="22">
        <v>220.887</v>
      </c>
      <c r="Q305" s="22">
        <v>-1.66199E-2</v>
      </c>
      <c r="R305" s="22">
        <v>295</v>
      </c>
      <c r="S305" s="22">
        <v>1.38428</v>
      </c>
      <c r="T305">
        <f t="shared" si="50"/>
        <v>16.619900000000001</v>
      </c>
      <c r="U305">
        <f t="shared" si="51"/>
        <v>23.026871450000002</v>
      </c>
      <c r="X305" s="9"/>
      <c r="Y305" s="22">
        <v>0.21453900000000001</v>
      </c>
      <c r="Z305" s="22">
        <v>323.87400000000002</v>
      </c>
      <c r="AA305" s="22">
        <v>-1.79291E-2</v>
      </c>
      <c r="AB305" s="22">
        <v>295</v>
      </c>
      <c r="AC305" s="22">
        <v>0.21404999999999999</v>
      </c>
      <c r="AD305">
        <f t="shared" si="52"/>
        <v>17.929099999999998</v>
      </c>
      <c r="AE305">
        <f t="shared" si="53"/>
        <v>3.8464911848999996</v>
      </c>
      <c r="AF305" s="9"/>
      <c r="AG305" s="22">
        <v>1.3855</v>
      </c>
      <c r="AH305" s="22">
        <v>384.45299999999997</v>
      </c>
      <c r="AI305" s="22">
        <v>-1.6024799999999999E-2</v>
      </c>
      <c r="AJ305" s="22">
        <v>295</v>
      </c>
      <c r="AK305" s="22">
        <v>1.3851899999999999</v>
      </c>
      <c r="AL305">
        <f t="shared" si="54"/>
        <v>16.024799999999999</v>
      </c>
      <c r="AM305">
        <f t="shared" si="55"/>
        <v>22.202360399999996</v>
      </c>
      <c r="AP305" s="9"/>
      <c r="AQ305" s="22">
        <v>0.21453900000000001</v>
      </c>
      <c r="AR305" s="22">
        <v>520.23099999999999</v>
      </c>
      <c r="AS305" s="22">
        <v>-1.7913800000000001E-2</v>
      </c>
      <c r="AT305" s="22">
        <v>295</v>
      </c>
      <c r="AU305" s="22">
        <v>0.21408099999999999</v>
      </c>
      <c r="AV305">
        <f t="shared" si="56"/>
        <v>17.913800000000002</v>
      </c>
      <c r="AW305">
        <f t="shared" si="57"/>
        <v>3.8432087382000004</v>
      </c>
      <c r="AX305" s="9"/>
      <c r="AY305" s="22">
        <v>1.3855</v>
      </c>
      <c r="AZ305" s="22">
        <v>642.58799999999997</v>
      </c>
      <c r="BA305" s="22">
        <v>-1.4212000000000001E-2</v>
      </c>
      <c r="BB305" s="22">
        <v>295</v>
      </c>
      <c r="BC305" s="22">
        <v>1.38489</v>
      </c>
      <c r="BD305">
        <f t="shared" si="58"/>
        <v>14.212000000000002</v>
      </c>
      <c r="BE305">
        <f t="shared" si="59"/>
        <v>19.690726000000002</v>
      </c>
    </row>
    <row r="306" spans="6:57">
      <c r="F306" s="9"/>
      <c r="G306" s="22">
        <v>0.20950299999999999</v>
      </c>
      <c r="H306" s="22">
        <v>106.071</v>
      </c>
      <c r="I306" s="22">
        <v>-1.8008400000000001E-2</v>
      </c>
      <c r="J306" s="22">
        <v>296</v>
      </c>
      <c r="K306" s="22">
        <v>0.20877100000000001</v>
      </c>
      <c r="L306">
        <f t="shared" si="48"/>
        <v>18.008400000000002</v>
      </c>
      <c r="M306">
        <f t="shared" si="49"/>
        <v>3.7728138252000001</v>
      </c>
      <c r="N306" s="9"/>
      <c r="O306" s="22">
        <v>1.39053</v>
      </c>
      <c r="P306" s="22">
        <v>220.988</v>
      </c>
      <c r="Q306" s="22">
        <v>-1.65924E-2</v>
      </c>
      <c r="R306" s="22">
        <v>296</v>
      </c>
      <c r="S306" s="22">
        <v>1.3897699999999999</v>
      </c>
      <c r="T306">
        <f t="shared" si="50"/>
        <v>16.592400000000001</v>
      </c>
      <c r="U306">
        <f t="shared" si="51"/>
        <v>23.072229972000002</v>
      </c>
      <c r="X306" s="9"/>
      <c r="Y306" s="22">
        <v>0.20950299999999999</v>
      </c>
      <c r="Z306" s="22">
        <v>323.97500000000002</v>
      </c>
      <c r="AA306" s="22">
        <v>-1.79413E-2</v>
      </c>
      <c r="AB306" s="22">
        <v>296</v>
      </c>
      <c r="AC306" s="22">
        <v>0.208984</v>
      </c>
      <c r="AD306">
        <f t="shared" si="52"/>
        <v>17.941300000000002</v>
      </c>
      <c r="AE306">
        <f t="shared" si="53"/>
        <v>3.7587561739000002</v>
      </c>
      <c r="AF306" s="9"/>
      <c r="AG306" s="22">
        <v>1.39053</v>
      </c>
      <c r="AH306" s="22">
        <v>384.553</v>
      </c>
      <c r="AI306" s="22">
        <v>-1.59363E-2</v>
      </c>
      <c r="AJ306" s="22">
        <v>296</v>
      </c>
      <c r="AK306" s="22">
        <v>1.38916</v>
      </c>
      <c r="AL306">
        <f t="shared" si="54"/>
        <v>15.936300000000001</v>
      </c>
      <c r="AM306">
        <f t="shared" si="55"/>
        <v>22.159903239000002</v>
      </c>
      <c r="AP306" s="9"/>
      <c r="AQ306" s="22">
        <v>0.20950299999999999</v>
      </c>
      <c r="AR306" s="22">
        <v>520.33199999999999</v>
      </c>
      <c r="AS306" s="22">
        <v>-1.7895500000000002E-2</v>
      </c>
      <c r="AT306" s="22">
        <v>296</v>
      </c>
      <c r="AU306" s="22">
        <v>0.208984</v>
      </c>
      <c r="AV306">
        <f t="shared" si="56"/>
        <v>17.895500000000002</v>
      </c>
      <c r="AW306">
        <f t="shared" si="57"/>
        <v>3.7491609365000005</v>
      </c>
      <c r="AX306" s="9"/>
      <c r="AY306" s="22">
        <v>1.39053</v>
      </c>
      <c r="AZ306" s="22">
        <v>642.68899999999996</v>
      </c>
      <c r="BA306" s="22">
        <v>-1.409E-2</v>
      </c>
      <c r="BB306" s="22">
        <v>296</v>
      </c>
      <c r="BC306" s="22">
        <v>1.3897699999999999</v>
      </c>
      <c r="BD306">
        <f t="shared" si="58"/>
        <v>14.09</v>
      </c>
      <c r="BE306">
        <f t="shared" si="59"/>
        <v>19.5925677</v>
      </c>
    </row>
    <row r="307" spans="6:57">
      <c r="F307" s="9"/>
      <c r="G307" s="22">
        <v>0.20446800000000001</v>
      </c>
      <c r="H307" s="22">
        <v>106.172</v>
      </c>
      <c r="I307" s="22">
        <v>-1.8002299999999999E-2</v>
      </c>
      <c r="J307" s="22">
        <v>297</v>
      </c>
      <c r="K307" s="22">
        <v>0.20361299999999999</v>
      </c>
      <c r="L307">
        <f t="shared" si="48"/>
        <v>18.002299999999998</v>
      </c>
      <c r="M307">
        <f t="shared" si="49"/>
        <v>3.6808942763999997</v>
      </c>
      <c r="N307" s="9"/>
      <c r="O307" s="22">
        <v>1.39557</v>
      </c>
      <c r="P307" s="22">
        <v>221.089</v>
      </c>
      <c r="Q307" s="22">
        <v>-1.6567999999999999E-2</v>
      </c>
      <c r="R307" s="22">
        <v>297</v>
      </c>
      <c r="S307" s="22">
        <v>1.3946499999999999</v>
      </c>
      <c r="T307">
        <f t="shared" si="50"/>
        <v>16.567999999999998</v>
      </c>
      <c r="U307">
        <f t="shared" si="51"/>
        <v>23.121803759999995</v>
      </c>
      <c r="X307" s="9"/>
      <c r="Y307" s="22">
        <v>0.20446800000000001</v>
      </c>
      <c r="Z307" s="22">
        <v>324.07499999999999</v>
      </c>
      <c r="AA307" s="22">
        <v>-1.7950399999999998E-2</v>
      </c>
      <c r="AB307" s="22">
        <v>297</v>
      </c>
      <c r="AC307" s="22">
        <v>0.20385700000000001</v>
      </c>
      <c r="AD307">
        <f t="shared" si="52"/>
        <v>17.950399999999998</v>
      </c>
      <c r="AE307">
        <f t="shared" si="53"/>
        <v>3.6702823871999999</v>
      </c>
      <c r="AF307" s="9"/>
      <c r="AG307" s="22">
        <v>1.39557</v>
      </c>
      <c r="AH307" s="22">
        <v>384.654</v>
      </c>
      <c r="AI307" s="22">
        <v>-1.5799000000000001E-2</v>
      </c>
      <c r="AJ307" s="22">
        <v>297</v>
      </c>
      <c r="AK307" s="22">
        <v>1.39557</v>
      </c>
      <c r="AL307">
        <f t="shared" si="54"/>
        <v>15.799000000000001</v>
      </c>
      <c r="AM307">
        <f t="shared" si="55"/>
        <v>22.04861043</v>
      </c>
      <c r="AP307" s="9"/>
      <c r="AQ307" s="22">
        <v>0.20446800000000001</v>
      </c>
      <c r="AR307" s="22">
        <v>520.43299999999999</v>
      </c>
      <c r="AS307" s="22">
        <v>-1.7864999999999999E-2</v>
      </c>
      <c r="AT307" s="22">
        <v>297</v>
      </c>
      <c r="AU307" s="22">
        <v>0.203461</v>
      </c>
      <c r="AV307">
        <f t="shared" si="56"/>
        <v>17.864999999999998</v>
      </c>
      <c r="AW307">
        <f t="shared" si="57"/>
        <v>3.6528208200000001</v>
      </c>
      <c r="AX307" s="9"/>
      <c r="AY307" s="22">
        <v>1.39557</v>
      </c>
      <c r="AZ307" s="22">
        <v>642.79</v>
      </c>
      <c r="BA307" s="22">
        <v>-1.3998399999999999E-2</v>
      </c>
      <c r="BB307" s="22">
        <v>297</v>
      </c>
      <c r="BC307" s="22">
        <v>1.39496</v>
      </c>
      <c r="BD307">
        <f t="shared" si="58"/>
        <v>13.9984</v>
      </c>
      <c r="BE307">
        <f t="shared" si="59"/>
        <v>19.535747088000001</v>
      </c>
    </row>
    <row r="308" spans="6:57">
      <c r="F308" s="9"/>
      <c r="G308" s="22">
        <v>0.199432</v>
      </c>
      <c r="H308" s="22">
        <v>106.27200000000001</v>
      </c>
      <c r="I308" s="22">
        <v>-1.8008400000000001E-2</v>
      </c>
      <c r="J308" s="22">
        <v>298</v>
      </c>
      <c r="K308" s="22">
        <v>0.19894400000000001</v>
      </c>
      <c r="L308">
        <f t="shared" si="48"/>
        <v>18.008400000000002</v>
      </c>
      <c r="M308">
        <f t="shared" si="49"/>
        <v>3.5914512288000005</v>
      </c>
      <c r="N308" s="9"/>
      <c r="O308" s="22">
        <v>1.4006000000000001</v>
      </c>
      <c r="P308" s="22">
        <v>221.18899999999999</v>
      </c>
      <c r="Q308" s="22">
        <v>-1.6546600000000002E-2</v>
      </c>
      <c r="R308" s="22">
        <v>298</v>
      </c>
      <c r="S308" s="22">
        <v>1.39954</v>
      </c>
      <c r="T308">
        <f t="shared" si="50"/>
        <v>16.546600000000002</v>
      </c>
      <c r="U308">
        <f t="shared" si="51"/>
        <v>23.175167960000003</v>
      </c>
      <c r="X308" s="9"/>
      <c r="Y308" s="22">
        <v>0.199432</v>
      </c>
      <c r="Z308" s="22">
        <v>324.17599999999999</v>
      </c>
      <c r="AA308" s="22">
        <v>-1.7950399999999998E-2</v>
      </c>
      <c r="AB308" s="22">
        <v>298</v>
      </c>
      <c r="AC308" s="22">
        <v>0.19891400000000001</v>
      </c>
      <c r="AD308">
        <f t="shared" si="52"/>
        <v>17.950399999999998</v>
      </c>
      <c r="AE308">
        <f t="shared" si="53"/>
        <v>3.5798841727999995</v>
      </c>
      <c r="AF308" s="9"/>
      <c r="AG308" s="22">
        <v>1.4006000000000001</v>
      </c>
      <c r="AH308" s="22">
        <v>384.755</v>
      </c>
      <c r="AI308" s="22">
        <v>-1.56525E-2</v>
      </c>
      <c r="AJ308" s="22">
        <v>298</v>
      </c>
      <c r="AK308" s="22">
        <v>1.40015</v>
      </c>
      <c r="AL308">
        <f t="shared" si="54"/>
        <v>15.6525</v>
      </c>
      <c r="AM308">
        <f t="shared" si="55"/>
        <v>21.922891500000002</v>
      </c>
      <c r="AP308" s="9"/>
      <c r="AQ308" s="22">
        <v>0.199432</v>
      </c>
      <c r="AR308" s="22">
        <v>520.53300000000002</v>
      </c>
      <c r="AS308" s="22">
        <v>-1.78864E-2</v>
      </c>
      <c r="AT308" s="22">
        <v>298</v>
      </c>
      <c r="AU308" s="22">
        <v>0.19897500000000001</v>
      </c>
      <c r="AV308">
        <f t="shared" si="56"/>
        <v>17.886400000000002</v>
      </c>
      <c r="AW308">
        <f t="shared" si="57"/>
        <v>3.5671205248000004</v>
      </c>
      <c r="AX308" s="9"/>
      <c r="AY308" s="22">
        <v>1.4006000000000001</v>
      </c>
      <c r="AZ308" s="22">
        <v>642.89</v>
      </c>
      <c r="BA308" s="22">
        <v>-1.38519E-2</v>
      </c>
      <c r="BB308" s="22">
        <v>298</v>
      </c>
      <c r="BC308" s="22">
        <v>1.40015</v>
      </c>
      <c r="BD308">
        <f t="shared" si="58"/>
        <v>13.851900000000001</v>
      </c>
      <c r="BE308">
        <f t="shared" si="59"/>
        <v>19.400971140000003</v>
      </c>
    </row>
    <row r="309" spans="6:57">
      <c r="F309" s="9"/>
      <c r="G309" s="22">
        <v>0.19439699999999999</v>
      </c>
      <c r="H309" s="22">
        <v>106.373</v>
      </c>
      <c r="I309" s="22">
        <v>-1.8005400000000001E-2</v>
      </c>
      <c r="J309" s="22">
        <v>299</v>
      </c>
      <c r="K309" s="22">
        <v>0.19384799999999999</v>
      </c>
      <c r="L309">
        <f t="shared" si="48"/>
        <v>18.005400000000002</v>
      </c>
      <c r="M309">
        <f t="shared" si="49"/>
        <v>3.5001957438</v>
      </c>
      <c r="N309" s="9"/>
      <c r="O309" s="22">
        <v>1.40564</v>
      </c>
      <c r="P309" s="22">
        <v>221.29</v>
      </c>
      <c r="Q309" s="22">
        <v>-1.6500899999999999E-2</v>
      </c>
      <c r="R309" s="22">
        <v>299</v>
      </c>
      <c r="S309" s="22">
        <v>1.40503</v>
      </c>
      <c r="T309">
        <f t="shared" si="50"/>
        <v>16.500899999999998</v>
      </c>
      <c r="U309">
        <f t="shared" si="51"/>
        <v>23.194325075999998</v>
      </c>
      <c r="X309" s="9"/>
      <c r="Y309" s="22">
        <v>0.19439699999999999</v>
      </c>
      <c r="Z309" s="22">
        <v>324.27699999999999</v>
      </c>
      <c r="AA309" s="22">
        <v>-1.7965700000000001E-2</v>
      </c>
      <c r="AB309" s="22">
        <v>299</v>
      </c>
      <c r="AC309" s="22">
        <v>0.19400000000000001</v>
      </c>
      <c r="AD309">
        <f t="shared" si="52"/>
        <v>17.965700000000002</v>
      </c>
      <c r="AE309">
        <f t="shared" si="53"/>
        <v>3.4924781829000002</v>
      </c>
      <c r="AF309" s="9"/>
      <c r="AG309" s="22">
        <v>1.40564</v>
      </c>
      <c r="AH309" s="22">
        <v>384.85599999999999</v>
      </c>
      <c r="AI309" s="22">
        <v>-1.55365E-2</v>
      </c>
      <c r="AJ309" s="22">
        <v>299</v>
      </c>
      <c r="AK309" s="22">
        <v>1.40442</v>
      </c>
      <c r="AL309">
        <f t="shared" si="54"/>
        <v>15.5365</v>
      </c>
      <c r="AM309">
        <f t="shared" si="55"/>
        <v>21.83872586</v>
      </c>
      <c r="AP309" s="9"/>
      <c r="AQ309" s="22">
        <v>0.19439699999999999</v>
      </c>
      <c r="AR309" s="22">
        <v>520.63400000000001</v>
      </c>
      <c r="AS309" s="22">
        <v>-1.78894E-2</v>
      </c>
      <c r="AT309" s="22">
        <v>299</v>
      </c>
      <c r="AU309" s="22">
        <v>0.19378699999999999</v>
      </c>
      <c r="AV309">
        <f t="shared" si="56"/>
        <v>17.889399999999998</v>
      </c>
      <c r="AW309">
        <f t="shared" si="57"/>
        <v>3.4776456917999994</v>
      </c>
      <c r="AX309" s="9"/>
      <c r="AY309" s="22">
        <v>1.40564</v>
      </c>
      <c r="AZ309" s="22">
        <v>642.99099999999999</v>
      </c>
      <c r="BA309" s="22">
        <v>-1.3717699999999999E-2</v>
      </c>
      <c r="BB309" s="22">
        <v>299</v>
      </c>
      <c r="BC309" s="22">
        <v>1.40472</v>
      </c>
      <c r="BD309">
        <f t="shared" si="58"/>
        <v>13.717699999999999</v>
      </c>
      <c r="BE309">
        <f t="shared" si="59"/>
        <v>19.282147827999999</v>
      </c>
    </row>
    <row r="310" spans="6:57">
      <c r="F310" s="9"/>
      <c r="G310" s="22">
        <v>0.189362</v>
      </c>
      <c r="H310" s="22">
        <v>106.474</v>
      </c>
      <c r="I310" s="22">
        <v>-1.7990099999999998E-2</v>
      </c>
      <c r="J310" s="22">
        <v>300</v>
      </c>
      <c r="K310" s="22">
        <v>0.18865999999999999</v>
      </c>
      <c r="L310">
        <f t="shared" si="48"/>
        <v>17.990099999999998</v>
      </c>
      <c r="M310">
        <f t="shared" si="49"/>
        <v>3.4066413161999995</v>
      </c>
      <c r="N310" s="9"/>
      <c r="O310" s="22">
        <v>1.4106799999999999</v>
      </c>
      <c r="P310" s="22">
        <v>221.39099999999999</v>
      </c>
      <c r="Q310" s="22">
        <v>-1.6336099999999999E-2</v>
      </c>
      <c r="R310" s="22">
        <v>300</v>
      </c>
      <c r="S310" s="22">
        <v>1.40991</v>
      </c>
      <c r="T310">
        <f t="shared" si="50"/>
        <v>16.336099999999998</v>
      </c>
      <c r="U310">
        <f t="shared" si="51"/>
        <v>23.045009547999996</v>
      </c>
      <c r="X310" s="9"/>
      <c r="Y310" s="22">
        <v>0.189362</v>
      </c>
      <c r="Z310" s="22">
        <v>324.37700000000001</v>
      </c>
      <c r="AA310" s="22">
        <v>-1.79718E-2</v>
      </c>
      <c r="AB310" s="22">
        <v>300</v>
      </c>
      <c r="AC310" s="22">
        <v>0.18847700000000001</v>
      </c>
      <c r="AD310">
        <f t="shared" si="52"/>
        <v>17.971799999999998</v>
      </c>
      <c r="AE310">
        <f t="shared" si="53"/>
        <v>3.4031759915999995</v>
      </c>
      <c r="AF310" s="9"/>
      <c r="AG310" s="22">
        <v>1.4106799999999999</v>
      </c>
      <c r="AH310" s="22">
        <v>384.95600000000002</v>
      </c>
      <c r="AI310" s="22">
        <v>-1.54022E-2</v>
      </c>
      <c r="AJ310" s="22">
        <v>300</v>
      </c>
      <c r="AK310" s="22">
        <v>1.40961</v>
      </c>
      <c r="AL310">
        <f t="shared" si="54"/>
        <v>15.402199999999999</v>
      </c>
      <c r="AM310">
        <f t="shared" si="55"/>
        <v>21.727575495999996</v>
      </c>
      <c r="AP310" s="9"/>
      <c r="AQ310" s="22">
        <v>0.189362</v>
      </c>
      <c r="AR310" s="22">
        <v>520.73500000000001</v>
      </c>
      <c r="AS310" s="22">
        <v>-1.78894E-2</v>
      </c>
      <c r="AT310" s="22">
        <v>300</v>
      </c>
      <c r="AU310" s="22">
        <v>0.18893399999999999</v>
      </c>
      <c r="AV310">
        <f t="shared" si="56"/>
        <v>17.889399999999998</v>
      </c>
      <c r="AW310">
        <f t="shared" si="57"/>
        <v>3.3875725628</v>
      </c>
      <c r="AX310" s="9"/>
      <c r="AY310" s="22">
        <v>1.4106799999999999</v>
      </c>
      <c r="AZ310" s="22">
        <v>643.09199999999998</v>
      </c>
      <c r="BA310" s="22">
        <v>-1.36017E-2</v>
      </c>
      <c r="BB310" s="22">
        <v>300</v>
      </c>
      <c r="BC310" s="22">
        <v>1.41022</v>
      </c>
      <c r="BD310">
        <f t="shared" si="58"/>
        <v>13.601699999999999</v>
      </c>
      <c r="BE310">
        <f t="shared" si="59"/>
        <v>19.187646156</v>
      </c>
    </row>
    <row r="311" spans="6:57">
      <c r="F311" s="9"/>
      <c r="G311" s="22">
        <v>0.18432599999999999</v>
      </c>
      <c r="H311" s="22">
        <v>106.574</v>
      </c>
      <c r="I311" s="22">
        <v>-1.8008400000000001E-2</v>
      </c>
      <c r="J311" s="22">
        <v>301</v>
      </c>
      <c r="K311" s="22">
        <v>0.18359400000000001</v>
      </c>
      <c r="L311">
        <f t="shared" si="48"/>
        <v>18.008400000000002</v>
      </c>
      <c r="M311">
        <f t="shared" si="49"/>
        <v>3.3194163383999999</v>
      </c>
      <c r="N311" s="9"/>
      <c r="O311" s="22">
        <v>1.41571</v>
      </c>
      <c r="P311" s="22">
        <v>221.49100000000001</v>
      </c>
      <c r="Q311" s="22">
        <v>-1.63605E-2</v>
      </c>
      <c r="R311" s="22">
        <v>301</v>
      </c>
      <c r="S311" s="22">
        <v>1.41479</v>
      </c>
      <c r="T311">
        <f t="shared" si="50"/>
        <v>16.360500000000002</v>
      </c>
      <c r="U311">
        <f t="shared" si="51"/>
        <v>23.161723455000004</v>
      </c>
      <c r="X311" s="9"/>
      <c r="Y311" s="22">
        <v>0.18432599999999999</v>
      </c>
      <c r="Z311" s="22">
        <v>324.47800000000001</v>
      </c>
      <c r="AA311" s="22">
        <v>-1.79718E-2</v>
      </c>
      <c r="AB311" s="22">
        <v>301</v>
      </c>
      <c r="AC311" s="22">
        <v>0.18368499999999999</v>
      </c>
      <c r="AD311">
        <f t="shared" si="52"/>
        <v>17.971799999999998</v>
      </c>
      <c r="AE311">
        <f t="shared" si="53"/>
        <v>3.3126700067999995</v>
      </c>
      <c r="AF311" s="9"/>
      <c r="AG311" s="22">
        <v>1.41571</v>
      </c>
      <c r="AH311" s="22">
        <v>385.05700000000002</v>
      </c>
      <c r="AI311" s="22">
        <v>-1.52496E-2</v>
      </c>
      <c r="AJ311" s="22">
        <v>301</v>
      </c>
      <c r="AK311" s="22">
        <v>1.4151</v>
      </c>
      <c r="AL311">
        <f t="shared" si="54"/>
        <v>15.249600000000001</v>
      </c>
      <c r="AM311">
        <f t="shared" si="55"/>
        <v>21.589011216000003</v>
      </c>
      <c r="AP311" s="9"/>
      <c r="AQ311" s="22">
        <v>0.18432599999999999</v>
      </c>
      <c r="AR311" s="22">
        <v>520.83500000000004</v>
      </c>
      <c r="AS311" s="22">
        <v>-1.78864E-2</v>
      </c>
      <c r="AT311" s="22">
        <v>301</v>
      </c>
      <c r="AU311" s="22">
        <v>0.183563</v>
      </c>
      <c r="AV311">
        <f t="shared" si="56"/>
        <v>17.886400000000002</v>
      </c>
      <c r="AW311">
        <f t="shared" si="57"/>
        <v>3.2969285664000001</v>
      </c>
      <c r="AX311" s="9"/>
      <c r="AY311" s="22">
        <v>1.41571</v>
      </c>
      <c r="AZ311" s="22">
        <v>643.19200000000001</v>
      </c>
      <c r="BA311" s="22">
        <v>-1.3439899999999999E-2</v>
      </c>
      <c r="BB311" s="22">
        <v>301</v>
      </c>
      <c r="BC311" s="22">
        <v>1.4151</v>
      </c>
      <c r="BD311">
        <f t="shared" si="58"/>
        <v>13.4399</v>
      </c>
      <c r="BE311">
        <f t="shared" si="59"/>
        <v>19.027000828999999</v>
      </c>
    </row>
    <row r="312" spans="6:57">
      <c r="F312" s="9"/>
      <c r="G312" s="22">
        <v>0.17929100000000001</v>
      </c>
      <c r="H312" s="22">
        <v>106.675</v>
      </c>
      <c r="I312" s="22">
        <v>-1.7999299999999999E-2</v>
      </c>
      <c r="J312" s="22">
        <v>302</v>
      </c>
      <c r="K312" s="22">
        <v>0.17874100000000001</v>
      </c>
      <c r="L312">
        <f t="shared" si="48"/>
        <v>17.999299999999998</v>
      </c>
      <c r="M312">
        <f t="shared" si="49"/>
        <v>3.2271124962999997</v>
      </c>
      <c r="N312" s="9"/>
      <c r="O312" s="22">
        <v>1.42075</v>
      </c>
      <c r="P312" s="22">
        <v>221.59200000000001</v>
      </c>
      <c r="Q312" s="22">
        <v>-1.6299399999999999E-2</v>
      </c>
      <c r="R312" s="22">
        <v>302</v>
      </c>
      <c r="S312" s="22">
        <v>1.4196800000000001</v>
      </c>
      <c r="T312">
        <f t="shared" si="50"/>
        <v>16.299399999999999</v>
      </c>
      <c r="U312">
        <f t="shared" si="51"/>
        <v>23.157372549999998</v>
      </c>
      <c r="X312" s="9"/>
      <c r="Y312" s="22">
        <v>0.17929100000000001</v>
      </c>
      <c r="Z312" s="22">
        <v>324.57900000000001</v>
      </c>
      <c r="AA312" s="22">
        <v>-1.7974899999999999E-2</v>
      </c>
      <c r="AB312" s="22">
        <v>302</v>
      </c>
      <c r="AC312" s="22">
        <v>0.17865</v>
      </c>
      <c r="AD312">
        <f t="shared" si="52"/>
        <v>17.974899999999998</v>
      </c>
      <c r="AE312">
        <f t="shared" si="53"/>
        <v>3.2227377958999996</v>
      </c>
      <c r="AF312" s="9"/>
      <c r="AG312" s="22">
        <v>1.42075</v>
      </c>
      <c r="AH312" s="22">
        <v>385.15800000000002</v>
      </c>
      <c r="AI312" s="22">
        <v>-1.5258799999999999E-2</v>
      </c>
      <c r="AJ312" s="22">
        <v>302</v>
      </c>
      <c r="AK312" s="22">
        <v>1.4202900000000001</v>
      </c>
      <c r="AL312">
        <f t="shared" si="54"/>
        <v>15.258799999999999</v>
      </c>
      <c r="AM312">
        <f t="shared" si="55"/>
        <v>21.678940099999998</v>
      </c>
      <c r="AP312" s="9"/>
      <c r="AQ312" s="22">
        <v>0.17929100000000001</v>
      </c>
      <c r="AR312" s="22">
        <v>520.93600000000004</v>
      </c>
      <c r="AS312" s="22">
        <v>-1.7898600000000001E-2</v>
      </c>
      <c r="AT312" s="22">
        <v>302</v>
      </c>
      <c r="AU312" s="22">
        <v>0.17868000000000001</v>
      </c>
      <c r="AV312">
        <f t="shared" si="56"/>
        <v>17.898600000000002</v>
      </c>
      <c r="AW312">
        <f t="shared" si="57"/>
        <v>3.2090578926000006</v>
      </c>
      <c r="AX312" s="9"/>
      <c r="AY312" s="22">
        <v>1.42075</v>
      </c>
      <c r="AZ312" s="22">
        <v>643.29300000000001</v>
      </c>
      <c r="BA312" s="22">
        <v>-1.32996E-2</v>
      </c>
      <c r="BB312" s="22">
        <v>302</v>
      </c>
      <c r="BC312" s="22">
        <v>1.4202900000000001</v>
      </c>
      <c r="BD312">
        <f t="shared" si="58"/>
        <v>13.2996</v>
      </c>
      <c r="BE312">
        <f t="shared" si="59"/>
        <v>18.895406699999999</v>
      </c>
    </row>
    <row r="313" spans="6:57">
      <c r="F313" s="9"/>
      <c r="G313" s="22">
        <v>0.17425499999999999</v>
      </c>
      <c r="H313" s="22">
        <v>106.776</v>
      </c>
      <c r="I313" s="22">
        <v>-1.80115E-2</v>
      </c>
      <c r="J313" s="22">
        <v>303</v>
      </c>
      <c r="K313" s="22">
        <v>0.17364499999999999</v>
      </c>
      <c r="L313">
        <f t="shared" si="48"/>
        <v>18.011499999999998</v>
      </c>
      <c r="M313">
        <f t="shared" si="49"/>
        <v>3.1385939324999996</v>
      </c>
      <c r="N313" s="9"/>
      <c r="O313" s="22">
        <v>1.42578</v>
      </c>
      <c r="P313" s="22">
        <v>221.69300000000001</v>
      </c>
      <c r="Q313" s="22">
        <v>-1.6235400000000001E-2</v>
      </c>
      <c r="R313" s="22">
        <v>303</v>
      </c>
      <c r="S313" s="22">
        <v>1.4254800000000001</v>
      </c>
      <c r="T313">
        <f t="shared" si="50"/>
        <v>16.235400000000002</v>
      </c>
      <c r="U313">
        <f t="shared" si="51"/>
        <v>23.148108612000005</v>
      </c>
      <c r="X313" s="9"/>
      <c r="Y313" s="22">
        <v>0.17425499999999999</v>
      </c>
      <c r="Z313" s="22">
        <v>324.67899999999997</v>
      </c>
      <c r="AA313" s="22">
        <v>-1.79688E-2</v>
      </c>
      <c r="AB313" s="22">
        <v>303</v>
      </c>
      <c r="AC313" s="22">
        <v>0.17385900000000001</v>
      </c>
      <c r="AD313">
        <f t="shared" si="52"/>
        <v>17.968800000000002</v>
      </c>
      <c r="AE313">
        <f t="shared" si="53"/>
        <v>3.1311532440000001</v>
      </c>
      <c r="AF313" s="9"/>
      <c r="AG313" s="22">
        <v>1.42578</v>
      </c>
      <c r="AH313" s="22">
        <v>385.25799999999998</v>
      </c>
      <c r="AI313" s="22">
        <v>-1.5271E-2</v>
      </c>
      <c r="AJ313" s="22">
        <v>303</v>
      </c>
      <c r="AK313" s="22">
        <v>1.42517</v>
      </c>
      <c r="AL313">
        <f t="shared" si="54"/>
        <v>15.270999999999999</v>
      </c>
      <c r="AM313">
        <f t="shared" si="55"/>
        <v>21.773086379999999</v>
      </c>
      <c r="AP313" s="9"/>
      <c r="AQ313" s="22">
        <v>0.17425499999999999</v>
      </c>
      <c r="AR313" s="22">
        <v>521.03700000000003</v>
      </c>
      <c r="AS313" s="22">
        <v>-1.79413E-2</v>
      </c>
      <c r="AT313" s="22">
        <v>303</v>
      </c>
      <c r="AU313" s="22">
        <v>0.17355300000000001</v>
      </c>
      <c r="AV313">
        <f t="shared" si="56"/>
        <v>17.941300000000002</v>
      </c>
      <c r="AW313">
        <f t="shared" si="57"/>
        <v>3.1263612315000002</v>
      </c>
      <c r="AX313" s="9"/>
      <c r="AY313" s="22">
        <v>1.42578</v>
      </c>
      <c r="AZ313" s="22">
        <v>643.39400000000001</v>
      </c>
      <c r="BA313" s="22">
        <v>-1.3214099999999999E-2</v>
      </c>
      <c r="BB313" s="22">
        <v>303</v>
      </c>
      <c r="BC313" s="22">
        <v>1.4254800000000001</v>
      </c>
      <c r="BD313">
        <f t="shared" si="58"/>
        <v>13.2141</v>
      </c>
      <c r="BE313">
        <f t="shared" si="59"/>
        <v>18.840399498</v>
      </c>
    </row>
    <row r="314" spans="6:57">
      <c r="F314" s="9"/>
      <c r="G314" s="22">
        <v>0.16922000000000001</v>
      </c>
      <c r="H314" s="22">
        <v>106.877</v>
      </c>
      <c r="I314" s="22">
        <v>-1.80115E-2</v>
      </c>
      <c r="J314" s="22">
        <v>304</v>
      </c>
      <c r="K314" s="22">
        <v>0.16857900000000001</v>
      </c>
      <c r="L314">
        <f t="shared" si="48"/>
        <v>18.011499999999998</v>
      </c>
      <c r="M314">
        <f t="shared" si="49"/>
        <v>3.04790603</v>
      </c>
      <c r="N314" s="9"/>
      <c r="O314" s="22">
        <v>1.43082</v>
      </c>
      <c r="P314" s="22">
        <v>221.79300000000001</v>
      </c>
      <c r="Q314" s="22">
        <v>-1.6207900000000001E-2</v>
      </c>
      <c r="R314" s="22">
        <v>304</v>
      </c>
      <c r="S314" s="22">
        <v>1.43005</v>
      </c>
      <c r="T314">
        <f t="shared" si="50"/>
        <v>16.207900000000002</v>
      </c>
      <c r="U314">
        <f t="shared" si="51"/>
        <v>23.190587478000001</v>
      </c>
      <c r="X314" s="9"/>
      <c r="Y314" s="22">
        <v>0.16922000000000001</v>
      </c>
      <c r="Z314" s="22">
        <v>324.77999999999997</v>
      </c>
      <c r="AA314" s="22">
        <v>-1.79688E-2</v>
      </c>
      <c r="AB314" s="22">
        <v>304</v>
      </c>
      <c r="AC314" s="22">
        <v>0.168488</v>
      </c>
      <c r="AD314">
        <f t="shared" si="52"/>
        <v>17.968800000000002</v>
      </c>
      <c r="AE314">
        <f t="shared" si="53"/>
        <v>3.0406803360000003</v>
      </c>
      <c r="AF314" s="9"/>
      <c r="AG314" s="22">
        <v>1.43082</v>
      </c>
      <c r="AH314" s="22">
        <v>385.35899999999998</v>
      </c>
      <c r="AI314" s="22">
        <v>-1.5170299999999999E-2</v>
      </c>
      <c r="AJ314" s="22">
        <v>304</v>
      </c>
      <c r="AK314" s="22">
        <v>1.43005</v>
      </c>
      <c r="AL314">
        <f t="shared" si="54"/>
        <v>15.170299999999999</v>
      </c>
      <c r="AM314">
        <f t="shared" si="55"/>
        <v>21.705968645999999</v>
      </c>
      <c r="AP314" s="9"/>
      <c r="AQ314" s="22">
        <v>0.16922000000000001</v>
      </c>
      <c r="AR314" s="22">
        <v>521.13699999999994</v>
      </c>
      <c r="AS314" s="22">
        <v>-1.79443E-2</v>
      </c>
      <c r="AT314" s="22">
        <v>304</v>
      </c>
      <c r="AU314" s="22">
        <v>0.16873199999999999</v>
      </c>
      <c r="AV314">
        <f t="shared" si="56"/>
        <v>17.944299999999998</v>
      </c>
      <c r="AW314">
        <f t="shared" si="57"/>
        <v>3.0365344460000001</v>
      </c>
      <c r="AX314" s="9"/>
      <c r="AY314" s="22">
        <v>1.43082</v>
      </c>
      <c r="AZ314" s="22">
        <v>643.495</v>
      </c>
      <c r="BA314" s="22">
        <v>-1.3113400000000001E-2</v>
      </c>
      <c r="BB314" s="22">
        <v>304</v>
      </c>
      <c r="BC314" s="22">
        <v>1.4303600000000001</v>
      </c>
      <c r="BD314">
        <f t="shared" si="58"/>
        <v>13.1134</v>
      </c>
      <c r="BE314">
        <f t="shared" si="59"/>
        <v>18.762914987999999</v>
      </c>
    </row>
    <row r="315" spans="6:57">
      <c r="F315" s="9"/>
      <c r="G315" s="22">
        <v>0.164185</v>
      </c>
      <c r="H315" s="22">
        <v>106.977</v>
      </c>
      <c r="I315" s="22">
        <v>-1.80115E-2</v>
      </c>
      <c r="J315" s="22">
        <v>305</v>
      </c>
      <c r="K315" s="22">
        <v>0.16375700000000001</v>
      </c>
      <c r="L315">
        <f t="shared" si="48"/>
        <v>18.011499999999998</v>
      </c>
      <c r="M315">
        <f t="shared" si="49"/>
        <v>2.9572181274999996</v>
      </c>
      <c r="N315" s="9"/>
      <c r="O315" s="22">
        <v>1.4358500000000001</v>
      </c>
      <c r="P315" s="22">
        <v>221.89400000000001</v>
      </c>
      <c r="Q315" s="22">
        <v>-1.6149899999999998E-2</v>
      </c>
      <c r="R315" s="22">
        <v>305</v>
      </c>
      <c r="S315" s="22">
        <v>1.4349400000000001</v>
      </c>
      <c r="T315">
        <f t="shared" si="50"/>
        <v>16.149899999999999</v>
      </c>
      <c r="U315">
        <f t="shared" si="51"/>
        <v>23.188833915</v>
      </c>
      <c r="X315" s="9"/>
      <c r="Y315" s="22">
        <v>0.164185</v>
      </c>
      <c r="Z315" s="22">
        <v>324.88099999999997</v>
      </c>
      <c r="AA315" s="22">
        <v>-1.7987099999999999E-2</v>
      </c>
      <c r="AB315" s="22">
        <v>305</v>
      </c>
      <c r="AC315" s="22">
        <v>0.163574</v>
      </c>
      <c r="AD315">
        <f t="shared" si="52"/>
        <v>17.987099999999998</v>
      </c>
      <c r="AE315">
        <f t="shared" si="53"/>
        <v>2.9532120134999995</v>
      </c>
      <c r="AF315" s="9"/>
      <c r="AG315" s="22">
        <v>1.4358500000000001</v>
      </c>
      <c r="AH315" s="22">
        <v>385.46</v>
      </c>
      <c r="AI315" s="22">
        <v>-1.5069600000000001E-2</v>
      </c>
      <c r="AJ315" s="22">
        <v>305</v>
      </c>
      <c r="AK315" s="22">
        <v>1.4352400000000001</v>
      </c>
      <c r="AL315">
        <f t="shared" si="54"/>
        <v>15.069600000000001</v>
      </c>
      <c r="AM315">
        <f t="shared" si="55"/>
        <v>21.637685160000004</v>
      </c>
      <c r="AP315" s="9"/>
      <c r="AQ315" s="22">
        <v>0.164185</v>
      </c>
      <c r="AR315" s="22">
        <v>521.23800000000006</v>
      </c>
      <c r="AS315" s="22">
        <v>-1.79565E-2</v>
      </c>
      <c r="AT315" s="22">
        <v>305</v>
      </c>
      <c r="AU315" s="22">
        <v>0.16369600000000001</v>
      </c>
      <c r="AV315">
        <f t="shared" si="56"/>
        <v>17.956500000000002</v>
      </c>
      <c r="AW315">
        <f t="shared" si="57"/>
        <v>2.9481879525000001</v>
      </c>
      <c r="AX315" s="9"/>
      <c r="AY315" s="22">
        <v>1.4358500000000001</v>
      </c>
      <c r="AZ315" s="22">
        <v>643.59500000000003</v>
      </c>
      <c r="BA315" s="22">
        <v>-1.3021899999999999E-2</v>
      </c>
      <c r="BB315" s="22">
        <v>305</v>
      </c>
      <c r="BC315" s="22">
        <v>1.4352400000000001</v>
      </c>
      <c r="BD315">
        <f t="shared" si="58"/>
        <v>13.021899999999999</v>
      </c>
      <c r="BE315">
        <f t="shared" si="59"/>
        <v>18.697495114999999</v>
      </c>
    </row>
    <row r="316" spans="6:57">
      <c r="F316" s="9"/>
      <c r="G316" s="22">
        <v>0.15914900000000001</v>
      </c>
      <c r="H316" s="22">
        <v>107.078</v>
      </c>
      <c r="I316" s="22">
        <v>-1.7987099999999999E-2</v>
      </c>
      <c r="J316" s="22">
        <v>306</v>
      </c>
      <c r="K316" s="22">
        <v>0.158417</v>
      </c>
      <c r="L316">
        <f t="shared" si="48"/>
        <v>17.987099999999998</v>
      </c>
      <c r="M316">
        <f t="shared" si="49"/>
        <v>2.8626289779</v>
      </c>
      <c r="N316" s="9"/>
      <c r="O316" s="22">
        <v>1.44089</v>
      </c>
      <c r="P316" s="22">
        <v>221.995</v>
      </c>
      <c r="Q316" s="22">
        <v>-1.6076699999999999E-2</v>
      </c>
      <c r="R316" s="22">
        <v>306</v>
      </c>
      <c r="S316" s="22">
        <v>1.4401200000000001</v>
      </c>
      <c r="T316">
        <f t="shared" si="50"/>
        <v>16.076699999999999</v>
      </c>
      <c r="U316">
        <f t="shared" si="51"/>
        <v>23.164756262999997</v>
      </c>
      <c r="X316" s="9"/>
      <c r="Y316" s="22">
        <v>0.15914900000000001</v>
      </c>
      <c r="Z316" s="22">
        <v>324.98200000000003</v>
      </c>
      <c r="AA316" s="22">
        <v>-1.7987099999999999E-2</v>
      </c>
      <c r="AB316" s="22">
        <v>306</v>
      </c>
      <c r="AC316" s="22">
        <v>0.158752</v>
      </c>
      <c r="AD316">
        <f t="shared" si="52"/>
        <v>17.987099999999998</v>
      </c>
      <c r="AE316">
        <f t="shared" si="53"/>
        <v>2.8626289779</v>
      </c>
      <c r="AF316" s="9"/>
      <c r="AG316" s="22">
        <v>1.44089</v>
      </c>
      <c r="AH316" s="22">
        <v>385.56099999999998</v>
      </c>
      <c r="AI316" s="22">
        <v>-1.49567E-2</v>
      </c>
      <c r="AJ316" s="22">
        <v>306</v>
      </c>
      <c r="AK316" s="22">
        <v>1.4398200000000001</v>
      </c>
      <c r="AL316">
        <f t="shared" si="54"/>
        <v>14.9567</v>
      </c>
      <c r="AM316">
        <f t="shared" si="55"/>
        <v>21.550959462999998</v>
      </c>
      <c r="AP316" s="9"/>
      <c r="AQ316" s="22">
        <v>0.15914900000000001</v>
      </c>
      <c r="AR316" s="22">
        <v>521.33900000000006</v>
      </c>
      <c r="AS316" s="22">
        <v>-1.7950399999999998E-2</v>
      </c>
      <c r="AT316" s="22">
        <v>306</v>
      </c>
      <c r="AU316" s="22">
        <v>0.158691</v>
      </c>
      <c r="AV316">
        <f t="shared" si="56"/>
        <v>17.950399999999998</v>
      </c>
      <c r="AW316">
        <f t="shared" si="57"/>
        <v>2.8567882095999999</v>
      </c>
      <c r="AX316" s="9"/>
      <c r="AY316" s="22">
        <v>1.44089</v>
      </c>
      <c r="AZ316" s="22">
        <v>643.69600000000003</v>
      </c>
      <c r="BA316" s="22">
        <v>-1.28418E-2</v>
      </c>
      <c r="BB316" s="22">
        <v>306</v>
      </c>
      <c r="BC316" s="22">
        <v>1.4404300000000001</v>
      </c>
      <c r="BD316">
        <f t="shared" si="58"/>
        <v>12.841800000000001</v>
      </c>
      <c r="BE316">
        <f t="shared" si="59"/>
        <v>18.503621202000001</v>
      </c>
    </row>
    <row r="317" spans="6:57">
      <c r="F317" s="9"/>
      <c r="G317" s="22">
        <v>0.154114</v>
      </c>
      <c r="H317" s="22">
        <v>107.179</v>
      </c>
      <c r="I317" s="22">
        <v>-1.79688E-2</v>
      </c>
      <c r="J317" s="22">
        <v>307</v>
      </c>
      <c r="K317" s="22">
        <v>0.153778</v>
      </c>
      <c r="L317">
        <f t="shared" si="48"/>
        <v>17.968800000000002</v>
      </c>
      <c r="M317">
        <f t="shared" si="49"/>
        <v>2.7692436432000003</v>
      </c>
      <c r="N317" s="9"/>
      <c r="O317" s="22">
        <v>1.4459200000000001</v>
      </c>
      <c r="P317" s="22">
        <v>222.096</v>
      </c>
      <c r="Q317" s="22">
        <v>-1.5862999999999999E-2</v>
      </c>
      <c r="R317" s="22">
        <v>307</v>
      </c>
      <c r="S317" s="22">
        <v>1.4453100000000001</v>
      </c>
      <c r="T317">
        <f t="shared" si="50"/>
        <v>15.862999999999998</v>
      </c>
      <c r="U317">
        <f t="shared" si="51"/>
        <v>22.936628959999997</v>
      </c>
      <c r="X317" s="9"/>
      <c r="Y317" s="22">
        <v>0.154114</v>
      </c>
      <c r="Z317" s="22">
        <v>325.08199999999999</v>
      </c>
      <c r="AA317" s="22">
        <v>-1.7993200000000001E-2</v>
      </c>
      <c r="AB317" s="22">
        <v>307</v>
      </c>
      <c r="AC317" s="22">
        <v>0.153503</v>
      </c>
      <c r="AD317">
        <f t="shared" si="52"/>
        <v>17.993200000000002</v>
      </c>
      <c r="AE317">
        <f t="shared" si="53"/>
        <v>2.7730040248000001</v>
      </c>
      <c r="AF317" s="9"/>
      <c r="AG317" s="22">
        <v>1.4459200000000001</v>
      </c>
      <c r="AH317" s="22">
        <v>385.661</v>
      </c>
      <c r="AI317" s="22">
        <v>-1.4816299999999999E-2</v>
      </c>
      <c r="AJ317" s="22">
        <v>307</v>
      </c>
      <c r="AK317" s="22">
        <v>1.4453100000000001</v>
      </c>
      <c r="AL317">
        <f t="shared" si="54"/>
        <v>14.8163</v>
      </c>
      <c r="AM317">
        <f t="shared" si="55"/>
        <v>21.423184496000001</v>
      </c>
      <c r="AP317" s="9"/>
      <c r="AQ317" s="22">
        <v>0.154114</v>
      </c>
      <c r="AR317" s="22">
        <v>521.44000000000005</v>
      </c>
      <c r="AS317" s="22">
        <v>-1.7950399999999998E-2</v>
      </c>
      <c r="AT317" s="22">
        <v>307</v>
      </c>
      <c r="AU317" s="22">
        <v>0.15393100000000001</v>
      </c>
      <c r="AV317">
        <f t="shared" si="56"/>
        <v>17.950399999999998</v>
      </c>
      <c r="AW317">
        <f t="shared" si="57"/>
        <v>2.7664079455999997</v>
      </c>
      <c r="AX317" s="9"/>
      <c r="AY317" s="22">
        <v>1.4459200000000001</v>
      </c>
      <c r="AZ317" s="22">
        <v>643.79700000000003</v>
      </c>
      <c r="BA317" s="22">
        <v>-1.26587E-2</v>
      </c>
      <c r="BB317" s="22">
        <v>307</v>
      </c>
      <c r="BC317" s="22">
        <v>1.4453100000000001</v>
      </c>
      <c r="BD317">
        <f t="shared" si="58"/>
        <v>12.6587</v>
      </c>
      <c r="BE317">
        <f t="shared" si="59"/>
        <v>18.303467504</v>
      </c>
    </row>
    <row r="318" spans="6:57">
      <c r="F318" s="9"/>
      <c r="G318" s="22">
        <v>0.14907799999999999</v>
      </c>
      <c r="H318" s="22">
        <v>107.279</v>
      </c>
      <c r="I318" s="22">
        <v>-1.7953500000000001E-2</v>
      </c>
      <c r="J318" s="22">
        <v>308</v>
      </c>
      <c r="K318" s="22">
        <v>0.14852899999999999</v>
      </c>
      <c r="L318">
        <f t="shared" si="48"/>
        <v>17.953500000000002</v>
      </c>
      <c r="M318">
        <f t="shared" si="49"/>
        <v>2.6764718730000001</v>
      </c>
      <c r="N318" s="9"/>
      <c r="O318" s="22">
        <v>1.45096</v>
      </c>
      <c r="P318" s="22">
        <v>222.196</v>
      </c>
      <c r="Q318" s="22">
        <v>-1.57898E-2</v>
      </c>
      <c r="R318" s="22">
        <v>308</v>
      </c>
      <c r="S318" s="22">
        <v>1.4504999999999999</v>
      </c>
      <c r="T318">
        <f t="shared" si="50"/>
        <v>15.7898</v>
      </c>
      <c r="U318">
        <f t="shared" si="51"/>
        <v>22.910368208000001</v>
      </c>
      <c r="X318" s="9"/>
      <c r="Y318" s="22">
        <v>0.14907799999999999</v>
      </c>
      <c r="Z318" s="22">
        <v>325.18299999999999</v>
      </c>
      <c r="AA318" s="22">
        <v>-1.7993200000000001E-2</v>
      </c>
      <c r="AB318" s="22">
        <v>308</v>
      </c>
      <c r="AC318" s="22">
        <v>0.158112</v>
      </c>
      <c r="AD318">
        <f t="shared" si="52"/>
        <v>17.993200000000002</v>
      </c>
      <c r="AE318">
        <f t="shared" si="53"/>
        <v>2.6823902695999999</v>
      </c>
      <c r="AF318" s="9"/>
      <c r="AG318" s="22">
        <v>1.45096</v>
      </c>
      <c r="AH318" s="22">
        <v>385.762</v>
      </c>
      <c r="AI318" s="22">
        <v>-1.45752E-2</v>
      </c>
      <c r="AJ318" s="22">
        <v>308</v>
      </c>
      <c r="AK318" s="22">
        <v>1.4508099999999999</v>
      </c>
      <c r="AL318">
        <f t="shared" si="54"/>
        <v>14.575200000000001</v>
      </c>
      <c r="AM318">
        <f t="shared" si="55"/>
        <v>21.148032192000002</v>
      </c>
      <c r="AP318" s="9"/>
      <c r="AQ318" s="22">
        <v>0.14907799999999999</v>
      </c>
      <c r="AR318" s="22">
        <v>521.54</v>
      </c>
      <c r="AS318" s="22">
        <v>-1.7959599999999999E-2</v>
      </c>
      <c r="AT318" s="22">
        <v>308</v>
      </c>
      <c r="AU318" s="22">
        <v>0.14868200000000001</v>
      </c>
      <c r="AV318">
        <f t="shared" si="56"/>
        <v>17.959599999999998</v>
      </c>
      <c r="AW318">
        <f t="shared" si="57"/>
        <v>2.6773812487999997</v>
      </c>
      <c r="AX318" s="9"/>
      <c r="AY318" s="22">
        <v>1.45096</v>
      </c>
      <c r="AZ318" s="22">
        <v>643.89700000000005</v>
      </c>
      <c r="BA318" s="22">
        <v>-1.25092E-2</v>
      </c>
      <c r="BB318" s="22">
        <v>308</v>
      </c>
      <c r="BC318" s="22">
        <v>1.4504999999999999</v>
      </c>
      <c r="BD318">
        <f t="shared" si="58"/>
        <v>12.5092</v>
      </c>
      <c r="BE318">
        <f t="shared" si="59"/>
        <v>18.150348831999999</v>
      </c>
    </row>
    <row r="319" spans="6:57">
      <c r="F319" s="9"/>
      <c r="G319" s="22">
        <v>0.144043</v>
      </c>
      <c r="H319" s="22">
        <v>107.38</v>
      </c>
      <c r="I319" s="22">
        <v>-1.7987099999999999E-2</v>
      </c>
      <c r="J319" s="22">
        <v>309</v>
      </c>
      <c r="K319" s="22">
        <v>0.14300499999999999</v>
      </c>
      <c r="L319">
        <f t="shared" si="48"/>
        <v>17.987099999999998</v>
      </c>
      <c r="M319">
        <f t="shared" si="49"/>
        <v>2.5909158452999996</v>
      </c>
      <c r="N319" s="9"/>
      <c r="O319" s="22">
        <v>1.4559899999999999</v>
      </c>
      <c r="P319" s="22">
        <v>222.297</v>
      </c>
      <c r="Q319" s="22">
        <v>-1.5756200000000001E-2</v>
      </c>
      <c r="R319" s="22">
        <v>309</v>
      </c>
      <c r="S319" s="22">
        <v>1.4553799999999999</v>
      </c>
      <c r="T319">
        <f t="shared" si="50"/>
        <v>15.756200000000002</v>
      </c>
      <c r="U319">
        <f t="shared" si="51"/>
        <v>22.940869638000002</v>
      </c>
      <c r="X319" s="9"/>
      <c r="Y319" s="22">
        <v>0.144043</v>
      </c>
      <c r="Z319" s="22">
        <v>325.28399999999999</v>
      </c>
      <c r="AA319" s="22">
        <v>-1.7987099999999999E-2</v>
      </c>
      <c r="AB319" s="22">
        <v>309</v>
      </c>
      <c r="AC319" s="22">
        <v>0.14355499999999999</v>
      </c>
      <c r="AD319">
        <f t="shared" si="52"/>
        <v>17.987099999999998</v>
      </c>
      <c r="AE319">
        <f t="shared" si="53"/>
        <v>2.5909158452999996</v>
      </c>
      <c r="AF319" s="9"/>
      <c r="AG319" s="22">
        <v>1.4559899999999999</v>
      </c>
      <c r="AH319" s="22">
        <v>385.863</v>
      </c>
      <c r="AI319" s="22">
        <v>-1.4279200000000001E-2</v>
      </c>
      <c r="AJ319" s="22">
        <v>309</v>
      </c>
      <c r="AK319" s="22">
        <v>1.4553799999999999</v>
      </c>
      <c r="AL319">
        <f t="shared" si="54"/>
        <v>14.279200000000001</v>
      </c>
      <c r="AM319">
        <f t="shared" si="55"/>
        <v>20.790372408</v>
      </c>
      <c r="AP319" s="9"/>
      <c r="AQ319" s="22">
        <v>0.144043</v>
      </c>
      <c r="AR319" s="22">
        <v>521.64099999999996</v>
      </c>
      <c r="AS319" s="22">
        <v>-1.79718E-2</v>
      </c>
      <c r="AT319" s="22">
        <v>309</v>
      </c>
      <c r="AU319" s="22">
        <v>0.143372</v>
      </c>
      <c r="AV319">
        <f t="shared" si="56"/>
        <v>17.971799999999998</v>
      </c>
      <c r="AW319">
        <f t="shared" si="57"/>
        <v>2.5887119874</v>
      </c>
      <c r="AX319" s="9"/>
      <c r="AY319" s="22">
        <v>1.4559899999999999</v>
      </c>
      <c r="AZ319" s="22">
        <v>643.99800000000005</v>
      </c>
      <c r="BA319" s="22">
        <v>-1.2362700000000001E-2</v>
      </c>
      <c r="BB319" s="22">
        <v>309</v>
      </c>
      <c r="BC319" s="22">
        <v>1.4547699999999999</v>
      </c>
      <c r="BD319">
        <f t="shared" si="58"/>
        <v>12.3627</v>
      </c>
      <c r="BE319">
        <f t="shared" si="59"/>
        <v>17.999967572999999</v>
      </c>
    </row>
    <row r="320" spans="6:57">
      <c r="F320" s="9"/>
      <c r="G320" s="22">
        <v>0.13900799999999999</v>
      </c>
      <c r="H320" s="22">
        <v>107.48099999999999</v>
      </c>
      <c r="I320" s="22">
        <v>-1.80237E-2</v>
      </c>
      <c r="J320" s="22">
        <v>310</v>
      </c>
      <c r="K320" s="22">
        <v>0.138519</v>
      </c>
      <c r="L320">
        <f t="shared" si="48"/>
        <v>18.023700000000002</v>
      </c>
      <c r="M320">
        <f t="shared" si="49"/>
        <v>2.5054384895999999</v>
      </c>
      <c r="N320" s="9"/>
      <c r="O320" s="22">
        <v>1.4610300000000001</v>
      </c>
      <c r="P320" s="22">
        <v>222.398</v>
      </c>
      <c r="Q320" s="22">
        <v>-1.54541E-2</v>
      </c>
      <c r="R320" s="22">
        <v>310</v>
      </c>
      <c r="S320" s="22">
        <v>1.4605699999999999</v>
      </c>
      <c r="T320">
        <f t="shared" si="50"/>
        <v>15.4541</v>
      </c>
      <c r="U320">
        <f t="shared" si="51"/>
        <v>22.578903723</v>
      </c>
      <c r="X320" s="9"/>
      <c r="Y320" s="22">
        <v>0.13900799999999999</v>
      </c>
      <c r="Z320" s="22">
        <v>325.38400000000001</v>
      </c>
      <c r="AA320" s="22">
        <v>-1.79718E-2</v>
      </c>
      <c r="AB320" s="22">
        <v>310</v>
      </c>
      <c r="AC320" s="22">
        <v>0.138489</v>
      </c>
      <c r="AD320">
        <f t="shared" si="52"/>
        <v>17.971799999999998</v>
      </c>
      <c r="AE320">
        <f t="shared" si="53"/>
        <v>2.4982239743999997</v>
      </c>
      <c r="AF320" s="9"/>
      <c r="AG320" s="22">
        <v>1.4610300000000001</v>
      </c>
      <c r="AH320" s="22">
        <v>385.96300000000002</v>
      </c>
      <c r="AI320" s="22">
        <v>-1.40594E-2</v>
      </c>
      <c r="AJ320" s="22">
        <v>310</v>
      </c>
      <c r="AK320" s="22">
        <v>1.4599599999999999</v>
      </c>
      <c r="AL320">
        <f t="shared" si="54"/>
        <v>14.0594</v>
      </c>
      <c r="AM320">
        <f t="shared" si="55"/>
        <v>20.541205182000002</v>
      </c>
      <c r="AP320" s="9"/>
      <c r="AQ320" s="22">
        <v>0.13900799999999999</v>
      </c>
      <c r="AR320" s="22">
        <v>521.74199999999996</v>
      </c>
      <c r="AS320" s="22">
        <v>-1.79688E-2</v>
      </c>
      <c r="AT320" s="22">
        <v>310</v>
      </c>
      <c r="AU320" s="22">
        <v>0.138428</v>
      </c>
      <c r="AV320">
        <f t="shared" si="56"/>
        <v>17.968800000000002</v>
      </c>
      <c r="AW320">
        <f t="shared" si="57"/>
        <v>2.4978069504000002</v>
      </c>
      <c r="AX320" s="9"/>
      <c r="AY320" s="22">
        <v>1.4610300000000001</v>
      </c>
      <c r="AZ320" s="22">
        <v>644.09900000000005</v>
      </c>
      <c r="BA320" s="22">
        <v>-1.2213099999999999E-2</v>
      </c>
      <c r="BB320" s="22">
        <v>310</v>
      </c>
      <c r="BC320" s="22">
        <v>1.46027</v>
      </c>
      <c r="BD320">
        <f t="shared" si="58"/>
        <v>12.213099999999999</v>
      </c>
      <c r="BE320">
        <f t="shared" si="59"/>
        <v>17.843705492999998</v>
      </c>
    </row>
    <row r="321" spans="6:57">
      <c r="F321" s="9"/>
      <c r="G321" s="22">
        <v>0.13397200000000001</v>
      </c>
      <c r="H321" s="22">
        <v>107.581</v>
      </c>
      <c r="I321" s="22">
        <v>-1.8020600000000001E-2</v>
      </c>
      <c r="J321" s="22">
        <v>311</v>
      </c>
      <c r="K321" s="22">
        <v>0.13342300000000001</v>
      </c>
      <c r="L321">
        <f t="shared" si="48"/>
        <v>18.020600000000002</v>
      </c>
      <c r="M321">
        <f t="shared" si="49"/>
        <v>2.4142558232000004</v>
      </c>
      <c r="N321" s="9"/>
      <c r="O321" s="22">
        <v>1.4660599999999999</v>
      </c>
      <c r="P321" s="22">
        <v>222.49799999999999</v>
      </c>
      <c r="Q321" s="22">
        <v>-1.54053E-2</v>
      </c>
      <c r="R321" s="22">
        <v>311</v>
      </c>
      <c r="S321" s="22">
        <v>1.4654499999999999</v>
      </c>
      <c r="T321">
        <f t="shared" si="50"/>
        <v>15.4053</v>
      </c>
      <c r="U321">
        <f t="shared" si="51"/>
        <v>22.585094118000001</v>
      </c>
      <c r="X321" s="9"/>
      <c r="Y321" s="22">
        <v>0.13397200000000001</v>
      </c>
      <c r="Z321" s="22">
        <v>325.48500000000001</v>
      </c>
      <c r="AA321" s="22">
        <v>-1.79688E-2</v>
      </c>
      <c r="AB321" s="22">
        <v>311</v>
      </c>
      <c r="AC321" s="22">
        <v>0.13381999999999999</v>
      </c>
      <c r="AD321">
        <f t="shared" si="52"/>
        <v>17.968800000000002</v>
      </c>
      <c r="AE321">
        <f t="shared" si="53"/>
        <v>2.4073160736000005</v>
      </c>
      <c r="AF321" s="9"/>
      <c r="AG321" s="22">
        <v>1.4660599999999999</v>
      </c>
      <c r="AH321" s="22">
        <v>386.06400000000002</v>
      </c>
      <c r="AI321" s="22">
        <v>-1.38794E-2</v>
      </c>
      <c r="AJ321" s="22">
        <v>311</v>
      </c>
      <c r="AK321" s="22">
        <v>1.4654499999999999</v>
      </c>
      <c r="AL321">
        <f t="shared" si="54"/>
        <v>13.8794</v>
      </c>
      <c r="AM321">
        <f t="shared" si="55"/>
        <v>20.348033164</v>
      </c>
      <c r="AP321" s="9"/>
      <c r="AQ321" s="22">
        <v>0.13397200000000001</v>
      </c>
      <c r="AR321" s="22">
        <v>521.84199999999998</v>
      </c>
      <c r="AS321" s="22">
        <v>-1.7987099999999999E-2</v>
      </c>
      <c r="AT321" s="22">
        <v>311</v>
      </c>
      <c r="AU321" s="22">
        <v>0.13327</v>
      </c>
      <c r="AV321">
        <f t="shared" si="56"/>
        <v>17.987099999999998</v>
      </c>
      <c r="AW321">
        <f t="shared" si="57"/>
        <v>2.4097677611999999</v>
      </c>
      <c r="AX321" s="9"/>
      <c r="AY321" s="22">
        <v>1.4660599999999999</v>
      </c>
      <c r="AZ321" s="22">
        <v>644.20000000000005</v>
      </c>
      <c r="BA321" s="22">
        <v>-1.19843E-2</v>
      </c>
      <c r="BB321" s="22">
        <v>311</v>
      </c>
      <c r="BC321" s="22">
        <v>1.4654499999999999</v>
      </c>
      <c r="BD321">
        <f t="shared" si="58"/>
        <v>11.984299999999999</v>
      </c>
      <c r="BE321">
        <f t="shared" si="59"/>
        <v>17.569702857999999</v>
      </c>
    </row>
    <row r="322" spans="6:57">
      <c r="F322" s="9"/>
      <c r="G322" s="22">
        <v>0.128937</v>
      </c>
      <c r="H322" s="22">
        <v>107.682</v>
      </c>
      <c r="I322" s="22">
        <v>-1.80267E-2</v>
      </c>
      <c r="J322" s="22">
        <v>312</v>
      </c>
      <c r="K322" s="22">
        <v>0.12826499999999999</v>
      </c>
      <c r="L322">
        <f t="shared" si="48"/>
        <v>18.026699999999998</v>
      </c>
      <c r="M322">
        <f t="shared" si="49"/>
        <v>2.3243086178999999</v>
      </c>
      <c r="N322" s="9"/>
      <c r="O322" s="22">
        <v>1.4711000000000001</v>
      </c>
      <c r="P322" s="22">
        <v>222.59899999999999</v>
      </c>
      <c r="Q322" s="22">
        <v>-1.53229E-2</v>
      </c>
      <c r="R322" s="22">
        <v>312</v>
      </c>
      <c r="S322" s="22">
        <v>1.47034</v>
      </c>
      <c r="T322">
        <f t="shared" si="50"/>
        <v>15.322900000000001</v>
      </c>
      <c r="U322">
        <f t="shared" si="51"/>
        <v>22.541518190000001</v>
      </c>
      <c r="X322" s="9"/>
      <c r="Y322" s="22">
        <v>0.128937</v>
      </c>
      <c r="Z322" s="22">
        <v>325.58600000000001</v>
      </c>
      <c r="AA322" s="22">
        <v>-1.79718E-2</v>
      </c>
      <c r="AB322" s="22">
        <v>312</v>
      </c>
      <c r="AC322" s="22">
        <v>0.12847900000000001</v>
      </c>
      <c r="AD322">
        <f t="shared" si="52"/>
        <v>17.971799999999998</v>
      </c>
      <c r="AE322">
        <f t="shared" si="53"/>
        <v>2.3172299765999997</v>
      </c>
      <c r="AF322" s="9"/>
      <c r="AG322" s="22">
        <v>1.4711000000000001</v>
      </c>
      <c r="AH322" s="22">
        <v>386.16500000000002</v>
      </c>
      <c r="AI322" s="22">
        <v>-1.2811299999999999E-2</v>
      </c>
      <c r="AJ322" s="22">
        <v>312</v>
      </c>
      <c r="AK322" s="22">
        <v>1.47095</v>
      </c>
      <c r="AL322">
        <f t="shared" si="54"/>
        <v>12.811299999999999</v>
      </c>
      <c r="AM322">
        <f t="shared" si="55"/>
        <v>18.846703430000002</v>
      </c>
      <c r="AP322" s="9"/>
      <c r="AQ322" s="22">
        <v>0.128937</v>
      </c>
      <c r="AR322" s="22">
        <v>521.94299999999998</v>
      </c>
      <c r="AS322" s="22">
        <v>-1.7981E-2</v>
      </c>
      <c r="AT322" s="22">
        <v>312</v>
      </c>
      <c r="AU322" s="22">
        <v>0.128418</v>
      </c>
      <c r="AV322">
        <f t="shared" si="56"/>
        <v>17.981000000000002</v>
      </c>
      <c r="AW322">
        <f t="shared" si="57"/>
        <v>2.3184161970000003</v>
      </c>
      <c r="AX322" s="9"/>
      <c r="AY322" s="22">
        <v>1.4711000000000001</v>
      </c>
      <c r="AZ322" s="22">
        <v>644.29999999999995</v>
      </c>
      <c r="BA322" s="22">
        <v>-1.18011E-2</v>
      </c>
      <c r="BB322" s="22">
        <v>312</v>
      </c>
      <c r="BC322" s="22">
        <v>1.47034</v>
      </c>
      <c r="BD322">
        <f t="shared" si="58"/>
        <v>11.8011</v>
      </c>
      <c r="BE322">
        <f t="shared" si="59"/>
        <v>17.360598209999999</v>
      </c>
    </row>
    <row r="323" spans="6:57">
      <c r="F323" s="9"/>
      <c r="G323" s="22">
        <v>0.123901</v>
      </c>
      <c r="H323" s="22">
        <v>107.783</v>
      </c>
      <c r="I323" s="22">
        <v>-1.8035900000000001E-2</v>
      </c>
      <c r="J323" s="22">
        <v>313</v>
      </c>
      <c r="K323" s="22">
        <v>0.123291</v>
      </c>
      <c r="L323">
        <f t="shared" si="48"/>
        <v>18.035900000000002</v>
      </c>
      <c r="M323">
        <f t="shared" si="49"/>
        <v>2.2346660459000001</v>
      </c>
      <c r="N323" s="9"/>
      <c r="O323" s="22">
        <v>1.47614</v>
      </c>
      <c r="P323" s="22">
        <v>222.7</v>
      </c>
      <c r="Q323" s="22">
        <v>-1.5213000000000001E-2</v>
      </c>
      <c r="R323" s="22">
        <v>313</v>
      </c>
      <c r="S323" s="22">
        <v>1.4755199999999999</v>
      </c>
      <c r="T323">
        <f t="shared" si="50"/>
        <v>15.213000000000001</v>
      </c>
      <c r="U323">
        <f t="shared" si="51"/>
        <v>22.456517820000002</v>
      </c>
      <c r="X323" s="9"/>
      <c r="Y323" s="22">
        <v>0.123901</v>
      </c>
      <c r="Z323" s="22">
        <v>325.68700000000001</v>
      </c>
      <c r="AA323" s="22">
        <v>-1.7962599999999999E-2</v>
      </c>
      <c r="AB323" s="22">
        <v>313</v>
      </c>
      <c r="AC323" s="22">
        <v>0.123566</v>
      </c>
      <c r="AD323">
        <f t="shared" si="52"/>
        <v>17.962599999999998</v>
      </c>
      <c r="AE323">
        <f t="shared" si="53"/>
        <v>2.2255841025999996</v>
      </c>
      <c r="AF323" s="9"/>
      <c r="AG323" s="22">
        <v>1.47614</v>
      </c>
      <c r="AH323" s="22">
        <v>386.26600000000002</v>
      </c>
      <c r="AI323" s="22">
        <v>-1.2637300000000001E-2</v>
      </c>
      <c r="AJ323" s="22">
        <v>313</v>
      </c>
      <c r="AK323" s="22">
        <v>1.4749099999999999</v>
      </c>
      <c r="AL323">
        <f t="shared" si="54"/>
        <v>12.6373</v>
      </c>
      <c r="AM323">
        <f t="shared" si="55"/>
        <v>18.654424022000001</v>
      </c>
      <c r="AP323" s="9"/>
      <c r="AQ323" s="22">
        <v>0.123901</v>
      </c>
      <c r="AR323" s="22">
        <v>522.04399999999998</v>
      </c>
      <c r="AS323" s="22">
        <v>-1.7981E-2</v>
      </c>
      <c r="AT323" s="22">
        <v>313</v>
      </c>
      <c r="AU323" s="22">
        <v>0.12341299999999999</v>
      </c>
      <c r="AV323">
        <f t="shared" si="56"/>
        <v>17.981000000000002</v>
      </c>
      <c r="AW323">
        <f t="shared" si="57"/>
        <v>2.2278638810000002</v>
      </c>
      <c r="AX323" s="9"/>
      <c r="AY323" s="22">
        <v>1.47614</v>
      </c>
      <c r="AZ323" s="22">
        <v>644.40099999999995</v>
      </c>
      <c r="BA323" s="22">
        <v>-1.1615E-2</v>
      </c>
      <c r="BB323" s="22">
        <v>313</v>
      </c>
      <c r="BC323" s="22">
        <v>1.4755199999999999</v>
      </c>
      <c r="BD323">
        <f t="shared" si="58"/>
        <v>11.615</v>
      </c>
      <c r="BE323">
        <f t="shared" si="59"/>
        <v>17.1453661</v>
      </c>
    </row>
    <row r="324" spans="6:57">
      <c r="F324" s="9"/>
      <c r="G324" s="22">
        <v>0.118866</v>
      </c>
      <c r="H324" s="22">
        <v>107.884</v>
      </c>
      <c r="I324" s="22">
        <v>-1.8035900000000001E-2</v>
      </c>
      <c r="J324" s="22">
        <v>314</v>
      </c>
      <c r="K324" s="22">
        <v>0.118256</v>
      </c>
      <c r="L324">
        <f t="shared" si="48"/>
        <v>18.035900000000002</v>
      </c>
      <c r="M324">
        <f t="shared" si="49"/>
        <v>2.1438552894000003</v>
      </c>
      <c r="N324" s="9"/>
      <c r="O324" s="22">
        <v>1.4811700000000001</v>
      </c>
      <c r="P324" s="22">
        <v>222.80099999999999</v>
      </c>
      <c r="Q324" s="22">
        <v>-1.5042099999999999E-2</v>
      </c>
      <c r="R324" s="22">
        <v>314</v>
      </c>
      <c r="S324" s="22">
        <v>1.48102</v>
      </c>
      <c r="T324">
        <f t="shared" si="50"/>
        <v>15.0421</v>
      </c>
      <c r="U324">
        <f t="shared" si="51"/>
        <v>22.279907257000001</v>
      </c>
      <c r="X324" s="9"/>
      <c r="Y324" s="22">
        <v>0.118866</v>
      </c>
      <c r="Z324" s="22">
        <v>325.78699999999998</v>
      </c>
      <c r="AA324" s="22">
        <v>-1.79688E-2</v>
      </c>
      <c r="AB324" s="22">
        <v>314</v>
      </c>
      <c r="AC324" s="22">
        <v>0.11804199999999999</v>
      </c>
      <c r="AD324">
        <f t="shared" si="52"/>
        <v>17.968800000000002</v>
      </c>
      <c r="AE324">
        <f t="shared" si="53"/>
        <v>2.1358793808000001</v>
      </c>
      <c r="AF324" s="9"/>
      <c r="AG324" s="22">
        <v>1.4811700000000001</v>
      </c>
      <c r="AH324" s="22">
        <v>386.36599999999999</v>
      </c>
      <c r="AI324" s="22">
        <v>-1.2567099999999999E-2</v>
      </c>
      <c r="AJ324" s="22">
        <v>314</v>
      </c>
      <c r="AK324" s="22">
        <v>1.48071</v>
      </c>
      <c r="AL324">
        <f t="shared" si="54"/>
        <v>12.5671</v>
      </c>
      <c r="AM324">
        <f t="shared" si="55"/>
        <v>18.614011507000001</v>
      </c>
      <c r="AP324" s="9"/>
      <c r="AQ324" s="22">
        <v>0.118866</v>
      </c>
      <c r="AR324" s="22">
        <v>522.14499999999998</v>
      </c>
      <c r="AS324" s="22">
        <v>-1.7987099999999999E-2</v>
      </c>
      <c r="AT324" s="22">
        <v>314</v>
      </c>
      <c r="AU324" s="22">
        <v>0.118073</v>
      </c>
      <c r="AV324">
        <f t="shared" si="56"/>
        <v>17.987099999999998</v>
      </c>
      <c r="AW324">
        <f t="shared" si="57"/>
        <v>2.1380546286</v>
      </c>
      <c r="AX324" s="9"/>
      <c r="AY324" s="22">
        <v>1.4811700000000001</v>
      </c>
      <c r="AZ324" s="22">
        <v>644.50199999999995</v>
      </c>
      <c r="BA324" s="22">
        <v>-1.1416600000000001E-2</v>
      </c>
      <c r="BB324" s="22">
        <v>314</v>
      </c>
      <c r="BC324" s="22">
        <v>1.48102</v>
      </c>
      <c r="BD324">
        <f t="shared" si="58"/>
        <v>11.416600000000001</v>
      </c>
      <c r="BE324">
        <f t="shared" si="59"/>
        <v>16.909925422000001</v>
      </c>
    </row>
    <row r="325" spans="6:57">
      <c r="F325" s="9"/>
      <c r="G325" s="22">
        <v>0.113831</v>
      </c>
      <c r="H325" s="22">
        <v>107.98399999999999</v>
      </c>
      <c r="I325" s="22">
        <v>-1.80389E-2</v>
      </c>
      <c r="J325" s="22">
        <v>315</v>
      </c>
      <c r="K325" s="22">
        <v>0.113342</v>
      </c>
      <c r="L325">
        <f t="shared" si="48"/>
        <v>18.038900000000002</v>
      </c>
      <c r="M325">
        <f t="shared" si="49"/>
        <v>2.0533860259000001</v>
      </c>
      <c r="N325" s="9"/>
      <c r="O325" s="22">
        <v>1.48621</v>
      </c>
      <c r="P325" s="22">
        <v>222.90100000000001</v>
      </c>
      <c r="Q325" s="22">
        <v>-1.49231E-2</v>
      </c>
      <c r="R325" s="22">
        <v>315</v>
      </c>
      <c r="S325" s="22">
        <v>1.48529</v>
      </c>
      <c r="T325">
        <f t="shared" si="50"/>
        <v>14.9231</v>
      </c>
      <c r="U325">
        <f t="shared" si="51"/>
        <v>22.178860450999998</v>
      </c>
      <c r="X325" s="9"/>
      <c r="Y325" s="22">
        <v>0.113831</v>
      </c>
      <c r="Z325" s="22">
        <v>325.88799999999998</v>
      </c>
      <c r="AA325" s="22">
        <v>-1.7990099999999998E-2</v>
      </c>
      <c r="AB325" s="22">
        <v>315</v>
      </c>
      <c r="AC325" s="22">
        <v>0.11358600000000001</v>
      </c>
      <c r="AD325">
        <f t="shared" si="52"/>
        <v>17.990099999999998</v>
      </c>
      <c r="AE325">
        <f t="shared" si="53"/>
        <v>2.0478310730999998</v>
      </c>
      <c r="AF325" s="9"/>
      <c r="AG325" s="22">
        <v>1.48621</v>
      </c>
      <c r="AH325" s="22">
        <v>386.46699999999998</v>
      </c>
      <c r="AI325" s="22">
        <v>-1.24359E-2</v>
      </c>
      <c r="AJ325" s="22">
        <v>315</v>
      </c>
      <c r="AK325" s="22">
        <v>1.4856</v>
      </c>
      <c r="AL325">
        <f t="shared" si="54"/>
        <v>12.4359</v>
      </c>
      <c r="AM325">
        <f t="shared" si="55"/>
        <v>18.482358939000001</v>
      </c>
      <c r="AP325" s="9"/>
      <c r="AQ325" s="22">
        <v>0.113831</v>
      </c>
      <c r="AR325" s="22">
        <v>522.245</v>
      </c>
      <c r="AS325" s="22">
        <v>-1.7993200000000001E-2</v>
      </c>
      <c r="AT325" s="22">
        <v>315</v>
      </c>
      <c r="AU325" s="22">
        <v>0.113312</v>
      </c>
      <c r="AV325">
        <f t="shared" si="56"/>
        <v>17.993200000000002</v>
      </c>
      <c r="AW325">
        <f t="shared" si="57"/>
        <v>2.0481839492000002</v>
      </c>
      <c r="AX325" s="9"/>
      <c r="AY325" s="22">
        <v>1.48621</v>
      </c>
      <c r="AZ325" s="22">
        <v>644.60199999999998</v>
      </c>
      <c r="BA325" s="22">
        <v>-1.1236599999999999E-2</v>
      </c>
      <c r="BB325" s="22">
        <v>315</v>
      </c>
      <c r="BC325" s="22">
        <v>1.48529</v>
      </c>
      <c r="BD325">
        <f t="shared" si="58"/>
        <v>11.236599999999999</v>
      </c>
      <c r="BE325">
        <f t="shared" si="59"/>
        <v>16.699947286</v>
      </c>
    </row>
    <row r="326" spans="6:57">
      <c r="F326" s="9"/>
      <c r="G326" s="22">
        <v>0.108795</v>
      </c>
      <c r="H326" s="22">
        <v>108.08499999999999</v>
      </c>
      <c r="I326" s="22">
        <v>-1.8035900000000001E-2</v>
      </c>
      <c r="J326" s="22">
        <v>316</v>
      </c>
      <c r="K326" s="22">
        <v>0.108124</v>
      </c>
      <c r="L326">
        <f t="shared" si="48"/>
        <v>18.035900000000002</v>
      </c>
      <c r="M326">
        <f t="shared" si="49"/>
        <v>1.9622157405000002</v>
      </c>
      <c r="N326" s="9"/>
      <c r="O326" s="22">
        <v>1.4912399999999999</v>
      </c>
      <c r="P326" s="22">
        <v>223.00200000000001</v>
      </c>
      <c r="Q326" s="22">
        <v>-1.4798E-2</v>
      </c>
      <c r="R326" s="22">
        <v>316</v>
      </c>
      <c r="S326" s="22">
        <v>1.49078</v>
      </c>
      <c r="T326">
        <f t="shared" si="50"/>
        <v>14.798</v>
      </c>
      <c r="U326">
        <f t="shared" si="51"/>
        <v>22.06736952</v>
      </c>
      <c r="X326" s="9"/>
      <c r="Y326" s="22">
        <v>0.108795</v>
      </c>
      <c r="Z326" s="22">
        <v>325.98899999999998</v>
      </c>
      <c r="AA326" s="22">
        <v>-1.8002299999999999E-2</v>
      </c>
      <c r="AB326" s="22">
        <v>316</v>
      </c>
      <c r="AC326" s="22">
        <v>0.108307</v>
      </c>
      <c r="AD326">
        <f t="shared" si="52"/>
        <v>18.002299999999998</v>
      </c>
      <c r="AE326">
        <f t="shared" si="53"/>
        <v>1.9585602284999999</v>
      </c>
      <c r="AF326" s="9"/>
      <c r="AG326" s="22">
        <v>1.4912399999999999</v>
      </c>
      <c r="AH326" s="22">
        <v>386.56799999999998</v>
      </c>
      <c r="AI326" s="22">
        <v>-1.2252799999999999E-2</v>
      </c>
      <c r="AJ326" s="22">
        <v>316</v>
      </c>
      <c r="AK326" s="22">
        <v>1.48987</v>
      </c>
      <c r="AL326">
        <f t="shared" si="54"/>
        <v>12.252799999999999</v>
      </c>
      <c r="AM326">
        <f t="shared" si="55"/>
        <v>18.271865471999998</v>
      </c>
      <c r="AP326" s="9"/>
      <c r="AQ326" s="22">
        <v>0.108795</v>
      </c>
      <c r="AR326" s="22">
        <v>522.346</v>
      </c>
      <c r="AS326" s="22">
        <v>-1.79962E-2</v>
      </c>
      <c r="AT326" s="22">
        <v>316</v>
      </c>
      <c r="AU326" s="22">
        <v>0.108246</v>
      </c>
      <c r="AV326">
        <f t="shared" si="56"/>
        <v>17.996200000000002</v>
      </c>
      <c r="AW326">
        <f t="shared" si="57"/>
        <v>1.9578965790000002</v>
      </c>
      <c r="AX326" s="9"/>
      <c r="AY326" s="22">
        <v>1.4912399999999999</v>
      </c>
      <c r="AZ326" s="22">
        <v>644.70299999999997</v>
      </c>
      <c r="BA326" s="22">
        <v>-1.09497E-2</v>
      </c>
      <c r="BB326" s="22">
        <v>316</v>
      </c>
      <c r="BC326" s="22">
        <v>1.49078</v>
      </c>
      <c r="BD326">
        <f t="shared" si="58"/>
        <v>10.9497</v>
      </c>
      <c r="BE326">
        <f t="shared" si="59"/>
        <v>16.328630627999999</v>
      </c>
    </row>
    <row r="327" spans="6:57">
      <c r="F327" s="9"/>
      <c r="G327" s="22">
        <v>0.10376000000000001</v>
      </c>
      <c r="H327" s="22">
        <v>108.18600000000001</v>
      </c>
      <c r="I327" s="22">
        <v>-1.8032800000000002E-2</v>
      </c>
      <c r="J327" s="22">
        <v>317</v>
      </c>
      <c r="K327" s="22">
        <v>0.103729</v>
      </c>
      <c r="L327">
        <f t="shared" si="48"/>
        <v>18.032800000000002</v>
      </c>
      <c r="M327">
        <f t="shared" si="49"/>
        <v>1.8710833280000003</v>
      </c>
      <c r="N327" s="9"/>
      <c r="O327" s="22">
        <v>1.4962800000000001</v>
      </c>
      <c r="P327" s="22">
        <v>223.10300000000001</v>
      </c>
      <c r="Q327" s="22">
        <v>-1.46759E-2</v>
      </c>
      <c r="R327" s="22">
        <v>317</v>
      </c>
      <c r="S327" s="22">
        <v>1.49597</v>
      </c>
      <c r="T327">
        <f t="shared" si="50"/>
        <v>14.6759</v>
      </c>
      <c r="U327">
        <f t="shared" si="51"/>
        <v>21.959255652000003</v>
      </c>
      <c r="X327" s="9"/>
      <c r="Y327" s="22">
        <v>0.10376000000000001</v>
      </c>
      <c r="Z327" s="22">
        <v>326.089</v>
      </c>
      <c r="AA327" s="22">
        <v>-1.8005400000000001E-2</v>
      </c>
      <c r="AB327" s="22">
        <v>317</v>
      </c>
      <c r="AC327" s="22">
        <v>0.103149</v>
      </c>
      <c r="AD327">
        <f t="shared" si="52"/>
        <v>18.005400000000002</v>
      </c>
      <c r="AE327">
        <f t="shared" si="53"/>
        <v>1.8682403040000002</v>
      </c>
      <c r="AF327" s="9"/>
      <c r="AG327" s="22">
        <v>1.4962800000000001</v>
      </c>
      <c r="AH327" s="22">
        <v>386.66800000000001</v>
      </c>
      <c r="AI327" s="22">
        <v>-1.2023900000000001E-2</v>
      </c>
      <c r="AJ327" s="22">
        <v>317</v>
      </c>
      <c r="AK327" s="22">
        <v>1.49536</v>
      </c>
      <c r="AL327">
        <f t="shared" si="54"/>
        <v>12.023900000000001</v>
      </c>
      <c r="AM327">
        <f t="shared" si="55"/>
        <v>17.991121092000004</v>
      </c>
      <c r="AP327" s="9"/>
      <c r="AQ327" s="22">
        <v>0.10376000000000001</v>
      </c>
      <c r="AR327" s="22">
        <v>522.447</v>
      </c>
      <c r="AS327" s="22">
        <v>-1.8002299999999999E-2</v>
      </c>
      <c r="AT327" s="22">
        <v>317</v>
      </c>
      <c r="AU327" s="22">
        <v>0.10321</v>
      </c>
      <c r="AV327">
        <f t="shared" si="56"/>
        <v>18.002299999999998</v>
      </c>
      <c r="AW327">
        <f t="shared" si="57"/>
        <v>1.8679186479999998</v>
      </c>
      <c r="AX327" s="9"/>
      <c r="AY327" s="22">
        <v>1.4962800000000001</v>
      </c>
      <c r="AZ327" s="22">
        <v>644.80399999999997</v>
      </c>
      <c r="BA327" s="22">
        <v>-1.07513E-2</v>
      </c>
      <c r="BB327" s="22">
        <v>317</v>
      </c>
      <c r="BC327" s="22">
        <v>1.49536</v>
      </c>
      <c r="BD327">
        <f t="shared" si="58"/>
        <v>10.751300000000001</v>
      </c>
      <c r="BE327">
        <f t="shared" si="59"/>
        <v>16.086955164000003</v>
      </c>
    </row>
    <row r="328" spans="6:57">
      <c r="F328" s="9"/>
      <c r="G328" s="22">
        <v>9.8724400000000004E-2</v>
      </c>
      <c r="H328" s="22">
        <v>108.286</v>
      </c>
      <c r="I328" s="22">
        <v>-1.8014499999999999E-2</v>
      </c>
      <c r="J328" s="22">
        <v>318</v>
      </c>
      <c r="K328" s="22">
        <v>9.8053000000000001E-2</v>
      </c>
      <c r="L328">
        <f t="shared" si="48"/>
        <v>18.014499999999998</v>
      </c>
      <c r="M328">
        <f t="shared" si="49"/>
        <v>1.7784707037999998</v>
      </c>
      <c r="N328" s="9"/>
      <c r="O328" s="22">
        <v>1.5013099999999999</v>
      </c>
      <c r="P328" s="22">
        <v>223.203</v>
      </c>
      <c r="Q328" s="22">
        <v>-1.4489699999999999E-2</v>
      </c>
      <c r="R328" s="22">
        <v>318</v>
      </c>
      <c r="S328" s="22">
        <v>1.5005500000000001</v>
      </c>
      <c r="T328">
        <f t="shared" si="50"/>
        <v>14.489699999999999</v>
      </c>
      <c r="U328">
        <f t="shared" si="51"/>
        <v>21.753531506999998</v>
      </c>
      <c r="X328" s="9"/>
      <c r="Y328" s="22">
        <v>9.8724400000000004E-2</v>
      </c>
      <c r="Z328" s="22">
        <v>326.19</v>
      </c>
      <c r="AA328" s="22">
        <v>-1.80115E-2</v>
      </c>
      <c r="AB328" s="22">
        <v>318</v>
      </c>
      <c r="AC328" s="22">
        <v>9.8083500000000004E-2</v>
      </c>
      <c r="AD328">
        <f t="shared" si="52"/>
        <v>18.011499999999998</v>
      </c>
      <c r="AE328">
        <f t="shared" si="53"/>
        <v>1.7781745305999999</v>
      </c>
      <c r="AF328" s="9"/>
      <c r="AG328" s="22">
        <v>1.5013099999999999</v>
      </c>
      <c r="AH328" s="22">
        <v>386.76900000000001</v>
      </c>
      <c r="AI328" s="22">
        <v>-1.0726899999999999E-2</v>
      </c>
      <c r="AJ328" s="22">
        <v>318</v>
      </c>
      <c r="AK328" s="22">
        <v>1.50024</v>
      </c>
      <c r="AL328">
        <f t="shared" si="54"/>
        <v>10.726899999999999</v>
      </c>
      <c r="AM328">
        <f t="shared" si="55"/>
        <v>16.104402238999999</v>
      </c>
      <c r="AP328" s="9"/>
      <c r="AQ328" s="22">
        <v>9.8724400000000004E-2</v>
      </c>
      <c r="AR328" s="22">
        <v>522.54700000000003</v>
      </c>
      <c r="AS328" s="22">
        <v>-1.7987099999999999E-2</v>
      </c>
      <c r="AT328" s="22">
        <v>318</v>
      </c>
      <c r="AU328" s="22">
        <v>9.8144499999999996E-2</v>
      </c>
      <c r="AV328">
        <f t="shared" si="56"/>
        <v>17.987099999999998</v>
      </c>
      <c r="AW328">
        <f t="shared" si="57"/>
        <v>1.7757656552399999</v>
      </c>
      <c r="AX328" s="9"/>
      <c r="AY328" s="22">
        <v>1.5013099999999999</v>
      </c>
      <c r="AZ328" s="22">
        <v>644.904</v>
      </c>
      <c r="BA328" s="22">
        <v>-1.05194E-2</v>
      </c>
      <c r="BB328" s="22">
        <v>318</v>
      </c>
      <c r="BC328" s="22">
        <v>1.5005500000000001</v>
      </c>
      <c r="BD328">
        <f t="shared" si="58"/>
        <v>10.519399999999999</v>
      </c>
      <c r="BE328">
        <f t="shared" si="59"/>
        <v>15.792880413999997</v>
      </c>
    </row>
    <row r="329" spans="6:57">
      <c r="F329" s="9"/>
      <c r="G329" s="22">
        <v>9.3688999999999995E-2</v>
      </c>
      <c r="H329" s="22">
        <v>108.387</v>
      </c>
      <c r="I329" s="22">
        <v>-1.80237E-2</v>
      </c>
      <c r="J329" s="22">
        <v>319</v>
      </c>
      <c r="K329" s="22">
        <v>9.3414300000000006E-2</v>
      </c>
      <c r="L329">
        <f t="shared" si="48"/>
        <v>18.023700000000002</v>
      </c>
      <c r="M329">
        <f t="shared" si="49"/>
        <v>1.6886224293000001</v>
      </c>
      <c r="N329" s="9"/>
      <c r="O329" s="22">
        <v>1.5063500000000001</v>
      </c>
      <c r="P329" s="22">
        <v>223.304</v>
      </c>
      <c r="Q329" s="22">
        <v>-1.43646E-2</v>
      </c>
      <c r="R329" s="22">
        <v>319</v>
      </c>
      <c r="S329" s="22">
        <v>1.50543</v>
      </c>
      <c r="T329">
        <f t="shared" si="50"/>
        <v>14.364599999999999</v>
      </c>
      <c r="U329">
        <f t="shared" si="51"/>
        <v>21.638115209999999</v>
      </c>
      <c r="X329" s="9"/>
      <c r="Y329" s="22">
        <v>9.3688999999999995E-2</v>
      </c>
      <c r="Z329" s="22">
        <v>326.291</v>
      </c>
      <c r="AA329" s="22">
        <v>-1.8017600000000002E-2</v>
      </c>
      <c r="AB329" s="22">
        <v>319</v>
      </c>
      <c r="AC329" s="22">
        <v>9.3505900000000003E-2</v>
      </c>
      <c r="AD329">
        <f t="shared" si="52"/>
        <v>18.017600000000002</v>
      </c>
      <c r="AE329">
        <f t="shared" si="53"/>
        <v>1.6880509264000001</v>
      </c>
      <c r="AF329" s="9"/>
      <c r="AG329" s="22">
        <v>1.5063500000000001</v>
      </c>
      <c r="AH329" s="22">
        <v>386.87</v>
      </c>
      <c r="AI329" s="22">
        <v>-1.0186799999999999E-2</v>
      </c>
      <c r="AJ329" s="22">
        <v>319</v>
      </c>
      <c r="AK329" s="22">
        <v>1.5057400000000001</v>
      </c>
      <c r="AL329">
        <f t="shared" si="54"/>
        <v>10.1868</v>
      </c>
      <c r="AM329">
        <f t="shared" si="55"/>
        <v>15.344886180000001</v>
      </c>
      <c r="AP329" s="9"/>
      <c r="AQ329" s="22">
        <v>9.3688999999999995E-2</v>
      </c>
      <c r="AR329" s="22">
        <v>522.64800000000002</v>
      </c>
      <c r="AS329" s="22">
        <v>-1.7977900000000002E-2</v>
      </c>
      <c r="AT329" s="22">
        <v>319</v>
      </c>
      <c r="AU329" s="22">
        <v>9.4696000000000002E-2</v>
      </c>
      <c r="AV329">
        <f t="shared" si="56"/>
        <v>17.977900000000002</v>
      </c>
      <c r="AW329">
        <f t="shared" si="57"/>
        <v>1.6843314731000001</v>
      </c>
      <c r="AX329" s="9"/>
      <c r="AY329" s="22">
        <v>1.5063500000000001</v>
      </c>
      <c r="AZ329" s="22">
        <v>645.005</v>
      </c>
      <c r="BA329" s="22">
        <v>-1.0327100000000001E-2</v>
      </c>
      <c r="BB329" s="22">
        <v>319</v>
      </c>
      <c r="BC329" s="22">
        <v>1.50543</v>
      </c>
      <c r="BD329">
        <f t="shared" si="58"/>
        <v>10.3271</v>
      </c>
      <c r="BE329">
        <f t="shared" si="59"/>
        <v>15.556227085</v>
      </c>
    </row>
    <row r="330" spans="6:57">
      <c r="F330" s="9"/>
      <c r="G330" s="22">
        <v>8.8653599999999999E-2</v>
      </c>
      <c r="H330" s="22">
        <v>108.488</v>
      </c>
      <c r="I330" s="22">
        <v>-1.8029799999999999E-2</v>
      </c>
      <c r="J330" s="22">
        <v>320</v>
      </c>
      <c r="K330" s="22">
        <v>8.8134799999999999E-2</v>
      </c>
      <c r="L330">
        <f t="shared" si="48"/>
        <v>18.029799999999998</v>
      </c>
      <c r="M330">
        <f t="shared" si="49"/>
        <v>1.5984066772799999</v>
      </c>
      <c r="N330" s="9"/>
      <c r="O330" s="22">
        <v>1.5113799999999999</v>
      </c>
      <c r="P330" s="22">
        <v>223.405</v>
      </c>
      <c r="Q330" s="22">
        <v>-1.3638300000000001E-2</v>
      </c>
      <c r="R330" s="22">
        <v>320</v>
      </c>
      <c r="S330" s="22">
        <v>1.5106200000000001</v>
      </c>
      <c r="T330">
        <f t="shared" si="50"/>
        <v>13.638300000000001</v>
      </c>
      <c r="U330">
        <f t="shared" si="51"/>
        <v>20.612653854000001</v>
      </c>
      <c r="X330" s="9"/>
      <c r="Y330" s="22">
        <v>8.8653599999999999E-2</v>
      </c>
      <c r="Z330" s="22">
        <v>326.392</v>
      </c>
      <c r="AA330" s="22">
        <v>-1.8020600000000001E-2</v>
      </c>
      <c r="AB330" s="22">
        <v>320</v>
      </c>
      <c r="AC330" s="22">
        <v>8.7921100000000002E-2</v>
      </c>
      <c r="AD330">
        <f t="shared" si="52"/>
        <v>18.020600000000002</v>
      </c>
      <c r="AE330">
        <f t="shared" si="53"/>
        <v>1.5975910641600002</v>
      </c>
      <c r="AF330" s="9"/>
      <c r="AG330" s="22">
        <v>1.5113799999999999</v>
      </c>
      <c r="AH330" s="22">
        <v>386.97</v>
      </c>
      <c r="AI330" s="22">
        <v>-9.8205600000000007E-3</v>
      </c>
      <c r="AJ330" s="22">
        <v>320</v>
      </c>
      <c r="AK330" s="22">
        <v>1.5106200000000001</v>
      </c>
      <c r="AL330">
        <f t="shared" si="54"/>
        <v>9.8205600000000004</v>
      </c>
      <c r="AM330">
        <f t="shared" si="55"/>
        <v>14.8425979728</v>
      </c>
      <c r="AP330" s="9"/>
      <c r="AQ330" s="22">
        <v>8.8653599999999999E-2</v>
      </c>
      <c r="AR330" s="22">
        <v>522.74900000000002</v>
      </c>
      <c r="AS330" s="22">
        <v>-1.7993200000000001E-2</v>
      </c>
      <c r="AT330" s="22">
        <v>320</v>
      </c>
      <c r="AU330" s="22">
        <v>8.8165300000000002E-2</v>
      </c>
      <c r="AV330">
        <f t="shared" si="56"/>
        <v>17.993200000000002</v>
      </c>
      <c r="AW330">
        <f t="shared" si="57"/>
        <v>1.5951619555200001</v>
      </c>
      <c r="AX330" s="9"/>
      <c r="AY330" s="22">
        <v>1.5113799999999999</v>
      </c>
      <c r="AZ330" s="22">
        <v>645.10599999999999</v>
      </c>
      <c r="BA330" s="22">
        <v>-1.00708E-2</v>
      </c>
      <c r="BB330" s="22">
        <v>320</v>
      </c>
      <c r="BC330" s="22">
        <v>1.51031</v>
      </c>
      <c r="BD330">
        <f t="shared" si="58"/>
        <v>10.0708</v>
      </c>
      <c r="BE330">
        <f t="shared" si="59"/>
        <v>15.220805704</v>
      </c>
    </row>
    <row r="331" spans="6:57">
      <c r="F331" s="9"/>
      <c r="G331" s="22">
        <v>8.3618200000000004E-2</v>
      </c>
      <c r="H331" s="22">
        <v>108.589</v>
      </c>
      <c r="I331" s="22">
        <v>-1.8017600000000002E-2</v>
      </c>
      <c r="J331" s="22">
        <v>321</v>
      </c>
      <c r="K331" s="22">
        <v>8.2946800000000001E-2</v>
      </c>
      <c r="L331">
        <f t="shared" si="48"/>
        <v>18.017600000000002</v>
      </c>
      <c r="M331">
        <f t="shared" si="49"/>
        <v>1.5065992803200001</v>
      </c>
      <c r="N331" s="9"/>
      <c r="O331" s="22">
        <v>1.5164200000000001</v>
      </c>
      <c r="P331" s="22">
        <v>223.505</v>
      </c>
      <c r="Q331" s="22">
        <v>-1.34705E-2</v>
      </c>
      <c r="R331" s="22">
        <v>321</v>
      </c>
      <c r="S331" s="22">
        <v>1.5155000000000001</v>
      </c>
      <c r="T331">
        <f t="shared" si="50"/>
        <v>13.470499999999999</v>
      </c>
      <c r="U331">
        <f t="shared" si="51"/>
        <v>20.426935610000001</v>
      </c>
      <c r="X331" s="9"/>
      <c r="Y331" s="22">
        <v>8.3618200000000004E-2</v>
      </c>
      <c r="Z331" s="22">
        <v>326.49200000000002</v>
      </c>
      <c r="AA331" s="22">
        <v>-1.8029799999999999E-2</v>
      </c>
      <c r="AB331" s="22">
        <v>321</v>
      </c>
      <c r="AC331" s="22">
        <v>8.3221400000000001E-2</v>
      </c>
      <c r="AD331">
        <f t="shared" si="52"/>
        <v>18.029799999999998</v>
      </c>
      <c r="AE331">
        <f t="shared" si="53"/>
        <v>1.5076194223599999</v>
      </c>
      <c r="AF331" s="9"/>
      <c r="AG331" s="22">
        <v>1.5164200000000001</v>
      </c>
      <c r="AH331" s="22">
        <v>387.07100000000003</v>
      </c>
      <c r="AI331" s="22">
        <v>-9.3444800000000005E-3</v>
      </c>
      <c r="AJ331" s="22">
        <v>321</v>
      </c>
      <c r="AK331" s="22">
        <v>1.5155000000000001</v>
      </c>
      <c r="AL331">
        <f t="shared" si="54"/>
        <v>9.3444800000000008</v>
      </c>
      <c r="AM331">
        <f t="shared" si="55"/>
        <v>14.170156361600002</v>
      </c>
      <c r="AP331" s="9"/>
      <c r="AQ331" s="22">
        <v>8.3618200000000004E-2</v>
      </c>
      <c r="AR331" s="22">
        <v>522.85</v>
      </c>
      <c r="AS331" s="22">
        <v>-1.7999299999999999E-2</v>
      </c>
      <c r="AT331" s="22">
        <v>321</v>
      </c>
      <c r="AU331" s="22">
        <v>8.3252000000000007E-2</v>
      </c>
      <c r="AV331">
        <f t="shared" si="56"/>
        <v>17.999299999999998</v>
      </c>
      <c r="AW331">
        <f t="shared" si="57"/>
        <v>1.50506906726</v>
      </c>
      <c r="AX331" s="9"/>
      <c r="AY331" s="22">
        <v>1.5164200000000001</v>
      </c>
      <c r="AZ331" s="22">
        <v>645.20699999999999</v>
      </c>
      <c r="BA331" s="22">
        <v>-9.8113999999999996E-3</v>
      </c>
      <c r="BB331" s="22">
        <v>321</v>
      </c>
      <c r="BC331" s="22">
        <v>1.5152000000000001</v>
      </c>
      <c r="BD331">
        <f t="shared" si="58"/>
        <v>9.811399999999999</v>
      </c>
      <c r="BE331">
        <f t="shared" si="59"/>
        <v>14.878203187999999</v>
      </c>
    </row>
    <row r="332" spans="6:57">
      <c r="F332" s="9"/>
      <c r="G332" s="22">
        <v>7.8582799999999994E-2</v>
      </c>
      <c r="H332" s="22">
        <v>108.68899999999999</v>
      </c>
      <c r="I332" s="22">
        <v>-1.80267E-2</v>
      </c>
      <c r="J332" s="22">
        <v>322</v>
      </c>
      <c r="K332" s="22">
        <v>7.7850299999999997E-2</v>
      </c>
      <c r="L332">
        <f t="shared" ref="L332:L368" si="60">-I332/$F$2*1000</f>
        <v>18.026699999999998</v>
      </c>
      <c r="M332">
        <f t="shared" ref="M332:M368" si="61">L332*G332</f>
        <v>1.4165885607599997</v>
      </c>
      <c r="N332" s="9"/>
      <c r="O332" s="22">
        <v>1.52145</v>
      </c>
      <c r="P332" s="22">
        <v>223.60599999999999</v>
      </c>
      <c r="Q332" s="22">
        <v>-1.33759E-2</v>
      </c>
      <c r="R332" s="22">
        <v>322</v>
      </c>
      <c r="S332" s="22">
        <v>1.5206900000000001</v>
      </c>
      <c r="T332">
        <f t="shared" ref="T332:T368" si="62">-Q332/$F$2*1000</f>
        <v>13.3759</v>
      </c>
      <c r="U332">
        <f t="shared" ref="U332:U368" si="63">T332*O332</f>
        <v>20.350763054999998</v>
      </c>
      <c r="X332" s="9"/>
      <c r="Y332" s="22">
        <v>7.8582799999999994E-2</v>
      </c>
      <c r="Z332" s="22">
        <v>326.59300000000002</v>
      </c>
      <c r="AA332" s="22">
        <v>-1.8032800000000002E-2</v>
      </c>
      <c r="AB332" s="22">
        <v>322</v>
      </c>
      <c r="AC332" s="22">
        <v>7.8277600000000003E-2</v>
      </c>
      <c r="AD332">
        <f t="shared" ref="AD332:AD368" si="64">-AA332/$F$2*1000</f>
        <v>18.032800000000002</v>
      </c>
      <c r="AE332">
        <f t="shared" ref="AE332:AE368" si="65">AD332*Y332</f>
        <v>1.4170679158400001</v>
      </c>
      <c r="AF332" s="9"/>
      <c r="AG332" s="22">
        <v>1.52145</v>
      </c>
      <c r="AH332" s="22">
        <v>387.17200000000003</v>
      </c>
      <c r="AI332" s="22">
        <v>-8.3801299999999995E-3</v>
      </c>
      <c r="AJ332" s="22">
        <v>322</v>
      </c>
      <c r="AK332" s="22">
        <v>1.5209999999999999</v>
      </c>
      <c r="AL332">
        <f t="shared" ref="AL332:AL368" si="66">-AI332/$F$2*1000</f>
        <v>8.3801299999999994</v>
      </c>
      <c r="AM332">
        <f t="shared" ref="AM332:AM368" si="67">AL332*AG332</f>
        <v>12.749948788499999</v>
      </c>
      <c r="AP332" s="9"/>
      <c r="AQ332" s="22">
        <v>7.8582799999999994E-2</v>
      </c>
      <c r="AR332" s="22">
        <v>522.95000000000005</v>
      </c>
      <c r="AS332" s="22">
        <v>-1.8005400000000001E-2</v>
      </c>
      <c r="AT332" s="22">
        <v>322</v>
      </c>
      <c r="AU332" s="22">
        <v>7.7911400000000006E-2</v>
      </c>
      <c r="AV332">
        <f t="shared" ref="AV332:AV368" si="68">-AS332/$F$2*1000</f>
        <v>18.005400000000002</v>
      </c>
      <c r="AW332">
        <f t="shared" ref="AW332:AW368" si="69">AV332*AQ332</f>
        <v>1.4149147471200001</v>
      </c>
      <c r="AX332" s="9"/>
      <c r="AY332" s="22">
        <v>1.52145</v>
      </c>
      <c r="AZ332" s="22">
        <v>645.30700000000002</v>
      </c>
      <c r="BA332" s="22">
        <v>-9.5764200000000004E-3</v>
      </c>
      <c r="BB332" s="22">
        <v>322</v>
      </c>
      <c r="BC332" s="22">
        <v>1.5206900000000001</v>
      </c>
      <c r="BD332">
        <f t="shared" ref="BD332:BD368" si="70">-BA332/$F$2*1000</f>
        <v>9.5764200000000006</v>
      </c>
      <c r="BE332">
        <f t="shared" ref="BE332:BE368" si="71">BD332*AY332</f>
        <v>14.570044209000001</v>
      </c>
    </row>
    <row r="333" spans="6:57">
      <c r="F333" s="9"/>
      <c r="G333" s="22">
        <v>7.3547399999999999E-2</v>
      </c>
      <c r="H333" s="22">
        <v>108.79</v>
      </c>
      <c r="I333" s="22">
        <v>-1.8035900000000001E-2</v>
      </c>
      <c r="J333" s="22">
        <v>323</v>
      </c>
      <c r="K333" s="22">
        <v>7.2845499999999994E-2</v>
      </c>
      <c r="L333">
        <f t="shared" si="60"/>
        <v>18.035900000000002</v>
      </c>
      <c r="M333">
        <f t="shared" si="61"/>
        <v>1.32649355166</v>
      </c>
      <c r="N333" s="9"/>
      <c r="O333" s="22">
        <v>1.5264899999999999</v>
      </c>
      <c r="P333" s="22">
        <v>223.70699999999999</v>
      </c>
      <c r="Q333" s="22">
        <v>-1.2985200000000001E-2</v>
      </c>
      <c r="R333" s="22">
        <v>323</v>
      </c>
      <c r="S333" s="22">
        <v>1.5258799999999999</v>
      </c>
      <c r="T333">
        <f t="shared" si="62"/>
        <v>12.985200000000001</v>
      </c>
      <c r="U333">
        <f t="shared" si="63"/>
        <v>19.821777948000001</v>
      </c>
      <c r="X333" s="9"/>
      <c r="Y333" s="22">
        <v>7.3547399999999999E-2</v>
      </c>
      <c r="Z333" s="22">
        <v>326.69400000000002</v>
      </c>
      <c r="AA333" s="22">
        <v>-1.8032800000000002E-2</v>
      </c>
      <c r="AB333" s="22">
        <v>323</v>
      </c>
      <c r="AC333" s="22">
        <v>7.3028599999999999E-2</v>
      </c>
      <c r="AD333">
        <f t="shared" si="64"/>
        <v>18.032800000000002</v>
      </c>
      <c r="AE333">
        <f t="shared" si="65"/>
        <v>1.3262655547200002</v>
      </c>
      <c r="AF333" s="9"/>
      <c r="AG333" s="22">
        <v>1.5264899999999999</v>
      </c>
      <c r="AH333" s="22">
        <v>387.27300000000002</v>
      </c>
      <c r="AI333" s="22">
        <v>-8.9599599999999995E-3</v>
      </c>
      <c r="AJ333" s="22">
        <v>323</v>
      </c>
      <c r="AK333" s="22">
        <v>1.5255700000000001</v>
      </c>
      <c r="AL333">
        <f t="shared" si="66"/>
        <v>8.9599599999999988</v>
      </c>
      <c r="AM333">
        <f t="shared" si="67"/>
        <v>13.677289340399998</v>
      </c>
      <c r="AP333" s="9"/>
      <c r="AQ333" s="22">
        <v>7.3547399999999999E-2</v>
      </c>
      <c r="AR333" s="22">
        <v>523.05100000000004</v>
      </c>
      <c r="AS333" s="22">
        <v>-1.8008400000000001E-2</v>
      </c>
      <c r="AT333" s="22">
        <v>323</v>
      </c>
      <c r="AU333" s="22">
        <v>7.2937000000000002E-2</v>
      </c>
      <c r="AV333">
        <f t="shared" si="68"/>
        <v>18.008400000000002</v>
      </c>
      <c r="AW333">
        <f t="shared" si="69"/>
        <v>1.32447099816</v>
      </c>
      <c r="AX333" s="9"/>
      <c r="AY333" s="22">
        <v>1.5264899999999999</v>
      </c>
      <c r="AZ333" s="22">
        <v>645.40800000000002</v>
      </c>
      <c r="BA333" s="22">
        <v>-9.2895500000000006E-3</v>
      </c>
      <c r="BB333" s="22">
        <v>323</v>
      </c>
      <c r="BC333" s="22">
        <v>1.5255700000000001</v>
      </c>
      <c r="BD333">
        <f t="shared" si="70"/>
        <v>9.2895500000000002</v>
      </c>
      <c r="BE333">
        <f t="shared" si="71"/>
        <v>14.180405179499999</v>
      </c>
    </row>
    <row r="334" spans="6:57">
      <c r="F334" s="9"/>
      <c r="G334" s="22">
        <v>6.8512000000000003E-2</v>
      </c>
      <c r="H334" s="22">
        <v>108.89100000000001</v>
      </c>
      <c r="I334" s="22">
        <v>-1.80511E-2</v>
      </c>
      <c r="J334" s="22">
        <v>324</v>
      </c>
      <c r="K334" s="22">
        <v>6.7779500000000006E-2</v>
      </c>
      <c r="L334">
        <f t="shared" si="60"/>
        <v>18.051100000000002</v>
      </c>
      <c r="M334">
        <f t="shared" si="61"/>
        <v>1.2367169632000001</v>
      </c>
      <c r="N334" s="9"/>
      <c r="O334" s="22">
        <v>1.53152</v>
      </c>
      <c r="P334" s="22">
        <v>223.80799999999999</v>
      </c>
      <c r="Q334" s="22">
        <v>-1.29395E-2</v>
      </c>
      <c r="R334" s="22">
        <v>324</v>
      </c>
      <c r="S334" s="22">
        <v>1.5310699999999999</v>
      </c>
      <c r="T334">
        <f t="shared" si="62"/>
        <v>12.939499999999999</v>
      </c>
      <c r="U334">
        <f t="shared" si="63"/>
        <v>19.817103039999999</v>
      </c>
      <c r="X334" s="9"/>
      <c r="Y334" s="22">
        <v>6.8512000000000003E-2</v>
      </c>
      <c r="Z334" s="22">
        <v>326.79399999999998</v>
      </c>
      <c r="AA334" s="22">
        <v>-1.80389E-2</v>
      </c>
      <c r="AB334" s="22">
        <v>324</v>
      </c>
      <c r="AC334" s="22">
        <v>6.8145800000000006E-2</v>
      </c>
      <c r="AD334">
        <f t="shared" si="64"/>
        <v>18.038900000000002</v>
      </c>
      <c r="AE334">
        <f t="shared" si="65"/>
        <v>1.2358811168000001</v>
      </c>
      <c r="AF334" s="9"/>
      <c r="AG334" s="22">
        <v>1.53152</v>
      </c>
      <c r="AH334" s="22">
        <v>387.37299999999999</v>
      </c>
      <c r="AI334" s="22">
        <v>-8.8775599999999996E-3</v>
      </c>
      <c r="AJ334" s="22">
        <v>324</v>
      </c>
      <c r="AK334" s="22">
        <v>1.5307599999999999</v>
      </c>
      <c r="AL334">
        <f t="shared" si="66"/>
        <v>8.877559999999999</v>
      </c>
      <c r="AM334">
        <f t="shared" si="67"/>
        <v>13.596160691199998</v>
      </c>
      <c r="AP334" s="9"/>
      <c r="AQ334" s="22">
        <v>6.8512000000000003E-2</v>
      </c>
      <c r="AR334" s="22">
        <v>523.15200000000004</v>
      </c>
      <c r="AS334" s="22">
        <v>-1.8008400000000001E-2</v>
      </c>
      <c r="AT334" s="22">
        <v>324</v>
      </c>
      <c r="AU334" s="22">
        <v>6.7901600000000006E-2</v>
      </c>
      <c r="AV334">
        <f t="shared" si="68"/>
        <v>18.008400000000002</v>
      </c>
      <c r="AW334">
        <f t="shared" si="69"/>
        <v>1.2337915008000002</v>
      </c>
      <c r="AX334" s="9"/>
      <c r="AY334" s="22">
        <v>1.53152</v>
      </c>
      <c r="AZ334" s="22">
        <v>645.50900000000001</v>
      </c>
      <c r="BA334" s="22">
        <v>-8.9935299999999996E-3</v>
      </c>
      <c r="BB334" s="22">
        <v>324</v>
      </c>
      <c r="BC334" s="22">
        <v>1.5307599999999999</v>
      </c>
      <c r="BD334">
        <f t="shared" si="70"/>
        <v>8.9935299999999998</v>
      </c>
      <c r="BE334">
        <f t="shared" si="71"/>
        <v>13.7737710656</v>
      </c>
    </row>
    <row r="335" spans="6:57">
      <c r="F335" s="9"/>
      <c r="G335" s="22">
        <v>6.3476599999999994E-2</v>
      </c>
      <c r="H335" s="22">
        <v>108.991</v>
      </c>
      <c r="I335" s="22">
        <v>-1.8048100000000001E-2</v>
      </c>
      <c r="J335" s="22">
        <v>325</v>
      </c>
      <c r="K335" s="22">
        <v>6.2744099999999997E-2</v>
      </c>
      <c r="L335">
        <f t="shared" si="60"/>
        <v>18.048100000000002</v>
      </c>
      <c r="M335">
        <f t="shared" si="61"/>
        <v>1.14563202446</v>
      </c>
      <c r="N335" s="9"/>
      <c r="O335" s="22">
        <v>1.5365599999999999</v>
      </c>
      <c r="P335" s="22">
        <v>223.90799999999999</v>
      </c>
      <c r="Q335" s="22">
        <v>-1.2731900000000001E-2</v>
      </c>
      <c r="R335" s="22">
        <v>325</v>
      </c>
      <c r="S335" s="22">
        <v>1.5356399999999999</v>
      </c>
      <c r="T335">
        <f t="shared" si="62"/>
        <v>12.731900000000001</v>
      </c>
      <c r="U335">
        <f t="shared" si="63"/>
        <v>19.563328264000003</v>
      </c>
      <c r="X335" s="9"/>
      <c r="Y335" s="22">
        <v>6.3476599999999994E-2</v>
      </c>
      <c r="Z335" s="22">
        <v>326.89499999999998</v>
      </c>
      <c r="AA335" s="22">
        <v>-1.8048100000000001E-2</v>
      </c>
      <c r="AB335" s="22">
        <v>325</v>
      </c>
      <c r="AC335" s="22">
        <v>6.2988299999999997E-2</v>
      </c>
      <c r="AD335">
        <f t="shared" si="64"/>
        <v>18.048100000000002</v>
      </c>
      <c r="AE335">
        <f t="shared" si="65"/>
        <v>1.14563202446</v>
      </c>
      <c r="AF335" s="9"/>
      <c r="AG335" s="22">
        <v>1.5365599999999999</v>
      </c>
      <c r="AH335" s="22">
        <v>387.47399999999999</v>
      </c>
      <c r="AI335" s="22">
        <v>-8.6791999999999998E-3</v>
      </c>
      <c r="AJ335" s="22">
        <v>325</v>
      </c>
      <c r="AK335" s="22">
        <v>1.5356399999999999</v>
      </c>
      <c r="AL335">
        <f t="shared" si="66"/>
        <v>8.6791999999999998</v>
      </c>
      <c r="AM335">
        <f t="shared" si="67"/>
        <v>13.336111551999998</v>
      </c>
      <c r="AP335" s="9"/>
      <c r="AQ335" s="22">
        <v>6.3476599999999994E-2</v>
      </c>
      <c r="AR335" s="22">
        <v>523.25199999999995</v>
      </c>
      <c r="AS335" s="22">
        <v>-1.8014499999999999E-2</v>
      </c>
      <c r="AT335" s="22">
        <v>325</v>
      </c>
      <c r="AU335" s="22">
        <v>6.2774700000000003E-2</v>
      </c>
      <c r="AV335">
        <f t="shared" si="68"/>
        <v>18.014499999999998</v>
      </c>
      <c r="AW335">
        <f t="shared" si="69"/>
        <v>1.1434992106999997</v>
      </c>
      <c r="AX335" s="9"/>
      <c r="AY335" s="22">
        <v>1.5365599999999999</v>
      </c>
      <c r="AZ335" s="22">
        <v>645.60900000000004</v>
      </c>
      <c r="BA335" s="22">
        <v>-8.6547900000000007E-3</v>
      </c>
      <c r="BB335" s="22">
        <v>325</v>
      </c>
      <c r="BC335" s="22">
        <v>1.5356399999999999</v>
      </c>
      <c r="BD335">
        <f t="shared" si="70"/>
        <v>8.6547900000000002</v>
      </c>
      <c r="BE335">
        <f t="shared" si="71"/>
        <v>13.2986041224</v>
      </c>
    </row>
    <row r="336" spans="6:57">
      <c r="F336" s="9"/>
      <c r="G336" s="22">
        <v>5.8441199999999999E-2</v>
      </c>
      <c r="H336" s="22">
        <v>109.092</v>
      </c>
      <c r="I336" s="22">
        <v>-1.8069499999999999E-2</v>
      </c>
      <c r="J336" s="22">
        <v>326</v>
      </c>
      <c r="K336" s="22">
        <v>5.7312000000000002E-2</v>
      </c>
      <c r="L336">
        <f t="shared" si="60"/>
        <v>18.069499999999998</v>
      </c>
      <c r="M336">
        <f t="shared" si="61"/>
        <v>1.0560032633999998</v>
      </c>
      <c r="N336" s="9"/>
      <c r="O336" s="22">
        <v>1.5416000000000001</v>
      </c>
      <c r="P336" s="22">
        <v>224.00899999999999</v>
      </c>
      <c r="Q336" s="22">
        <v>-1.25305E-2</v>
      </c>
      <c r="R336" s="22">
        <v>326</v>
      </c>
      <c r="S336" s="22">
        <v>1.5402199999999999</v>
      </c>
      <c r="T336">
        <f t="shared" si="62"/>
        <v>12.5305</v>
      </c>
      <c r="U336">
        <f t="shared" si="63"/>
        <v>19.3170188</v>
      </c>
      <c r="X336" s="9"/>
      <c r="Y336" s="22">
        <v>5.8441199999999999E-2</v>
      </c>
      <c r="Z336" s="22">
        <v>326.99599999999998</v>
      </c>
      <c r="AA336" s="22">
        <v>-1.8057299999999998E-2</v>
      </c>
      <c r="AB336" s="22">
        <v>326</v>
      </c>
      <c r="AC336" s="22">
        <v>5.8075000000000002E-2</v>
      </c>
      <c r="AD336">
        <f t="shared" si="64"/>
        <v>18.057299999999998</v>
      </c>
      <c r="AE336">
        <f t="shared" si="65"/>
        <v>1.0552902807599998</v>
      </c>
      <c r="AF336" s="9"/>
      <c r="AG336" s="22">
        <v>1.5416000000000001</v>
      </c>
      <c r="AH336" s="22">
        <v>387.57499999999999</v>
      </c>
      <c r="AI336" s="22">
        <v>-8.5235599999999995E-3</v>
      </c>
      <c r="AJ336" s="22">
        <v>326</v>
      </c>
      <c r="AK336" s="22">
        <v>1.5408299999999999</v>
      </c>
      <c r="AL336">
        <f t="shared" si="66"/>
        <v>8.5235599999999998</v>
      </c>
      <c r="AM336">
        <f t="shared" si="67"/>
        <v>13.139920096000001</v>
      </c>
      <c r="AP336" s="9"/>
      <c r="AQ336" s="22">
        <v>5.8441199999999999E-2</v>
      </c>
      <c r="AR336" s="22">
        <v>523.35299999999995</v>
      </c>
      <c r="AS336" s="22">
        <v>-1.7999299999999999E-2</v>
      </c>
      <c r="AT336" s="22">
        <v>326</v>
      </c>
      <c r="AU336" s="22">
        <v>5.7678199999999999E-2</v>
      </c>
      <c r="AV336">
        <f t="shared" si="68"/>
        <v>17.999299999999998</v>
      </c>
      <c r="AW336">
        <f t="shared" si="69"/>
        <v>1.05190069116</v>
      </c>
      <c r="AX336" s="9"/>
      <c r="AY336" s="22">
        <v>1.5416000000000001</v>
      </c>
      <c r="AZ336" s="22">
        <v>645.71</v>
      </c>
      <c r="BA336" s="22">
        <v>-8.3831800000000005E-3</v>
      </c>
      <c r="BB336" s="22">
        <v>326</v>
      </c>
      <c r="BC336" s="22">
        <v>1.54053</v>
      </c>
      <c r="BD336">
        <f t="shared" si="70"/>
        <v>8.3831800000000012</v>
      </c>
      <c r="BE336">
        <f t="shared" si="71"/>
        <v>12.923510288000003</v>
      </c>
    </row>
    <row r="337" spans="6:57">
      <c r="F337" s="9"/>
      <c r="G337" s="22">
        <v>5.3405800000000003E-2</v>
      </c>
      <c r="H337" s="22">
        <v>109.193</v>
      </c>
      <c r="I337" s="22">
        <v>-1.8069499999999999E-2</v>
      </c>
      <c r="J337" s="22">
        <v>327</v>
      </c>
      <c r="K337" s="22">
        <v>5.2764900000000003E-2</v>
      </c>
      <c r="L337">
        <f t="shared" si="60"/>
        <v>18.069499999999998</v>
      </c>
      <c r="M337">
        <f t="shared" si="61"/>
        <v>0.96501610309999997</v>
      </c>
      <c r="N337" s="9"/>
      <c r="O337" s="22">
        <v>1.5466299999999999</v>
      </c>
      <c r="P337" s="22">
        <v>224.11</v>
      </c>
      <c r="Q337" s="22">
        <v>-1.2240600000000001E-2</v>
      </c>
      <c r="R337" s="22">
        <v>327</v>
      </c>
      <c r="S337" s="22">
        <v>1.54572</v>
      </c>
      <c r="T337">
        <f t="shared" si="62"/>
        <v>12.240600000000001</v>
      </c>
      <c r="U337">
        <f t="shared" si="63"/>
        <v>18.931679178</v>
      </c>
      <c r="X337" s="9"/>
      <c r="Y337" s="22">
        <v>5.3405800000000003E-2</v>
      </c>
      <c r="Z337" s="22">
        <v>327.096</v>
      </c>
      <c r="AA337" s="22">
        <v>-1.8060300000000001E-2</v>
      </c>
      <c r="AB337" s="22">
        <v>327</v>
      </c>
      <c r="AC337" s="22">
        <v>5.3131100000000001E-2</v>
      </c>
      <c r="AD337">
        <f t="shared" si="64"/>
        <v>18.060300000000002</v>
      </c>
      <c r="AE337">
        <f t="shared" si="65"/>
        <v>0.96452476974000012</v>
      </c>
      <c r="AF337" s="9"/>
      <c r="AG337" s="22">
        <v>1.5466299999999999</v>
      </c>
      <c r="AH337" s="22">
        <v>387.67500000000001</v>
      </c>
      <c r="AI337" s="22">
        <v>-8.2885700000000003E-3</v>
      </c>
      <c r="AJ337" s="22">
        <v>327</v>
      </c>
      <c r="AK337" s="22">
        <v>1.5460199999999999</v>
      </c>
      <c r="AL337">
        <f t="shared" si="66"/>
        <v>8.28857</v>
      </c>
      <c r="AM337">
        <f t="shared" si="67"/>
        <v>12.819351019099999</v>
      </c>
      <c r="AP337" s="9"/>
      <c r="AQ337" s="22">
        <v>5.3405800000000003E-2</v>
      </c>
      <c r="AR337" s="22">
        <v>523.45399999999995</v>
      </c>
      <c r="AS337" s="22">
        <v>-1.8002299999999999E-2</v>
      </c>
      <c r="AT337" s="22">
        <v>327</v>
      </c>
      <c r="AU337" s="22">
        <v>5.2673299999999999E-2</v>
      </c>
      <c r="AV337">
        <f t="shared" si="68"/>
        <v>18.002299999999998</v>
      </c>
      <c r="AW337">
        <f t="shared" si="69"/>
        <v>0.96142723333999991</v>
      </c>
      <c r="AX337" s="9"/>
      <c r="AY337" s="22">
        <v>1.5466299999999999</v>
      </c>
      <c r="AZ337" s="22">
        <v>645.81100000000004</v>
      </c>
      <c r="BA337" s="22">
        <v>-8.2580599999999994E-3</v>
      </c>
      <c r="BB337" s="22">
        <v>327</v>
      </c>
      <c r="BC337" s="22">
        <v>1.5460199999999999</v>
      </c>
      <c r="BD337">
        <f t="shared" si="70"/>
        <v>8.2580599999999986</v>
      </c>
      <c r="BE337">
        <f t="shared" si="71"/>
        <v>12.772163337799997</v>
      </c>
    </row>
    <row r="338" spans="6:57">
      <c r="F338" s="9"/>
      <c r="G338" s="22">
        <v>4.8370400000000001E-2</v>
      </c>
      <c r="H338" s="22">
        <v>109.29300000000001</v>
      </c>
      <c r="I338" s="22">
        <v>-1.8075600000000001E-2</v>
      </c>
      <c r="J338" s="22">
        <v>328</v>
      </c>
      <c r="K338" s="22">
        <v>4.8037700000000003E-2</v>
      </c>
      <c r="L338">
        <f t="shared" si="60"/>
        <v>18.075600000000001</v>
      </c>
      <c r="M338">
        <f t="shared" si="61"/>
        <v>0.87432400224000006</v>
      </c>
      <c r="N338" s="9"/>
      <c r="O338" s="22">
        <v>1.5516700000000001</v>
      </c>
      <c r="P338" s="22">
        <v>224.21</v>
      </c>
      <c r="Q338" s="22">
        <v>-1.20117E-2</v>
      </c>
      <c r="R338" s="22">
        <v>328</v>
      </c>
      <c r="S338" s="22">
        <v>1.5508999999999999</v>
      </c>
      <c r="T338">
        <f t="shared" si="62"/>
        <v>12.011699999999999</v>
      </c>
      <c r="U338">
        <f t="shared" si="63"/>
        <v>18.638194539000001</v>
      </c>
      <c r="X338" s="9"/>
      <c r="Y338" s="22">
        <v>4.8370400000000001E-2</v>
      </c>
      <c r="Z338" s="22">
        <v>327.197</v>
      </c>
      <c r="AA338" s="22">
        <v>-1.80664E-2</v>
      </c>
      <c r="AB338" s="22">
        <v>328</v>
      </c>
      <c r="AC338" s="22">
        <v>4.8257399999999999E-2</v>
      </c>
      <c r="AD338">
        <f t="shared" si="64"/>
        <v>18.066400000000002</v>
      </c>
      <c r="AE338">
        <f t="shared" si="65"/>
        <v>0.87387899456000007</v>
      </c>
      <c r="AF338" s="9"/>
      <c r="AG338" s="22">
        <v>1.5516700000000001</v>
      </c>
      <c r="AH338" s="22">
        <v>387.77600000000001</v>
      </c>
      <c r="AI338" s="22">
        <v>-8.0291700000000004E-3</v>
      </c>
      <c r="AJ338" s="22">
        <v>328</v>
      </c>
      <c r="AK338" s="22">
        <v>1.55121</v>
      </c>
      <c r="AL338">
        <f t="shared" si="66"/>
        <v>8.0291700000000006</v>
      </c>
      <c r="AM338">
        <f t="shared" si="67"/>
        <v>12.458622213900002</v>
      </c>
      <c r="AP338" s="9"/>
      <c r="AQ338" s="22">
        <v>4.8370400000000001E-2</v>
      </c>
      <c r="AR338" s="22">
        <v>523.55399999999997</v>
      </c>
      <c r="AS338" s="22">
        <v>-1.8014499999999999E-2</v>
      </c>
      <c r="AT338" s="22">
        <v>328</v>
      </c>
      <c r="AU338" s="22">
        <v>4.8327599999999998E-2</v>
      </c>
      <c r="AV338">
        <f t="shared" si="68"/>
        <v>18.014499999999998</v>
      </c>
      <c r="AW338">
        <f t="shared" si="69"/>
        <v>0.87136857079999996</v>
      </c>
      <c r="AX338" s="9"/>
      <c r="AY338" s="22">
        <v>1.5516700000000001</v>
      </c>
      <c r="AZ338" s="22">
        <v>645.91200000000003</v>
      </c>
      <c r="BA338" s="22">
        <v>-8.0230700000000002E-3</v>
      </c>
      <c r="BB338" s="22">
        <v>328</v>
      </c>
      <c r="BC338" s="22">
        <v>1.5508999999999999</v>
      </c>
      <c r="BD338">
        <f t="shared" si="70"/>
        <v>8.0230700000000006</v>
      </c>
      <c r="BE338">
        <f t="shared" si="71"/>
        <v>12.449157026900002</v>
      </c>
    </row>
    <row r="339" spans="6:57">
      <c r="F339" s="9"/>
      <c r="G339" s="22">
        <v>4.3334999999999999E-2</v>
      </c>
      <c r="H339" s="22">
        <v>109.39400000000001</v>
      </c>
      <c r="I339" s="22">
        <v>-1.8072499999999998E-2</v>
      </c>
      <c r="J339" s="22">
        <v>329</v>
      </c>
      <c r="K339" s="22">
        <v>4.3005399999999999E-2</v>
      </c>
      <c r="L339">
        <f t="shared" si="60"/>
        <v>18.072499999999998</v>
      </c>
      <c r="M339">
        <f t="shared" si="61"/>
        <v>0.78317178749999994</v>
      </c>
      <c r="N339" s="9"/>
      <c r="O339" s="22">
        <v>1.5567</v>
      </c>
      <c r="P339" s="22">
        <v>224.31100000000001</v>
      </c>
      <c r="Q339" s="22">
        <v>-1.17737E-2</v>
      </c>
      <c r="R339" s="22">
        <v>329</v>
      </c>
      <c r="S339" s="22">
        <v>1.55579</v>
      </c>
      <c r="T339">
        <f t="shared" si="62"/>
        <v>11.7737</v>
      </c>
      <c r="U339">
        <f t="shared" si="63"/>
        <v>18.328118789999998</v>
      </c>
      <c r="X339" s="9"/>
      <c r="Y339" s="22">
        <v>4.3334999999999999E-2</v>
      </c>
      <c r="Z339" s="22">
        <v>327.298</v>
      </c>
      <c r="AA339" s="22">
        <v>-1.80634E-2</v>
      </c>
      <c r="AB339" s="22">
        <v>329</v>
      </c>
      <c r="AC339" s="22">
        <v>4.3279999999999999E-2</v>
      </c>
      <c r="AD339">
        <f t="shared" si="64"/>
        <v>18.063400000000001</v>
      </c>
      <c r="AE339">
        <f t="shared" si="65"/>
        <v>0.78277743900000007</v>
      </c>
      <c r="AF339" s="9"/>
      <c r="AG339" s="22">
        <v>1.5567</v>
      </c>
      <c r="AH339" s="22">
        <v>387.87700000000001</v>
      </c>
      <c r="AI339" s="22">
        <v>-7.7941900000000003E-3</v>
      </c>
      <c r="AJ339" s="22">
        <v>329</v>
      </c>
      <c r="AK339" s="22">
        <v>1.55609</v>
      </c>
      <c r="AL339">
        <f t="shared" si="66"/>
        <v>7.7941900000000004</v>
      </c>
      <c r="AM339">
        <f t="shared" si="67"/>
        <v>12.133215573000001</v>
      </c>
      <c r="AP339" s="9"/>
      <c r="AQ339" s="22">
        <v>4.3334999999999999E-2</v>
      </c>
      <c r="AR339" s="22">
        <v>523.65499999999997</v>
      </c>
      <c r="AS339" s="22">
        <v>-1.80267E-2</v>
      </c>
      <c r="AT339" s="22">
        <v>329</v>
      </c>
      <c r="AU339" s="22">
        <v>4.3402099999999999E-2</v>
      </c>
      <c r="AV339">
        <f t="shared" si="68"/>
        <v>18.026699999999998</v>
      </c>
      <c r="AW339">
        <f t="shared" si="69"/>
        <v>0.78118704449999987</v>
      </c>
      <c r="AX339" s="9"/>
      <c r="AY339" s="22">
        <v>1.5567</v>
      </c>
      <c r="AZ339" s="22">
        <v>646.01199999999994</v>
      </c>
      <c r="BA339" s="22">
        <v>-7.8552199999999996E-3</v>
      </c>
      <c r="BB339" s="22">
        <v>329</v>
      </c>
      <c r="BC339" s="22">
        <v>1.55579</v>
      </c>
      <c r="BD339">
        <f t="shared" si="70"/>
        <v>7.8552199999999992</v>
      </c>
      <c r="BE339">
        <f t="shared" si="71"/>
        <v>12.228220973999999</v>
      </c>
    </row>
    <row r="340" spans="6:57">
      <c r="F340" s="9"/>
      <c r="G340" s="22">
        <v>3.8299600000000003E-2</v>
      </c>
      <c r="H340" s="22">
        <v>109.495</v>
      </c>
      <c r="I340" s="22">
        <v>-1.8075600000000001E-2</v>
      </c>
      <c r="J340" s="22">
        <v>330</v>
      </c>
      <c r="K340" s="22">
        <v>3.80005E-2</v>
      </c>
      <c r="L340">
        <f t="shared" si="60"/>
        <v>18.075600000000001</v>
      </c>
      <c r="M340">
        <f t="shared" si="61"/>
        <v>0.69228824976000014</v>
      </c>
      <c r="N340" s="9"/>
      <c r="O340" s="22">
        <v>1.5617399999999999</v>
      </c>
      <c r="P340" s="22">
        <v>224.41200000000001</v>
      </c>
      <c r="Q340" s="22">
        <v>-1.15479E-2</v>
      </c>
      <c r="R340" s="22">
        <v>330</v>
      </c>
      <c r="S340" s="22">
        <v>1.56128</v>
      </c>
      <c r="T340">
        <f t="shared" si="62"/>
        <v>11.5479</v>
      </c>
      <c r="U340">
        <f t="shared" si="63"/>
        <v>18.034817346000001</v>
      </c>
      <c r="X340" s="9"/>
      <c r="Y340" s="22">
        <v>3.8299600000000003E-2</v>
      </c>
      <c r="Z340" s="22">
        <v>327.399</v>
      </c>
      <c r="AA340" s="22">
        <v>-1.80786E-2</v>
      </c>
      <c r="AB340" s="22">
        <v>330</v>
      </c>
      <c r="AC340" s="22">
        <v>3.81226E-2</v>
      </c>
      <c r="AD340">
        <f t="shared" si="64"/>
        <v>18.078600000000002</v>
      </c>
      <c r="AE340">
        <f t="shared" si="65"/>
        <v>0.69240314856000007</v>
      </c>
      <c r="AF340" s="9"/>
      <c r="AG340" s="22">
        <v>1.5617399999999999</v>
      </c>
      <c r="AH340" s="22">
        <v>387.97800000000001</v>
      </c>
      <c r="AI340" s="22">
        <v>-7.5378399999999996E-3</v>
      </c>
      <c r="AJ340" s="22">
        <v>330</v>
      </c>
      <c r="AK340" s="22">
        <v>1.56128</v>
      </c>
      <c r="AL340">
        <f t="shared" si="66"/>
        <v>7.5378399999999992</v>
      </c>
      <c r="AM340">
        <f t="shared" si="67"/>
        <v>11.772146241599998</v>
      </c>
      <c r="AP340" s="9"/>
      <c r="AQ340" s="22">
        <v>3.8299600000000003E-2</v>
      </c>
      <c r="AR340" s="22">
        <v>523.75599999999997</v>
      </c>
      <c r="AS340" s="22">
        <v>-1.8041999999999999E-2</v>
      </c>
      <c r="AT340" s="22">
        <v>330</v>
      </c>
      <c r="AU340" s="22">
        <v>3.8156099999999998E-2</v>
      </c>
      <c r="AV340">
        <f t="shared" si="68"/>
        <v>18.041999999999998</v>
      </c>
      <c r="AW340">
        <f t="shared" si="69"/>
        <v>0.69100138319999993</v>
      </c>
      <c r="AX340" s="9"/>
      <c r="AY340" s="22">
        <v>1.5617399999999999</v>
      </c>
      <c r="AZ340" s="22">
        <v>646.11300000000006</v>
      </c>
      <c r="BA340" s="22">
        <v>-7.724E-3</v>
      </c>
      <c r="BB340" s="22">
        <v>330</v>
      </c>
      <c r="BC340" s="22">
        <v>1.56067</v>
      </c>
      <c r="BD340">
        <f t="shared" si="70"/>
        <v>7.7240000000000002</v>
      </c>
      <c r="BE340">
        <f t="shared" si="71"/>
        <v>12.06287976</v>
      </c>
    </row>
    <row r="341" spans="6:57">
      <c r="F341" s="9"/>
      <c r="G341" s="22">
        <v>3.3264200000000001E-2</v>
      </c>
      <c r="H341" s="22">
        <v>109.596</v>
      </c>
      <c r="I341" s="22">
        <v>-1.8087800000000001E-2</v>
      </c>
      <c r="J341" s="22">
        <v>331</v>
      </c>
      <c r="K341" s="22">
        <v>3.3129899999999997E-2</v>
      </c>
      <c r="L341">
        <f t="shared" si="60"/>
        <v>18.087800000000001</v>
      </c>
      <c r="M341">
        <f t="shared" si="61"/>
        <v>0.60167619676000006</v>
      </c>
      <c r="N341" s="9"/>
      <c r="O341" s="22">
        <v>1.56677</v>
      </c>
      <c r="P341" s="22">
        <v>224.51300000000001</v>
      </c>
      <c r="Q341" s="22">
        <v>-1.1318999999999999E-2</v>
      </c>
      <c r="R341" s="22">
        <v>331</v>
      </c>
      <c r="S341" s="22">
        <v>1.56616</v>
      </c>
      <c r="T341">
        <f t="shared" si="62"/>
        <v>11.318999999999999</v>
      </c>
      <c r="U341">
        <f t="shared" si="63"/>
        <v>17.73426963</v>
      </c>
      <c r="X341" s="9"/>
      <c r="Y341" s="22">
        <v>3.3264200000000001E-2</v>
      </c>
      <c r="Z341" s="22">
        <v>327.49900000000002</v>
      </c>
      <c r="AA341" s="22">
        <v>-1.8081699999999999E-2</v>
      </c>
      <c r="AB341" s="22">
        <v>331</v>
      </c>
      <c r="AC341" s="22">
        <v>3.3245799999999999E-2</v>
      </c>
      <c r="AD341">
        <f t="shared" si="64"/>
        <v>18.081699999999998</v>
      </c>
      <c r="AE341">
        <f t="shared" si="65"/>
        <v>0.60147328513999998</v>
      </c>
      <c r="AF341" s="9"/>
      <c r="AG341" s="22">
        <v>1.56677</v>
      </c>
      <c r="AH341" s="22">
        <v>388.07799999999997</v>
      </c>
      <c r="AI341" s="22">
        <v>-7.0861800000000001E-3</v>
      </c>
      <c r="AJ341" s="22">
        <v>331</v>
      </c>
      <c r="AK341" s="22">
        <v>1.56647</v>
      </c>
      <c r="AL341">
        <f t="shared" si="66"/>
        <v>7.0861799999999997</v>
      </c>
      <c r="AM341">
        <f t="shared" si="67"/>
        <v>11.1024142386</v>
      </c>
      <c r="AP341" s="9"/>
      <c r="AQ341" s="22">
        <v>3.3264200000000001E-2</v>
      </c>
      <c r="AR341" s="22">
        <v>523.85699999999997</v>
      </c>
      <c r="AS341" s="22">
        <v>-1.8041999999999999E-2</v>
      </c>
      <c r="AT341" s="22">
        <v>331</v>
      </c>
      <c r="AU341" s="22">
        <v>3.2934600000000001E-2</v>
      </c>
      <c r="AV341">
        <f t="shared" si="68"/>
        <v>18.041999999999998</v>
      </c>
      <c r="AW341">
        <f t="shared" si="69"/>
        <v>0.60015269639999991</v>
      </c>
      <c r="AX341" s="9"/>
      <c r="AY341" s="22">
        <v>1.56677</v>
      </c>
      <c r="AZ341" s="22">
        <v>646.21400000000006</v>
      </c>
      <c r="BA341" s="22">
        <v>-7.49207E-3</v>
      </c>
      <c r="BB341" s="22">
        <v>331</v>
      </c>
      <c r="BC341" s="22">
        <v>1.56555</v>
      </c>
      <c r="BD341">
        <f t="shared" si="70"/>
        <v>7.49207</v>
      </c>
      <c r="BE341">
        <f t="shared" si="71"/>
        <v>11.7383505139</v>
      </c>
    </row>
    <row r="342" spans="6:57">
      <c r="F342" s="9"/>
      <c r="G342" s="22">
        <v>2.8228799999999998E-2</v>
      </c>
      <c r="H342" s="22">
        <v>109.696</v>
      </c>
      <c r="I342" s="22">
        <v>-1.80634E-2</v>
      </c>
      <c r="J342" s="22">
        <v>332</v>
      </c>
      <c r="K342" s="22">
        <v>2.8164700000000001E-2</v>
      </c>
      <c r="L342">
        <f t="shared" si="60"/>
        <v>18.063400000000001</v>
      </c>
      <c r="M342">
        <f t="shared" si="61"/>
        <v>0.50990810592000002</v>
      </c>
      <c r="N342" s="9"/>
      <c r="O342" s="22">
        <v>1.5718099999999999</v>
      </c>
      <c r="P342" s="22">
        <v>224.613</v>
      </c>
      <c r="Q342" s="22">
        <v>-1.11176E-2</v>
      </c>
      <c r="R342" s="22">
        <v>332</v>
      </c>
      <c r="S342" s="22">
        <v>1.57135</v>
      </c>
      <c r="T342">
        <f t="shared" si="62"/>
        <v>11.117599999999999</v>
      </c>
      <c r="U342">
        <f t="shared" si="63"/>
        <v>17.474754855999997</v>
      </c>
      <c r="X342" s="9"/>
      <c r="Y342" s="22">
        <v>2.8228799999999998E-2</v>
      </c>
      <c r="Z342" s="22">
        <v>327.60000000000002</v>
      </c>
      <c r="AA342" s="22">
        <v>-1.8084699999999999E-2</v>
      </c>
      <c r="AB342" s="22">
        <v>332</v>
      </c>
      <c r="AC342" s="22">
        <v>2.8366100000000002E-2</v>
      </c>
      <c r="AD342">
        <f t="shared" si="64"/>
        <v>18.084699999999998</v>
      </c>
      <c r="AE342">
        <f t="shared" si="65"/>
        <v>0.51050937935999996</v>
      </c>
      <c r="AF342" s="9"/>
      <c r="AG342" s="22">
        <v>1.5718099999999999</v>
      </c>
      <c r="AH342" s="22">
        <v>388.17899999999997</v>
      </c>
      <c r="AI342" s="22">
        <v>-6.6803000000000001E-3</v>
      </c>
      <c r="AJ342" s="22">
        <v>332</v>
      </c>
      <c r="AK342" s="22">
        <v>1.57043</v>
      </c>
      <c r="AL342">
        <f t="shared" si="66"/>
        <v>6.6802999999999999</v>
      </c>
      <c r="AM342">
        <f t="shared" si="67"/>
        <v>10.500162343</v>
      </c>
      <c r="AP342" s="9"/>
      <c r="AQ342" s="22">
        <v>2.8228799999999998E-2</v>
      </c>
      <c r="AR342" s="22">
        <v>523.95699999999999</v>
      </c>
      <c r="AS342" s="22">
        <v>-1.8041999999999999E-2</v>
      </c>
      <c r="AT342" s="22">
        <v>332</v>
      </c>
      <c r="AU342" s="22">
        <v>2.8259300000000001E-2</v>
      </c>
      <c r="AV342">
        <f t="shared" si="68"/>
        <v>18.041999999999998</v>
      </c>
      <c r="AW342">
        <f t="shared" si="69"/>
        <v>0.50930400959999989</v>
      </c>
      <c r="AX342" s="9"/>
      <c r="AY342" s="22">
        <v>1.5718099999999999</v>
      </c>
      <c r="AZ342" s="22">
        <v>646.31399999999996</v>
      </c>
      <c r="BA342" s="22">
        <v>-7.2357200000000002E-3</v>
      </c>
      <c r="BB342" s="22">
        <v>332</v>
      </c>
      <c r="BC342" s="22">
        <v>1.57074</v>
      </c>
      <c r="BD342">
        <f t="shared" si="70"/>
        <v>7.2357200000000006</v>
      </c>
      <c r="BE342">
        <f t="shared" si="71"/>
        <v>11.373177053200001</v>
      </c>
    </row>
    <row r="343" spans="6:57">
      <c r="F343" s="9"/>
      <c r="G343" s="22">
        <v>2.3193399999999999E-2</v>
      </c>
      <c r="H343" s="22">
        <v>109.797</v>
      </c>
      <c r="I343" s="22">
        <v>-1.8096899999999999E-2</v>
      </c>
      <c r="J343" s="22">
        <v>333</v>
      </c>
      <c r="K343" s="22">
        <v>2.2869899999999999E-2</v>
      </c>
      <c r="L343">
        <f t="shared" si="60"/>
        <v>18.096899999999998</v>
      </c>
      <c r="M343">
        <f t="shared" si="61"/>
        <v>0.41972864045999997</v>
      </c>
      <c r="N343" s="9"/>
      <c r="O343" s="22">
        <v>1.57684</v>
      </c>
      <c r="P343" s="22">
        <v>224.714</v>
      </c>
      <c r="Q343" s="22">
        <v>-1.07849E-2</v>
      </c>
      <c r="R343" s="22">
        <v>333</v>
      </c>
      <c r="S343" s="22">
        <v>1.57623</v>
      </c>
      <c r="T343">
        <f t="shared" si="62"/>
        <v>10.7849</v>
      </c>
      <c r="U343">
        <f t="shared" si="63"/>
        <v>17.006061716000001</v>
      </c>
      <c r="X343" s="9"/>
      <c r="Y343" s="22">
        <v>2.3193399999999999E-2</v>
      </c>
      <c r="Z343" s="22">
        <v>327.70100000000002</v>
      </c>
      <c r="AA343" s="22">
        <v>-1.8100000000000002E-2</v>
      </c>
      <c r="AB343" s="22">
        <v>333</v>
      </c>
      <c r="AC343" s="22">
        <v>2.3324600000000001E-2</v>
      </c>
      <c r="AD343">
        <f t="shared" si="64"/>
        <v>18.100000000000001</v>
      </c>
      <c r="AE343">
        <f t="shared" si="65"/>
        <v>0.41980054</v>
      </c>
      <c r="AF343" s="9"/>
      <c r="AG343" s="22">
        <v>1.57684</v>
      </c>
      <c r="AH343" s="22">
        <v>388.28</v>
      </c>
      <c r="AI343" s="22">
        <v>-6.3812299999999999E-3</v>
      </c>
      <c r="AJ343" s="22">
        <v>333</v>
      </c>
      <c r="AK343" s="22">
        <v>1.5759300000000001</v>
      </c>
      <c r="AL343">
        <f t="shared" si="66"/>
        <v>6.3812299999999995</v>
      </c>
      <c r="AM343">
        <f t="shared" si="67"/>
        <v>10.0621787132</v>
      </c>
      <c r="AP343" s="9"/>
      <c r="AQ343" s="22">
        <v>2.3193399999999999E-2</v>
      </c>
      <c r="AR343" s="22">
        <v>524.05799999999999</v>
      </c>
      <c r="AS343" s="22">
        <v>-1.8044999999999999E-2</v>
      </c>
      <c r="AT343" s="22">
        <v>333</v>
      </c>
      <c r="AU343" s="22">
        <v>2.28912E-2</v>
      </c>
      <c r="AV343">
        <f t="shared" si="68"/>
        <v>18.044999999999998</v>
      </c>
      <c r="AW343">
        <f t="shared" si="69"/>
        <v>0.41852490299999995</v>
      </c>
      <c r="AX343" s="9"/>
      <c r="AY343" s="22">
        <v>1.57684</v>
      </c>
      <c r="AZ343" s="22">
        <v>646.41499999999996</v>
      </c>
      <c r="BA343" s="22">
        <v>-6.99768E-3</v>
      </c>
      <c r="BB343" s="22">
        <v>333</v>
      </c>
      <c r="BC343" s="22">
        <v>1.57623</v>
      </c>
      <c r="BD343">
        <f t="shared" si="70"/>
        <v>6.9976799999999999</v>
      </c>
      <c r="BE343">
        <f t="shared" si="71"/>
        <v>11.034221731200001</v>
      </c>
    </row>
    <row r="344" spans="6:57">
      <c r="F344" s="9"/>
      <c r="G344" s="22">
        <v>1.8158000000000001E-2</v>
      </c>
      <c r="H344" s="22">
        <v>109.898</v>
      </c>
      <c r="I344" s="22">
        <v>-1.8057299999999998E-2</v>
      </c>
      <c r="J344" s="22">
        <v>334</v>
      </c>
      <c r="K344" s="22">
        <v>1.81183E-2</v>
      </c>
      <c r="L344">
        <f t="shared" si="60"/>
        <v>18.057299999999998</v>
      </c>
      <c r="M344">
        <f t="shared" si="61"/>
        <v>0.3278844534</v>
      </c>
      <c r="N344" s="9"/>
      <c r="O344" s="22">
        <v>1.58188</v>
      </c>
      <c r="P344" s="22">
        <v>224.815</v>
      </c>
      <c r="Q344" s="22">
        <v>-1.0321E-2</v>
      </c>
      <c r="R344" s="22">
        <v>334</v>
      </c>
      <c r="S344" s="22">
        <v>1.5817300000000001</v>
      </c>
      <c r="T344">
        <f t="shared" si="62"/>
        <v>10.321</v>
      </c>
      <c r="U344">
        <f t="shared" si="63"/>
        <v>16.32658348</v>
      </c>
      <c r="X344" s="9"/>
      <c r="Y344" s="22">
        <v>1.8158000000000001E-2</v>
      </c>
      <c r="Z344" s="22">
        <v>327.80099999999999</v>
      </c>
      <c r="AA344" s="22">
        <v>-1.80939E-2</v>
      </c>
      <c r="AB344" s="22">
        <v>334</v>
      </c>
      <c r="AC344" s="22">
        <v>1.81732E-2</v>
      </c>
      <c r="AD344">
        <f t="shared" si="64"/>
        <v>18.093899999999998</v>
      </c>
      <c r="AE344">
        <f t="shared" si="65"/>
        <v>0.32854903619999998</v>
      </c>
      <c r="AF344" s="9"/>
      <c r="AG344" s="22">
        <v>1.58188</v>
      </c>
      <c r="AH344" s="22">
        <v>388.38</v>
      </c>
      <c r="AI344" s="22">
        <v>-6.1187699999999999E-3</v>
      </c>
      <c r="AJ344" s="22">
        <v>334</v>
      </c>
      <c r="AK344" s="22">
        <v>1.5811200000000001</v>
      </c>
      <c r="AL344">
        <f t="shared" si="66"/>
        <v>6.1187699999999996</v>
      </c>
      <c r="AM344">
        <f t="shared" si="67"/>
        <v>9.6791598875999991</v>
      </c>
      <c r="AP344" s="9"/>
      <c r="AQ344" s="22">
        <v>1.8158000000000001E-2</v>
      </c>
      <c r="AR344" s="22">
        <v>524.15899999999999</v>
      </c>
      <c r="AS344" s="22">
        <v>-1.8032800000000002E-2</v>
      </c>
      <c r="AT344" s="22">
        <v>334</v>
      </c>
      <c r="AU344" s="22">
        <v>1.7633099999999999E-2</v>
      </c>
      <c r="AV344">
        <f t="shared" si="68"/>
        <v>18.032800000000002</v>
      </c>
      <c r="AW344">
        <f t="shared" si="69"/>
        <v>0.32743958240000004</v>
      </c>
      <c r="AX344" s="9"/>
      <c r="AY344" s="22">
        <v>1.58188</v>
      </c>
      <c r="AZ344" s="22">
        <v>646.51599999999996</v>
      </c>
      <c r="BA344" s="22">
        <v>-6.7627E-3</v>
      </c>
      <c r="BB344" s="22">
        <v>334</v>
      </c>
      <c r="BC344" s="22">
        <v>1.5805100000000001</v>
      </c>
      <c r="BD344">
        <f t="shared" si="70"/>
        <v>6.7626999999999997</v>
      </c>
      <c r="BE344">
        <f t="shared" si="71"/>
        <v>10.697779875999998</v>
      </c>
    </row>
    <row r="345" spans="6:57">
      <c r="F345" s="9"/>
      <c r="G345" s="22">
        <v>1.31226E-2</v>
      </c>
      <c r="H345" s="22">
        <v>109.998</v>
      </c>
      <c r="I345" s="22">
        <v>-1.8060300000000001E-2</v>
      </c>
      <c r="J345" s="22">
        <v>335</v>
      </c>
      <c r="K345" s="22">
        <v>1.2735E-2</v>
      </c>
      <c r="L345">
        <f t="shared" si="60"/>
        <v>18.060300000000002</v>
      </c>
      <c r="M345">
        <f t="shared" si="61"/>
        <v>0.23699809278000003</v>
      </c>
      <c r="N345" s="9"/>
      <c r="O345" s="22">
        <v>1.58691</v>
      </c>
      <c r="P345" s="22">
        <v>224.91499999999999</v>
      </c>
      <c r="Q345" s="22">
        <v>-9.9243200000000004E-3</v>
      </c>
      <c r="R345" s="22">
        <v>335</v>
      </c>
      <c r="S345" s="22">
        <v>1.58569</v>
      </c>
      <c r="T345">
        <f t="shared" si="62"/>
        <v>9.9243199999999998</v>
      </c>
      <c r="U345">
        <f t="shared" si="63"/>
        <v>15.7490026512</v>
      </c>
      <c r="X345" s="9"/>
      <c r="Y345" s="22">
        <v>1.31226E-2</v>
      </c>
      <c r="Z345" s="22">
        <v>327.90199999999999</v>
      </c>
      <c r="AA345" s="22">
        <v>-1.8103000000000001E-2</v>
      </c>
      <c r="AB345" s="22">
        <v>335</v>
      </c>
      <c r="AC345" s="22">
        <v>1.3085899999999999E-2</v>
      </c>
      <c r="AD345">
        <f t="shared" si="64"/>
        <v>18.103000000000002</v>
      </c>
      <c r="AE345">
        <f t="shared" si="65"/>
        <v>0.23755842780000003</v>
      </c>
      <c r="AF345" s="9"/>
      <c r="AG345" s="22">
        <v>1.58691</v>
      </c>
      <c r="AH345" s="22">
        <v>388.48099999999999</v>
      </c>
      <c r="AI345" s="22">
        <v>-5.9661899999999997E-3</v>
      </c>
      <c r="AJ345" s="22">
        <v>335</v>
      </c>
      <c r="AK345" s="22">
        <v>1.58569</v>
      </c>
      <c r="AL345">
        <f t="shared" si="66"/>
        <v>5.9661900000000001</v>
      </c>
      <c r="AM345">
        <f t="shared" si="67"/>
        <v>9.4678065729000007</v>
      </c>
      <c r="AP345" s="9"/>
      <c r="AQ345" s="22">
        <v>1.31226E-2</v>
      </c>
      <c r="AR345" s="22">
        <v>524.25900000000001</v>
      </c>
      <c r="AS345" s="22">
        <v>-1.8041999999999999E-2</v>
      </c>
      <c r="AT345" s="22">
        <v>335</v>
      </c>
      <c r="AU345" s="22">
        <v>1.3446E-2</v>
      </c>
      <c r="AV345">
        <f t="shared" si="68"/>
        <v>18.041999999999998</v>
      </c>
      <c r="AW345">
        <f t="shared" si="69"/>
        <v>0.23675794919999998</v>
      </c>
      <c r="AX345" s="9"/>
      <c r="AY345" s="22">
        <v>1.58691</v>
      </c>
      <c r="AZ345" s="22">
        <v>646.61699999999996</v>
      </c>
      <c r="BA345" s="22">
        <v>-6.5094000000000003E-3</v>
      </c>
      <c r="BB345" s="22">
        <v>335</v>
      </c>
      <c r="BC345" s="22">
        <v>1.58569</v>
      </c>
      <c r="BD345">
        <f t="shared" si="70"/>
        <v>6.5094000000000003</v>
      </c>
      <c r="BE345">
        <f t="shared" si="71"/>
        <v>10.329831954000001</v>
      </c>
    </row>
    <row r="346" spans="6:57">
      <c r="F346" s="9"/>
      <c r="G346" s="22">
        <v>8.0871599999999995E-3</v>
      </c>
      <c r="H346" s="22">
        <v>110.099</v>
      </c>
      <c r="I346" s="22">
        <v>-1.8069499999999999E-2</v>
      </c>
      <c r="J346" s="22">
        <v>336</v>
      </c>
      <c r="K346" s="22">
        <v>8.0596899999999996E-3</v>
      </c>
      <c r="L346">
        <f t="shared" si="60"/>
        <v>18.069499999999998</v>
      </c>
      <c r="M346">
        <f t="shared" si="61"/>
        <v>0.14613093761999998</v>
      </c>
      <c r="N346" s="9"/>
      <c r="O346" s="22">
        <v>1.59195</v>
      </c>
      <c r="P346" s="22">
        <v>225.01599999999999</v>
      </c>
      <c r="Q346" s="22">
        <v>-9.3200699999999997E-3</v>
      </c>
      <c r="R346" s="22">
        <v>336</v>
      </c>
      <c r="S346" s="22">
        <v>1.5908800000000001</v>
      </c>
      <c r="T346">
        <f t="shared" si="62"/>
        <v>9.3200699999999994</v>
      </c>
      <c r="U346">
        <f t="shared" si="63"/>
        <v>14.837085436499999</v>
      </c>
      <c r="X346" s="9"/>
      <c r="Y346" s="22">
        <v>8.0871599999999995E-3</v>
      </c>
      <c r="Z346" s="22">
        <v>328.00299999999999</v>
      </c>
      <c r="AA346" s="22">
        <v>-1.81061E-2</v>
      </c>
      <c r="AB346" s="22">
        <v>336</v>
      </c>
      <c r="AC346" s="22">
        <v>8.1634499999999992E-3</v>
      </c>
      <c r="AD346">
        <f t="shared" si="64"/>
        <v>18.106100000000001</v>
      </c>
      <c r="AE346">
        <f t="shared" si="65"/>
        <v>0.14642692767599999</v>
      </c>
      <c r="AF346" s="9"/>
      <c r="AG346" s="22">
        <v>1.59195</v>
      </c>
      <c r="AH346" s="22">
        <v>388.58199999999999</v>
      </c>
      <c r="AI346" s="22">
        <v>-5.6884800000000001E-3</v>
      </c>
      <c r="AJ346" s="22">
        <v>336</v>
      </c>
      <c r="AK346" s="22">
        <v>1.5911900000000001</v>
      </c>
      <c r="AL346">
        <f t="shared" si="66"/>
        <v>5.6884800000000002</v>
      </c>
      <c r="AM346">
        <f t="shared" si="67"/>
        <v>9.0557757360000011</v>
      </c>
      <c r="AP346" s="9"/>
      <c r="AQ346" s="22">
        <v>8.0871599999999995E-3</v>
      </c>
      <c r="AR346" s="22">
        <v>524.36</v>
      </c>
      <c r="AS346" s="22">
        <v>-1.8054199999999999E-2</v>
      </c>
      <c r="AT346" s="22">
        <v>336</v>
      </c>
      <c r="AU346" s="22">
        <v>8.4228500000000008E-3</v>
      </c>
      <c r="AV346">
        <f t="shared" si="68"/>
        <v>18.054199999999998</v>
      </c>
      <c r="AW346">
        <f t="shared" si="69"/>
        <v>0.14600720407199996</v>
      </c>
      <c r="AX346" s="9"/>
      <c r="AY346" s="22">
        <v>1.59195</v>
      </c>
      <c r="AZ346" s="22">
        <v>646.71699999999998</v>
      </c>
      <c r="BA346" s="22">
        <v>-6.2500000000000003E-3</v>
      </c>
      <c r="BB346" s="22">
        <v>336</v>
      </c>
      <c r="BC346" s="22">
        <v>1.5911900000000001</v>
      </c>
      <c r="BD346">
        <f t="shared" si="70"/>
        <v>6.25</v>
      </c>
      <c r="BE346">
        <f t="shared" si="71"/>
        <v>9.9496874999999996</v>
      </c>
    </row>
    <row r="347" spans="6:57">
      <c r="F347" s="9"/>
      <c r="G347" s="22">
        <v>3.0517600000000001E-3</v>
      </c>
      <c r="H347" s="22">
        <v>110.2</v>
      </c>
      <c r="I347" s="22">
        <v>-1.80786E-2</v>
      </c>
      <c r="J347" s="22">
        <v>337</v>
      </c>
      <c r="K347" s="22">
        <v>3.09143E-3</v>
      </c>
      <c r="L347">
        <f t="shared" si="60"/>
        <v>18.078600000000002</v>
      </c>
      <c r="M347">
        <f t="shared" si="61"/>
        <v>5.5171548336000006E-2</v>
      </c>
      <c r="N347" s="9"/>
      <c r="O347" s="22">
        <v>1.5969800000000001</v>
      </c>
      <c r="P347" s="22">
        <v>225.11699999999999</v>
      </c>
      <c r="Q347" s="22">
        <v>-8.8623E-3</v>
      </c>
      <c r="R347" s="22">
        <v>337</v>
      </c>
      <c r="S347" s="22">
        <v>1.5960700000000001</v>
      </c>
      <c r="T347">
        <f t="shared" si="62"/>
        <v>8.8622999999999994</v>
      </c>
      <c r="U347">
        <f t="shared" si="63"/>
        <v>14.152915854</v>
      </c>
      <c r="X347" s="9"/>
      <c r="Y347" s="22">
        <v>3.0517600000000001E-3</v>
      </c>
      <c r="Z347" s="22">
        <v>328.10399999999998</v>
      </c>
      <c r="AA347" s="22">
        <v>-1.8112199999999998E-2</v>
      </c>
      <c r="AB347" s="22">
        <v>337</v>
      </c>
      <c r="AC347" s="22">
        <v>2.97241E-3</v>
      </c>
      <c r="AD347">
        <f t="shared" si="64"/>
        <v>18.112199999999998</v>
      </c>
      <c r="AE347">
        <f t="shared" si="65"/>
        <v>5.5274087471999994E-2</v>
      </c>
      <c r="AF347" s="9"/>
      <c r="AG347" s="22">
        <v>1.5969800000000001</v>
      </c>
      <c r="AH347" s="22">
        <v>388.68200000000002</v>
      </c>
      <c r="AI347" s="22">
        <v>-5.1513699999999997E-3</v>
      </c>
      <c r="AJ347" s="22">
        <v>337</v>
      </c>
      <c r="AK347" s="22">
        <v>1.5960700000000001</v>
      </c>
      <c r="AL347">
        <f t="shared" si="66"/>
        <v>5.15137</v>
      </c>
      <c r="AM347">
        <f t="shared" si="67"/>
        <v>8.226634862600001</v>
      </c>
      <c r="AP347" s="9"/>
      <c r="AQ347" s="22">
        <v>3.0517600000000001E-3</v>
      </c>
      <c r="AR347" s="22">
        <v>524.46100000000001</v>
      </c>
      <c r="AS347" s="22">
        <v>-1.80511E-2</v>
      </c>
      <c r="AT347" s="22">
        <v>337</v>
      </c>
      <c r="AU347" s="22">
        <v>3.0853299999999998E-3</v>
      </c>
      <c r="AV347">
        <f t="shared" si="68"/>
        <v>18.051100000000002</v>
      </c>
      <c r="AW347">
        <f t="shared" si="69"/>
        <v>5.5087624936000008E-2</v>
      </c>
      <c r="AX347" s="9"/>
      <c r="AY347" s="22">
        <v>1.5969800000000001</v>
      </c>
      <c r="AZ347" s="22">
        <v>646.81799999999998</v>
      </c>
      <c r="BA347" s="22">
        <v>-5.97534E-3</v>
      </c>
      <c r="BB347" s="22">
        <v>337</v>
      </c>
      <c r="BC347" s="22">
        <v>1.5960700000000001</v>
      </c>
      <c r="BD347">
        <f t="shared" si="70"/>
        <v>5.9753400000000001</v>
      </c>
      <c r="BE347">
        <f t="shared" si="71"/>
        <v>9.5424984732000002</v>
      </c>
    </row>
    <row r="348" spans="6:57">
      <c r="F348" s="9"/>
      <c r="G348" s="22">
        <v>-1.9836400000000001E-3</v>
      </c>
      <c r="H348" s="22">
        <v>110.301</v>
      </c>
      <c r="I348" s="22">
        <v>-1.81091E-2</v>
      </c>
      <c r="J348" s="22">
        <v>338</v>
      </c>
      <c r="K348" s="22">
        <v>-2.1392799999999999E-3</v>
      </c>
      <c r="L348">
        <f t="shared" si="60"/>
        <v>18.109099999999998</v>
      </c>
      <c r="M348">
        <f t="shared" si="61"/>
        <v>-3.5921935124E-2</v>
      </c>
      <c r="N348" s="9"/>
      <c r="O348" s="22">
        <v>1.60202</v>
      </c>
      <c r="P348" s="22">
        <v>225.21799999999999</v>
      </c>
      <c r="Q348" s="22">
        <v>-8.5174599999999993E-3</v>
      </c>
      <c r="R348" s="22">
        <v>338</v>
      </c>
      <c r="S348" s="22">
        <v>1.6012599999999999</v>
      </c>
      <c r="T348">
        <f t="shared" si="62"/>
        <v>8.5174599999999998</v>
      </c>
      <c r="U348">
        <f t="shared" si="63"/>
        <v>13.6451412692</v>
      </c>
      <c r="X348" s="9"/>
      <c r="Y348" s="22">
        <v>-1.9836400000000001E-3</v>
      </c>
      <c r="Z348" s="22">
        <v>328.20400000000001</v>
      </c>
      <c r="AA348" s="22">
        <v>-1.81091E-2</v>
      </c>
      <c r="AB348" s="22">
        <v>338</v>
      </c>
      <c r="AC348" s="22">
        <v>-2.1789600000000002E-3</v>
      </c>
      <c r="AD348">
        <f t="shared" si="64"/>
        <v>18.109099999999998</v>
      </c>
      <c r="AE348">
        <f t="shared" si="65"/>
        <v>-3.5921935124E-2</v>
      </c>
      <c r="AF348" s="9"/>
      <c r="AG348" s="22">
        <v>1.60202</v>
      </c>
      <c r="AH348" s="22">
        <v>388.78300000000002</v>
      </c>
      <c r="AI348" s="22">
        <v>-4.71405E-3</v>
      </c>
      <c r="AJ348" s="22">
        <v>338</v>
      </c>
      <c r="AK348" s="22">
        <v>1.6018699999999999</v>
      </c>
      <c r="AL348">
        <f t="shared" si="66"/>
        <v>4.7140500000000003</v>
      </c>
      <c r="AM348">
        <f t="shared" si="67"/>
        <v>7.5520023810000003</v>
      </c>
      <c r="AP348" s="9"/>
      <c r="AQ348" s="22">
        <v>-1.9836400000000001E-3</v>
      </c>
      <c r="AR348" s="22">
        <v>524.56200000000001</v>
      </c>
      <c r="AS348" s="22">
        <v>-1.8057299999999998E-2</v>
      </c>
      <c r="AT348" s="22">
        <v>338</v>
      </c>
      <c r="AU348" s="22">
        <v>-2.3132299999999999E-3</v>
      </c>
      <c r="AV348">
        <f t="shared" si="68"/>
        <v>18.057299999999998</v>
      </c>
      <c r="AW348">
        <f t="shared" si="69"/>
        <v>-3.5819182571999994E-2</v>
      </c>
      <c r="AX348" s="9"/>
      <c r="AY348" s="22">
        <v>1.60202</v>
      </c>
      <c r="AZ348" s="22">
        <v>646.91899999999998</v>
      </c>
      <c r="BA348" s="22">
        <v>-5.6793199999999999E-3</v>
      </c>
      <c r="BB348" s="22">
        <v>338</v>
      </c>
      <c r="BC348" s="22">
        <v>1.6009500000000001</v>
      </c>
      <c r="BD348">
        <f t="shared" si="70"/>
        <v>5.6793199999999997</v>
      </c>
      <c r="BE348">
        <f t="shared" si="71"/>
        <v>9.0983842264000003</v>
      </c>
    </row>
    <row r="349" spans="6:57">
      <c r="F349" s="9"/>
      <c r="G349" s="22">
        <v>-7.0190399999999998E-3</v>
      </c>
      <c r="H349" s="22">
        <v>110.401</v>
      </c>
      <c r="I349" s="22">
        <v>-1.8127399999999998E-2</v>
      </c>
      <c r="J349" s="22">
        <v>339</v>
      </c>
      <c r="K349" s="22">
        <v>-7.1258500000000004E-3</v>
      </c>
      <c r="L349">
        <f t="shared" si="60"/>
        <v>18.127399999999998</v>
      </c>
      <c r="M349">
        <f t="shared" si="61"/>
        <v>-0.12723694569599997</v>
      </c>
      <c r="N349" s="9"/>
      <c r="O349" s="22">
        <v>1.6070599999999999</v>
      </c>
      <c r="P349" s="22">
        <v>225.31800000000001</v>
      </c>
      <c r="Q349" s="22">
        <v>-8.13293E-3</v>
      </c>
      <c r="R349" s="22">
        <v>339</v>
      </c>
      <c r="S349" s="22">
        <v>1.6061399999999999</v>
      </c>
      <c r="T349">
        <f t="shared" si="62"/>
        <v>8.13293</v>
      </c>
      <c r="U349">
        <f t="shared" si="63"/>
        <v>13.0701064858</v>
      </c>
      <c r="X349" s="9"/>
      <c r="Y349" s="22">
        <v>-7.0190399999999998E-3</v>
      </c>
      <c r="Z349" s="22">
        <v>328.30500000000001</v>
      </c>
      <c r="AA349" s="22">
        <v>-1.81213E-2</v>
      </c>
      <c r="AB349" s="22">
        <v>339</v>
      </c>
      <c r="AC349" s="22">
        <v>-7.2662400000000002E-3</v>
      </c>
      <c r="AD349">
        <f t="shared" si="64"/>
        <v>18.121300000000002</v>
      </c>
      <c r="AE349">
        <f t="shared" si="65"/>
        <v>-0.12719412955200002</v>
      </c>
      <c r="AF349" s="9"/>
      <c r="AG349" s="22">
        <v>1.6070599999999999</v>
      </c>
      <c r="AH349" s="22">
        <v>388.88400000000001</v>
      </c>
      <c r="AI349" s="22">
        <v>-4.3997200000000002E-3</v>
      </c>
      <c r="AJ349" s="22">
        <v>339</v>
      </c>
      <c r="AK349" s="22">
        <v>1.6067499999999999</v>
      </c>
      <c r="AL349">
        <f t="shared" si="66"/>
        <v>4.3997200000000003</v>
      </c>
      <c r="AM349">
        <f t="shared" si="67"/>
        <v>7.0706140232000001</v>
      </c>
      <c r="AP349" s="9"/>
      <c r="AQ349" s="22">
        <v>-7.0190399999999998E-3</v>
      </c>
      <c r="AR349" s="22">
        <v>524.66200000000003</v>
      </c>
      <c r="AS349" s="22">
        <v>-1.8060300000000001E-2</v>
      </c>
      <c r="AT349" s="22">
        <v>339</v>
      </c>
      <c r="AU349" s="22">
        <v>-6.96716E-3</v>
      </c>
      <c r="AV349">
        <f t="shared" si="68"/>
        <v>18.060300000000002</v>
      </c>
      <c r="AW349">
        <f t="shared" si="69"/>
        <v>-0.126765968112</v>
      </c>
      <c r="AX349" s="9"/>
      <c r="AY349" s="22">
        <v>1.6070599999999999</v>
      </c>
      <c r="AZ349" s="22">
        <v>647.01900000000001</v>
      </c>
      <c r="BA349" s="22">
        <v>-5.3832999999999997E-3</v>
      </c>
      <c r="BB349" s="22">
        <v>339</v>
      </c>
      <c r="BC349" s="22">
        <v>1.6058300000000001</v>
      </c>
      <c r="BD349">
        <f t="shared" si="70"/>
        <v>5.3832999999999993</v>
      </c>
      <c r="BE349">
        <f t="shared" si="71"/>
        <v>8.6512860979999981</v>
      </c>
    </row>
    <row r="350" spans="6:57">
      <c r="F350" s="9"/>
      <c r="G350" s="22">
        <v>-1.20544E-2</v>
      </c>
      <c r="H350" s="22">
        <v>110.502</v>
      </c>
      <c r="I350" s="22">
        <v>-1.8127399999999998E-2</v>
      </c>
      <c r="J350" s="22">
        <v>340</v>
      </c>
      <c r="K350" s="22">
        <v>-1.22101E-2</v>
      </c>
      <c r="L350">
        <f t="shared" si="60"/>
        <v>18.127399999999998</v>
      </c>
      <c r="M350">
        <f t="shared" si="61"/>
        <v>-0.21851493055999996</v>
      </c>
      <c r="N350" s="9"/>
      <c r="O350" s="22">
        <v>1.61209</v>
      </c>
      <c r="P350" s="22">
        <v>225.41900000000001</v>
      </c>
      <c r="Q350" s="22">
        <v>-7.7789299999999999E-3</v>
      </c>
      <c r="R350" s="22">
        <v>340</v>
      </c>
      <c r="S350" s="22">
        <v>1.6113299999999999</v>
      </c>
      <c r="T350">
        <f t="shared" si="62"/>
        <v>7.7789299999999999</v>
      </c>
      <c r="U350">
        <f t="shared" si="63"/>
        <v>12.540335263699999</v>
      </c>
      <c r="X350" s="9"/>
      <c r="Y350" s="22">
        <v>-1.20544E-2</v>
      </c>
      <c r="Z350" s="22">
        <v>328.40600000000001</v>
      </c>
      <c r="AA350" s="22">
        <v>-1.8115200000000001E-2</v>
      </c>
      <c r="AB350" s="22">
        <v>340</v>
      </c>
      <c r="AC350" s="22">
        <v>-1.2423699999999999E-2</v>
      </c>
      <c r="AD350">
        <f t="shared" si="64"/>
        <v>18.115200000000002</v>
      </c>
      <c r="AE350">
        <f t="shared" si="65"/>
        <v>-0.21836786688000001</v>
      </c>
      <c r="AF350" s="9"/>
      <c r="AG350" s="22">
        <v>1.61209</v>
      </c>
      <c r="AH350" s="22">
        <v>388.98500000000001</v>
      </c>
      <c r="AI350" s="22">
        <v>-4.0374800000000004E-3</v>
      </c>
      <c r="AJ350" s="22">
        <v>340</v>
      </c>
      <c r="AK350" s="22">
        <v>1.6107199999999999</v>
      </c>
      <c r="AL350">
        <f t="shared" si="66"/>
        <v>4.0374800000000004</v>
      </c>
      <c r="AM350">
        <f t="shared" si="67"/>
        <v>6.5087811332000012</v>
      </c>
      <c r="AP350" s="9"/>
      <c r="AQ350" s="22">
        <v>-1.20544E-2</v>
      </c>
      <c r="AR350" s="22">
        <v>524.76300000000003</v>
      </c>
      <c r="AS350" s="22">
        <v>-1.8060300000000001E-2</v>
      </c>
      <c r="AT350" s="22">
        <v>340</v>
      </c>
      <c r="AU350" s="22">
        <v>-1.21338E-2</v>
      </c>
      <c r="AV350">
        <f t="shared" si="68"/>
        <v>18.060300000000002</v>
      </c>
      <c r="AW350">
        <f t="shared" si="69"/>
        <v>-0.21770608032000002</v>
      </c>
      <c r="AX350" s="9"/>
      <c r="AY350" s="22">
        <v>1.61209</v>
      </c>
      <c r="AZ350" s="22">
        <v>647.12</v>
      </c>
      <c r="BA350" s="22">
        <v>-5.1147500000000004E-3</v>
      </c>
      <c r="BB350" s="22">
        <v>340</v>
      </c>
      <c r="BC350" s="22">
        <v>1.6107199999999999</v>
      </c>
      <c r="BD350">
        <f t="shared" si="70"/>
        <v>5.1147500000000008</v>
      </c>
      <c r="BE350">
        <f t="shared" si="71"/>
        <v>8.2454373275000012</v>
      </c>
    </row>
    <row r="351" spans="6:57">
      <c r="F351" s="9"/>
      <c r="G351" s="22">
        <v>-1.7089799999999999E-2</v>
      </c>
      <c r="H351" s="22">
        <v>110.60299999999999</v>
      </c>
      <c r="I351" s="22">
        <v>-1.8136599999999999E-2</v>
      </c>
      <c r="J351" s="22">
        <v>341</v>
      </c>
      <c r="K351" s="22">
        <v>-1.71112E-2</v>
      </c>
      <c r="L351">
        <f t="shared" si="60"/>
        <v>18.136599999999998</v>
      </c>
      <c r="M351">
        <f t="shared" si="61"/>
        <v>-0.30995086667999994</v>
      </c>
      <c r="N351" s="9"/>
      <c r="O351" s="22">
        <v>1.61713</v>
      </c>
      <c r="P351" s="22">
        <v>225.52</v>
      </c>
      <c r="Q351" s="22">
        <v>-7.2418200000000004E-3</v>
      </c>
      <c r="R351" s="22">
        <v>341</v>
      </c>
      <c r="S351" s="22">
        <v>1.6155999999999999</v>
      </c>
      <c r="T351">
        <f t="shared" si="62"/>
        <v>7.2418200000000006</v>
      </c>
      <c r="U351">
        <f t="shared" si="63"/>
        <v>11.7109643766</v>
      </c>
      <c r="X351" s="9"/>
      <c r="Y351" s="22">
        <v>-1.7089799999999999E-2</v>
      </c>
      <c r="Z351" s="22">
        <v>328.50599999999997</v>
      </c>
      <c r="AA351" s="22">
        <v>-1.81213E-2</v>
      </c>
      <c r="AB351" s="22">
        <v>341</v>
      </c>
      <c r="AC351" s="22">
        <v>-1.71509E-2</v>
      </c>
      <c r="AD351">
        <f t="shared" si="64"/>
        <v>18.121300000000002</v>
      </c>
      <c r="AE351">
        <f t="shared" si="65"/>
        <v>-0.30968939274000001</v>
      </c>
      <c r="AF351" s="9"/>
      <c r="AG351" s="22">
        <v>1.61713</v>
      </c>
      <c r="AH351" s="22">
        <v>389.08499999999998</v>
      </c>
      <c r="AI351" s="22">
        <v>-3.7008700000000002E-3</v>
      </c>
      <c r="AJ351" s="22">
        <v>341</v>
      </c>
      <c r="AK351" s="22">
        <v>1.6162099999999999</v>
      </c>
      <c r="AL351">
        <f t="shared" si="66"/>
        <v>3.7008700000000001</v>
      </c>
      <c r="AM351">
        <f t="shared" si="67"/>
        <v>5.9847879031</v>
      </c>
      <c r="AP351" s="9"/>
      <c r="AQ351" s="22">
        <v>-1.7089799999999999E-2</v>
      </c>
      <c r="AR351" s="22">
        <v>524.86400000000003</v>
      </c>
      <c r="AS351" s="22">
        <v>-1.8054199999999999E-2</v>
      </c>
      <c r="AT351" s="22">
        <v>341</v>
      </c>
      <c r="AU351" s="22">
        <v>-1.7129499999999999E-2</v>
      </c>
      <c r="AV351">
        <f t="shared" si="68"/>
        <v>18.054199999999998</v>
      </c>
      <c r="AW351">
        <f t="shared" si="69"/>
        <v>-0.30854266715999995</v>
      </c>
      <c r="AX351" s="9"/>
      <c r="AY351" s="22">
        <v>1.61713</v>
      </c>
      <c r="AZ351" s="22">
        <v>647.221</v>
      </c>
      <c r="BA351" s="22">
        <v>-4.8181200000000004E-3</v>
      </c>
      <c r="BB351" s="22">
        <v>341</v>
      </c>
      <c r="BC351" s="22">
        <v>1.61652</v>
      </c>
      <c r="BD351">
        <f t="shared" si="70"/>
        <v>4.8181200000000004</v>
      </c>
      <c r="BE351">
        <f t="shared" si="71"/>
        <v>7.7915263956</v>
      </c>
    </row>
    <row r="352" spans="6:57">
      <c r="F352" s="9"/>
      <c r="G352" s="22">
        <v>-2.2125200000000001E-2</v>
      </c>
      <c r="H352" s="22">
        <v>110.703</v>
      </c>
      <c r="I352" s="22">
        <v>-1.8139599999999999E-2</v>
      </c>
      <c r="J352" s="22">
        <v>342</v>
      </c>
      <c r="K352" s="22">
        <v>-2.2247300000000001E-2</v>
      </c>
      <c r="L352">
        <f t="shared" si="60"/>
        <v>18.139599999999998</v>
      </c>
      <c r="M352">
        <f t="shared" si="61"/>
        <v>-0.40134227791999999</v>
      </c>
      <c r="N352" s="9"/>
      <c r="O352" s="22">
        <v>1.62216</v>
      </c>
      <c r="P352" s="22">
        <v>225.62</v>
      </c>
      <c r="Q352" s="22">
        <v>-6.8420399999999998E-3</v>
      </c>
      <c r="R352" s="22">
        <v>342</v>
      </c>
      <c r="S352" s="22">
        <v>1.62201</v>
      </c>
      <c r="T352">
        <f t="shared" si="62"/>
        <v>6.8420399999999999</v>
      </c>
      <c r="U352">
        <f t="shared" si="63"/>
        <v>11.098883606399999</v>
      </c>
      <c r="X352" s="9"/>
      <c r="Y352" s="22">
        <v>-2.2125200000000001E-2</v>
      </c>
      <c r="Z352" s="22">
        <v>328.60700000000003</v>
      </c>
      <c r="AA352" s="22">
        <v>-1.8127399999999998E-2</v>
      </c>
      <c r="AB352" s="22">
        <v>342</v>
      </c>
      <c r="AC352" s="22">
        <v>-2.2296099999999999E-2</v>
      </c>
      <c r="AD352">
        <f t="shared" si="64"/>
        <v>18.127399999999998</v>
      </c>
      <c r="AE352">
        <f t="shared" si="65"/>
        <v>-0.40107235047999995</v>
      </c>
      <c r="AF352" s="9"/>
      <c r="AG352" s="22">
        <v>1.62216</v>
      </c>
      <c r="AH352" s="22">
        <v>389.18599999999998</v>
      </c>
      <c r="AI352" s="22">
        <v>-3.3425899999999999E-3</v>
      </c>
      <c r="AJ352" s="22">
        <v>342</v>
      </c>
      <c r="AK352" s="22">
        <v>1.6214</v>
      </c>
      <c r="AL352">
        <f t="shared" si="66"/>
        <v>3.34259</v>
      </c>
      <c r="AM352">
        <f t="shared" si="67"/>
        <v>5.4222157944000005</v>
      </c>
      <c r="AP352" s="9"/>
      <c r="AQ352" s="22">
        <v>-2.2125200000000001E-2</v>
      </c>
      <c r="AR352" s="22">
        <v>524.96400000000006</v>
      </c>
      <c r="AS352" s="22">
        <v>-1.8060300000000001E-2</v>
      </c>
      <c r="AT352" s="22">
        <v>342</v>
      </c>
      <c r="AU352" s="22">
        <v>-2.2158799999999999E-2</v>
      </c>
      <c r="AV352">
        <f t="shared" si="68"/>
        <v>18.060300000000002</v>
      </c>
      <c r="AW352">
        <f t="shared" si="69"/>
        <v>-0.39958774956000004</v>
      </c>
      <c r="AX352" s="9"/>
      <c r="AY352" s="22">
        <v>1.62216</v>
      </c>
      <c r="AZ352" s="22">
        <v>647.32100000000003</v>
      </c>
      <c r="BA352" s="22">
        <v>-4.5074499999999997E-3</v>
      </c>
      <c r="BB352" s="22">
        <v>342</v>
      </c>
      <c r="BC352" s="22">
        <v>1.6214</v>
      </c>
      <c r="BD352">
        <f t="shared" si="70"/>
        <v>4.5074499999999995</v>
      </c>
      <c r="BE352">
        <f t="shared" si="71"/>
        <v>7.3118050919999993</v>
      </c>
    </row>
    <row r="353" spans="6:57">
      <c r="F353" s="9"/>
      <c r="G353" s="22">
        <v>-2.71606E-2</v>
      </c>
      <c r="H353" s="22">
        <v>110.804</v>
      </c>
      <c r="I353" s="22">
        <v>-1.8136599999999999E-2</v>
      </c>
      <c r="J353" s="22">
        <v>343</v>
      </c>
      <c r="K353" s="22">
        <v>-2.7386500000000001E-2</v>
      </c>
      <c r="L353">
        <f t="shared" si="60"/>
        <v>18.136599999999998</v>
      </c>
      <c r="M353">
        <f t="shared" si="61"/>
        <v>-0.49260093795999993</v>
      </c>
      <c r="N353" s="9"/>
      <c r="O353" s="22">
        <v>1.6272</v>
      </c>
      <c r="P353" s="22">
        <v>225.721</v>
      </c>
      <c r="Q353" s="22">
        <v>-6.4514200000000002E-3</v>
      </c>
      <c r="R353" s="22">
        <v>343</v>
      </c>
      <c r="S353" s="22">
        <v>1.6262799999999999</v>
      </c>
      <c r="T353">
        <f t="shared" si="62"/>
        <v>6.4514200000000006</v>
      </c>
      <c r="U353">
        <f t="shared" si="63"/>
        <v>10.497750624</v>
      </c>
      <c r="X353" s="9"/>
      <c r="Y353" s="22">
        <v>-2.71606E-2</v>
      </c>
      <c r="Z353" s="22">
        <v>328.70800000000003</v>
      </c>
      <c r="AA353" s="22">
        <v>-1.8127399999999998E-2</v>
      </c>
      <c r="AB353" s="22">
        <v>343</v>
      </c>
      <c r="AC353" s="22">
        <v>-2.72003E-2</v>
      </c>
      <c r="AD353">
        <f t="shared" si="64"/>
        <v>18.127399999999998</v>
      </c>
      <c r="AE353">
        <f t="shared" si="65"/>
        <v>-0.49235106043999993</v>
      </c>
      <c r="AF353" s="9"/>
      <c r="AG353" s="22">
        <v>1.6272</v>
      </c>
      <c r="AH353" s="22">
        <v>389.28699999999998</v>
      </c>
      <c r="AI353" s="22">
        <v>-2.94342E-3</v>
      </c>
      <c r="AJ353" s="22">
        <v>343</v>
      </c>
      <c r="AK353" s="22">
        <v>1.6256699999999999</v>
      </c>
      <c r="AL353">
        <f t="shared" si="66"/>
        <v>2.9434200000000001</v>
      </c>
      <c r="AM353">
        <f t="shared" si="67"/>
        <v>4.7895330239999998</v>
      </c>
      <c r="AP353" s="9"/>
      <c r="AQ353" s="22">
        <v>-2.71606E-2</v>
      </c>
      <c r="AR353" s="22">
        <v>525.06500000000005</v>
      </c>
      <c r="AS353" s="22">
        <v>-1.80389E-2</v>
      </c>
      <c r="AT353" s="22">
        <v>343</v>
      </c>
      <c r="AU353" s="22">
        <v>-2.7029399999999999E-2</v>
      </c>
      <c r="AV353">
        <f t="shared" si="68"/>
        <v>18.038900000000002</v>
      </c>
      <c r="AW353">
        <f t="shared" si="69"/>
        <v>-0.48994734734000006</v>
      </c>
      <c r="AX353" s="9"/>
      <c r="AY353" s="22">
        <v>1.6272</v>
      </c>
      <c r="AZ353" s="22">
        <v>647.42200000000003</v>
      </c>
      <c r="BA353" s="22">
        <v>-4.2132599999999999E-3</v>
      </c>
      <c r="BB353" s="22">
        <v>343</v>
      </c>
      <c r="BC353" s="22">
        <v>1.62659</v>
      </c>
      <c r="BD353">
        <f t="shared" si="70"/>
        <v>4.21326</v>
      </c>
      <c r="BE353">
        <f t="shared" si="71"/>
        <v>6.8558166719999996</v>
      </c>
    </row>
    <row r="354" spans="6:57">
      <c r="F354" s="9"/>
      <c r="G354" s="22">
        <v>-3.2196000000000002E-2</v>
      </c>
      <c r="H354" s="22">
        <v>110.905</v>
      </c>
      <c r="I354" s="22">
        <v>-1.81458E-2</v>
      </c>
      <c r="J354" s="22">
        <v>344</v>
      </c>
      <c r="K354" s="22">
        <v>-3.2391400000000001E-2</v>
      </c>
      <c r="L354">
        <f t="shared" si="60"/>
        <v>18.145800000000001</v>
      </c>
      <c r="M354">
        <f t="shared" si="61"/>
        <v>-0.5842221768000001</v>
      </c>
      <c r="N354" s="9"/>
      <c r="O354" s="22">
        <v>1.6322300000000001</v>
      </c>
      <c r="P354" s="22">
        <v>225.822</v>
      </c>
      <c r="Q354" s="22">
        <v>-5.9204100000000001E-3</v>
      </c>
      <c r="R354" s="22">
        <v>344</v>
      </c>
      <c r="S354" s="22">
        <v>1.63208</v>
      </c>
      <c r="T354">
        <f t="shared" si="62"/>
        <v>5.9204100000000004</v>
      </c>
      <c r="U354">
        <f t="shared" si="63"/>
        <v>9.6634708143000019</v>
      </c>
      <c r="X354" s="9"/>
      <c r="Y354" s="22">
        <v>-3.2196000000000002E-2</v>
      </c>
      <c r="Z354" s="22">
        <v>328.80799999999999</v>
      </c>
      <c r="AA354" s="22">
        <v>-1.8130500000000001E-2</v>
      </c>
      <c r="AB354" s="22">
        <v>344</v>
      </c>
      <c r="AC354" s="22">
        <v>-3.24249E-2</v>
      </c>
      <c r="AD354">
        <f t="shared" si="64"/>
        <v>18.130500000000001</v>
      </c>
      <c r="AE354">
        <f t="shared" si="65"/>
        <v>-0.58372957800000014</v>
      </c>
      <c r="AF354" s="9"/>
      <c r="AG354" s="22">
        <v>1.6322300000000001</v>
      </c>
      <c r="AH354" s="22">
        <v>389.387</v>
      </c>
      <c r="AI354" s="22">
        <v>-2.6959200000000001E-3</v>
      </c>
      <c r="AJ354" s="22">
        <v>344</v>
      </c>
      <c r="AK354" s="22">
        <v>1.63147</v>
      </c>
      <c r="AL354">
        <f t="shared" si="66"/>
        <v>2.6959200000000001</v>
      </c>
      <c r="AM354">
        <f t="shared" si="67"/>
        <v>4.4003615015999999</v>
      </c>
      <c r="AP354" s="9"/>
      <c r="AQ354" s="22">
        <v>-3.2196000000000002E-2</v>
      </c>
      <c r="AR354" s="22">
        <v>525.16600000000005</v>
      </c>
      <c r="AS354" s="22">
        <v>-1.80786E-2</v>
      </c>
      <c r="AT354" s="22">
        <v>344</v>
      </c>
      <c r="AU354" s="22">
        <v>-3.2653799999999997E-2</v>
      </c>
      <c r="AV354">
        <f t="shared" si="68"/>
        <v>18.078600000000002</v>
      </c>
      <c r="AW354">
        <f t="shared" si="69"/>
        <v>-0.58205860560000011</v>
      </c>
      <c r="AX354" s="9"/>
      <c r="AY354" s="22">
        <v>1.6322300000000001</v>
      </c>
      <c r="AZ354" s="22">
        <v>647.52300000000002</v>
      </c>
      <c r="BA354" s="22">
        <v>-3.9016699999999999E-3</v>
      </c>
      <c r="BB354" s="22">
        <v>344</v>
      </c>
      <c r="BC354" s="22">
        <v>1.6317699999999999</v>
      </c>
      <c r="BD354">
        <f t="shared" si="70"/>
        <v>3.9016699999999997</v>
      </c>
      <c r="BE354">
        <f t="shared" si="71"/>
        <v>6.3684228240999996</v>
      </c>
    </row>
    <row r="355" spans="6:57">
      <c r="F355" s="9"/>
      <c r="G355" s="22">
        <v>-3.7231399999999998E-2</v>
      </c>
      <c r="H355" s="22">
        <v>111.006</v>
      </c>
      <c r="I355" s="22">
        <v>-1.81458E-2</v>
      </c>
      <c r="J355" s="22">
        <v>345</v>
      </c>
      <c r="K355" s="22">
        <v>-3.7524399999999999E-2</v>
      </c>
      <c r="L355">
        <f t="shared" si="60"/>
        <v>18.145800000000001</v>
      </c>
      <c r="M355">
        <f t="shared" si="61"/>
        <v>-0.67559353812</v>
      </c>
      <c r="N355" s="9"/>
      <c r="O355" s="22">
        <v>1.63727</v>
      </c>
      <c r="P355" s="22">
        <v>225.922</v>
      </c>
      <c r="Q355" s="22">
        <v>-5.4443399999999998E-3</v>
      </c>
      <c r="R355" s="22">
        <v>345</v>
      </c>
      <c r="S355" s="22">
        <v>1.63666</v>
      </c>
      <c r="T355">
        <f t="shared" si="62"/>
        <v>5.4443399999999995</v>
      </c>
      <c r="U355">
        <f t="shared" si="63"/>
        <v>8.9138545518000001</v>
      </c>
      <c r="X355" s="9"/>
      <c r="Y355" s="22">
        <v>-3.7231399999999998E-2</v>
      </c>
      <c r="Z355" s="22">
        <v>328.90899999999999</v>
      </c>
      <c r="AA355" s="22">
        <v>-1.81335E-2</v>
      </c>
      <c r="AB355" s="22">
        <v>345</v>
      </c>
      <c r="AC355" s="22">
        <v>-3.7155199999999999E-2</v>
      </c>
      <c r="AD355">
        <f t="shared" si="64"/>
        <v>18.133500000000002</v>
      </c>
      <c r="AE355">
        <f t="shared" si="65"/>
        <v>-0.67513559190000005</v>
      </c>
      <c r="AF355" s="9"/>
      <c r="AG355" s="22">
        <v>1.63727</v>
      </c>
      <c r="AH355" s="22">
        <v>389.488</v>
      </c>
      <c r="AI355" s="22">
        <v>-2.3452799999999999E-3</v>
      </c>
      <c r="AJ355" s="22">
        <v>345</v>
      </c>
      <c r="AK355" s="22">
        <v>1.63666</v>
      </c>
      <c r="AL355">
        <f t="shared" si="66"/>
        <v>2.3452799999999998</v>
      </c>
      <c r="AM355">
        <f t="shared" si="67"/>
        <v>3.8398565855999998</v>
      </c>
      <c r="AP355" s="9"/>
      <c r="AQ355" s="22">
        <v>-3.7231399999999998E-2</v>
      </c>
      <c r="AR355" s="22">
        <v>525.26599999999996</v>
      </c>
      <c r="AS355" s="22">
        <v>-1.8075600000000001E-2</v>
      </c>
      <c r="AT355" s="22">
        <v>345</v>
      </c>
      <c r="AU355" s="22">
        <v>-3.75336E-2</v>
      </c>
      <c r="AV355">
        <f t="shared" si="68"/>
        <v>18.075600000000001</v>
      </c>
      <c r="AW355">
        <f t="shared" si="69"/>
        <v>-0.67297989384000001</v>
      </c>
      <c r="AX355" s="9"/>
      <c r="AY355" s="22">
        <v>1.63727</v>
      </c>
      <c r="AZ355" s="22">
        <v>647.62400000000002</v>
      </c>
      <c r="BA355" s="22">
        <v>-3.56384E-3</v>
      </c>
      <c r="BB355" s="22">
        <v>345</v>
      </c>
      <c r="BC355" s="22">
        <v>1.63635</v>
      </c>
      <c r="BD355">
        <f t="shared" si="70"/>
        <v>3.5638399999999999</v>
      </c>
      <c r="BE355">
        <f t="shared" si="71"/>
        <v>5.8349683167999995</v>
      </c>
    </row>
    <row r="356" spans="6:57">
      <c r="F356" s="9"/>
      <c r="G356" s="22">
        <v>-4.22668E-2</v>
      </c>
      <c r="H356" s="22">
        <v>111.10599999999999</v>
      </c>
      <c r="I356" s="22">
        <v>-1.81488E-2</v>
      </c>
      <c r="J356" s="22">
        <v>346</v>
      </c>
      <c r="K356" s="22">
        <v>-4.2684899999999998E-2</v>
      </c>
      <c r="L356">
        <f t="shared" si="60"/>
        <v>18.148800000000001</v>
      </c>
      <c r="M356">
        <f t="shared" si="61"/>
        <v>-0.76709169984000003</v>
      </c>
      <c r="N356" s="9"/>
      <c r="O356" s="22">
        <v>1.6423000000000001</v>
      </c>
      <c r="P356" s="22">
        <v>226.023</v>
      </c>
      <c r="Q356" s="22">
        <v>-3.9746099999999999E-3</v>
      </c>
      <c r="R356" s="22">
        <v>346</v>
      </c>
      <c r="S356" s="22">
        <v>1.64154</v>
      </c>
      <c r="T356">
        <f t="shared" si="62"/>
        <v>3.9746099999999998</v>
      </c>
      <c r="U356">
        <f t="shared" si="63"/>
        <v>6.5275020030000004</v>
      </c>
      <c r="X356" s="9"/>
      <c r="Y356" s="22">
        <v>-4.22668E-2</v>
      </c>
      <c r="Z356" s="22">
        <v>329.01</v>
      </c>
      <c r="AA356" s="22">
        <v>-1.8130500000000001E-2</v>
      </c>
      <c r="AB356" s="22">
        <v>346</v>
      </c>
      <c r="AC356" s="22">
        <v>-4.25812E-2</v>
      </c>
      <c r="AD356">
        <f t="shared" si="64"/>
        <v>18.130500000000001</v>
      </c>
      <c r="AE356">
        <f t="shared" si="65"/>
        <v>-0.76631821740000006</v>
      </c>
      <c r="AF356" s="9"/>
      <c r="AG356" s="22">
        <v>1.6423000000000001</v>
      </c>
      <c r="AH356" s="22">
        <v>389.589</v>
      </c>
      <c r="AI356" s="22">
        <v>-2.08618E-3</v>
      </c>
      <c r="AJ356" s="22">
        <v>346</v>
      </c>
      <c r="AK356" s="22">
        <v>1.64185</v>
      </c>
      <c r="AL356">
        <f t="shared" si="66"/>
        <v>2.0861800000000001</v>
      </c>
      <c r="AM356">
        <f t="shared" si="67"/>
        <v>3.4261334140000006</v>
      </c>
      <c r="AP356" s="9"/>
      <c r="AQ356" s="22">
        <v>-4.22668E-2</v>
      </c>
      <c r="AR356" s="22">
        <v>525.36699999999996</v>
      </c>
      <c r="AS356" s="22">
        <v>-1.8081699999999999E-2</v>
      </c>
      <c r="AT356" s="22">
        <v>346</v>
      </c>
      <c r="AU356" s="22">
        <v>-4.2333999999999997E-2</v>
      </c>
      <c r="AV356">
        <f t="shared" si="68"/>
        <v>18.081699999999998</v>
      </c>
      <c r="AW356">
        <f t="shared" si="69"/>
        <v>-0.76425559755999994</v>
      </c>
      <c r="AX356" s="9"/>
      <c r="AY356" s="22">
        <v>1.6423000000000001</v>
      </c>
      <c r="AZ356" s="22">
        <v>647.72400000000005</v>
      </c>
      <c r="BA356" s="22">
        <v>-3.2827799999999999E-3</v>
      </c>
      <c r="BB356" s="22">
        <v>346</v>
      </c>
      <c r="BC356" s="22">
        <v>1.64154</v>
      </c>
      <c r="BD356">
        <f t="shared" si="70"/>
        <v>3.2827799999999998</v>
      </c>
      <c r="BE356">
        <f t="shared" si="71"/>
        <v>5.391309594</v>
      </c>
    </row>
    <row r="357" spans="6:57">
      <c r="F357" s="9"/>
      <c r="G357" s="22">
        <v>-4.7302200000000003E-2</v>
      </c>
      <c r="H357" s="22">
        <v>111.20699999999999</v>
      </c>
      <c r="I357" s="22">
        <v>-1.8151899999999999E-2</v>
      </c>
      <c r="J357" s="22">
        <v>347</v>
      </c>
      <c r="K357" s="22">
        <v>-4.7512800000000001E-2</v>
      </c>
      <c r="L357">
        <f t="shared" si="60"/>
        <v>18.151899999999998</v>
      </c>
      <c r="M357">
        <f t="shared" si="61"/>
        <v>-0.85862480417999998</v>
      </c>
      <c r="N357" s="9"/>
      <c r="O357" s="22">
        <v>1.64734</v>
      </c>
      <c r="P357" s="22">
        <v>226.124</v>
      </c>
      <c r="Q357" s="22">
        <v>-3.8238500000000002E-3</v>
      </c>
      <c r="R357" s="22">
        <v>347</v>
      </c>
      <c r="S357" s="22">
        <v>1.64612</v>
      </c>
      <c r="T357">
        <f t="shared" si="62"/>
        <v>3.8238500000000002</v>
      </c>
      <c r="U357">
        <f t="shared" si="63"/>
        <v>6.2991810590000004</v>
      </c>
      <c r="X357" s="9"/>
      <c r="Y357" s="22">
        <v>-4.7302200000000003E-2</v>
      </c>
      <c r="Z357" s="22">
        <v>329.11099999999999</v>
      </c>
      <c r="AA357" s="22">
        <v>-1.81335E-2</v>
      </c>
      <c r="AB357" s="22">
        <v>347</v>
      </c>
      <c r="AC357" s="22">
        <v>-4.7463999999999999E-2</v>
      </c>
      <c r="AD357">
        <f t="shared" si="64"/>
        <v>18.133500000000002</v>
      </c>
      <c r="AE357">
        <f t="shared" si="65"/>
        <v>-0.85775444370000009</v>
      </c>
      <c r="AF357" s="9"/>
      <c r="AG357" s="22">
        <v>1.64734</v>
      </c>
      <c r="AH357" s="22">
        <v>389.69</v>
      </c>
      <c r="AI357" s="22">
        <v>-1.83533E-3</v>
      </c>
      <c r="AJ357" s="22">
        <v>347</v>
      </c>
      <c r="AK357" s="22">
        <v>1.64612</v>
      </c>
      <c r="AL357">
        <f t="shared" si="66"/>
        <v>1.8353300000000001</v>
      </c>
      <c r="AM357">
        <f t="shared" si="67"/>
        <v>3.0234125222000001</v>
      </c>
      <c r="AP357" s="9"/>
      <c r="AQ357" s="22">
        <v>-4.7302200000000003E-2</v>
      </c>
      <c r="AR357" s="22">
        <v>525.46799999999996</v>
      </c>
      <c r="AS357" s="22">
        <v>-1.8087800000000001E-2</v>
      </c>
      <c r="AT357" s="22">
        <v>347</v>
      </c>
      <c r="AU357" s="22">
        <v>-4.7409100000000003E-2</v>
      </c>
      <c r="AV357">
        <f t="shared" si="68"/>
        <v>18.087800000000001</v>
      </c>
      <c r="AW357">
        <f t="shared" si="69"/>
        <v>-0.85559273316000006</v>
      </c>
      <c r="AX357" s="9"/>
      <c r="AY357" s="22">
        <v>1.64734</v>
      </c>
      <c r="AZ357" s="22">
        <v>647.82500000000005</v>
      </c>
      <c r="BA357" s="22">
        <v>-2.9470799999999999E-3</v>
      </c>
      <c r="BB357" s="22">
        <v>347</v>
      </c>
      <c r="BC357" s="22">
        <v>1.64642</v>
      </c>
      <c r="BD357">
        <f t="shared" si="70"/>
        <v>2.9470800000000001</v>
      </c>
      <c r="BE357">
        <f t="shared" si="71"/>
        <v>4.8548427672000001</v>
      </c>
    </row>
    <row r="358" spans="6:57">
      <c r="F358" s="9"/>
      <c r="G358" s="22">
        <v>-5.2337599999999998E-2</v>
      </c>
      <c r="H358" s="22">
        <v>111.30800000000001</v>
      </c>
      <c r="I358" s="22">
        <v>-1.8167099999999999E-2</v>
      </c>
      <c r="J358" s="22">
        <v>348</v>
      </c>
      <c r="K358" s="22">
        <v>-5.3039599999999999E-2</v>
      </c>
      <c r="L358">
        <f t="shared" si="60"/>
        <v>18.167099999999998</v>
      </c>
      <c r="M358">
        <f t="shared" si="61"/>
        <v>-0.95082241295999981</v>
      </c>
      <c r="N358" s="9"/>
      <c r="O358" s="22">
        <v>1.6523699999999999</v>
      </c>
      <c r="P358" s="22">
        <v>226.22499999999999</v>
      </c>
      <c r="Q358" s="22">
        <v>-3.54645E-3</v>
      </c>
      <c r="R358" s="22">
        <v>348</v>
      </c>
      <c r="S358" s="22">
        <v>1.65161</v>
      </c>
      <c r="T358">
        <f t="shared" si="62"/>
        <v>3.5464500000000001</v>
      </c>
      <c r="U358">
        <f t="shared" si="63"/>
        <v>5.8600475864999995</v>
      </c>
      <c r="X358" s="9"/>
      <c r="Y358" s="22">
        <v>-5.2337599999999998E-2</v>
      </c>
      <c r="Z358" s="22">
        <v>329.21100000000001</v>
      </c>
      <c r="AA358" s="22">
        <v>-1.8139599999999999E-2</v>
      </c>
      <c r="AB358" s="22">
        <v>348</v>
      </c>
      <c r="AC358" s="22">
        <v>-5.3222699999999998E-2</v>
      </c>
      <c r="AD358">
        <f t="shared" si="64"/>
        <v>18.139599999999998</v>
      </c>
      <c r="AE358">
        <f t="shared" si="65"/>
        <v>-0.94938312895999988</v>
      </c>
      <c r="AF358" s="9"/>
      <c r="AG358" s="22">
        <v>1.6523699999999999</v>
      </c>
      <c r="AH358" s="22">
        <v>389.79</v>
      </c>
      <c r="AI358" s="22">
        <v>-1.6049199999999999E-3</v>
      </c>
      <c r="AJ358" s="22">
        <v>348</v>
      </c>
      <c r="AK358" s="22">
        <v>1.65161</v>
      </c>
      <c r="AL358">
        <f t="shared" si="66"/>
        <v>1.6049199999999999</v>
      </c>
      <c r="AM358">
        <f t="shared" si="67"/>
        <v>2.6519216603999998</v>
      </c>
      <c r="AP358" s="9"/>
      <c r="AQ358" s="22">
        <v>-5.2337599999999998E-2</v>
      </c>
      <c r="AR358" s="22">
        <v>525.56899999999996</v>
      </c>
      <c r="AS358" s="22">
        <v>-1.8087800000000001E-2</v>
      </c>
      <c r="AT358" s="22">
        <v>348</v>
      </c>
      <c r="AU358" s="22">
        <v>-5.2795399999999999E-2</v>
      </c>
      <c r="AV358">
        <f t="shared" si="68"/>
        <v>18.087800000000001</v>
      </c>
      <c r="AW358">
        <f t="shared" si="69"/>
        <v>-0.94667204128000004</v>
      </c>
      <c r="AX358" s="9"/>
      <c r="AY358" s="22">
        <v>1.6523699999999999</v>
      </c>
      <c r="AZ358" s="22">
        <v>647.92600000000004</v>
      </c>
      <c r="BA358" s="22">
        <v>-2.5994899999999999E-3</v>
      </c>
      <c r="BB358" s="22">
        <v>348</v>
      </c>
      <c r="BC358" s="22">
        <v>1.6519200000000001</v>
      </c>
      <c r="BD358">
        <f t="shared" si="70"/>
        <v>2.5994899999999999</v>
      </c>
      <c r="BE358">
        <f t="shared" si="71"/>
        <v>4.2953192912999993</v>
      </c>
    </row>
    <row r="359" spans="6:57">
      <c r="F359" s="9"/>
      <c r="G359" s="22">
        <v>-5.7373E-2</v>
      </c>
      <c r="H359" s="22">
        <v>111.408</v>
      </c>
      <c r="I359" s="22">
        <v>-1.8167099999999999E-2</v>
      </c>
      <c r="J359" s="22">
        <v>349</v>
      </c>
      <c r="K359" s="22">
        <v>-5.8288600000000003E-2</v>
      </c>
      <c r="L359">
        <f t="shared" si="60"/>
        <v>18.167099999999998</v>
      </c>
      <c r="M359">
        <f t="shared" si="61"/>
        <v>-1.0423010282999998</v>
      </c>
      <c r="N359" s="9"/>
      <c r="O359" s="22">
        <v>1.65741</v>
      </c>
      <c r="P359" s="22">
        <v>226.32499999999999</v>
      </c>
      <c r="Q359" s="22">
        <v>-3.0068999999999999E-3</v>
      </c>
      <c r="R359" s="22">
        <v>349</v>
      </c>
      <c r="S359" s="22">
        <v>1.6568000000000001</v>
      </c>
      <c r="T359">
        <f t="shared" si="62"/>
        <v>3.0068999999999999</v>
      </c>
      <c r="U359">
        <f t="shared" si="63"/>
        <v>4.9836661290000004</v>
      </c>
      <c r="X359" s="9"/>
      <c r="Y359" s="22">
        <v>-5.7373E-2</v>
      </c>
      <c r="Z359" s="22">
        <v>329.31200000000001</v>
      </c>
      <c r="AA359" s="22">
        <v>-1.8142700000000001E-2</v>
      </c>
      <c r="AB359" s="22">
        <v>349</v>
      </c>
      <c r="AC359" s="22">
        <v>-5.7922399999999999E-2</v>
      </c>
      <c r="AD359">
        <f t="shared" si="64"/>
        <v>18.142700000000001</v>
      </c>
      <c r="AE359">
        <f t="shared" si="65"/>
        <v>-1.0409011271000002</v>
      </c>
      <c r="AF359" s="9"/>
      <c r="AG359" s="22">
        <v>1.65741</v>
      </c>
      <c r="AH359" s="22">
        <v>389.89100000000002</v>
      </c>
      <c r="AI359" s="22">
        <v>-1.37787E-3</v>
      </c>
      <c r="AJ359" s="22">
        <v>349</v>
      </c>
      <c r="AK359" s="22">
        <v>1.65649</v>
      </c>
      <c r="AL359">
        <f t="shared" si="66"/>
        <v>1.3778699999999999</v>
      </c>
      <c r="AM359">
        <f t="shared" si="67"/>
        <v>2.2836955166999999</v>
      </c>
      <c r="AP359" s="9"/>
      <c r="AQ359" s="22">
        <v>-5.7373E-2</v>
      </c>
      <c r="AR359" s="22">
        <v>525.66899999999998</v>
      </c>
      <c r="AS359" s="22">
        <v>-1.8100000000000002E-2</v>
      </c>
      <c r="AT359" s="22">
        <v>349</v>
      </c>
      <c r="AU359" s="22">
        <v>-5.7708700000000002E-2</v>
      </c>
      <c r="AV359">
        <f t="shared" si="68"/>
        <v>18.100000000000001</v>
      </c>
      <c r="AW359">
        <f t="shared" si="69"/>
        <v>-1.0384513000000002</v>
      </c>
      <c r="AX359" s="9"/>
      <c r="AY359" s="22">
        <v>1.65741</v>
      </c>
      <c r="AZ359" s="22">
        <v>648.02599999999995</v>
      </c>
      <c r="BA359" s="22">
        <v>-2.2610500000000001E-3</v>
      </c>
      <c r="BB359" s="22">
        <v>349</v>
      </c>
      <c r="BC359" s="22">
        <v>1.6561900000000001</v>
      </c>
      <c r="BD359">
        <f t="shared" si="70"/>
        <v>2.26105</v>
      </c>
      <c r="BE359">
        <f t="shared" si="71"/>
        <v>3.7474868805000003</v>
      </c>
    </row>
    <row r="360" spans="6:57">
      <c r="F360" s="9"/>
      <c r="G360" s="22">
        <v>-6.2408400000000003E-2</v>
      </c>
      <c r="H360" s="22">
        <v>111.509</v>
      </c>
      <c r="I360" s="22">
        <v>-1.81732E-2</v>
      </c>
      <c r="J360" s="22">
        <v>350</v>
      </c>
      <c r="K360" s="22">
        <v>-6.2713599999999994E-2</v>
      </c>
      <c r="L360">
        <f t="shared" si="60"/>
        <v>18.173200000000001</v>
      </c>
      <c r="M360">
        <f t="shared" si="61"/>
        <v>-1.1341603348800002</v>
      </c>
      <c r="N360" s="9"/>
      <c r="O360" s="22">
        <v>1.66245</v>
      </c>
      <c r="P360" s="22">
        <v>226.42599999999999</v>
      </c>
      <c r="Q360" s="22">
        <v>-2.6174900000000001E-3</v>
      </c>
      <c r="R360" s="22">
        <v>350</v>
      </c>
      <c r="S360" s="22">
        <v>1.6613800000000001</v>
      </c>
      <c r="T360">
        <f t="shared" si="62"/>
        <v>2.6174900000000001</v>
      </c>
      <c r="U360">
        <f t="shared" si="63"/>
        <v>4.3514462505000004</v>
      </c>
      <c r="X360" s="9"/>
      <c r="Y360" s="22">
        <v>-6.2408400000000003E-2</v>
      </c>
      <c r="Z360" s="22">
        <v>329.41300000000001</v>
      </c>
      <c r="AA360" s="22">
        <v>-1.81458E-2</v>
      </c>
      <c r="AB360" s="22">
        <v>350</v>
      </c>
      <c r="AC360" s="22">
        <v>-6.28967E-2</v>
      </c>
      <c r="AD360">
        <f t="shared" si="64"/>
        <v>18.145800000000001</v>
      </c>
      <c r="AE360">
        <f t="shared" si="65"/>
        <v>-1.1324503447200001</v>
      </c>
      <c r="AF360" s="9"/>
      <c r="AG360" s="22">
        <v>1.66245</v>
      </c>
      <c r="AH360" s="22">
        <v>389.99200000000002</v>
      </c>
      <c r="AI360" s="22">
        <v>-1.1584500000000001E-3</v>
      </c>
      <c r="AJ360" s="22">
        <v>350</v>
      </c>
      <c r="AK360" s="22">
        <v>1.66168</v>
      </c>
      <c r="AL360">
        <f t="shared" si="66"/>
        <v>1.1584500000000002</v>
      </c>
      <c r="AM360">
        <f t="shared" si="67"/>
        <v>1.9258652025000003</v>
      </c>
      <c r="AP360" s="9"/>
      <c r="AQ360" s="22">
        <v>-6.2408400000000003E-2</v>
      </c>
      <c r="AR360" s="22">
        <v>525.77</v>
      </c>
      <c r="AS360" s="22">
        <v>-1.8090800000000001E-2</v>
      </c>
      <c r="AT360" s="22">
        <v>350</v>
      </c>
      <c r="AU360" s="22">
        <v>-6.26221E-2</v>
      </c>
      <c r="AV360">
        <f t="shared" si="68"/>
        <v>18.090800000000002</v>
      </c>
      <c r="AW360">
        <f t="shared" si="69"/>
        <v>-1.1290178827200001</v>
      </c>
      <c r="AX360" s="9"/>
      <c r="AY360" s="22">
        <v>1.66245</v>
      </c>
      <c r="AZ360" s="22">
        <v>648.12699999999995</v>
      </c>
      <c r="BA360" s="22">
        <v>-1.9162000000000001E-3</v>
      </c>
      <c r="BB360" s="22">
        <v>350</v>
      </c>
      <c r="BC360" s="22">
        <v>1.6613800000000001</v>
      </c>
      <c r="BD360">
        <f t="shared" si="70"/>
        <v>1.9162000000000001</v>
      </c>
      <c r="BE360">
        <f t="shared" si="71"/>
        <v>3.1855866900000001</v>
      </c>
    </row>
    <row r="361" spans="6:57">
      <c r="F361" s="9"/>
      <c r="G361" s="22">
        <v>-6.7443799999999998E-2</v>
      </c>
      <c r="H361" s="22">
        <v>111.61</v>
      </c>
      <c r="I361" s="22">
        <v>-1.8164099999999999E-2</v>
      </c>
      <c r="J361" s="22">
        <v>351</v>
      </c>
      <c r="K361" s="22">
        <v>-6.7962599999999998E-2</v>
      </c>
      <c r="L361">
        <f t="shared" si="60"/>
        <v>18.164099999999998</v>
      </c>
      <c r="M361">
        <f t="shared" si="61"/>
        <v>-1.2250559275799997</v>
      </c>
      <c r="N361" s="9"/>
      <c r="O361" s="22">
        <v>1.6674800000000001</v>
      </c>
      <c r="P361" s="22">
        <v>226.52699999999999</v>
      </c>
      <c r="Q361" s="22">
        <v>-1.94702E-3</v>
      </c>
      <c r="R361" s="22">
        <v>351</v>
      </c>
      <c r="S361" s="22">
        <v>1.66656</v>
      </c>
      <c r="T361">
        <f t="shared" si="62"/>
        <v>1.94702</v>
      </c>
      <c r="U361">
        <f t="shared" si="63"/>
        <v>3.2466169096000002</v>
      </c>
      <c r="X361" s="9"/>
      <c r="Y361" s="22">
        <v>-6.7443799999999998E-2</v>
      </c>
      <c r="Z361" s="22">
        <v>329.51299999999998</v>
      </c>
      <c r="AA361" s="22">
        <v>-1.8142700000000001E-2</v>
      </c>
      <c r="AB361" s="22">
        <v>351</v>
      </c>
      <c r="AC361" s="22">
        <v>-6.8084699999999998E-2</v>
      </c>
      <c r="AD361">
        <f t="shared" si="64"/>
        <v>18.142700000000001</v>
      </c>
      <c r="AE361">
        <f t="shared" si="65"/>
        <v>-1.2236126302600001</v>
      </c>
      <c r="AF361" s="9"/>
      <c r="AG361" s="22">
        <v>1.6674800000000001</v>
      </c>
      <c r="AH361" s="22">
        <v>390.09199999999998</v>
      </c>
      <c r="AI361" s="22">
        <v>-9.1735799999999995E-4</v>
      </c>
      <c r="AJ361" s="22">
        <v>351</v>
      </c>
      <c r="AK361" s="22">
        <v>1.66656</v>
      </c>
      <c r="AL361">
        <f t="shared" si="66"/>
        <v>0.91735800000000001</v>
      </c>
      <c r="AM361">
        <f t="shared" si="67"/>
        <v>1.52967611784</v>
      </c>
      <c r="AP361" s="9"/>
      <c r="AQ361" s="22">
        <v>-6.7443799999999998E-2</v>
      </c>
      <c r="AR361" s="22">
        <v>525.87099999999998</v>
      </c>
      <c r="AS361" s="22">
        <v>-1.8100000000000002E-2</v>
      </c>
      <c r="AT361" s="22">
        <v>351</v>
      </c>
      <c r="AU361" s="22">
        <v>-6.7840600000000001E-2</v>
      </c>
      <c r="AV361">
        <f t="shared" si="68"/>
        <v>18.100000000000001</v>
      </c>
      <c r="AW361">
        <f t="shared" si="69"/>
        <v>-1.2207327800000001</v>
      </c>
      <c r="AX361" s="9"/>
      <c r="AY361" s="22">
        <v>1.6674800000000001</v>
      </c>
      <c r="AZ361" s="22">
        <v>648.22799999999995</v>
      </c>
      <c r="BA361" s="22">
        <v>-1.5658600000000001E-3</v>
      </c>
      <c r="BB361" s="22">
        <v>351</v>
      </c>
      <c r="BC361" s="22">
        <v>1.6668700000000001</v>
      </c>
      <c r="BD361">
        <f t="shared" si="70"/>
        <v>1.56586</v>
      </c>
      <c r="BE361">
        <f t="shared" si="71"/>
        <v>2.6110402328000002</v>
      </c>
    </row>
    <row r="362" spans="6:57">
      <c r="F362" s="9"/>
      <c r="G362" s="22">
        <v>-7.2479199999999994E-2</v>
      </c>
      <c r="H362" s="22">
        <v>111.71</v>
      </c>
      <c r="I362" s="22">
        <v>-1.8170200000000001E-2</v>
      </c>
      <c r="J362" s="22">
        <v>352</v>
      </c>
      <c r="K362" s="22">
        <v>-7.2997999999999993E-2</v>
      </c>
      <c r="L362">
        <f t="shared" si="60"/>
        <v>18.170200000000001</v>
      </c>
      <c r="M362">
        <f t="shared" si="61"/>
        <v>-1.31696155984</v>
      </c>
      <c r="N362" s="9"/>
      <c r="O362" s="22">
        <v>1.67252</v>
      </c>
      <c r="P362" s="22">
        <v>226.62700000000001</v>
      </c>
      <c r="Q362" s="22">
        <v>-1.4382900000000001E-3</v>
      </c>
      <c r="R362" s="22">
        <v>352</v>
      </c>
      <c r="S362" s="22">
        <v>1.6714500000000001</v>
      </c>
      <c r="T362">
        <f t="shared" si="62"/>
        <v>1.4382900000000001</v>
      </c>
      <c r="U362">
        <f t="shared" si="63"/>
        <v>2.4055687908000003</v>
      </c>
      <c r="X362" s="9"/>
      <c r="Y362" s="22">
        <v>-7.2479199999999994E-2</v>
      </c>
      <c r="Z362" s="22">
        <v>329.61399999999998</v>
      </c>
      <c r="AA362" s="22">
        <v>-1.8151899999999999E-2</v>
      </c>
      <c r="AB362" s="22">
        <v>352</v>
      </c>
      <c r="AC362" s="22">
        <v>-7.3120099999999993E-2</v>
      </c>
      <c r="AD362">
        <f t="shared" si="64"/>
        <v>18.151899999999998</v>
      </c>
      <c r="AE362">
        <f t="shared" si="65"/>
        <v>-1.3156351904799997</v>
      </c>
      <c r="AF362" s="9"/>
      <c r="AG362" s="22">
        <v>1.67252</v>
      </c>
      <c r="AH362" s="22">
        <v>390.19299999999998</v>
      </c>
      <c r="AI362" s="22">
        <v>-6.8023699999999999E-4</v>
      </c>
      <c r="AJ362" s="22">
        <v>352</v>
      </c>
      <c r="AK362" s="22">
        <v>1.6723600000000001</v>
      </c>
      <c r="AL362">
        <f t="shared" si="66"/>
        <v>0.68023699999999998</v>
      </c>
      <c r="AM362">
        <f t="shared" si="67"/>
        <v>1.1377099872400001</v>
      </c>
      <c r="AP362" s="9"/>
      <c r="AQ362" s="22">
        <v>-7.2479199999999994E-2</v>
      </c>
      <c r="AR362" s="22">
        <v>525.971</v>
      </c>
      <c r="AS362" s="22">
        <v>-1.8100000000000002E-2</v>
      </c>
      <c r="AT362" s="22">
        <v>352</v>
      </c>
      <c r="AU362" s="22">
        <v>-7.3333700000000002E-2</v>
      </c>
      <c r="AV362">
        <f t="shared" si="68"/>
        <v>18.100000000000001</v>
      </c>
      <c r="AW362">
        <f t="shared" si="69"/>
        <v>-1.31187352</v>
      </c>
      <c r="AX362" s="9"/>
      <c r="AY362" s="22">
        <v>1.67252</v>
      </c>
      <c r="AZ362" s="22">
        <v>648.32899999999995</v>
      </c>
      <c r="BA362" s="22">
        <v>-1.1697400000000001E-3</v>
      </c>
      <c r="BB362" s="22">
        <v>352</v>
      </c>
      <c r="BC362" s="22">
        <v>1.6720600000000001</v>
      </c>
      <c r="BD362">
        <f t="shared" si="70"/>
        <v>1.16974</v>
      </c>
      <c r="BE362">
        <f t="shared" si="71"/>
        <v>1.9564135448</v>
      </c>
    </row>
    <row r="363" spans="6:57">
      <c r="F363" s="9"/>
      <c r="G363" s="22">
        <v>-7.7514600000000003E-2</v>
      </c>
      <c r="H363" s="22">
        <v>111.81100000000001</v>
      </c>
      <c r="I363" s="22">
        <v>-1.81732E-2</v>
      </c>
      <c r="J363" s="22">
        <v>353</v>
      </c>
      <c r="K363" s="22">
        <v>-7.7758800000000003E-2</v>
      </c>
      <c r="L363">
        <f t="shared" si="60"/>
        <v>18.173200000000001</v>
      </c>
      <c r="M363">
        <f t="shared" si="61"/>
        <v>-1.40868832872</v>
      </c>
      <c r="N363" s="9"/>
      <c r="O363" s="22">
        <v>1.6775500000000001</v>
      </c>
      <c r="P363" s="22">
        <v>226.72800000000001</v>
      </c>
      <c r="Q363" s="22">
        <v>-8.1603999999999997E-4</v>
      </c>
      <c r="R363" s="22">
        <v>353</v>
      </c>
      <c r="S363" s="22">
        <v>1.6766399999999999</v>
      </c>
      <c r="T363">
        <f t="shared" si="62"/>
        <v>0.81603999999999999</v>
      </c>
      <c r="U363">
        <f t="shared" si="63"/>
        <v>1.3689479020000002</v>
      </c>
      <c r="X363" s="9"/>
      <c r="Y363" s="22">
        <v>-7.7514600000000003E-2</v>
      </c>
      <c r="Z363" s="22">
        <v>329.71499999999997</v>
      </c>
      <c r="AA363" s="22">
        <v>-1.8158000000000001E-2</v>
      </c>
      <c r="AB363" s="22">
        <v>353</v>
      </c>
      <c r="AC363" s="22">
        <v>-7.7667200000000006E-2</v>
      </c>
      <c r="AD363">
        <f t="shared" si="64"/>
        <v>18.158000000000001</v>
      </c>
      <c r="AE363">
        <f t="shared" si="65"/>
        <v>-1.4075101068000002</v>
      </c>
      <c r="AF363" s="9"/>
      <c r="AG363" s="22">
        <v>1.6775500000000001</v>
      </c>
      <c r="AH363" s="22">
        <v>390.29399999999998</v>
      </c>
      <c r="AI363" s="22">
        <v>-4.4839499999999998E-4</v>
      </c>
      <c r="AJ363" s="22">
        <v>353</v>
      </c>
      <c r="AK363" s="22">
        <v>1.6763300000000001</v>
      </c>
      <c r="AL363">
        <f t="shared" si="66"/>
        <v>0.44839499999999999</v>
      </c>
      <c r="AM363">
        <f t="shared" si="67"/>
        <v>0.75220503225000002</v>
      </c>
      <c r="AP363" s="9"/>
      <c r="AQ363" s="22">
        <v>-7.7514600000000003E-2</v>
      </c>
      <c r="AR363" s="22">
        <v>526.072</v>
      </c>
      <c r="AS363" s="22">
        <v>-1.8103000000000001E-2</v>
      </c>
      <c r="AT363" s="22">
        <v>353</v>
      </c>
      <c r="AU363" s="22">
        <v>-7.8125E-2</v>
      </c>
      <c r="AV363">
        <f t="shared" si="68"/>
        <v>18.103000000000002</v>
      </c>
      <c r="AW363">
        <f t="shared" si="69"/>
        <v>-1.4032468038000001</v>
      </c>
      <c r="AX363" s="9"/>
      <c r="AY363" s="22">
        <v>1.6775500000000001</v>
      </c>
      <c r="AZ363" s="22">
        <v>648.42899999999997</v>
      </c>
      <c r="BA363" s="22">
        <v>-8.1817599999999999E-4</v>
      </c>
      <c r="BB363" s="22">
        <v>353</v>
      </c>
      <c r="BC363" s="22">
        <v>1.6769400000000001</v>
      </c>
      <c r="BD363">
        <f t="shared" si="70"/>
        <v>0.81817600000000001</v>
      </c>
      <c r="BE363">
        <f t="shared" si="71"/>
        <v>1.3725311488</v>
      </c>
    </row>
    <row r="364" spans="6:57">
      <c r="F364" s="9"/>
      <c r="G364" s="22">
        <v>-8.2549999999999998E-2</v>
      </c>
      <c r="H364" s="22">
        <v>111.91200000000001</v>
      </c>
      <c r="I364" s="22">
        <v>-1.8176299999999999E-2</v>
      </c>
      <c r="J364" s="22">
        <v>354</v>
      </c>
      <c r="K364" s="22">
        <v>-8.3252000000000007E-2</v>
      </c>
      <c r="L364">
        <f t="shared" si="60"/>
        <v>18.176299999999998</v>
      </c>
      <c r="M364">
        <f t="shared" si="61"/>
        <v>-1.5004535649999997</v>
      </c>
      <c r="N364" s="9"/>
      <c r="O364" s="22">
        <v>1.68259</v>
      </c>
      <c r="P364" s="22">
        <v>226.82900000000001</v>
      </c>
      <c r="Q364" s="22">
        <v>-1.94489E-4</v>
      </c>
      <c r="R364" s="22">
        <v>354</v>
      </c>
      <c r="S364" s="22">
        <v>1.6815199999999999</v>
      </c>
      <c r="T364">
        <f t="shared" si="62"/>
        <v>0.194489</v>
      </c>
      <c r="U364">
        <f t="shared" si="63"/>
        <v>0.32724524650999998</v>
      </c>
      <c r="X364" s="9"/>
      <c r="Y364" s="22">
        <v>-8.2549999999999998E-2</v>
      </c>
      <c r="Z364" s="22">
        <v>329.81599999999997</v>
      </c>
      <c r="AA364" s="22">
        <v>-1.8154900000000002E-2</v>
      </c>
      <c r="AB364" s="22">
        <v>354</v>
      </c>
      <c r="AC364" s="22">
        <v>-8.3038299999999995E-2</v>
      </c>
      <c r="AD364">
        <f t="shared" si="64"/>
        <v>18.154900000000001</v>
      </c>
      <c r="AE364">
        <f t="shared" si="65"/>
        <v>-1.4986869950000001</v>
      </c>
      <c r="AF364" s="9"/>
      <c r="AG364" s="22">
        <v>1.68259</v>
      </c>
      <c r="AH364" s="22">
        <v>390.39499999999998</v>
      </c>
      <c r="AI364" s="22">
        <v>-2.92358E-4</v>
      </c>
      <c r="AJ364" s="22">
        <v>354</v>
      </c>
      <c r="AK364" s="22">
        <v>1.6818200000000001</v>
      </c>
      <c r="AL364">
        <f t="shared" si="66"/>
        <v>0.29235800000000001</v>
      </c>
      <c r="AM364">
        <f t="shared" si="67"/>
        <v>0.49191864722</v>
      </c>
      <c r="AP364" s="9"/>
      <c r="AQ364" s="22">
        <v>-8.2549999999999998E-2</v>
      </c>
      <c r="AR364" s="22">
        <v>526.173</v>
      </c>
      <c r="AS364" s="22">
        <v>-1.8103000000000001E-2</v>
      </c>
      <c r="AT364" s="22">
        <v>354</v>
      </c>
      <c r="AU364" s="22">
        <v>-8.2794199999999998E-2</v>
      </c>
      <c r="AV364">
        <f t="shared" si="68"/>
        <v>18.103000000000002</v>
      </c>
      <c r="AW364">
        <f t="shared" si="69"/>
        <v>-1.4944026500000001</v>
      </c>
      <c r="AX364" s="9"/>
      <c r="AY364" s="22">
        <v>1.68259</v>
      </c>
      <c r="AZ364" s="22">
        <v>648.53</v>
      </c>
      <c r="BA364" s="22">
        <v>-4.4223E-4</v>
      </c>
      <c r="BB364" s="22">
        <v>354</v>
      </c>
      <c r="BC364" s="22">
        <v>1.6818200000000001</v>
      </c>
      <c r="BD364">
        <f t="shared" si="70"/>
        <v>0.44223000000000001</v>
      </c>
      <c r="BE364">
        <f t="shared" si="71"/>
        <v>0.74409177570000007</v>
      </c>
    </row>
    <row r="365" spans="6:57">
      <c r="F365" s="9"/>
      <c r="G365" s="22">
        <v>-8.7585399999999994E-2</v>
      </c>
      <c r="H365" s="22">
        <v>112.01300000000001</v>
      </c>
      <c r="I365" s="22">
        <v>-1.8170200000000001E-2</v>
      </c>
      <c r="J365" s="22">
        <v>355</v>
      </c>
      <c r="K365" s="22">
        <v>-8.7860099999999997E-2</v>
      </c>
      <c r="L365">
        <f t="shared" si="60"/>
        <v>18.170200000000001</v>
      </c>
      <c r="M365">
        <f t="shared" si="61"/>
        <v>-1.59144423508</v>
      </c>
      <c r="N365" s="9"/>
      <c r="O365" s="22">
        <v>1.6876199999999999</v>
      </c>
      <c r="P365" s="22">
        <v>226.93</v>
      </c>
      <c r="Q365" s="22">
        <v>5.3192099999999998E-4</v>
      </c>
      <c r="R365" s="22">
        <v>355</v>
      </c>
      <c r="S365" s="22">
        <v>1.6867099999999999</v>
      </c>
      <c r="T365">
        <f t="shared" si="62"/>
        <v>-0.53192099999999998</v>
      </c>
      <c r="U365">
        <f t="shared" si="63"/>
        <v>-0.89768051801999993</v>
      </c>
      <c r="X365" s="9"/>
      <c r="Y365" s="22">
        <v>-8.7585399999999994E-2</v>
      </c>
      <c r="Z365" s="22">
        <v>329.916</v>
      </c>
      <c r="AA365" s="22">
        <v>-1.8158000000000001E-2</v>
      </c>
      <c r="AB365" s="22">
        <v>355</v>
      </c>
      <c r="AC365" s="22">
        <v>-8.8043200000000002E-2</v>
      </c>
      <c r="AD365">
        <f t="shared" si="64"/>
        <v>18.158000000000001</v>
      </c>
      <c r="AE365">
        <f t="shared" si="65"/>
        <v>-1.5903756931999999</v>
      </c>
      <c r="AF365" s="9"/>
      <c r="AG365" s="22">
        <v>1.6876199999999999</v>
      </c>
      <c r="AH365" s="22">
        <v>390.495</v>
      </c>
      <c r="AI365" s="25">
        <v>2.17285E-5</v>
      </c>
      <c r="AJ365" s="22">
        <v>355</v>
      </c>
      <c r="AK365" s="22">
        <v>1.6873199999999999</v>
      </c>
      <c r="AL365">
        <f t="shared" si="66"/>
        <v>-2.1728500000000001E-2</v>
      </c>
      <c r="AM365">
        <f t="shared" si="67"/>
        <v>-3.6669451169999999E-2</v>
      </c>
      <c r="AP365" s="9"/>
      <c r="AQ365" s="22">
        <v>-8.7585399999999994E-2</v>
      </c>
      <c r="AR365" s="22">
        <v>526.274</v>
      </c>
      <c r="AS365" s="22">
        <v>-1.81213E-2</v>
      </c>
      <c r="AT365" s="22">
        <v>355</v>
      </c>
      <c r="AU365" s="22">
        <v>-8.8043200000000002E-2</v>
      </c>
      <c r="AV365">
        <f t="shared" si="68"/>
        <v>18.121300000000002</v>
      </c>
      <c r="AW365">
        <f t="shared" si="69"/>
        <v>-1.5871613090200001</v>
      </c>
      <c r="AX365" s="9"/>
      <c r="AY365" s="22">
        <v>1.6876199999999999</v>
      </c>
      <c r="AZ365" s="22">
        <v>648.63099999999997</v>
      </c>
      <c r="BA365" s="25">
        <v>-5.4412800000000002E-5</v>
      </c>
      <c r="BB365" s="22">
        <v>355</v>
      </c>
      <c r="BC365" s="22">
        <v>1.6863999999999999</v>
      </c>
      <c r="BD365">
        <f t="shared" si="70"/>
        <v>5.4412800000000004E-2</v>
      </c>
      <c r="BE365">
        <f t="shared" si="71"/>
        <v>9.1828129536000003E-2</v>
      </c>
    </row>
    <row r="366" spans="6:57">
      <c r="F366" s="9"/>
      <c r="G366" s="22">
        <v>-9.2620800000000003E-2</v>
      </c>
      <c r="H366" s="22">
        <v>112.113</v>
      </c>
      <c r="I366" s="22">
        <v>-1.8176299999999999E-2</v>
      </c>
      <c r="J366" s="22">
        <v>356</v>
      </c>
      <c r="K366" s="22">
        <v>-9.3292200000000006E-2</v>
      </c>
      <c r="L366">
        <f t="shared" si="60"/>
        <v>18.176299999999998</v>
      </c>
      <c r="M366">
        <f t="shared" si="61"/>
        <v>-1.6835034470399999</v>
      </c>
      <c r="N366" s="9"/>
      <c r="O366" s="22">
        <v>1.6926600000000001</v>
      </c>
      <c r="P366" s="22">
        <v>227.03</v>
      </c>
      <c r="Q366" s="22">
        <v>1.1554E-3</v>
      </c>
      <c r="R366" s="22">
        <v>356</v>
      </c>
      <c r="S366" s="22">
        <v>1.6924999999999999</v>
      </c>
      <c r="T366">
        <f t="shared" si="62"/>
        <v>-1.1554</v>
      </c>
      <c r="U366">
        <f t="shared" si="63"/>
        <v>-1.955699364</v>
      </c>
      <c r="X366" s="9"/>
      <c r="Y366" s="22">
        <v>-9.2620800000000003E-2</v>
      </c>
      <c r="Z366" s="22">
        <v>330.017</v>
      </c>
      <c r="AA366" s="22">
        <v>-1.8154900000000002E-2</v>
      </c>
      <c r="AB366" s="22">
        <v>356</v>
      </c>
      <c r="AC366" s="22">
        <v>-9.3078599999999997E-2</v>
      </c>
      <c r="AD366">
        <f t="shared" si="64"/>
        <v>18.154900000000001</v>
      </c>
      <c r="AE366">
        <f t="shared" si="65"/>
        <v>-1.6815213619200002</v>
      </c>
      <c r="AF366" s="9"/>
      <c r="AG366" s="22">
        <v>1.6926600000000001</v>
      </c>
      <c r="AH366" s="22">
        <v>390.596</v>
      </c>
      <c r="AI366" s="22">
        <v>3.22784E-4</v>
      </c>
      <c r="AJ366" s="22">
        <v>356</v>
      </c>
      <c r="AK366" s="22">
        <v>1.6918899999999999</v>
      </c>
      <c r="AL366">
        <f t="shared" si="66"/>
        <v>-0.32278400000000002</v>
      </c>
      <c r="AM366">
        <f t="shared" si="67"/>
        <v>-0.54636356544000009</v>
      </c>
      <c r="AP366" s="9"/>
      <c r="AQ366" s="22">
        <v>-9.2620800000000003E-2</v>
      </c>
      <c r="AR366" s="22">
        <v>526.37400000000002</v>
      </c>
      <c r="AS366" s="22">
        <v>-1.81213E-2</v>
      </c>
      <c r="AT366" s="22">
        <v>356</v>
      </c>
      <c r="AU366" s="22">
        <v>-9.3383800000000003E-2</v>
      </c>
      <c r="AV366">
        <f t="shared" si="68"/>
        <v>18.121300000000002</v>
      </c>
      <c r="AW366">
        <f t="shared" si="69"/>
        <v>-1.6784093030400002</v>
      </c>
      <c r="AX366" s="9"/>
      <c r="AY366" s="22">
        <v>1.6926600000000001</v>
      </c>
      <c r="AZ366" s="22">
        <v>648.73099999999999</v>
      </c>
      <c r="BA366" s="22">
        <v>3.17688E-4</v>
      </c>
      <c r="BB366" s="22">
        <v>356</v>
      </c>
      <c r="BC366" s="22">
        <v>1.6918899999999999</v>
      </c>
      <c r="BD366">
        <f t="shared" si="70"/>
        <v>-0.31768799999999997</v>
      </c>
      <c r="BE366">
        <f t="shared" si="71"/>
        <v>-0.53773777008000001</v>
      </c>
    </row>
    <row r="367" spans="6:57">
      <c r="F367" s="9"/>
      <c r="G367" s="22">
        <v>-9.7656300000000001E-2</v>
      </c>
      <c r="H367" s="22">
        <v>112.214</v>
      </c>
      <c r="I367" s="22">
        <v>-1.8179299999999999E-2</v>
      </c>
      <c r="J367" s="22">
        <v>357</v>
      </c>
      <c r="K367" s="22">
        <v>-9.8053000000000001E-2</v>
      </c>
      <c r="L367">
        <f t="shared" si="60"/>
        <v>18.179299999999998</v>
      </c>
      <c r="M367">
        <f t="shared" si="61"/>
        <v>-1.7753231745899998</v>
      </c>
      <c r="N367" s="9"/>
      <c r="O367" s="22">
        <v>1.6976899999999999</v>
      </c>
      <c r="P367" s="22">
        <v>227.131</v>
      </c>
      <c r="Q367" s="22">
        <v>1.9186400000000001E-3</v>
      </c>
      <c r="R367" s="22">
        <v>357</v>
      </c>
      <c r="S367" s="22">
        <v>1.6970799999999999</v>
      </c>
      <c r="T367">
        <f t="shared" si="62"/>
        <v>-1.9186400000000001</v>
      </c>
      <c r="U367">
        <f t="shared" si="63"/>
        <v>-3.2572559416</v>
      </c>
      <c r="X367" s="9"/>
      <c r="Y367" s="22">
        <v>-9.7656300000000001E-2</v>
      </c>
      <c r="Z367" s="22">
        <v>330.11799999999999</v>
      </c>
      <c r="AA367" s="22">
        <v>-1.8151899999999999E-2</v>
      </c>
      <c r="AB367" s="22">
        <v>357</v>
      </c>
      <c r="AC367" s="22">
        <v>-9.7778299999999999E-2</v>
      </c>
      <c r="AD367">
        <f t="shared" si="64"/>
        <v>18.151899999999998</v>
      </c>
      <c r="AE367">
        <f t="shared" si="65"/>
        <v>-1.7726473919699999</v>
      </c>
      <c r="AF367" s="9"/>
      <c r="AG367" s="22">
        <v>1.6976899999999999</v>
      </c>
      <c r="AH367" s="22">
        <v>390.697</v>
      </c>
      <c r="AI367" s="22">
        <v>5.9448200000000002E-4</v>
      </c>
      <c r="AJ367" s="22">
        <v>357</v>
      </c>
      <c r="AK367" s="22">
        <v>1.69739</v>
      </c>
      <c r="AL367">
        <f t="shared" si="66"/>
        <v>-0.59448200000000007</v>
      </c>
      <c r="AM367">
        <f t="shared" si="67"/>
        <v>-1.00924614658</v>
      </c>
      <c r="AP367" s="9"/>
      <c r="AQ367" s="22">
        <v>-9.7656300000000001E-2</v>
      </c>
      <c r="AR367" s="22">
        <v>526.47500000000002</v>
      </c>
      <c r="AS367" s="22">
        <v>-1.81183E-2</v>
      </c>
      <c r="AT367" s="22">
        <v>357</v>
      </c>
      <c r="AU367" s="22">
        <v>-9.8205600000000004E-2</v>
      </c>
      <c r="AV367">
        <f t="shared" si="68"/>
        <v>18.118300000000001</v>
      </c>
      <c r="AW367">
        <f t="shared" si="69"/>
        <v>-1.7693661402900001</v>
      </c>
      <c r="AX367" s="9"/>
      <c r="AY367" s="22">
        <v>1.6976899999999999</v>
      </c>
      <c r="AZ367" s="22">
        <v>648.83199999999999</v>
      </c>
      <c r="BA367" s="22">
        <v>6.9793700000000004E-4</v>
      </c>
      <c r="BB367" s="22">
        <v>357</v>
      </c>
      <c r="BC367" s="22">
        <v>1.6964699999999999</v>
      </c>
      <c r="BD367">
        <f t="shared" si="70"/>
        <v>-0.69793700000000003</v>
      </c>
      <c r="BE367">
        <f t="shared" si="71"/>
        <v>-1.1848806655299999</v>
      </c>
    </row>
    <row r="368" spans="6:57">
      <c r="F368" s="9"/>
      <c r="G368" s="22">
        <v>-0.10269200000000001</v>
      </c>
      <c r="H368" s="22">
        <v>112.315</v>
      </c>
      <c r="I368" s="22">
        <v>-1.8194599999999998E-2</v>
      </c>
      <c r="J368" s="22">
        <v>358</v>
      </c>
      <c r="K368" s="22">
        <v>-0.103424</v>
      </c>
      <c r="L368">
        <f t="shared" si="60"/>
        <v>18.194599999999998</v>
      </c>
      <c r="M368">
        <f t="shared" si="61"/>
        <v>-1.8684398631999999</v>
      </c>
      <c r="N368" s="9"/>
      <c r="O368" s="22">
        <v>1.7027300000000001</v>
      </c>
      <c r="P368" s="22">
        <v>227.232</v>
      </c>
      <c r="Q368" s="22">
        <v>2.77954E-3</v>
      </c>
      <c r="R368" s="22">
        <v>358</v>
      </c>
      <c r="S368" s="22">
        <v>1.70197</v>
      </c>
      <c r="T368">
        <f t="shared" si="62"/>
        <v>-2.7795399999999999</v>
      </c>
      <c r="U368">
        <f t="shared" si="63"/>
        <v>-4.7328061442000005</v>
      </c>
      <c r="X368" s="9"/>
      <c r="Y368" s="22">
        <v>-0.10269200000000001</v>
      </c>
      <c r="Z368" s="22">
        <v>330.21800000000002</v>
      </c>
      <c r="AA368" s="22">
        <v>-1.8161E-2</v>
      </c>
      <c r="AB368" s="22">
        <v>358</v>
      </c>
      <c r="AC368" s="22">
        <v>-0.100494</v>
      </c>
      <c r="AD368">
        <f t="shared" si="64"/>
        <v>18.161000000000001</v>
      </c>
      <c r="AE368">
        <f t="shared" si="65"/>
        <v>-1.8649894120000003</v>
      </c>
      <c r="AF368" s="9"/>
      <c r="AG368" s="22">
        <v>1.7027300000000001</v>
      </c>
      <c r="AH368" s="22">
        <v>390.79700000000003</v>
      </c>
      <c r="AI368" s="22">
        <v>9.3841599999999997E-4</v>
      </c>
      <c r="AJ368" s="22">
        <v>358</v>
      </c>
      <c r="AK368" s="22">
        <v>1.7007399999999999</v>
      </c>
      <c r="AL368">
        <f t="shared" si="66"/>
        <v>-0.93841599999999992</v>
      </c>
      <c r="AM368">
        <f t="shared" si="67"/>
        <v>-1.59786907568</v>
      </c>
      <c r="AP368" s="9"/>
      <c r="AQ368" s="22">
        <v>-0.10269200000000001</v>
      </c>
      <c r="AR368" s="22">
        <v>526.57600000000002</v>
      </c>
      <c r="AS368" s="22">
        <v>-1.81183E-2</v>
      </c>
      <c r="AT368" s="22">
        <v>358</v>
      </c>
      <c r="AU368" s="22">
        <v>-0.103088</v>
      </c>
      <c r="AV368">
        <f t="shared" si="68"/>
        <v>18.118300000000001</v>
      </c>
      <c r="AW368">
        <f t="shared" si="69"/>
        <v>-1.8606044636000003</v>
      </c>
      <c r="AX368" s="9"/>
      <c r="AY368" s="22">
        <v>1.7027300000000001</v>
      </c>
      <c r="AZ368" s="22">
        <v>648.93299999999999</v>
      </c>
      <c r="BA368" s="22">
        <v>1.09833E-3</v>
      </c>
      <c r="BB368" s="22">
        <v>358</v>
      </c>
      <c r="BC368" s="22">
        <v>1.7022699999999999</v>
      </c>
      <c r="BD368">
        <f t="shared" si="70"/>
        <v>-1.09833</v>
      </c>
      <c r="BE368">
        <f t="shared" si="71"/>
        <v>-1.8701594409000002</v>
      </c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N4" sqref="N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1.7271830480018551</v>
      </c>
      <c r="C3">
        <f ca="1">INDEX(INDIRECT(A3&amp;"!B11"):INDIRECT(A3&amp;"!B21"),MATCH(E3,INDIRECT(A3&amp;"!D11"):INDIRECT(A3&amp;"!D21"),0))</f>
        <v>18.004539973021494</v>
      </c>
      <c r="D3">
        <f ca="1">INDEX(INDIRECT(A3&amp;"!C11"):INDIRECT(A3&amp;"!C21"),MATCH(E3,INDIRECT(A3&amp;"!D11"):INDIRECT(A3&amp;"!D21"),0))</f>
        <v>0.78315455487827423</v>
      </c>
      <c r="E3">
        <f t="shared" ref="E3" ca="1" si="0">MAX(INDIRECT(A3&amp; "!D11"),INDIRECT(A3 &amp; "!D13"),INDIRECT(A3 &amp; "!D15"),INDIRECT(A3 &amp; "!D17"),INDIRECT(A3 &amp; "!D19"),INDIRECT(A3 &amp; "!D21"))</f>
        <v>24.353863881000002</v>
      </c>
      <c r="G3">
        <f ca="1">INDEX(INDIRECT(A3&amp;"!A12"):INDIRECT(A3&amp;"!A22"),MATCH(J3,INDIRECT(A3&amp;"!D12"):INDIRECT(A3&amp;"!D22"),0))</f>
        <v>1.7123241892723307</v>
      </c>
      <c r="H3">
        <f ca="1">INDEX(INDIRECT(A3&amp;"!B12"):INDIRECT(A3&amp;"!B22"),MATCH(J3,INDIRECT(A3&amp;"!D12"):INDIRECT(A3&amp;"!D22"),0))</f>
        <v>17.983200775555435</v>
      </c>
      <c r="I3">
        <f ca="1">INDEX(INDIRECT(A3&amp;"!C12"):INDIRECT(A3&amp;"!C22"),MATCH(J3,INDIRECT(A3&amp;"!D12"):INDIRECT(A3&amp;"!D22"),0))</f>
        <v>0.7962110335864605</v>
      </c>
      <c r="J3">
        <f t="shared" ref="J3" ca="1" si="1">MAX(INDIRECT(A3&amp; "!D12"),INDIRECT(A3 &amp; "!D14"),INDIRECT(A3 &amp; "!D16"),INDIRECT(A3 &amp; "!D18"),INDIRECT(A3 &amp; "!D20"),,INDIRECT(A3 &amp; "!D22"))</f>
        <v>24.517781844000005</v>
      </c>
      <c r="L3">
        <f ca="1">INDEX(INDIRECT(A3&amp;"!E11"):INDIRECT(A3&amp;"!E21"),MATCH(E3,INDIRECT(A3&amp;"!D11"):INDIRECT(A3&amp;"!D21"),0))</f>
        <v>0.6685676707744953</v>
      </c>
    </row>
    <row r="4" spans="1:12">
      <c r="A4" t="str" cm="1">
        <f t="array" aca="1" ref="A4" ca="1">IFERROR(INDEX(MID(sheetnames,FIND("]",sheetnames)+1,255),ROWS($A$2:A4)),"")</f>
        <v>20230209T210000</v>
      </c>
      <c r="B4">
        <f ca="1">INDEX(INDIRECT(A4&amp;"!A11"):INDIRECT(A4&amp;"!A21"),MATCH(E4,INDIRECT(A4&amp;"!D11"):INDIRECT(A4&amp;"!D21"),0))</f>
        <v>1.6871661663328608</v>
      </c>
      <c r="C4">
        <f ca="1">INDEX(INDIRECT(A4&amp;"!B11"):INDIRECT(A4&amp;"!B21"),MATCH(E4,INDIRECT(A4&amp;"!D11"):INDIRECT(A4&amp;"!D21"),0))</f>
        <v>18.09662596874994</v>
      </c>
      <c r="D4">
        <f ca="1">INDEX(INDIRECT(A4&amp;"!C11"):INDIRECT(A4&amp;"!C21"),MATCH(E4,INDIRECT(A4&amp;"!D11"):INDIRECT(A4&amp;"!D21"),0))</f>
        <v>0.75019463849820667</v>
      </c>
      <c r="E4">
        <f t="shared" ref="E4" ca="1" si="2">MAX(INDIRECT(A4&amp; "!D11"),INDIRECT(A4 &amp; "!D13"),INDIRECT(A4 &amp; "!D15"),INDIRECT(A4 &amp; "!D17"),INDIRECT(A4 &amp; "!D19"),INDIRECT(A4 &amp; "!D21"))</f>
        <v>22.904954000000007</v>
      </c>
      <c r="G4">
        <f ca="1">INDEX(INDIRECT(A4&amp;"!A12"):INDIRECT(A4&amp;"!A22"),MATCH(J4,INDIRECT(A4&amp;"!D12"):INDIRECT(A4&amp;"!D22"),0))</f>
        <v>1.6829095705042605</v>
      </c>
      <c r="H4">
        <f ca="1">INDEX(INDIRECT(A4&amp;"!B12"):INDIRECT(A4&amp;"!B22"),MATCH(J4,INDIRECT(A4&amp;"!D12"):INDIRECT(A4&amp;"!D22"),0))</f>
        <v>18.121787705089226</v>
      </c>
      <c r="I4">
        <f ca="1">INDEX(INDIRECT(A4&amp;"!C12"):INDIRECT(A4&amp;"!C22"),MATCH(J4,INDIRECT(A4&amp;"!D12"):INDIRECT(A4&amp;"!D22"),0))</f>
        <v>0.76053625362378663</v>
      </c>
      <c r="J4">
        <f t="shared" ref="J4" ca="1" si="3">MAX(INDIRECT(A4&amp; "!D12"),INDIRECT(A4 &amp; "!D14"),INDIRECT(A4 &amp; "!D16"),INDIRECT(A4 &amp; "!D18"),INDIRECT(A4 &amp; "!D20"),,INDIRECT(A4 &amp; "!D22"))</f>
        <v>23.194325075999998</v>
      </c>
      <c r="L4">
        <f ca="1">INDEX(INDIRECT(A4&amp;"!E11"):INDIRECT(A4&amp;"!E21"),MATCH(E4,INDIRECT(A4&amp;"!D11"):INDIRECT(A4&amp;"!D21"),0))</f>
        <v>1.2475942932239656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20230208T210000</vt:lpstr>
      <vt:lpstr>20230209T210000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2023-02-10T00:42:03Z</dcterms:modified>
</cp:coreProperties>
</file>