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30210T210000" sheetId="65" r:id="rId2"/>
    <sheet name="20230212T210000" sheetId="66" r:id="rId3"/>
    <sheet name="20230215T06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 s="1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 s="1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 s="1"/>
  <c r="AL216" i="67"/>
  <c r="AM216" i="67"/>
  <c r="AL217" i="67"/>
  <c r="AM217" i="67"/>
  <c r="AL218" i="67"/>
  <c r="AM218" i="67"/>
  <c r="AL219" i="67"/>
  <c r="AM219" i="67"/>
  <c r="AL220" i="67"/>
  <c r="AM220" i="67" s="1"/>
  <c r="AL221" i="67"/>
  <c r="AM221" i="67"/>
  <c r="AL222" i="67"/>
  <c r="AM222" i="67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/>
  <c r="AL392" i="67"/>
  <c r="AM392" i="67"/>
  <c r="AL393" i="67"/>
  <c r="AM393" i="67"/>
  <c r="AL394" i="67"/>
  <c r="AM394" i="67"/>
  <c r="AL395" i="67"/>
  <c r="AM395" i="67"/>
  <c r="AL396" i="67"/>
  <c r="AM396" i="67"/>
  <c r="AL397" i="67"/>
  <c r="AM397" i="67"/>
  <c r="AL398" i="67"/>
  <c r="AM398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 s="1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/>
  <c r="AD391" i="67"/>
  <c r="AE391" i="67"/>
  <c r="AD392" i="67"/>
  <c r="AE392" i="67"/>
  <c r="AD393" i="67"/>
  <c r="AE393" i="67"/>
  <c r="AD394" i="67"/>
  <c r="AE394" i="67"/>
  <c r="AD395" i="67"/>
  <c r="AE395" i="67"/>
  <c r="AD396" i="67"/>
  <c r="AE396" i="67"/>
  <c r="AD397" i="67"/>
  <c r="AE397" i="67"/>
  <c r="AD398" i="67"/>
  <c r="AE398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 s="1"/>
  <c r="T222" i="67"/>
  <c r="U222" i="67"/>
  <c r="T223" i="67"/>
  <c r="U223" i="67"/>
  <c r="T224" i="67"/>
  <c r="U224" i="67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 s="1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/>
  <c r="L134" i="67"/>
  <c r="M134" i="67"/>
  <c r="L135" i="67"/>
  <c r="M135" i="67"/>
  <c r="L136" i="67"/>
  <c r="M136" i="67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 s="1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/>
  <c r="L7" i="67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M3" i="67"/>
  <c r="AI3" i="67"/>
  <c r="AE3" i="67"/>
  <c r="AA3" i="67"/>
  <c r="Q3" i="67"/>
  <c r="A5" i="63" a="1"/>
  <c r="A5" i="63" l="1"/>
  <c r="BE9" i="67"/>
  <c r="AW9" i="67"/>
  <c r="AU3" i="67"/>
  <c r="AS6" i="67" s="1"/>
  <c r="AW5" i="67"/>
  <c r="AC3" i="67"/>
  <c r="AA6" i="67" s="1"/>
  <c r="A13" i="67" s="1"/>
  <c r="U9" i="67"/>
  <c r="M9" i="67"/>
  <c r="I3" i="67"/>
  <c r="K7" i="67"/>
  <c r="G2" i="67" s="1"/>
  <c r="CF4" i="67"/>
  <c r="CF2" i="67" s="1"/>
  <c r="DC6" i="67"/>
  <c r="A22" i="67" s="1"/>
  <c r="EY4" i="67"/>
  <c r="EY2" i="67" s="1"/>
  <c r="EV9" i="67" s="1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O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 s="1"/>
  <c r="BD283" i="66"/>
  <c r="BE283" i="66"/>
  <c r="BD284" i="66"/>
  <c r="BE284" i="66"/>
  <c r="BD285" i="66"/>
  <c r="BE285" i="66"/>
  <c r="BD286" i="66"/>
  <c r="BE286" i="66" s="1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 s="1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/>
  <c r="AD13" i="66"/>
  <c r="AE13" i="66"/>
  <c r="AD14" i="66"/>
  <c r="AE14" i="66"/>
  <c r="AD15" i="66"/>
  <c r="AE15" i="66"/>
  <c r="AD16" i="66"/>
  <c r="AE16" i="66"/>
  <c r="AD17" i="66"/>
  <c r="AE17" i="66"/>
  <c r="AD18" i="66"/>
  <c r="AE18" i="66"/>
  <c r="AD19" i="66"/>
  <c r="AE19" i="66"/>
  <c r="AD20" i="66"/>
  <c r="AE20" i="66"/>
  <c r="AD21" i="66"/>
  <c r="AE21" i="66"/>
  <c r="AD22" i="66"/>
  <c r="AE22" i="66"/>
  <c r="AD23" i="66"/>
  <c r="AE23" i="66"/>
  <c r="AD24" i="66"/>
  <c r="AE24" i="66"/>
  <c r="AD25" i="66"/>
  <c r="AE25" i="66"/>
  <c r="AD26" i="66"/>
  <c r="AE26" i="66"/>
  <c r="AD27" i="66"/>
  <c r="AE27" i="66"/>
  <c r="AD28" i="66"/>
  <c r="AE28" i="66"/>
  <c r="AD29" i="66"/>
  <c r="AE29" i="66"/>
  <c r="AD30" i="66"/>
  <c r="AE30" i="66"/>
  <c r="AD31" i="66"/>
  <c r="AE31" i="66"/>
  <c r="AD32" i="66"/>
  <c r="AE32" i="66"/>
  <c r="AD33" i="66"/>
  <c r="AE33" i="66"/>
  <c r="AD34" i="66"/>
  <c r="AE34" i="66"/>
  <c r="AD35" i="66"/>
  <c r="AE35" i="66"/>
  <c r="AD36" i="66"/>
  <c r="AE36" i="66"/>
  <c r="AD37" i="66"/>
  <c r="AE37" i="66"/>
  <c r="AD38" i="66"/>
  <c r="AE38" i="66"/>
  <c r="AD39" i="66"/>
  <c r="AE39" i="66"/>
  <c r="AD40" i="66"/>
  <c r="AE40" i="66"/>
  <c r="AD41" i="66"/>
  <c r="AE41" i="66"/>
  <c r="AD42" i="66"/>
  <c r="AE42" i="66"/>
  <c r="AD43" i="66"/>
  <c r="AE43" i="66"/>
  <c r="AD44" i="66"/>
  <c r="AE44" i="66"/>
  <c r="AD45" i="66"/>
  <c r="AE45" i="66"/>
  <c r="AD46" i="66"/>
  <c r="AE46" i="66"/>
  <c r="AD47" i="66"/>
  <c r="AE47" i="66"/>
  <c r="AD48" i="66"/>
  <c r="AE48" i="66"/>
  <c r="AD49" i="66"/>
  <c r="AE49" i="66"/>
  <c r="AD50" i="66"/>
  <c r="AE50" i="66"/>
  <c r="AD51" i="66"/>
  <c r="AE51" i="66"/>
  <c r="AD52" i="66"/>
  <c r="AE52" i="66"/>
  <c r="AD53" i="66"/>
  <c r="AE53" i="66"/>
  <c r="AD54" i="66"/>
  <c r="AE54" i="66"/>
  <c r="AD55" i="66"/>
  <c r="AE55" i="66"/>
  <c r="AD56" i="66"/>
  <c r="AE56" i="66"/>
  <c r="AD57" i="66"/>
  <c r="AE57" i="66"/>
  <c r="AD58" i="66"/>
  <c r="AE58" i="66"/>
  <c r="AD59" i="66"/>
  <c r="AE59" i="66"/>
  <c r="AD60" i="66"/>
  <c r="AE60" i="66"/>
  <c r="AD61" i="66"/>
  <c r="AE61" i="66"/>
  <c r="AD62" i="66"/>
  <c r="AE62" i="66"/>
  <c r="AD63" i="66"/>
  <c r="AE63" i="66"/>
  <c r="AD64" i="66"/>
  <c r="AE64" i="66"/>
  <c r="AD65" i="66"/>
  <c r="AE65" i="66"/>
  <c r="AD66" i="66"/>
  <c r="AE66" i="66"/>
  <c r="AD67" i="66"/>
  <c r="AE67" i="66"/>
  <c r="AD68" i="66"/>
  <c r="AE68" i="66"/>
  <c r="AD69" i="66"/>
  <c r="AE69" i="66"/>
  <c r="AD70" i="66"/>
  <c r="AE70" i="66"/>
  <c r="AD71" i="66"/>
  <c r="AE71" i="66"/>
  <c r="AD72" i="66"/>
  <c r="AE72" i="66"/>
  <c r="AD73" i="66"/>
  <c r="AE73" i="66"/>
  <c r="AD74" i="66"/>
  <c r="AE74" i="66"/>
  <c r="AD75" i="66"/>
  <c r="AE75" i="66"/>
  <c r="AD76" i="66"/>
  <c r="AE76" i="66"/>
  <c r="AD77" i="66"/>
  <c r="AE77" i="66"/>
  <c r="AD78" i="66"/>
  <c r="AE78" i="66"/>
  <c r="AD79" i="66"/>
  <c r="AE79" i="66"/>
  <c r="AD80" i="66"/>
  <c r="AE80" i="66"/>
  <c r="AD81" i="66"/>
  <c r="AE81" i="66"/>
  <c r="AD82" i="66"/>
  <c r="AE82" i="66"/>
  <c r="AD83" i="66"/>
  <c r="AE83" i="66"/>
  <c r="AD84" i="66"/>
  <c r="AE84" i="66"/>
  <c r="AD85" i="66"/>
  <c r="AE85" i="66"/>
  <c r="AD86" i="66"/>
  <c r="AE86" i="66"/>
  <c r="AD87" i="66"/>
  <c r="AE87" i="66"/>
  <c r="AD88" i="66"/>
  <c r="AE88" i="66"/>
  <c r="AD89" i="66"/>
  <c r="AE89" i="66"/>
  <c r="AD90" i="66"/>
  <c r="AE90" i="66"/>
  <c r="AD91" i="66"/>
  <c r="AE91" i="66"/>
  <c r="AD92" i="66"/>
  <c r="AE92" i="66"/>
  <c r="AD93" i="66"/>
  <c r="AE93" i="66"/>
  <c r="AD94" i="66"/>
  <c r="AE94" i="66"/>
  <c r="AD95" i="66"/>
  <c r="AE95" i="66"/>
  <c r="AD96" i="66"/>
  <c r="AE96" i="66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/>
  <c r="AD159" i="66"/>
  <c r="AE159" i="66"/>
  <c r="AD160" i="66"/>
  <c r="AE160" i="66"/>
  <c r="AD161" i="66"/>
  <c r="AE161" i="66"/>
  <c r="AD162" i="66"/>
  <c r="AE162" i="66"/>
  <c r="AD163" i="66"/>
  <c r="AE163" i="66"/>
  <c r="AD164" i="66"/>
  <c r="AE164" i="66"/>
  <c r="AD165" i="66"/>
  <c r="AE165" i="66"/>
  <c r="AD166" i="66"/>
  <c r="AE166" i="66"/>
  <c r="AD167" i="66"/>
  <c r="AE167" i="66"/>
  <c r="AD168" i="66"/>
  <c r="AE168" i="66"/>
  <c r="AD169" i="66"/>
  <c r="AE169" i="66"/>
  <c r="AD170" i="66"/>
  <c r="AE170" i="66"/>
  <c r="AD171" i="66"/>
  <c r="AE171" i="66"/>
  <c r="AD172" i="66"/>
  <c r="AE172" i="66"/>
  <c r="AD173" i="66"/>
  <c r="AE173" i="66"/>
  <c r="AD174" i="66"/>
  <c r="AE174" i="66"/>
  <c r="AD175" i="66"/>
  <c r="AE175" i="66"/>
  <c r="AD176" i="66"/>
  <c r="AE176" i="66"/>
  <c r="AD177" i="66"/>
  <c r="AE177" i="66"/>
  <c r="AD178" i="66"/>
  <c r="AE178" i="66"/>
  <c r="AD179" i="66"/>
  <c r="AE179" i="66"/>
  <c r="AD180" i="66"/>
  <c r="AE180" i="66"/>
  <c r="AD181" i="66"/>
  <c r="AE181" i="66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 s="1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 s="1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 s="1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S3" i="66"/>
  <c r="AI3" i="66"/>
  <c r="AA3" i="66"/>
  <c r="AC3" i="66" s="1"/>
  <c r="Q3" i="66"/>
  <c r="I3" i="66"/>
  <c r="A4" i="63" a="1"/>
  <c r="BE7" i="67" l="1"/>
  <c r="BE3" i="67"/>
  <c r="BE5" i="67"/>
  <c r="AY4" i="67"/>
  <c r="AW7" i="67"/>
  <c r="AW3" i="67"/>
  <c r="A15" i="67"/>
  <c r="AV4" i="67"/>
  <c r="AG4" i="67"/>
  <c r="Y4" i="67"/>
  <c r="U7" i="67"/>
  <c r="U3" i="67"/>
  <c r="U5" i="67"/>
  <c r="M3" i="67"/>
  <c r="M7" i="67"/>
  <c r="M5" i="67"/>
  <c r="K3" i="67"/>
  <c r="G4" i="67" s="1"/>
  <c r="A18" i="67"/>
  <c r="BV4" i="67"/>
  <c r="A14" i="67"/>
  <c r="AL4" i="67"/>
  <c r="A20" i="67"/>
  <c r="CN4" i="67"/>
  <c r="A16" i="67"/>
  <c r="BD4" i="67"/>
  <c r="A12" i="67"/>
  <c r="T4" i="67"/>
  <c r="D19" i="67"/>
  <c r="CC9" i="67"/>
  <c r="E19" i="67" s="1"/>
  <c r="C15" i="67"/>
  <c r="AV2" i="67"/>
  <c r="CX4" i="67"/>
  <c r="AD4" i="67"/>
  <c r="DF4" i="67"/>
  <c r="BN4" i="67"/>
  <c r="A4" i="63"/>
  <c r="BE9" i="66"/>
  <c r="AW9" i="66"/>
  <c r="AW5" i="66" s="1"/>
  <c r="AQ2" i="66"/>
  <c r="AU3" i="66"/>
  <c r="AS6" i="66" s="1"/>
  <c r="A15" i="66" s="1"/>
  <c r="AM9" i="66"/>
  <c r="AM7" i="66" s="1"/>
  <c r="AM5" i="66"/>
  <c r="AE9" i="66"/>
  <c r="AA6" i="66"/>
  <c r="U9" i="66"/>
  <c r="M9" i="66"/>
  <c r="M5" i="66" s="1"/>
  <c r="G2" i="66"/>
  <c r="K3" i="66"/>
  <c r="I6" i="66" s="1"/>
  <c r="A11" i="66" s="1"/>
  <c r="A13" i="66"/>
  <c r="BS6" i="66"/>
  <c r="A18" i="66" s="1"/>
  <c r="CK6" i="66"/>
  <c r="A20" i="66" s="1"/>
  <c r="DC6" i="66"/>
  <c r="A22" i="66" s="1"/>
  <c r="DU6" i="66"/>
  <c r="EM6" i="66"/>
  <c r="FD6" i="66"/>
  <c r="S3" i="66"/>
  <c r="O4" i="66" s="1"/>
  <c r="AK3" i="66"/>
  <c r="AG4" i="66" s="1"/>
  <c r="BC3" i="66"/>
  <c r="AY4" i="66" s="1"/>
  <c r="G4" i="66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 s="1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BD389" i="65"/>
  <c r="BE389" i="65"/>
  <c r="BD390" i="65"/>
  <c r="BE390" i="65"/>
  <c r="BD391" i="65"/>
  <c r="BE391" i="65"/>
  <c r="BD392" i="65"/>
  <c r="BE392" i="65"/>
  <c r="BD393" i="65"/>
  <c r="BE393" i="65"/>
  <c r="BD394" i="65"/>
  <c r="BE394" i="65"/>
  <c r="BD395" i="65"/>
  <c r="BE395" i="65"/>
  <c r="BD396" i="65"/>
  <c r="BE396" i="65"/>
  <c r="BD397" i="65"/>
  <c r="BE397" i="65"/>
  <c r="BD398" i="65"/>
  <c r="BE398" i="65"/>
  <c r="AV12" i="65"/>
  <c r="AW12" i="65"/>
  <c r="AV13" i="65"/>
  <c r="AW13" i="65"/>
  <c r="AV14" i="65"/>
  <c r="AW14" i="65"/>
  <c r="AV15" i="65"/>
  <c r="AW15" i="65"/>
  <c r="AV16" i="65"/>
  <c r="AW16" i="65"/>
  <c r="AV17" i="65"/>
  <c r="AW17" i="65"/>
  <c r="AV18" i="65"/>
  <c r="AW18" i="65"/>
  <c r="AV19" i="65"/>
  <c r="AW19" i="65"/>
  <c r="AV20" i="65"/>
  <c r="AW20" i="65"/>
  <c r="AV21" i="65"/>
  <c r="AW21" i="65"/>
  <c r="AV22" i="65"/>
  <c r="AW22" i="65"/>
  <c r="AV23" i="65"/>
  <c r="AW23" i="65"/>
  <c r="AV24" i="65"/>
  <c r="AW24" i="65"/>
  <c r="AV25" i="65"/>
  <c r="AW25" i="65"/>
  <c r="AV26" i="65"/>
  <c r="AW26" i="65"/>
  <c r="AV27" i="65"/>
  <c r="AW27" i="65"/>
  <c r="AV28" i="65"/>
  <c r="AW28" i="65"/>
  <c r="AV29" i="65"/>
  <c r="AW29" i="65"/>
  <c r="AV30" i="65"/>
  <c r="AW30" i="65"/>
  <c r="AV31" i="65"/>
  <c r="AW31" i="65"/>
  <c r="AV32" i="65"/>
  <c r="AW32" i="65"/>
  <c r="AV33" i="65"/>
  <c r="AW33" i="65"/>
  <c r="AV34" i="65"/>
  <c r="AW34" i="65"/>
  <c r="AV35" i="65"/>
  <c r="AW35" i="65"/>
  <c r="AV36" i="65"/>
  <c r="AW36" i="65"/>
  <c r="AV37" i="65"/>
  <c r="AW37" i="65"/>
  <c r="AV38" i="65"/>
  <c r="AW38" i="65"/>
  <c r="AV39" i="65"/>
  <c r="AW39" i="65"/>
  <c r="AV40" i="65"/>
  <c r="AW40" i="65"/>
  <c r="AV41" i="65"/>
  <c r="AW41" i="65"/>
  <c r="AV42" i="65"/>
  <c r="AW42" i="65"/>
  <c r="AV43" i="65"/>
  <c r="AW43" i="65" s="1"/>
  <c r="AV44" i="65"/>
  <c r="AW44" i="65"/>
  <c r="AV45" i="65"/>
  <c r="AW45" i="65"/>
  <c r="AV46" i="65"/>
  <c r="AW46" i="65"/>
  <c r="AV47" i="65"/>
  <c r="AW47" i="65"/>
  <c r="AV48" i="65"/>
  <c r="AW48" i="65"/>
  <c r="AV49" i="65"/>
  <c r="AW49" i="65"/>
  <c r="AV50" i="65"/>
  <c r="AW50" i="65"/>
  <c r="AV51" i="65"/>
  <c r="AW51" i="65"/>
  <c r="AV52" i="65"/>
  <c r="AW52" i="65"/>
  <c r="AV53" i="65"/>
  <c r="AW53" i="65"/>
  <c r="AV54" i="65"/>
  <c r="AW54" i="65"/>
  <c r="AV55" i="65"/>
  <c r="AW55" i="65"/>
  <c r="AV56" i="65"/>
  <c r="AW56" i="65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/>
  <c r="AV142" i="65"/>
  <c r="AW142" i="65"/>
  <c r="AV143" i="65"/>
  <c r="AW143" i="65"/>
  <c r="AV144" i="65"/>
  <c r="AW144" i="65"/>
  <c r="AV145" i="65"/>
  <c r="AW145" i="65"/>
  <c r="AV146" i="65"/>
  <c r="AW146" i="65"/>
  <c r="AV147" i="65"/>
  <c r="AW147" i="65"/>
  <c r="AV148" i="65"/>
  <c r="AW148" i="65"/>
  <c r="AV149" i="65"/>
  <c r="AW149" i="65"/>
  <c r="AV150" i="65"/>
  <c r="AW150" i="65"/>
  <c r="AV151" i="65"/>
  <c r="AW151" i="65"/>
  <c r="AV152" i="65"/>
  <c r="AW152" i="65"/>
  <c r="AV153" i="65"/>
  <c r="AW153" i="65"/>
  <c r="AV154" i="65"/>
  <c r="AW154" i="65"/>
  <c r="AV155" i="65"/>
  <c r="AW155" i="65"/>
  <c r="AV156" i="65"/>
  <c r="AW156" i="65"/>
  <c r="AV157" i="65"/>
  <c r="AW157" i="65"/>
  <c r="AV158" i="65"/>
  <c r="AW158" i="65"/>
  <c r="AV159" i="65"/>
  <c r="AW159" i="65"/>
  <c r="AV160" i="65"/>
  <c r="AW160" i="65"/>
  <c r="AV161" i="65"/>
  <c r="AW161" i="65"/>
  <c r="AV162" i="65"/>
  <c r="AW162" i="65"/>
  <c r="AV163" i="65"/>
  <c r="AW163" i="65"/>
  <c r="AV164" i="65"/>
  <c r="AW164" i="65"/>
  <c r="AV165" i="65"/>
  <c r="AW165" i="65"/>
  <c r="AV166" i="65"/>
  <c r="AW166" i="65"/>
  <c r="AV167" i="65"/>
  <c r="AW167" i="65"/>
  <c r="AV168" i="65"/>
  <c r="AW168" i="65"/>
  <c r="AV169" i="65"/>
  <c r="AW169" i="65"/>
  <c r="AV170" i="65"/>
  <c r="AW170" i="65"/>
  <c r="AV171" i="65"/>
  <c r="AW171" i="65"/>
  <c r="AV172" i="65"/>
  <c r="AW172" i="65"/>
  <c r="AV173" i="65"/>
  <c r="AW173" i="65"/>
  <c r="AV174" i="65"/>
  <c r="AW174" i="65"/>
  <c r="AV175" i="65"/>
  <c r="AW175" i="65"/>
  <c r="AV176" i="65"/>
  <c r="AW176" i="65"/>
  <c r="AV177" i="65"/>
  <c r="AW177" i="65"/>
  <c r="AV178" i="65"/>
  <c r="AW178" i="65"/>
  <c r="AV179" i="65"/>
  <c r="AW179" i="65"/>
  <c r="AV180" i="65"/>
  <c r="AW180" i="65"/>
  <c r="AV181" i="65"/>
  <c r="AW181" i="65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 s="1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V397" i="65"/>
  <c r="AW397" i="65" s="1"/>
  <c r="AV398" i="65"/>
  <c r="AW39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 s="1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L397" i="65"/>
  <c r="AM397" i="65" s="1"/>
  <c r="AL398" i="65"/>
  <c r="AM39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 s="1"/>
  <c r="AD233" i="65"/>
  <c r="AE233" i="65" s="1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AD397" i="65"/>
  <c r="AE397" i="65" s="1"/>
  <c r="AD398" i="65"/>
  <c r="AE39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 s="1"/>
  <c r="T227" i="65"/>
  <c r="U227" i="65"/>
  <c r="T228" i="65"/>
  <c r="U228" i="65"/>
  <c r="T229" i="65"/>
  <c r="U229" i="65"/>
  <c r="T230" i="65"/>
  <c r="U230" i="65"/>
  <c r="T231" i="65"/>
  <c r="U231" i="65" s="1"/>
  <c r="T232" i="65"/>
  <c r="U232" i="65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T397" i="65"/>
  <c r="U397" i="65" s="1"/>
  <c r="T398" i="65"/>
  <c r="U39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L397" i="65"/>
  <c r="M397" i="65" s="1"/>
  <c r="L398" i="65"/>
  <c r="M398" i="65" s="1"/>
  <c r="E5" i="63"/>
  <c r="J5" i="63"/>
  <c r="I6" i="67" l="1"/>
  <c r="C22" i="67"/>
  <c r="DF2" i="67"/>
  <c r="D22" i="67" s="1"/>
  <c r="C13" i="67"/>
  <c r="AD2" i="67"/>
  <c r="D15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17" i="67"/>
  <c r="C19" i="67"/>
  <c r="BN2" i="67"/>
  <c r="C21" i="67"/>
  <c r="CX2" i="67"/>
  <c r="BE7" i="66"/>
  <c r="BE5" i="66"/>
  <c r="BE3" i="66"/>
  <c r="AW7" i="66"/>
  <c r="AW3" i="66"/>
  <c r="AM3" i="66"/>
  <c r="AE7" i="66"/>
  <c r="AE5" i="66"/>
  <c r="AE3" i="66"/>
  <c r="U7" i="66"/>
  <c r="U3" i="66"/>
  <c r="U5" i="66"/>
  <c r="M7" i="66"/>
  <c r="M3" i="66"/>
  <c r="FG4" i="66"/>
  <c r="FG2" i="66" s="1"/>
  <c r="DX4" i="66"/>
  <c r="DX2" i="66" s="1"/>
  <c r="EP4" i="66"/>
  <c r="EP2" i="66" s="1"/>
  <c r="BA6" i="66"/>
  <c r="AI6" i="66"/>
  <c r="Q6" i="66"/>
  <c r="CX4" i="66"/>
  <c r="BN4" i="66"/>
  <c r="CF4" i="66"/>
  <c r="CF2" i="66" s="1"/>
  <c r="L4" i="66"/>
  <c r="BD9" i="66"/>
  <c r="B16" i="66" s="1"/>
  <c r="AL9" i="66"/>
  <c r="B14" i="66" s="1"/>
  <c r="T9" i="66"/>
  <c r="B12" i="66" s="1"/>
  <c r="DF4" i="66"/>
  <c r="BV4" i="66"/>
  <c r="AD4" i="66"/>
  <c r="CN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E4" i="63"/>
  <c r="J4" i="63"/>
  <c r="AS9" i="67" l="1"/>
  <c r="E15" i="67" s="1"/>
  <c r="A11" i="67"/>
  <c r="L4" i="67"/>
  <c r="D13" i="67"/>
  <c r="AA9" i="67"/>
  <c r="E13" i="67" s="1"/>
  <c r="D21" i="67"/>
  <c r="CU9" i="67"/>
  <c r="E21" i="67" s="1"/>
  <c r="D17" i="67"/>
  <c r="BK9" i="67"/>
  <c r="E17" i="67" s="1"/>
  <c r="C15" i="66"/>
  <c r="AV2" i="66"/>
  <c r="C13" i="66"/>
  <c r="AD2" i="66"/>
  <c r="C22" i="66"/>
  <c r="DF2" i="66"/>
  <c r="D22" i="66" s="1"/>
  <c r="C11" i="66"/>
  <c r="L2" i="66"/>
  <c r="C17" i="66"/>
  <c r="C19" i="66"/>
  <c r="BN2" i="66"/>
  <c r="A12" i="66"/>
  <c r="T4" i="66"/>
  <c r="A16" i="66"/>
  <c r="BD4" i="66"/>
  <c r="C20" i="66"/>
  <c r="CN2" i="66"/>
  <c r="D20" i="66" s="1"/>
  <c r="C18" i="66"/>
  <c r="BV2" i="66"/>
  <c r="D18" i="66" s="1"/>
  <c r="D19" i="66"/>
  <c r="CC9" i="66"/>
  <c r="E19" i="66" s="1"/>
  <c r="C21" i="66"/>
  <c r="CX2" i="66"/>
  <c r="A14" i="66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C4" i="63"/>
  <c r="B4" i="63"/>
  <c r="A3" i="63" a="1"/>
  <c r="G4" i="63"/>
  <c r="L4" i="63"/>
  <c r="I4" i="63"/>
  <c r="D4" i="63"/>
  <c r="C11" i="67" l="1"/>
  <c r="L2" i="67"/>
  <c r="D11" i="66"/>
  <c r="D13" i="66"/>
  <c r="D15" i="66"/>
  <c r="C14" i="66"/>
  <c r="AL2" i="66"/>
  <c r="D14" i="66" s="1"/>
  <c r="D21" i="66"/>
  <c r="CU9" i="66"/>
  <c r="E21" i="66" s="1"/>
  <c r="C16" i="66"/>
  <c r="BD2" i="66"/>
  <c r="D16" i="66" s="1"/>
  <c r="C12" i="66"/>
  <c r="T2" i="66"/>
  <c r="D12" i="66" s="1"/>
  <c r="D17" i="66"/>
  <c r="BK9" i="66"/>
  <c r="E17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1" i="67" l="1"/>
  <c r="I9" i="67"/>
  <c r="E11" i="67" s="1"/>
  <c r="AS9" i="66"/>
  <c r="E15" i="66" s="1"/>
  <c r="AA9" i="66"/>
  <c r="E13" i="66" s="1"/>
  <c r="I9" i="66"/>
  <c r="E11" i="66" s="1"/>
  <c r="CI4" i="65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BD4" i="65" l="1"/>
  <c r="T2" i="65"/>
  <c r="D12" i="65" s="1"/>
  <c r="K7" i="64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A2" i="63" a="1"/>
  <c r="C16" i="65" l="1"/>
  <c r="BD2" i="65"/>
  <c r="L9" i="64"/>
  <c r="B11" i="64" s="1"/>
  <c r="DM6" i="64"/>
  <c r="O4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AV4" i="64"/>
  <c r="AV2" i="64" s="1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16" i="64"/>
  <c r="C22" i="64"/>
  <c r="AS9" i="64" l="1"/>
  <c r="E15" i="64" s="1"/>
  <c r="D15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G2" i="63"/>
  <c r="I2" i="63"/>
  <c r="H3" i="63"/>
  <c r="L3" i="63"/>
  <c r="B3" i="63"/>
  <c r="L2" i="63"/>
  <c r="D2" i="63"/>
  <c r="H2" i="63"/>
  <c r="G3" i="63"/>
  <c r="I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<sst xmlns="http://schemas.openxmlformats.org/spreadsheetml/2006/main" count="1648" uniqueCount="46">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</sst>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2435.147540982899</v>
      </c>
      <c r="H2" s="2"/>
      <c r="I2" s="6" t="s">
        <v>12</v>
      </c>
      <c r="J2" s="2"/>
      <c r="K2" s="7" t="s">
        <v>13</v>
      </c>
      <c r="L2" s="3">
        <f>L4*I6*L9/100*100</f>
        <v>23.013981152000003</v>
      </c>
      <c r="M2" s="8" t="s">
        <v>14</v>
      </c>
      <c r="N2" s="9"/>
      <c r="O2" s="2">
        <f>ABS(S7-S6)/ABS(T7-T6)*1000</f>
        <v>1240.5897540983619</v>
      </c>
      <c r="P2" s="2"/>
      <c r="Q2" s="6" t="s">
        <v>15</v>
      </c>
      <c r="R2" s="2"/>
      <c r="S2" s="7" t="s">
        <v>13</v>
      </c>
      <c r="T2" s="3">
        <f>T4*Q6*T9/100*100</f>
        <v>22.959016369999997</v>
      </c>
      <c r="U2" s="8" t="s">
        <v>14</v>
      </c>
      <c r="X2" s="9"/>
      <c r="Y2" s="2">
        <f>ABS(AC7-AC6)/ABS(AD7-AD6)*1000</f>
        <v>2758.4224043713193</v>
      </c>
      <c r="Z2" s="2"/>
      <c r="AA2" s="6" t="s">
        <v>12</v>
      </c>
      <c r="AB2" s="2"/>
      <c r="AC2" s="7" t="s">
        <v>13</v>
      </c>
      <c r="AD2" s="3">
        <f>AD4*AA6*AD9/100*100</f>
        <v>22.714513731000007</v>
      </c>
      <c r="AE2" s="8" t="s">
        <v>14</v>
      </c>
      <c r="AF2" s="9"/>
      <c r="AG2" s="2">
        <f>ABS(AK7-AK6)/ABS(AL7-AL6)*1000</f>
        <v>470.02785046729269</v>
      </c>
      <c r="AH2" s="2"/>
      <c r="AI2" s="6" t="s">
        <v>15</v>
      </c>
      <c r="AJ2" s="2"/>
      <c r="AK2" s="7" t="s">
        <v>13</v>
      </c>
      <c r="AL2" s="3">
        <f>AL4*AI6*AL9/100*100</f>
        <v>22.476339417000002</v>
      </c>
      <c r="AM2" s="8" t="s">
        <v>14</v>
      </c>
      <c r="AP2" s="9"/>
      <c r="AQ2" s="2">
        <f>ABS(AU7-AU6)/ABS(AV7-AV6)*1000</f>
        <v>2726.4021857923526</v>
      </c>
      <c r="AR2" s="2"/>
      <c r="AS2" s="6" t="s">
        <v>12</v>
      </c>
      <c r="AT2" s="2"/>
      <c r="AU2" s="7" t="s">
        <v>13</v>
      </c>
      <c r="AV2" s="3">
        <f>AV4*AS6*AV9/100*100</f>
        <v>22.337572089999998</v>
      </c>
      <c r="AW2" s="8" t="s">
        <v>14</v>
      </c>
      <c r="AX2" s="9"/>
      <c r="AY2" s="2">
        <f>ABS(BC7-BC6)/ABS(BD7-BD6)*1000</f>
        <v>1722.2076666666014</v>
      </c>
      <c r="AZ2" s="2"/>
      <c r="BA2" s="6" t="s">
        <v>15</v>
      </c>
      <c r="BB2" s="2"/>
      <c r="BC2" s="7" t="s">
        <v>13</v>
      </c>
      <c r="BD2" s="3">
        <f>BD4*BA6*BD9/100*100</f>
        <v>22.151140357999996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1.79901</v>
      </c>
      <c r="J3" s="2"/>
      <c r="K3" s="10">
        <f>INDEX(L11:L1056,MATCH(I3,K11:K1056,0))</f>
        <v>-0.107971</v>
      </c>
      <c r="L3" s="31" t="s">
        <v>16</v>
      </c>
      <c r="M3" s="11">
        <f>M9</f>
        <v>23.013981151999999</v>
      </c>
      <c r="N3" s="9"/>
      <c r="O3" s="2" t="s">
        <v>44</v>
      </c>
      <c r="P3" s="2"/>
      <c r="Q3" s="2">
        <f>INDEX(S11:S1056,MATCH(0,T11:T1056,-1))</f>
        <v>1.7880199999999999</v>
      </c>
      <c r="R3" s="2"/>
      <c r="S3" s="10">
        <f>INDEX(T11:T1056,MATCH(Q3,S11:S1056,0))</f>
        <v>0.11834699999999999</v>
      </c>
      <c r="T3" s="31" t="s">
        <v>16</v>
      </c>
      <c r="U3" s="11">
        <f>U9</f>
        <v>22.959016370000001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-0.77728300000000006</v>
      </c>
      <c r="AD3" s="31" t="s">
        <v>16</v>
      </c>
      <c r="AE3" s="11">
        <f>AE9</f>
        <v>22.714513731000004</v>
      </c>
      <c r="AF3" s="9"/>
      <c r="AG3" s="2" t="s">
        <v>44</v>
      </c>
      <c r="AH3" s="2"/>
      <c r="AI3" s="2">
        <f>INDEX(AK11:AK1056,MATCH(0,AL11:AL1056,-1))</f>
        <v>1.78284</v>
      </c>
      <c r="AJ3" s="2"/>
      <c r="AK3" s="10">
        <f>INDEX(AL11:AL1056,MATCH(AI3,AK11:AK1056,0))</f>
        <v>8.2305900000000001E-2</v>
      </c>
      <c r="AL3" s="31" t="s">
        <v>16</v>
      </c>
      <c r="AM3" s="11">
        <f>AM9</f>
        <v>22.476339417000002</v>
      </c>
      <c r="AP3" s="9"/>
      <c r="AQ3" s="2" t="s">
        <v>44</v>
      </c>
      <c r="AR3" s="2"/>
      <c r="AS3" s="2">
        <f>INDEX(AU11:AU856,MATCH(0,AV11:AV856,1))</f>
        <v>1.7791699999999999</v>
      </c>
      <c r="AT3" s="2"/>
      <c r="AU3" s="10">
        <f>INDEX(AV11:AV1056,MATCH(AS3,AU11:AU1056,0))</f>
        <v>-0.25918600000000003</v>
      </c>
      <c r="AV3" s="31" t="s">
        <v>16</v>
      </c>
      <c r="AW3" s="11">
        <f>AW9</f>
        <v>22.337572089999998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0.30035400000000001</v>
      </c>
      <c r="BD3" s="31" t="s">
        <v>16</v>
      </c>
      <c r="BE3" s="11">
        <f>BE9</f>
        <v>22.151140357999999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5.4816818470156292</v>
      </c>
      <c r="H4" s="2"/>
      <c r="I4" s="2">
        <f>INDEX(K11:K1000,1+MATCH(0,L11:L856,1))</f>
        <v>1.79443</v>
      </c>
      <c r="J4" s="2"/>
      <c r="K4" s="10">
        <f>INDEX(L11:L1056,MATCH(I4,K11:K1056,0))</f>
        <v>0.72753900000000005</v>
      </c>
      <c r="L4" s="30">
        <f>M3/(I6*L9)</f>
        <v>0.73630380402809859</v>
      </c>
      <c r="M4" s="8" t="s">
        <v>17</v>
      </c>
      <c r="N4" s="9"/>
      <c r="O4" s="2">
        <f>ABS(Q3-Q4)/ABS(S3-S4)*1000</f>
        <v>5.9958770169313329</v>
      </c>
      <c r="P4" s="2"/>
      <c r="Q4" s="2">
        <f>INDEX(S11:S856,1+MATCH(0,T11:T856,-1))</f>
        <v>1.79352</v>
      </c>
      <c r="R4" s="2"/>
      <c r="S4" s="10">
        <f>INDEX(T11:T856,MATCH(Q4,S11:S856,0))</f>
        <v>-0.79894999999999994</v>
      </c>
      <c r="T4" s="30">
        <f>U3/(Q6*T9)</f>
        <v>0.7377250926904082</v>
      </c>
      <c r="U4" s="8" t="s">
        <v>17</v>
      </c>
      <c r="X4" s="9"/>
      <c r="Y4" s="2">
        <f>ABS(AA3-AA4)/ABS(AC3-AC4)*1000</f>
        <v>5.3285475652439356</v>
      </c>
      <c r="Z4" s="2"/>
      <c r="AA4" s="2">
        <f>INDEX(AC11:AC1000,1+MATCH(0,AD11:AD856,1))</f>
        <v>1.77887</v>
      </c>
      <c r="AB4" s="2"/>
      <c r="AC4" s="10">
        <f>INDEX(AD11:AD1056,MATCH(AA4,AC11:AC1056,0))</f>
        <v>0.196716</v>
      </c>
      <c r="AD4" s="30">
        <f>AE3/(AA6*AD9)</f>
        <v>0.73853230754457699</v>
      </c>
      <c r="AE4" s="8" t="s">
        <v>17</v>
      </c>
      <c r="AF4" s="9"/>
      <c r="AG4" s="2">
        <f>ABS(AI3-AI4)/ABS(AK3-AK4)*1000</f>
        <v>4.6859784348606066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-0.89294399999999996</v>
      </c>
      <c r="AL4" s="30">
        <f>AM3/(AI6*AL9)</f>
        <v>0.73761037445758026</v>
      </c>
      <c r="AM4" s="8" t="s">
        <v>17</v>
      </c>
      <c r="AP4" s="9"/>
      <c r="AQ4" s="2">
        <f>ABS(AS3-AS4)/ABS(AU3-AU4)*1000</f>
        <v>5.9979416899555726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0.65612799999999993</v>
      </c>
      <c r="AV4" s="30">
        <f>AW3/(AS6*AV9)</f>
        <v>0.73882653220463279</v>
      </c>
      <c r="AW4" s="8" t="s">
        <v>17</v>
      </c>
      <c r="AX4" s="9"/>
      <c r="AY4" s="2">
        <f>ABS(BA3-BA4)/ABS(BC3-BC4)*1000</f>
        <v>4.1375332778875622</v>
      </c>
      <c r="AZ4" s="2"/>
      <c r="BA4" s="2">
        <f>INDEX(BC11:BC856,1+MATCH(0,BD11:BD856,-1))</f>
        <v>1.7867999999999999</v>
      </c>
      <c r="BB4" s="2"/>
      <c r="BC4" s="10">
        <f>INDEX(BD11:BD856,MATCH(BA4,BC11:BC856,0))</f>
        <v>-0.65673800000000004</v>
      </c>
      <c r="BD4" s="30">
        <f>BE3/(BA6*BD9)</f>
        <v>0.73241372240265745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15.631099999999998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15.6067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15.322900000000001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15.383900000000001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15.329000000000001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15.109300000000001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1.7984181373292958</v>
      </c>
      <c r="J6" s="30"/>
      <c r="K6" s="13">
        <f>INDEX(K11:K1056,MATCH(L6,L11:L1056,0))</f>
        <v>6.6894499999999996E-2</v>
      </c>
      <c r="L6" s="10">
        <f>INDEX(L11:L1056,MATCH(0,K11:K1056,-1))</f>
        <v>17.3523</v>
      </c>
      <c r="M6" s="8" t="s">
        <v>22</v>
      </c>
      <c r="N6" s="9"/>
      <c r="O6" s="2"/>
      <c r="P6" s="2"/>
      <c r="Q6" s="36">
        <f>(Q3-Q4)/(S3-S4)*(-S4)+Q4</f>
        <v>1.7887295940573227</v>
      </c>
      <c r="R6" s="36"/>
      <c r="S6" s="13">
        <f>INDEX(S11:S1056,MATCH(T6,T11:T1056,0))</f>
        <v>-4.4525099999999998E-3</v>
      </c>
      <c r="T6" s="10">
        <f>INDEX(T11:T1056,MATCH(0,S11:S1056,1))</f>
        <v>17.395</v>
      </c>
      <c r="U6" s="8" t="s">
        <v>22</v>
      </c>
      <c r="X6" s="9"/>
      <c r="Y6" s="2"/>
      <c r="Z6" s="2"/>
      <c r="AA6" s="30">
        <f>(AA3-AA4)/(AC3-AC4)*(-AC4)+AA4</f>
        <v>1.7799182105628444</v>
      </c>
      <c r="AB6" s="30"/>
      <c r="AC6" s="13">
        <f>INDEX(AC11:AC1056,MATCH(AD6,AD11:AD1056,0))</f>
        <v>6.8725599999999998E-3</v>
      </c>
      <c r="AD6" s="10">
        <f>INDEX(AD11:AD1056,MATCH(0,AC11:AC1056,-1))</f>
        <v>17.282100000000003</v>
      </c>
      <c r="AE6" s="8" t="s">
        <v>22</v>
      </c>
      <c r="AF6" s="9"/>
      <c r="AG6" s="2"/>
      <c r="AH6" s="2"/>
      <c r="AI6" s="36">
        <f>(AI3-AI4)/(AK3-AK4)*(-AK4)+AI4</f>
        <v>1.7832256836724618</v>
      </c>
      <c r="AJ6" s="36"/>
      <c r="AK6" s="13">
        <f>INDEX(AK11:AK1056,MATCH(AL6,AL11:AL1056,0))</f>
        <v>-9.47571E-3</v>
      </c>
      <c r="AL6" s="10">
        <f>INDEX(AL11:AL1056,MATCH(0,AK11:AK1056,1))</f>
        <v>17.1082</v>
      </c>
      <c r="AM6" s="8" t="s">
        <v>22</v>
      </c>
      <c r="AP6" s="9"/>
      <c r="AQ6" s="2"/>
      <c r="AR6" s="2"/>
      <c r="AS6" s="30">
        <f>(AS3-AS4)/(AU3-AU4)*(-AU4)+AS4</f>
        <v>1.7776154174851471</v>
      </c>
      <c r="AT6" s="30"/>
      <c r="AU6" s="13">
        <f>INDEX(AU11:AU1056,MATCH(AV6,AV11:AV1056,0))</f>
        <v>1.89514E-3</v>
      </c>
      <c r="AV6" s="10">
        <f>INDEX(AV11:AV1056,MATCH(0,AU11:AU1056,-1))</f>
        <v>17.007400000000001</v>
      </c>
      <c r="AW6" s="8" t="s">
        <v>22</v>
      </c>
      <c r="AX6" s="9"/>
      <c r="AY6" s="2"/>
      <c r="AZ6" s="2"/>
      <c r="BA6" s="36">
        <f>(BA3-BA4)/(BC3-BC4)*(-BC4)+BA4</f>
        <v>1.7840827246701467</v>
      </c>
      <c r="BB6" s="36"/>
      <c r="BC6" s="13">
        <f>INDEX(BC11:BC1056,MATCH(BD6,BD11:BD1056,0))</f>
        <v>-4.5532200000000002E-3</v>
      </c>
      <c r="BD6" s="10">
        <f>INDEX(BD11:BD1056,MATCH(0,BC11:BC1056,1))</f>
        <v>16.9495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3.7185700000000002E-2</v>
      </c>
      <c r="L7" s="10">
        <f>INDEX(L11:L856,1+MATCH(0,K11:K856,-1))</f>
        <v>17.364500000000003</v>
      </c>
      <c r="M7" s="12">
        <f>INDEX(K11:K1056,MATCH(M9,M11:M1056,0))</f>
        <v>1.4712499999999999</v>
      </c>
      <c r="N7" s="9"/>
      <c r="O7" s="2"/>
      <c r="P7" s="2"/>
      <c r="Q7" s="2"/>
      <c r="R7" s="2"/>
      <c r="S7" s="13">
        <f>INDEX(S11:S1056,MATCH(T7,T11:T1056,0))</f>
        <v>-3.4722900000000001E-2</v>
      </c>
      <c r="T7" s="10">
        <f>INDEX(T11:T1056,1+MATCH(0,S11:S1056,1))</f>
        <v>17.3706</v>
      </c>
      <c r="U7" s="12">
        <f>INDEX(S11:S1056,MATCH(U9,U11:U1056,0))</f>
        <v>1.4700299999999999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17.2455</v>
      </c>
      <c r="AE7" s="12">
        <f>INDEX(AC11:AC1056,MATCH(AE9,AE11:AE1056,0))</f>
        <v>1.48132</v>
      </c>
      <c r="AF7" s="9"/>
      <c r="AG7" s="2"/>
      <c r="AH7" s="2"/>
      <c r="AI7" s="2"/>
      <c r="AJ7" s="2"/>
      <c r="AK7" s="13">
        <f>INDEX(AK11:AK1056,MATCH(AL7,AL11:AL1056,0))</f>
        <v>5.8288600000000002E-4</v>
      </c>
      <c r="AL7" s="10">
        <f>INDEX(AL11:AL1056,1+MATCH(0,AK11:AK1056,1))</f>
        <v>17.0868</v>
      </c>
      <c r="AM7" s="12">
        <f>INDEX(AK11:AK1056,MATCH(AM9,AM11:AM1056,0))</f>
        <v>1.46088</v>
      </c>
      <c r="AP7" s="9"/>
      <c r="AQ7" s="2"/>
      <c r="AR7" s="2"/>
      <c r="AS7" s="2"/>
      <c r="AT7" s="2"/>
      <c r="AU7" s="13">
        <f>INDEX(AU11:AU856,MATCH(AV7,AV11:AV856,1))</f>
        <v>5.1788300000000002E-2</v>
      </c>
      <c r="AV7" s="10">
        <f>INDEX(AV11:AV856,1+MATCH(0,AU11:AU856,-1))</f>
        <v>16.989100000000001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6.13403E-4</v>
      </c>
      <c r="BD7" s="10">
        <f>INDEX(BD11:BD1056,1+MATCH(0,BC11:BC1056,1))</f>
        <v>16.952500000000001</v>
      </c>
      <c r="BE7" s="12">
        <f>INDEX(BC11:BC1056,MATCH(BE9,BE11:BE1056,0))</f>
        <v>1.4654499999999999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0.23883213268048342</v>
      </c>
      <c r="J9" s="2"/>
      <c r="K9" s="2"/>
      <c r="L9" s="3">
        <f>(L6-L7)/(K6-K7)*(-K7)+L7</f>
        <v>17.379770409440983</v>
      </c>
      <c r="M9" s="16">
        <f>MAX(M11:M1056)</f>
        <v>23.013981151999999</v>
      </c>
      <c r="N9" s="9"/>
      <c r="O9" s="2"/>
      <c r="P9" s="2"/>
      <c r="Q9" s="2"/>
      <c r="R9" s="2"/>
      <c r="S9" s="2"/>
      <c r="T9" s="3">
        <f>(T6-T7)/(S6-S7)*(-S7)+T7</f>
        <v>17.398589026900545</v>
      </c>
      <c r="U9" s="16">
        <f>MAX(U11:U1056)</f>
        <v>22.959016370000001</v>
      </c>
      <c r="X9" s="9"/>
      <c r="Y9" s="2"/>
      <c r="Z9" s="2"/>
      <c r="AA9" s="15">
        <f>(MAX(AD2,AL2)-MIN(AD2,AL2))/MAX(AD2,AL2)%</f>
        <v>1.048555636368095</v>
      </c>
      <c r="AB9" s="2"/>
      <c r="AC9" s="2"/>
      <c r="AD9" s="3">
        <f>(AD6-AD7)/(AC6-AC7)*(-AC7)+AD7</f>
        <v>17.27960851791622</v>
      </c>
      <c r="AE9" s="16">
        <f>MAX(AE11:AE1056)</f>
        <v>22.714513731000004</v>
      </c>
      <c r="AF9" s="9"/>
      <c r="AG9" s="2"/>
      <c r="AH9" s="2"/>
      <c r="AI9" s="2"/>
      <c r="AJ9" s="2"/>
      <c r="AK9" s="2"/>
      <c r="AL9" s="3">
        <f>(AL6-AL7)/(AK6-AK7)*(-AK7)+AL7</f>
        <v>17.088040109494408</v>
      </c>
      <c r="AM9" s="16">
        <f>MAX(AM11:AM1056)</f>
        <v>22.476339417000002</v>
      </c>
      <c r="AP9" s="9"/>
      <c r="AQ9" s="2"/>
      <c r="AR9" s="2"/>
      <c r="AS9" s="15">
        <f>(MAX(AV2,BD2)-MIN(AV2,BD2))/MAX(AV2,BD2)%</f>
        <v>0.83461054428320658</v>
      </c>
      <c r="AT9" s="2"/>
      <c r="AU9" s="2"/>
      <c r="AV9" s="3">
        <f>(AV6-AV7)/(AU6-AU7)*(-AU7)+AV7</f>
        <v>17.008095106543664</v>
      </c>
      <c r="AW9" s="16">
        <f>MAX(AW11:AW1056)</f>
        <v>22.337572089999998</v>
      </c>
      <c r="AX9" s="9"/>
      <c r="AY9" s="2"/>
      <c r="AZ9" s="2"/>
      <c r="BA9" s="2"/>
      <c r="BB9" s="2"/>
      <c r="BC9" s="2"/>
      <c r="BD9" s="3">
        <f>(BD6-BD7)/(BC6-BC7)*(-BC7)+BD7</f>
        <v>16.952143827505896</v>
      </c>
      <c r="BE9" s="16">
        <f>MAX(BE11:BE1056)</f>
        <v>22.151140357999999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1.7984181373292958</v>
      </c>
      <c r="B11" s="19">
        <f>IFERROR(L9,0)</f>
        <v>17.379770409440983</v>
      </c>
      <c r="C11" s="20">
        <f>IFERROR(L4,0)</f>
        <v>0.73630380402809859</v>
      </c>
      <c r="D11" s="21">
        <f>IFERROR(L2,0)</f>
        <v>23.013981152000003</v>
      </c>
      <c r="E11" s="21">
        <f>IFERROR(I9,0)</f>
        <v>0.23883213268048342</v>
      </c>
      <c r="F11" s="9"/>
      <c r="G11" s="22">
        <v>1.84494</v>
      </c>
      <c r="H11" s="22">
        <v>23.751000000000001</v>
      </c>
      <c r="I11" s="22">
        <v>9.8144500000000006E-3</v>
      </c>
      <c r="J11" s="22">
        <v>1</v>
      </c>
      <c r="K11" s="22">
        <v>1.8438699999999999</v>
      </c>
      <c r="L11">
        <f>-I11/$F$2*1000</f>
        <v>-9.8144500000000008</v>
      </c>
      <c r="M11">
        <f>L11*G11</f>
        <v>-18.107071383000001</v>
      </c>
      <c r="N11" s="9"/>
      <c r="O11" s="22">
        <v>-9.49097E-2</v>
      </c>
      <c r="P11" s="22">
        <v>79.146900000000002</v>
      </c>
      <c r="Q11" s="22">
        <v>-1.7349199999999999E-2</v>
      </c>
      <c r="R11" s="22">
        <v>1</v>
      </c>
      <c r="S11" s="22">
        <v>-9.5459000000000002E-2</v>
      </c>
      <c r="T11">
        <f>-Q11/$F$2*1000</f>
        <v>17.3492</v>
      </c>
      <c r="U11">
        <f>T11*O11</f>
        <v>-1.6466073672399999</v>
      </c>
      <c r="V11" s="23"/>
      <c r="W11" s="24"/>
      <c r="X11" s="9"/>
      <c r="Y11" s="22">
        <v>1.84494</v>
      </c>
      <c r="Z11" s="22">
        <v>141.10400000000001</v>
      </c>
      <c r="AA11" s="22">
        <v>1.7776500000000001E-2</v>
      </c>
      <c r="AB11" s="22">
        <v>1</v>
      </c>
      <c r="AC11" s="22">
        <v>1.8441799999999999</v>
      </c>
      <c r="AD11">
        <f>-AA11/$F$2*1000</f>
        <v>-17.776500000000002</v>
      </c>
      <c r="AE11">
        <f>AD11*Y11</f>
        <v>-32.796575910000001</v>
      </c>
      <c r="AF11" s="9"/>
      <c r="AG11" s="22">
        <v>-9.49097E-2</v>
      </c>
      <c r="AH11" s="22">
        <v>220.636</v>
      </c>
      <c r="AI11" s="22">
        <v>-1.7175300000000001E-2</v>
      </c>
      <c r="AJ11" s="22">
        <v>1</v>
      </c>
      <c r="AK11" s="22">
        <v>-9.5367400000000005E-2</v>
      </c>
      <c r="AL11">
        <f>-AI11/$F$2*1000</f>
        <v>17.1753</v>
      </c>
      <c r="AM11">
        <f>AL11*AG11</f>
        <v>-1.6301025704100001</v>
      </c>
      <c r="AP11" s="9"/>
      <c r="AQ11" s="22">
        <v>1.84494</v>
      </c>
      <c r="AR11" s="22">
        <v>273.053</v>
      </c>
      <c r="AS11" s="22">
        <v>1.90613E-2</v>
      </c>
      <c r="AT11" s="22">
        <v>1</v>
      </c>
      <c r="AU11" s="22">
        <v>1.8447899999999999</v>
      </c>
      <c r="AV11">
        <f>-AS11/$F$2*1000</f>
        <v>-19.061299999999999</v>
      </c>
      <c r="AW11">
        <f>AV11*AQ11</f>
        <v>-35.166954822000001</v>
      </c>
      <c r="AX11" s="9"/>
      <c r="AY11" s="22">
        <v>-9.49097E-2</v>
      </c>
      <c r="AZ11" s="22">
        <v>352.28300000000002</v>
      </c>
      <c r="BA11" s="22">
        <v>-1.71234E-2</v>
      </c>
      <c r="BB11" s="22">
        <v>1</v>
      </c>
      <c r="BC11" s="22">
        <v>-9.5306399999999999E-2</v>
      </c>
      <c r="BD11">
        <f>-BA11/$F$2*1000</f>
        <v>17.1234</v>
      </c>
      <c r="BE11">
        <f>BD11*AY11</f>
        <v>-1.62517675698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1.7887295940573227</v>
      </c>
      <c r="B12" s="19">
        <f>IFERROR(T9,0)</f>
        <v>17.398589026900545</v>
      </c>
      <c r="C12" s="20">
        <f>IFERROR(T4,0)</f>
        <v>0.7377250926904082</v>
      </c>
      <c r="D12" s="21">
        <f>IFERROR(T2,0)</f>
        <v>22.959016369999997</v>
      </c>
      <c r="E12" s="21"/>
      <c r="F12" s="9"/>
      <c r="G12" s="22">
        <v>1.8399000000000001</v>
      </c>
      <c r="H12" s="22">
        <v>23.851700000000001</v>
      </c>
      <c r="I12" s="22">
        <v>8.5144000000000001E-3</v>
      </c>
      <c r="J12" s="22">
        <v>2</v>
      </c>
      <c r="K12" s="22">
        <v>1.8389899999999999</v>
      </c>
      <c r="L12">
        <f t="shared" ref="L12:L75" si="0">-I12/$F$2*1000</f>
        <v>-8.5144000000000002</v>
      </c>
      <c r="M12">
        <f t="shared" ref="M12:M75" si="1">L12*G12</f>
        <v>-15.66564456</v>
      </c>
      <c r="N12" s="9"/>
      <c r="O12" s="22">
        <v>-8.9874300000000004E-2</v>
      </c>
      <c r="P12" s="22">
        <v>79.247600000000006</v>
      </c>
      <c r="Q12" s="22">
        <v>-1.73584E-2</v>
      </c>
      <c r="R12" s="22">
        <v>2</v>
      </c>
      <c r="S12" s="22">
        <v>-9.0423600000000007E-2</v>
      </c>
      <c r="T12">
        <f t="shared" ref="T12:T75" si="2">-Q12/$F$2*1000</f>
        <v>17.3584</v>
      </c>
      <c r="U12">
        <f t="shared" ref="U12:U75" si="3">T12*O12</f>
        <v>-1.56007404912</v>
      </c>
      <c r="V12" s="23"/>
      <c r="W12" s="24"/>
      <c r="X12" s="9"/>
      <c r="Y12" s="22">
        <v>1.8399000000000001</v>
      </c>
      <c r="Z12" s="22">
        <v>141.20500000000001</v>
      </c>
      <c r="AA12" s="22">
        <v>1.5835599999999998E-2</v>
      </c>
      <c r="AB12" s="22">
        <v>2</v>
      </c>
      <c r="AC12" s="22">
        <v>1.8392900000000001</v>
      </c>
      <c r="AD12">
        <f t="shared" ref="AD12:AD75" si="4">-AA12/$F$2*1000</f>
        <v>-15.835599999999998</v>
      </c>
      <c r="AE12">
        <f t="shared" ref="AE12:AE75" si="5">AD12*Y12</f>
        <v>-29.135920439999996</v>
      </c>
      <c r="AF12" s="9"/>
      <c r="AG12" s="22">
        <v>-8.9874300000000004E-2</v>
      </c>
      <c r="AH12" s="22">
        <v>220.73699999999999</v>
      </c>
      <c r="AI12" s="22">
        <v>-1.7178300000000001E-2</v>
      </c>
      <c r="AJ12" s="22">
        <v>2</v>
      </c>
      <c r="AK12" s="22">
        <v>-9.0271000000000004E-2</v>
      </c>
      <c r="AL12">
        <f t="shared" ref="AL12:AL75" si="6">-AI12/$F$2*1000</f>
        <v>17.1783</v>
      </c>
      <c r="AM12">
        <f t="shared" ref="AM12:AM75" si="7">AL12*AG12</f>
        <v>-1.5438876876900001</v>
      </c>
      <c r="AP12" s="9"/>
      <c r="AQ12" s="22">
        <v>1.8399000000000001</v>
      </c>
      <c r="AR12" s="22">
        <v>273.154</v>
      </c>
      <c r="AS12" s="22">
        <v>1.7025800000000001E-2</v>
      </c>
      <c r="AT12" s="22">
        <v>2</v>
      </c>
      <c r="AU12" s="22">
        <v>1.8392900000000001</v>
      </c>
      <c r="AV12">
        <f t="shared" ref="AV12:AV75" si="8">-AS12/$F$2*1000</f>
        <v>-17.0258</v>
      </c>
      <c r="AW12">
        <f t="shared" ref="AW12:AW75" si="9">AV12*AQ12</f>
        <v>-31.32576942</v>
      </c>
      <c r="AX12" s="9"/>
      <c r="AY12" s="22">
        <v>-8.9874300000000004E-2</v>
      </c>
      <c r="AZ12" s="22">
        <v>352.38400000000001</v>
      </c>
      <c r="BA12" s="22">
        <v>-1.7120400000000001E-2</v>
      </c>
      <c r="BB12" s="22">
        <v>2</v>
      </c>
      <c r="BC12" s="22">
        <v>-9.0331999999999996E-2</v>
      </c>
      <c r="BD12">
        <f t="shared" ref="BD12:BD75" si="10">-BA12/$F$2*1000</f>
        <v>17.1204</v>
      </c>
      <c r="BE12">
        <f t="shared" ref="BE12:BE75" si="11">BD12*AY12</f>
        <v>-1.53868396572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1.7799182105628444</v>
      </c>
      <c r="B13" s="19">
        <f>IFERROR(AD9,0)</f>
        <v>17.27960851791622</v>
      </c>
      <c r="C13" s="20">
        <f>IFERROR(AD4,0)</f>
        <v>0.73853230754457699</v>
      </c>
      <c r="D13" s="21">
        <f>IFERROR(AD2,0)</f>
        <v>22.714513731000007</v>
      </c>
      <c r="E13" s="21">
        <f>IFERROR(AA9,0)</f>
        <v>1.048555636368095</v>
      </c>
      <c r="F13" s="9"/>
      <c r="G13" s="22">
        <v>1.83487</v>
      </c>
      <c r="H13" s="22">
        <v>23.952400000000001</v>
      </c>
      <c r="I13" s="22">
        <v>7.2509799999999998E-3</v>
      </c>
      <c r="J13" s="22">
        <v>3</v>
      </c>
      <c r="K13" s="22">
        <v>1.8338000000000001</v>
      </c>
      <c r="L13">
        <f t="shared" si="0"/>
        <v>-7.2509799999999993</v>
      </c>
      <c r="M13">
        <f t="shared" si="1"/>
        <v>-13.304605672599999</v>
      </c>
      <c r="N13" s="9"/>
      <c r="O13" s="22">
        <v>-8.4838899999999995E-2</v>
      </c>
      <c r="P13" s="22">
        <v>79.348299999999995</v>
      </c>
      <c r="Q13" s="22">
        <v>-1.7346199999999999E-2</v>
      </c>
      <c r="R13" s="22">
        <v>3</v>
      </c>
      <c r="S13" s="22">
        <v>-8.5327100000000003E-2</v>
      </c>
      <c r="T13">
        <f t="shared" si="2"/>
        <v>17.3462</v>
      </c>
      <c r="U13">
        <f t="shared" si="3"/>
        <v>-1.4716325271799999</v>
      </c>
      <c r="V13" s="23"/>
      <c r="W13" s="24"/>
      <c r="X13" s="9"/>
      <c r="Y13" s="22">
        <v>1.83487</v>
      </c>
      <c r="Z13" s="22">
        <v>141.30500000000001</v>
      </c>
      <c r="AA13" s="22">
        <v>1.40137E-2</v>
      </c>
      <c r="AB13" s="22">
        <v>3</v>
      </c>
      <c r="AC13" s="22">
        <v>1.8341099999999999</v>
      </c>
      <c r="AD13">
        <f t="shared" si="4"/>
        <v>-14.0137</v>
      </c>
      <c r="AE13">
        <f t="shared" si="5"/>
        <v>-25.713317718999999</v>
      </c>
      <c r="AF13" s="9"/>
      <c r="AG13" s="22">
        <v>-8.4838899999999995E-2</v>
      </c>
      <c r="AH13" s="22">
        <v>220.83799999999999</v>
      </c>
      <c r="AI13" s="22">
        <v>-1.7156999999999999E-2</v>
      </c>
      <c r="AJ13" s="22">
        <v>3</v>
      </c>
      <c r="AK13" s="22">
        <v>-8.5327100000000003E-2</v>
      </c>
      <c r="AL13">
        <f t="shared" si="6"/>
        <v>17.157</v>
      </c>
      <c r="AM13">
        <f t="shared" si="7"/>
        <v>-1.4555810073</v>
      </c>
      <c r="AP13" s="9"/>
      <c r="AQ13" s="22">
        <v>1.83487</v>
      </c>
      <c r="AR13" s="22">
        <v>273.25400000000002</v>
      </c>
      <c r="AS13" s="22">
        <v>1.51062E-2</v>
      </c>
      <c r="AT13" s="22">
        <v>3</v>
      </c>
      <c r="AU13" s="22">
        <v>1.8341099999999999</v>
      </c>
      <c r="AV13">
        <f t="shared" si="8"/>
        <v>-15.106199999999999</v>
      </c>
      <c r="AW13">
        <f t="shared" si="9"/>
        <v>-27.717913193999998</v>
      </c>
      <c r="AX13" s="9"/>
      <c r="AY13" s="22">
        <v>-8.4838899999999995E-2</v>
      </c>
      <c r="AZ13" s="22">
        <v>352.48500000000001</v>
      </c>
      <c r="BA13" s="22">
        <v>-1.71112E-2</v>
      </c>
      <c r="BB13" s="22">
        <v>3</v>
      </c>
      <c r="BC13" s="22">
        <v>-8.5266099999999997E-2</v>
      </c>
      <c r="BD13">
        <f t="shared" si="10"/>
        <v>17.1112</v>
      </c>
      <c r="BE13">
        <f t="shared" si="11"/>
        <v>-1.4516953856799999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1.7832256836724618</v>
      </c>
      <c r="B14" s="19">
        <f>IFERROR(AL9,0)</f>
        <v>17.088040109494408</v>
      </c>
      <c r="C14" s="20">
        <f>IFERROR(AL4,0)</f>
        <v>0.73761037445758026</v>
      </c>
      <c r="D14" s="21">
        <f>IFERROR(AL2,0)</f>
        <v>22.476339417000002</v>
      </c>
      <c r="E14" s="21"/>
      <c r="F14" s="9"/>
      <c r="G14" s="22">
        <v>1.8298300000000001</v>
      </c>
      <c r="H14" s="22">
        <v>24.053100000000001</v>
      </c>
      <c r="I14" s="22">
        <v>6.1096199999999996E-3</v>
      </c>
      <c r="J14" s="22">
        <v>4</v>
      </c>
      <c r="K14" s="22">
        <v>1.8289200000000001</v>
      </c>
      <c r="L14">
        <f t="shared" si="0"/>
        <v>-6.1096199999999996</v>
      </c>
      <c r="M14">
        <f t="shared" si="1"/>
        <v>-11.1795659646</v>
      </c>
      <c r="N14" s="9"/>
      <c r="O14" s="22">
        <v>-7.9803499999999999E-2</v>
      </c>
      <c r="P14" s="22">
        <v>79.448999999999998</v>
      </c>
      <c r="Q14" s="22">
        <v>-1.7355300000000001E-2</v>
      </c>
      <c r="R14" s="22">
        <v>4</v>
      </c>
      <c r="S14" s="22">
        <v>-8.0383300000000005E-2</v>
      </c>
      <c r="T14">
        <f t="shared" si="2"/>
        <v>17.3553</v>
      </c>
      <c r="U14">
        <f t="shared" si="3"/>
        <v>-1.38501368355</v>
      </c>
      <c r="V14" s="23"/>
      <c r="W14" s="24"/>
      <c r="X14" s="9"/>
      <c r="Y14" s="22">
        <v>1.8298300000000001</v>
      </c>
      <c r="Z14" s="22">
        <v>141.40600000000001</v>
      </c>
      <c r="AA14" s="22">
        <v>1.23138E-2</v>
      </c>
      <c r="AB14" s="22">
        <v>4</v>
      </c>
      <c r="AC14" s="22">
        <v>1.8289200000000001</v>
      </c>
      <c r="AD14">
        <f t="shared" si="4"/>
        <v>-12.313800000000001</v>
      </c>
      <c r="AE14">
        <f t="shared" si="5"/>
        <v>-22.532160654000002</v>
      </c>
      <c r="AF14" s="9"/>
      <c r="AG14" s="22">
        <v>-7.9803499999999999E-2</v>
      </c>
      <c r="AH14" s="22">
        <v>220.93799999999999</v>
      </c>
      <c r="AI14" s="22">
        <v>-1.7169199999999999E-2</v>
      </c>
      <c r="AJ14" s="22">
        <v>4</v>
      </c>
      <c r="AK14" s="22">
        <v>-8.0383300000000005E-2</v>
      </c>
      <c r="AL14">
        <f t="shared" si="6"/>
        <v>17.1692</v>
      </c>
      <c r="AM14">
        <f t="shared" si="7"/>
        <v>-1.3701622522000001</v>
      </c>
      <c r="AP14" s="9"/>
      <c r="AQ14" s="22">
        <v>1.8298300000000001</v>
      </c>
      <c r="AR14" s="22">
        <v>273.35500000000002</v>
      </c>
      <c r="AS14" s="22">
        <v>1.33118E-2</v>
      </c>
      <c r="AT14" s="22">
        <v>4</v>
      </c>
      <c r="AU14" s="22">
        <v>1.8295300000000001</v>
      </c>
      <c r="AV14">
        <f t="shared" si="8"/>
        <v>-13.3118</v>
      </c>
      <c r="AW14">
        <f t="shared" si="9"/>
        <v>-24.358330993999999</v>
      </c>
      <c r="AX14" s="9"/>
      <c r="AY14" s="22">
        <v>-7.9803499999999999E-2</v>
      </c>
      <c r="AZ14" s="22">
        <v>352.58499999999998</v>
      </c>
      <c r="BA14" s="22">
        <v>-1.7099E-2</v>
      </c>
      <c r="BB14" s="22">
        <v>4</v>
      </c>
      <c r="BC14" s="22">
        <v>-8.0200199999999999E-2</v>
      </c>
      <c r="BD14">
        <f t="shared" si="10"/>
        <v>17.099</v>
      </c>
      <c r="BE14">
        <f t="shared" si="11"/>
        <v>-1.3645600465000001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1.7776154174851471</v>
      </c>
      <c r="B15" s="19">
        <f>IFERROR(AV9,0)</f>
        <v>17.008095106543664</v>
      </c>
      <c r="C15" s="20">
        <f>IFERROR(AV4,0)</f>
        <v>0.73882653220463279</v>
      </c>
      <c r="D15" s="21">
        <f>IFERROR(AV2,0)</f>
        <v>22.337572089999998</v>
      </c>
      <c r="E15" s="21">
        <f>IFERROR(AS9,0)</f>
        <v>0.83461054428320658</v>
      </c>
      <c r="F15" s="9"/>
      <c r="G15" s="22">
        <v>1.8248</v>
      </c>
      <c r="H15" s="22">
        <v>24.1538</v>
      </c>
      <c r="I15" s="22">
        <v>4.8815899999999999E-3</v>
      </c>
      <c r="J15" s="22">
        <v>5</v>
      </c>
      <c r="K15" s="22">
        <v>1.8243400000000001</v>
      </c>
      <c r="L15">
        <f t="shared" si="0"/>
        <v>-4.8815900000000001</v>
      </c>
      <c r="M15">
        <f t="shared" si="1"/>
        <v>-8.9079254320000008</v>
      </c>
      <c r="N15" s="9"/>
      <c r="O15" s="22">
        <v>-7.4768100000000004E-2</v>
      </c>
      <c r="P15" s="22">
        <v>79.549700000000001</v>
      </c>
      <c r="Q15" s="22">
        <v>-1.73279E-2</v>
      </c>
      <c r="R15" s="22">
        <v>5</v>
      </c>
      <c r="S15" s="22">
        <v>-7.5286900000000004E-2</v>
      </c>
      <c r="T15">
        <f t="shared" si="2"/>
        <v>17.3279</v>
      </c>
      <c r="U15">
        <f t="shared" si="3"/>
        <v>-1.2955741599900001</v>
      </c>
      <c r="V15" s="23"/>
      <c r="W15" s="24"/>
      <c r="X15" s="9"/>
      <c r="Y15" s="22">
        <v>1.8248</v>
      </c>
      <c r="Z15" s="22">
        <v>141.50700000000001</v>
      </c>
      <c r="AA15" s="22">
        <v>1.06934E-2</v>
      </c>
      <c r="AB15" s="22">
        <v>5</v>
      </c>
      <c r="AC15" s="22">
        <v>1.8243400000000001</v>
      </c>
      <c r="AD15">
        <f t="shared" si="4"/>
        <v>-10.6934</v>
      </c>
      <c r="AE15">
        <f t="shared" si="5"/>
        <v>-19.513316320000001</v>
      </c>
      <c r="AF15" s="9"/>
      <c r="AG15" s="22">
        <v>-7.4768100000000004E-2</v>
      </c>
      <c r="AH15" s="22">
        <v>221.03899999999999</v>
      </c>
      <c r="AI15" s="22">
        <v>-1.7169199999999999E-2</v>
      </c>
      <c r="AJ15" s="22">
        <v>5</v>
      </c>
      <c r="AK15" s="22">
        <v>-7.5164800000000004E-2</v>
      </c>
      <c r="AL15">
        <f t="shared" si="6"/>
        <v>17.1692</v>
      </c>
      <c r="AM15">
        <f t="shared" si="7"/>
        <v>-1.2837084625200001</v>
      </c>
      <c r="AP15" s="9"/>
      <c r="AQ15" s="22">
        <v>1.8248</v>
      </c>
      <c r="AR15" s="22">
        <v>273.45600000000002</v>
      </c>
      <c r="AS15" s="22">
        <v>1.1621100000000001E-2</v>
      </c>
      <c r="AT15" s="22">
        <v>5</v>
      </c>
      <c r="AU15" s="22">
        <v>1.8237300000000001</v>
      </c>
      <c r="AV15">
        <f t="shared" si="8"/>
        <v>-11.6211</v>
      </c>
      <c r="AW15">
        <f t="shared" si="9"/>
        <v>-21.206183280000001</v>
      </c>
      <c r="AX15" s="9"/>
      <c r="AY15" s="22">
        <v>-7.4768100000000004E-2</v>
      </c>
      <c r="AZ15" s="22">
        <v>352.68599999999998</v>
      </c>
      <c r="BA15" s="22">
        <v>-1.7092900000000001E-2</v>
      </c>
      <c r="BB15" s="22">
        <v>5</v>
      </c>
      <c r="BC15" s="22">
        <v>-7.5256299999999998E-2</v>
      </c>
      <c r="BD15">
        <f t="shared" si="10"/>
        <v>17.0929</v>
      </c>
      <c r="BE15">
        <f t="shared" si="11"/>
        <v>-1.2780036564900001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1.7840827246701467</v>
      </c>
      <c r="B16" s="19">
        <f>IFERROR(BD9,0)</f>
        <v>16.952143827505896</v>
      </c>
      <c r="C16" s="20">
        <f>IFERROR(BD4,0)</f>
        <v>0.73241372240265745</v>
      </c>
      <c r="D16" s="21">
        <f>IFERROR(BD2,0)</f>
        <v>22.151140357999996</v>
      </c>
      <c r="E16" s="21"/>
      <c r="F16" s="9"/>
      <c r="G16" s="22">
        <v>1.81976</v>
      </c>
      <c r="H16" s="22">
        <v>24.2545</v>
      </c>
      <c r="I16" s="22">
        <v>3.8198899999999998E-3</v>
      </c>
      <c r="J16" s="22">
        <v>6</v>
      </c>
      <c r="K16" s="22">
        <v>1.8194600000000001</v>
      </c>
      <c r="L16">
        <f t="shared" si="0"/>
        <v>-3.81989</v>
      </c>
      <c r="M16">
        <f t="shared" si="1"/>
        <v>-6.9512830264000005</v>
      </c>
      <c r="N16" s="9"/>
      <c r="O16" s="22">
        <v>-6.9732699999999995E-2</v>
      </c>
      <c r="P16" s="22">
        <v>79.650400000000005</v>
      </c>
      <c r="Q16" s="22">
        <v>-1.7346199999999999E-2</v>
      </c>
      <c r="R16" s="22">
        <v>6</v>
      </c>
      <c r="S16" s="22">
        <v>-7.0129399999999995E-2</v>
      </c>
      <c r="T16">
        <f t="shared" si="2"/>
        <v>17.3462</v>
      </c>
      <c r="U16">
        <f t="shared" si="3"/>
        <v>-1.2095973607399999</v>
      </c>
      <c r="V16" s="23"/>
      <c r="W16" s="24"/>
      <c r="X16" s="9"/>
      <c r="Y16" s="22">
        <v>1.81976</v>
      </c>
      <c r="Z16" s="22">
        <v>141.607</v>
      </c>
      <c r="AA16" s="22">
        <v>9.1766399999999998E-3</v>
      </c>
      <c r="AB16" s="22">
        <v>6</v>
      </c>
      <c r="AC16" s="22">
        <v>1.81915</v>
      </c>
      <c r="AD16">
        <f t="shared" si="4"/>
        <v>-9.176639999999999</v>
      </c>
      <c r="AE16">
        <f t="shared" si="5"/>
        <v>-16.699282406399998</v>
      </c>
      <c r="AF16" s="9"/>
      <c r="AG16" s="22">
        <v>-6.9732699999999995E-2</v>
      </c>
      <c r="AH16" s="22">
        <v>221.14</v>
      </c>
      <c r="AI16" s="22">
        <v>-1.7169199999999999E-2</v>
      </c>
      <c r="AJ16" s="22">
        <v>6</v>
      </c>
      <c r="AK16" s="22">
        <v>-7.03125E-2</v>
      </c>
      <c r="AL16">
        <f t="shared" si="6"/>
        <v>17.1692</v>
      </c>
      <c r="AM16">
        <f t="shared" si="7"/>
        <v>-1.19725467284</v>
      </c>
      <c r="AP16" s="9"/>
      <c r="AQ16" s="22">
        <v>1.81976</v>
      </c>
      <c r="AR16" s="22">
        <v>273.55599999999998</v>
      </c>
      <c r="AS16" s="22">
        <v>1.0022E-2</v>
      </c>
      <c r="AT16" s="22">
        <v>6</v>
      </c>
      <c r="AU16" s="22">
        <v>1.81915</v>
      </c>
      <c r="AV16">
        <f t="shared" si="8"/>
        <v>-10.022</v>
      </c>
      <c r="AW16">
        <f t="shared" si="9"/>
        <v>-18.237634720000003</v>
      </c>
      <c r="AX16" s="9"/>
      <c r="AY16" s="22">
        <v>-6.9732699999999995E-2</v>
      </c>
      <c r="AZ16" s="22">
        <v>352.78699999999998</v>
      </c>
      <c r="BA16" s="22">
        <v>-1.7092900000000001E-2</v>
      </c>
      <c r="BB16" s="22">
        <v>6</v>
      </c>
      <c r="BC16" s="22">
        <v>-7.01904E-2</v>
      </c>
      <c r="BD16">
        <f t="shared" si="10"/>
        <v>17.0929</v>
      </c>
      <c r="BE16">
        <f t="shared" si="11"/>
        <v>-1.1919340678299999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24.3553</v>
      </c>
      <c r="I17" s="22">
        <v>2.8280599999999999E-3</v>
      </c>
      <c r="J17" s="22">
        <v>7</v>
      </c>
      <c r="K17" s="22">
        <v>1.81366</v>
      </c>
      <c r="L17">
        <f t="shared" si="0"/>
        <v>-2.8280599999999998</v>
      </c>
      <c r="M17">
        <f t="shared" si="1"/>
        <v>-5.1321653237999998</v>
      </c>
      <c r="N17" s="9"/>
      <c r="O17" s="22">
        <v>-6.4697299999999999E-2</v>
      </c>
      <c r="P17" s="22">
        <v>79.751099999999994</v>
      </c>
      <c r="Q17" s="22">
        <v>-1.73584E-2</v>
      </c>
      <c r="R17" s="22">
        <v>7</v>
      </c>
      <c r="S17" s="22">
        <v>-6.5185499999999993E-2</v>
      </c>
      <c r="T17">
        <f t="shared" si="2"/>
        <v>17.3584</v>
      </c>
      <c r="U17">
        <f t="shared" si="3"/>
        <v>-1.12304161232</v>
      </c>
      <c r="V17" s="23"/>
      <c r="W17" s="24"/>
      <c r="X17" s="9"/>
      <c r="Y17" s="22">
        <v>1.81473</v>
      </c>
      <c r="Z17" s="22">
        <v>141.708</v>
      </c>
      <c r="AA17" s="22">
        <v>7.75452E-3</v>
      </c>
      <c r="AB17" s="22">
        <v>7</v>
      </c>
      <c r="AC17" s="22">
        <v>1.81366</v>
      </c>
      <c r="AD17">
        <f t="shared" si="4"/>
        <v>-7.7545200000000003</v>
      </c>
      <c r="AE17">
        <f t="shared" si="5"/>
        <v>-14.072360079600001</v>
      </c>
      <c r="AF17" s="9"/>
      <c r="AG17" s="22">
        <v>-6.4697299999999999E-2</v>
      </c>
      <c r="AH17" s="22">
        <v>221.24</v>
      </c>
      <c r="AI17" s="22">
        <v>-1.7147800000000001E-2</v>
      </c>
      <c r="AJ17" s="22">
        <v>7</v>
      </c>
      <c r="AK17" s="22">
        <v>-6.5277100000000005E-2</v>
      </c>
      <c r="AL17">
        <f t="shared" si="6"/>
        <v>17.1478</v>
      </c>
      <c r="AM17">
        <f t="shared" si="7"/>
        <v>-1.1094163609400001</v>
      </c>
      <c r="AP17" s="9"/>
      <c r="AQ17" s="22">
        <v>1.81473</v>
      </c>
      <c r="AR17" s="22">
        <v>273.65699999999998</v>
      </c>
      <c r="AS17" s="22">
        <v>8.5266100000000004E-3</v>
      </c>
      <c r="AT17" s="22">
        <v>7</v>
      </c>
      <c r="AU17" s="22">
        <v>1.81396</v>
      </c>
      <c r="AV17">
        <f t="shared" si="8"/>
        <v>-8.5266099999999998</v>
      </c>
      <c r="AW17">
        <f t="shared" si="9"/>
        <v>-15.473494965299999</v>
      </c>
      <c r="AX17" s="9"/>
      <c r="AY17" s="22">
        <v>-6.4697299999999999E-2</v>
      </c>
      <c r="AZ17" s="22">
        <v>352.887</v>
      </c>
      <c r="BA17" s="22">
        <v>-1.7074599999999999E-2</v>
      </c>
      <c r="BB17" s="22">
        <v>7</v>
      </c>
      <c r="BC17" s="22">
        <v>-6.5216099999999999E-2</v>
      </c>
      <c r="BD17">
        <f t="shared" si="10"/>
        <v>17.0746</v>
      </c>
      <c r="BE17">
        <f t="shared" si="11"/>
        <v>-1.1046805185799999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24.456</v>
      </c>
      <c r="I18" s="22">
        <v>1.8866E-3</v>
      </c>
      <c r="J18" s="22">
        <v>8</v>
      </c>
      <c r="K18" s="22">
        <v>1.80969</v>
      </c>
      <c r="L18">
        <f t="shared" si="0"/>
        <v>-1.8866000000000001</v>
      </c>
      <c r="M18">
        <f t="shared" si="1"/>
        <v>-3.4141611540000003</v>
      </c>
      <c r="N18" s="9"/>
      <c r="O18" s="22">
        <v>-5.9661899999999997E-2</v>
      </c>
      <c r="P18" s="22">
        <v>79.851799999999997</v>
      </c>
      <c r="Q18" s="22">
        <v>-1.73584E-2</v>
      </c>
      <c r="R18" s="22">
        <v>8</v>
      </c>
      <c r="S18" s="22">
        <v>-6.0150099999999998E-2</v>
      </c>
      <c r="T18">
        <f t="shared" si="2"/>
        <v>17.3584</v>
      </c>
      <c r="U18">
        <f t="shared" si="3"/>
        <v>-1.03563512496</v>
      </c>
      <c r="V18" s="23"/>
      <c r="W18" s="24"/>
      <c r="X18" s="9"/>
      <c r="Y18" s="22">
        <v>1.80969</v>
      </c>
      <c r="Z18" s="22">
        <v>141.809</v>
      </c>
      <c r="AA18" s="22">
        <v>6.4361599999999998E-3</v>
      </c>
      <c r="AB18" s="22">
        <v>8</v>
      </c>
      <c r="AC18" s="22">
        <v>1.80908</v>
      </c>
      <c r="AD18">
        <f t="shared" si="4"/>
        <v>-6.4361600000000001</v>
      </c>
      <c r="AE18">
        <f t="shared" si="5"/>
        <v>-11.6474543904</v>
      </c>
      <c r="AF18" s="9"/>
      <c r="AG18" s="22">
        <v>-5.9661899999999997E-2</v>
      </c>
      <c r="AH18" s="22">
        <v>221.34100000000001</v>
      </c>
      <c r="AI18" s="22">
        <v>-1.7144800000000002E-2</v>
      </c>
      <c r="AJ18" s="22">
        <v>8</v>
      </c>
      <c r="AK18" s="22">
        <v>-6.0150099999999998E-2</v>
      </c>
      <c r="AL18">
        <f t="shared" si="6"/>
        <v>17.1448</v>
      </c>
      <c r="AM18">
        <f t="shared" si="7"/>
        <v>-1.02289134312</v>
      </c>
      <c r="AP18" s="9"/>
      <c r="AQ18" s="22">
        <v>1.80969</v>
      </c>
      <c r="AR18" s="22">
        <v>273.75799999999998</v>
      </c>
      <c r="AS18" s="22">
        <v>7.1289099999999996E-3</v>
      </c>
      <c r="AT18" s="22">
        <v>8</v>
      </c>
      <c r="AU18" s="22">
        <v>1.80847</v>
      </c>
      <c r="AV18">
        <f t="shared" si="8"/>
        <v>-7.1289099999999994</v>
      </c>
      <c r="AW18">
        <f t="shared" si="9"/>
        <v>-12.901117137899998</v>
      </c>
      <c r="AX18" s="9"/>
      <c r="AY18" s="22">
        <v>-5.9661899999999997E-2</v>
      </c>
      <c r="AZ18" s="22">
        <v>352.988</v>
      </c>
      <c r="BA18" s="22">
        <v>-1.7053200000000001E-2</v>
      </c>
      <c r="BB18" s="22">
        <v>8</v>
      </c>
      <c r="BC18" s="22">
        <v>-6.0089099999999999E-2</v>
      </c>
      <c r="BD18">
        <f t="shared" si="10"/>
        <v>17.0532</v>
      </c>
      <c r="BE18">
        <f t="shared" si="11"/>
        <v>-1.0174263130799999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24.556699999999999</v>
      </c>
      <c r="I19" s="22">
        <v>9.7747799999999994E-4</v>
      </c>
      <c r="J19" s="22">
        <v>9</v>
      </c>
      <c r="K19" s="22">
        <v>1.80389</v>
      </c>
      <c r="L19">
        <f t="shared" si="0"/>
        <v>-0.97747799999999996</v>
      </c>
      <c r="M19">
        <f t="shared" si="1"/>
        <v>-1.7640154474799998</v>
      </c>
      <c r="N19" s="9"/>
      <c r="O19" s="22">
        <v>-5.4626500000000001E-2</v>
      </c>
      <c r="P19" s="22">
        <v>79.952500000000001</v>
      </c>
      <c r="Q19" s="22">
        <v>-1.7385899999999999E-2</v>
      </c>
      <c r="R19" s="22">
        <v>9</v>
      </c>
      <c r="S19" s="22">
        <v>-5.50842E-2</v>
      </c>
      <c r="T19">
        <f t="shared" si="2"/>
        <v>17.385899999999999</v>
      </c>
      <c r="U19">
        <f t="shared" si="3"/>
        <v>-0.94973086635000004</v>
      </c>
      <c r="V19" s="23"/>
      <c r="W19" s="24"/>
      <c r="X19" s="9"/>
      <c r="Y19" s="22">
        <v>1.8046599999999999</v>
      </c>
      <c r="Z19" s="22">
        <v>141.90899999999999</v>
      </c>
      <c r="AA19" s="22">
        <v>5.1452599999999996E-3</v>
      </c>
      <c r="AB19" s="22">
        <v>9</v>
      </c>
      <c r="AC19" s="22">
        <v>1.8045</v>
      </c>
      <c r="AD19">
        <f t="shared" si="4"/>
        <v>-5.1452599999999995</v>
      </c>
      <c r="AE19">
        <f t="shared" si="5"/>
        <v>-9.2854449115999991</v>
      </c>
      <c r="AF19" s="9"/>
      <c r="AG19" s="22">
        <v>-5.4626500000000001E-2</v>
      </c>
      <c r="AH19" s="22">
        <v>221.44200000000001</v>
      </c>
      <c r="AI19" s="22">
        <v>-1.7141699999999999E-2</v>
      </c>
      <c r="AJ19" s="22">
        <v>9</v>
      </c>
      <c r="AK19" s="22">
        <v>-5.5175799999999997E-2</v>
      </c>
      <c r="AL19">
        <f t="shared" si="6"/>
        <v>17.1417</v>
      </c>
      <c r="AM19">
        <f t="shared" si="7"/>
        <v>-0.93639107505000008</v>
      </c>
      <c r="AP19" s="9"/>
      <c r="AQ19" s="22">
        <v>1.8046599999999999</v>
      </c>
      <c r="AR19" s="22">
        <v>273.85899999999998</v>
      </c>
      <c r="AS19" s="22">
        <v>5.8166499999999996E-3</v>
      </c>
      <c r="AT19" s="22">
        <v>9</v>
      </c>
      <c r="AU19" s="22">
        <v>1.80359</v>
      </c>
      <c r="AV19">
        <f t="shared" si="8"/>
        <v>-5.8166499999999992</v>
      </c>
      <c r="AW19">
        <f t="shared" si="9"/>
        <v>-10.497075588999998</v>
      </c>
      <c r="AX19" s="9"/>
      <c r="AY19" s="22">
        <v>-5.4626500000000001E-2</v>
      </c>
      <c r="AZ19" s="22">
        <v>353.089</v>
      </c>
      <c r="BA19" s="22">
        <v>-1.7050200000000001E-2</v>
      </c>
      <c r="BB19" s="22">
        <v>9</v>
      </c>
      <c r="BC19" s="22">
        <v>-5.50842E-2</v>
      </c>
      <c r="BD19">
        <f t="shared" si="10"/>
        <v>17.0502</v>
      </c>
      <c r="BE19">
        <f t="shared" si="11"/>
        <v>-0.93139275030000002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24.657399999999999</v>
      </c>
      <c r="I20" s="22">
        <v>1.07971E-4</v>
      </c>
      <c r="J20" s="22">
        <v>10</v>
      </c>
      <c r="K20" s="22">
        <v>1.79901</v>
      </c>
      <c r="L20">
        <f t="shared" si="0"/>
        <v>-0.107971</v>
      </c>
      <c r="M20">
        <f t="shared" si="1"/>
        <v>-0.19430677101999999</v>
      </c>
      <c r="N20" s="9"/>
      <c r="O20" s="22">
        <v>-4.9591099999999999E-2</v>
      </c>
      <c r="P20" s="22">
        <v>80.053200000000004</v>
      </c>
      <c r="Q20" s="22">
        <v>-1.7349199999999999E-2</v>
      </c>
      <c r="R20" s="22">
        <v>10</v>
      </c>
      <c r="S20" s="22">
        <v>-5.00793E-2</v>
      </c>
      <c r="T20">
        <f t="shared" si="2"/>
        <v>17.3492</v>
      </c>
      <c r="U20">
        <f t="shared" si="3"/>
        <v>-0.86036591212000002</v>
      </c>
      <c r="V20" s="23"/>
      <c r="W20" s="24"/>
      <c r="X20" s="9"/>
      <c r="Y20" s="22">
        <v>1.79962</v>
      </c>
      <c r="Z20" s="22">
        <v>142.01</v>
      </c>
      <c r="AA20" s="22">
        <v>3.97766E-3</v>
      </c>
      <c r="AB20" s="22">
        <v>10</v>
      </c>
      <c r="AC20" s="22">
        <v>1.79932</v>
      </c>
      <c r="AD20">
        <f t="shared" si="4"/>
        <v>-3.9776600000000002</v>
      </c>
      <c r="AE20">
        <f t="shared" si="5"/>
        <v>-7.1582764892000004</v>
      </c>
      <c r="AF20" s="9"/>
      <c r="AG20" s="22">
        <v>-4.9591099999999999E-2</v>
      </c>
      <c r="AH20" s="22">
        <v>221.54300000000001</v>
      </c>
      <c r="AI20" s="22">
        <v>-1.7147800000000001E-2</v>
      </c>
      <c r="AJ20" s="22">
        <v>10</v>
      </c>
      <c r="AK20" s="22">
        <v>-5.0048799999999997E-2</v>
      </c>
      <c r="AL20">
        <f t="shared" si="6"/>
        <v>17.1478</v>
      </c>
      <c r="AM20">
        <f t="shared" si="7"/>
        <v>-0.85037826457999999</v>
      </c>
      <c r="AP20" s="9"/>
      <c r="AQ20" s="22">
        <v>1.79962</v>
      </c>
      <c r="AR20" s="22">
        <v>273.959</v>
      </c>
      <c r="AS20" s="22">
        <v>4.5809900000000001E-3</v>
      </c>
      <c r="AT20" s="22">
        <v>10</v>
      </c>
      <c r="AU20" s="22">
        <v>1.79901</v>
      </c>
      <c r="AV20">
        <f t="shared" si="8"/>
        <v>-4.5809899999999999</v>
      </c>
      <c r="AW20">
        <f t="shared" si="9"/>
        <v>-8.2440412238</v>
      </c>
      <c r="AX20" s="9"/>
      <c r="AY20" s="22">
        <v>-4.9591099999999999E-2</v>
      </c>
      <c r="AZ20" s="22">
        <v>353.19</v>
      </c>
      <c r="BA20" s="22">
        <v>-1.7041000000000001E-2</v>
      </c>
      <c r="BB20" s="22">
        <v>10</v>
      </c>
      <c r="BC20" s="22">
        <v>-4.9987799999999999E-2</v>
      </c>
      <c r="BD20">
        <f t="shared" si="10"/>
        <v>17.041</v>
      </c>
      <c r="BE20">
        <f t="shared" si="11"/>
        <v>-0.84508193509999996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24.758099999999999</v>
      </c>
      <c r="I21" s="22">
        <v>-7.2753900000000003E-4</v>
      </c>
      <c r="J21" s="22">
        <v>11</v>
      </c>
      <c r="K21" s="22">
        <v>1.79443</v>
      </c>
      <c r="L21">
        <f t="shared" si="0"/>
        <v>0.72753900000000005</v>
      </c>
      <c r="M21">
        <f t="shared" si="1"/>
        <v>1.3056342140100001</v>
      </c>
      <c r="N21" s="9"/>
      <c r="O21" s="22">
        <v>-4.4555699999999997E-2</v>
      </c>
      <c r="P21" s="22">
        <v>80.153899999999993</v>
      </c>
      <c r="Q21" s="22">
        <v>-1.7361499999999998E-2</v>
      </c>
      <c r="R21" s="22">
        <v>11</v>
      </c>
      <c r="S21" s="22">
        <v>-4.4757100000000001E-2</v>
      </c>
      <c r="T21">
        <f t="shared" si="2"/>
        <v>17.361499999999999</v>
      </c>
      <c r="U21">
        <f t="shared" si="3"/>
        <v>-0.77355378554999987</v>
      </c>
      <c r="V21" s="23"/>
      <c r="W21" s="24"/>
      <c r="X21" s="9"/>
      <c r="Y21" s="22">
        <v>1.7945899999999999</v>
      </c>
      <c r="Z21" s="22">
        <v>142.11099999999999</v>
      </c>
      <c r="AA21" s="22">
        <v>2.8479E-3</v>
      </c>
      <c r="AB21" s="22">
        <v>11</v>
      </c>
      <c r="AC21" s="22">
        <v>1.79413</v>
      </c>
      <c r="AD21">
        <f t="shared" si="4"/>
        <v>-2.8479000000000001</v>
      </c>
      <c r="AE21">
        <f t="shared" si="5"/>
        <v>-5.1108128610000003</v>
      </c>
      <c r="AF21" s="9"/>
      <c r="AG21" s="22">
        <v>-4.4555699999999997E-2</v>
      </c>
      <c r="AH21" s="22">
        <v>221.643</v>
      </c>
      <c r="AI21" s="22">
        <v>-1.7132600000000001E-2</v>
      </c>
      <c r="AJ21" s="22">
        <v>11</v>
      </c>
      <c r="AK21" s="22">
        <v>-4.4866900000000001E-2</v>
      </c>
      <c r="AL21">
        <f t="shared" si="6"/>
        <v>17.1326</v>
      </c>
      <c r="AM21">
        <f t="shared" si="7"/>
        <v>-0.76335498581999994</v>
      </c>
      <c r="AP21" s="9"/>
      <c r="AQ21" s="22">
        <v>1.7945899999999999</v>
      </c>
      <c r="AR21" s="22">
        <v>274.06</v>
      </c>
      <c r="AS21" s="22">
        <v>3.39844E-3</v>
      </c>
      <c r="AT21" s="22">
        <v>11</v>
      </c>
      <c r="AU21" s="22">
        <v>1.79352</v>
      </c>
      <c r="AV21">
        <f t="shared" si="8"/>
        <v>-3.3984399999999999</v>
      </c>
      <c r="AW21">
        <f t="shared" si="9"/>
        <v>-6.0988064395999997</v>
      </c>
      <c r="AX21" s="9"/>
      <c r="AY21" s="22">
        <v>-4.4555699999999997E-2</v>
      </c>
      <c r="AZ21" s="22">
        <v>353.29</v>
      </c>
      <c r="BA21" s="22">
        <v>-1.70288E-2</v>
      </c>
      <c r="BB21" s="22">
        <v>11</v>
      </c>
      <c r="BC21" s="22">
        <v>-4.4863899999999998E-2</v>
      </c>
      <c r="BD21">
        <f t="shared" si="10"/>
        <v>17.0288</v>
      </c>
      <c r="BE21">
        <f t="shared" si="11"/>
        <v>-0.75873010415999997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24.858799999999999</v>
      </c>
      <c r="I22" s="22">
        <v>-1.5130600000000001E-3</v>
      </c>
      <c r="J22" s="22">
        <v>12</v>
      </c>
      <c r="K22" s="22">
        <v>1.78833</v>
      </c>
      <c r="L22">
        <f t="shared" si="0"/>
        <v>1.5130600000000001</v>
      </c>
      <c r="M22">
        <f t="shared" si="1"/>
        <v>2.7076965230000001</v>
      </c>
      <c r="N22" s="9"/>
      <c r="O22" s="22">
        <v>-3.9520300000000001E-2</v>
      </c>
      <c r="P22" s="22">
        <v>80.254599999999996</v>
      </c>
      <c r="Q22" s="22">
        <v>-1.7349199999999999E-2</v>
      </c>
      <c r="R22" s="22">
        <v>12</v>
      </c>
      <c r="S22" s="22">
        <v>-3.9828500000000003E-2</v>
      </c>
      <c r="T22">
        <f t="shared" si="2"/>
        <v>17.3492</v>
      </c>
      <c r="U22">
        <f t="shared" si="3"/>
        <v>-0.68564558876000004</v>
      </c>
      <c r="V22" s="23"/>
      <c r="W22" s="24"/>
      <c r="X22" s="9"/>
      <c r="Y22" s="22">
        <v>1.78955</v>
      </c>
      <c r="Z22" s="22">
        <v>142.21199999999999</v>
      </c>
      <c r="AA22" s="22">
        <v>1.77826E-3</v>
      </c>
      <c r="AB22" s="22">
        <v>12</v>
      </c>
      <c r="AC22" s="22">
        <v>1.78925</v>
      </c>
      <c r="AD22">
        <f t="shared" si="4"/>
        <v>-1.77826</v>
      </c>
      <c r="AE22">
        <f t="shared" si="5"/>
        <v>-3.1822851829999999</v>
      </c>
      <c r="AF22" s="9"/>
      <c r="AG22" s="22">
        <v>-3.9520300000000001E-2</v>
      </c>
      <c r="AH22" s="22">
        <v>221.744</v>
      </c>
      <c r="AI22" s="22">
        <v>-1.71112E-2</v>
      </c>
      <c r="AJ22" s="22">
        <v>12</v>
      </c>
      <c r="AK22" s="22">
        <v>-3.9804100000000002E-2</v>
      </c>
      <c r="AL22">
        <f t="shared" si="6"/>
        <v>17.1112</v>
      </c>
      <c r="AM22">
        <f t="shared" si="7"/>
        <v>-0.67623975736000008</v>
      </c>
      <c r="AP22" s="9"/>
      <c r="AQ22" s="22">
        <v>1.78955</v>
      </c>
      <c r="AR22" s="22">
        <v>274.161</v>
      </c>
      <c r="AS22" s="22">
        <v>2.27356E-3</v>
      </c>
      <c r="AT22" s="22">
        <v>12</v>
      </c>
      <c r="AU22" s="22">
        <v>1.78833</v>
      </c>
      <c r="AV22">
        <f t="shared" si="8"/>
        <v>-2.2735599999999998</v>
      </c>
      <c r="AW22">
        <f t="shared" si="9"/>
        <v>-4.0686492979999995</v>
      </c>
      <c r="AX22" s="9"/>
      <c r="AY22" s="22">
        <v>-3.9520300000000001E-2</v>
      </c>
      <c r="AZ22" s="22">
        <v>353.39100000000002</v>
      </c>
      <c r="BA22" s="22">
        <v>-1.7013500000000001E-2</v>
      </c>
      <c r="BB22" s="22">
        <v>12</v>
      </c>
      <c r="BC22" s="22">
        <v>-3.9837600000000001E-2</v>
      </c>
      <c r="BD22">
        <f t="shared" si="10"/>
        <v>17.013500000000001</v>
      </c>
      <c r="BE22">
        <f t="shared" si="11"/>
        <v>-0.67237862405000004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24.959499999999998</v>
      </c>
      <c r="I23" s="22">
        <v>-2.2726399999999998E-3</v>
      </c>
      <c r="J23" s="22">
        <v>13</v>
      </c>
      <c r="K23" s="22">
        <v>1.7837499999999999</v>
      </c>
      <c r="L23">
        <f t="shared" si="0"/>
        <v>2.27264</v>
      </c>
      <c r="M23">
        <f t="shared" si="1"/>
        <v>4.0555715328000002</v>
      </c>
      <c r="N23" s="9"/>
      <c r="O23" s="22">
        <v>-3.4484899999999999E-2</v>
      </c>
      <c r="P23" s="22">
        <v>80.355400000000003</v>
      </c>
      <c r="Q23" s="22">
        <v>-1.73706E-2</v>
      </c>
      <c r="R23" s="22">
        <v>13</v>
      </c>
      <c r="S23" s="22">
        <v>-3.4722900000000001E-2</v>
      </c>
      <c r="T23">
        <f t="shared" si="2"/>
        <v>17.3706</v>
      </c>
      <c r="U23">
        <f t="shared" si="3"/>
        <v>-0.59902340393999998</v>
      </c>
      <c r="V23" s="23"/>
      <c r="W23" s="24"/>
      <c r="X23" s="9"/>
      <c r="Y23" s="22">
        <v>1.7845200000000001</v>
      </c>
      <c r="Z23" s="22">
        <v>142.31200000000001</v>
      </c>
      <c r="AA23" s="22">
        <v>7.7728300000000003E-4</v>
      </c>
      <c r="AB23" s="22">
        <v>13</v>
      </c>
      <c r="AC23" s="22">
        <v>1.78406</v>
      </c>
      <c r="AD23">
        <f t="shared" si="4"/>
        <v>-0.77728300000000006</v>
      </c>
      <c r="AE23">
        <f t="shared" si="5"/>
        <v>-1.3870770591600001</v>
      </c>
      <c r="AF23" s="9"/>
      <c r="AG23" s="22">
        <v>-3.4484899999999999E-2</v>
      </c>
      <c r="AH23" s="22">
        <v>221.845</v>
      </c>
      <c r="AI23" s="22">
        <v>-1.7105100000000002E-2</v>
      </c>
      <c r="AJ23" s="22">
        <v>13</v>
      </c>
      <c r="AK23" s="22">
        <v>-3.4695400000000001E-2</v>
      </c>
      <c r="AL23">
        <f t="shared" si="6"/>
        <v>17.1051</v>
      </c>
      <c r="AM23">
        <f t="shared" si="7"/>
        <v>-0.58986766299000004</v>
      </c>
      <c r="AP23" s="9"/>
      <c r="AQ23" s="22">
        <v>1.7845200000000001</v>
      </c>
      <c r="AR23" s="22">
        <v>274.26100000000002</v>
      </c>
      <c r="AS23" s="22">
        <v>1.22955E-3</v>
      </c>
      <c r="AT23" s="22">
        <v>13</v>
      </c>
      <c r="AU23" s="22">
        <v>1.7831399999999999</v>
      </c>
      <c r="AV23">
        <f t="shared" si="8"/>
        <v>-1.2295500000000001</v>
      </c>
      <c r="AW23">
        <f t="shared" si="9"/>
        <v>-2.1941565660000002</v>
      </c>
      <c r="AX23" s="9"/>
      <c r="AY23" s="22">
        <v>-3.4484899999999999E-2</v>
      </c>
      <c r="AZ23" s="22">
        <v>353.49200000000002</v>
      </c>
      <c r="BA23" s="22">
        <v>-1.69891E-2</v>
      </c>
      <c r="BB23" s="22">
        <v>13</v>
      </c>
      <c r="BC23" s="22">
        <v>-3.4710699999999997E-2</v>
      </c>
      <c r="BD23">
        <f t="shared" si="10"/>
        <v>16.989100000000001</v>
      </c>
      <c r="BE23">
        <f t="shared" si="11"/>
        <v>-0.58586741459000002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25.060199999999998</v>
      </c>
      <c r="I24" s="22">
        <v>-2.9650900000000001E-3</v>
      </c>
      <c r="J24" s="22">
        <v>14</v>
      </c>
      <c r="K24" s="22">
        <v>1.77887</v>
      </c>
      <c r="L24">
        <f t="shared" si="0"/>
        <v>2.96509</v>
      </c>
      <c r="M24">
        <f t="shared" si="1"/>
        <v>5.2763183531999998</v>
      </c>
      <c r="N24" s="9"/>
      <c r="O24" s="22">
        <v>-2.94495E-2</v>
      </c>
      <c r="P24" s="22">
        <v>80.456100000000006</v>
      </c>
      <c r="Q24" s="22">
        <v>-1.7376699999999998E-2</v>
      </c>
      <c r="R24" s="22">
        <v>14</v>
      </c>
      <c r="S24" s="22">
        <v>-2.9718000000000001E-2</v>
      </c>
      <c r="T24">
        <f t="shared" si="2"/>
        <v>17.3767</v>
      </c>
      <c r="U24">
        <f t="shared" si="3"/>
        <v>-0.51173512664999998</v>
      </c>
      <c r="V24" s="23"/>
      <c r="W24" s="24"/>
      <c r="X24" s="9"/>
      <c r="Y24" s="22">
        <v>1.77948</v>
      </c>
      <c r="Z24" s="22">
        <v>142.41300000000001</v>
      </c>
      <c r="AA24" s="22">
        <v>-1.9671599999999999E-4</v>
      </c>
      <c r="AB24" s="22">
        <v>14</v>
      </c>
      <c r="AC24" s="22">
        <v>1.77887</v>
      </c>
      <c r="AD24">
        <f t="shared" si="4"/>
        <v>0.196716</v>
      </c>
      <c r="AE24">
        <f t="shared" si="5"/>
        <v>0.35005218768000002</v>
      </c>
      <c r="AF24" s="9"/>
      <c r="AG24" s="22">
        <v>-2.94495E-2</v>
      </c>
      <c r="AH24" s="22">
        <v>221.94499999999999</v>
      </c>
      <c r="AI24" s="22">
        <v>-1.70685E-2</v>
      </c>
      <c r="AJ24" s="22">
        <v>14</v>
      </c>
      <c r="AK24" s="22">
        <v>-2.9718000000000001E-2</v>
      </c>
      <c r="AL24">
        <f t="shared" si="6"/>
        <v>17.0685</v>
      </c>
      <c r="AM24">
        <f t="shared" si="7"/>
        <v>-0.50265879074999997</v>
      </c>
      <c r="AP24" s="9"/>
      <c r="AQ24" s="22">
        <v>1.77948</v>
      </c>
      <c r="AR24" s="22">
        <v>274.36200000000002</v>
      </c>
      <c r="AS24" s="22">
        <v>2.5918600000000001E-4</v>
      </c>
      <c r="AT24" s="22">
        <v>14</v>
      </c>
      <c r="AU24" s="22">
        <v>1.7791699999999999</v>
      </c>
      <c r="AV24">
        <f t="shared" si="8"/>
        <v>-0.25918600000000003</v>
      </c>
      <c r="AW24">
        <f t="shared" si="9"/>
        <v>-0.46121630328000002</v>
      </c>
      <c r="AX24" s="9"/>
      <c r="AY24" s="22">
        <v>-2.94495E-2</v>
      </c>
      <c r="AZ24" s="22">
        <v>353.59199999999998</v>
      </c>
      <c r="BA24" s="22">
        <v>-1.7007399999999999E-2</v>
      </c>
      <c r="BB24" s="22">
        <v>14</v>
      </c>
      <c r="BC24" s="22">
        <v>-2.9672199999999999E-2</v>
      </c>
      <c r="BD24">
        <f t="shared" si="10"/>
        <v>17.007400000000001</v>
      </c>
      <c r="BE24">
        <f t="shared" si="11"/>
        <v>-0.50085942630000002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25.160900000000002</v>
      </c>
      <c r="I25" s="22">
        <v>-3.6050399999999999E-3</v>
      </c>
      <c r="J25" s="22">
        <v>15</v>
      </c>
      <c r="K25" s="22">
        <v>1.7736799999999999</v>
      </c>
      <c r="L25">
        <f t="shared" si="0"/>
        <v>3.6050399999999998</v>
      </c>
      <c r="M25">
        <f t="shared" si="1"/>
        <v>6.3969271775999994</v>
      </c>
      <c r="N25" s="9"/>
      <c r="O25" s="22">
        <v>-2.4414100000000001E-2</v>
      </c>
      <c r="P25" s="22">
        <v>80.556799999999996</v>
      </c>
      <c r="Q25" s="22">
        <v>-1.73584E-2</v>
      </c>
      <c r="R25" s="22">
        <v>15</v>
      </c>
      <c r="S25" s="22">
        <v>-2.4661300000000001E-2</v>
      </c>
      <c r="T25">
        <f t="shared" si="2"/>
        <v>17.3584</v>
      </c>
      <c r="U25">
        <f t="shared" si="3"/>
        <v>-0.42378971343999999</v>
      </c>
      <c r="V25" s="23"/>
      <c r="W25" s="24"/>
      <c r="X25" s="9"/>
      <c r="Y25" s="22">
        <v>1.77444</v>
      </c>
      <c r="Z25" s="22">
        <v>142.51400000000001</v>
      </c>
      <c r="AA25" s="22">
        <v>-1.08215E-3</v>
      </c>
      <c r="AB25" s="22">
        <v>15</v>
      </c>
      <c r="AC25" s="22">
        <v>1.7736799999999999</v>
      </c>
      <c r="AD25">
        <f t="shared" si="4"/>
        <v>1.0821499999999999</v>
      </c>
      <c r="AE25">
        <f t="shared" si="5"/>
        <v>1.9202102459999999</v>
      </c>
      <c r="AF25" s="9"/>
      <c r="AG25" s="22">
        <v>-2.4414100000000001E-2</v>
      </c>
      <c r="AH25" s="22">
        <v>222.04599999999999</v>
      </c>
      <c r="AI25" s="22">
        <v>-1.7080700000000001E-2</v>
      </c>
      <c r="AJ25" s="22">
        <v>15</v>
      </c>
      <c r="AK25" s="22">
        <v>-2.4673500000000001E-2</v>
      </c>
      <c r="AL25">
        <f t="shared" si="6"/>
        <v>17.0807</v>
      </c>
      <c r="AM25">
        <f t="shared" si="7"/>
        <v>-0.41700991787000002</v>
      </c>
      <c r="AP25" s="9"/>
      <c r="AQ25" s="22">
        <v>1.77444</v>
      </c>
      <c r="AR25" s="22">
        <v>274.46300000000002</v>
      </c>
      <c r="AS25" s="22">
        <v>-6.5612799999999996E-4</v>
      </c>
      <c r="AT25" s="22">
        <v>15</v>
      </c>
      <c r="AU25" s="22">
        <v>1.7736799999999999</v>
      </c>
      <c r="AV25">
        <f t="shared" si="8"/>
        <v>0.65612799999999993</v>
      </c>
      <c r="AW25">
        <f t="shared" si="9"/>
        <v>1.16425976832</v>
      </c>
      <c r="AX25" s="9"/>
      <c r="AY25" s="22">
        <v>-2.4414100000000001E-2</v>
      </c>
      <c r="AZ25" s="22">
        <v>353.69299999999998</v>
      </c>
      <c r="BA25" s="22">
        <v>-1.69769E-2</v>
      </c>
      <c r="BB25" s="22">
        <v>15</v>
      </c>
      <c r="BC25" s="22">
        <v>-2.4676500000000001E-2</v>
      </c>
      <c r="BD25">
        <f t="shared" si="10"/>
        <v>16.976900000000001</v>
      </c>
      <c r="BE25">
        <f t="shared" si="11"/>
        <v>-0.41447573429000001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25.261600000000001</v>
      </c>
      <c r="I26" s="22">
        <v>-4.2343099999999998E-3</v>
      </c>
      <c r="J26" s="22">
        <v>16</v>
      </c>
      <c r="K26" s="22">
        <v>1.7684899999999999</v>
      </c>
      <c r="L26">
        <f t="shared" si="0"/>
        <v>4.2343099999999998</v>
      </c>
      <c r="M26">
        <f t="shared" si="1"/>
        <v>7.4922304570999989</v>
      </c>
      <c r="N26" s="9"/>
      <c r="O26" s="22">
        <v>-1.9378699999999999E-2</v>
      </c>
      <c r="P26" s="22">
        <v>80.657499999999999</v>
      </c>
      <c r="Q26" s="22">
        <v>-1.73706E-2</v>
      </c>
      <c r="R26" s="22">
        <v>16</v>
      </c>
      <c r="S26" s="22">
        <v>-1.96045E-2</v>
      </c>
      <c r="T26">
        <f t="shared" si="2"/>
        <v>17.3706</v>
      </c>
      <c r="U26">
        <f t="shared" si="3"/>
        <v>-0.33661964621999996</v>
      </c>
      <c r="V26" s="23"/>
      <c r="W26" s="24"/>
      <c r="X26" s="9"/>
      <c r="Y26" s="22">
        <v>1.7694099999999999</v>
      </c>
      <c r="Z26" s="22">
        <v>142.614</v>
      </c>
      <c r="AA26" s="22">
        <v>-1.9448899999999999E-3</v>
      </c>
      <c r="AB26" s="22">
        <v>16</v>
      </c>
      <c r="AC26" s="22">
        <v>1.7687999999999999</v>
      </c>
      <c r="AD26">
        <f t="shared" si="4"/>
        <v>1.94489</v>
      </c>
      <c r="AE26">
        <f t="shared" si="5"/>
        <v>3.4413078149</v>
      </c>
      <c r="AF26" s="9"/>
      <c r="AG26" s="22">
        <v>-1.9378699999999999E-2</v>
      </c>
      <c r="AH26" s="22">
        <v>222.14699999999999</v>
      </c>
      <c r="AI26" s="22">
        <v>-1.7095900000000001E-2</v>
      </c>
      <c r="AJ26" s="22">
        <v>16</v>
      </c>
      <c r="AK26" s="22">
        <v>-1.95251E-2</v>
      </c>
      <c r="AL26">
        <f t="shared" si="6"/>
        <v>17.0959</v>
      </c>
      <c r="AM26">
        <f t="shared" si="7"/>
        <v>-0.33129631732999998</v>
      </c>
      <c r="AP26" s="9"/>
      <c r="AQ26" s="22">
        <v>1.7694099999999999</v>
      </c>
      <c r="AR26" s="22">
        <v>274.56400000000002</v>
      </c>
      <c r="AS26" s="22">
        <v>-1.54816E-3</v>
      </c>
      <c r="AT26" s="22">
        <v>16</v>
      </c>
      <c r="AU26" s="22">
        <v>1.7687999999999999</v>
      </c>
      <c r="AV26">
        <f t="shared" si="8"/>
        <v>1.54816</v>
      </c>
      <c r="AW26">
        <f t="shared" si="9"/>
        <v>2.7393297855999998</v>
      </c>
      <c r="AX26" s="9"/>
      <c r="AY26" s="22">
        <v>-1.9378699999999999E-2</v>
      </c>
      <c r="AZ26" s="22">
        <v>353.79399999999998</v>
      </c>
      <c r="BA26" s="22">
        <v>-1.6979999999999999E-2</v>
      </c>
      <c r="BB26" s="22">
        <v>16</v>
      </c>
      <c r="BC26" s="22">
        <v>-1.94977E-2</v>
      </c>
      <c r="BD26">
        <f t="shared" si="10"/>
        <v>16.979999999999997</v>
      </c>
      <c r="BE26">
        <f t="shared" si="11"/>
        <v>-0.32905032599999989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25.362300000000001</v>
      </c>
      <c r="I27" s="22">
        <v>-4.83337E-3</v>
      </c>
      <c r="J27" s="22">
        <v>17</v>
      </c>
      <c r="K27" s="22">
        <v>1.7639199999999999</v>
      </c>
      <c r="L27">
        <f t="shared" si="0"/>
        <v>4.8333700000000004</v>
      </c>
      <c r="M27">
        <f t="shared" si="1"/>
        <v>8.5278530269000008</v>
      </c>
      <c r="N27" s="9"/>
      <c r="O27" s="22">
        <v>-1.43433E-2</v>
      </c>
      <c r="P27" s="22">
        <v>80.758200000000002</v>
      </c>
      <c r="Q27" s="22">
        <v>-1.7340100000000001E-2</v>
      </c>
      <c r="R27" s="22">
        <v>17</v>
      </c>
      <c r="S27" s="22">
        <v>-1.4566000000000001E-2</v>
      </c>
      <c r="T27">
        <f t="shared" si="2"/>
        <v>17.3401</v>
      </c>
      <c r="U27">
        <f t="shared" si="3"/>
        <v>-0.24871425632999999</v>
      </c>
      <c r="X27" s="9"/>
      <c r="Y27" s="22">
        <v>1.76437</v>
      </c>
      <c r="Z27" s="22">
        <v>142.715</v>
      </c>
      <c r="AA27" s="22">
        <v>-2.7175900000000002E-3</v>
      </c>
      <c r="AB27" s="22">
        <v>17</v>
      </c>
      <c r="AC27" s="22">
        <v>1.7636099999999999</v>
      </c>
      <c r="AD27">
        <f t="shared" si="4"/>
        <v>2.7175900000000004</v>
      </c>
      <c r="AE27">
        <f t="shared" si="5"/>
        <v>4.7948342683000007</v>
      </c>
      <c r="AF27" s="9"/>
      <c r="AG27" s="22">
        <v>-1.43433E-2</v>
      </c>
      <c r="AH27" s="22">
        <v>222.24700000000001</v>
      </c>
      <c r="AI27" s="22">
        <v>-1.7105100000000002E-2</v>
      </c>
      <c r="AJ27" s="22">
        <v>17</v>
      </c>
      <c r="AK27" s="22">
        <v>-1.4563E-2</v>
      </c>
      <c r="AL27">
        <f t="shared" si="6"/>
        <v>17.1051</v>
      </c>
      <c r="AM27">
        <f t="shared" si="7"/>
        <v>-0.24534358082999999</v>
      </c>
      <c r="AP27" s="9"/>
      <c r="AQ27" s="22">
        <v>1.76437</v>
      </c>
      <c r="AR27" s="22">
        <v>274.66399999999999</v>
      </c>
      <c r="AS27" s="22">
        <v>-2.3492399999999998E-3</v>
      </c>
      <c r="AT27" s="22">
        <v>17</v>
      </c>
      <c r="AU27" s="22">
        <v>1.7639199999999999</v>
      </c>
      <c r="AV27">
        <f t="shared" si="8"/>
        <v>2.34924</v>
      </c>
      <c r="AW27">
        <f t="shared" si="9"/>
        <v>4.1449285788000001</v>
      </c>
      <c r="AX27" s="9"/>
      <c r="AY27" s="22">
        <v>-1.43433E-2</v>
      </c>
      <c r="AZ27" s="22">
        <v>353.89499999999998</v>
      </c>
      <c r="BA27" s="22">
        <v>-1.69769E-2</v>
      </c>
      <c r="BB27" s="22">
        <v>17</v>
      </c>
      <c r="BC27" s="22">
        <v>-1.4544700000000001E-2</v>
      </c>
      <c r="BD27">
        <f t="shared" si="10"/>
        <v>16.976900000000001</v>
      </c>
      <c r="BE27">
        <f t="shared" si="11"/>
        <v>-0.24350476977000002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25.463000000000001</v>
      </c>
      <c r="I28" s="22">
        <v>-5.3802499999999996E-3</v>
      </c>
      <c r="J28" s="22">
        <v>18</v>
      </c>
      <c r="K28" s="22">
        <v>1.7587299999999999</v>
      </c>
      <c r="L28">
        <f t="shared" si="0"/>
        <v>5.3802499999999993</v>
      </c>
      <c r="M28">
        <f t="shared" si="1"/>
        <v>9.4656890349999987</v>
      </c>
      <c r="N28" s="9"/>
      <c r="O28" s="22">
        <v>-9.3078599999999994E-3</v>
      </c>
      <c r="P28" s="22">
        <v>80.858900000000006</v>
      </c>
      <c r="Q28" s="22">
        <v>-1.7388899999999999E-2</v>
      </c>
      <c r="R28" s="22">
        <v>18</v>
      </c>
      <c r="S28" s="22">
        <v>-9.5153800000000004E-3</v>
      </c>
      <c r="T28">
        <f t="shared" si="2"/>
        <v>17.3889</v>
      </c>
      <c r="U28">
        <f t="shared" si="3"/>
        <v>-0.16185344675399999</v>
      </c>
      <c r="X28" s="9"/>
      <c r="Y28" s="22">
        <v>1.7593399999999999</v>
      </c>
      <c r="Z28" s="22">
        <v>142.816</v>
      </c>
      <c r="AA28" s="22">
        <v>-3.4304800000000001E-3</v>
      </c>
      <c r="AB28" s="22">
        <v>18</v>
      </c>
      <c r="AC28" s="22">
        <v>1.7590300000000001</v>
      </c>
      <c r="AD28">
        <f t="shared" si="4"/>
        <v>3.4304800000000002</v>
      </c>
      <c r="AE28">
        <f t="shared" si="5"/>
        <v>6.0353806831999997</v>
      </c>
      <c r="AF28" s="9"/>
      <c r="AG28" s="22">
        <v>-9.3078599999999994E-3</v>
      </c>
      <c r="AH28" s="22">
        <v>222.34800000000001</v>
      </c>
      <c r="AI28" s="22">
        <v>-1.71082E-2</v>
      </c>
      <c r="AJ28" s="22">
        <v>18</v>
      </c>
      <c r="AK28" s="22">
        <v>-9.47571E-3</v>
      </c>
      <c r="AL28">
        <f t="shared" si="6"/>
        <v>17.1082</v>
      </c>
      <c r="AM28">
        <f t="shared" si="7"/>
        <v>-0.15924073045199999</v>
      </c>
      <c r="AP28" s="9"/>
      <c r="AQ28" s="22">
        <v>1.7593399999999999</v>
      </c>
      <c r="AR28" s="22">
        <v>274.76499999999999</v>
      </c>
      <c r="AS28" s="22">
        <v>-3.0929600000000001E-3</v>
      </c>
      <c r="AT28" s="22">
        <v>18</v>
      </c>
      <c r="AU28" s="22">
        <v>1.7584200000000001</v>
      </c>
      <c r="AV28">
        <f t="shared" si="8"/>
        <v>3.0929600000000002</v>
      </c>
      <c r="AW28">
        <f t="shared" si="9"/>
        <v>5.4415682464000001</v>
      </c>
      <c r="AX28" s="9"/>
      <c r="AY28" s="22">
        <v>-9.3078599999999994E-3</v>
      </c>
      <c r="AZ28" s="22">
        <v>353.995</v>
      </c>
      <c r="BA28" s="22">
        <v>-1.6958600000000001E-2</v>
      </c>
      <c r="BB28" s="22">
        <v>18</v>
      </c>
      <c r="BC28" s="22">
        <v>-9.5062299999999992E-3</v>
      </c>
      <c r="BD28">
        <f t="shared" si="10"/>
        <v>16.958600000000001</v>
      </c>
      <c r="BE28">
        <f t="shared" si="11"/>
        <v>-0.15784827459599998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25.563800000000001</v>
      </c>
      <c r="I29" s="22">
        <v>-5.8960000000000002E-3</v>
      </c>
      <c r="J29" s="22">
        <v>19</v>
      </c>
      <c r="K29" s="22">
        <v>1.7535400000000001</v>
      </c>
      <c r="L29">
        <f t="shared" si="0"/>
        <v>5.8959999999999999</v>
      </c>
      <c r="M29">
        <f t="shared" si="1"/>
        <v>10.3433528</v>
      </c>
      <c r="N29" s="9"/>
      <c r="O29" s="22">
        <v>-4.2724599999999996E-3</v>
      </c>
      <c r="P29" s="22">
        <v>80.959599999999995</v>
      </c>
      <c r="Q29" s="22">
        <v>-1.7395000000000001E-2</v>
      </c>
      <c r="R29" s="22">
        <v>19</v>
      </c>
      <c r="S29" s="22">
        <v>-4.4525099999999998E-3</v>
      </c>
      <c r="T29">
        <f t="shared" si="2"/>
        <v>17.395</v>
      </c>
      <c r="U29">
        <f t="shared" si="3"/>
        <v>-7.4319441699999989E-2</v>
      </c>
      <c r="X29" s="9"/>
      <c r="Y29" s="22">
        <v>1.7543</v>
      </c>
      <c r="Z29" s="22">
        <v>142.917</v>
      </c>
      <c r="AA29" s="22">
        <v>-4.1070600000000001E-3</v>
      </c>
      <c r="AB29" s="22">
        <v>19</v>
      </c>
      <c r="AC29" s="22">
        <v>1.7535400000000001</v>
      </c>
      <c r="AD29">
        <f t="shared" si="4"/>
        <v>4.1070599999999997</v>
      </c>
      <c r="AE29">
        <f t="shared" si="5"/>
        <v>7.2050153579999998</v>
      </c>
      <c r="AF29" s="9"/>
      <c r="AG29" s="22">
        <v>-4.2724599999999996E-3</v>
      </c>
      <c r="AH29" s="22">
        <v>222.44900000000001</v>
      </c>
      <c r="AI29" s="22">
        <v>-1.71082E-2</v>
      </c>
      <c r="AJ29" s="22">
        <v>19</v>
      </c>
      <c r="AK29" s="22">
        <v>-4.4647200000000001E-3</v>
      </c>
      <c r="AL29">
        <f t="shared" si="6"/>
        <v>17.1082</v>
      </c>
      <c r="AM29">
        <f t="shared" si="7"/>
        <v>-7.3094100171999993E-2</v>
      </c>
      <c r="AP29" s="9"/>
      <c r="AQ29" s="22">
        <v>1.7543</v>
      </c>
      <c r="AR29" s="22">
        <v>274.86599999999999</v>
      </c>
      <c r="AS29" s="22">
        <v>-3.7847900000000001E-3</v>
      </c>
      <c r="AT29" s="22">
        <v>19</v>
      </c>
      <c r="AU29" s="22">
        <v>1.7535400000000001</v>
      </c>
      <c r="AV29">
        <f t="shared" si="8"/>
        <v>3.7847900000000001</v>
      </c>
      <c r="AW29">
        <f t="shared" si="9"/>
        <v>6.6396570969999997</v>
      </c>
      <c r="AX29" s="9"/>
      <c r="AY29" s="22">
        <v>-4.2724599999999996E-3</v>
      </c>
      <c r="AZ29" s="22">
        <v>354.096</v>
      </c>
      <c r="BA29" s="22">
        <v>-1.6949499999999999E-2</v>
      </c>
      <c r="BB29" s="22">
        <v>19</v>
      </c>
      <c r="BC29" s="22">
        <v>-4.5532200000000002E-3</v>
      </c>
      <c r="BD29">
        <f t="shared" si="10"/>
        <v>16.9495</v>
      </c>
      <c r="BE29">
        <f t="shared" si="11"/>
        <v>-7.2416060769999999E-2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25.6645</v>
      </c>
      <c r="I30" s="22">
        <v>-6.3812299999999999E-3</v>
      </c>
      <c r="J30" s="22">
        <v>20</v>
      </c>
      <c r="K30" s="22">
        <v>1.7492700000000001</v>
      </c>
      <c r="L30">
        <f t="shared" si="0"/>
        <v>6.3812299999999995</v>
      </c>
      <c r="M30">
        <f t="shared" si="1"/>
        <v>11.1624942021</v>
      </c>
      <c r="N30" s="9"/>
      <c r="O30" s="22">
        <v>7.6293900000000002E-4</v>
      </c>
      <c r="P30" s="22">
        <v>81.060299999999998</v>
      </c>
      <c r="Q30" s="22">
        <v>-1.73706E-2</v>
      </c>
      <c r="R30" s="22">
        <v>20</v>
      </c>
      <c r="S30" s="22">
        <v>5.5542000000000005E-4</v>
      </c>
      <c r="T30">
        <f t="shared" si="2"/>
        <v>17.3706</v>
      </c>
      <c r="U30">
        <f t="shared" si="3"/>
        <v>1.3252708193399999E-2</v>
      </c>
      <c r="X30" s="9"/>
      <c r="Y30" s="22">
        <v>1.7492700000000001</v>
      </c>
      <c r="Z30" s="22">
        <v>143.017</v>
      </c>
      <c r="AA30" s="22">
        <v>-4.75159E-3</v>
      </c>
      <c r="AB30" s="22">
        <v>20</v>
      </c>
      <c r="AC30" s="22">
        <v>1.7486600000000001</v>
      </c>
      <c r="AD30">
        <f t="shared" si="4"/>
        <v>4.7515900000000002</v>
      </c>
      <c r="AE30">
        <f t="shared" si="5"/>
        <v>8.311813839300001</v>
      </c>
      <c r="AF30" s="9"/>
      <c r="AG30" s="22">
        <v>7.6293900000000002E-4</v>
      </c>
      <c r="AH30" s="22">
        <v>222.55</v>
      </c>
      <c r="AI30" s="22">
        <v>-1.7086799999999999E-2</v>
      </c>
      <c r="AJ30" s="22">
        <v>20</v>
      </c>
      <c r="AK30" s="22">
        <v>5.8288600000000002E-4</v>
      </c>
      <c r="AL30">
        <f t="shared" si="6"/>
        <v>17.0868</v>
      </c>
      <c r="AM30">
        <f t="shared" si="7"/>
        <v>1.30361861052E-2</v>
      </c>
      <c r="AP30" s="9"/>
      <c r="AQ30" s="22">
        <v>1.7492700000000001</v>
      </c>
      <c r="AR30" s="22">
        <v>274.96600000000001</v>
      </c>
      <c r="AS30" s="22">
        <v>-4.4320699999999998E-3</v>
      </c>
      <c r="AT30" s="22">
        <v>20</v>
      </c>
      <c r="AU30" s="22">
        <v>1.7483500000000001</v>
      </c>
      <c r="AV30">
        <f t="shared" si="8"/>
        <v>4.4320699999999995</v>
      </c>
      <c r="AW30">
        <f t="shared" si="9"/>
        <v>7.7528870888999997</v>
      </c>
      <c r="AX30" s="9"/>
      <c r="AY30" s="22">
        <v>7.6293900000000002E-4</v>
      </c>
      <c r="AZ30" s="22">
        <v>354.197</v>
      </c>
      <c r="BA30" s="22">
        <v>-1.6952499999999999E-2</v>
      </c>
      <c r="BB30" s="22">
        <v>20</v>
      </c>
      <c r="BC30" s="22">
        <v>6.13403E-4</v>
      </c>
      <c r="BD30">
        <f t="shared" si="10"/>
        <v>16.952500000000001</v>
      </c>
      <c r="BE30">
        <f t="shared" si="11"/>
        <v>1.2933723397500001E-2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25.7652</v>
      </c>
      <c r="I31" s="22">
        <v>-6.84814E-3</v>
      </c>
      <c r="J31" s="22">
        <v>21</v>
      </c>
      <c r="K31" s="22">
        <v>1.7434700000000001</v>
      </c>
      <c r="L31">
        <f t="shared" si="0"/>
        <v>6.8481399999999999</v>
      </c>
      <c r="M31">
        <f t="shared" si="1"/>
        <v>11.944731232199999</v>
      </c>
      <c r="N31" s="9"/>
      <c r="O31" s="22">
        <v>5.7983399999999999E-3</v>
      </c>
      <c r="P31" s="22">
        <v>81.161000000000001</v>
      </c>
      <c r="Q31" s="22">
        <v>-1.73584E-2</v>
      </c>
      <c r="R31" s="22">
        <v>21</v>
      </c>
      <c r="S31" s="22">
        <v>5.5786100000000003E-3</v>
      </c>
      <c r="T31">
        <f t="shared" si="2"/>
        <v>17.3584</v>
      </c>
      <c r="U31">
        <f t="shared" si="3"/>
        <v>0.10064990505599999</v>
      </c>
      <c r="X31" s="9"/>
      <c r="Y31" s="22">
        <v>1.7442299999999999</v>
      </c>
      <c r="Z31" s="22">
        <v>143.11799999999999</v>
      </c>
      <c r="AA31" s="22">
        <v>-5.3436300000000003E-3</v>
      </c>
      <c r="AB31" s="22">
        <v>21</v>
      </c>
      <c r="AC31" s="22">
        <v>1.74377</v>
      </c>
      <c r="AD31">
        <f t="shared" si="4"/>
        <v>5.3436300000000001</v>
      </c>
      <c r="AE31">
        <f t="shared" si="5"/>
        <v>9.3205197548999994</v>
      </c>
      <c r="AF31" s="9"/>
      <c r="AG31" s="22">
        <v>5.7983399999999999E-3</v>
      </c>
      <c r="AH31" s="22">
        <v>222.65</v>
      </c>
      <c r="AI31" s="22">
        <v>-1.70715E-2</v>
      </c>
      <c r="AJ31" s="22">
        <v>21</v>
      </c>
      <c r="AK31" s="22">
        <v>5.6762699999999998E-3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275.06700000000001</v>
      </c>
      <c r="AS31" s="22">
        <v>-5.0353999999999998E-3</v>
      </c>
      <c r="AT31" s="22">
        <v>21</v>
      </c>
      <c r="AU31" s="22">
        <v>1.74316</v>
      </c>
      <c r="AV31">
        <f t="shared" si="8"/>
        <v>5.0354000000000001</v>
      </c>
      <c r="AW31">
        <f t="shared" si="9"/>
        <v>8.7828957419999991</v>
      </c>
      <c r="AX31" s="9"/>
      <c r="AY31" s="22">
        <v>5.7983399999999999E-3</v>
      </c>
      <c r="AZ31" s="22">
        <v>354.29700000000003</v>
      </c>
      <c r="BA31" s="22">
        <v>-1.6937299999999999E-2</v>
      </c>
      <c r="BB31" s="22">
        <v>21</v>
      </c>
      <c r="BC31" s="22">
        <v>5.6487999999999998E-3</v>
      </c>
      <c r="BD31">
        <f t="shared" si="10"/>
        <v>16.9373</v>
      </c>
      <c r="BE31">
        <f t="shared" si="11"/>
        <v>9.8208224082000001E-2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25.8659</v>
      </c>
      <c r="I32" s="22">
        <v>-7.2692900000000003E-3</v>
      </c>
      <c r="J32" s="22">
        <v>22</v>
      </c>
      <c r="K32" s="22">
        <v>1.73889</v>
      </c>
      <c r="L32">
        <f t="shared" si="0"/>
        <v>7.2692900000000007</v>
      </c>
      <c r="M32">
        <f t="shared" si="1"/>
        <v>12.642749168000002</v>
      </c>
      <c r="N32" s="9"/>
      <c r="O32" s="22">
        <v>1.08337E-2</v>
      </c>
      <c r="P32" s="22">
        <v>81.261700000000005</v>
      </c>
      <c r="Q32" s="22">
        <v>-1.7388899999999999E-2</v>
      </c>
      <c r="R32" s="22">
        <v>22</v>
      </c>
      <c r="S32" s="22">
        <v>1.07574E-2</v>
      </c>
      <c r="T32">
        <f t="shared" si="2"/>
        <v>17.3889</v>
      </c>
      <c r="U32">
        <f t="shared" si="3"/>
        <v>0.18838612592999998</v>
      </c>
      <c r="X32" s="9"/>
      <c r="Y32" s="22">
        <v>1.7392000000000001</v>
      </c>
      <c r="Z32" s="22">
        <v>143.21899999999999</v>
      </c>
      <c r="AA32" s="22">
        <v>-5.8960000000000002E-3</v>
      </c>
      <c r="AB32" s="22">
        <v>22</v>
      </c>
      <c r="AC32" s="22">
        <v>1.73828</v>
      </c>
      <c r="AD32">
        <f t="shared" si="4"/>
        <v>5.8959999999999999</v>
      </c>
      <c r="AE32">
        <f t="shared" si="5"/>
        <v>10.2543232</v>
      </c>
      <c r="AF32" s="9"/>
      <c r="AG32" s="22">
        <v>1.08337E-2</v>
      </c>
      <c r="AH32" s="22">
        <v>222.751</v>
      </c>
      <c r="AI32" s="22">
        <v>-1.7047099999999999E-2</v>
      </c>
      <c r="AJ32" s="22">
        <v>22</v>
      </c>
      <c r="AK32" s="22">
        <v>1.07239E-2</v>
      </c>
      <c r="AL32">
        <f t="shared" si="6"/>
        <v>17.0471</v>
      </c>
      <c r="AM32">
        <f t="shared" si="7"/>
        <v>0.18468316727</v>
      </c>
      <c r="AP32" s="9"/>
      <c r="AQ32" s="22">
        <v>1.7392000000000001</v>
      </c>
      <c r="AR32" s="22">
        <v>275.16800000000001</v>
      </c>
      <c r="AS32" s="22">
        <v>-5.6182899999999997E-3</v>
      </c>
      <c r="AT32" s="22">
        <v>22</v>
      </c>
      <c r="AU32" s="22">
        <v>1.7379800000000001</v>
      </c>
      <c r="AV32">
        <f t="shared" si="8"/>
        <v>5.61829</v>
      </c>
      <c r="AW32">
        <f t="shared" si="9"/>
        <v>9.7713299679999999</v>
      </c>
      <c r="AX32" s="9"/>
      <c r="AY32" s="22">
        <v>1.08337E-2</v>
      </c>
      <c r="AZ32" s="22">
        <v>354.39800000000002</v>
      </c>
      <c r="BA32" s="22">
        <v>-1.6937299999999999E-2</v>
      </c>
      <c r="BB32" s="22">
        <v>22</v>
      </c>
      <c r="BC32" s="22">
        <v>1.08307E-2</v>
      </c>
      <c r="BD32">
        <f t="shared" si="10"/>
        <v>16.9373</v>
      </c>
      <c r="BE32">
        <f t="shared" si="11"/>
        <v>0.18349362700999999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25.9666</v>
      </c>
      <c r="I33" s="22">
        <v>-7.69653E-3</v>
      </c>
      <c r="J33" s="22">
        <v>23</v>
      </c>
      <c r="K33" s="22">
        <v>1.7334000000000001</v>
      </c>
      <c r="L33">
        <f t="shared" si="0"/>
        <v>7.6965300000000001</v>
      </c>
      <c r="M33">
        <f t="shared" si="1"/>
        <v>13.347014464799999</v>
      </c>
      <c r="N33" s="9"/>
      <c r="O33" s="22">
        <v>1.5869100000000001E-2</v>
      </c>
      <c r="P33" s="22">
        <v>81.362399999999994</v>
      </c>
      <c r="Q33" s="22">
        <v>-1.7364500000000001E-2</v>
      </c>
      <c r="R33" s="22">
        <v>23</v>
      </c>
      <c r="S33" s="22">
        <v>1.56677E-2</v>
      </c>
      <c r="T33">
        <f t="shared" si="2"/>
        <v>17.364500000000003</v>
      </c>
      <c r="U33">
        <f t="shared" si="3"/>
        <v>0.27555898695000008</v>
      </c>
      <c r="X33" s="9"/>
      <c r="Y33" s="22">
        <v>1.7341599999999999</v>
      </c>
      <c r="Z33" s="22">
        <v>143.31899999999999</v>
      </c>
      <c r="AA33" s="22">
        <v>-6.4025899999999997E-3</v>
      </c>
      <c r="AB33" s="22">
        <v>23</v>
      </c>
      <c r="AC33" s="22">
        <v>1.7334000000000001</v>
      </c>
      <c r="AD33">
        <f t="shared" si="4"/>
        <v>6.40259</v>
      </c>
      <c r="AE33">
        <f t="shared" si="5"/>
        <v>11.103115474399999</v>
      </c>
      <c r="AF33" s="9"/>
      <c r="AG33" s="22">
        <v>1.5869100000000001E-2</v>
      </c>
      <c r="AH33" s="22">
        <v>222.852</v>
      </c>
      <c r="AI33" s="22">
        <v>-1.7034899999999999E-2</v>
      </c>
      <c r="AJ33" s="22">
        <v>23</v>
      </c>
      <c r="AK33" s="22">
        <v>1.57593E-2</v>
      </c>
      <c r="AL33">
        <f t="shared" si="6"/>
        <v>17.0349</v>
      </c>
      <c r="AM33">
        <f t="shared" si="7"/>
        <v>0.27032853159000003</v>
      </c>
      <c r="AP33" s="9"/>
      <c r="AQ33" s="22">
        <v>1.7341599999999999</v>
      </c>
      <c r="AR33" s="22">
        <v>275.26799999999997</v>
      </c>
      <c r="AS33" s="22">
        <v>-6.14929E-3</v>
      </c>
      <c r="AT33" s="22">
        <v>23</v>
      </c>
      <c r="AU33" s="22">
        <v>1.73309</v>
      </c>
      <c r="AV33">
        <f t="shared" si="8"/>
        <v>6.1492899999999997</v>
      </c>
      <c r="AW33">
        <f t="shared" si="9"/>
        <v>10.663852746399998</v>
      </c>
      <c r="AX33" s="9"/>
      <c r="AY33" s="22">
        <v>1.5869100000000001E-2</v>
      </c>
      <c r="AZ33" s="22">
        <v>354.49900000000002</v>
      </c>
      <c r="BA33" s="22">
        <v>-1.6922E-2</v>
      </c>
      <c r="BB33" s="22">
        <v>23</v>
      </c>
      <c r="BC33" s="22">
        <v>1.57745E-2</v>
      </c>
      <c r="BD33">
        <f t="shared" si="10"/>
        <v>16.922000000000001</v>
      </c>
      <c r="BE33">
        <f t="shared" si="11"/>
        <v>0.26853691020000003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26.067299999999999</v>
      </c>
      <c r="I34" s="22">
        <v>-8.0932599999999997E-3</v>
      </c>
      <c r="J34" s="22">
        <v>24</v>
      </c>
      <c r="K34" s="22">
        <v>1.72821</v>
      </c>
      <c r="L34">
        <f t="shared" si="0"/>
        <v>8.093259999999999</v>
      </c>
      <c r="M34">
        <f t="shared" si="1"/>
        <v>13.994298663799999</v>
      </c>
      <c r="N34" s="9"/>
      <c r="O34" s="22">
        <v>2.0904499999999999E-2</v>
      </c>
      <c r="P34" s="22">
        <v>81.463099999999997</v>
      </c>
      <c r="Q34" s="22">
        <v>-1.73828E-2</v>
      </c>
      <c r="R34" s="22">
        <v>24</v>
      </c>
      <c r="S34" s="22">
        <v>2.0840500000000001E-2</v>
      </c>
      <c r="T34">
        <f t="shared" si="2"/>
        <v>17.3828</v>
      </c>
      <c r="U34">
        <f t="shared" si="3"/>
        <v>0.36337874259999997</v>
      </c>
      <c r="X34" s="9"/>
      <c r="Y34" s="22">
        <v>1.7291300000000001</v>
      </c>
      <c r="Z34" s="22">
        <v>143.41999999999999</v>
      </c>
      <c r="AA34" s="22">
        <v>-6.8847700000000001E-3</v>
      </c>
      <c r="AB34" s="22">
        <v>24</v>
      </c>
      <c r="AC34" s="22">
        <v>1.72821</v>
      </c>
      <c r="AD34">
        <f t="shared" si="4"/>
        <v>6.8847700000000005</v>
      </c>
      <c r="AE34">
        <f t="shared" si="5"/>
        <v>11.904662350100001</v>
      </c>
      <c r="AF34" s="9"/>
      <c r="AG34" s="22">
        <v>2.0904499999999999E-2</v>
      </c>
      <c r="AH34" s="22">
        <v>222.952</v>
      </c>
      <c r="AI34" s="22">
        <v>-1.7053200000000001E-2</v>
      </c>
      <c r="AJ34" s="22">
        <v>24</v>
      </c>
      <c r="AK34" s="22">
        <v>2.0797699999999999E-2</v>
      </c>
      <c r="AL34">
        <f t="shared" si="6"/>
        <v>17.0532</v>
      </c>
      <c r="AM34">
        <f t="shared" si="7"/>
        <v>0.35648861939999998</v>
      </c>
      <c r="AP34" s="9"/>
      <c r="AQ34" s="22">
        <v>1.7291300000000001</v>
      </c>
      <c r="AR34" s="22">
        <v>275.36900000000003</v>
      </c>
      <c r="AS34" s="22">
        <v>-6.6223100000000002E-3</v>
      </c>
      <c r="AT34" s="22">
        <v>24</v>
      </c>
      <c r="AU34" s="22">
        <v>1.7285200000000001</v>
      </c>
      <c r="AV34">
        <f t="shared" si="8"/>
        <v>6.6223100000000006</v>
      </c>
      <c r="AW34">
        <f t="shared" si="9"/>
        <v>11.450834890300001</v>
      </c>
      <c r="AX34" s="9"/>
      <c r="AY34" s="22">
        <v>2.0904499999999999E-2</v>
      </c>
      <c r="AZ34" s="22">
        <v>354.6</v>
      </c>
      <c r="BA34" s="22">
        <v>-1.6900600000000002E-2</v>
      </c>
      <c r="BB34" s="22">
        <v>24</v>
      </c>
      <c r="BC34" s="22">
        <v>2.09015E-2</v>
      </c>
      <c r="BD34">
        <f t="shared" si="10"/>
        <v>16.900600000000001</v>
      </c>
      <c r="BE34">
        <f t="shared" si="11"/>
        <v>0.35329859270000002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26.167999999999999</v>
      </c>
      <c r="I35" s="22">
        <v>-8.4381100000000004E-3</v>
      </c>
      <c r="J35" s="22">
        <v>25</v>
      </c>
      <c r="K35" s="22">
        <v>1.72333</v>
      </c>
      <c r="L35">
        <f t="shared" si="0"/>
        <v>8.43811</v>
      </c>
      <c r="M35">
        <f t="shared" si="1"/>
        <v>14.548061069899999</v>
      </c>
      <c r="N35" s="9"/>
      <c r="O35" s="22">
        <v>2.5939899999999998E-2</v>
      </c>
      <c r="P35" s="22">
        <v>81.563900000000004</v>
      </c>
      <c r="Q35" s="22">
        <v>-1.7379800000000001E-2</v>
      </c>
      <c r="R35" s="22">
        <v>25</v>
      </c>
      <c r="S35" s="22">
        <v>2.5866699999999999E-2</v>
      </c>
      <c r="T35">
        <f t="shared" si="2"/>
        <v>17.379799999999999</v>
      </c>
      <c r="U35">
        <f t="shared" si="3"/>
        <v>0.45083027401999998</v>
      </c>
      <c r="X35" s="9"/>
      <c r="Y35" s="22">
        <v>1.7240899999999999</v>
      </c>
      <c r="Z35" s="22">
        <v>143.52099999999999</v>
      </c>
      <c r="AA35" s="22">
        <v>-7.3577900000000003E-3</v>
      </c>
      <c r="AB35" s="22">
        <v>25</v>
      </c>
      <c r="AC35" s="22">
        <v>1.72363</v>
      </c>
      <c r="AD35">
        <f t="shared" si="4"/>
        <v>7.3577900000000005</v>
      </c>
      <c r="AE35">
        <f t="shared" si="5"/>
        <v>12.685492161100001</v>
      </c>
      <c r="AF35" s="9"/>
      <c r="AG35" s="22">
        <v>2.5939899999999998E-2</v>
      </c>
      <c r="AH35" s="22">
        <v>223.053</v>
      </c>
      <c r="AI35" s="22">
        <v>-1.70441E-2</v>
      </c>
      <c r="AJ35" s="22">
        <v>25</v>
      </c>
      <c r="AK35" s="22">
        <v>2.5824E-2</v>
      </c>
      <c r="AL35">
        <f t="shared" si="6"/>
        <v>17.0441</v>
      </c>
      <c r="AM35">
        <f t="shared" si="7"/>
        <v>0.44212224958999996</v>
      </c>
      <c r="AP35" s="9"/>
      <c r="AQ35" s="22">
        <v>1.7240899999999999</v>
      </c>
      <c r="AR35" s="22">
        <v>275.47000000000003</v>
      </c>
      <c r="AS35" s="22">
        <v>-7.0953400000000003E-3</v>
      </c>
      <c r="AT35" s="22">
        <v>25</v>
      </c>
      <c r="AU35" s="22">
        <v>1.72302</v>
      </c>
      <c r="AV35">
        <f t="shared" si="8"/>
        <v>7.0953400000000002</v>
      </c>
      <c r="AW35">
        <f t="shared" si="9"/>
        <v>12.2330047406</v>
      </c>
      <c r="AX35" s="9"/>
      <c r="AY35" s="22">
        <v>2.5939899999999998E-2</v>
      </c>
      <c r="AZ35" s="22">
        <v>354.7</v>
      </c>
      <c r="BA35" s="22">
        <v>-1.6912799999999999E-2</v>
      </c>
      <c r="BB35" s="22">
        <v>25</v>
      </c>
      <c r="BC35" s="22">
        <v>2.58362E-2</v>
      </c>
      <c r="BD35">
        <f t="shared" si="10"/>
        <v>16.912799999999997</v>
      </c>
      <c r="BE35">
        <f t="shared" si="11"/>
        <v>0.43871634071999988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26.268699999999999</v>
      </c>
      <c r="I36" s="22">
        <v>-8.8226299999999997E-3</v>
      </c>
      <c r="J36" s="22">
        <v>26</v>
      </c>
      <c r="K36" s="22">
        <v>1.71844</v>
      </c>
      <c r="L36">
        <f t="shared" si="0"/>
        <v>8.8226300000000002</v>
      </c>
      <c r="M36">
        <f t="shared" si="1"/>
        <v>15.1666303278</v>
      </c>
      <c r="N36" s="9"/>
      <c r="O36" s="22">
        <v>3.0975300000000001E-2</v>
      </c>
      <c r="P36" s="22">
        <v>81.664599999999993</v>
      </c>
      <c r="Q36" s="22">
        <v>-1.7355300000000001E-2</v>
      </c>
      <c r="R36" s="22">
        <v>26</v>
      </c>
      <c r="S36" s="22">
        <v>3.08533E-2</v>
      </c>
      <c r="T36">
        <f t="shared" si="2"/>
        <v>17.3553</v>
      </c>
      <c r="U36">
        <f t="shared" si="3"/>
        <v>0.53758562408999999</v>
      </c>
      <c r="X36" s="9"/>
      <c r="Y36" s="22">
        <v>1.71906</v>
      </c>
      <c r="Z36" s="22">
        <v>143.62200000000001</v>
      </c>
      <c r="AA36" s="22">
        <v>-7.7880900000000001E-3</v>
      </c>
      <c r="AB36" s="22">
        <v>26</v>
      </c>
      <c r="AC36" s="22">
        <v>1.71844</v>
      </c>
      <c r="AD36">
        <f t="shared" si="4"/>
        <v>7.7880900000000004</v>
      </c>
      <c r="AE36">
        <f t="shared" si="5"/>
        <v>13.388193995400002</v>
      </c>
      <c r="AF36" s="9"/>
      <c r="AG36" s="22">
        <v>3.0975300000000001E-2</v>
      </c>
      <c r="AH36" s="22">
        <v>223.154</v>
      </c>
      <c r="AI36" s="22">
        <v>-1.7022700000000002E-2</v>
      </c>
      <c r="AJ36" s="22">
        <v>26</v>
      </c>
      <c r="AK36" s="22">
        <v>3.08685E-2</v>
      </c>
      <c r="AL36">
        <f t="shared" si="6"/>
        <v>17.0227</v>
      </c>
      <c r="AM36">
        <f t="shared" si="7"/>
        <v>0.52728323930999998</v>
      </c>
      <c r="AP36" s="9"/>
      <c r="AQ36" s="22">
        <v>1.71906</v>
      </c>
      <c r="AR36" s="22">
        <v>275.57100000000003</v>
      </c>
      <c r="AS36" s="22">
        <v>-7.49207E-3</v>
      </c>
      <c r="AT36" s="22">
        <v>26</v>
      </c>
      <c r="AU36" s="22">
        <v>1.71875</v>
      </c>
      <c r="AV36">
        <f t="shared" si="8"/>
        <v>7.49207</v>
      </c>
      <c r="AW36">
        <f t="shared" si="9"/>
        <v>12.8793178542</v>
      </c>
      <c r="AX36" s="9"/>
      <c r="AY36" s="22">
        <v>3.0975300000000001E-2</v>
      </c>
      <c r="AZ36" s="22">
        <v>354.80099999999999</v>
      </c>
      <c r="BA36" s="22">
        <v>-1.68945E-2</v>
      </c>
      <c r="BB36" s="22">
        <v>26</v>
      </c>
      <c r="BC36" s="22">
        <v>3.0960100000000001E-2</v>
      </c>
      <c r="BD36">
        <f t="shared" si="10"/>
        <v>16.894500000000001</v>
      </c>
      <c r="BE36">
        <f t="shared" si="11"/>
        <v>0.52331220585000005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26.369399999999999</v>
      </c>
      <c r="I37" s="22">
        <v>-9.1522200000000008E-3</v>
      </c>
      <c r="J37" s="22">
        <v>27</v>
      </c>
      <c r="K37" s="22">
        <v>1.71326</v>
      </c>
      <c r="L37">
        <f t="shared" si="0"/>
        <v>9.1522200000000016</v>
      </c>
      <c r="M37">
        <f t="shared" si="1"/>
        <v>15.687088124400004</v>
      </c>
      <c r="N37" s="9"/>
      <c r="O37" s="22">
        <v>3.60107E-2</v>
      </c>
      <c r="P37" s="22">
        <v>81.765299999999996</v>
      </c>
      <c r="Q37" s="22">
        <v>-1.7318699999999999E-2</v>
      </c>
      <c r="R37" s="22">
        <v>27</v>
      </c>
      <c r="S37" s="22">
        <v>3.5968E-2</v>
      </c>
      <c r="T37">
        <f t="shared" si="2"/>
        <v>17.3187</v>
      </c>
      <c r="U37">
        <f t="shared" si="3"/>
        <v>0.62365851008999995</v>
      </c>
      <c r="X37" s="9"/>
      <c r="Y37" s="22">
        <v>1.7140200000000001</v>
      </c>
      <c r="Z37" s="22">
        <v>143.72200000000001</v>
      </c>
      <c r="AA37" s="22">
        <v>-8.1787100000000005E-3</v>
      </c>
      <c r="AB37" s="22">
        <v>27</v>
      </c>
      <c r="AC37" s="22">
        <v>1.71356</v>
      </c>
      <c r="AD37">
        <f t="shared" si="4"/>
        <v>8.1787100000000006</v>
      </c>
      <c r="AE37">
        <f t="shared" si="5"/>
        <v>14.018472514200003</v>
      </c>
      <c r="AF37" s="9"/>
      <c r="AG37" s="22">
        <v>3.60107E-2</v>
      </c>
      <c r="AH37" s="22">
        <v>223.255</v>
      </c>
      <c r="AI37" s="22">
        <v>-1.7010500000000001E-2</v>
      </c>
      <c r="AJ37" s="22">
        <v>27</v>
      </c>
      <c r="AK37" s="22">
        <v>3.5940600000000003E-2</v>
      </c>
      <c r="AL37">
        <f t="shared" si="6"/>
        <v>17.0105</v>
      </c>
      <c r="AM37">
        <f t="shared" si="7"/>
        <v>0.61256001235000002</v>
      </c>
      <c r="AP37" s="9"/>
      <c r="AQ37" s="22">
        <v>1.7140200000000001</v>
      </c>
      <c r="AR37" s="22">
        <v>275.67099999999999</v>
      </c>
      <c r="AS37" s="22">
        <v>-7.8887899999999997E-3</v>
      </c>
      <c r="AT37" s="22">
        <v>27</v>
      </c>
      <c r="AU37" s="22">
        <v>1.71326</v>
      </c>
      <c r="AV37">
        <f t="shared" si="8"/>
        <v>7.8887899999999993</v>
      </c>
      <c r="AW37">
        <f t="shared" si="9"/>
        <v>13.521543835799999</v>
      </c>
      <c r="AX37" s="9"/>
      <c r="AY37" s="22">
        <v>3.60107E-2</v>
      </c>
      <c r="AZ37" s="22">
        <v>354.90199999999999</v>
      </c>
      <c r="BA37" s="22">
        <v>-1.6876200000000001E-2</v>
      </c>
      <c r="BB37" s="22">
        <v>27</v>
      </c>
      <c r="BC37" s="22">
        <v>3.5903900000000002E-2</v>
      </c>
      <c r="BD37">
        <f t="shared" si="10"/>
        <v>16.876200000000001</v>
      </c>
      <c r="BE37">
        <f t="shared" si="11"/>
        <v>0.60772377533999999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26.470099999999999</v>
      </c>
      <c r="I38" s="22">
        <v>-9.4604500000000005E-3</v>
      </c>
      <c r="J38" s="22">
        <v>28</v>
      </c>
      <c r="K38" s="22">
        <v>1.7077599999999999</v>
      </c>
      <c r="L38">
        <f t="shared" si="0"/>
        <v>9.4604499999999998</v>
      </c>
      <c r="M38">
        <f t="shared" si="1"/>
        <v>16.167719841</v>
      </c>
      <c r="N38" s="9"/>
      <c r="O38" s="22">
        <v>4.1046100000000002E-2</v>
      </c>
      <c r="P38" s="22">
        <v>81.866</v>
      </c>
      <c r="Q38" s="22">
        <v>-1.7306499999999999E-2</v>
      </c>
      <c r="R38" s="22">
        <v>28</v>
      </c>
      <c r="S38" s="22">
        <v>4.104E-2</v>
      </c>
      <c r="T38">
        <f t="shared" si="2"/>
        <v>17.3065</v>
      </c>
      <c r="U38">
        <f t="shared" si="3"/>
        <v>0.71036432965000007</v>
      </c>
      <c r="X38" s="9"/>
      <c r="Y38" s="22">
        <v>1.7089799999999999</v>
      </c>
      <c r="Z38" s="22">
        <v>143.82300000000001</v>
      </c>
      <c r="AA38" s="22">
        <v>-8.5571299999999996E-3</v>
      </c>
      <c r="AB38" s="22">
        <v>28</v>
      </c>
      <c r="AC38" s="22">
        <v>1.70807</v>
      </c>
      <c r="AD38">
        <f t="shared" si="4"/>
        <v>8.557129999999999</v>
      </c>
      <c r="AE38">
        <f t="shared" si="5"/>
        <v>14.623964027399998</v>
      </c>
      <c r="AF38" s="9"/>
      <c r="AG38" s="22">
        <v>4.1046100000000002E-2</v>
      </c>
      <c r="AH38" s="22">
        <v>223.35499999999999</v>
      </c>
      <c r="AI38" s="22">
        <v>-1.7004399999999999E-2</v>
      </c>
      <c r="AJ38" s="22">
        <v>28</v>
      </c>
      <c r="AK38" s="22">
        <v>4.09821E-2</v>
      </c>
      <c r="AL38">
        <f t="shared" si="6"/>
        <v>17.0044</v>
      </c>
      <c r="AM38">
        <f t="shared" si="7"/>
        <v>0.69796430284000011</v>
      </c>
      <c r="AP38" s="9"/>
      <c r="AQ38" s="22">
        <v>1.7089799999999999</v>
      </c>
      <c r="AR38" s="22">
        <v>275.77199999999999</v>
      </c>
      <c r="AS38" s="22">
        <v>-8.2702599999999998E-3</v>
      </c>
      <c r="AT38" s="22">
        <v>28</v>
      </c>
      <c r="AU38" s="22">
        <v>1.7083699999999999</v>
      </c>
      <c r="AV38">
        <f t="shared" si="8"/>
        <v>8.2702600000000004</v>
      </c>
      <c r="AW38">
        <f t="shared" si="9"/>
        <v>14.1337089348</v>
      </c>
      <c r="AX38" s="9"/>
      <c r="AY38" s="22">
        <v>4.1046100000000002E-2</v>
      </c>
      <c r="AZ38" s="22">
        <v>355.00200000000001</v>
      </c>
      <c r="BA38" s="22">
        <v>-1.6857899999999999E-2</v>
      </c>
      <c r="BB38" s="22">
        <v>28</v>
      </c>
      <c r="BC38" s="22">
        <v>4.09821E-2</v>
      </c>
      <c r="BD38">
        <f t="shared" si="10"/>
        <v>16.857899999999997</v>
      </c>
      <c r="BE38">
        <f t="shared" si="11"/>
        <v>0.69195104918999994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26.570799999999998</v>
      </c>
      <c r="I39" s="22">
        <v>-9.7473100000000003E-3</v>
      </c>
      <c r="J39" s="22">
        <v>29</v>
      </c>
      <c r="K39" s="22">
        <v>1.7028799999999999</v>
      </c>
      <c r="L39">
        <f t="shared" si="0"/>
        <v>9.7473100000000006</v>
      </c>
      <c r="M39">
        <f t="shared" si="1"/>
        <v>16.608928874500002</v>
      </c>
      <c r="N39" s="9"/>
      <c r="O39" s="22">
        <v>4.6081499999999997E-2</v>
      </c>
      <c r="P39" s="22">
        <v>81.966700000000003</v>
      </c>
      <c r="Q39" s="22">
        <v>-1.73431E-2</v>
      </c>
      <c r="R39" s="22">
        <v>29</v>
      </c>
      <c r="S39" s="22">
        <v>4.6060200000000003E-2</v>
      </c>
      <c r="T39">
        <f t="shared" si="2"/>
        <v>17.3431</v>
      </c>
      <c r="U39">
        <f t="shared" si="3"/>
        <v>0.79919606264999998</v>
      </c>
      <c r="X39" s="9"/>
      <c r="Y39" s="22">
        <v>1.7039500000000001</v>
      </c>
      <c r="Z39" s="22">
        <v>143.92400000000001</v>
      </c>
      <c r="AA39" s="22">
        <v>-8.8958700000000002E-3</v>
      </c>
      <c r="AB39" s="22">
        <v>29</v>
      </c>
      <c r="AC39" s="22">
        <v>1.70319</v>
      </c>
      <c r="AD39">
        <f t="shared" si="4"/>
        <v>8.8958700000000004</v>
      </c>
      <c r="AE39">
        <f t="shared" si="5"/>
        <v>15.158117686500001</v>
      </c>
      <c r="AF39" s="9"/>
      <c r="AG39" s="22">
        <v>4.6081499999999997E-2</v>
      </c>
      <c r="AH39" s="22">
        <v>223.45599999999999</v>
      </c>
      <c r="AI39" s="22">
        <v>-1.70166E-2</v>
      </c>
      <c r="AJ39" s="22">
        <v>29</v>
      </c>
      <c r="AK39" s="22">
        <v>4.6090699999999998E-2</v>
      </c>
      <c r="AL39">
        <f t="shared" si="6"/>
        <v>17.0166</v>
      </c>
      <c r="AM39">
        <f t="shared" si="7"/>
        <v>0.78415045289999996</v>
      </c>
      <c r="AP39" s="9"/>
      <c r="AQ39" s="22">
        <v>1.7039500000000001</v>
      </c>
      <c r="AR39" s="22">
        <v>275.87299999999999</v>
      </c>
      <c r="AS39" s="22">
        <v>-8.6395299999999994E-3</v>
      </c>
      <c r="AT39" s="22">
        <v>29</v>
      </c>
      <c r="AU39" s="22">
        <v>1.7038</v>
      </c>
      <c r="AV39">
        <f t="shared" si="8"/>
        <v>8.6395299999999988</v>
      </c>
      <c r="AW39">
        <f t="shared" si="9"/>
        <v>14.721327143499998</v>
      </c>
      <c r="AX39" s="9"/>
      <c r="AY39" s="22">
        <v>4.6081499999999997E-2</v>
      </c>
      <c r="AZ39" s="22">
        <v>355.10300000000001</v>
      </c>
      <c r="BA39" s="22">
        <v>-1.6861000000000001E-2</v>
      </c>
      <c r="BB39" s="22">
        <v>29</v>
      </c>
      <c r="BC39" s="22">
        <v>4.6084600000000003E-2</v>
      </c>
      <c r="BD39">
        <f t="shared" si="10"/>
        <v>16.861000000000001</v>
      </c>
      <c r="BE39">
        <f t="shared" si="11"/>
        <v>0.77698017149999998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26.671500000000002</v>
      </c>
      <c r="I40" s="22">
        <v>-1.0024999999999999E-2</v>
      </c>
      <c r="J40" s="22">
        <v>30</v>
      </c>
      <c r="K40" s="22">
        <v>1.6989099999999999</v>
      </c>
      <c r="L40">
        <f t="shared" si="0"/>
        <v>10.024999999999999</v>
      </c>
      <c r="M40">
        <f t="shared" si="1"/>
        <v>17.031572749999995</v>
      </c>
      <c r="N40" s="9"/>
      <c r="O40" s="22">
        <v>5.11169E-2</v>
      </c>
      <c r="P40" s="22">
        <v>82.067400000000006</v>
      </c>
      <c r="Q40" s="22">
        <v>-1.73279E-2</v>
      </c>
      <c r="R40" s="22">
        <v>30</v>
      </c>
      <c r="S40" s="22">
        <v>5.1068099999999998E-2</v>
      </c>
      <c r="T40">
        <f t="shared" si="2"/>
        <v>17.3279</v>
      </c>
      <c r="U40">
        <f t="shared" si="3"/>
        <v>0.88574853150999999</v>
      </c>
      <c r="X40" s="9"/>
      <c r="Y40" s="22">
        <v>1.6989099999999999</v>
      </c>
      <c r="Z40" s="22">
        <v>144.024</v>
      </c>
      <c r="AA40" s="22">
        <v>-9.2376699999999999E-3</v>
      </c>
      <c r="AB40" s="22">
        <v>30</v>
      </c>
      <c r="AC40" s="22">
        <v>1.698</v>
      </c>
      <c r="AD40">
        <f t="shared" si="4"/>
        <v>9.2376699999999996</v>
      </c>
      <c r="AE40">
        <f t="shared" si="5"/>
        <v>15.693969939699999</v>
      </c>
      <c r="AF40" s="9"/>
      <c r="AG40" s="22">
        <v>5.11169E-2</v>
      </c>
      <c r="AH40" s="22">
        <v>223.55699999999999</v>
      </c>
      <c r="AI40" s="22">
        <v>-1.7007399999999999E-2</v>
      </c>
      <c r="AJ40" s="22">
        <v>30</v>
      </c>
      <c r="AK40" s="22">
        <v>5.1059E-2</v>
      </c>
      <c r="AL40">
        <f t="shared" si="6"/>
        <v>17.007400000000001</v>
      </c>
      <c r="AM40">
        <f t="shared" si="7"/>
        <v>0.86936556506000007</v>
      </c>
      <c r="AP40" s="9"/>
      <c r="AQ40" s="22">
        <v>1.6989099999999999</v>
      </c>
      <c r="AR40" s="22">
        <v>275.97300000000001</v>
      </c>
      <c r="AS40" s="22">
        <v>-8.9660599999999997E-3</v>
      </c>
      <c r="AT40" s="22">
        <v>30</v>
      </c>
      <c r="AU40" s="22">
        <v>1.6982999999999999</v>
      </c>
      <c r="AV40">
        <f t="shared" si="8"/>
        <v>8.9660599999999988</v>
      </c>
      <c r="AW40">
        <f t="shared" si="9"/>
        <v>15.232528994599997</v>
      </c>
      <c r="AX40" s="9"/>
      <c r="AY40" s="22">
        <v>5.11169E-2</v>
      </c>
      <c r="AZ40" s="22">
        <v>355.20400000000001</v>
      </c>
      <c r="BA40" s="22">
        <v>-1.6867099999999999E-2</v>
      </c>
      <c r="BB40" s="22">
        <v>30</v>
      </c>
      <c r="BC40" s="22">
        <v>5.1092499999999999E-2</v>
      </c>
      <c r="BD40">
        <f t="shared" si="10"/>
        <v>16.867100000000001</v>
      </c>
      <c r="BE40">
        <f t="shared" si="11"/>
        <v>0.86219386398999998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26.772200000000002</v>
      </c>
      <c r="I41" s="22">
        <v>-1.02936E-2</v>
      </c>
      <c r="J41" s="22">
        <v>31</v>
      </c>
      <c r="K41" s="22">
        <v>1.69312</v>
      </c>
      <c r="L41">
        <f t="shared" si="0"/>
        <v>10.2936</v>
      </c>
      <c r="M41">
        <f t="shared" si="1"/>
        <v>17.436123167999998</v>
      </c>
      <c r="N41" s="9"/>
      <c r="O41" s="22">
        <v>5.6152300000000002E-2</v>
      </c>
      <c r="P41" s="22">
        <v>82.168099999999995</v>
      </c>
      <c r="Q41" s="22">
        <v>-1.7321799999999998E-2</v>
      </c>
      <c r="R41" s="22">
        <v>31</v>
      </c>
      <c r="S41" s="22">
        <v>5.5572499999999997E-2</v>
      </c>
      <c r="T41">
        <f t="shared" si="2"/>
        <v>17.3218</v>
      </c>
      <c r="U41">
        <f t="shared" si="3"/>
        <v>0.97265891014000005</v>
      </c>
      <c r="X41" s="9"/>
      <c r="Y41" s="22">
        <v>1.6938800000000001</v>
      </c>
      <c r="Z41" s="22">
        <v>144.125</v>
      </c>
      <c r="AA41" s="22">
        <v>-9.5855699999999999E-3</v>
      </c>
      <c r="AB41" s="22">
        <v>31</v>
      </c>
      <c r="AC41" s="22">
        <v>1.69312</v>
      </c>
      <c r="AD41">
        <f t="shared" si="4"/>
        <v>9.5855700000000006</v>
      </c>
      <c r="AE41">
        <f t="shared" si="5"/>
        <v>16.236805311600001</v>
      </c>
      <c r="AF41" s="9"/>
      <c r="AG41" s="22">
        <v>5.6152300000000002E-2</v>
      </c>
      <c r="AH41" s="22">
        <v>223.65700000000001</v>
      </c>
      <c r="AI41" s="22">
        <v>-1.6998300000000001E-2</v>
      </c>
      <c r="AJ41" s="22">
        <v>31</v>
      </c>
      <c r="AK41" s="22">
        <v>5.5603E-2</v>
      </c>
      <c r="AL41">
        <f t="shared" si="6"/>
        <v>16.9983</v>
      </c>
      <c r="AM41">
        <f t="shared" si="7"/>
        <v>0.95449364109000001</v>
      </c>
      <c r="AP41" s="9"/>
      <c r="AQ41" s="22">
        <v>1.6938800000000001</v>
      </c>
      <c r="AR41" s="22">
        <v>276.07400000000001</v>
      </c>
      <c r="AS41" s="22">
        <v>-9.2956500000000008E-3</v>
      </c>
      <c r="AT41" s="22">
        <v>31</v>
      </c>
      <c r="AU41" s="22">
        <v>1.6934199999999999</v>
      </c>
      <c r="AV41">
        <f t="shared" si="8"/>
        <v>9.2956500000000002</v>
      </c>
      <c r="AW41">
        <f t="shared" si="9"/>
        <v>15.745715622000001</v>
      </c>
      <c r="AX41" s="9"/>
      <c r="AY41" s="22">
        <v>5.6152300000000002E-2</v>
      </c>
      <c r="AZ41" s="22">
        <v>355.30399999999997</v>
      </c>
      <c r="BA41" s="22">
        <v>-1.6848800000000001E-2</v>
      </c>
      <c r="BB41" s="22">
        <v>31</v>
      </c>
      <c r="BC41" s="22">
        <v>5.5603E-2</v>
      </c>
      <c r="BD41">
        <f t="shared" si="10"/>
        <v>16.848800000000001</v>
      </c>
      <c r="BE41">
        <f t="shared" si="11"/>
        <v>0.94609887224000011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26.873000000000001</v>
      </c>
      <c r="I42" s="22">
        <v>-1.05652E-2</v>
      </c>
      <c r="J42" s="22">
        <v>32</v>
      </c>
      <c r="K42" s="22">
        <v>1.6885399999999999</v>
      </c>
      <c r="L42">
        <f t="shared" si="0"/>
        <v>10.565200000000001</v>
      </c>
      <c r="M42">
        <f t="shared" si="1"/>
        <v>17.842932368</v>
      </c>
      <c r="N42" s="9"/>
      <c r="O42" s="22">
        <v>6.1187699999999998E-2</v>
      </c>
      <c r="P42" s="22">
        <v>82.268799999999999</v>
      </c>
      <c r="Q42" s="22">
        <v>-1.7349199999999999E-2</v>
      </c>
      <c r="R42" s="22">
        <v>32</v>
      </c>
      <c r="S42" s="22">
        <v>6.0638400000000002E-2</v>
      </c>
      <c r="T42">
        <f t="shared" si="2"/>
        <v>17.3492</v>
      </c>
      <c r="U42">
        <f t="shared" si="3"/>
        <v>1.0615576448399999</v>
      </c>
      <c r="X42" s="9"/>
      <c r="Y42" s="22">
        <v>1.6888399999999999</v>
      </c>
      <c r="Z42" s="22">
        <v>144.226</v>
      </c>
      <c r="AA42" s="22">
        <v>-9.8937999999999995E-3</v>
      </c>
      <c r="AB42" s="22">
        <v>32</v>
      </c>
      <c r="AC42" s="22">
        <v>1.6876199999999999</v>
      </c>
      <c r="AD42">
        <f t="shared" si="4"/>
        <v>9.8937999999999988</v>
      </c>
      <c r="AE42">
        <f t="shared" si="5"/>
        <v>16.709045191999998</v>
      </c>
      <c r="AF42" s="9"/>
      <c r="AG42" s="22">
        <v>6.1187699999999998E-2</v>
      </c>
      <c r="AH42" s="22">
        <v>223.75800000000001</v>
      </c>
      <c r="AI42" s="22">
        <v>-1.70166E-2</v>
      </c>
      <c r="AJ42" s="22">
        <v>32</v>
      </c>
      <c r="AK42" s="22">
        <v>6.0668899999999998E-2</v>
      </c>
      <c r="AL42">
        <f t="shared" si="6"/>
        <v>17.0166</v>
      </c>
      <c r="AM42">
        <f t="shared" si="7"/>
        <v>1.04120661582</v>
      </c>
      <c r="AP42" s="9"/>
      <c r="AQ42" s="22">
        <v>1.6888399999999999</v>
      </c>
      <c r="AR42" s="22">
        <v>276.17500000000001</v>
      </c>
      <c r="AS42" s="22">
        <v>-9.5886200000000008E-3</v>
      </c>
      <c r="AT42" s="22">
        <v>32</v>
      </c>
      <c r="AU42" s="22">
        <v>1.6879299999999999</v>
      </c>
      <c r="AV42">
        <f t="shared" si="8"/>
        <v>9.5886200000000006</v>
      </c>
      <c r="AW42">
        <f t="shared" si="9"/>
        <v>16.1936450008</v>
      </c>
      <c r="AX42" s="9"/>
      <c r="AY42" s="22">
        <v>6.1187699999999998E-2</v>
      </c>
      <c r="AZ42" s="22">
        <v>355.40499999999997</v>
      </c>
      <c r="BA42" s="22">
        <v>-1.6842699999999999E-2</v>
      </c>
      <c r="BB42" s="22">
        <v>32</v>
      </c>
      <c r="BC42" s="22">
        <v>6.0638400000000002E-2</v>
      </c>
      <c r="BD42">
        <f t="shared" si="10"/>
        <v>16.842699999999997</v>
      </c>
      <c r="BE42">
        <f t="shared" si="11"/>
        <v>1.0305660747899998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26.973700000000001</v>
      </c>
      <c r="I43" s="22">
        <v>-1.0815399999999999E-2</v>
      </c>
      <c r="J43" s="22">
        <v>33</v>
      </c>
      <c r="K43" s="22">
        <v>1.6830400000000001</v>
      </c>
      <c r="L43">
        <f t="shared" si="0"/>
        <v>10.815399999999999</v>
      </c>
      <c r="M43">
        <f t="shared" si="1"/>
        <v>18.211078673999999</v>
      </c>
      <c r="N43" s="9"/>
      <c r="O43" s="22">
        <v>6.6223099999999993E-2</v>
      </c>
      <c r="P43" s="22">
        <v>82.369500000000002</v>
      </c>
      <c r="Q43" s="22">
        <v>-1.7373699999999999E-2</v>
      </c>
      <c r="R43" s="22">
        <v>33</v>
      </c>
      <c r="S43" s="22">
        <v>6.5673800000000004E-2</v>
      </c>
      <c r="T43">
        <f t="shared" si="2"/>
        <v>17.373699999999999</v>
      </c>
      <c r="U43">
        <f t="shared" si="3"/>
        <v>1.1505402724699998</v>
      </c>
      <c r="X43" s="9"/>
      <c r="Y43" s="22">
        <v>1.68381</v>
      </c>
      <c r="Z43" s="22">
        <v>144.32599999999999</v>
      </c>
      <c r="AA43" s="22">
        <v>-1.0153199999999999E-2</v>
      </c>
      <c r="AB43" s="22">
        <v>33</v>
      </c>
      <c r="AC43" s="22">
        <v>1.6827399999999999</v>
      </c>
      <c r="AD43">
        <f t="shared" si="4"/>
        <v>10.1532</v>
      </c>
      <c r="AE43">
        <f t="shared" si="5"/>
        <v>17.096059692000001</v>
      </c>
      <c r="AF43" s="9"/>
      <c r="AG43" s="22">
        <v>6.6223099999999993E-2</v>
      </c>
      <c r="AH43" s="22">
        <v>223.85900000000001</v>
      </c>
      <c r="AI43" s="22">
        <v>-1.6986100000000001E-2</v>
      </c>
      <c r="AJ43" s="22">
        <v>33</v>
      </c>
      <c r="AK43" s="22">
        <v>6.5643300000000002E-2</v>
      </c>
      <c r="AL43">
        <f t="shared" si="6"/>
        <v>16.9861</v>
      </c>
      <c r="AM43">
        <f t="shared" si="7"/>
        <v>1.1248721989099999</v>
      </c>
      <c r="AP43" s="9"/>
      <c r="AQ43" s="22">
        <v>1.68381</v>
      </c>
      <c r="AR43" s="22">
        <v>276.27600000000001</v>
      </c>
      <c r="AS43" s="22">
        <v>-9.8754900000000007E-3</v>
      </c>
      <c r="AT43" s="22">
        <v>33</v>
      </c>
      <c r="AU43" s="22">
        <v>1.6830400000000001</v>
      </c>
      <c r="AV43">
        <f t="shared" si="8"/>
        <v>9.875490000000001</v>
      </c>
      <c r="AW43">
        <f t="shared" si="9"/>
        <v>16.628448816900001</v>
      </c>
      <c r="AX43" s="9"/>
      <c r="AY43" s="22">
        <v>6.6223099999999993E-2</v>
      </c>
      <c r="AZ43" s="22">
        <v>355.50599999999997</v>
      </c>
      <c r="BA43" s="22">
        <v>-1.6845700000000002E-2</v>
      </c>
      <c r="BB43" s="22">
        <v>33</v>
      </c>
      <c r="BC43" s="22">
        <v>6.5734899999999999E-2</v>
      </c>
      <c r="BD43">
        <f t="shared" si="10"/>
        <v>16.845700000000001</v>
      </c>
      <c r="BE43">
        <f t="shared" si="11"/>
        <v>1.1155744756699999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27.074400000000001</v>
      </c>
      <c r="I44" s="22">
        <v>-1.10321E-2</v>
      </c>
      <c r="J44" s="22">
        <v>34</v>
      </c>
      <c r="K44" s="22">
        <v>1.6784699999999999</v>
      </c>
      <c r="L44">
        <f t="shared" si="0"/>
        <v>11.0321</v>
      </c>
      <c r="M44">
        <f t="shared" si="1"/>
        <v>18.520358517000002</v>
      </c>
      <c r="N44" s="9"/>
      <c r="O44" s="22">
        <v>7.1258500000000002E-2</v>
      </c>
      <c r="P44" s="22">
        <v>82.470200000000006</v>
      </c>
      <c r="Q44" s="22">
        <v>-1.7361499999999998E-2</v>
      </c>
      <c r="R44" s="22">
        <v>34</v>
      </c>
      <c r="S44" s="22">
        <v>7.0739700000000003E-2</v>
      </c>
      <c r="T44">
        <f t="shared" si="2"/>
        <v>17.361499999999999</v>
      </c>
      <c r="U44">
        <f t="shared" si="3"/>
        <v>1.2371544477500001</v>
      </c>
      <c r="X44" s="9"/>
      <c r="Y44" s="22">
        <v>1.6787700000000001</v>
      </c>
      <c r="Z44" s="22">
        <v>144.42699999999999</v>
      </c>
      <c r="AA44" s="22">
        <v>-1.0418699999999999E-2</v>
      </c>
      <c r="AB44" s="22">
        <v>34</v>
      </c>
      <c r="AC44" s="22">
        <v>1.6775500000000001</v>
      </c>
      <c r="AD44">
        <f t="shared" si="4"/>
        <v>10.418699999999999</v>
      </c>
      <c r="AE44">
        <f t="shared" si="5"/>
        <v>17.490600999000002</v>
      </c>
      <c r="AF44" s="9"/>
      <c r="AG44" s="22">
        <v>7.1258500000000002E-2</v>
      </c>
      <c r="AH44" s="22">
        <v>223.959</v>
      </c>
      <c r="AI44" s="22">
        <v>-1.70013E-2</v>
      </c>
      <c r="AJ44" s="22">
        <v>34</v>
      </c>
      <c r="AK44" s="22">
        <v>7.0739700000000003E-2</v>
      </c>
      <c r="AL44">
        <f t="shared" si="6"/>
        <v>17.001300000000001</v>
      </c>
      <c r="AM44">
        <f t="shared" si="7"/>
        <v>1.2114871360500001</v>
      </c>
      <c r="AP44" s="9"/>
      <c r="AQ44" s="22">
        <v>1.6787700000000001</v>
      </c>
      <c r="AR44" s="22">
        <v>276.37599999999998</v>
      </c>
      <c r="AS44" s="22">
        <v>-1.0144E-2</v>
      </c>
      <c r="AT44" s="22">
        <v>34</v>
      </c>
      <c r="AU44" s="22">
        <v>1.6781600000000001</v>
      </c>
      <c r="AV44">
        <f t="shared" si="8"/>
        <v>10.144</v>
      </c>
      <c r="AW44">
        <f t="shared" si="9"/>
        <v>17.029442880000001</v>
      </c>
      <c r="AX44" s="9"/>
      <c r="AY44" s="22">
        <v>7.1258500000000002E-2</v>
      </c>
      <c r="AZ44" s="22">
        <v>355.60700000000003</v>
      </c>
      <c r="BA44" s="22">
        <v>-1.6821300000000001E-2</v>
      </c>
      <c r="BB44" s="22">
        <v>34</v>
      </c>
      <c r="BC44" s="22">
        <v>7.0770299999999994E-2</v>
      </c>
      <c r="BD44">
        <f t="shared" si="10"/>
        <v>16.821300000000001</v>
      </c>
      <c r="BE44">
        <f t="shared" si="11"/>
        <v>1.19866060605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27.1751</v>
      </c>
      <c r="I45" s="22">
        <v>-1.1230499999999999E-2</v>
      </c>
      <c r="J45" s="22">
        <v>35</v>
      </c>
      <c r="K45" s="22">
        <v>1.6729700000000001</v>
      </c>
      <c r="L45">
        <f t="shared" si="0"/>
        <v>11.230499999999999</v>
      </c>
      <c r="M45">
        <f t="shared" si="1"/>
        <v>18.796937069999998</v>
      </c>
      <c r="N45" s="9"/>
      <c r="O45" s="22">
        <v>7.6293899999999998E-2</v>
      </c>
      <c r="P45" s="22">
        <v>82.570899999999995</v>
      </c>
      <c r="Q45" s="22">
        <v>-1.7392000000000001E-2</v>
      </c>
      <c r="R45" s="22">
        <v>35</v>
      </c>
      <c r="S45" s="22">
        <v>7.5714100000000006E-2</v>
      </c>
      <c r="T45">
        <f t="shared" si="2"/>
        <v>17.391999999999999</v>
      </c>
      <c r="U45">
        <f t="shared" si="3"/>
        <v>1.3269035087999999</v>
      </c>
      <c r="X45" s="9"/>
      <c r="Y45" s="22">
        <v>1.67374</v>
      </c>
      <c r="Z45" s="22">
        <v>144.52799999999999</v>
      </c>
      <c r="AA45" s="22">
        <v>-1.06842E-2</v>
      </c>
      <c r="AB45" s="22">
        <v>35</v>
      </c>
      <c r="AC45" s="22">
        <v>1.6726700000000001</v>
      </c>
      <c r="AD45">
        <f t="shared" si="4"/>
        <v>10.684199999999999</v>
      </c>
      <c r="AE45">
        <f t="shared" si="5"/>
        <v>17.882572907999997</v>
      </c>
      <c r="AF45" s="9"/>
      <c r="AG45" s="22">
        <v>7.6293899999999998E-2</v>
      </c>
      <c r="AH45" s="22">
        <v>224.06</v>
      </c>
      <c r="AI45" s="22">
        <v>-1.6992199999999999E-2</v>
      </c>
      <c r="AJ45" s="22">
        <v>35</v>
      </c>
      <c r="AK45" s="22">
        <v>7.5775099999999998E-2</v>
      </c>
      <c r="AL45">
        <f t="shared" si="6"/>
        <v>16.9922</v>
      </c>
      <c r="AM45">
        <f t="shared" si="7"/>
        <v>1.29640120758</v>
      </c>
      <c r="AP45" s="9"/>
      <c r="AQ45" s="22">
        <v>1.67374</v>
      </c>
      <c r="AR45" s="22">
        <v>276.47699999999998</v>
      </c>
      <c r="AS45" s="22">
        <v>-1.04218E-2</v>
      </c>
      <c r="AT45" s="22">
        <v>35</v>
      </c>
      <c r="AU45" s="22">
        <v>1.6729700000000001</v>
      </c>
      <c r="AV45">
        <f t="shared" si="8"/>
        <v>10.421799999999999</v>
      </c>
      <c r="AW45">
        <f t="shared" si="9"/>
        <v>17.443383531999999</v>
      </c>
      <c r="AX45" s="9"/>
      <c r="AY45" s="22">
        <v>7.6293899999999998E-2</v>
      </c>
      <c r="AZ45" s="22">
        <v>355.70699999999999</v>
      </c>
      <c r="BA45" s="22">
        <v>-1.6818199999999998E-2</v>
      </c>
      <c r="BB45" s="22">
        <v>35</v>
      </c>
      <c r="BC45" s="22">
        <v>7.5744599999999995E-2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27.2758</v>
      </c>
      <c r="I46" s="22">
        <v>-1.14777E-2</v>
      </c>
      <c r="J46" s="22">
        <v>36</v>
      </c>
      <c r="K46" s="22">
        <v>1.6680900000000001</v>
      </c>
      <c r="L46">
        <f t="shared" si="0"/>
        <v>11.4777</v>
      </c>
      <c r="M46">
        <f t="shared" si="1"/>
        <v>19.152837990000002</v>
      </c>
      <c r="N46" s="9"/>
      <c r="O46" s="22">
        <v>8.1329299999999993E-2</v>
      </c>
      <c r="P46" s="22">
        <v>82.671599999999998</v>
      </c>
      <c r="Q46" s="22">
        <v>-1.73584E-2</v>
      </c>
      <c r="R46" s="22">
        <v>36</v>
      </c>
      <c r="S46" s="22">
        <v>8.0780000000000005E-2</v>
      </c>
      <c r="T46">
        <f t="shared" si="2"/>
        <v>17.3584</v>
      </c>
      <c r="U46">
        <f t="shared" si="3"/>
        <v>1.4117465211199998</v>
      </c>
      <c r="X46" s="9"/>
      <c r="Y46" s="22">
        <v>1.6687000000000001</v>
      </c>
      <c r="Z46" s="22">
        <v>144.62899999999999</v>
      </c>
      <c r="AA46" s="22">
        <v>-1.09161E-2</v>
      </c>
      <c r="AB46" s="22">
        <v>36</v>
      </c>
      <c r="AC46" s="22">
        <v>1.6680900000000001</v>
      </c>
      <c r="AD46">
        <f t="shared" si="4"/>
        <v>10.9161</v>
      </c>
      <c r="AE46">
        <f t="shared" si="5"/>
        <v>18.21569607</v>
      </c>
      <c r="AF46" s="9"/>
      <c r="AG46" s="22">
        <v>8.1329299999999993E-2</v>
      </c>
      <c r="AH46" s="22">
        <v>224.161</v>
      </c>
      <c r="AI46" s="22">
        <v>-1.6992199999999999E-2</v>
      </c>
      <c r="AJ46" s="22">
        <v>36</v>
      </c>
      <c r="AK46" s="22">
        <v>8.0902100000000005E-2</v>
      </c>
      <c r="AL46">
        <f t="shared" si="6"/>
        <v>16.9922</v>
      </c>
      <c r="AM46">
        <f t="shared" si="7"/>
        <v>1.38196373146</v>
      </c>
      <c r="AP46" s="9"/>
      <c r="AQ46" s="22">
        <v>1.6687000000000001</v>
      </c>
      <c r="AR46" s="22">
        <v>276.57799999999997</v>
      </c>
      <c r="AS46" s="22">
        <v>-1.0638399999999999E-2</v>
      </c>
      <c r="AT46" s="22">
        <v>36</v>
      </c>
      <c r="AU46" s="22">
        <v>1.6677900000000001</v>
      </c>
      <c r="AV46">
        <f t="shared" si="8"/>
        <v>10.638399999999999</v>
      </c>
      <c r="AW46">
        <f t="shared" si="9"/>
        <v>17.752298079999999</v>
      </c>
      <c r="AX46" s="9"/>
      <c r="AY46" s="22">
        <v>8.1329299999999993E-2</v>
      </c>
      <c r="AZ46" s="22">
        <v>355.80799999999999</v>
      </c>
      <c r="BA46" s="22">
        <v>-1.6802999999999998E-2</v>
      </c>
      <c r="BB46" s="22">
        <v>36</v>
      </c>
      <c r="BC46" s="22">
        <v>8.0902100000000005E-2</v>
      </c>
      <c r="BD46">
        <f t="shared" si="10"/>
        <v>16.802999999999997</v>
      </c>
      <c r="BE46">
        <f t="shared" si="11"/>
        <v>1.3665762278999998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27.3765</v>
      </c>
      <c r="I47" s="22">
        <v>-1.1676000000000001E-2</v>
      </c>
      <c r="J47" s="22">
        <v>37</v>
      </c>
      <c r="K47" s="22">
        <v>1.6619900000000001</v>
      </c>
      <c r="L47">
        <f t="shared" si="0"/>
        <v>11.676</v>
      </c>
      <c r="M47">
        <f t="shared" si="1"/>
        <v>19.425010919999998</v>
      </c>
      <c r="N47" s="9"/>
      <c r="O47" s="22">
        <v>8.6364700000000003E-2</v>
      </c>
      <c r="P47" s="22">
        <v>82.772300000000001</v>
      </c>
      <c r="Q47" s="22">
        <v>-1.73828E-2</v>
      </c>
      <c r="R47" s="22">
        <v>37</v>
      </c>
      <c r="S47" s="22">
        <v>8.5876499999999995E-2</v>
      </c>
      <c r="T47">
        <f t="shared" si="2"/>
        <v>17.3828</v>
      </c>
      <c r="U47">
        <f t="shared" si="3"/>
        <v>1.5012603071599999</v>
      </c>
      <c r="X47" s="9"/>
      <c r="Y47" s="22">
        <v>1.66367</v>
      </c>
      <c r="Z47" s="22">
        <v>144.72900000000001</v>
      </c>
      <c r="AA47" s="22">
        <v>-1.11542E-2</v>
      </c>
      <c r="AB47" s="22">
        <v>37</v>
      </c>
      <c r="AC47" s="22">
        <v>1.6632100000000001</v>
      </c>
      <c r="AD47">
        <f t="shared" si="4"/>
        <v>11.154199999999999</v>
      </c>
      <c r="AE47">
        <f t="shared" si="5"/>
        <v>18.556907914</v>
      </c>
      <c r="AF47" s="9"/>
      <c r="AG47" s="22">
        <v>8.6364700000000003E-2</v>
      </c>
      <c r="AH47" s="22">
        <v>224.262</v>
      </c>
      <c r="AI47" s="22">
        <v>-1.6986100000000001E-2</v>
      </c>
      <c r="AJ47" s="22">
        <v>37</v>
      </c>
      <c r="AK47" s="22">
        <v>8.5845900000000003E-2</v>
      </c>
      <c r="AL47">
        <f t="shared" si="6"/>
        <v>16.9861</v>
      </c>
      <c r="AM47">
        <f t="shared" si="7"/>
        <v>1.46699943067</v>
      </c>
      <c r="AP47" s="9"/>
      <c r="AQ47" s="22">
        <v>1.66367</v>
      </c>
      <c r="AR47" s="22">
        <v>276.678</v>
      </c>
      <c r="AS47" s="22">
        <v>-1.0836800000000001E-2</v>
      </c>
      <c r="AT47" s="22">
        <v>37</v>
      </c>
      <c r="AU47" s="22">
        <v>1.6629</v>
      </c>
      <c r="AV47">
        <f t="shared" si="8"/>
        <v>10.8368</v>
      </c>
      <c r="AW47">
        <f t="shared" si="9"/>
        <v>18.028859056000002</v>
      </c>
      <c r="AX47" s="9"/>
      <c r="AY47" s="22">
        <v>8.6364700000000003E-2</v>
      </c>
      <c r="AZ47" s="22">
        <v>355.90899999999999</v>
      </c>
      <c r="BA47" s="22">
        <v>-1.68121E-2</v>
      </c>
      <c r="BB47" s="22">
        <v>37</v>
      </c>
      <c r="BC47" s="22">
        <v>8.59375E-2</v>
      </c>
      <c r="BD47">
        <f t="shared" si="10"/>
        <v>16.812100000000001</v>
      </c>
      <c r="BE47">
        <f t="shared" si="11"/>
        <v>1.45197197287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27.4772</v>
      </c>
      <c r="I48" s="22">
        <v>-1.18622E-2</v>
      </c>
      <c r="J48" s="22">
        <v>38</v>
      </c>
      <c r="K48" s="22">
        <v>1.65802</v>
      </c>
      <c r="L48">
        <f t="shared" si="0"/>
        <v>11.8622</v>
      </c>
      <c r="M48">
        <f t="shared" si="1"/>
        <v>19.675000785999998</v>
      </c>
      <c r="N48" s="9"/>
      <c r="O48" s="22">
        <v>9.1400099999999998E-2</v>
      </c>
      <c r="P48" s="22">
        <v>82.873099999999994</v>
      </c>
      <c r="Q48" s="22">
        <v>-1.73828E-2</v>
      </c>
      <c r="R48" s="22">
        <v>38</v>
      </c>
      <c r="S48" s="22">
        <v>9.0850799999999995E-2</v>
      </c>
      <c r="T48">
        <f t="shared" si="2"/>
        <v>17.3828</v>
      </c>
      <c r="U48">
        <f t="shared" si="3"/>
        <v>1.5887896582799999</v>
      </c>
      <c r="X48" s="9"/>
      <c r="Y48" s="22">
        <v>1.65863</v>
      </c>
      <c r="Z48" s="22">
        <v>144.83000000000001</v>
      </c>
      <c r="AA48" s="22">
        <v>-1.13434E-2</v>
      </c>
      <c r="AB48" s="22">
        <v>38</v>
      </c>
      <c r="AC48" s="22">
        <v>1.65802</v>
      </c>
      <c r="AD48">
        <f t="shared" si="4"/>
        <v>11.343400000000001</v>
      </c>
      <c r="AE48">
        <f t="shared" si="5"/>
        <v>18.814503542000001</v>
      </c>
      <c r="AF48" s="9"/>
      <c r="AG48" s="22">
        <v>9.1400099999999998E-2</v>
      </c>
      <c r="AH48" s="22">
        <v>224.36199999999999</v>
      </c>
      <c r="AI48" s="22">
        <v>-1.69739E-2</v>
      </c>
      <c r="AJ48" s="22">
        <v>38</v>
      </c>
      <c r="AK48" s="22">
        <v>9.0789800000000004E-2</v>
      </c>
      <c r="AL48">
        <f t="shared" si="6"/>
        <v>16.9739</v>
      </c>
      <c r="AM48">
        <f t="shared" si="7"/>
        <v>1.5514161573900001</v>
      </c>
      <c r="AP48" s="9"/>
      <c r="AQ48" s="22">
        <v>1.65863</v>
      </c>
      <c r="AR48" s="22">
        <v>276.779</v>
      </c>
      <c r="AS48" s="22">
        <v>-1.10718E-2</v>
      </c>
      <c r="AT48" s="22">
        <v>38</v>
      </c>
      <c r="AU48" s="22">
        <v>1.6583300000000001</v>
      </c>
      <c r="AV48">
        <f t="shared" si="8"/>
        <v>11.0718</v>
      </c>
      <c r="AW48">
        <f t="shared" si="9"/>
        <v>18.364019634000002</v>
      </c>
      <c r="AX48" s="9"/>
      <c r="AY48" s="22">
        <v>9.1400099999999998E-2</v>
      </c>
      <c r="AZ48" s="22">
        <v>356.00900000000001</v>
      </c>
      <c r="BA48" s="22">
        <v>-1.68121E-2</v>
      </c>
      <c r="BB48" s="22">
        <v>38</v>
      </c>
      <c r="BC48" s="22">
        <v>9.0911900000000004E-2</v>
      </c>
      <c r="BD48">
        <f t="shared" si="10"/>
        <v>16.812100000000001</v>
      </c>
      <c r="BE48">
        <f t="shared" si="11"/>
        <v>1.5366276212100001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27.5779</v>
      </c>
      <c r="I49" s="22">
        <v>-1.20667E-2</v>
      </c>
      <c r="J49" s="22">
        <v>39</v>
      </c>
      <c r="K49" s="22">
        <v>1.65283</v>
      </c>
      <c r="L49">
        <f t="shared" si="0"/>
        <v>12.066699999999999</v>
      </c>
      <c r="M49">
        <f t="shared" si="1"/>
        <v>19.953374452999999</v>
      </c>
      <c r="N49" s="9"/>
      <c r="O49" s="22">
        <v>9.6435499999999993E-2</v>
      </c>
      <c r="P49" s="22">
        <v>82.973799999999997</v>
      </c>
      <c r="Q49" s="22">
        <v>-1.7352300000000001E-2</v>
      </c>
      <c r="R49" s="22">
        <v>39</v>
      </c>
      <c r="S49" s="22">
        <v>9.5825199999999999E-2</v>
      </c>
      <c r="T49">
        <f t="shared" si="2"/>
        <v>17.3523</v>
      </c>
      <c r="U49">
        <f t="shared" si="3"/>
        <v>1.6733777266499998</v>
      </c>
      <c r="X49" s="9"/>
      <c r="Y49" s="22">
        <v>1.6535899999999999</v>
      </c>
      <c r="Z49" s="22">
        <v>144.93100000000001</v>
      </c>
      <c r="AA49" s="22">
        <v>-1.1538700000000001E-2</v>
      </c>
      <c r="AB49" s="22">
        <v>39</v>
      </c>
      <c r="AC49" s="22">
        <v>1.65283</v>
      </c>
      <c r="AD49">
        <f t="shared" si="4"/>
        <v>11.5387</v>
      </c>
      <c r="AE49">
        <f t="shared" si="5"/>
        <v>19.080278932999999</v>
      </c>
      <c r="AF49" s="9"/>
      <c r="AG49" s="22">
        <v>9.6435499999999993E-2</v>
      </c>
      <c r="AH49" s="22">
        <v>224.46299999999999</v>
      </c>
      <c r="AI49" s="22">
        <v>-1.6992199999999999E-2</v>
      </c>
      <c r="AJ49" s="22">
        <v>39</v>
      </c>
      <c r="AK49" s="22">
        <v>9.5825199999999999E-2</v>
      </c>
      <c r="AL49">
        <f t="shared" si="6"/>
        <v>16.9922</v>
      </c>
      <c r="AM49">
        <f t="shared" si="7"/>
        <v>1.6386513030999998</v>
      </c>
      <c r="AP49" s="9"/>
      <c r="AQ49" s="22">
        <v>1.6535899999999999</v>
      </c>
      <c r="AR49" s="22">
        <v>276.88</v>
      </c>
      <c r="AS49" s="22">
        <v>-1.12976E-2</v>
      </c>
      <c r="AT49" s="22">
        <v>39</v>
      </c>
      <c r="AU49" s="22">
        <v>1.6525300000000001</v>
      </c>
      <c r="AV49">
        <f t="shared" si="8"/>
        <v>11.297599999999999</v>
      </c>
      <c r="AW49">
        <f t="shared" si="9"/>
        <v>18.681598383999997</v>
      </c>
      <c r="AX49" s="9"/>
      <c r="AY49" s="22">
        <v>9.6435499999999993E-2</v>
      </c>
      <c r="AZ49" s="22">
        <v>356.11</v>
      </c>
      <c r="BA49" s="22">
        <v>-1.6787699999999999E-2</v>
      </c>
      <c r="BB49" s="22">
        <v>39</v>
      </c>
      <c r="BC49" s="22">
        <v>9.5886200000000005E-2</v>
      </c>
      <c r="BD49">
        <f t="shared" si="10"/>
        <v>16.787699999999997</v>
      </c>
      <c r="BE49">
        <f t="shared" si="11"/>
        <v>1.6189302433499997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27.678599999999999</v>
      </c>
      <c r="I50" s="22">
        <v>-1.22284E-2</v>
      </c>
      <c r="J50" s="22">
        <v>40</v>
      </c>
      <c r="K50" s="22">
        <v>1.64764</v>
      </c>
      <c r="L50">
        <f t="shared" si="0"/>
        <v>12.228400000000001</v>
      </c>
      <c r="M50">
        <f t="shared" si="1"/>
        <v>20.159251104000003</v>
      </c>
      <c r="N50" s="9"/>
      <c r="O50" s="22">
        <v>0.10147100000000001</v>
      </c>
      <c r="P50" s="22">
        <v>83.0745</v>
      </c>
      <c r="Q50" s="22">
        <v>-1.7346199999999999E-2</v>
      </c>
      <c r="R50" s="22">
        <v>40</v>
      </c>
      <c r="S50" s="22">
        <v>0.100983</v>
      </c>
      <c r="T50">
        <f t="shared" si="2"/>
        <v>17.3462</v>
      </c>
      <c r="U50">
        <f t="shared" si="3"/>
        <v>1.7601362602000001</v>
      </c>
      <c r="X50" s="9"/>
      <c r="Y50" s="22">
        <v>1.64856</v>
      </c>
      <c r="Z50" s="22">
        <v>145.03100000000001</v>
      </c>
      <c r="AA50" s="22">
        <v>-1.1761499999999999E-2</v>
      </c>
      <c r="AB50" s="22">
        <v>40</v>
      </c>
      <c r="AC50" s="22">
        <v>1.64795</v>
      </c>
      <c r="AD50">
        <f t="shared" si="4"/>
        <v>11.7615</v>
      </c>
      <c r="AE50">
        <f t="shared" si="5"/>
        <v>19.389538439999999</v>
      </c>
      <c r="AF50" s="9"/>
      <c r="AG50" s="22">
        <v>0.10147100000000001</v>
      </c>
      <c r="AH50" s="22">
        <v>224.56399999999999</v>
      </c>
      <c r="AI50" s="22">
        <v>-1.6964699999999999E-2</v>
      </c>
      <c r="AJ50" s="22">
        <v>40</v>
      </c>
      <c r="AK50" s="22">
        <v>0.10089099999999999</v>
      </c>
      <c r="AL50">
        <f t="shared" si="6"/>
        <v>16.964700000000001</v>
      </c>
      <c r="AM50">
        <f t="shared" si="7"/>
        <v>1.7214250737000001</v>
      </c>
      <c r="AP50" s="9"/>
      <c r="AQ50" s="22">
        <v>1.64856</v>
      </c>
      <c r="AR50" s="22">
        <v>276.98099999999999</v>
      </c>
      <c r="AS50" s="22">
        <v>-1.1499000000000001E-2</v>
      </c>
      <c r="AT50" s="22">
        <v>40</v>
      </c>
      <c r="AU50" s="22">
        <v>1.64764</v>
      </c>
      <c r="AV50">
        <f t="shared" si="8"/>
        <v>11.499000000000001</v>
      </c>
      <c r="AW50">
        <f t="shared" si="9"/>
        <v>18.95679144</v>
      </c>
      <c r="AX50" s="9"/>
      <c r="AY50" s="22">
        <v>0.10147100000000001</v>
      </c>
      <c r="AZ50" s="22">
        <v>356.21100000000001</v>
      </c>
      <c r="BA50" s="22">
        <v>-1.67847E-2</v>
      </c>
      <c r="BB50" s="22">
        <v>40</v>
      </c>
      <c r="BC50" s="22">
        <v>0.100922</v>
      </c>
      <c r="BD50">
        <f t="shared" si="10"/>
        <v>16.784700000000001</v>
      </c>
      <c r="BE50">
        <f t="shared" si="11"/>
        <v>1.7031602937000001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27.779299999999999</v>
      </c>
      <c r="I51" s="22">
        <v>-1.24084E-2</v>
      </c>
      <c r="J51" s="22">
        <v>41</v>
      </c>
      <c r="K51" s="22">
        <v>1.64246</v>
      </c>
      <c r="L51">
        <f t="shared" si="0"/>
        <v>12.4084</v>
      </c>
      <c r="M51">
        <f t="shared" si="1"/>
        <v>20.393453568000002</v>
      </c>
      <c r="N51" s="9"/>
      <c r="O51" s="22">
        <v>0.106506</v>
      </c>
      <c r="P51" s="22">
        <v>83.175200000000004</v>
      </c>
      <c r="Q51" s="22">
        <v>-1.7306499999999999E-2</v>
      </c>
      <c r="R51" s="22">
        <v>41</v>
      </c>
      <c r="S51" s="22">
        <v>0.10607900000000001</v>
      </c>
      <c r="T51">
        <f t="shared" si="2"/>
        <v>17.3065</v>
      </c>
      <c r="U51">
        <f t="shared" si="3"/>
        <v>1.843246089</v>
      </c>
      <c r="X51" s="9"/>
      <c r="Y51" s="22">
        <v>1.6435200000000001</v>
      </c>
      <c r="Z51" s="22">
        <v>145.13200000000001</v>
      </c>
      <c r="AA51" s="22">
        <v>-1.1975100000000001E-2</v>
      </c>
      <c r="AB51" s="22">
        <v>41</v>
      </c>
      <c r="AC51" s="22">
        <v>1.64215</v>
      </c>
      <c r="AD51">
        <f t="shared" si="4"/>
        <v>11.975100000000001</v>
      </c>
      <c r="AE51">
        <f t="shared" si="5"/>
        <v>19.681316352000003</v>
      </c>
      <c r="AF51" s="9"/>
      <c r="AG51" s="22">
        <v>0.106506</v>
      </c>
      <c r="AH51" s="22">
        <v>224.66399999999999</v>
      </c>
      <c r="AI51" s="22">
        <v>-1.6958600000000001E-2</v>
      </c>
      <c r="AJ51" s="22">
        <v>41</v>
      </c>
      <c r="AK51" s="22">
        <v>0.105957</v>
      </c>
      <c r="AL51">
        <f t="shared" si="6"/>
        <v>16.958600000000001</v>
      </c>
      <c r="AM51">
        <f t="shared" si="7"/>
        <v>1.8061926516000002</v>
      </c>
      <c r="AP51" s="9"/>
      <c r="AQ51" s="22">
        <v>1.6435200000000001</v>
      </c>
      <c r="AR51" s="22">
        <v>277.08100000000002</v>
      </c>
      <c r="AS51" s="22">
        <v>-1.16699E-2</v>
      </c>
      <c r="AT51" s="22">
        <v>41</v>
      </c>
      <c r="AU51" s="22">
        <v>1.64276</v>
      </c>
      <c r="AV51">
        <f t="shared" si="8"/>
        <v>11.6699</v>
      </c>
      <c r="AW51">
        <f t="shared" si="9"/>
        <v>19.179714048000001</v>
      </c>
      <c r="AX51" s="9"/>
      <c r="AY51" s="22">
        <v>0.106506</v>
      </c>
      <c r="AZ51" s="22">
        <v>356.31200000000001</v>
      </c>
      <c r="BA51" s="22">
        <v>-1.6763299999999998E-2</v>
      </c>
      <c r="BB51" s="22">
        <v>41</v>
      </c>
      <c r="BC51" s="22">
        <v>0.105988</v>
      </c>
      <c r="BD51">
        <f t="shared" si="10"/>
        <v>16.763299999999997</v>
      </c>
      <c r="BE51">
        <f t="shared" si="11"/>
        <v>1.7853920297999999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27.88</v>
      </c>
      <c r="I52" s="22">
        <v>-1.2554900000000001E-2</v>
      </c>
      <c r="J52" s="22">
        <v>42</v>
      </c>
      <c r="K52" s="22">
        <v>1.63818</v>
      </c>
      <c r="L52">
        <f t="shared" si="0"/>
        <v>12.5549</v>
      </c>
      <c r="M52">
        <f t="shared" si="1"/>
        <v>20.571078101000001</v>
      </c>
      <c r="N52" s="9"/>
      <c r="O52" s="22">
        <v>0.111542</v>
      </c>
      <c r="P52" s="22">
        <v>83.275899999999993</v>
      </c>
      <c r="Q52" s="22">
        <v>-1.7321799999999998E-2</v>
      </c>
      <c r="R52" s="22">
        <v>42</v>
      </c>
      <c r="S52" s="22">
        <v>0.11099199999999999</v>
      </c>
      <c r="T52">
        <f t="shared" si="2"/>
        <v>17.3218</v>
      </c>
      <c r="U52">
        <f t="shared" si="3"/>
        <v>1.9321082156</v>
      </c>
      <c r="X52" s="9"/>
      <c r="Y52" s="22">
        <v>1.63849</v>
      </c>
      <c r="Z52" s="22">
        <v>145.233</v>
      </c>
      <c r="AA52" s="22">
        <v>-1.2152100000000001E-2</v>
      </c>
      <c r="AB52" s="22">
        <v>42</v>
      </c>
      <c r="AC52" s="22">
        <v>1.63757</v>
      </c>
      <c r="AD52">
        <f t="shared" si="4"/>
        <v>12.152100000000001</v>
      </c>
      <c r="AE52">
        <f t="shared" si="5"/>
        <v>19.911094329000001</v>
      </c>
      <c r="AF52" s="9"/>
      <c r="AG52" s="22">
        <v>0.111542</v>
      </c>
      <c r="AH52" s="22">
        <v>224.76499999999999</v>
      </c>
      <c r="AI52" s="22">
        <v>-1.6943400000000001E-2</v>
      </c>
      <c r="AJ52" s="22">
        <v>42</v>
      </c>
      <c r="AK52" s="22">
        <v>0.111053</v>
      </c>
      <c r="AL52">
        <f t="shared" si="6"/>
        <v>16.9434</v>
      </c>
      <c r="AM52">
        <f t="shared" si="7"/>
        <v>1.8899007228</v>
      </c>
      <c r="AP52" s="9"/>
      <c r="AQ52" s="22">
        <v>1.63849</v>
      </c>
      <c r="AR52" s="22">
        <v>277.18200000000002</v>
      </c>
      <c r="AS52" s="22">
        <v>-1.1865199999999999E-2</v>
      </c>
      <c r="AT52" s="22">
        <v>42</v>
      </c>
      <c r="AU52" s="22">
        <v>1.63757</v>
      </c>
      <c r="AV52">
        <f t="shared" si="8"/>
        <v>11.8652</v>
      </c>
      <c r="AW52">
        <f t="shared" si="9"/>
        <v>19.441011547999999</v>
      </c>
      <c r="AX52" s="9"/>
      <c r="AY52" s="22">
        <v>0.111542</v>
      </c>
      <c r="AZ52" s="22">
        <v>356.41199999999998</v>
      </c>
      <c r="BA52" s="22">
        <v>-1.6760299999999999E-2</v>
      </c>
      <c r="BB52" s="22">
        <v>42</v>
      </c>
      <c r="BC52" s="22">
        <v>0.111023</v>
      </c>
      <c r="BD52">
        <f t="shared" si="10"/>
        <v>16.760299999999997</v>
      </c>
      <c r="BE52">
        <f t="shared" si="11"/>
        <v>1.8694773825999997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27.980699999999999</v>
      </c>
      <c r="I53" s="22">
        <v>-1.27136E-2</v>
      </c>
      <c r="J53" s="22">
        <v>43</v>
      </c>
      <c r="K53" s="22">
        <v>1.63239</v>
      </c>
      <c r="L53">
        <f t="shared" si="0"/>
        <v>12.7136</v>
      </c>
      <c r="M53">
        <f t="shared" si="1"/>
        <v>20.767029919999999</v>
      </c>
      <c r="N53" s="9"/>
      <c r="O53" s="22">
        <v>0.116577</v>
      </c>
      <c r="P53" s="22">
        <v>83.376599999999996</v>
      </c>
      <c r="Q53" s="22">
        <v>-1.7352300000000001E-2</v>
      </c>
      <c r="R53" s="22">
        <v>43</v>
      </c>
      <c r="S53" s="22">
        <v>0.11605799999999999</v>
      </c>
      <c r="T53">
        <f t="shared" si="2"/>
        <v>17.3523</v>
      </c>
      <c r="U53">
        <f t="shared" si="3"/>
        <v>2.0228790770999998</v>
      </c>
      <c r="X53" s="9"/>
      <c r="Y53" s="22">
        <v>1.6334500000000001</v>
      </c>
      <c r="Z53" s="22">
        <v>145.334</v>
      </c>
      <c r="AA53" s="22">
        <v>-1.2326E-2</v>
      </c>
      <c r="AB53" s="22">
        <v>43</v>
      </c>
      <c r="AC53" s="22">
        <v>1.633</v>
      </c>
      <c r="AD53">
        <f t="shared" si="4"/>
        <v>12.326000000000001</v>
      </c>
      <c r="AE53">
        <f t="shared" si="5"/>
        <v>20.133904700000002</v>
      </c>
      <c r="AF53" s="9"/>
      <c r="AG53" s="22">
        <v>0.116577</v>
      </c>
      <c r="AH53" s="22">
        <v>224.86600000000001</v>
      </c>
      <c r="AI53" s="22">
        <v>-1.6940299999999998E-2</v>
      </c>
      <c r="AJ53" s="22">
        <v>43</v>
      </c>
      <c r="AK53" s="22">
        <v>0.11605799999999999</v>
      </c>
      <c r="AL53">
        <f t="shared" si="6"/>
        <v>16.940299999999997</v>
      </c>
      <c r="AM53">
        <f t="shared" si="7"/>
        <v>1.9748493530999998</v>
      </c>
      <c r="AP53" s="9"/>
      <c r="AQ53" s="22">
        <v>1.6334500000000001</v>
      </c>
      <c r="AR53" s="22">
        <v>277.28300000000002</v>
      </c>
      <c r="AS53" s="22">
        <v>-1.2057500000000001E-2</v>
      </c>
      <c r="AT53" s="22">
        <v>43</v>
      </c>
      <c r="AU53" s="22">
        <v>1.633</v>
      </c>
      <c r="AV53">
        <f t="shared" si="8"/>
        <v>12.057500000000001</v>
      </c>
      <c r="AW53">
        <f t="shared" si="9"/>
        <v>19.695323375000001</v>
      </c>
      <c r="AX53" s="9"/>
      <c r="AY53" s="22">
        <v>0.116577</v>
      </c>
      <c r="AZ53" s="22">
        <v>356.51299999999998</v>
      </c>
      <c r="BA53" s="22">
        <v>-1.67542E-2</v>
      </c>
      <c r="BB53" s="22">
        <v>43</v>
      </c>
      <c r="BC53" s="22">
        <v>0.116119</v>
      </c>
      <c r="BD53">
        <f t="shared" si="10"/>
        <v>16.754200000000001</v>
      </c>
      <c r="BE53">
        <f t="shared" si="11"/>
        <v>1.9531543734000001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28.081499999999998</v>
      </c>
      <c r="I54" s="22">
        <v>-1.28754E-2</v>
      </c>
      <c r="J54" s="22">
        <v>44</v>
      </c>
      <c r="K54" s="22">
        <v>1.6272</v>
      </c>
      <c r="L54">
        <f t="shared" si="0"/>
        <v>12.875400000000001</v>
      </c>
      <c r="M54">
        <f t="shared" si="1"/>
        <v>20.966558868</v>
      </c>
      <c r="N54" s="9"/>
      <c r="O54" s="22">
        <v>0.121613</v>
      </c>
      <c r="P54" s="22">
        <v>83.4773</v>
      </c>
      <c r="Q54" s="22">
        <v>-1.7333999999999999E-2</v>
      </c>
      <c r="R54" s="22">
        <v>44</v>
      </c>
      <c r="S54" s="22">
        <v>0.121063</v>
      </c>
      <c r="T54">
        <f t="shared" si="2"/>
        <v>17.334</v>
      </c>
      <c r="U54">
        <f t="shared" si="3"/>
        <v>2.1080397419999999</v>
      </c>
      <c r="X54" s="9"/>
      <c r="Y54" s="22">
        <v>1.62842</v>
      </c>
      <c r="Z54" s="22">
        <v>145.434</v>
      </c>
      <c r="AA54" s="22">
        <v>-1.24908E-2</v>
      </c>
      <c r="AB54" s="22">
        <v>44</v>
      </c>
      <c r="AC54" s="22">
        <v>1.6281099999999999</v>
      </c>
      <c r="AD54">
        <f t="shared" si="4"/>
        <v>12.4908</v>
      </c>
      <c r="AE54">
        <f t="shared" si="5"/>
        <v>20.340268536</v>
      </c>
      <c r="AF54" s="9"/>
      <c r="AG54" s="22">
        <v>0.121613</v>
      </c>
      <c r="AH54" s="22">
        <v>224.96700000000001</v>
      </c>
      <c r="AI54" s="22">
        <v>-1.6928100000000001E-2</v>
      </c>
      <c r="AJ54" s="22">
        <v>44</v>
      </c>
      <c r="AK54" s="22">
        <v>0.121124</v>
      </c>
      <c r="AL54">
        <f t="shared" si="6"/>
        <v>16.928100000000001</v>
      </c>
      <c r="AM54">
        <f t="shared" si="7"/>
        <v>2.0586770253000002</v>
      </c>
      <c r="AP54" s="9"/>
      <c r="AQ54" s="22">
        <v>1.62842</v>
      </c>
      <c r="AR54" s="22">
        <v>277.38299999999998</v>
      </c>
      <c r="AS54" s="22">
        <v>-1.22192E-2</v>
      </c>
      <c r="AT54" s="22">
        <v>44</v>
      </c>
      <c r="AU54" s="22">
        <v>1.62781</v>
      </c>
      <c r="AV54">
        <f t="shared" si="8"/>
        <v>12.219199999999999</v>
      </c>
      <c r="AW54">
        <f t="shared" si="9"/>
        <v>19.897989663999997</v>
      </c>
      <c r="AX54" s="9"/>
      <c r="AY54" s="22">
        <v>0.121613</v>
      </c>
      <c r="AZ54" s="22">
        <v>356.61399999999998</v>
      </c>
      <c r="BA54" s="22">
        <v>-1.67694E-2</v>
      </c>
      <c r="BB54" s="22">
        <v>44</v>
      </c>
      <c r="BC54" s="22">
        <v>0.121155</v>
      </c>
      <c r="BD54">
        <f t="shared" si="10"/>
        <v>16.769400000000001</v>
      </c>
      <c r="BE54">
        <f t="shared" si="11"/>
        <v>2.0393770421999999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28.182200000000002</v>
      </c>
      <c r="I55" s="22">
        <v>-1.30615E-2</v>
      </c>
      <c r="J55" s="22">
        <v>45</v>
      </c>
      <c r="K55" s="22">
        <v>1.62201</v>
      </c>
      <c r="L55">
        <f t="shared" si="0"/>
        <v>13.061500000000001</v>
      </c>
      <c r="M55">
        <f t="shared" si="1"/>
        <v>21.203777870000003</v>
      </c>
      <c r="N55" s="9"/>
      <c r="O55" s="22">
        <v>0.12664800000000001</v>
      </c>
      <c r="P55" s="22">
        <v>83.578000000000003</v>
      </c>
      <c r="Q55" s="22">
        <v>-1.7340100000000001E-2</v>
      </c>
      <c r="R55" s="22">
        <v>45</v>
      </c>
      <c r="S55" s="22">
        <v>0.12615999999999999</v>
      </c>
      <c r="T55">
        <f t="shared" si="2"/>
        <v>17.3401</v>
      </c>
      <c r="U55">
        <f t="shared" si="3"/>
        <v>2.1960889848000003</v>
      </c>
      <c r="X55" s="9"/>
      <c r="Y55" s="22">
        <v>1.62338</v>
      </c>
      <c r="Z55" s="22">
        <v>145.535</v>
      </c>
      <c r="AA55" s="22">
        <v>-1.2677000000000001E-2</v>
      </c>
      <c r="AB55" s="22">
        <v>45</v>
      </c>
      <c r="AC55" s="22">
        <v>1.62262</v>
      </c>
      <c r="AD55">
        <f t="shared" si="4"/>
        <v>12.677000000000001</v>
      </c>
      <c r="AE55">
        <f t="shared" si="5"/>
        <v>20.579588260000001</v>
      </c>
      <c r="AF55" s="9"/>
      <c r="AG55" s="22">
        <v>0.12664800000000001</v>
      </c>
      <c r="AH55" s="22">
        <v>225.06700000000001</v>
      </c>
      <c r="AI55" s="22">
        <v>-1.6922E-2</v>
      </c>
      <c r="AJ55" s="22">
        <v>45</v>
      </c>
      <c r="AK55" s="22">
        <v>0.12609899999999999</v>
      </c>
      <c r="AL55">
        <f t="shared" si="6"/>
        <v>16.922000000000001</v>
      </c>
      <c r="AM55">
        <f t="shared" si="7"/>
        <v>2.1431374560000003</v>
      </c>
      <c r="AP55" s="9"/>
      <c r="AQ55" s="22">
        <v>1.62338</v>
      </c>
      <c r="AR55" s="22">
        <v>277.48399999999998</v>
      </c>
      <c r="AS55" s="22">
        <v>-1.24023E-2</v>
      </c>
      <c r="AT55" s="22">
        <v>45</v>
      </c>
      <c r="AU55" s="22">
        <v>1.62262</v>
      </c>
      <c r="AV55">
        <f t="shared" si="8"/>
        <v>12.4023</v>
      </c>
      <c r="AW55">
        <f t="shared" si="9"/>
        <v>20.133645774000001</v>
      </c>
      <c r="AX55" s="9"/>
      <c r="AY55" s="22">
        <v>0.12664800000000001</v>
      </c>
      <c r="AZ55" s="22">
        <v>356.714</v>
      </c>
      <c r="BA55" s="22">
        <v>-1.67694E-2</v>
      </c>
      <c r="BB55" s="22">
        <v>45</v>
      </c>
      <c r="BC55" s="22">
        <v>0.12606800000000001</v>
      </c>
      <c r="BD55">
        <f t="shared" si="10"/>
        <v>16.769400000000001</v>
      </c>
      <c r="BE55">
        <f t="shared" si="11"/>
        <v>2.1238109712000002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28.282900000000001</v>
      </c>
      <c r="I56" s="22">
        <v>-1.3162200000000001E-2</v>
      </c>
      <c r="J56" s="22">
        <v>46</v>
      </c>
      <c r="K56" s="22">
        <v>1.6174299999999999</v>
      </c>
      <c r="L56">
        <f t="shared" si="0"/>
        <v>13.1622</v>
      </c>
      <c r="M56">
        <f t="shared" si="1"/>
        <v>21.301046370000002</v>
      </c>
      <c r="N56" s="9"/>
      <c r="O56" s="22">
        <v>0.13168299999999999</v>
      </c>
      <c r="P56" s="22">
        <v>83.678700000000006</v>
      </c>
      <c r="Q56" s="22">
        <v>-1.7324800000000001E-2</v>
      </c>
      <c r="R56" s="22">
        <v>46</v>
      </c>
      <c r="S56" s="22">
        <v>0.13122600000000001</v>
      </c>
      <c r="T56">
        <f t="shared" si="2"/>
        <v>17.3248</v>
      </c>
      <c r="U56">
        <f t="shared" si="3"/>
        <v>2.2813816384000001</v>
      </c>
      <c r="X56" s="9"/>
      <c r="Y56" s="22">
        <v>1.61835</v>
      </c>
      <c r="Z56" s="22">
        <v>145.636</v>
      </c>
      <c r="AA56" s="22">
        <v>-1.28235E-2</v>
      </c>
      <c r="AB56" s="22">
        <v>46</v>
      </c>
      <c r="AC56" s="22">
        <v>1.61713</v>
      </c>
      <c r="AD56">
        <f t="shared" si="4"/>
        <v>12.823499999999999</v>
      </c>
      <c r="AE56">
        <f t="shared" si="5"/>
        <v>20.752911224999998</v>
      </c>
      <c r="AF56" s="9"/>
      <c r="AG56" s="22">
        <v>0.13168299999999999</v>
      </c>
      <c r="AH56" s="22">
        <v>225.16800000000001</v>
      </c>
      <c r="AI56" s="22">
        <v>-1.68945E-2</v>
      </c>
      <c r="AJ56" s="22">
        <v>46</v>
      </c>
      <c r="AK56" s="22">
        <v>0.131104</v>
      </c>
      <c r="AL56">
        <f t="shared" si="6"/>
        <v>16.894500000000001</v>
      </c>
      <c r="AM56">
        <f t="shared" si="7"/>
        <v>2.2247184435</v>
      </c>
      <c r="AP56" s="9"/>
      <c r="AQ56" s="22">
        <v>1.61835</v>
      </c>
      <c r="AR56" s="22">
        <v>277.58499999999998</v>
      </c>
      <c r="AS56" s="22">
        <v>-1.25916E-2</v>
      </c>
      <c r="AT56" s="22">
        <v>46</v>
      </c>
      <c r="AU56" s="22">
        <v>1.6174299999999999</v>
      </c>
      <c r="AV56">
        <f t="shared" si="8"/>
        <v>12.5916</v>
      </c>
      <c r="AW56">
        <f t="shared" si="9"/>
        <v>20.377615859999999</v>
      </c>
      <c r="AX56" s="9"/>
      <c r="AY56" s="22">
        <v>0.13168299999999999</v>
      </c>
      <c r="AZ56" s="22">
        <v>356.815</v>
      </c>
      <c r="BA56" s="22">
        <v>-1.6787699999999999E-2</v>
      </c>
      <c r="BB56" s="22">
        <v>46</v>
      </c>
      <c r="BC56" s="22">
        <v>0.131134</v>
      </c>
      <c r="BD56">
        <f t="shared" si="10"/>
        <v>16.787699999999997</v>
      </c>
      <c r="BE56">
        <f t="shared" si="11"/>
        <v>2.2106546990999996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28.383600000000001</v>
      </c>
      <c r="I57" s="22">
        <v>-1.32751E-2</v>
      </c>
      <c r="J57" s="22">
        <v>47</v>
      </c>
      <c r="K57" s="22">
        <v>1.6128499999999999</v>
      </c>
      <c r="L57">
        <f t="shared" si="0"/>
        <v>13.2751</v>
      </c>
      <c r="M57">
        <f t="shared" si="1"/>
        <v>21.416851581</v>
      </c>
      <c r="N57" s="9"/>
      <c r="O57" s="22">
        <v>0.13671900000000001</v>
      </c>
      <c r="P57" s="22">
        <v>83.779399999999995</v>
      </c>
      <c r="Q57" s="22">
        <v>-1.7321799999999998E-2</v>
      </c>
      <c r="R57" s="22">
        <v>47</v>
      </c>
      <c r="S57" s="22">
        <v>0.13613900000000001</v>
      </c>
      <c r="T57">
        <f t="shared" si="2"/>
        <v>17.3218</v>
      </c>
      <c r="U57">
        <f t="shared" si="3"/>
        <v>2.3682191742000001</v>
      </c>
      <c r="X57" s="9"/>
      <c r="Y57" s="22">
        <v>1.61331</v>
      </c>
      <c r="Z57" s="22">
        <v>145.73599999999999</v>
      </c>
      <c r="AA57" s="22">
        <v>-1.2988299999999999E-2</v>
      </c>
      <c r="AB57" s="22">
        <v>47</v>
      </c>
      <c r="AC57" s="22">
        <v>1.6131599999999999</v>
      </c>
      <c r="AD57">
        <f t="shared" si="4"/>
        <v>12.988299999999999</v>
      </c>
      <c r="AE57">
        <f t="shared" si="5"/>
        <v>20.954154272999997</v>
      </c>
      <c r="AF57" s="9"/>
      <c r="AG57" s="22">
        <v>0.13671900000000001</v>
      </c>
      <c r="AH57" s="22">
        <v>225.26900000000001</v>
      </c>
      <c r="AI57" s="22">
        <v>-1.69067E-2</v>
      </c>
      <c r="AJ57" s="22">
        <v>47</v>
      </c>
      <c r="AK57" s="22">
        <v>0.13619999999999999</v>
      </c>
      <c r="AL57">
        <f t="shared" si="6"/>
        <v>16.906700000000001</v>
      </c>
      <c r="AM57">
        <f t="shared" si="7"/>
        <v>2.3114671173000003</v>
      </c>
      <c r="AP57" s="9"/>
      <c r="AQ57" s="22">
        <v>1.61331</v>
      </c>
      <c r="AR57" s="22">
        <v>277.685</v>
      </c>
      <c r="AS57" s="22">
        <v>-1.2731900000000001E-2</v>
      </c>
      <c r="AT57" s="22">
        <v>47</v>
      </c>
      <c r="AU57" s="22">
        <v>1.6119399999999999</v>
      </c>
      <c r="AV57">
        <f t="shared" si="8"/>
        <v>12.731900000000001</v>
      </c>
      <c r="AW57">
        <f t="shared" si="9"/>
        <v>20.540501589000002</v>
      </c>
      <c r="AX57" s="9"/>
      <c r="AY57" s="22">
        <v>0.13671900000000001</v>
      </c>
      <c r="AZ57" s="22">
        <v>356.916</v>
      </c>
      <c r="BA57" s="22">
        <v>-1.6741900000000001E-2</v>
      </c>
      <c r="BB57" s="22">
        <v>47</v>
      </c>
      <c r="BC57" s="22">
        <v>0.13613900000000001</v>
      </c>
      <c r="BD57">
        <f t="shared" si="10"/>
        <v>16.741900000000001</v>
      </c>
      <c r="BE57">
        <f t="shared" si="11"/>
        <v>2.2889358261000003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28.484300000000001</v>
      </c>
      <c r="I58" s="22">
        <v>-1.3433799999999999E-2</v>
      </c>
      <c r="J58" s="22">
        <v>48</v>
      </c>
      <c r="K58" s="22">
        <v>1.6076699999999999</v>
      </c>
      <c r="L58">
        <f t="shared" si="0"/>
        <v>13.4338</v>
      </c>
      <c r="M58">
        <f t="shared" si="1"/>
        <v>21.605311863999997</v>
      </c>
      <c r="N58" s="9"/>
      <c r="O58" s="22">
        <v>0.14175399999999999</v>
      </c>
      <c r="P58" s="22">
        <v>83.880099999999999</v>
      </c>
      <c r="Q58" s="22">
        <v>-1.7312600000000001E-2</v>
      </c>
      <c r="R58" s="22">
        <v>48</v>
      </c>
      <c r="S58" s="22">
        <v>0.141266</v>
      </c>
      <c r="T58">
        <f t="shared" si="2"/>
        <v>17.3126</v>
      </c>
      <c r="U58">
        <f t="shared" si="3"/>
        <v>2.4541303003999997</v>
      </c>
      <c r="X58" s="9"/>
      <c r="Y58" s="22">
        <v>1.6082799999999999</v>
      </c>
      <c r="Z58" s="22">
        <v>145.83699999999999</v>
      </c>
      <c r="AA58" s="22">
        <v>-1.3119499999999999E-2</v>
      </c>
      <c r="AB58" s="22">
        <v>48</v>
      </c>
      <c r="AC58" s="22">
        <v>1.6076699999999999</v>
      </c>
      <c r="AD58">
        <f t="shared" si="4"/>
        <v>13.119499999999999</v>
      </c>
      <c r="AE58">
        <f t="shared" si="5"/>
        <v>21.099829459999995</v>
      </c>
      <c r="AF58" s="9"/>
      <c r="AG58" s="22">
        <v>0.14175399999999999</v>
      </c>
      <c r="AH58" s="22">
        <v>225.369</v>
      </c>
      <c r="AI58" s="22">
        <v>-1.6888400000000001E-2</v>
      </c>
      <c r="AJ58" s="22">
        <v>48</v>
      </c>
      <c r="AK58" s="22">
        <v>0.141266</v>
      </c>
      <c r="AL58">
        <f t="shared" si="6"/>
        <v>16.888400000000001</v>
      </c>
      <c r="AM58">
        <f t="shared" si="7"/>
        <v>2.3939982536</v>
      </c>
      <c r="AP58" s="9"/>
      <c r="AQ58" s="22">
        <v>1.6082799999999999</v>
      </c>
      <c r="AR58" s="22">
        <v>277.786</v>
      </c>
      <c r="AS58" s="22">
        <v>-1.28693E-2</v>
      </c>
      <c r="AT58" s="22">
        <v>48</v>
      </c>
      <c r="AU58" s="22">
        <v>1.6073599999999999</v>
      </c>
      <c r="AV58">
        <f t="shared" si="8"/>
        <v>12.869300000000001</v>
      </c>
      <c r="AW58">
        <f t="shared" si="9"/>
        <v>20.697437804</v>
      </c>
      <c r="AX58" s="9"/>
      <c r="AY58" s="22">
        <v>0.14175399999999999</v>
      </c>
      <c r="AZ58" s="22">
        <v>357.01600000000002</v>
      </c>
      <c r="BA58" s="22">
        <v>-1.6726700000000001E-2</v>
      </c>
      <c r="BB58" s="22">
        <v>48</v>
      </c>
      <c r="BC58" s="22">
        <v>0.141266</v>
      </c>
      <c r="BD58">
        <f t="shared" si="10"/>
        <v>16.726700000000001</v>
      </c>
      <c r="BE58">
        <f t="shared" si="11"/>
        <v>2.3710766317999998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28.585000000000001</v>
      </c>
      <c r="I59" s="22">
        <v>-1.35376E-2</v>
      </c>
      <c r="J59" s="22">
        <v>49</v>
      </c>
      <c r="K59" s="22">
        <v>1.6021700000000001</v>
      </c>
      <c r="L59">
        <f t="shared" si="0"/>
        <v>13.537600000000001</v>
      </c>
      <c r="M59">
        <f t="shared" si="1"/>
        <v>21.704021824000002</v>
      </c>
      <c r="N59" s="9"/>
      <c r="O59" s="22">
        <v>0.14679</v>
      </c>
      <c r="P59" s="22">
        <v>83.980800000000002</v>
      </c>
      <c r="Q59" s="22">
        <v>-1.7282100000000002E-2</v>
      </c>
      <c r="R59" s="22">
        <v>49</v>
      </c>
      <c r="S59" s="22">
        <v>0.14624000000000001</v>
      </c>
      <c r="T59">
        <f t="shared" si="2"/>
        <v>17.282100000000003</v>
      </c>
      <c r="U59">
        <f t="shared" si="3"/>
        <v>2.5368394590000007</v>
      </c>
      <c r="X59" s="9"/>
      <c r="Y59" s="22">
        <v>1.60324</v>
      </c>
      <c r="Z59" s="22">
        <v>145.93799999999999</v>
      </c>
      <c r="AA59" s="22">
        <v>-1.32599E-2</v>
      </c>
      <c r="AB59" s="22">
        <v>49</v>
      </c>
      <c r="AC59" s="22">
        <v>1.6027800000000001</v>
      </c>
      <c r="AD59">
        <f t="shared" si="4"/>
        <v>13.2599</v>
      </c>
      <c r="AE59">
        <f t="shared" si="5"/>
        <v>21.258802075999998</v>
      </c>
      <c r="AF59" s="9"/>
      <c r="AG59" s="22">
        <v>0.14679</v>
      </c>
      <c r="AH59" s="22">
        <v>225.47</v>
      </c>
      <c r="AI59" s="22">
        <v>-1.6885399999999998E-2</v>
      </c>
      <c r="AJ59" s="22">
        <v>49</v>
      </c>
      <c r="AK59" s="22">
        <v>0.14627100000000001</v>
      </c>
      <c r="AL59">
        <f t="shared" si="6"/>
        <v>16.885399999999997</v>
      </c>
      <c r="AM59">
        <f t="shared" si="7"/>
        <v>2.4786078659999995</v>
      </c>
      <c r="AP59" s="9"/>
      <c r="AQ59" s="22">
        <v>1.60324</v>
      </c>
      <c r="AR59" s="22">
        <v>277.887</v>
      </c>
      <c r="AS59" s="22">
        <v>-1.29791E-2</v>
      </c>
      <c r="AT59" s="22">
        <v>49</v>
      </c>
      <c r="AU59" s="22">
        <v>1.6024799999999999</v>
      </c>
      <c r="AV59">
        <f t="shared" si="8"/>
        <v>12.979100000000001</v>
      </c>
      <c r="AW59">
        <f t="shared" si="9"/>
        <v>20.808612284000002</v>
      </c>
      <c r="AX59" s="9"/>
      <c r="AY59" s="22">
        <v>0.14679</v>
      </c>
      <c r="AZ59" s="22">
        <v>357.11700000000002</v>
      </c>
      <c r="BA59" s="22">
        <v>-1.6726700000000001E-2</v>
      </c>
      <c r="BB59" s="22">
        <v>49</v>
      </c>
      <c r="BC59" s="22">
        <v>0.14633199999999999</v>
      </c>
      <c r="BD59">
        <f t="shared" si="10"/>
        <v>16.726700000000001</v>
      </c>
      <c r="BE59">
        <f t="shared" si="11"/>
        <v>2.4553122930000004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28.685700000000001</v>
      </c>
      <c r="I60" s="22">
        <v>-1.3681E-2</v>
      </c>
      <c r="J60" s="22">
        <v>50</v>
      </c>
      <c r="K60" s="22">
        <v>1.5972900000000001</v>
      </c>
      <c r="L60">
        <f t="shared" si="0"/>
        <v>13.681000000000001</v>
      </c>
      <c r="M60">
        <f t="shared" si="1"/>
        <v>21.86511101</v>
      </c>
      <c r="N60" s="9"/>
      <c r="O60" s="22">
        <v>0.15182499999999999</v>
      </c>
      <c r="P60" s="22">
        <v>84.081599999999995</v>
      </c>
      <c r="Q60" s="22">
        <v>-1.7279099999999999E-2</v>
      </c>
      <c r="R60" s="22">
        <v>50</v>
      </c>
      <c r="S60" s="22">
        <v>0.15127599999999999</v>
      </c>
      <c r="T60">
        <f t="shared" si="2"/>
        <v>17.2791</v>
      </c>
      <c r="U60">
        <f t="shared" si="3"/>
        <v>2.6233993574999999</v>
      </c>
      <c r="X60" s="9"/>
      <c r="Y60" s="22">
        <v>1.5982099999999999</v>
      </c>
      <c r="Z60" s="22">
        <v>146.03899999999999</v>
      </c>
      <c r="AA60" s="22">
        <v>-1.33636E-2</v>
      </c>
      <c r="AB60" s="22">
        <v>50</v>
      </c>
      <c r="AC60" s="22">
        <v>1.5972900000000001</v>
      </c>
      <c r="AD60">
        <f t="shared" si="4"/>
        <v>13.3636</v>
      </c>
      <c r="AE60">
        <f t="shared" si="5"/>
        <v>21.357839155999997</v>
      </c>
      <c r="AF60" s="9"/>
      <c r="AG60" s="22">
        <v>0.15182499999999999</v>
      </c>
      <c r="AH60" s="22">
        <v>225.571</v>
      </c>
      <c r="AI60" s="22">
        <v>-1.68945E-2</v>
      </c>
      <c r="AJ60" s="22">
        <v>50</v>
      </c>
      <c r="AK60" s="22">
        <v>0.151306</v>
      </c>
      <c r="AL60">
        <f t="shared" si="6"/>
        <v>16.894500000000001</v>
      </c>
      <c r="AM60">
        <f t="shared" si="7"/>
        <v>2.5650074625000001</v>
      </c>
      <c r="AP60" s="9"/>
      <c r="AQ60" s="22">
        <v>1.5982099999999999</v>
      </c>
      <c r="AR60" s="22">
        <v>277.988</v>
      </c>
      <c r="AS60" s="22">
        <v>-1.3085899999999999E-2</v>
      </c>
      <c r="AT60" s="22">
        <v>50</v>
      </c>
      <c r="AU60" s="22">
        <v>1.5979000000000001</v>
      </c>
      <c r="AV60">
        <f t="shared" si="8"/>
        <v>13.085899999999999</v>
      </c>
      <c r="AW60">
        <f t="shared" si="9"/>
        <v>20.914016238999995</v>
      </c>
      <c r="AX60" s="9"/>
      <c r="AY60" s="22">
        <v>0.15182499999999999</v>
      </c>
      <c r="AZ60" s="22">
        <v>357.21800000000002</v>
      </c>
      <c r="BA60" s="22">
        <v>-1.6747999999999999E-2</v>
      </c>
      <c r="BB60" s="22">
        <v>50</v>
      </c>
      <c r="BC60" s="22">
        <v>0.151306</v>
      </c>
      <c r="BD60">
        <f t="shared" si="10"/>
        <v>16.747999999999998</v>
      </c>
      <c r="BE60">
        <f t="shared" si="11"/>
        <v>2.5427650999999996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28.7864</v>
      </c>
      <c r="I61" s="22">
        <v>-1.38031E-2</v>
      </c>
      <c r="J61" s="22">
        <v>51</v>
      </c>
      <c r="K61" s="22">
        <v>1.5921000000000001</v>
      </c>
      <c r="L61">
        <f t="shared" si="0"/>
        <v>13.803100000000001</v>
      </c>
      <c r="M61">
        <f t="shared" si="1"/>
        <v>21.990684826999999</v>
      </c>
      <c r="N61" s="9"/>
      <c r="O61" s="22">
        <v>0.15686</v>
      </c>
      <c r="P61" s="22">
        <v>84.182299999999998</v>
      </c>
      <c r="Q61" s="22">
        <v>-1.7303499999999999E-2</v>
      </c>
      <c r="R61" s="22">
        <v>51</v>
      </c>
      <c r="S61" s="22">
        <v>0.15640299999999999</v>
      </c>
      <c r="T61">
        <f t="shared" si="2"/>
        <v>17.3035</v>
      </c>
      <c r="U61">
        <f t="shared" si="3"/>
        <v>2.7142270100000001</v>
      </c>
      <c r="X61" s="9"/>
      <c r="Y61" s="22">
        <v>1.59317</v>
      </c>
      <c r="Z61" s="22">
        <v>146.13900000000001</v>
      </c>
      <c r="AA61" s="22">
        <v>-1.3522299999999999E-2</v>
      </c>
      <c r="AB61" s="22">
        <v>51</v>
      </c>
      <c r="AC61" s="22">
        <v>1.5924100000000001</v>
      </c>
      <c r="AD61">
        <f t="shared" si="4"/>
        <v>13.5223</v>
      </c>
      <c r="AE61">
        <f t="shared" si="5"/>
        <v>21.543322691</v>
      </c>
      <c r="AF61" s="9"/>
      <c r="AG61" s="22">
        <v>0.15686</v>
      </c>
      <c r="AH61" s="22">
        <v>225.672</v>
      </c>
      <c r="AI61" s="22">
        <v>-1.6864000000000001E-2</v>
      </c>
      <c r="AJ61" s="22">
        <v>51</v>
      </c>
      <c r="AK61" s="22">
        <v>0.15625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278.08800000000002</v>
      </c>
      <c r="AS61" s="22">
        <v>-1.3201900000000001E-2</v>
      </c>
      <c r="AT61" s="22">
        <v>51</v>
      </c>
      <c r="AU61" s="22">
        <v>1.5921000000000001</v>
      </c>
      <c r="AV61">
        <f t="shared" si="8"/>
        <v>13.2019</v>
      </c>
      <c r="AW61">
        <f t="shared" si="9"/>
        <v>21.032871022999998</v>
      </c>
      <c r="AX61" s="9"/>
      <c r="AY61" s="22">
        <v>0.15686</v>
      </c>
      <c r="AZ61" s="22">
        <v>357.31900000000002</v>
      </c>
      <c r="BA61" s="22">
        <v>-1.6705299999999999E-2</v>
      </c>
      <c r="BB61" s="22">
        <v>51</v>
      </c>
      <c r="BC61" s="22">
        <v>0.15634200000000001</v>
      </c>
      <c r="BD61">
        <f t="shared" si="10"/>
        <v>16.705299999999998</v>
      </c>
      <c r="BE61">
        <f t="shared" si="11"/>
        <v>2.6203933579999994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28.8871</v>
      </c>
      <c r="I62" s="22">
        <v>-1.3909899999999999E-2</v>
      </c>
      <c r="J62" s="22">
        <v>52</v>
      </c>
      <c r="K62" s="22">
        <v>1.58752</v>
      </c>
      <c r="L62">
        <f t="shared" si="0"/>
        <v>13.909899999999999</v>
      </c>
      <c r="M62">
        <f t="shared" si="1"/>
        <v>22.090729486999997</v>
      </c>
      <c r="N62" s="9"/>
      <c r="O62" s="22">
        <v>0.16189600000000001</v>
      </c>
      <c r="P62" s="22">
        <v>84.283000000000001</v>
      </c>
      <c r="Q62" s="22">
        <v>-1.7294299999999999E-2</v>
      </c>
      <c r="R62" s="22">
        <v>52</v>
      </c>
      <c r="S62" s="22">
        <v>0.16131599999999999</v>
      </c>
      <c r="T62">
        <f t="shared" si="2"/>
        <v>17.2943</v>
      </c>
      <c r="U62">
        <f t="shared" si="3"/>
        <v>2.7998779928000004</v>
      </c>
      <c r="X62" s="9"/>
      <c r="Y62" s="22">
        <v>1.58813</v>
      </c>
      <c r="Z62" s="22">
        <v>146.24</v>
      </c>
      <c r="AA62" s="22">
        <v>-1.35925E-2</v>
      </c>
      <c r="AB62" s="22">
        <v>52</v>
      </c>
      <c r="AC62" s="22">
        <v>1.5872200000000001</v>
      </c>
      <c r="AD62">
        <f t="shared" si="4"/>
        <v>13.592500000000001</v>
      </c>
      <c r="AE62">
        <f t="shared" si="5"/>
        <v>21.586657025000001</v>
      </c>
      <c r="AF62" s="9"/>
      <c r="AG62" s="22">
        <v>0.16189600000000001</v>
      </c>
      <c r="AH62" s="22">
        <v>225.77199999999999</v>
      </c>
      <c r="AI62" s="22">
        <v>-1.6864000000000001E-2</v>
      </c>
      <c r="AJ62" s="22">
        <v>52</v>
      </c>
      <c r="AK62" s="22">
        <v>0.16128500000000001</v>
      </c>
      <c r="AL62">
        <f t="shared" si="6"/>
        <v>16.864000000000001</v>
      </c>
      <c r="AM62">
        <f t="shared" si="7"/>
        <v>2.7302141440000005</v>
      </c>
      <c r="AP62" s="9"/>
      <c r="AQ62" s="22">
        <v>1.58813</v>
      </c>
      <c r="AR62" s="22">
        <v>278.18900000000002</v>
      </c>
      <c r="AS62" s="22">
        <v>-1.3333100000000001E-2</v>
      </c>
      <c r="AT62" s="22">
        <v>52</v>
      </c>
      <c r="AU62" s="22">
        <v>1.5878300000000001</v>
      </c>
      <c r="AV62">
        <f t="shared" si="8"/>
        <v>13.3331</v>
      </c>
      <c r="AW62">
        <f t="shared" si="9"/>
        <v>21.174696102999999</v>
      </c>
      <c r="AX62" s="9"/>
      <c r="AY62" s="22">
        <v>0.16189600000000001</v>
      </c>
      <c r="AZ62" s="22">
        <v>357.41899999999998</v>
      </c>
      <c r="BA62" s="22">
        <v>-1.67175E-2</v>
      </c>
      <c r="BB62" s="22">
        <v>52</v>
      </c>
      <c r="BC62" s="22">
        <v>0.16137699999999999</v>
      </c>
      <c r="BD62">
        <f t="shared" si="10"/>
        <v>16.717500000000001</v>
      </c>
      <c r="BE62">
        <f t="shared" si="11"/>
        <v>2.7064963800000004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28.9878</v>
      </c>
      <c r="I63" s="22">
        <v>-1.40106E-2</v>
      </c>
      <c r="J63" s="22">
        <v>53</v>
      </c>
      <c r="K63" s="22">
        <v>1.58264</v>
      </c>
      <c r="L63">
        <f t="shared" si="0"/>
        <v>14.0106</v>
      </c>
      <c r="M63">
        <f t="shared" si="1"/>
        <v>22.18018086</v>
      </c>
      <c r="N63" s="9"/>
      <c r="O63" s="22">
        <v>0.166931</v>
      </c>
      <c r="P63" s="22">
        <v>84.383700000000005</v>
      </c>
      <c r="Q63" s="22">
        <v>-1.7254599999999998E-2</v>
      </c>
      <c r="R63" s="22">
        <v>53</v>
      </c>
      <c r="S63" s="22">
        <v>0.166382</v>
      </c>
      <c r="T63">
        <f t="shared" si="2"/>
        <v>17.2546</v>
      </c>
      <c r="U63">
        <f t="shared" si="3"/>
        <v>2.8803276325999998</v>
      </c>
      <c r="X63" s="9"/>
      <c r="Y63" s="22">
        <v>1.5831</v>
      </c>
      <c r="Z63" s="22">
        <v>146.34100000000001</v>
      </c>
      <c r="AA63" s="22">
        <v>-1.3726800000000001E-2</v>
      </c>
      <c r="AB63" s="22">
        <v>53</v>
      </c>
      <c r="AC63" s="22">
        <v>1.58203</v>
      </c>
      <c r="AD63">
        <f t="shared" si="4"/>
        <v>13.726800000000001</v>
      </c>
      <c r="AE63">
        <f t="shared" si="5"/>
        <v>21.730897080000002</v>
      </c>
      <c r="AF63" s="9"/>
      <c r="AG63" s="22">
        <v>0.166931</v>
      </c>
      <c r="AH63" s="22">
        <v>225.87299999999999</v>
      </c>
      <c r="AI63" s="22">
        <v>-1.6867099999999999E-2</v>
      </c>
      <c r="AJ63" s="22">
        <v>53</v>
      </c>
      <c r="AK63" s="22">
        <v>0.16628999999999999</v>
      </c>
      <c r="AL63">
        <f t="shared" si="6"/>
        <v>16.867100000000001</v>
      </c>
      <c r="AM63">
        <f t="shared" si="7"/>
        <v>2.8156418700999999</v>
      </c>
      <c r="AP63" s="9"/>
      <c r="AQ63" s="22">
        <v>1.5831</v>
      </c>
      <c r="AR63" s="22">
        <v>278.29000000000002</v>
      </c>
      <c r="AS63" s="22">
        <v>-1.3439899999999999E-2</v>
      </c>
      <c r="AT63" s="22">
        <v>53</v>
      </c>
      <c r="AU63" s="22">
        <v>1.58203</v>
      </c>
      <c r="AV63">
        <f t="shared" si="8"/>
        <v>13.4399</v>
      </c>
      <c r="AW63">
        <f t="shared" si="9"/>
        <v>21.27670569</v>
      </c>
      <c r="AX63" s="9"/>
      <c r="AY63" s="22">
        <v>0.166931</v>
      </c>
      <c r="AZ63" s="22">
        <v>357.52</v>
      </c>
      <c r="BA63" s="22">
        <v>-1.67297E-2</v>
      </c>
      <c r="BB63" s="22">
        <v>53</v>
      </c>
      <c r="BC63" s="22">
        <v>0.166412</v>
      </c>
      <c r="BD63">
        <f t="shared" si="10"/>
        <v>16.729700000000001</v>
      </c>
      <c r="BE63">
        <f t="shared" si="11"/>
        <v>2.7927055507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29.0885</v>
      </c>
      <c r="I64" s="22">
        <v>-1.4129600000000001E-2</v>
      </c>
      <c r="J64" s="22">
        <v>54</v>
      </c>
      <c r="K64" s="22">
        <v>1.5777600000000001</v>
      </c>
      <c r="L64">
        <f t="shared" si="0"/>
        <v>14.129600000000002</v>
      </c>
      <c r="M64">
        <f t="shared" si="1"/>
        <v>22.297356576000002</v>
      </c>
      <c r="N64" s="9"/>
      <c r="O64" s="22">
        <v>0.17196700000000001</v>
      </c>
      <c r="P64" s="22">
        <v>84.484399999999994</v>
      </c>
      <c r="Q64" s="22">
        <v>-1.7257700000000001E-2</v>
      </c>
      <c r="R64" s="22">
        <v>54</v>
      </c>
      <c r="S64" s="22">
        <v>0.17157</v>
      </c>
      <c r="T64">
        <f t="shared" si="2"/>
        <v>17.2577</v>
      </c>
      <c r="U64">
        <f t="shared" si="3"/>
        <v>2.9677548959000002</v>
      </c>
      <c r="X64" s="9"/>
      <c r="Y64" s="22">
        <v>1.57806</v>
      </c>
      <c r="Z64" s="22">
        <v>146.441</v>
      </c>
      <c r="AA64" s="22">
        <v>-1.38519E-2</v>
      </c>
      <c r="AB64" s="22">
        <v>54</v>
      </c>
      <c r="AC64" s="22">
        <v>1.5777600000000001</v>
      </c>
      <c r="AD64">
        <f t="shared" si="4"/>
        <v>13.851900000000001</v>
      </c>
      <c r="AE64">
        <f t="shared" si="5"/>
        <v>21.859129314</v>
      </c>
      <c r="AF64" s="9"/>
      <c r="AG64" s="22">
        <v>0.17196700000000001</v>
      </c>
      <c r="AH64" s="22">
        <v>225.97399999999999</v>
      </c>
      <c r="AI64" s="22">
        <v>-1.6861000000000001E-2</v>
      </c>
      <c r="AJ64" s="22">
        <v>54</v>
      </c>
      <c r="AK64" s="22">
        <v>0.17141700000000001</v>
      </c>
      <c r="AL64">
        <f t="shared" si="6"/>
        <v>16.861000000000001</v>
      </c>
      <c r="AM64">
        <f t="shared" si="7"/>
        <v>2.8995355870000004</v>
      </c>
      <c r="AP64" s="9"/>
      <c r="AQ64" s="22">
        <v>1.57806</v>
      </c>
      <c r="AR64" s="22">
        <v>278.39</v>
      </c>
      <c r="AS64" s="22">
        <v>-1.35742E-2</v>
      </c>
      <c r="AT64" s="22">
        <v>54</v>
      </c>
      <c r="AU64" s="22">
        <v>1.5777600000000001</v>
      </c>
      <c r="AV64">
        <f t="shared" si="8"/>
        <v>13.574199999999999</v>
      </c>
      <c r="AW64">
        <f t="shared" si="9"/>
        <v>21.420902051999999</v>
      </c>
      <c r="AX64" s="9"/>
      <c r="AY64" s="22">
        <v>0.17196700000000001</v>
      </c>
      <c r="AZ64" s="22">
        <v>357.62099999999998</v>
      </c>
      <c r="BA64" s="22">
        <v>-1.67175E-2</v>
      </c>
      <c r="BB64" s="22">
        <v>54</v>
      </c>
      <c r="BC64" s="22">
        <v>0.17147799999999999</v>
      </c>
      <c r="BD64">
        <f t="shared" si="10"/>
        <v>16.717500000000001</v>
      </c>
      <c r="BE64">
        <f t="shared" si="11"/>
        <v>2.8748583225000002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29.1892</v>
      </c>
      <c r="I65" s="22">
        <v>-1.41998E-2</v>
      </c>
      <c r="J65" s="22">
        <v>55</v>
      </c>
      <c r="K65" s="22">
        <v>1.57196</v>
      </c>
      <c r="L65">
        <f t="shared" si="0"/>
        <v>14.1998</v>
      </c>
      <c r="M65">
        <f t="shared" si="1"/>
        <v>22.336711393999998</v>
      </c>
      <c r="N65" s="9"/>
      <c r="O65" s="22">
        <v>0.17700199999999999</v>
      </c>
      <c r="P65" s="22">
        <v>84.585099999999997</v>
      </c>
      <c r="Q65" s="22">
        <v>-1.7254599999999998E-2</v>
      </c>
      <c r="R65" s="22">
        <v>55</v>
      </c>
      <c r="S65" s="22">
        <v>0.176483</v>
      </c>
      <c r="T65">
        <f t="shared" si="2"/>
        <v>17.2546</v>
      </c>
      <c r="U65">
        <f t="shared" si="3"/>
        <v>3.0540987091999998</v>
      </c>
      <c r="X65" s="9"/>
      <c r="Y65" s="22">
        <v>1.5730299999999999</v>
      </c>
      <c r="Z65" s="22">
        <v>146.542</v>
      </c>
      <c r="AA65" s="22">
        <v>-1.3986200000000001E-2</v>
      </c>
      <c r="AB65" s="22">
        <v>55</v>
      </c>
      <c r="AC65" s="22">
        <v>1.5722700000000001</v>
      </c>
      <c r="AD65">
        <f t="shared" si="4"/>
        <v>13.9862</v>
      </c>
      <c r="AE65">
        <f t="shared" si="5"/>
        <v>22.000712185999998</v>
      </c>
      <c r="AF65" s="9"/>
      <c r="AG65" s="22">
        <v>0.17700199999999999</v>
      </c>
      <c r="AH65" s="22">
        <v>226.07400000000001</v>
      </c>
      <c r="AI65" s="22">
        <v>-1.6870099999999999E-2</v>
      </c>
      <c r="AJ65" s="22">
        <v>55</v>
      </c>
      <c r="AK65" s="22">
        <v>0.176483</v>
      </c>
      <c r="AL65">
        <f t="shared" si="6"/>
        <v>16.870100000000001</v>
      </c>
      <c r="AM65">
        <f t="shared" si="7"/>
        <v>2.9860414402000002</v>
      </c>
      <c r="AP65" s="9"/>
      <c r="AQ65" s="22">
        <v>1.5730299999999999</v>
      </c>
      <c r="AR65" s="22">
        <v>278.49099999999999</v>
      </c>
      <c r="AS65" s="22">
        <v>-1.36353E-2</v>
      </c>
      <c r="AT65" s="22">
        <v>55</v>
      </c>
      <c r="AU65" s="22">
        <v>1.5722700000000001</v>
      </c>
      <c r="AV65">
        <f t="shared" si="8"/>
        <v>13.635299999999999</v>
      </c>
      <c r="AW65">
        <f t="shared" si="9"/>
        <v>21.448735958999997</v>
      </c>
      <c r="AX65" s="9"/>
      <c r="AY65" s="22">
        <v>0.17700199999999999</v>
      </c>
      <c r="AZ65" s="22">
        <v>357.721</v>
      </c>
      <c r="BA65" s="22">
        <v>-1.6711400000000001E-2</v>
      </c>
      <c r="BB65" s="22">
        <v>55</v>
      </c>
      <c r="BC65" s="22">
        <v>0.17660500000000001</v>
      </c>
      <c r="BD65">
        <f t="shared" si="10"/>
        <v>16.711400000000001</v>
      </c>
      <c r="BE65">
        <f t="shared" si="11"/>
        <v>2.9579512228000002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29.289899999999999</v>
      </c>
      <c r="I66" s="22">
        <v>-1.4328E-2</v>
      </c>
      <c r="J66" s="22">
        <v>56</v>
      </c>
      <c r="K66" s="22">
        <v>1.56738</v>
      </c>
      <c r="L66">
        <f t="shared" si="0"/>
        <v>14.328000000000001</v>
      </c>
      <c r="M66">
        <f t="shared" si="1"/>
        <v>22.466160720000001</v>
      </c>
      <c r="N66" s="9"/>
      <c r="O66" s="22">
        <v>0.182037</v>
      </c>
      <c r="P66" s="22">
        <v>84.6858</v>
      </c>
      <c r="Q66" s="22">
        <v>-1.7272900000000001E-2</v>
      </c>
      <c r="R66" s="22">
        <v>56</v>
      </c>
      <c r="S66" s="22">
        <v>0.18151900000000001</v>
      </c>
      <c r="T66">
        <f t="shared" si="2"/>
        <v>17.2729</v>
      </c>
      <c r="U66">
        <f t="shared" si="3"/>
        <v>3.1443068972999999</v>
      </c>
      <c r="X66" s="9"/>
      <c r="Y66" s="22">
        <v>1.56799</v>
      </c>
      <c r="Z66" s="22">
        <v>146.643</v>
      </c>
      <c r="AA66" s="22">
        <v>-1.40991E-2</v>
      </c>
      <c r="AB66" s="22">
        <v>56</v>
      </c>
      <c r="AC66" s="22">
        <v>1.56708</v>
      </c>
      <c r="AD66">
        <f t="shared" si="4"/>
        <v>14.0991</v>
      </c>
      <c r="AE66">
        <f t="shared" si="5"/>
        <v>22.107247809</v>
      </c>
      <c r="AF66" s="9"/>
      <c r="AG66" s="22">
        <v>0.182037</v>
      </c>
      <c r="AH66" s="22">
        <v>226.17500000000001</v>
      </c>
      <c r="AI66" s="22">
        <v>-1.6857899999999999E-2</v>
      </c>
      <c r="AJ66" s="22">
        <v>56</v>
      </c>
      <c r="AK66" s="22">
        <v>0.18154899999999999</v>
      </c>
      <c r="AL66">
        <f t="shared" si="6"/>
        <v>16.857899999999997</v>
      </c>
      <c r="AM66">
        <f t="shared" si="7"/>
        <v>3.0687615422999994</v>
      </c>
      <c r="AP66" s="9"/>
      <c r="AQ66" s="22">
        <v>1.56799</v>
      </c>
      <c r="AR66" s="22">
        <v>278.59199999999998</v>
      </c>
      <c r="AS66" s="22">
        <v>-1.3717699999999999E-2</v>
      </c>
      <c r="AT66" s="22">
        <v>56</v>
      </c>
      <c r="AU66" s="22">
        <v>1.56708</v>
      </c>
      <c r="AV66">
        <f t="shared" si="8"/>
        <v>13.717699999999999</v>
      </c>
      <c r="AW66">
        <f t="shared" si="9"/>
        <v>21.509216422999998</v>
      </c>
      <c r="AX66" s="9"/>
      <c r="AY66" s="22">
        <v>0.182037</v>
      </c>
      <c r="AZ66" s="22">
        <v>357.822</v>
      </c>
      <c r="BA66" s="22">
        <v>-1.67145E-2</v>
      </c>
      <c r="BB66" s="22">
        <v>56</v>
      </c>
      <c r="BC66" s="22">
        <v>0.181396</v>
      </c>
      <c r="BD66">
        <f t="shared" si="10"/>
        <v>16.714500000000001</v>
      </c>
      <c r="BE66">
        <f t="shared" si="11"/>
        <v>3.0426574365000003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29.390699999999999</v>
      </c>
      <c r="I67" s="22">
        <v>-1.4428699999999999E-2</v>
      </c>
      <c r="J67" s="22">
        <v>57</v>
      </c>
      <c r="K67" s="22">
        <v>1.5625</v>
      </c>
      <c r="L67">
        <f t="shared" si="0"/>
        <v>14.428699999999999</v>
      </c>
      <c r="M67">
        <f t="shared" si="1"/>
        <v>22.551480951999999</v>
      </c>
      <c r="N67" s="9"/>
      <c r="O67" s="22">
        <v>0.18707299999999999</v>
      </c>
      <c r="P67" s="22">
        <v>84.786500000000004</v>
      </c>
      <c r="Q67" s="22">
        <v>-1.7282100000000002E-2</v>
      </c>
      <c r="R67" s="22">
        <v>57</v>
      </c>
      <c r="S67" s="22">
        <v>0.186584</v>
      </c>
      <c r="T67">
        <f t="shared" si="2"/>
        <v>17.282100000000003</v>
      </c>
      <c r="U67">
        <f t="shared" si="3"/>
        <v>3.2330142933000006</v>
      </c>
      <c r="X67" s="9"/>
      <c r="Y67" s="22">
        <v>1.5629599999999999</v>
      </c>
      <c r="Z67" s="22">
        <v>146.74299999999999</v>
      </c>
      <c r="AA67" s="22">
        <v>-1.4196800000000001E-2</v>
      </c>
      <c r="AB67" s="22">
        <v>57</v>
      </c>
      <c r="AC67" s="22">
        <v>1.5625</v>
      </c>
      <c r="AD67">
        <f t="shared" si="4"/>
        <v>14.196800000000001</v>
      </c>
      <c r="AE67">
        <f t="shared" si="5"/>
        <v>22.189030528</v>
      </c>
      <c r="AF67" s="9"/>
      <c r="AG67" s="22">
        <v>0.18707299999999999</v>
      </c>
      <c r="AH67" s="22">
        <v>226.27600000000001</v>
      </c>
      <c r="AI67" s="22">
        <v>-1.6842699999999999E-2</v>
      </c>
      <c r="AJ67" s="22">
        <v>57</v>
      </c>
      <c r="AK67" s="22">
        <v>0.186554</v>
      </c>
      <c r="AL67">
        <f t="shared" si="6"/>
        <v>16.842699999999997</v>
      </c>
      <c r="AM67">
        <f t="shared" si="7"/>
        <v>3.1508144170999994</v>
      </c>
      <c r="AP67" s="9"/>
      <c r="AQ67" s="22">
        <v>1.5629599999999999</v>
      </c>
      <c r="AR67" s="22">
        <v>278.69299999999998</v>
      </c>
      <c r="AS67" s="22">
        <v>-1.38184E-2</v>
      </c>
      <c r="AT67" s="22">
        <v>57</v>
      </c>
      <c r="AU67" s="22">
        <v>1.56219</v>
      </c>
      <c r="AV67">
        <f t="shared" si="8"/>
        <v>13.8184</v>
      </c>
      <c r="AW67">
        <f t="shared" si="9"/>
        <v>21.597606463999998</v>
      </c>
      <c r="AX67" s="9"/>
      <c r="AY67" s="22">
        <v>0.18707299999999999</v>
      </c>
      <c r="AZ67" s="22">
        <v>357.923</v>
      </c>
      <c r="BA67" s="22">
        <v>-1.6680899999999999E-2</v>
      </c>
      <c r="BB67" s="22">
        <v>57</v>
      </c>
      <c r="BC67" s="22">
        <v>0.186554</v>
      </c>
      <c r="BD67">
        <f t="shared" si="10"/>
        <v>16.680899999999998</v>
      </c>
      <c r="BE67">
        <f t="shared" si="11"/>
        <v>3.1205460056999992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29.491399999999999</v>
      </c>
      <c r="I68" s="22">
        <v>-1.4544700000000001E-2</v>
      </c>
      <c r="J68" s="22">
        <v>58</v>
      </c>
      <c r="K68" s="22">
        <v>1.55731</v>
      </c>
      <c r="L68">
        <f t="shared" si="0"/>
        <v>14.544700000000001</v>
      </c>
      <c r="M68">
        <f t="shared" si="1"/>
        <v>22.659479023999999</v>
      </c>
      <c r="N68" s="9"/>
      <c r="O68" s="22">
        <v>0.192108</v>
      </c>
      <c r="P68" s="22">
        <v>84.887200000000007</v>
      </c>
      <c r="Q68" s="22">
        <v>-1.7279099999999999E-2</v>
      </c>
      <c r="R68" s="22">
        <v>58</v>
      </c>
      <c r="S68" s="22">
        <v>0.191528</v>
      </c>
      <c r="T68">
        <f t="shared" si="2"/>
        <v>17.2791</v>
      </c>
      <c r="U68">
        <f t="shared" si="3"/>
        <v>3.3194533428000002</v>
      </c>
      <c r="X68" s="9"/>
      <c r="Y68" s="22">
        <v>1.55792</v>
      </c>
      <c r="Z68" s="22">
        <v>146.84399999999999</v>
      </c>
      <c r="AA68" s="22">
        <v>-1.43097E-2</v>
      </c>
      <c r="AB68" s="22">
        <v>58</v>
      </c>
      <c r="AC68" s="22">
        <v>1.55762</v>
      </c>
      <c r="AD68">
        <f t="shared" si="4"/>
        <v>14.309699999999999</v>
      </c>
      <c r="AE68">
        <f t="shared" si="5"/>
        <v>22.293367823999997</v>
      </c>
      <c r="AF68" s="9"/>
      <c r="AG68" s="22">
        <v>0.192108</v>
      </c>
      <c r="AH68" s="22">
        <v>226.376</v>
      </c>
      <c r="AI68" s="22">
        <v>-1.6854899999999999E-2</v>
      </c>
      <c r="AJ68" s="22">
        <v>58</v>
      </c>
      <c r="AK68" s="22">
        <v>0.19155900000000001</v>
      </c>
      <c r="AL68">
        <f t="shared" si="6"/>
        <v>16.854900000000001</v>
      </c>
      <c r="AM68">
        <f t="shared" si="7"/>
        <v>3.2379611292000003</v>
      </c>
      <c r="AP68" s="9"/>
      <c r="AQ68" s="22">
        <v>1.55792</v>
      </c>
      <c r="AR68" s="22">
        <v>278.79300000000001</v>
      </c>
      <c r="AS68" s="22">
        <v>-1.3943499999999999E-2</v>
      </c>
      <c r="AT68" s="22">
        <v>58</v>
      </c>
      <c r="AU68" s="22">
        <v>1.55701</v>
      </c>
      <c r="AV68">
        <f t="shared" si="8"/>
        <v>13.943499999999998</v>
      </c>
      <c r="AW68">
        <f t="shared" si="9"/>
        <v>21.722857519999998</v>
      </c>
      <c r="AX68" s="9"/>
      <c r="AY68" s="22">
        <v>0.192108</v>
      </c>
      <c r="AZ68" s="22">
        <v>358.024</v>
      </c>
      <c r="BA68" s="22">
        <v>-1.6699200000000001E-2</v>
      </c>
      <c r="BB68" s="22">
        <v>58</v>
      </c>
      <c r="BC68" s="22">
        <v>0.19155900000000001</v>
      </c>
      <c r="BD68">
        <f t="shared" si="10"/>
        <v>16.699200000000001</v>
      </c>
      <c r="BE68">
        <f t="shared" si="11"/>
        <v>3.2080499136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29.592099999999999</v>
      </c>
      <c r="I69" s="22">
        <v>-1.4593500000000001E-2</v>
      </c>
      <c r="J69" s="22">
        <v>59</v>
      </c>
      <c r="K69" s="22">
        <v>1.5521199999999999</v>
      </c>
      <c r="L69">
        <f t="shared" si="0"/>
        <v>14.593500000000001</v>
      </c>
      <c r="M69">
        <f t="shared" si="1"/>
        <v>22.662100215000002</v>
      </c>
      <c r="N69" s="9"/>
      <c r="O69" s="22">
        <v>0.19714400000000001</v>
      </c>
      <c r="P69" s="22">
        <v>84.987899999999996</v>
      </c>
      <c r="Q69" s="22">
        <v>-1.7291299999999999E-2</v>
      </c>
      <c r="R69" s="22">
        <v>59</v>
      </c>
      <c r="S69" s="22">
        <v>0.19659399999999999</v>
      </c>
      <c r="T69">
        <f t="shared" si="2"/>
        <v>17.2913</v>
      </c>
      <c r="U69">
        <f t="shared" si="3"/>
        <v>3.4088760472000001</v>
      </c>
      <c r="X69" s="9"/>
      <c r="Y69" s="22">
        <v>1.5528900000000001</v>
      </c>
      <c r="Z69" s="22">
        <v>146.94499999999999</v>
      </c>
      <c r="AA69" s="22">
        <v>-1.44043E-2</v>
      </c>
      <c r="AB69" s="22">
        <v>59</v>
      </c>
      <c r="AC69" s="22">
        <v>1.5521199999999999</v>
      </c>
      <c r="AD69">
        <f t="shared" si="4"/>
        <v>14.404299999999999</v>
      </c>
      <c r="AE69">
        <f t="shared" si="5"/>
        <v>22.368293427000001</v>
      </c>
      <c r="AF69" s="9"/>
      <c r="AG69" s="22">
        <v>0.19714400000000001</v>
      </c>
      <c r="AH69" s="22">
        <v>226.477</v>
      </c>
      <c r="AI69" s="22">
        <v>-1.6848800000000001E-2</v>
      </c>
      <c r="AJ69" s="22">
        <v>59</v>
      </c>
      <c r="AK69" s="22">
        <v>0.196655</v>
      </c>
      <c r="AL69">
        <f t="shared" si="6"/>
        <v>16.848800000000001</v>
      </c>
      <c r="AM69">
        <f t="shared" si="7"/>
        <v>3.3216398272000003</v>
      </c>
      <c r="AP69" s="9"/>
      <c r="AQ69" s="22">
        <v>1.5528900000000001</v>
      </c>
      <c r="AR69" s="22">
        <v>278.89400000000001</v>
      </c>
      <c r="AS69" s="22">
        <v>-1.4035000000000001E-2</v>
      </c>
      <c r="AT69" s="22">
        <v>59</v>
      </c>
      <c r="AU69" s="22">
        <v>1.55182</v>
      </c>
      <c r="AV69">
        <f t="shared" si="8"/>
        <v>14.035</v>
      </c>
      <c r="AW69">
        <f t="shared" si="9"/>
        <v>21.794811150000001</v>
      </c>
      <c r="AX69" s="9"/>
      <c r="AY69" s="22">
        <v>0.19714400000000001</v>
      </c>
      <c r="AZ69" s="22">
        <v>358.12400000000002</v>
      </c>
      <c r="BA69" s="22">
        <v>-1.66473E-2</v>
      </c>
      <c r="BB69" s="22">
        <v>59</v>
      </c>
      <c r="BC69" s="22">
        <v>0.19659399999999999</v>
      </c>
      <c r="BD69">
        <f t="shared" si="10"/>
        <v>16.647300000000001</v>
      </c>
      <c r="BE69">
        <f t="shared" si="11"/>
        <v>3.2819153112000006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29.692799999999998</v>
      </c>
      <c r="I70" s="22">
        <v>-1.4682000000000001E-2</v>
      </c>
      <c r="J70" s="22">
        <v>60</v>
      </c>
      <c r="K70" s="22">
        <v>1.54755</v>
      </c>
      <c r="L70">
        <f t="shared" si="0"/>
        <v>14.682</v>
      </c>
      <c r="M70">
        <f t="shared" si="1"/>
        <v>22.7255337</v>
      </c>
      <c r="N70" s="9"/>
      <c r="O70" s="22">
        <v>0.202179</v>
      </c>
      <c r="P70" s="22">
        <v>85.0886</v>
      </c>
      <c r="Q70" s="22">
        <v>-1.7303499999999999E-2</v>
      </c>
      <c r="R70" s="22">
        <v>60</v>
      </c>
      <c r="S70" s="22">
        <v>0.201599</v>
      </c>
      <c r="T70">
        <f t="shared" si="2"/>
        <v>17.3035</v>
      </c>
      <c r="U70">
        <f t="shared" si="3"/>
        <v>3.4984043264999998</v>
      </c>
      <c r="X70" s="9"/>
      <c r="Y70" s="22">
        <v>1.5478499999999999</v>
      </c>
      <c r="Z70" s="22">
        <v>147.04599999999999</v>
      </c>
      <c r="AA70" s="22">
        <v>-1.44745E-2</v>
      </c>
      <c r="AB70" s="22">
        <v>60</v>
      </c>
      <c r="AC70" s="22">
        <v>1.54694</v>
      </c>
      <c r="AD70">
        <f t="shared" si="4"/>
        <v>14.474499999999999</v>
      </c>
      <c r="AE70">
        <f t="shared" si="5"/>
        <v>22.404354824999999</v>
      </c>
      <c r="AF70" s="9"/>
      <c r="AG70" s="22">
        <v>0.202179</v>
      </c>
      <c r="AH70" s="22">
        <v>226.578</v>
      </c>
      <c r="AI70" s="22">
        <v>-1.68396E-2</v>
      </c>
      <c r="AJ70" s="22">
        <v>60</v>
      </c>
      <c r="AK70" s="22">
        <v>0.201599</v>
      </c>
      <c r="AL70">
        <f t="shared" si="6"/>
        <v>16.839600000000001</v>
      </c>
      <c r="AM70">
        <f t="shared" si="7"/>
        <v>3.4046134884000003</v>
      </c>
      <c r="AP70" s="9"/>
      <c r="AQ70" s="22">
        <v>1.5478499999999999</v>
      </c>
      <c r="AR70" s="22">
        <v>278.995</v>
      </c>
      <c r="AS70" s="22">
        <v>-1.4086899999999999E-2</v>
      </c>
      <c r="AT70" s="22">
        <v>60</v>
      </c>
      <c r="AU70" s="22">
        <v>1.54694</v>
      </c>
      <c r="AV70">
        <f t="shared" si="8"/>
        <v>14.0869</v>
      </c>
      <c r="AW70">
        <f t="shared" si="9"/>
        <v>21.804408164999998</v>
      </c>
      <c r="AX70" s="9"/>
      <c r="AY70" s="22">
        <v>0.202179</v>
      </c>
      <c r="AZ70" s="22">
        <v>358.22500000000002</v>
      </c>
      <c r="BA70" s="22">
        <v>-1.6653399999999999E-2</v>
      </c>
      <c r="BB70" s="22">
        <v>60</v>
      </c>
      <c r="BC70" s="22">
        <v>0.20163</v>
      </c>
      <c r="BD70">
        <f t="shared" si="10"/>
        <v>16.653399999999998</v>
      </c>
      <c r="BE70">
        <f t="shared" si="11"/>
        <v>3.3669677585999995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29.793500000000002</v>
      </c>
      <c r="I71" s="22">
        <v>-1.47461E-2</v>
      </c>
      <c r="J71" s="22">
        <v>61</v>
      </c>
      <c r="K71" s="22">
        <v>1.5414399999999999</v>
      </c>
      <c r="L71">
        <f t="shared" si="0"/>
        <v>14.7461</v>
      </c>
      <c r="M71">
        <f t="shared" si="1"/>
        <v>22.750578002000001</v>
      </c>
      <c r="N71" s="9"/>
      <c r="O71" s="22">
        <v>0.20721400000000001</v>
      </c>
      <c r="P71" s="22">
        <v>85.189300000000003</v>
      </c>
      <c r="Q71" s="22">
        <v>-1.7312600000000001E-2</v>
      </c>
      <c r="R71" s="22">
        <v>61</v>
      </c>
      <c r="S71" s="22">
        <v>0.20660400000000001</v>
      </c>
      <c r="T71">
        <f t="shared" si="2"/>
        <v>17.3126</v>
      </c>
      <c r="U71">
        <f t="shared" si="3"/>
        <v>3.5874130964000002</v>
      </c>
      <c r="X71" s="9"/>
      <c r="Y71" s="22">
        <v>1.5428200000000001</v>
      </c>
      <c r="Z71" s="22">
        <v>147.14599999999999</v>
      </c>
      <c r="AA71" s="22">
        <v>-1.4556899999999999E-2</v>
      </c>
      <c r="AB71" s="22">
        <v>61</v>
      </c>
      <c r="AC71" s="22">
        <v>1.5420499999999999</v>
      </c>
      <c r="AD71">
        <f t="shared" si="4"/>
        <v>14.556899999999999</v>
      </c>
      <c r="AE71">
        <f t="shared" si="5"/>
        <v>22.458676457999999</v>
      </c>
      <c r="AF71" s="9"/>
      <c r="AG71" s="22">
        <v>0.20721400000000001</v>
      </c>
      <c r="AH71" s="22">
        <v>226.679</v>
      </c>
      <c r="AI71" s="22">
        <v>-1.6848800000000001E-2</v>
      </c>
      <c r="AJ71" s="22">
        <v>61</v>
      </c>
      <c r="AK71" s="22">
        <v>0.206543</v>
      </c>
      <c r="AL71">
        <f t="shared" si="6"/>
        <v>16.848800000000001</v>
      </c>
      <c r="AM71">
        <f t="shared" si="7"/>
        <v>3.4913072432000001</v>
      </c>
      <c r="AP71" s="9"/>
      <c r="AQ71" s="22">
        <v>1.5428200000000001</v>
      </c>
      <c r="AR71" s="22">
        <v>279.09500000000003</v>
      </c>
      <c r="AS71" s="22">
        <v>-1.4202899999999999E-2</v>
      </c>
      <c r="AT71" s="22">
        <v>61</v>
      </c>
      <c r="AU71" s="22">
        <v>1.54236</v>
      </c>
      <c r="AV71">
        <f t="shared" si="8"/>
        <v>14.2029</v>
      </c>
      <c r="AW71">
        <f t="shared" si="9"/>
        <v>21.912518177999999</v>
      </c>
      <c r="AX71" s="9"/>
      <c r="AY71" s="22">
        <v>0.20721400000000001</v>
      </c>
      <c r="AZ71" s="22">
        <v>358.32600000000002</v>
      </c>
      <c r="BA71" s="22">
        <v>-1.66473E-2</v>
      </c>
      <c r="BB71" s="22">
        <v>61</v>
      </c>
      <c r="BC71" s="22">
        <v>0.206757</v>
      </c>
      <c r="BD71">
        <f t="shared" si="10"/>
        <v>16.647300000000001</v>
      </c>
      <c r="BE71">
        <f t="shared" si="11"/>
        <v>3.4495536222000003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29.894200000000001</v>
      </c>
      <c r="I72" s="22">
        <v>-1.4865099999999999E-2</v>
      </c>
      <c r="J72" s="22">
        <v>62</v>
      </c>
      <c r="K72" s="22">
        <v>1.53687</v>
      </c>
      <c r="L72">
        <f t="shared" si="0"/>
        <v>14.8651</v>
      </c>
      <c r="M72">
        <f t="shared" si="1"/>
        <v>22.859253477999999</v>
      </c>
      <c r="N72" s="9"/>
      <c r="O72" s="22">
        <v>0.21224999999999999</v>
      </c>
      <c r="P72" s="22">
        <v>85.29</v>
      </c>
      <c r="Q72" s="22">
        <v>-1.73279E-2</v>
      </c>
      <c r="R72" s="22">
        <v>62</v>
      </c>
      <c r="S72" s="22">
        <v>0.21163899999999999</v>
      </c>
      <c r="T72">
        <f t="shared" si="2"/>
        <v>17.3279</v>
      </c>
      <c r="U72">
        <f t="shared" si="3"/>
        <v>3.6778467749999999</v>
      </c>
      <c r="X72" s="9"/>
      <c r="Y72" s="22">
        <v>1.5377799999999999</v>
      </c>
      <c r="Z72" s="22">
        <v>147.24700000000001</v>
      </c>
      <c r="AA72" s="22">
        <v>-1.46179E-2</v>
      </c>
      <c r="AB72" s="22">
        <v>62</v>
      </c>
      <c r="AC72" s="22">
        <v>1.53748</v>
      </c>
      <c r="AD72">
        <f t="shared" si="4"/>
        <v>14.617899999999999</v>
      </c>
      <c r="AE72">
        <f t="shared" si="5"/>
        <v>22.479114261999996</v>
      </c>
      <c r="AF72" s="9"/>
      <c r="AG72" s="22">
        <v>0.21224999999999999</v>
      </c>
      <c r="AH72" s="22">
        <v>226.779</v>
      </c>
      <c r="AI72" s="22">
        <v>-1.6845700000000002E-2</v>
      </c>
      <c r="AJ72" s="22">
        <v>62</v>
      </c>
      <c r="AK72" s="22">
        <v>0.211731</v>
      </c>
      <c r="AL72">
        <f t="shared" si="6"/>
        <v>16.845700000000001</v>
      </c>
      <c r="AM72">
        <f t="shared" si="7"/>
        <v>3.5754998250000001</v>
      </c>
      <c r="AP72" s="9"/>
      <c r="AQ72" s="22">
        <v>1.5377799999999999</v>
      </c>
      <c r="AR72" s="22">
        <v>279.19600000000003</v>
      </c>
      <c r="AS72" s="22">
        <v>-1.42883E-2</v>
      </c>
      <c r="AT72" s="22">
        <v>62</v>
      </c>
      <c r="AU72" s="22">
        <v>1.53687</v>
      </c>
      <c r="AV72">
        <f t="shared" si="8"/>
        <v>14.2883</v>
      </c>
      <c r="AW72">
        <f t="shared" si="9"/>
        <v>21.972261973999998</v>
      </c>
      <c r="AX72" s="9"/>
      <c r="AY72" s="22">
        <v>0.21224999999999999</v>
      </c>
      <c r="AZ72" s="22">
        <v>358.42599999999999</v>
      </c>
      <c r="BA72" s="22">
        <v>-1.6671800000000001E-2</v>
      </c>
      <c r="BB72" s="22">
        <v>62</v>
      </c>
      <c r="BC72" s="22">
        <v>0.21157799999999999</v>
      </c>
      <c r="BD72">
        <f t="shared" si="10"/>
        <v>16.671800000000001</v>
      </c>
      <c r="BE72">
        <f t="shared" si="11"/>
        <v>3.5385895500000002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29.994900000000001</v>
      </c>
      <c r="I73" s="22">
        <v>-1.49689E-2</v>
      </c>
      <c r="J73" s="22">
        <v>63</v>
      </c>
      <c r="K73" s="22">
        <v>1.5319799999999999</v>
      </c>
      <c r="L73">
        <f t="shared" si="0"/>
        <v>14.9689</v>
      </c>
      <c r="M73">
        <f t="shared" si="1"/>
        <v>22.943581475000002</v>
      </c>
      <c r="N73" s="9"/>
      <c r="O73" s="22">
        <v>0.21728500000000001</v>
      </c>
      <c r="P73" s="22">
        <v>85.390799999999999</v>
      </c>
      <c r="Q73" s="22">
        <v>-1.73004E-2</v>
      </c>
      <c r="R73" s="22">
        <v>63</v>
      </c>
      <c r="S73" s="22">
        <v>0.21670500000000001</v>
      </c>
      <c r="T73">
        <f t="shared" si="2"/>
        <v>17.3004</v>
      </c>
      <c r="U73">
        <f t="shared" si="3"/>
        <v>3.7591174139999999</v>
      </c>
      <c r="X73" s="9"/>
      <c r="Y73" s="22">
        <v>1.5327500000000001</v>
      </c>
      <c r="Z73" s="22">
        <v>147.34800000000001</v>
      </c>
      <c r="AA73" s="22">
        <v>-1.46973E-2</v>
      </c>
      <c r="AB73" s="22">
        <v>63</v>
      </c>
      <c r="AC73" s="22">
        <v>1.5325899999999999</v>
      </c>
      <c r="AD73">
        <f t="shared" si="4"/>
        <v>14.6973</v>
      </c>
      <c r="AE73">
        <f t="shared" si="5"/>
        <v>22.527286575000002</v>
      </c>
      <c r="AF73" s="9"/>
      <c r="AG73" s="22">
        <v>0.21728500000000001</v>
      </c>
      <c r="AH73" s="22">
        <v>226.88</v>
      </c>
      <c r="AI73" s="22">
        <v>-1.6830399999999999E-2</v>
      </c>
      <c r="AJ73" s="22">
        <v>63</v>
      </c>
      <c r="AK73" s="22">
        <v>0.21676599999999999</v>
      </c>
      <c r="AL73">
        <f t="shared" si="6"/>
        <v>16.830399999999997</v>
      </c>
      <c r="AM73">
        <f t="shared" si="7"/>
        <v>3.6569934639999997</v>
      </c>
      <c r="AP73" s="9"/>
      <c r="AQ73" s="22">
        <v>1.5327500000000001</v>
      </c>
      <c r="AR73" s="22">
        <v>279.29700000000003</v>
      </c>
      <c r="AS73" s="22">
        <v>-1.43616E-2</v>
      </c>
      <c r="AT73" s="22">
        <v>63</v>
      </c>
      <c r="AU73" s="22">
        <v>1.5313699999999999</v>
      </c>
      <c r="AV73">
        <f t="shared" si="8"/>
        <v>14.361600000000001</v>
      </c>
      <c r="AW73">
        <f t="shared" si="9"/>
        <v>22.012742400000004</v>
      </c>
      <c r="AX73" s="9"/>
      <c r="AY73" s="22">
        <v>0.21728500000000001</v>
      </c>
      <c r="AZ73" s="22">
        <v>358.52699999999999</v>
      </c>
      <c r="BA73" s="22">
        <v>-1.66199E-2</v>
      </c>
      <c r="BB73" s="22">
        <v>63</v>
      </c>
      <c r="BC73" s="22">
        <v>0.21673600000000001</v>
      </c>
      <c r="BD73">
        <f t="shared" si="10"/>
        <v>16.619900000000001</v>
      </c>
      <c r="BE73">
        <f t="shared" si="11"/>
        <v>3.6112549715000002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30.095600000000001</v>
      </c>
      <c r="I74" s="22">
        <v>-1.50116E-2</v>
      </c>
      <c r="J74" s="22">
        <v>64</v>
      </c>
      <c r="K74" s="22">
        <v>1.5274000000000001</v>
      </c>
      <c r="L74">
        <f t="shared" si="0"/>
        <v>15.0116</v>
      </c>
      <c r="M74">
        <f t="shared" si="1"/>
        <v>22.933371435999998</v>
      </c>
      <c r="N74" s="9"/>
      <c r="O74" s="22">
        <v>0.22232099999999999</v>
      </c>
      <c r="P74" s="22">
        <v>85.491500000000002</v>
      </c>
      <c r="Q74" s="22">
        <v>-1.73279E-2</v>
      </c>
      <c r="R74" s="22">
        <v>64</v>
      </c>
      <c r="S74" s="22">
        <v>0.22170999999999999</v>
      </c>
      <c r="T74">
        <f t="shared" si="2"/>
        <v>17.3279</v>
      </c>
      <c r="U74">
        <f t="shared" si="3"/>
        <v>3.8523560558999996</v>
      </c>
      <c r="X74" s="9"/>
      <c r="Y74" s="22">
        <v>1.5277099999999999</v>
      </c>
      <c r="Z74" s="22">
        <v>147.44800000000001</v>
      </c>
      <c r="AA74" s="22">
        <v>-1.4749099999999999E-2</v>
      </c>
      <c r="AB74" s="22">
        <v>64</v>
      </c>
      <c r="AC74" s="22">
        <v>1.5274000000000001</v>
      </c>
      <c r="AD74">
        <f t="shared" si="4"/>
        <v>14.749099999999999</v>
      </c>
      <c r="AE74">
        <f t="shared" si="5"/>
        <v>22.532347560999995</v>
      </c>
      <c r="AF74" s="9"/>
      <c r="AG74" s="22">
        <v>0.22232099999999999</v>
      </c>
      <c r="AH74" s="22">
        <v>226.98099999999999</v>
      </c>
      <c r="AI74" s="22">
        <v>-1.6848800000000001E-2</v>
      </c>
      <c r="AJ74" s="22">
        <v>64</v>
      </c>
      <c r="AK74" s="22">
        <v>0.221771</v>
      </c>
      <c r="AL74">
        <f t="shared" si="6"/>
        <v>16.848800000000001</v>
      </c>
      <c r="AM74">
        <f t="shared" si="7"/>
        <v>3.7458420648000001</v>
      </c>
      <c r="AP74" s="9"/>
      <c r="AQ74" s="22">
        <v>1.5277099999999999</v>
      </c>
      <c r="AR74" s="22">
        <v>279.39800000000002</v>
      </c>
      <c r="AS74" s="22">
        <v>-1.44073E-2</v>
      </c>
      <c r="AT74" s="22">
        <v>64</v>
      </c>
      <c r="AU74" s="22">
        <v>1.5264899999999999</v>
      </c>
      <c r="AV74">
        <f t="shared" si="8"/>
        <v>14.407299999999999</v>
      </c>
      <c r="AW74">
        <f t="shared" si="9"/>
        <v>22.010176282999996</v>
      </c>
      <c r="AX74" s="9"/>
      <c r="AY74" s="22">
        <v>0.22232099999999999</v>
      </c>
      <c r="AZ74" s="22">
        <v>358.62799999999999</v>
      </c>
      <c r="BA74" s="22">
        <v>-1.66351E-2</v>
      </c>
      <c r="BB74" s="22">
        <v>64</v>
      </c>
      <c r="BC74" s="22">
        <v>0.221771</v>
      </c>
      <c r="BD74">
        <f t="shared" si="10"/>
        <v>16.635100000000001</v>
      </c>
      <c r="BE74">
        <f t="shared" si="11"/>
        <v>3.6983320671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30.196300000000001</v>
      </c>
      <c r="I75" s="22">
        <v>-1.50177E-2</v>
      </c>
      <c r="J75" s="22">
        <v>65</v>
      </c>
      <c r="K75" s="22">
        <v>1.5219100000000001</v>
      </c>
      <c r="L75">
        <f t="shared" si="0"/>
        <v>15.0177</v>
      </c>
      <c r="M75">
        <f t="shared" si="1"/>
        <v>22.867001258999998</v>
      </c>
      <c r="N75" s="9"/>
      <c r="O75" s="22">
        <v>0.227356</v>
      </c>
      <c r="P75" s="22">
        <v>85.592200000000005</v>
      </c>
      <c r="Q75" s="22">
        <v>-1.72882E-2</v>
      </c>
      <c r="R75" s="22">
        <v>65</v>
      </c>
      <c r="S75" s="22">
        <v>0.22680700000000001</v>
      </c>
      <c r="T75">
        <f t="shared" si="2"/>
        <v>17.2882</v>
      </c>
      <c r="U75">
        <f t="shared" si="3"/>
        <v>3.9305759991999998</v>
      </c>
      <c r="X75" s="9"/>
      <c r="Y75" s="22">
        <v>1.52267</v>
      </c>
      <c r="Z75" s="22">
        <v>147.54900000000001</v>
      </c>
      <c r="AA75" s="22">
        <v>-1.4804100000000001E-2</v>
      </c>
      <c r="AB75" s="22">
        <v>65</v>
      </c>
      <c r="AC75" s="22">
        <v>1.5219100000000001</v>
      </c>
      <c r="AD75">
        <f t="shared" si="4"/>
        <v>14.8041</v>
      </c>
      <c r="AE75">
        <f t="shared" si="5"/>
        <v>22.541758946999998</v>
      </c>
      <c r="AF75" s="9"/>
      <c r="AG75" s="22">
        <v>0.227356</v>
      </c>
      <c r="AH75" s="22">
        <v>227.08099999999999</v>
      </c>
      <c r="AI75" s="22">
        <v>-1.6848800000000001E-2</v>
      </c>
      <c r="AJ75" s="22">
        <v>65</v>
      </c>
      <c r="AK75" s="22">
        <v>0.22683700000000001</v>
      </c>
      <c r="AL75">
        <f t="shared" si="6"/>
        <v>16.848800000000001</v>
      </c>
      <c r="AM75">
        <f t="shared" si="7"/>
        <v>3.8306757728000003</v>
      </c>
      <c r="AP75" s="9"/>
      <c r="AQ75" s="22">
        <v>1.52267</v>
      </c>
      <c r="AR75" s="22">
        <v>279.49799999999999</v>
      </c>
      <c r="AS75" s="22">
        <v>-1.4508099999999999E-2</v>
      </c>
      <c r="AT75" s="22">
        <v>65</v>
      </c>
      <c r="AU75" s="22">
        <v>1.5213000000000001</v>
      </c>
      <c r="AV75">
        <f t="shared" si="8"/>
        <v>14.508099999999999</v>
      </c>
      <c r="AW75">
        <f t="shared" si="9"/>
        <v>22.091048626999999</v>
      </c>
      <c r="AX75" s="9"/>
      <c r="AY75" s="22">
        <v>0.227356</v>
      </c>
      <c r="AZ75" s="22">
        <v>358.72899999999998</v>
      </c>
      <c r="BA75" s="22">
        <v>-1.6610699999999999E-2</v>
      </c>
      <c r="BB75" s="22">
        <v>65</v>
      </c>
      <c r="BC75" s="22">
        <v>0.226715</v>
      </c>
      <c r="BD75">
        <f t="shared" si="10"/>
        <v>16.610699999999998</v>
      </c>
      <c r="BE75">
        <f t="shared" si="11"/>
        <v>3.7765423091999994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30.297000000000001</v>
      </c>
      <c r="I76" s="22">
        <v>-1.5075699999999999E-2</v>
      </c>
      <c r="J76" s="22">
        <v>66</v>
      </c>
      <c r="K76" s="22">
        <v>1.5170300000000001</v>
      </c>
      <c r="L76">
        <f t="shared" ref="L76:L139" si="12">-I76/$F$2*1000</f>
        <v>15.075699999999999</v>
      </c>
      <c r="M76">
        <f t="shared" ref="M76:M139" si="13">L76*G76</f>
        <v>22.879485347999999</v>
      </c>
      <c r="N76" s="9"/>
      <c r="O76" s="22">
        <v>0.23239099999999999</v>
      </c>
      <c r="P76" s="22">
        <v>85.692899999999995</v>
      </c>
      <c r="Q76" s="22">
        <v>-1.7303499999999999E-2</v>
      </c>
      <c r="R76" s="22">
        <v>66</v>
      </c>
      <c r="S76" s="22">
        <v>0.231873</v>
      </c>
      <c r="T76">
        <f t="shared" ref="T76:T139" si="14">-Q76/$F$2*1000</f>
        <v>17.3035</v>
      </c>
      <c r="U76">
        <f t="shared" ref="U76:U139" si="15">T76*O76</f>
        <v>4.0211776685</v>
      </c>
      <c r="X76" s="9"/>
      <c r="Y76" s="22">
        <v>1.5176400000000001</v>
      </c>
      <c r="Z76" s="22">
        <v>147.65</v>
      </c>
      <c r="AA76" s="22">
        <v>-1.48895E-2</v>
      </c>
      <c r="AB76" s="22">
        <v>66</v>
      </c>
      <c r="AC76" s="22">
        <v>1.5167200000000001</v>
      </c>
      <c r="AD76">
        <f t="shared" ref="AD76:AD139" si="16">-AA76/$F$2*1000</f>
        <v>14.8895</v>
      </c>
      <c r="AE76">
        <f t="shared" ref="AE76:AE139" si="17">AD76*Y76</f>
        <v>22.596900780000002</v>
      </c>
      <c r="AF76" s="9"/>
      <c r="AG76" s="22">
        <v>0.23239099999999999</v>
      </c>
      <c r="AH76" s="22">
        <v>227.18199999999999</v>
      </c>
      <c r="AI76" s="22">
        <v>-1.6857899999999999E-2</v>
      </c>
      <c r="AJ76" s="22">
        <v>66</v>
      </c>
      <c r="AK76" s="22">
        <v>0.23172000000000001</v>
      </c>
      <c r="AL76">
        <f t="shared" ref="AL76:AL139" si="18">-AI76/$F$2*1000</f>
        <v>16.857899999999997</v>
      </c>
      <c r="AM76">
        <f t="shared" ref="AM76:AM139" si="19">AL76*AG76</f>
        <v>3.9176242388999993</v>
      </c>
      <c r="AP76" s="9"/>
      <c r="AQ76" s="22">
        <v>1.5176400000000001</v>
      </c>
      <c r="AR76" s="22">
        <v>279.59899999999999</v>
      </c>
      <c r="AS76" s="22">
        <v>-1.45966E-2</v>
      </c>
      <c r="AT76" s="22">
        <v>66</v>
      </c>
      <c r="AU76" s="22">
        <v>1.5173300000000001</v>
      </c>
      <c r="AV76">
        <f t="shared" ref="AV76:AV139" si="20">-AS76/$F$2*1000</f>
        <v>14.596599999999999</v>
      </c>
      <c r="AW76">
        <f t="shared" ref="AW76:AW139" si="21">AV76*AQ76</f>
        <v>22.152384024</v>
      </c>
      <c r="AX76" s="9"/>
      <c r="AY76" s="22">
        <v>0.23239099999999999</v>
      </c>
      <c r="AZ76" s="22">
        <v>358.82900000000001</v>
      </c>
      <c r="BA76" s="22">
        <v>-1.6577100000000001E-2</v>
      </c>
      <c r="BB76" s="22">
        <v>66</v>
      </c>
      <c r="BC76" s="22">
        <v>0.23175000000000001</v>
      </c>
      <c r="BD76">
        <f t="shared" ref="BD76:BD139" si="22">-BA76/$F$2*1000</f>
        <v>16.577100000000002</v>
      </c>
      <c r="BE76">
        <f t="shared" ref="BE76:BE139" si="23">BD76*AY76</f>
        <v>3.8523688461000001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30.3977</v>
      </c>
      <c r="I77" s="22">
        <v>-1.5090900000000001E-2</v>
      </c>
      <c r="J77" s="22">
        <v>67</v>
      </c>
      <c r="K77" s="22">
        <v>1.5115400000000001</v>
      </c>
      <c r="L77">
        <f t="shared" si="12"/>
        <v>15.090900000000001</v>
      </c>
      <c r="M77">
        <f t="shared" si="13"/>
        <v>22.826495340000001</v>
      </c>
      <c r="N77" s="9"/>
      <c r="O77" s="22">
        <v>0.237427</v>
      </c>
      <c r="P77" s="22">
        <v>85.793599999999998</v>
      </c>
      <c r="Q77" s="22">
        <v>-1.7303499999999999E-2</v>
      </c>
      <c r="R77" s="22">
        <v>67</v>
      </c>
      <c r="S77" s="22">
        <v>0.236877</v>
      </c>
      <c r="T77">
        <f t="shared" si="14"/>
        <v>17.3035</v>
      </c>
      <c r="U77">
        <f t="shared" si="15"/>
        <v>4.1083180944999995</v>
      </c>
      <c r="X77" s="9"/>
      <c r="Y77" s="22">
        <v>1.5125999999999999</v>
      </c>
      <c r="Z77" s="22">
        <v>147.751</v>
      </c>
      <c r="AA77" s="22">
        <v>-1.4987199999999999E-2</v>
      </c>
      <c r="AB77" s="22">
        <v>67</v>
      </c>
      <c r="AC77" s="22">
        <v>1.5115400000000001</v>
      </c>
      <c r="AD77">
        <f t="shared" si="16"/>
        <v>14.9872</v>
      </c>
      <c r="AE77">
        <f t="shared" si="17"/>
        <v>22.669638719999998</v>
      </c>
      <c r="AF77" s="9"/>
      <c r="AG77" s="22">
        <v>0.237427</v>
      </c>
      <c r="AH77" s="22">
        <v>227.28299999999999</v>
      </c>
      <c r="AI77" s="22">
        <v>-1.6815199999999999E-2</v>
      </c>
      <c r="AJ77" s="22">
        <v>67</v>
      </c>
      <c r="AK77" s="22">
        <v>0.23690800000000001</v>
      </c>
      <c r="AL77">
        <f t="shared" si="18"/>
        <v>16.815199999999997</v>
      </c>
      <c r="AM77">
        <f t="shared" si="19"/>
        <v>3.9923824903999994</v>
      </c>
      <c r="AP77" s="9"/>
      <c r="AQ77" s="22">
        <v>1.5125999999999999</v>
      </c>
      <c r="AR77" s="22">
        <v>279.7</v>
      </c>
      <c r="AS77" s="22">
        <v>-1.4627100000000001E-2</v>
      </c>
      <c r="AT77" s="22">
        <v>67</v>
      </c>
      <c r="AU77" s="22">
        <v>1.5121500000000001</v>
      </c>
      <c r="AV77">
        <f t="shared" si="20"/>
        <v>14.6271</v>
      </c>
      <c r="AW77">
        <f t="shared" si="21"/>
        <v>22.124951459999998</v>
      </c>
      <c r="AX77" s="9"/>
      <c r="AY77" s="22">
        <v>0.237427</v>
      </c>
      <c r="AZ77" s="22">
        <v>358.93</v>
      </c>
      <c r="BA77" s="22">
        <v>-1.6616800000000001E-2</v>
      </c>
      <c r="BB77" s="22">
        <v>67</v>
      </c>
      <c r="BC77" s="22">
        <v>0.23690800000000001</v>
      </c>
      <c r="BD77">
        <f t="shared" si="22"/>
        <v>16.616800000000001</v>
      </c>
      <c r="BE77">
        <f t="shared" si="23"/>
        <v>3.9452769736000004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30.4984</v>
      </c>
      <c r="I78" s="22">
        <v>-1.51276E-2</v>
      </c>
      <c r="J78" s="22">
        <v>68</v>
      </c>
      <c r="K78" s="22">
        <v>1.5069600000000001</v>
      </c>
      <c r="L78">
        <f t="shared" si="12"/>
        <v>15.127599999999999</v>
      </c>
      <c r="M78">
        <f t="shared" si="13"/>
        <v>22.805915932000001</v>
      </c>
      <c r="N78" s="9"/>
      <c r="O78" s="22">
        <v>0.24246200000000001</v>
      </c>
      <c r="P78" s="22">
        <v>85.894300000000001</v>
      </c>
      <c r="Q78" s="22">
        <v>-1.72882E-2</v>
      </c>
      <c r="R78" s="22">
        <v>68</v>
      </c>
      <c r="S78" s="22">
        <v>0.24197399999999999</v>
      </c>
      <c r="T78">
        <f t="shared" si="14"/>
        <v>17.2882</v>
      </c>
      <c r="U78">
        <f t="shared" si="15"/>
        <v>4.1917315484</v>
      </c>
      <c r="X78" s="9"/>
      <c r="Y78" s="22">
        <v>1.5075700000000001</v>
      </c>
      <c r="Z78" s="22">
        <v>147.851</v>
      </c>
      <c r="AA78" s="22">
        <v>-1.50513E-2</v>
      </c>
      <c r="AB78" s="22">
        <v>68</v>
      </c>
      <c r="AC78" s="22">
        <v>1.50665</v>
      </c>
      <c r="AD78">
        <f t="shared" si="16"/>
        <v>15.051299999999999</v>
      </c>
      <c r="AE78">
        <f t="shared" si="17"/>
        <v>22.690888341000001</v>
      </c>
      <c r="AF78" s="9"/>
      <c r="AG78" s="22">
        <v>0.24246200000000001</v>
      </c>
      <c r="AH78" s="22">
        <v>227.38399999999999</v>
      </c>
      <c r="AI78" s="22">
        <v>-1.68243E-2</v>
      </c>
      <c r="AJ78" s="22">
        <v>68</v>
      </c>
      <c r="AK78" s="22">
        <v>0.24191299999999999</v>
      </c>
      <c r="AL78">
        <f t="shared" si="18"/>
        <v>16.824300000000001</v>
      </c>
      <c r="AM78">
        <f t="shared" si="19"/>
        <v>4.0792534266000002</v>
      </c>
      <c r="AP78" s="9"/>
      <c r="AQ78" s="22">
        <v>1.5075700000000001</v>
      </c>
      <c r="AR78" s="22">
        <v>279.8</v>
      </c>
      <c r="AS78" s="22">
        <v>-1.47064E-2</v>
      </c>
      <c r="AT78" s="22">
        <v>68</v>
      </c>
      <c r="AU78" s="22">
        <v>1.5075700000000001</v>
      </c>
      <c r="AV78">
        <f t="shared" si="20"/>
        <v>14.7064</v>
      </c>
      <c r="AW78">
        <f t="shared" si="21"/>
        <v>22.170927448</v>
      </c>
      <c r="AX78" s="9"/>
      <c r="AY78" s="22">
        <v>0.24246200000000001</v>
      </c>
      <c r="AZ78" s="22">
        <v>359.03100000000001</v>
      </c>
      <c r="BA78" s="22">
        <v>-1.6574100000000001E-2</v>
      </c>
      <c r="BB78" s="22">
        <v>68</v>
      </c>
      <c r="BC78" s="22">
        <v>0.24188200000000001</v>
      </c>
      <c r="BD78">
        <f t="shared" si="22"/>
        <v>16.574100000000001</v>
      </c>
      <c r="BE78">
        <f t="shared" si="23"/>
        <v>4.0185894342000008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30.5992</v>
      </c>
      <c r="I79" s="22">
        <v>-1.52161E-2</v>
      </c>
      <c r="J79" s="22">
        <v>69</v>
      </c>
      <c r="K79" s="22">
        <v>1.5020800000000001</v>
      </c>
      <c r="L79">
        <f t="shared" si="12"/>
        <v>15.216099999999999</v>
      </c>
      <c r="M79">
        <f t="shared" si="13"/>
        <v>22.862646732999998</v>
      </c>
      <c r="N79" s="9"/>
      <c r="O79" s="22">
        <v>0.247498</v>
      </c>
      <c r="P79" s="22">
        <v>85.995000000000005</v>
      </c>
      <c r="Q79" s="22">
        <v>-1.73004E-2</v>
      </c>
      <c r="R79" s="22">
        <v>69</v>
      </c>
      <c r="S79" s="22">
        <v>0.24704000000000001</v>
      </c>
      <c r="T79">
        <f t="shared" si="14"/>
        <v>17.3004</v>
      </c>
      <c r="U79">
        <f t="shared" si="15"/>
        <v>4.2818143992</v>
      </c>
      <c r="X79" s="9"/>
      <c r="Y79" s="22">
        <v>1.5025299999999999</v>
      </c>
      <c r="Z79" s="22">
        <v>147.952</v>
      </c>
      <c r="AA79" s="22">
        <v>-1.5109300000000001E-2</v>
      </c>
      <c r="AB79" s="22">
        <v>69</v>
      </c>
      <c r="AC79" s="22">
        <v>1.50177</v>
      </c>
      <c r="AD79">
        <f t="shared" si="16"/>
        <v>15.109300000000001</v>
      </c>
      <c r="AE79">
        <f t="shared" si="17"/>
        <v>22.702176528999999</v>
      </c>
      <c r="AF79" s="9"/>
      <c r="AG79" s="22">
        <v>0.247498</v>
      </c>
      <c r="AH79" s="22">
        <v>227.48400000000001</v>
      </c>
      <c r="AI79" s="22">
        <v>-1.68243E-2</v>
      </c>
      <c r="AJ79" s="22">
        <v>69</v>
      </c>
      <c r="AK79" s="22">
        <v>0.246948</v>
      </c>
      <c r="AL79">
        <f t="shared" si="18"/>
        <v>16.824300000000001</v>
      </c>
      <c r="AM79">
        <f t="shared" si="19"/>
        <v>4.1639806014000005</v>
      </c>
      <c r="AP79" s="9"/>
      <c r="AQ79" s="22">
        <v>1.5025299999999999</v>
      </c>
      <c r="AR79" s="22">
        <v>279.90100000000001</v>
      </c>
      <c r="AS79" s="22">
        <v>-1.4770500000000001E-2</v>
      </c>
      <c r="AT79" s="22">
        <v>69</v>
      </c>
      <c r="AU79" s="22">
        <v>1.50146</v>
      </c>
      <c r="AV79">
        <f t="shared" si="20"/>
        <v>14.7705</v>
      </c>
      <c r="AW79">
        <f t="shared" si="21"/>
        <v>22.193119364999998</v>
      </c>
      <c r="AX79" s="9"/>
      <c r="AY79" s="22">
        <v>0.247498</v>
      </c>
      <c r="AZ79" s="22">
        <v>359.13099999999997</v>
      </c>
      <c r="BA79" s="22">
        <v>-1.6583299999999999E-2</v>
      </c>
      <c r="BB79" s="22">
        <v>69</v>
      </c>
      <c r="BC79" s="22">
        <v>0.246979</v>
      </c>
      <c r="BD79">
        <f t="shared" si="22"/>
        <v>16.583299999999998</v>
      </c>
      <c r="BE79">
        <f t="shared" si="23"/>
        <v>4.104333583399999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30.6999</v>
      </c>
      <c r="I80" s="22">
        <v>-1.53198E-2</v>
      </c>
      <c r="J80" s="22">
        <v>70</v>
      </c>
      <c r="K80" s="22">
        <v>1.4968900000000001</v>
      </c>
      <c r="L80">
        <f t="shared" si="12"/>
        <v>15.319799999999999</v>
      </c>
      <c r="M80">
        <f t="shared" si="13"/>
        <v>22.9414005</v>
      </c>
      <c r="N80" s="9"/>
      <c r="O80" s="22">
        <v>0.25253300000000001</v>
      </c>
      <c r="P80" s="22">
        <v>86.095699999999994</v>
      </c>
      <c r="Q80" s="22">
        <v>-1.7309600000000001E-2</v>
      </c>
      <c r="R80" s="22">
        <v>70</v>
      </c>
      <c r="S80" s="22">
        <v>0.25195299999999998</v>
      </c>
      <c r="T80">
        <f t="shared" si="14"/>
        <v>17.3096</v>
      </c>
      <c r="U80">
        <f t="shared" si="15"/>
        <v>4.3712452168000002</v>
      </c>
      <c r="X80" s="9"/>
      <c r="Y80" s="22">
        <v>1.4975000000000001</v>
      </c>
      <c r="Z80" s="22">
        <v>148.053</v>
      </c>
      <c r="AA80" s="22">
        <v>-1.51489E-2</v>
      </c>
      <c r="AB80" s="22">
        <v>70</v>
      </c>
      <c r="AC80" s="22">
        <v>1.4968900000000001</v>
      </c>
      <c r="AD80">
        <f t="shared" si="16"/>
        <v>15.148899999999999</v>
      </c>
      <c r="AE80">
        <f t="shared" si="17"/>
        <v>22.68547775</v>
      </c>
      <c r="AF80" s="9"/>
      <c r="AG80" s="22">
        <v>0.25253300000000001</v>
      </c>
      <c r="AH80" s="22">
        <v>227.58500000000001</v>
      </c>
      <c r="AI80" s="22">
        <v>-1.68091E-2</v>
      </c>
      <c r="AJ80" s="22">
        <v>70</v>
      </c>
      <c r="AK80" s="22">
        <v>0.25195299999999998</v>
      </c>
      <c r="AL80">
        <f t="shared" si="18"/>
        <v>16.809100000000001</v>
      </c>
      <c r="AM80">
        <f t="shared" si="19"/>
        <v>4.2448524503000007</v>
      </c>
      <c r="AP80" s="9"/>
      <c r="AQ80" s="22">
        <v>1.4975000000000001</v>
      </c>
      <c r="AR80" s="22">
        <v>280.00200000000001</v>
      </c>
      <c r="AS80" s="22">
        <v>-1.4822399999999999E-2</v>
      </c>
      <c r="AT80" s="22">
        <v>70</v>
      </c>
      <c r="AU80" s="22">
        <v>1.49719</v>
      </c>
      <c r="AV80">
        <f t="shared" si="20"/>
        <v>14.8224</v>
      </c>
      <c r="AW80">
        <f t="shared" si="21"/>
        <v>22.196543999999999</v>
      </c>
      <c r="AX80" s="9"/>
      <c r="AY80" s="22">
        <v>0.25253300000000001</v>
      </c>
      <c r="AZ80" s="22">
        <v>359.23200000000003</v>
      </c>
      <c r="BA80" s="22">
        <v>-1.6629000000000001E-2</v>
      </c>
      <c r="BB80" s="22">
        <v>70</v>
      </c>
      <c r="BC80" s="22">
        <v>0.25195299999999998</v>
      </c>
      <c r="BD80">
        <f t="shared" si="22"/>
        <v>16.629000000000001</v>
      </c>
      <c r="BE80">
        <f t="shared" si="23"/>
        <v>4.1993712570000001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30.800599999999999</v>
      </c>
      <c r="I81" s="22">
        <v>-1.53778E-2</v>
      </c>
      <c r="J81" s="22">
        <v>71</v>
      </c>
      <c r="K81" s="22">
        <v>1.492</v>
      </c>
      <c r="L81">
        <f t="shared" si="12"/>
        <v>15.377800000000001</v>
      </c>
      <c r="M81">
        <f t="shared" si="13"/>
        <v>22.950751388</v>
      </c>
      <c r="N81" s="9"/>
      <c r="O81" s="22">
        <v>0.25756800000000002</v>
      </c>
      <c r="P81" s="22">
        <v>86.196399999999997</v>
      </c>
      <c r="Q81" s="22">
        <v>-1.73157E-2</v>
      </c>
      <c r="R81" s="22">
        <v>71</v>
      </c>
      <c r="S81" s="22">
        <v>0.25680500000000001</v>
      </c>
      <c r="T81">
        <f t="shared" si="14"/>
        <v>17.3157</v>
      </c>
      <c r="U81">
        <f t="shared" si="15"/>
        <v>4.4599702176000005</v>
      </c>
      <c r="X81" s="9"/>
      <c r="Y81" s="22">
        <v>1.4924599999999999</v>
      </c>
      <c r="Z81" s="22">
        <v>148.15299999999999</v>
      </c>
      <c r="AA81" s="22">
        <v>-1.51947E-2</v>
      </c>
      <c r="AB81" s="22">
        <v>71</v>
      </c>
      <c r="AC81" s="22">
        <v>1.492</v>
      </c>
      <c r="AD81">
        <f t="shared" si="16"/>
        <v>15.194700000000001</v>
      </c>
      <c r="AE81">
        <f t="shared" si="17"/>
        <v>22.677481962000002</v>
      </c>
      <c r="AF81" s="9"/>
      <c r="AG81" s="22">
        <v>0.25756800000000002</v>
      </c>
      <c r="AH81" s="22">
        <v>227.68600000000001</v>
      </c>
      <c r="AI81" s="22">
        <v>-1.6854899999999999E-2</v>
      </c>
      <c r="AJ81" s="22">
        <v>71</v>
      </c>
      <c r="AK81" s="22">
        <v>0.25698900000000002</v>
      </c>
      <c r="AL81">
        <f t="shared" si="18"/>
        <v>16.854900000000001</v>
      </c>
      <c r="AM81">
        <f t="shared" si="19"/>
        <v>4.3412828832000008</v>
      </c>
      <c r="AP81" s="9"/>
      <c r="AQ81" s="22">
        <v>1.4924599999999999</v>
      </c>
      <c r="AR81" s="22">
        <v>280.10199999999998</v>
      </c>
      <c r="AS81" s="22">
        <v>-1.4913900000000001E-2</v>
      </c>
      <c r="AT81" s="22">
        <v>71</v>
      </c>
      <c r="AU81" s="22">
        <v>1.49139</v>
      </c>
      <c r="AV81">
        <f t="shared" si="20"/>
        <v>14.9139</v>
      </c>
      <c r="AW81">
        <f t="shared" si="21"/>
        <v>22.258399193999999</v>
      </c>
      <c r="AX81" s="9"/>
      <c r="AY81" s="22">
        <v>0.25756800000000002</v>
      </c>
      <c r="AZ81" s="22">
        <v>359.33300000000003</v>
      </c>
      <c r="BA81" s="22">
        <v>-1.6625999999999998E-2</v>
      </c>
      <c r="BB81" s="22">
        <v>71</v>
      </c>
      <c r="BC81" s="22">
        <v>0.25698900000000002</v>
      </c>
      <c r="BD81">
        <f t="shared" si="22"/>
        <v>16.625999999999998</v>
      </c>
      <c r="BE81">
        <f t="shared" si="23"/>
        <v>4.2823255680000001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30.901299999999999</v>
      </c>
      <c r="I82" s="22">
        <v>-1.54266E-2</v>
      </c>
      <c r="J82" s="22">
        <v>72</v>
      </c>
      <c r="K82" s="22">
        <v>1.48651</v>
      </c>
      <c r="L82">
        <f t="shared" si="12"/>
        <v>15.426600000000001</v>
      </c>
      <c r="M82">
        <f t="shared" si="13"/>
        <v>22.945987638000002</v>
      </c>
      <c r="N82" s="9"/>
      <c r="O82" s="22">
        <v>0.262604</v>
      </c>
      <c r="P82" s="22">
        <v>86.2971</v>
      </c>
      <c r="Q82" s="22">
        <v>-1.7312600000000001E-2</v>
      </c>
      <c r="R82" s="22">
        <v>72</v>
      </c>
      <c r="S82" s="22">
        <v>0.26205400000000001</v>
      </c>
      <c r="T82">
        <f t="shared" si="14"/>
        <v>17.3126</v>
      </c>
      <c r="U82">
        <f t="shared" si="15"/>
        <v>4.5463580103999996</v>
      </c>
      <c r="X82" s="9"/>
      <c r="Y82" s="22">
        <v>1.48743</v>
      </c>
      <c r="Z82" s="22">
        <v>148.25399999999999</v>
      </c>
      <c r="AA82" s="22">
        <v>-1.5261800000000001E-2</v>
      </c>
      <c r="AB82" s="22">
        <v>72</v>
      </c>
      <c r="AC82" s="22">
        <v>1.48712</v>
      </c>
      <c r="AD82">
        <f t="shared" si="16"/>
        <v>15.261800000000001</v>
      </c>
      <c r="AE82">
        <f t="shared" si="17"/>
        <v>22.700859174000001</v>
      </c>
      <c r="AF82" s="9"/>
      <c r="AG82" s="22">
        <v>0.262604</v>
      </c>
      <c r="AH82" s="22">
        <v>227.786</v>
      </c>
      <c r="AI82" s="22">
        <v>-1.68396E-2</v>
      </c>
      <c r="AJ82" s="22">
        <v>72</v>
      </c>
      <c r="AK82" s="22">
        <v>0.26199299999999998</v>
      </c>
      <c r="AL82">
        <f t="shared" si="18"/>
        <v>16.839600000000001</v>
      </c>
      <c r="AM82">
        <f t="shared" si="19"/>
        <v>4.4221463184000003</v>
      </c>
      <c r="AP82" s="9"/>
      <c r="AQ82" s="22">
        <v>1.48743</v>
      </c>
      <c r="AR82" s="22">
        <v>280.20299999999997</v>
      </c>
      <c r="AS82" s="22">
        <v>-1.49567E-2</v>
      </c>
      <c r="AT82" s="22">
        <v>72</v>
      </c>
      <c r="AU82" s="22">
        <v>1.48621</v>
      </c>
      <c r="AV82">
        <f t="shared" si="20"/>
        <v>14.9567</v>
      </c>
      <c r="AW82">
        <f t="shared" si="21"/>
        <v>22.247044281000001</v>
      </c>
      <c r="AX82" s="9"/>
      <c r="AY82" s="22">
        <v>0.262604</v>
      </c>
      <c r="AZ82" s="22">
        <v>359.43299999999999</v>
      </c>
      <c r="BA82" s="22">
        <v>-1.65527E-2</v>
      </c>
      <c r="BB82" s="22">
        <v>72</v>
      </c>
      <c r="BC82" s="22">
        <v>0.26205400000000001</v>
      </c>
      <c r="BD82">
        <f t="shared" si="22"/>
        <v>16.552700000000002</v>
      </c>
      <c r="BE82">
        <f t="shared" si="23"/>
        <v>4.3468052308000003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31.001999999999999</v>
      </c>
      <c r="I83" s="22">
        <v>-1.5512099999999999E-2</v>
      </c>
      <c r="J83" s="22">
        <v>73</v>
      </c>
      <c r="K83" s="22">
        <v>1.48193</v>
      </c>
      <c r="L83">
        <f t="shared" si="12"/>
        <v>15.512099999999998</v>
      </c>
      <c r="M83">
        <f t="shared" si="13"/>
        <v>22.994981919000001</v>
      </c>
      <c r="N83" s="9"/>
      <c r="O83" s="22">
        <v>0.26763900000000002</v>
      </c>
      <c r="P83" s="22">
        <v>86.397800000000004</v>
      </c>
      <c r="Q83" s="22">
        <v>-1.7294299999999999E-2</v>
      </c>
      <c r="R83" s="22">
        <v>73</v>
      </c>
      <c r="S83" s="22">
        <v>0.26702900000000002</v>
      </c>
      <c r="T83">
        <f t="shared" si="14"/>
        <v>17.2943</v>
      </c>
      <c r="U83">
        <f t="shared" si="15"/>
        <v>4.6286291576999998</v>
      </c>
      <c r="X83" s="9"/>
      <c r="Y83" s="22">
        <v>1.4823900000000001</v>
      </c>
      <c r="Z83" s="22">
        <v>148.35499999999999</v>
      </c>
      <c r="AA83" s="22">
        <v>-1.53229E-2</v>
      </c>
      <c r="AB83" s="22">
        <v>73</v>
      </c>
      <c r="AC83" s="22">
        <v>1.48132</v>
      </c>
      <c r="AD83">
        <f t="shared" si="16"/>
        <v>15.322900000000001</v>
      </c>
      <c r="AE83">
        <f t="shared" si="17"/>
        <v>22.714513731000004</v>
      </c>
      <c r="AF83" s="9"/>
      <c r="AG83" s="22">
        <v>0.26763900000000002</v>
      </c>
      <c r="AH83" s="22">
        <v>227.887</v>
      </c>
      <c r="AI83" s="22">
        <v>-1.6827399999999999E-2</v>
      </c>
      <c r="AJ83" s="22">
        <v>73</v>
      </c>
      <c r="AK83" s="22">
        <v>0.26696799999999998</v>
      </c>
      <c r="AL83">
        <f t="shared" si="18"/>
        <v>16.827400000000001</v>
      </c>
      <c r="AM83">
        <f t="shared" si="19"/>
        <v>4.5036685086000006</v>
      </c>
      <c r="AP83" s="9"/>
      <c r="AQ83" s="22">
        <v>1.4823900000000001</v>
      </c>
      <c r="AR83" s="22">
        <v>280.30399999999997</v>
      </c>
      <c r="AS83" s="22">
        <v>-1.4996300000000001E-2</v>
      </c>
      <c r="AT83" s="22">
        <v>73</v>
      </c>
      <c r="AU83" s="22">
        <v>1.48102</v>
      </c>
      <c r="AV83">
        <f t="shared" si="20"/>
        <v>14.9963</v>
      </c>
      <c r="AW83">
        <f t="shared" si="21"/>
        <v>22.230365157000001</v>
      </c>
      <c r="AX83" s="9"/>
      <c r="AY83" s="22">
        <v>0.26763900000000002</v>
      </c>
      <c r="AZ83" s="22">
        <v>359.53399999999999</v>
      </c>
      <c r="BA83" s="22">
        <v>-1.6583299999999999E-2</v>
      </c>
      <c r="BB83" s="22">
        <v>73</v>
      </c>
      <c r="BC83" s="22">
        <v>0.26702900000000002</v>
      </c>
      <c r="BD83">
        <f t="shared" si="22"/>
        <v>16.583299999999998</v>
      </c>
      <c r="BE83">
        <f t="shared" si="23"/>
        <v>4.4383378286999999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31.102699999999999</v>
      </c>
      <c r="I84" s="22">
        <v>-1.55426E-2</v>
      </c>
      <c r="J84" s="22">
        <v>74</v>
      </c>
      <c r="K84" s="22">
        <v>1.47675</v>
      </c>
      <c r="L84">
        <f t="shared" si="12"/>
        <v>15.5426</v>
      </c>
      <c r="M84">
        <f t="shared" si="13"/>
        <v>22.962015535999999</v>
      </c>
      <c r="N84" s="9"/>
      <c r="O84" s="22">
        <v>0.272675</v>
      </c>
      <c r="P84" s="22">
        <v>86.498500000000007</v>
      </c>
      <c r="Q84" s="22">
        <v>-1.7294299999999999E-2</v>
      </c>
      <c r="R84" s="22">
        <v>74</v>
      </c>
      <c r="S84" s="22">
        <v>0.272034</v>
      </c>
      <c r="T84">
        <f t="shared" si="14"/>
        <v>17.2943</v>
      </c>
      <c r="U84">
        <f t="shared" si="15"/>
        <v>4.7157232525000001</v>
      </c>
      <c r="X84" s="9"/>
      <c r="Y84" s="22">
        <v>1.47736</v>
      </c>
      <c r="Z84" s="22">
        <v>148.45599999999999</v>
      </c>
      <c r="AA84" s="22">
        <v>-1.53534E-2</v>
      </c>
      <c r="AB84" s="22">
        <v>74</v>
      </c>
      <c r="AC84" s="22">
        <v>1.47644</v>
      </c>
      <c r="AD84">
        <f t="shared" si="16"/>
        <v>15.353399999999999</v>
      </c>
      <c r="AE84">
        <f t="shared" si="17"/>
        <v>22.682499023999998</v>
      </c>
      <c r="AF84" s="9"/>
      <c r="AG84" s="22">
        <v>0.272675</v>
      </c>
      <c r="AH84" s="22">
        <v>227.988</v>
      </c>
      <c r="AI84" s="22">
        <v>-1.6821300000000001E-2</v>
      </c>
      <c r="AJ84" s="22">
        <v>74</v>
      </c>
      <c r="AK84" s="22">
        <v>0.27209499999999998</v>
      </c>
      <c r="AL84">
        <f t="shared" si="18"/>
        <v>16.821300000000001</v>
      </c>
      <c r="AM84">
        <f t="shared" si="19"/>
        <v>4.5867479775</v>
      </c>
      <c r="AP84" s="9"/>
      <c r="AQ84" s="22">
        <v>1.47736</v>
      </c>
      <c r="AR84" s="22">
        <v>280.40499999999997</v>
      </c>
      <c r="AS84" s="22">
        <v>-1.50726E-2</v>
      </c>
      <c r="AT84" s="22">
        <v>74</v>
      </c>
      <c r="AU84" s="22">
        <v>1.47675</v>
      </c>
      <c r="AV84">
        <f t="shared" si="20"/>
        <v>15.0726</v>
      </c>
      <c r="AW84">
        <f t="shared" si="21"/>
        <v>22.267656335999998</v>
      </c>
      <c r="AX84" s="9"/>
      <c r="AY84" s="22">
        <v>0.272675</v>
      </c>
      <c r="AZ84" s="22">
        <v>359.63499999999999</v>
      </c>
      <c r="BA84" s="22">
        <v>-1.65924E-2</v>
      </c>
      <c r="BB84" s="22">
        <v>74</v>
      </c>
      <c r="BC84" s="22">
        <v>0.27206399999999997</v>
      </c>
      <c r="BD84">
        <f t="shared" si="22"/>
        <v>16.592400000000001</v>
      </c>
      <c r="BE84">
        <f t="shared" si="23"/>
        <v>4.5243326700000006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31.203399999999998</v>
      </c>
      <c r="I85" s="22">
        <v>-1.5631099999999998E-2</v>
      </c>
      <c r="J85" s="22">
        <v>75</v>
      </c>
      <c r="K85" s="22">
        <v>1.4712499999999999</v>
      </c>
      <c r="L85">
        <f t="shared" si="12"/>
        <v>15.631099999999998</v>
      </c>
      <c r="M85">
        <f t="shared" si="13"/>
        <v>23.013981151999999</v>
      </c>
      <c r="N85" s="9"/>
      <c r="O85" s="22">
        <v>0.27771000000000001</v>
      </c>
      <c r="P85" s="22">
        <v>86.599299999999999</v>
      </c>
      <c r="Q85" s="22">
        <v>-1.7269900000000001E-2</v>
      </c>
      <c r="R85" s="22">
        <v>75</v>
      </c>
      <c r="S85" s="22">
        <v>0.27706900000000001</v>
      </c>
      <c r="T85">
        <f t="shared" si="14"/>
        <v>17.2699</v>
      </c>
      <c r="U85">
        <f t="shared" si="15"/>
        <v>4.7960239290000004</v>
      </c>
      <c r="X85" s="9"/>
      <c r="Y85" s="22">
        <v>1.4723200000000001</v>
      </c>
      <c r="Z85" s="22">
        <v>148.55600000000001</v>
      </c>
      <c r="AA85" s="22">
        <v>-1.5389999999999999E-2</v>
      </c>
      <c r="AB85" s="22">
        <v>75</v>
      </c>
      <c r="AC85" s="22">
        <v>1.4712499999999999</v>
      </c>
      <c r="AD85">
        <f t="shared" si="16"/>
        <v>15.389999999999999</v>
      </c>
      <c r="AE85">
        <f t="shared" si="17"/>
        <v>22.659004799999998</v>
      </c>
      <c r="AF85" s="9"/>
      <c r="AG85" s="22">
        <v>0.27771000000000001</v>
      </c>
      <c r="AH85" s="22">
        <v>228.089</v>
      </c>
      <c r="AI85" s="22">
        <v>-1.67999E-2</v>
      </c>
      <c r="AJ85" s="22">
        <v>75</v>
      </c>
      <c r="AK85" s="22">
        <v>0.27706900000000001</v>
      </c>
      <c r="AL85">
        <f t="shared" si="18"/>
        <v>16.799900000000001</v>
      </c>
      <c r="AM85">
        <f t="shared" si="19"/>
        <v>4.6655002290000001</v>
      </c>
      <c r="AP85" s="9"/>
      <c r="AQ85" s="22">
        <v>1.4723200000000001</v>
      </c>
      <c r="AR85" s="22">
        <v>280.505</v>
      </c>
      <c r="AS85" s="22">
        <v>-1.5124500000000001E-2</v>
      </c>
      <c r="AT85" s="22">
        <v>75</v>
      </c>
      <c r="AU85" s="22">
        <v>1.47156</v>
      </c>
      <c r="AV85">
        <f t="shared" si="20"/>
        <v>15.124500000000001</v>
      </c>
      <c r="AW85">
        <f t="shared" si="21"/>
        <v>22.268103840000002</v>
      </c>
      <c r="AX85" s="9"/>
      <c r="AY85" s="22">
        <v>0.27771000000000001</v>
      </c>
      <c r="AZ85" s="22">
        <v>359.73599999999999</v>
      </c>
      <c r="BA85" s="22">
        <v>-1.6577100000000001E-2</v>
      </c>
      <c r="BB85" s="22">
        <v>75</v>
      </c>
      <c r="BC85" s="22">
        <v>0.27710000000000001</v>
      </c>
      <c r="BD85">
        <f t="shared" si="22"/>
        <v>16.577100000000002</v>
      </c>
      <c r="BE85">
        <f t="shared" si="23"/>
        <v>4.6036264410000003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31.304099999999998</v>
      </c>
      <c r="I86" s="22">
        <v>-1.5615800000000001E-2</v>
      </c>
      <c r="J86" s="22">
        <v>76</v>
      </c>
      <c r="K86" s="22">
        <v>1.4666699999999999</v>
      </c>
      <c r="L86">
        <f t="shared" si="12"/>
        <v>15.6158</v>
      </c>
      <c r="M86">
        <f t="shared" si="13"/>
        <v>22.912907182000001</v>
      </c>
      <c r="N86" s="9"/>
      <c r="O86" s="22">
        <v>0.28274500000000002</v>
      </c>
      <c r="P86" s="22">
        <v>86.7</v>
      </c>
      <c r="Q86" s="22">
        <v>-1.72607E-2</v>
      </c>
      <c r="R86" s="22">
        <v>76</v>
      </c>
      <c r="S86" s="22">
        <v>0.282196</v>
      </c>
      <c r="T86">
        <f t="shared" si="14"/>
        <v>17.2607</v>
      </c>
      <c r="U86">
        <f t="shared" si="15"/>
        <v>4.8803766215</v>
      </c>
      <c r="X86" s="9"/>
      <c r="Y86" s="22">
        <v>1.46729</v>
      </c>
      <c r="Z86" s="22">
        <v>148.65700000000001</v>
      </c>
      <c r="AA86" s="22">
        <v>-1.54602E-2</v>
      </c>
      <c r="AB86" s="22">
        <v>76</v>
      </c>
      <c r="AC86" s="22">
        <v>1.4666699999999999</v>
      </c>
      <c r="AD86">
        <f t="shared" si="16"/>
        <v>15.4602</v>
      </c>
      <c r="AE86">
        <f t="shared" si="17"/>
        <v>22.684596857999999</v>
      </c>
      <c r="AF86" s="9"/>
      <c r="AG86" s="22">
        <v>0.28274500000000002</v>
      </c>
      <c r="AH86" s="22">
        <v>228.18899999999999</v>
      </c>
      <c r="AI86" s="22">
        <v>-1.6778600000000001E-2</v>
      </c>
      <c r="AJ86" s="22">
        <v>76</v>
      </c>
      <c r="AK86" s="22">
        <v>0.28210400000000002</v>
      </c>
      <c r="AL86">
        <f t="shared" si="18"/>
        <v>16.778600000000001</v>
      </c>
      <c r="AM86">
        <f t="shared" si="19"/>
        <v>4.7440652570000008</v>
      </c>
      <c r="AP86" s="9"/>
      <c r="AQ86" s="22">
        <v>1.46729</v>
      </c>
      <c r="AR86" s="22">
        <v>280.60599999999999</v>
      </c>
      <c r="AS86" s="22">
        <v>-1.51947E-2</v>
      </c>
      <c r="AT86" s="22">
        <v>76</v>
      </c>
      <c r="AU86" s="22">
        <v>1.46698</v>
      </c>
      <c r="AV86">
        <f t="shared" si="20"/>
        <v>15.194700000000001</v>
      </c>
      <c r="AW86">
        <f t="shared" si="21"/>
        <v>22.295031363</v>
      </c>
      <c r="AX86" s="9"/>
      <c r="AY86" s="22">
        <v>0.28274500000000002</v>
      </c>
      <c r="AZ86" s="22">
        <v>359.83600000000001</v>
      </c>
      <c r="BA86" s="22">
        <v>-1.6610699999999999E-2</v>
      </c>
      <c r="BB86" s="22">
        <v>76</v>
      </c>
      <c r="BC86" s="22">
        <v>0.282196</v>
      </c>
      <c r="BD86">
        <f t="shared" si="22"/>
        <v>16.610699999999998</v>
      </c>
      <c r="BE86">
        <f t="shared" si="23"/>
        <v>4.6965923714999995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31.404800000000002</v>
      </c>
      <c r="I87" s="22">
        <v>-1.5655499999999999E-2</v>
      </c>
      <c r="J87" s="22">
        <v>77</v>
      </c>
      <c r="K87" s="22">
        <v>1.4617899999999999</v>
      </c>
      <c r="L87">
        <f t="shared" si="12"/>
        <v>15.6555</v>
      </c>
      <c r="M87">
        <f t="shared" si="13"/>
        <v>22.892254874999999</v>
      </c>
      <c r="N87" s="9"/>
      <c r="O87" s="22">
        <v>0.28778100000000001</v>
      </c>
      <c r="P87" s="22">
        <v>86.800700000000006</v>
      </c>
      <c r="Q87" s="22">
        <v>-1.7266799999999999E-2</v>
      </c>
      <c r="R87" s="22">
        <v>77</v>
      </c>
      <c r="S87" s="22">
        <v>0.28716999999999998</v>
      </c>
      <c r="T87">
        <f t="shared" si="14"/>
        <v>17.2668</v>
      </c>
      <c r="U87">
        <f t="shared" si="15"/>
        <v>4.9690569708000005</v>
      </c>
      <c r="X87" s="9"/>
      <c r="Y87" s="22">
        <v>1.46225</v>
      </c>
      <c r="Z87" s="22">
        <v>148.75800000000001</v>
      </c>
      <c r="AA87" s="22">
        <v>-1.54907E-2</v>
      </c>
      <c r="AB87" s="22">
        <v>77</v>
      </c>
      <c r="AC87" s="22">
        <v>1.4617899999999999</v>
      </c>
      <c r="AD87">
        <f t="shared" si="16"/>
        <v>15.4907</v>
      </c>
      <c r="AE87">
        <f t="shared" si="17"/>
        <v>22.651276075000002</v>
      </c>
      <c r="AF87" s="9"/>
      <c r="AG87" s="22">
        <v>0.28778100000000001</v>
      </c>
      <c r="AH87" s="22">
        <v>228.29</v>
      </c>
      <c r="AI87" s="22">
        <v>-1.6787699999999999E-2</v>
      </c>
      <c r="AJ87" s="22">
        <v>77</v>
      </c>
      <c r="AK87" s="22">
        <v>0.28720099999999998</v>
      </c>
      <c r="AL87">
        <f t="shared" si="18"/>
        <v>16.787699999999997</v>
      </c>
      <c r="AM87">
        <f t="shared" si="19"/>
        <v>4.8311810936999997</v>
      </c>
      <c r="AP87" s="9"/>
      <c r="AQ87" s="22">
        <v>1.46225</v>
      </c>
      <c r="AR87" s="22">
        <v>280.70699999999999</v>
      </c>
      <c r="AS87" s="22">
        <v>-1.52344E-2</v>
      </c>
      <c r="AT87" s="22">
        <v>77</v>
      </c>
      <c r="AU87" s="22">
        <v>1.4617899999999999</v>
      </c>
      <c r="AV87">
        <f t="shared" si="20"/>
        <v>15.234400000000001</v>
      </c>
      <c r="AW87">
        <f t="shared" si="21"/>
        <v>22.276501400000001</v>
      </c>
      <c r="AX87" s="9"/>
      <c r="AY87" s="22">
        <v>0.28778100000000001</v>
      </c>
      <c r="AZ87" s="22">
        <v>359.93700000000001</v>
      </c>
      <c r="BA87" s="22">
        <v>-1.6616800000000001E-2</v>
      </c>
      <c r="BB87" s="22">
        <v>77</v>
      </c>
      <c r="BC87" s="22">
        <v>0.28720099999999998</v>
      </c>
      <c r="BD87">
        <f t="shared" si="22"/>
        <v>16.616800000000001</v>
      </c>
      <c r="BE87">
        <f t="shared" si="23"/>
        <v>4.7819993208000007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31.505500000000001</v>
      </c>
      <c r="I88" s="22">
        <v>-1.5695199999999999E-2</v>
      </c>
      <c r="J88" s="22">
        <v>78</v>
      </c>
      <c r="K88" s="22">
        <v>1.4562999999999999</v>
      </c>
      <c r="L88">
        <f t="shared" si="12"/>
        <v>15.6952</v>
      </c>
      <c r="M88">
        <f t="shared" si="13"/>
        <v>22.871202391999997</v>
      </c>
      <c r="N88" s="9"/>
      <c r="O88" s="22">
        <v>0.29281600000000002</v>
      </c>
      <c r="P88" s="22">
        <v>86.901399999999995</v>
      </c>
      <c r="Q88" s="22">
        <v>-1.7263799999999999E-2</v>
      </c>
      <c r="R88" s="22">
        <v>78</v>
      </c>
      <c r="S88" s="22">
        <v>0.292236</v>
      </c>
      <c r="T88">
        <f t="shared" si="14"/>
        <v>17.2638</v>
      </c>
      <c r="U88">
        <f t="shared" si="15"/>
        <v>5.0551168608000001</v>
      </c>
      <c r="X88" s="9"/>
      <c r="Y88" s="22">
        <v>1.4572099999999999</v>
      </c>
      <c r="Z88" s="22">
        <v>148.858</v>
      </c>
      <c r="AA88" s="22">
        <v>-1.5554800000000001E-2</v>
      </c>
      <c r="AB88" s="22">
        <v>78</v>
      </c>
      <c r="AC88" s="22">
        <v>1.4559899999999999</v>
      </c>
      <c r="AD88">
        <f t="shared" si="16"/>
        <v>15.5548</v>
      </c>
      <c r="AE88">
        <f t="shared" si="17"/>
        <v>22.666610107999997</v>
      </c>
      <c r="AF88" s="9"/>
      <c r="AG88" s="22">
        <v>0.29281600000000002</v>
      </c>
      <c r="AH88" s="22">
        <v>228.39099999999999</v>
      </c>
      <c r="AI88" s="22">
        <v>-1.67572E-2</v>
      </c>
      <c r="AJ88" s="22">
        <v>78</v>
      </c>
      <c r="AK88" s="22">
        <v>0.29217500000000002</v>
      </c>
      <c r="AL88">
        <f t="shared" si="18"/>
        <v>16.757200000000001</v>
      </c>
      <c r="AM88">
        <f t="shared" si="19"/>
        <v>4.9067762752000004</v>
      </c>
      <c r="AP88" s="9"/>
      <c r="AQ88" s="22">
        <v>1.4572099999999999</v>
      </c>
      <c r="AR88" s="22">
        <v>280.80700000000002</v>
      </c>
      <c r="AS88" s="22">
        <v>-1.5329000000000001E-2</v>
      </c>
      <c r="AT88" s="22">
        <v>78</v>
      </c>
      <c r="AU88" s="22">
        <v>1.4565999999999999</v>
      </c>
      <c r="AV88">
        <f t="shared" si="20"/>
        <v>15.329000000000001</v>
      </c>
      <c r="AW88">
        <f t="shared" si="21"/>
        <v>22.337572089999998</v>
      </c>
      <c r="AX88" s="9"/>
      <c r="AY88" s="22">
        <v>0.29281600000000002</v>
      </c>
      <c r="AZ88" s="22">
        <v>360.03800000000001</v>
      </c>
      <c r="BA88" s="22">
        <v>-1.6601600000000001E-2</v>
      </c>
      <c r="BB88" s="22">
        <v>78</v>
      </c>
      <c r="BC88" s="22">
        <v>0.29217500000000002</v>
      </c>
      <c r="BD88">
        <f t="shared" si="22"/>
        <v>16.601600000000001</v>
      </c>
      <c r="BE88">
        <f t="shared" si="23"/>
        <v>4.8612141056000011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31.606200000000001</v>
      </c>
      <c r="I89" s="22">
        <v>-1.5771500000000001E-2</v>
      </c>
      <c r="J89" s="22">
        <v>79</v>
      </c>
      <c r="K89" s="22">
        <v>1.4514199999999999</v>
      </c>
      <c r="L89">
        <f t="shared" si="12"/>
        <v>15.771500000000001</v>
      </c>
      <c r="M89">
        <f t="shared" si="13"/>
        <v>22.903056870000004</v>
      </c>
      <c r="N89" s="9"/>
      <c r="O89" s="22">
        <v>0.29785200000000001</v>
      </c>
      <c r="P89" s="22">
        <v>87.002099999999999</v>
      </c>
      <c r="Q89" s="22">
        <v>-1.7282100000000002E-2</v>
      </c>
      <c r="R89" s="22">
        <v>79</v>
      </c>
      <c r="S89" s="22">
        <v>0.29730200000000001</v>
      </c>
      <c r="T89">
        <f t="shared" si="14"/>
        <v>17.282100000000003</v>
      </c>
      <c r="U89">
        <f t="shared" si="15"/>
        <v>5.1475080492000007</v>
      </c>
      <c r="X89" s="9"/>
      <c r="Y89" s="22">
        <v>1.45218</v>
      </c>
      <c r="Z89" s="22">
        <v>148.959</v>
      </c>
      <c r="AA89" s="22">
        <v>-1.55975E-2</v>
      </c>
      <c r="AB89" s="22">
        <v>79</v>
      </c>
      <c r="AC89" s="22">
        <v>1.4514199999999999</v>
      </c>
      <c r="AD89">
        <f t="shared" si="16"/>
        <v>15.5975</v>
      </c>
      <c r="AE89">
        <f t="shared" si="17"/>
        <v>22.650377550000002</v>
      </c>
      <c r="AF89" s="9"/>
      <c r="AG89" s="22">
        <v>0.29785200000000001</v>
      </c>
      <c r="AH89" s="22">
        <v>228.49100000000001</v>
      </c>
      <c r="AI89" s="22">
        <v>-1.6760299999999999E-2</v>
      </c>
      <c r="AJ89" s="22">
        <v>79</v>
      </c>
      <c r="AK89" s="22">
        <v>0.29724099999999998</v>
      </c>
      <c r="AL89">
        <f t="shared" si="18"/>
        <v>16.760299999999997</v>
      </c>
      <c r="AM89">
        <f t="shared" si="19"/>
        <v>4.9920888755999995</v>
      </c>
      <c r="AP89" s="9"/>
      <c r="AQ89" s="22">
        <v>1.45218</v>
      </c>
      <c r="AR89" s="22">
        <v>280.90800000000002</v>
      </c>
      <c r="AS89" s="22">
        <v>-1.5362499999999999E-2</v>
      </c>
      <c r="AT89" s="22">
        <v>79</v>
      </c>
      <c r="AU89" s="22">
        <v>1.4514199999999999</v>
      </c>
      <c r="AV89">
        <f t="shared" si="20"/>
        <v>15.362499999999999</v>
      </c>
      <c r="AW89">
        <f t="shared" si="21"/>
        <v>22.309115249999998</v>
      </c>
      <c r="AX89" s="9"/>
      <c r="AY89" s="22">
        <v>0.29785200000000001</v>
      </c>
      <c r="AZ89" s="22">
        <v>360.13799999999998</v>
      </c>
      <c r="BA89" s="22">
        <v>-1.6595499999999999E-2</v>
      </c>
      <c r="BB89" s="22">
        <v>79</v>
      </c>
      <c r="BC89" s="22">
        <v>0.29733300000000001</v>
      </c>
      <c r="BD89">
        <f t="shared" si="22"/>
        <v>16.595499999999998</v>
      </c>
      <c r="BE89">
        <f t="shared" si="23"/>
        <v>4.9430028659999996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31.706900000000001</v>
      </c>
      <c r="I90" s="22">
        <v>-1.58142E-2</v>
      </c>
      <c r="J90" s="22">
        <v>80</v>
      </c>
      <c r="K90" s="22">
        <v>1.4471400000000001</v>
      </c>
      <c r="L90">
        <f t="shared" si="12"/>
        <v>15.8142</v>
      </c>
      <c r="M90">
        <f t="shared" si="13"/>
        <v>22.885361388</v>
      </c>
      <c r="N90" s="9"/>
      <c r="O90" s="22">
        <v>0.30288700000000002</v>
      </c>
      <c r="P90" s="22">
        <v>87.102800000000002</v>
      </c>
      <c r="Q90" s="22">
        <v>-1.7254599999999998E-2</v>
      </c>
      <c r="R90" s="22">
        <v>80</v>
      </c>
      <c r="S90" s="22">
        <v>0.302338</v>
      </c>
      <c r="T90">
        <f t="shared" si="14"/>
        <v>17.2546</v>
      </c>
      <c r="U90">
        <f t="shared" si="15"/>
        <v>5.2261940302000003</v>
      </c>
      <c r="X90" s="9"/>
      <c r="Y90" s="22">
        <v>1.4471400000000001</v>
      </c>
      <c r="Z90" s="22">
        <v>149.06</v>
      </c>
      <c r="AA90" s="22">
        <v>-1.5621899999999999E-2</v>
      </c>
      <c r="AB90" s="22">
        <v>80</v>
      </c>
      <c r="AC90" s="22">
        <v>1.4468399999999999</v>
      </c>
      <c r="AD90">
        <f t="shared" si="16"/>
        <v>15.6219</v>
      </c>
      <c r="AE90">
        <f t="shared" si="17"/>
        <v>22.607076366000001</v>
      </c>
      <c r="AF90" s="9"/>
      <c r="AG90" s="22">
        <v>0.30288700000000002</v>
      </c>
      <c r="AH90" s="22">
        <v>228.59200000000001</v>
      </c>
      <c r="AI90" s="22">
        <v>-1.6775499999999999E-2</v>
      </c>
      <c r="AJ90" s="22">
        <v>80</v>
      </c>
      <c r="AK90" s="22">
        <v>0.30224600000000001</v>
      </c>
      <c r="AL90">
        <f t="shared" si="18"/>
        <v>16.775499999999997</v>
      </c>
      <c r="AM90">
        <f t="shared" si="19"/>
        <v>5.0810808684999991</v>
      </c>
      <c r="AP90" s="9"/>
      <c r="AQ90" s="22">
        <v>1.4471400000000001</v>
      </c>
      <c r="AR90" s="22">
        <v>281.00900000000001</v>
      </c>
      <c r="AS90" s="22">
        <v>-1.5417500000000001E-2</v>
      </c>
      <c r="AT90" s="22">
        <v>80</v>
      </c>
      <c r="AU90" s="22">
        <v>1.4471400000000001</v>
      </c>
      <c r="AV90">
        <f t="shared" si="20"/>
        <v>15.4175</v>
      </c>
      <c r="AW90">
        <f t="shared" si="21"/>
        <v>22.31128095</v>
      </c>
      <c r="AX90" s="9"/>
      <c r="AY90" s="22">
        <v>0.30288700000000002</v>
      </c>
      <c r="AZ90" s="22">
        <v>360.23899999999998</v>
      </c>
      <c r="BA90" s="22">
        <v>-1.6558799999999999E-2</v>
      </c>
      <c r="BB90" s="22">
        <v>80</v>
      </c>
      <c r="BC90" s="22">
        <v>0.30227700000000002</v>
      </c>
      <c r="BD90">
        <f t="shared" si="22"/>
        <v>16.558799999999998</v>
      </c>
      <c r="BE90">
        <f t="shared" si="23"/>
        <v>5.0154452555999995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31.807600000000001</v>
      </c>
      <c r="I91" s="22">
        <v>-1.58447E-2</v>
      </c>
      <c r="J91" s="22">
        <v>81</v>
      </c>
      <c r="K91" s="22">
        <v>1.4413499999999999</v>
      </c>
      <c r="L91">
        <f t="shared" si="12"/>
        <v>15.8447</v>
      </c>
      <c r="M91">
        <f t="shared" si="13"/>
        <v>22.849800317</v>
      </c>
      <c r="N91" s="9"/>
      <c r="O91" s="22">
        <v>0.30792199999999997</v>
      </c>
      <c r="P91" s="22">
        <v>87.203500000000005</v>
      </c>
      <c r="Q91" s="22">
        <v>-1.7254599999999998E-2</v>
      </c>
      <c r="R91" s="22">
        <v>81</v>
      </c>
      <c r="S91" s="22">
        <v>0.30734299999999998</v>
      </c>
      <c r="T91">
        <f t="shared" si="14"/>
        <v>17.2546</v>
      </c>
      <c r="U91">
        <f t="shared" si="15"/>
        <v>5.3130709411999995</v>
      </c>
      <c r="X91" s="9"/>
      <c r="Y91" s="22">
        <v>1.44211</v>
      </c>
      <c r="Z91" s="22">
        <v>149.16</v>
      </c>
      <c r="AA91" s="22">
        <v>-1.5695199999999999E-2</v>
      </c>
      <c r="AB91" s="22">
        <v>81</v>
      </c>
      <c r="AC91" s="22">
        <v>1.4413499999999999</v>
      </c>
      <c r="AD91">
        <f t="shared" si="16"/>
        <v>15.6952</v>
      </c>
      <c r="AE91">
        <f t="shared" si="17"/>
        <v>22.634204872000002</v>
      </c>
      <c r="AF91" s="9"/>
      <c r="AG91" s="22">
        <v>0.30792199999999997</v>
      </c>
      <c r="AH91" s="22">
        <v>228.69300000000001</v>
      </c>
      <c r="AI91" s="22">
        <v>-1.67572E-2</v>
      </c>
      <c r="AJ91" s="22">
        <v>81</v>
      </c>
      <c r="AK91" s="22">
        <v>0.30731199999999997</v>
      </c>
      <c r="AL91">
        <f t="shared" si="18"/>
        <v>16.757200000000001</v>
      </c>
      <c r="AM91">
        <f t="shared" si="19"/>
        <v>5.1599105384000001</v>
      </c>
      <c r="AP91" s="9"/>
      <c r="AQ91" s="22">
        <v>1.44211</v>
      </c>
      <c r="AR91" s="22">
        <v>281.11</v>
      </c>
      <c r="AS91" s="22">
        <v>-1.5448E-2</v>
      </c>
      <c r="AT91" s="22">
        <v>81</v>
      </c>
      <c r="AU91" s="22">
        <v>1.4422600000000001</v>
      </c>
      <c r="AV91">
        <f t="shared" si="20"/>
        <v>15.448</v>
      </c>
      <c r="AW91">
        <f t="shared" si="21"/>
        <v>22.277715279999999</v>
      </c>
      <c r="AX91" s="9"/>
      <c r="AY91" s="22">
        <v>0.30792199999999997</v>
      </c>
      <c r="AZ91" s="22">
        <v>360.34</v>
      </c>
      <c r="BA91" s="22">
        <v>-1.6610699999999999E-2</v>
      </c>
      <c r="BB91" s="22">
        <v>81</v>
      </c>
      <c r="BC91" s="22">
        <v>0.30737300000000001</v>
      </c>
      <c r="BD91">
        <f t="shared" si="22"/>
        <v>16.610699999999998</v>
      </c>
      <c r="BE91">
        <f t="shared" si="23"/>
        <v>5.1147999653999987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31.9084</v>
      </c>
      <c r="I92" s="22">
        <v>-1.5893600000000001E-2</v>
      </c>
      <c r="J92" s="22">
        <v>82</v>
      </c>
      <c r="K92" s="22">
        <v>1.4361600000000001</v>
      </c>
      <c r="L92">
        <f t="shared" si="12"/>
        <v>15.893600000000001</v>
      </c>
      <c r="M92">
        <f t="shared" si="13"/>
        <v>22.840215752000002</v>
      </c>
      <c r="N92" s="9"/>
      <c r="O92" s="22">
        <v>0.31295800000000001</v>
      </c>
      <c r="P92" s="22">
        <v>87.304199999999994</v>
      </c>
      <c r="Q92" s="22">
        <v>-1.7266799999999999E-2</v>
      </c>
      <c r="R92" s="22">
        <v>82</v>
      </c>
      <c r="S92" s="22">
        <v>0.31234699999999999</v>
      </c>
      <c r="T92">
        <f t="shared" si="14"/>
        <v>17.2668</v>
      </c>
      <c r="U92">
        <f t="shared" si="15"/>
        <v>5.4037831943999999</v>
      </c>
      <c r="X92" s="9"/>
      <c r="Y92" s="22">
        <v>1.4370700000000001</v>
      </c>
      <c r="Z92" s="22">
        <v>149.261</v>
      </c>
      <c r="AA92" s="22">
        <v>-1.57593E-2</v>
      </c>
      <c r="AB92" s="22">
        <v>82</v>
      </c>
      <c r="AC92" s="22">
        <v>1.4364600000000001</v>
      </c>
      <c r="AD92">
        <f t="shared" si="16"/>
        <v>15.7593</v>
      </c>
      <c r="AE92">
        <f t="shared" si="17"/>
        <v>22.647217251000001</v>
      </c>
      <c r="AF92" s="9"/>
      <c r="AG92" s="22">
        <v>0.31295800000000001</v>
      </c>
      <c r="AH92" s="22">
        <v>228.79300000000001</v>
      </c>
      <c r="AI92" s="22">
        <v>-1.6747999999999999E-2</v>
      </c>
      <c r="AJ92" s="22">
        <v>82</v>
      </c>
      <c r="AK92" s="22">
        <v>0.31231700000000001</v>
      </c>
      <c r="AL92">
        <f t="shared" si="18"/>
        <v>16.747999999999998</v>
      </c>
      <c r="AM92">
        <f t="shared" si="19"/>
        <v>5.2414205839999992</v>
      </c>
      <c r="AP92" s="9"/>
      <c r="AQ92" s="22">
        <v>1.4370700000000001</v>
      </c>
      <c r="AR92" s="22">
        <v>281.20999999999998</v>
      </c>
      <c r="AS92" s="22">
        <v>-1.54755E-2</v>
      </c>
      <c r="AT92" s="22">
        <v>82</v>
      </c>
      <c r="AU92" s="22">
        <v>1.4364600000000001</v>
      </c>
      <c r="AV92">
        <f t="shared" si="20"/>
        <v>15.4755</v>
      </c>
      <c r="AW92">
        <f t="shared" si="21"/>
        <v>22.239376785000001</v>
      </c>
      <c r="AX92" s="9"/>
      <c r="AY92" s="22">
        <v>0.31295800000000001</v>
      </c>
      <c r="AZ92" s="22">
        <v>360.44099999999997</v>
      </c>
      <c r="BA92" s="22">
        <v>-1.6601600000000001E-2</v>
      </c>
      <c r="BB92" s="22">
        <v>82</v>
      </c>
      <c r="BC92" s="22">
        <v>0.31234699999999999</v>
      </c>
      <c r="BD92">
        <f t="shared" si="22"/>
        <v>16.601600000000001</v>
      </c>
      <c r="BE92">
        <f t="shared" si="23"/>
        <v>5.1956035328000008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32.009099999999997</v>
      </c>
      <c r="I93" s="22">
        <v>-1.5957599999999999E-2</v>
      </c>
      <c r="J93" s="22">
        <v>83</v>
      </c>
      <c r="K93" s="22">
        <v>1.4315800000000001</v>
      </c>
      <c r="L93">
        <f t="shared" si="12"/>
        <v>15.957599999999999</v>
      </c>
      <c r="M93">
        <f t="shared" si="13"/>
        <v>22.851921504</v>
      </c>
      <c r="N93" s="9"/>
      <c r="O93" s="22">
        <v>0.31799300000000003</v>
      </c>
      <c r="P93" s="22">
        <v>87.404899999999998</v>
      </c>
      <c r="Q93" s="22">
        <v>-1.7272900000000001E-2</v>
      </c>
      <c r="R93" s="22">
        <v>83</v>
      </c>
      <c r="S93" s="22">
        <v>0.31732199999999999</v>
      </c>
      <c r="T93">
        <f t="shared" si="14"/>
        <v>17.2729</v>
      </c>
      <c r="U93">
        <f t="shared" si="15"/>
        <v>5.4926612897</v>
      </c>
      <c r="X93" s="9"/>
      <c r="Y93" s="22">
        <v>1.43204</v>
      </c>
      <c r="Z93" s="22">
        <v>149.36199999999999</v>
      </c>
      <c r="AA93" s="22">
        <v>-1.57745E-2</v>
      </c>
      <c r="AB93" s="22">
        <v>83</v>
      </c>
      <c r="AC93" s="22">
        <v>1.4309700000000001</v>
      </c>
      <c r="AD93">
        <f t="shared" si="16"/>
        <v>15.7745</v>
      </c>
      <c r="AE93">
        <f t="shared" si="17"/>
        <v>22.58971498</v>
      </c>
      <c r="AF93" s="9"/>
      <c r="AG93" s="22">
        <v>0.31799300000000003</v>
      </c>
      <c r="AH93" s="22">
        <v>228.89400000000001</v>
      </c>
      <c r="AI93" s="22">
        <v>-1.68121E-2</v>
      </c>
      <c r="AJ93" s="22">
        <v>83</v>
      </c>
      <c r="AK93" s="22">
        <v>0.317444</v>
      </c>
      <c r="AL93">
        <f t="shared" si="18"/>
        <v>16.812100000000001</v>
      </c>
      <c r="AM93">
        <f t="shared" si="19"/>
        <v>5.3461301153000012</v>
      </c>
      <c r="AP93" s="9"/>
      <c r="AQ93" s="22">
        <v>1.43204</v>
      </c>
      <c r="AR93" s="22">
        <v>281.31099999999998</v>
      </c>
      <c r="AS93" s="22">
        <v>-1.54816E-2</v>
      </c>
      <c r="AT93" s="22">
        <v>83</v>
      </c>
      <c r="AU93" s="22">
        <v>1.43188</v>
      </c>
      <c r="AV93">
        <f t="shared" si="20"/>
        <v>15.4816</v>
      </c>
      <c r="AW93">
        <f t="shared" si="21"/>
        <v>22.170270464000001</v>
      </c>
      <c r="AX93" s="9"/>
      <c r="AY93" s="22">
        <v>0.31799300000000003</v>
      </c>
      <c r="AZ93" s="22">
        <v>360.541</v>
      </c>
      <c r="BA93" s="22">
        <v>-1.6577100000000001E-2</v>
      </c>
      <c r="BB93" s="22">
        <v>83</v>
      </c>
      <c r="BC93" s="22">
        <v>0.31738300000000003</v>
      </c>
      <c r="BD93">
        <f t="shared" si="22"/>
        <v>16.577100000000002</v>
      </c>
      <c r="BE93">
        <f t="shared" si="23"/>
        <v>5.2714017603000007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32.1098</v>
      </c>
      <c r="I94" s="22">
        <v>-1.5948500000000001E-2</v>
      </c>
      <c r="J94" s="22">
        <v>84</v>
      </c>
      <c r="K94" s="22">
        <v>1.42578</v>
      </c>
      <c r="L94">
        <f t="shared" si="12"/>
        <v>15.948500000000001</v>
      </c>
      <c r="M94">
        <f t="shared" si="13"/>
        <v>22.758509500000002</v>
      </c>
      <c r="N94" s="9"/>
      <c r="O94" s="22">
        <v>0.32302900000000001</v>
      </c>
      <c r="P94" s="22">
        <v>87.505600000000001</v>
      </c>
      <c r="Q94" s="22">
        <v>-1.7279099999999999E-2</v>
      </c>
      <c r="R94" s="22">
        <v>84</v>
      </c>
      <c r="S94" s="22">
        <v>0.32251000000000002</v>
      </c>
      <c r="T94">
        <f t="shared" si="14"/>
        <v>17.2791</v>
      </c>
      <c r="U94">
        <f t="shared" si="15"/>
        <v>5.5816503939000004</v>
      </c>
      <c r="X94" s="9"/>
      <c r="Y94" s="22">
        <v>1.427</v>
      </c>
      <c r="Z94" s="22">
        <v>149.46299999999999</v>
      </c>
      <c r="AA94" s="22">
        <v>-1.5826400000000001E-2</v>
      </c>
      <c r="AB94" s="22">
        <v>84</v>
      </c>
      <c r="AC94" s="22">
        <v>1.4260900000000001</v>
      </c>
      <c r="AD94">
        <f t="shared" si="16"/>
        <v>15.826400000000001</v>
      </c>
      <c r="AE94">
        <f t="shared" si="17"/>
        <v>22.584272800000004</v>
      </c>
      <c r="AF94" s="9"/>
      <c r="AG94" s="22">
        <v>0.32302900000000001</v>
      </c>
      <c r="AH94" s="22">
        <v>228.995</v>
      </c>
      <c r="AI94" s="22">
        <v>-1.6802999999999998E-2</v>
      </c>
      <c r="AJ94" s="22">
        <v>84</v>
      </c>
      <c r="AK94" s="22">
        <v>0.32238800000000001</v>
      </c>
      <c r="AL94">
        <f t="shared" si="18"/>
        <v>16.802999999999997</v>
      </c>
      <c r="AM94">
        <f t="shared" si="19"/>
        <v>5.4278562869999991</v>
      </c>
      <c r="AP94" s="9"/>
      <c r="AQ94" s="22">
        <v>1.427</v>
      </c>
      <c r="AR94" s="22">
        <v>281.41199999999998</v>
      </c>
      <c r="AS94" s="22">
        <v>-1.55365E-2</v>
      </c>
      <c r="AT94" s="22">
        <v>84</v>
      </c>
      <c r="AU94" s="22">
        <v>1.42578</v>
      </c>
      <c r="AV94">
        <f t="shared" si="20"/>
        <v>15.5365</v>
      </c>
      <c r="AW94">
        <f t="shared" si="21"/>
        <v>22.170585500000001</v>
      </c>
      <c r="AX94" s="9"/>
      <c r="AY94" s="22">
        <v>0.32302900000000001</v>
      </c>
      <c r="AZ94" s="22">
        <v>360.642</v>
      </c>
      <c r="BA94" s="22">
        <v>-1.6558799999999999E-2</v>
      </c>
      <c r="BB94" s="22">
        <v>84</v>
      </c>
      <c r="BC94" s="22">
        <v>0.32238800000000001</v>
      </c>
      <c r="BD94">
        <f t="shared" si="22"/>
        <v>16.558799999999998</v>
      </c>
      <c r="BE94">
        <f t="shared" si="23"/>
        <v>5.3489726051999993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32.210500000000003</v>
      </c>
      <c r="I95" s="22">
        <v>-1.5969799999999999E-2</v>
      </c>
      <c r="J95" s="22">
        <v>85</v>
      </c>
      <c r="K95" s="22">
        <v>1.4212</v>
      </c>
      <c r="L95">
        <f t="shared" si="12"/>
        <v>15.969799999999999</v>
      </c>
      <c r="M95">
        <f t="shared" si="13"/>
        <v>22.708576506</v>
      </c>
      <c r="N95" s="9"/>
      <c r="O95" s="22">
        <v>0.32806400000000002</v>
      </c>
      <c r="P95" s="22">
        <v>87.606300000000005</v>
      </c>
      <c r="Q95" s="22">
        <v>-1.7294299999999999E-2</v>
      </c>
      <c r="R95" s="22">
        <v>85</v>
      </c>
      <c r="S95" s="22">
        <v>0.327484</v>
      </c>
      <c r="T95">
        <f t="shared" si="14"/>
        <v>17.2943</v>
      </c>
      <c r="U95">
        <f t="shared" si="15"/>
        <v>5.6736372352000002</v>
      </c>
      <c r="X95" s="9"/>
      <c r="Y95" s="22">
        <v>1.42197</v>
      </c>
      <c r="Z95" s="22">
        <v>149.56299999999999</v>
      </c>
      <c r="AA95" s="22">
        <v>-1.58447E-2</v>
      </c>
      <c r="AB95" s="22">
        <v>85</v>
      </c>
      <c r="AC95" s="22">
        <v>1.4215100000000001</v>
      </c>
      <c r="AD95">
        <f t="shared" si="16"/>
        <v>15.8447</v>
      </c>
      <c r="AE95">
        <f t="shared" si="17"/>
        <v>22.530688058999999</v>
      </c>
      <c r="AF95" s="9"/>
      <c r="AG95" s="22">
        <v>0.32806400000000002</v>
      </c>
      <c r="AH95" s="22">
        <v>229.096</v>
      </c>
      <c r="AI95" s="22">
        <v>-1.67999E-2</v>
      </c>
      <c r="AJ95" s="22">
        <v>85</v>
      </c>
      <c r="AK95" s="22">
        <v>0.32733200000000001</v>
      </c>
      <c r="AL95">
        <f t="shared" si="18"/>
        <v>16.799900000000001</v>
      </c>
      <c r="AM95">
        <f t="shared" si="19"/>
        <v>5.5114423936000003</v>
      </c>
      <c r="AP95" s="9"/>
      <c r="AQ95" s="22">
        <v>1.42197</v>
      </c>
      <c r="AR95" s="22">
        <v>281.512</v>
      </c>
      <c r="AS95" s="22">
        <v>-1.55487E-2</v>
      </c>
      <c r="AT95" s="22">
        <v>85</v>
      </c>
      <c r="AU95" s="22">
        <v>1.4212</v>
      </c>
      <c r="AV95">
        <f t="shared" si="20"/>
        <v>15.5487</v>
      </c>
      <c r="AW95">
        <f t="shared" si="21"/>
        <v>22.109784939000001</v>
      </c>
      <c r="AX95" s="9"/>
      <c r="AY95" s="22">
        <v>0.32806400000000002</v>
      </c>
      <c r="AZ95" s="22">
        <v>360.74299999999999</v>
      </c>
      <c r="BA95" s="22">
        <v>-1.6555799999999999E-2</v>
      </c>
      <c r="BB95" s="22">
        <v>85</v>
      </c>
      <c r="BC95" s="22">
        <v>0.327484</v>
      </c>
      <c r="BD95">
        <f t="shared" si="22"/>
        <v>16.555799999999998</v>
      </c>
      <c r="BE95">
        <f t="shared" si="23"/>
        <v>5.4313619711999994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32.311199999999999</v>
      </c>
      <c r="I96" s="22">
        <v>-1.6030900000000001E-2</v>
      </c>
      <c r="J96" s="22">
        <v>86</v>
      </c>
      <c r="K96" s="22">
        <v>1.41571</v>
      </c>
      <c r="L96">
        <f t="shared" si="12"/>
        <v>16.030899999999999</v>
      </c>
      <c r="M96">
        <f t="shared" si="13"/>
        <v>22.714663136999999</v>
      </c>
      <c r="N96" s="9"/>
      <c r="O96" s="22">
        <v>0.33309899999999998</v>
      </c>
      <c r="P96" s="22">
        <v>87.706999999999994</v>
      </c>
      <c r="Q96" s="22">
        <v>-1.7297400000000001E-2</v>
      </c>
      <c r="R96" s="22">
        <v>86</v>
      </c>
      <c r="S96" s="22">
        <v>0.33258100000000002</v>
      </c>
      <c r="T96">
        <f t="shared" si="14"/>
        <v>17.2974</v>
      </c>
      <c r="U96">
        <f t="shared" si="15"/>
        <v>5.7617466425999995</v>
      </c>
      <c r="X96" s="9"/>
      <c r="Y96" s="22">
        <v>1.41693</v>
      </c>
      <c r="Z96" s="22">
        <v>149.66399999999999</v>
      </c>
      <c r="AA96" s="22">
        <v>-1.59119E-2</v>
      </c>
      <c r="AB96" s="22">
        <v>86</v>
      </c>
      <c r="AC96" s="22">
        <v>1.41632</v>
      </c>
      <c r="AD96">
        <f t="shared" si="16"/>
        <v>15.911899999999999</v>
      </c>
      <c r="AE96">
        <f t="shared" si="17"/>
        <v>22.546048466999999</v>
      </c>
      <c r="AF96" s="9"/>
      <c r="AG96" s="22">
        <v>0.33309899999999998</v>
      </c>
      <c r="AH96" s="22">
        <v>229.196</v>
      </c>
      <c r="AI96" s="22">
        <v>-1.6830399999999999E-2</v>
      </c>
      <c r="AJ96" s="22">
        <v>86</v>
      </c>
      <c r="AK96" s="22">
        <v>0.33245799999999998</v>
      </c>
      <c r="AL96">
        <f t="shared" si="18"/>
        <v>16.830399999999997</v>
      </c>
      <c r="AM96">
        <f t="shared" si="19"/>
        <v>5.6061894095999989</v>
      </c>
      <c r="AP96" s="9"/>
      <c r="AQ96" s="22">
        <v>1.41693</v>
      </c>
      <c r="AR96" s="22">
        <v>281.613</v>
      </c>
      <c r="AS96" s="22">
        <v>-1.5594500000000001E-2</v>
      </c>
      <c r="AT96" s="22">
        <v>86</v>
      </c>
      <c r="AU96" s="22">
        <v>1.41632</v>
      </c>
      <c r="AV96">
        <f t="shared" si="20"/>
        <v>15.5945</v>
      </c>
      <c r="AW96">
        <f t="shared" si="21"/>
        <v>22.096314885000002</v>
      </c>
      <c r="AX96" s="9"/>
      <c r="AY96" s="22">
        <v>0.33309899999999998</v>
      </c>
      <c r="AZ96" s="22">
        <v>360.84300000000002</v>
      </c>
      <c r="BA96" s="22">
        <v>-1.65649E-2</v>
      </c>
      <c r="BB96" s="22">
        <v>86</v>
      </c>
      <c r="BC96" s="22">
        <v>0.33251999999999998</v>
      </c>
      <c r="BD96">
        <f t="shared" si="22"/>
        <v>16.564900000000002</v>
      </c>
      <c r="BE96">
        <f t="shared" si="23"/>
        <v>5.5177516250999998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32.411900000000003</v>
      </c>
      <c r="I97" s="22">
        <v>-1.6064499999999999E-2</v>
      </c>
      <c r="J97" s="22">
        <v>87</v>
      </c>
      <c r="K97" s="22">
        <v>1.41144</v>
      </c>
      <c r="L97">
        <f t="shared" si="12"/>
        <v>16.064499999999999</v>
      </c>
      <c r="M97">
        <f t="shared" si="13"/>
        <v>22.681467549999997</v>
      </c>
      <c r="N97" s="9"/>
      <c r="O97" s="22">
        <v>0.33813500000000002</v>
      </c>
      <c r="P97" s="22">
        <v>87.807699999999997</v>
      </c>
      <c r="Q97" s="22">
        <v>-1.7251599999999999E-2</v>
      </c>
      <c r="R97" s="22">
        <v>87</v>
      </c>
      <c r="S97" s="22">
        <v>0.33755499999999999</v>
      </c>
      <c r="T97">
        <f t="shared" si="14"/>
        <v>17.2516</v>
      </c>
      <c r="U97">
        <f t="shared" si="15"/>
        <v>5.8333697660000006</v>
      </c>
      <c r="X97" s="9"/>
      <c r="Y97" s="22">
        <v>1.4118999999999999</v>
      </c>
      <c r="Z97" s="22">
        <v>149.76499999999999</v>
      </c>
      <c r="AA97" s="22">
        <v>-1.5948500000000001E-2</v>
      </c>
      <c r="AB97" s="22">
        <v>87</v>
      </c>
      <c r="AC97" s="22">
        <v>1.41144</v>
      </c>
      <c r="AD97">
        <f t="shared" si="16"/>
        <v>15.948500000000001</v>
      </c>
      <c r="AE97">
        <f t="shared" si="17"/>
        <v>22.51768715</v>
      </c>
      <c r="AF97" s="9"/>
      <c r="AG97" s="22">
        <v>0.33813500000000002</v>
      </c>
      <c r="AH97" s="22">
        <v>229.297</v>
      </c>
      <c r="AI97" s="22">
        <v>-1.68243E-2</v>
      </c>
      <c r="AJ97" s="22">
        <v>87</v>
      </c>
      <c r="AK97" s="22">
        <v>0.33761600000000003</v>
      </c>
      <c r="AL97">
        <f t="shared" si="18"/>
        <v>16.824300000000001</v>
      </c>
      <c r="AM97">
        <f t="shared" si="19"/>
        <v>5.6888846805000011</v>
      </c>
      <c r="AP97" s="9"/>
      <c r="AQ97" s="22">
        <v>1.4118999999999999</v>
      </c>
      <c r="AR97" s="22">
        <v>281.714</v>
      </c>
      <c r="AS97" s="22">
        <v>-1.5621899999999999E-2</v>
      </c>
      <c r="AT97" s="22">
        <v>87</v>
      </c>
      <c r="AU97" s="22">
        <v>1.41113</v>
      </c>
      <c r="AV97">
        <f t="shared" si="20"/>
        <v>15.6219</v>
      </c>
      <c r="AW97">
        <f t="shared" si="21"/>
        <v>22.056560609999998</v>
      </c>
      <c r="AX97" s="9"/>
      <c r="AY97" s="22">
        <v>0.33813500000000002</v>
      </c>
      <c r="AZ97" s="22">
        <v>360.94400000000002</v>
      </c>
      <c r="BA97" s="22">
        <v>-1.6546600000000002E-2</v>
      </c>
      <c r="BB97" s="22">
        <v>87</v>
      </c>
      <c r="BC97" s="22">
        <v>0.337646</v>
      </c>
      <c r="BD97">
        <f t="shared" si="22"/>
        <v>16.546600000000002</v>
      </c>
      <c r="BE97">
        <f t="shared" si="23"/>
        <v>5.5949845910000011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32.512599999999999</v>
      </c>
      <c r="I98" s="22">
        <v>-1.6082800000000001E-2</v>
      </c>
      <c r="J98" s="22">
        <v>88</v>
      </c>
      <c r="K98" s="22">
        <v>1.40564</v>
      </c>
      <c r="L98">
        <f t="shared" si="12"/>
        <v>16.082800000000002</v>
      </c>
      <c r="M98">
        <f t="shared" si="13"/>
        <v>22.626248008000005</v>
      </c>
      <c r="N98" s="9"/>
      <c r="O98" s="22">
        <v>0.34316999999999998</v>
      </c>
      <c r="P98" s="22">
        <v>87.908500000000004</v>
      </c>
      <c r="Q98" s="22">
        <v>-1.7251599999999999E-2</v>
      </c>
      <c r="R98" s="22">
        <v>88</v>
      </c>
      <c r="S98" s="22">
        <v>0.34262100000000001</v>
      </c>
      <c r="T98">
        <f t="shared" si="14"/>
        <v>17.2516</v>
      </c>
      <c r="U98">
        <f t="shared" si="15"/>
        <v>5.9202315719999996</v>
      </c>
      <c r="X98" s="9"/>
      <c r="Y98" s="22">
        <v>1.40686</v>
      </c>
      <c r="Z98" s="22">
        <v>149.86500000000001</v>
      </c>
      <c r="AA98" s="22">
        <v>-1.5979E-2</v>
      </c>
      <c r="AB98" s="22">
        <v>88</v>
      </c>
      <c r="AC98" s="22">
        <v>1.40594</v>
      </c>
      <c r="AD98">
        <f t="shared" si="16"/>
        <v>15.979000000000001</v>
      </c>
      <c r="AE98">
        <f t="shared" si="17"/>
        <v>22.480215940000001</v>
      </c>
      <c r="AF98" s="9"/>
      <c r="AG98" s="22">
        <v>0.34316999999999998</v>
      </c>
      <c r="AH98" s="22">
        <v>229.398</v>
      </c>
      <c r="AI98" s="22">
        <v>-1.68243E-2</v>
      </c>
      <c r="AJ98" s="22">
        <v>88</v>
      </c>
      <c r="AK98" s="22">
        <v>0.34262100000000001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281.815</v>
      </c>
      <c r="AS98" s="22">
        <v>-1.56677E-2</v>
      </c>
      <c r="AT98" s="22">
        <v>88</v>
      </c>
      <c r="AU98" s="22">
        <v>1.40625</v>
      </c>
      <c r="AV98">
        <f t="shared" si="20"/>
        <v>15.6677</v>
      </c>
      <c r="AW98">
        <f t="shared" si="21"/>
        <v>22.042260421999998</v>
      </c>
      <c r="AX98" s="9"/>
      <c r="AY98" s="22">
        <v>0.34316999999999998</v>
      </c>
      <c r="AZ98" s="22">
        <v>361.04500000000002</v>
      </c>
      <c r="BA98" s="22">
        <v>-1.6574100000000001E-2</v>
      </c>
      <c r="BB98" s="22">
        <v>88</v>
      </c>
      <c r="BC98" s="22">
        <v>0.34255999999999998</v>
      </c>
      <c r="BD98">
        <f t="shared" si="22"/>
        <v>16.574100000000001</v>
      </c>
      <c r="BE98">
        <f t="shared" si="23"/>
        <v>5.6877338970000002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32.613300000000002</v>
      </c>
      <c r="I99" s="22">
        <v>-1.6107199999999999E-2</v>
      </c>
      <c r="J99" s="22">
        <v>89</v>
      </c>
      <c r="K99" s="22">
        <v>1.40106</v>
      </c>
      <c r="L99">
        <f t="shared" si="12"/>
        <v>16.107199999999999</v>
      </c>
      <c r="M99">
        <f t="shared" si="13"/>
        <v>22.579395104</v>
      </c>
      <c r="N99" s="9"/>
      <c r="O99" s="22">
        <v>0.34820600000000002</v>
      </c>
      <c r="P99" s="22">
        <v>88.009200000000007</v>
      </c>
      <c r="Q99" s="22">
        <v>-1.7257700000000001E-2</v>
      </c>
      <c r="R99" s="22">
        <v>89</v>
      </c>
      <c r="S99" s="22">
        <v>0.34756500000000001</v>
      </c>
      <c r="T99">
        <f t="shared" si="14"/>
        <v>17.2577</v>
      </c>
      <c r="U99">
        <f t="shared" si="15"/>
        <v>6.0092346862000001</v>
      </c>
      <c r="X99" s="9"/>
      <c r="Y99" s="22">
        <v>1.4018200000000001</v>
      </c>
      <c r="Z99" s="22">
        <v>149.96600000000001</v>
      </c>
      <c r="AA99" s="22">
        <v>-1.6015600000000001E-2</v>
      </c>
      <c r="AB99" s="22">
        <v>89</v>
      </c>
      <c r="AC99" s="22">
        <v>1.40076</v>
      </c>
      <c r="AD99">
        <f t="shared" si="16"/>
        <v>16.015600000000003</v>
      </c>
      <c r="AE99">
        <f t="shared" si="17"/>
        <v>22.450988392000006</v>
      </c>
      <c r="AF99" s="9"/>
      <c r="AG99" s="22">
        <v>0.34820600000000002</v>
      </c>
      <c r="AH99" s="22">
        <v>229.49799999999999</v>
      </c>
      <c r="AI99" s="22">
        <v>-1.68243E-2</v>
      </c>
      <c r="AJ99" s="22">
        <v>89</v>
      </c>
      <c r="AK99" s="22">
        <v>0.34756500000000001</v>
      </c>
      <c r="AL99">
        <f t="shared" si="18"/>
        <v>16.824300000000001</v>
      </c>
      <c r="AM99">
        <f t="shared" si="19"/>
        <v>5.8583222058000004</v>
      </c>
      <c r="AP99" s="9"/>
      <c r="AQ99" s="22">
        <v>1.4018200000000001</v>
      </c>
      <c r="AR99" s="22">
        <v>281.91500000000002</v>
      </c>
      <c r="AS99" s="22">
        <v>-1.5655499999999999E-2</v>
      </c>
      <c r="AT99" s="22">
        <v>89</v>
      </c>
      <c r="AU99" s="22">
        <v>1.40137</v>
      </c>
      <c r="AV99">
        <f t="shared" si="20"/>
        <v>15.6555</v>
      </c>
      <c r="AW99">
        <f t="shared" si="21"/>
        <v>21.946193010000002</v>
      </c>
      <c r="AX99" s="9"/>
      <c r="AY99" s="22">
        <v>0.34820600000000002</v>
      </c>
      <c r="AZ99" s="22">
        <v>361.14600000000002</v>
      </c>
      <c r="BA99" s="22">
        <v>-1.6589400000000001E-2</v>
      </c>
      <c r="BB99" s="22">
        <v>89</v>
      </c>
      <c r="BC99" s="22">
        <v>0.34759499999999999</v>
      </c>
      <c r="BD99">
        <f t="shared" si="22"/>
        <v>16.589400000000001</v>
      </c>
      <c r="BE99">
        <f t="shared" si="23"/>
        <v>5.7765286164000003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32.713999999999999</v>
      </c>
      <c r="I100" s="22">
        <v>-1.6149899999999998E-2</v>
      </c>
      <c r="J100" s="22">
        <v>90</v>
      </c>
      <c r="K100" s="22">
        <v>1.3958699999999999</v>
      </c>
      <c r="L100">
        <f t="shared" si="12"/>
        <v>16.149899999999999</v>
      </c>
      <c r="M100">
        <f t="shared" si="13"/>
        <v>22.558018820999997</v>
      </c>
      <c r="N100" s="9"/>
      <c r="O100" s="22">
        <v>0.35324100000000003</v>
      </c>
      <c r="P100" s="22">
        <v>88.109899999999996</v>
      </c>
      <c r="Q100" s="22">
        <v>-1.7257700000000001E-2</v>
      </c>
      <c r="R100" s="22">
        <v>90</v>
      </c>
      <c r="S100" s="22">
        <v>0.35263100000000003</v>
      </c>
      <c r="T100">
        <f t="shared" si="14"/>
        <v>17.2577</v>
      </c>
      <c r="U100">
        <f t="shared" si="15"/>
        <v>6.0961272057000002</v>
      </c>
      <c r="X100" s="9"/>
      <c r="Y100" s="22">
        <v>1.39679</v>
      </c>
      <c r="Z100" s="22">
        <v>150.06700000000001</v>
      </c>
      <c r="AA100" s="22">
        <v>-1.6058300000000001E-2</v>
      </c>
      <c r="AB100" s="22">
        <v>90</v>
      </c>
      <c r="AC100" s="22">
        <v>1.3964799999999999</v>
      </c>
      <c r="AD100">
        <f t="shared" si="16"/>
        <v>16.058300000000003</v>
      </c>
      <c r="AE100">
        <f t="shared" si="17"/>
        <v>22.430072857000003</v>
      </c>
      <c r="AF100" s="9"/>
      <c r="AG100" s="22">
        <v>0.35324100000000003</v>
      </c>
      <c r="AH100" s="22">
        <v>229.59899999999999</v>
      </c>
      <c r="AI100" s="22">
        <v>-1.6818199999999998E-2</v>
      </c>
      <c r="AJ100" s="22">
        <v>90</v>
      </c>
      <c r="AK100" s="22">
        <v>0.35256999999999999</v>
      </c>
      <c r="AL100">
        <f t="shared" si="18"/>
        <v>16.818199999999997</v>
      </c>
      <c r="AM100">
        <f t="shared" si="19"/>
        <v>5.9408777861999997</v>
      </c>
      <c r="AP100" s="9"/>
      <c r="AQ100" s="22">
        <v>1.39679</v>
      </c>
      <c r="AR100" s="22">
        <v>282.01600000000002</v>
      </c>
      <c r="AS100" s="22">
        <v>-1.56921E-2</v>
      </c>
      <c r="AT100" s="22">
        <v>90</v>
      </c>
      <c r="AU100" s="22">
        <v>1.3958699999999999</v>
      </c>
      <c r="AV100">
        <f t="shared" si="20"/>
        <v>15.6921</v>
      </c>
      <c r="AW100">
        <f t="shared" si="21"/>
        <v>21.918568358999998</v>
      </c>
      <c r="AX100" s="9"/>
      <c r="AY100" s="22">
        <v>0.35324100000000003</v>
      </c>
      <c r="AZ100" s="22">
        <v>361.24599999999998</v>
      </c>
      <c r="BA100" s="22">
        <v>-1.6616800000000001E-2</v>
      </c>
      <c r="BB100" s="22">
        <v>90</v>
      </c>
      <c r="BC100" s="22">
        <v>0.35263100000000003</v>
      </c>
      <c r="BD100">
        <f t="shared" si="22"/>
        <v>16.616800000000001</v>
      </c>
      <c r="BE100">
        <f t="shared" si="23"/>
        <v>5.8697350488000009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32.814700000000002</v>
      </c>
      <c r="I101" s="22">
        <v>-1.6192600000000001E-2</v>
      </c>
      <c r="J101" s="22">
        <v>91</v>
      </c>
      <c r="K101" s="22">
        <v>1.39069</v>
      </c>
      <c r="L101">
        <f t="shared" si="12"/>
        <v>16.192600000000002</v>
      </c>
      <c r="M101">
        <f t="shared" si="13"/>
        <v>22.536051050000005</v>
      </c>
      <c r="N101" s="9"/>
      <c r="O101" s="22">
        <v>0.35827599999999998</v>
      </c>
      <c r="P101" s="22">
        <v>88.210599999999999</v>
      </c>
      <c r="Q101" s="22">
        <v>-1.7276E-2</v>
      </c>
      <c r="R101" s="22">
        <v>91</v>
      </c>
      <c r="S101" s="22">
        <v>0.35763499999999998</v>
      </c>
      <c r="T101">
        <f t="shared" si="14"/>
        <v>17.276</v>
      </c>
      <c r="U101">
        <f t="shared" si="15"/>
        <v>6.1895761759999992</v>
      </c>
      <c r="X101" s="9"/>
      <c r="Y101" s="22">
        <v>1.39175</v>
      </c>
      <c r="Z101" s="22">
        <v>150.16800000000001</v>
      </c>
      <c r="AA101" s="22">
        <v>-1.6039999999999999E-2</v>
      </c>
      <c r="AB101" s="22">
        <v>91</v>
      </c>
      <c r="AC101" s="22">
        <v>1.3909899999999999</v>
      </c>
      <c r="AD101">
        <f t="shared" si="16"/>
        <v>16.04</v>
      </c>
      <c r="AE101">
        <f t="shared" si="17"/>
        <v>22.32367</v>
      </c>
      <c r="AF101" s="9"/>
      <c r="AG101" s="22">
        <v>0.35827599999999998</v>
      </c>
      <c r="AH101" s="22">
        <v>229.7</v>
      </c>
      <c r="AI101" s="22">
        <v>-1.6815199999999999E-2</v>
      </c>
      <c r="AJ101" s="22">
        <v>91</v>
      </c>
      <c r="AK101" s="22">
        <v>0.35766599999999998</v>
      </c>
      <c r="AL101">
        <f t="shared" si="18"/>
        <v>16.815199999999997</v>
      </c>
      <c r="AM101">
        <f t="shared" si="19"/>
        <v>6.0244825951999985</v>
      </c>
      <c r="AP101" s="9"/>
      <c r="AQ101" s="22">
        <v>1.39175</v>
      </c>
      <c r="AR101" s="22">
        <v>282.11700000000002</v>
      </c>
      <c r="AS101" s="22">
        <v>-1.5753199999999998E-2</v>
      </c>
      <c r="AT101" s="22">
        <v>91</v>
      </c>
      <c r="AU101" s="22">
        <v>1.3909899999999999</v>
      </c>
      <c r="AV101">
        <f t="shared" si="20"/>
        <v>15.753199999999998</v>
      </c>
      <c r="AW101">
        <f t="shared" si="21"/>
        <v>21.924516099999998</v>
      </c>
      <c r="AX101" s="9"/>
      <c r="AY101" s="22">
        <v>0.35827599999999998</v>
      </c>
      <c r="AZ101" s="22">
        <v>361.34699999999998</v>
      </c>
      <c r="BA101" s="22">
        <v>-1.6583299999999999E-2</v>
      </c>
      <c r="BB101" s="22">
        <v>91</v>
      </c>
      <c r="BC101" s="22">
        <v>0.35763499999999998</v>
      </c>
      <c r="BD101">
        <f t="shared" si="22"/>
        <v>16.583299999999998</v>
      </c>
      <c r="BE101">
        <f t="shared" si="23"/>
        <v>5.941398390799999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32.915399999999998</v>
      </c>
      <c r="I102" s="22">
        <v>-1.6204799999999998E-2</v>
      </c>
      <c r="J102" s="22">
        <v>92</v>
      </c>
      <c r="K102" s="22">
        <v>1.38611</v>
      </c>
      <c r="L102">
        <f t="shared" si="12"/>
        <v>16.204799999999999</v>
      </c>
      <c r="M102">
        <f t="shared" si="13"/>
        <v>22.471520255999998</v>
      </c>
      <c r="N102" s="9"/>
      <c r="O102" s="22">
        <v>0.36331200000000002</v>
      </c>
      <c r="P102" s="22">
        <v>88.311300000000003</v>
      </c>
      <c r="Q102" s="22">
        <v>-1.7254599999999998E-2</v>
      </c>
      <c r="R102" s="22">
        <v>92</v>
      </c>
      <c r="S102" s="22">
        <v>0.36267100000000002</v>
      </c>
      <c r="T102">
        <f t="shared" si="14"/>
        <v>17.2546</v>
      </c>
      <c r="U102">
        <f t="shared" si="15"/>
        <v>6.2688032352</v>
      </c>
      <c r="X102" s="9"/>
      <c r="Y102" s="22">
        <v>1.38672</v>
      </c>
      <c r="Z102" s="22">
        <v>150.268</v>
      </c>
      <c r="AA102" s="22">
        <v>-1.6052199999999999E-2</v>
      </c>
      <c r="AB102" s="22">
        <v>92</v>
      </c>
      <c r="AC102" s="22">
        <v>1.3857999999999999</v>
      </c>
      <c r="AD102">
        <f t="shared" si="16"/>
        <v>16.052199999999999</v>
      </c>
      <c r="AE102">
        <f t="shared" si="17"/>
        <v>22.259906783999998</v>
      </c>
      <c r="AF102" s="9"/>
      <c r="AG102" s="22">
        <v>0.36331200000000002</v>
      </c>
      <c r="AH102" s="22">
        <v>229.80099999999999</v>
      </c>
      <c r="AI102" s="22">
        <v>-1.6821300000000001E-2</v>
      </c>
      <c r="AJ102" s="22">
        <v>92</v>
      </c>
      <c r="AK102" s="22">
        <v>0.362732</v>
      </c>
      <c r="AL102">
        <f t="shared" si="18"/>
        <v>16.821300000000001</v>
      </c>
      <c r="AM102">
        <f t="shared" si="19"/>
        <v>6.111380145600001</v>
      </c>
      <c r="AP102" s="9"/>
      <c r="AQ102" s="22">
        <v>1.38672</v>
      </c>
      <c r="AR102" s="22">
        <v>282.21699999999998</v>
      </c>
      <c r="AS102" s="22">
        <v>-1.5771500000000001E-2</v>
      </c>
      <c r="AT102" s="22">
        <v>92</v>
      </c>
      <c r="AU102" s="22">
        <v>1.38611</v>
      </c>
      <c r="AV102">
        <f t="shared" si="20"/>
        <v>15.771500000000001</v>
      </c>
      <c r="AW102">
        <f t="shared" si="21"/>
        <v>21.870654480000002</v>
      </c>
      <c r="AX102" s="9"/>
      <c r="AY102" s="22">
        <v>0.36331200000000002</v>
      </c>
      <c r="AZ102" s="22">
        <v>361.44799999999998</v>
      </c>
      <c r="BA102" s="22">
        <v>-1.6570999999999999E-2</v>
      </c>
      <c r="BB102" s="22">
        <v>92</v>
      </c>
      <c r="BC102" s="22">
        <v>0.36267100000000002</v>
      </c>
      <c r="BD102">
        <f t="shared" si="22"/>
        <v>16.570999999999998</v>
      </c>
      <c r="BE102">
        <f t="shared" si="23"/>
        <v>6.0204431519999995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33.016100000000002</v>
      </c>
      <c r="I103" s="22">
        <v>-1.62384E-2</v>
      </c>
      <c r="J103" s="22">
        <v>93</v>
      </c>
      <c r="K103" s="22">
        <v>1.38123</v>
      </c>
      <c r="L103">
        <f t="shared" si="12"/>
        <v>16.238399999999999</v>
      </c>
      <c r="M103">
        <f t="shared" si="13"/>
        <v>22.436272511999999</v>
      </c>
      <c r="N103" s="9"/>
      <c r="O103" s="22">
        <v>0.36834699999999998</v>
      </c>
      <c r="P103" s="22">
        <v>88.412000000000006</v>
      </c>
      <c r="Q103" s="22">
        <v>-1.72485E-2</v>
      </c>
      <c r="R103" s="22">
        <v>93</v>
      </c>
      <c r="S103" s="22">
        <v>0.367676</v>
      </c>
      <c r="T103">
        <f t="shared" si="14"/>
        <v>17.2485</v>
      </c>
      <c r="U103">
        <f t="shared" si="15"/>
        <v>6.3534332294999993</v>
      </c>
      <c r="X103" s="9"/>
      <c r="Y103" s="22">
        <v>1.38168</v>
      </c>
      <c r="Z103" s="22">
        <v>150.369</v>
      </c>
      <c r="AA103" s="22">
        <v>-1.6085800000000001E-2</v>
      </c>
      <c r="AB103" s="22">
        <v>93</v>
      </c>
      <c r="AC103" s="22">
        <v>1.3809199999999999</v>
      </c>
      <c r="AD103">
        <f t="shared" si="16"/>
        <v>16.085800000000003</v>
      </c>
      <c r="AE103">
        <f t="shared" si="17"/>
        <v>22.225428144000002</v>
      </c>
      <c r="AF103" s="9"/>
      <c r="AG103" s="22">
        <v>0.36834699999999998</v>
      </c>
      <c r="AH103" s="22">
        <v>229.90100000000001</v>
      </c>
      <c r="AI103" s="22">
        <v>-1.6802999999999998E-2</v>
      </c>
      <c r="AJ103" s="22">
        <v>93</v>
      </c>
      <c r="AK103" s="22">
        <v>0.36773699999999998</v>
      </c>
      <c r="AL103">
        <f t="shared" si="18"/>
        <v>16.802999999999997</v>
      </c>
      <c r="AM103">
        <f t="shared" si="19"/>
        <v>6.1893346409999985</v>
      </c>
      <c r="AP103" s="9"/>
      <c r="AQ103" s="22">
        <v>1.38168</v>
      </c>
      <c r="AR103" s="22">
        <v>282.31799999999998</v>
      </c>
      <c r="AS103" s="22">
        <v>-1.5786700000000001E-2</v>
      </c>
      <c r="AT103" s="22">
        <v>93</v>
      </c>
      <c r="AU103" s="22">
        <v>1.38062</v>
      </c>
      <c r="AV103">
        <f t="shared" si="20"/>
        <v>15.786700000000002</v>
      </c>
      <c r="AW103">
        <f t="shared" si="21"/>
        <v>21.812167656000003</v>
      </c>
      <c r="AX103" s="9"/>
      <c r="AY103" s="22">
        <v>0.36834699999999998</v>
      </c>
      <c r="AZ103" s="22">
        <v>361.548</v>
      </c>
      <c r="BA103" s="22">
        <v>-1.6583299999999999E-2</v>
      </c>
      <c r="BB103" s="22">
        <v>93</v>
      </c>
      <c r="BC103" s="22">
        <v>0.36755399999999999</v>
      </c>
      <c r="BD103">
        <f t="shared" si="22"/>
        <v>16.583299999999998</v>
      </c>
      <c r="BE103">
        <f t="shared" si="23"/>
        <v>6.108408805099999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33.116900000000001</v>
      </c>
      <c r="I104" s="22">
        <v>-1.6244499999999999E-2</v>
      </c>
      <c r="J104" s="22">
        <v>94</v>
      </c>
      <c r="K104" s="22">
        <v>1.3760399999999999</v>
      </c>
      <c r="L104">
        <f t="shared" si="12"/>
        <v>16.244499999999999</v>
      </c>
      <c r="M104">
        <f t="shared" si="13"/>
        <v>22.362990924999998</v>
      </c>
      <c r="N104" s="9"/>
      <c r="O104" s="22">
        <v>0.37338300000000002</v>
      </c>
      <c r="P104" s="22">
        <v>88.512699999999995</v>
      </c>
      <c r="Q104" s="22">
        <v>-1.72607E-2</v>
      </c>
      <c r="R104" s="22">
        <v>94</v>
      </c>
      <c r="S104" s="22">
        <v>0.37277199999999999</v>
      </c>
      <c r="T104">
        <f t="shared" si="14"/>
        <v>17.2607</v>
      </c>
      <c r="U104">
        <f t="shared" si="15"/>
        <v>6.4448519481000002</v>
      </c>
      <c r="X104" s="9"/>
      <c r="Y104" s="22">
        <v>1.3766499999999999</v>
      </c>
      <c r="Z104" s="22">
        <v>150.47</v>
      </c>
      <c r="AA104" s="22">
        <v>-1.6149899999999998E-2</v>
      </c>
      <c r="AB104" s="22">
        <v>94</v>
      </c>
      <c r="AC104" s="22">
        <v>1.3754299999999999</v>
      </c>
      <c r="AD104">
        <f t="shared" si="16"/>
        <v>16.149899999999999</v>
      </c>
      <c r="AE104">
        <f t="shared" si="17"/>
        <v>22.232759834999996</v>
      </c>
      <c r="AF104" s="9"/>
      <c r="AG104" s="22">
        <v>0.37338300000000002</v>
      </c>
      <c r="AH104" s="22">
        <v>230.00200000000001</v>
      </c>
      <c r="AI104" s="22">
        <v>-1.6778600000000001E-2</v>
      </c>
      <c r="AJ104" s="22">
        <v>94</v>
      </c>
      <c r="AK104" s="22">
        <v>0.37277199999999999</v>
      </c>
      <c r="AL104">
        <f t="shared" si="18"/>
        <v>16.778600000000001</v>
      </c>
      <c r="AM104">
        <f t="shared" si="19"/>
        <v>6.2648440038000004</v>
      </c>
      <c r="AP104" s="9"/>
      <c r="AQ104" s="22">
        <v>1.3766499999999999</v>
      </c>
      <c r="AR104" s="22">
        <v>282.41899999999998</v>
      </c>
      <c r="AS104" s="22">
        <v>-1.5826400000000001E-2</v>
      </c>
      <c r="AT104" s="22">
        <v>94</v>
      </c>
      <c r="AU104" s="22">
        <v>1.3757299999999999</v>
      </c>
      <c r="AV104">
        <f t="shared" si="20"/>
        <v>15.826400000000001</v>
      </c>
      <c r="AW104">
        <f t="shared" si="21"/>
        <v>21.787413560000001</v>
      </c>
      <c r="AX104" s="9"/>
      <c r="AY104" s="22">
        <v>0.37338300000000002</v>
      </c>
      <c r="AZ104" s="22">
        <v>361.649</v>
      </c>
      <c r="BA104" s="22">
        <v>-1.66077E-2</v>
      </c>
      <c r="BB104" s="22">
        <v>94</v>
      </c>
      <c r="BC104" s="22">
        <v>0.37262000000000001</v>
      </c>
      <c r="BD104">
        <f t="shared" si="22"/>
        <v>16.607700000000001</v>
      </c>
      <c r="BE104">
        <f t="shared" si="23"/>
        <v>6.2010328491000006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33.217599999999997</v>
      </c>
      <c r="I105" s="22">
        <v>-1.6284199999999999E-2</v>
      </c>
      <c r="J105" s="22">
        <v>95</v>
      </c>
      <c r="K105" s="22">
        <v>1.3708499999999999</v>
      </c>
      <c r="L105">
        <f t="shared" si="12"/>
        <v>16.284199999999998</v>
      </c>
      <c r="M105">
        <f t="shared" si="13"/>
        <v>22.335571561999998</v>
      </c>
      <c r="N105" s="9"/>
      <c r="O105" s="22">
        <v>0.37841799999999998</v>
      </c>
      <c r="P105" s="22">
        <v>88.613399999999999</v>
      </c>
      <c r="Q105" s="22">
        <v>-1.7254599999999998E-2</v>
      </c>
      <c r="R105" s="22">
        <v>95</v>
      </c>
      <c r="S105" s="22">
        <v>0.37777699999999997</v>
      </c>
      <c r="T105">
        <f t="shared" si="14"/>
        <v>17.2546</v>
      </c>
      <c r="U105">
        <f t="shared" si="15"/>
        <v>6.5294512227999997</v>
      </c>
      <c r="X105" s="9"/>
      <c r="Y105" s="22">
        <v>1.37161</v>
      </c>
      <c r="Z105" s="22">
        <v>150.57</v>
      </c>
      <c r="AA105" s="22">
        <v>-1.6146899999999999E-2</v>
      </c>
      <c r="AB105" s="22">
        <v>95</v>
      </c>
      <c r="AC105" s="22">
        <v>1.3708499999999999</v>
      </c>
      <c r="AD105">
        <f t="shared" si="16"/>
        <v>16.146899999999999</v>
      </c>
      <c r="AE105">
        <f t="shared" si="17"/>
        <v>22.147249508999998</v>
      </c>
      <c r="AF105" s="9"/>
      <c r="AG105" s="22">
        <v>0.37841799999999998</v>
      </c>
      <c r="AH105" s="22">
        <v>230.10300000000001</v>
      </c>
      <c r="AI105" s="22">
        <v>-1.68091E-2</v>
      </c>
      <c r="AJ105" s="22">
        <v>95</v>
      </c>
      <c r="AK105" s="22">
        <v>0.37780799999999998</v>
      </c>
      <c r="AL105">
        <f t="shared" si="18"/>
        <v>16.809100000000001</v>
      </c>
      <c r="AM105">
        <f t="shared" si="19"/>
        <v>6.3608660038</v>
      </c>
      <c r="AP105" s="9"/>
      <c r="AQ105" s="22">
        <v>1.37161</v>
      </c>
      <c r="AR105" s="22">
        <v>282.51900000000001</v>
      </c>
      <c r="AS105" s="22">
        <v>-1.5859999999999999E-2</v>
      </c>
      <c r="AT105" s="22">
        <v>95</v>
      </c>
      <c r="AU105" s="22">
        <v>1.3705400000000001</v>
      </c>
      <c r="AV105">
        <f t="shared" si="20"/>
        <v>15.86</v>
      </c>
      <c r="AW105">
        <f t="shared" si="21"/>
        <v>21.753734599999998</v>
      </c>
      <c r="AX105" s="9"/>
      <c r="AY105" s="22">
        <v>0.37841799999999998</v>
      </c>
      <c r="AZ105" s="22">
        <v>361.75</v>
      </c>
      <c r="BA105" s="22">
        <v>-1.6583299999999999E-2</v>
      </c>
      <c r="BB105" s="22">
        <v>95</v>
      </c>
      <c r="BC105" s="22">
        <v>0.377716</v>
      </c>
      <c r="BD105">
        <f t="shared" si="22"/>
        <v>16.583299999999998</v>
      </c>
      <c r="BE105">
        <f t="shared" si="23"/>
        <v>6.2754192193999989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33.318300000000001</v>
      </c>
      <c r="I106" s="22">
        <v>-1.6314700000000001E-2</v>
      </c>
      <c r="J106" s="22">
        <v>96</v>
      </c>
      <c r="K106" s="22">
        <v>1.3665799999999999</v>
      </c>
      <c r="L106">
        <f t="shared" si="12"/>
        <v>16.314700000000002</v>
      </c>
      <c r="M106">
        <f t="shared" si="13"/>
        <v>22.295342726000001</v>
      </c>
      <c r="N106" s="9"/>
      <c r="O106" s="22">
        <v>0.38345299999999999</v>
      </c>
      <c r="P106" s="22">
        <v>88.714100000000002</v>
      </c>
      <c r="Q106" s="22">
        <v>-1.7257700000000001E-2</v>
      </c>
      <c r="R106" s="22">
        <v>96</v>
      </c>
      <c r="S106" s="22">
        <v>0.38284299999999999</v>
      </c>
      <c r="T106">
        <f t="shared" si="14"/>
        <v>17.2577</v>
      </c>
      <c r="U106">
        <f t="shared" si="15"/>
        <v>6.6175168380999994</v>
      </c>
      <c r="X106" s="9"/>
      <c r="Y106" s="22">
        <v>1.3665799999999999</v>
      </c>
      <c r="Z106" s="22">
        <v>150.67099999999999</v>
      </c>
      <c r="AA106" s="22">
        <v>-1.6216999999999999E-2</v>
      </c>
      <c r="AB106" s="22">
        <v>96</v>
      </c>
      <c r="AC106" s="22">
        <v>1.3656600000000001</v>
      </c>
      <c r="AD106">
        <f t="shared" si="16"/>
        <v>16.216999999999999</v>
      </c>
      <c r="AE106">
        <f t="shared" si="17"/>
        <v>22.161827859999995</v>
      </c>
      <c r="AF106" s="9"/>
      <c r="AG106" s="22">
        <v>0.38345299999999999</v>
      </c>
      <c r="AH106" s="22">
        <v>230.203</v>
      </c>
      <c r="AI106" s="22">
        <v>-1.6815199999999999E-2</v>
      </c>
      <c r="AJ106" s="22">
        <v>96</v>
      </c>
      <c r="AK106" s="22">
        <v>0.38284299999999999</v>
      </c>
      <c r="AL106">
        <f t="shared" si="18"/>
        <v>16.815199999999997</v>
      </c>
      <c r="AM106">
        <f t="shared" si="19"/>
        <v>6.4478388855999986</v>
      </c>
      <c r="AP106" s="9"/>
      <c r="AQ106" s="22">
        <v>1.3665799999999999</v>
      </c>
      <c r="AR106" s="22">
        <v>282.62</v>
      </c>
      <c r="AS106" s="22">
        <v>-1.5887499999999999E-2</v>
      </c>
      <c r="AT106" s="22">
        <v>96</v>
      </c>
      <c r="AU106" s="22">
        <v>1.3656600000000001</v>
      </c>
      <c r="AV106">
        <f t="shared" si="20"/>
        <v>15.887499999999999</v>
      </c>
      <c r="AW106">
        <f t="shared" si="21"/>
        <v>21.711539749999996</v>
      </c>
      <c r="AX106" s="9"/>
      <c r="AY106" s="22">
        <v>0.38345299999999999</v>
      </c>
      <c r="AZ106" s="22">
        <v>361.85</v>
      </c>
      <c r="BA106" s="22">
        <v>-1.6558799999999999E-2</v>
      </c>
      <c r="BB106" s="22">
        <v>96</v>
      </c>
      <c r="BC106" s="22">
        <v>0.38281300000000001</v>
      </c>
      <c r="BD106">
        <f t="shared" si="22"/>
        <v>16.558799999999998</v>
      </c>
      <c r="BE106">
        <f t="shared" si="23"/>
        <v>6.3495215363999993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33.418999999999997</v>
      </c>
      <c r="I107" s="22">
        <v>-1.63208E-2</v>
      </c>
      <c r="J107" s="22">
        <v>97</v>
      </c>
      <c r="K107" s="22">
        <v>1.3604700000000001</v>
      </c>
      <c r="L107">
        <f t="shared" si="12"/>
        <v>16.320799999999998</v>
      </c>
      <c r="M107">
        <f t="shared" si="13"/>
        <v>22.221422031999996</v>
      </c>
      <c r="N107" s="9"/>
      <c r="O107" s="22">
        <v>0.38848899999999997</v>
      </c>
      <c r="P107" s="22">
        <v>88.814800000000005</v>
      </c>
      <c r="Q107" s="22">
        <v>-1.72607E-2</v>
      </c>
      <c r="R107" s="22">
        <v>97</v>
      </c>
      <c r="S107" s="22">
        <v>0.387909</v>
      </c>
      <c r="T107">
        <f t="shared" si="14"/>
        <v>17.2607</v>
      </c>
      <c r="U107">
        <f t="shared" si="15"/>
        <v>6.7055920822999999</v>
      </c>
      <c r="X107" s="9"/>
      <c r="Y107" s="22">
        <v>1.36154</v>
      </c>
      <c r="Z107" s="22">
        <v>150.77199999999999</v>
      </c>
      <c r="AA107" s="22">
        <v>-1.6213999999999999E-2</v>
      </c>
      <c r="AB107" s="22">
        <v>97</v>
      </c>
      <c r="AC107" s="22">
        <v>1.3607800000000001</v>
      </c>
      <c r="AD107">
        <f t="shared" si="16"/>
        <v>16.213999999999999</v>
      </c>
      <c r="AE107">
        <f t="shared" si="17"/>
        <v>22.076009559999999</v>
      </c>
      <c r="AF107" s="9"/>
      <c r="AG107" s="22">
        <v>0.38848899999999997</v>
      </c>
      <c r="AH107" s="22">
        <v>230.304</v>
      </c>
      <c r="AI107" s="22">
        <v>-1.67694E-2</v>
      </c>
      <c r="AJ107" s="22">
        <v>97</v>
      </c>
      <c r="AK107" s="22">
        <v>0.38784800000000003</v>
      </c>
      <c r="AL107">
        <f t="shared" si="18"/>
        <v>16.769400000000001</v>
      </c>
      <c r="AM107">
        <f t="shared" si="19"/>
        <v>6.5147274366000003</v>
      </c>
      <c r="AP107" s="9"/>
      <c r="AQ107" s="22">
        <v>1.36154</v>
      </c>
      <c r="AR107" s="22">
        <v>282.721</v>
      </c>
      <c r="AS107" s="22">
        <v>-1.58966E-2</v>
      </c>
      <c r="AT107" s="22">
        <v>97</v>
      </c>
      <c r="AU107" s="22">
        <v>1.3610800000000001</v>
      </c>
      <c r="AV107">
        <f t="shared" si="20"/>
        <v>15.896600000000001</v>
      </c>
      <c r="AW107">
        <f t="shared" si="21"/>
        <v>21.643856764000002</v>
      </c>
      <c r="AX107" s="9"/>
      <c r="AY107" s="22">
        <v>0.38848899999999997</v>
      </c>
      <c r="AZ107" s="22">
        <v>361.95100000000002</v>
      </c>
      <c r="BA107" s="22">
        <v>-1.6558799999999999E-2</v>
      </c>
      <c r="BB107" s="22">
        <v>97</v>
      </c>
      <c r="BC107" s="22">
        <v>0.387909</v>
      </c>
      <c r="BD107">
        <f t="shared" si="22"/>
        <v>16.558799999999998</v>
      </c>
      <c r="BE107">
        <f t="shared" si="23"/>
        <v>6.4329116531999988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33.5197</v>
      </c>
      <c r="I108" s="22">
        <v>-1.63483E-2</v>
      </c>
      <c r="J108" s="22">
        <v>98</v>
      </c>
      <c r="K108" s="22">
        <v>1.3562000000000001</v>
      </c>
      <c r="L108">
        <f t="shared" si="12"/>
        <v>16.348299999999998</v>
      </c>
      <c r="M108">
        <f t="shared" si="13"/>
        <v>22.176632432999998</v>
      </c>
      <c r="N108" s="9"/>
      <c r="O108" s="22">
        <v>0.39352399999999998</v>
      </c>
      <c r="P108" s="22">
        <v>88.915499999999994</v>
      </c>
      <c r="Q108" s="22">
        <v>-1.72607E-2</v>
      </c>
      <c r="R108" s="22">
        <v>98</v>
      </c>
      <c r="S108" s="22">
        <v>0.39300499999999999</v>
      </c>
      <c r="T108">
        <f t="shared" si="14"/>
        <v>17.2607</v>
      </c>
      <c r="U108">
        <f t="shared" si="15"/>
        <v>6.7924997068000001</v>
      </c>
      <c r="X108" s="9"/>
      <c r="Y108" s="22">
        <v>1.3565100000000001</v>
      </c>
      <c r="Z108" s="22">
        <v>150.87200000000001</v>
      </c>
      <c r="AA108" s="22">
        <v>-1.6235400000000001E-2</v>
      </c>
      <c r="AB108" s="22">
        <v>98</v>
      </c>
      <c r="AC108" s="22">
        <v>1.3549800000000001</v>
      </c>
      <c r="AD108">
        <f t="shared" si="16"/>
        <v>16.235400000000002</v>
      </c>
      <c r="AE108">
        <f t="shared" si="17"/>
        <v>22.023482454000003</v>
      </c>
      <c r="AF108" s="9"/>
      <c r="AG108" s="22">
        <v>0.39352399999999998</v>
      </c>
      <c r="AH108" s="22">
        <v>230.405</v>
      </c>
      <c r="AI108" s="22">
        <v>-1.6732799999999999E-2</v>
      </c>
      <c r="AJ108" s="22">
        <v>98</v>
      </c>
      <c r="AK108" s="22">
        <v>0.39294400000000002</v>
      </c>
      <c r="AL108">
        <f t="shared" si="18"/>
        <v>16.732799999999997</v>
      </c>
      <c r="AM108">
        <f t="shared" si="19"/>
        <v>6.5847583871999991</v>
      </c>
      <c r="AP108" s="9"/>
      <c r="AQ108" s="22">
        <v>1.3565100000000001</v>
      </c>
      <c r="AR108" s="22">
        <v>282.822</v>
      </c>
      <c r="AS108" s="22">
        <v>-1.5957599999999999E-2</v>
      </c>
      <c r="AT108" s="22">
        <v>98</v>
      </c>
      <c r="AU108" s="22">
        <v>1.3555900000000001</v>
      </c>
      <c r="AV108">
        <f t="shared" si="20"/>
        <v>15.957599999999999</v>
      </c>
      <c r="AW108">
        <f t="shared" si="21"/>
        <v>21.646643976</v>
      </c>
      <c r="AX108" s="9"/>
      <c r="AY108" s="22">
        <v>0.39352399999999998</v>
      </c>
      <c r="AZ108" s="22">
        <v>362.05200000000002</v>
      </c>
      <c r="BA108" s="22">
        <v>-1.6570999999999999E-2</v>
      </c>
      <c r="BB108" s="22">
        <v>98</v>
      </c>
      <c r="BC108" s="22">
        <v>0.39285300000000001</v>
      </c>
      <c r="BD108">
        <f t="shared" si="22"/>
        <v>16.570999999999998</v>
      </c>
      <c r="BE108">
        <f t="shared" si="23"/>
        <v>6.5210862039999986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33.620399999999997</v>
      </c>
      <c r="I109" s="22">
        <v>-1.6369600000000002E-2</v>
      </c>
      <c r="J109" s="22">
        <v>99</v>
      </c>
      <c r="K109" s="22">
        <v>1.3504</v>
      </c>
      <c r="L109">
        <f t="shared" si="12"/>
        <v>16.369600000000002</v>
      </c>
      <c r="M109">
        <f t="shared" si="13"/>
        <v>22.123023312000001</v>
      </c>
      <c r="N109" s="9"/>
      <c r="O109" s="22">
        <v>0.39856000000000003</v>
      </c>
      <c r="P109" s="22">
        <v>89.016199999999998</v>
      </c>
      <c r="Q109" s="22">
        <v>-1.7242400000000001E-2</v>
      </c>
      <c r="R109" s="22">
        <v>99</v>
      </c>
      <c r="S109" s="22">
        <v>0.39800999999999997</v>
      </c>
      <c r="T109">
        <f t="shared" si="14"/>
        <v>17.2424</v>
      </c>
      <c r="U109">
        <f t="shared" si="15"/>
        <v>6.8721309440000002</v>
      </c>
      <c r="X109" s="9"/>
      <c r="Y109" s="22">
        <v>1.3514699999999999</v>
      </c>
      <c r="Z109" s="22">
        <v>150.97300000000001</v>
      </c>
      <c r="AA109" s="22">
        <v>-1.6253699999999999E-2</v>
      </c>
      <c r="AB109" s="22">
        <v>99</v>
      </c>
      <c r="AC109" s="22">
        <v>1.3504</v>
      </c>
      <c r="AD109">
        <f t="shared" si="16"/>
        <v>16.253699999999998</v>
      </c>
      <c r="AE109">
        <f t="shared" si="17"/>
        <v>21.966387938999997</v>
      </c>
      <c r="AF109" s="9"/>
      <c r="AG109" s="22">
        <v>0.39856000000000003</v>
      </c>
      <c r="AH109" s="22">
        <v>230.506</v>
      </c>
      <c r="AI109" s="22">
        <v>-1.67694E-2</v>
      </c>
      <c r="AJ109" s="22">
        <v>99</v>
      </c>
      <c r="AK109" s="22">
        <v>0.397949</v>
      </c>
      <c r="AL109">
        <f t="shared" si="18"/>
        <v>16.769400000000001</v>
      </c>
      <c r="AM109">
        <f t="shared" si="19"/>
        <v>6.683612064000001</v>
      </c>
      <c r="AP109" s="9"/>
      <c r="AQ109" s="22">
        <v>1.3514699999999999</v>
      </c>
      <c r="AR109" s="22">
        <v>282.92200000000003</v>
      </c>
      <c r="AS109" s="22">
        <v>-1.6000400000000001E-2</v>
      </c>
      <c r="AT109" s="22">
        <v>99</v>
      </c>
      <c r="AU109" s="22">
        <v>1.3504</v>
      </c>
      <c r="AV109">
        <f t="shared" si="20"/>
        <v>16.000400000000003</v>
      </c>
      <c r="AW109">
        <f t="shared" si="21"/>
        <v>21.624060588000003</v>
      </c>
      <c r="AX109" s="9"/>
      <c r="AY109" s="22">
        <v>0.39856000000000003</v>
      </c>
      <c r="AZ109" s="22">
        <v>362.15300000000002</v>
      </c>
      <c r="BA109" s="22">
        <v>-1.6558799999999999E-2</v>
      </c>
      <c r="BB109" s="22">
        <v>99</v>
      </c>
      <c r="BC109" s="22">
        <v>0.39804099999999998</v>
      </c>
      <c r="BD109">
        <f t="shared" si="22"/>
        <v>16.558799999999998</v>
      </c>
      <c r="BE109">
        <f t="shared" si="23"/>
        <v>6.599675328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33.7211</v>
      </c>
      <c r="I110" s="22">
        <v>-1.6381799999999998E-2</v>
      </c>
      <c r="J110" s="22">
        <v>100</v>
      </c>
      <c r="K110" s="22">
        <v>1.3458300000000001</v>
      </c>
      <c r="L110">
        <f t="shared" si="12"/>
        <v>16.381799999999998</v>
      </c>
      <c r="M110">
        <f t="shared" si="13"/>
        <v>22.057110792</v>
      </c>
      <c r="N110" s="9"/>
      <c r="O110" s="22">
        <v>0.40359499999999998</v>
      </c>
      <c r="P110" s="22">
        <v>89.117000000000004</v>
      </c>
      <c r="Q110" s="22">
        <v>-1.7242400000000001E-2</v>
      </c>
      <c r="R110" s="22">
        <v>100</v>
      </c>
      <c r="S110" s="22">
        <v>0.40298499999999998</v>
      </c>
      <c r="T110">
        <f t="shared" si="14"/>
        <v>17.2424</v>
      </c>
      <c r="U110">
        <f t="shared" si="15"/>
        <v>6.958946428</v>
      </c>
      <c r="X110" s="9"/>
      <c r="Y110" s="22">
        <v>1.3464400000000001</v>
      </c>
      <c r="Z110" s="22">
        <v>151.07400000000001</v>
      </c>
      <c r="AA110" s="22">
        <v>-1.62811E-2</v>
      </c>
      <c r="AB110" s="22">
        <v>100</v>
      </c>
      <c r="AC110" s="22">
        <v>1.34552</v>
      </c>
      <c r="AD110">
        <f t="shared" si="16"/>
        <v>16.281099999999999</v>
      </c>
      <c r="AE110">
        <f t="shared" si="17"/>
        <v>21.921524284</v>
      </c>
      <c r="AF110" s="9"/>
      <c r="AG110" s="22">
        <v>0.40359499999999998</v>
      </c>
      <c r="AH110" s="22">
        <v>230.60599999999999</v>
      </c>
      <c r="AI110" s="22">
        <v>-1.6760299999999999E-2</v>
      </c>
      <c r="AJ110" s="22">
        <v>100</v>
      </c>
      <c r="AK110" s="22">
        <v>0.40298499999999998</v>
      </c>
      <c r="AL110">
        <f t="shared" si="18"/>
        <v>16.760299999999997</v>
      </c>
      <c r="AM110">
        <f t="shared" si="19"/>
        <v>6.764373278499999</v>
      </c>
      <c r="AP110" s="9"/>
      <c r="AQ110" s="22">
        <v>1.3464400000000001</v>
      </c>
      <c r="AR110" s="22">
        <v>283.02300000000002</v>
      </c>
      <c r="AS110" s="22">
        <v>-1.5997299999999999E-2</v>
      </c>
      <c r="AT110" s="22">
        <v>100</v>
      </c>
      <c r="AU110" s="22">
        <v>1.3458300000000001</v>
      </c>
      <c r="AV110">
        <f t="shared" si="20"/>
        <v>15.997299999999999</v>
      </c>
      <c r="AW110">
        <f t="shared" si="21"/>
        <v>21.539404611999998</v>
      </c>
      <c r="AX110" s="9"/>
      <c r="AY110" s="22">
        <v>0.40359499999999998</v>
      </c>
      <c r="AZ110" s="22">
        <v>362.25299999999999</v>
      </c>
      <c r="BA110" s="22">
        <v>-1.6531400000000002E-2</v>
      </c>
      <c r="BB110" s="22">
        <v>100</v>
      </c>
      <c r="BC110" s="22">
        <v>0.40298499999999998</v>
      </c>
      <c r="BD110">
        <f t="shared" si="22"/>
        <v>16.531400000000001</v>
      </c>
      <c r="BE110">
        <f t="shared" si="23"/>
        <v>6.6719903830000007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33.821800000000003</v>
      </c>
      <c r="I111" s="22">
        <v>-1.64154E-2</v>
      </c>
      <c r="J111" s="22">
        <v>101</v>
      </c>
      <c r="K111" s="22">
        <v>1.3406400000000001</v>
      </c>
      <c r="L111">
        <f t="shared" si="12"/>
        <v>16.415400000000002</v>
      </c>
      <c r="M111">
        <f t="shared" si="13"/>
        <v>22.01961756</v>
      </c>
      <c r="N111" s="9"/>
      <c r="O111" s="22">
        <v>0.40862999999999999</v>
      </c>
      <c r="P111" s="22">
        <v>89.217699999999994</v>
      </c>
      <c r="Q111" s="22">
        <v>-1.72607E-2</v>
      </c>
      <c r="R111" s="22">
        <v>101</v>
      </c>
      <c r="S111" s="22">
        <v>0.40799000000000002</v>
      </c>
      <c r="T111">
        <f t="shared" si="14"/>
        <v>17.2607</v>
      </c>
      <c r="U111">
        <f t="shared" si="15"/>
        <v>7.0532398409999999</v>
      </c>
      <c r="X111" s="9"/>
      <c r="Y111" s="22">
        <v>1.3413999999999999</v>
      </c>
      <c r="Z111" s="22">
        <v>151.17500000000001</v>
      </c>
      <c r="AA111" s="22">
        <v>-1.6302500000000001E-2</v>
      </c>
      <c r="AB111" s="22">
        <v>101</v>
      </c>
      <c r="AC111" s="22">
        <v>1.34033</v>
      </c>
      <c r="AD111">
        <f t="shared" si="16"/>
        <v>16.302500000000002</v>
      </c>
      <c r="AE111">
        <f t="shared" si="17"/>
        <v>21.868173500000001</v>
      </c>
      <c r="AF111" s="9"/>
      <c r="AG111" s="22">
        <v>0.40862999999999999</v>
      </c>
      <c r="AH111" s="22">
        <v>230.70699999999999</v>
      </c>
      <c r="AI111" s="22">
        <v>-1.6787699999999999E-2</v>
      </c>
      <c r="AJ111" s="22">
        <v>101</v>
      </c>
      <c r="AK111" s="22">
        <v>0.40795900000000002</v>
      </c>
      <c r="AL111">
        <f t="shared" si="18"/>
        <v>16.787699999999997</v>
      </c>
      <c r="AM111">
        <f t="shared" si="19"/>
        <v>6.859957850999999</v>
      </c>
      <c r="AP111" s="9"/>
      <c r="AQ111" s="22">
        <v>1.3413999999999999</v>
      </c>
      <c r="AR111" s="22">
        <v>283.12400000000002</v>
      </c>
      <c r="AS111" s="22">
        <v>-1.60187E-2</v>
      </c>
      <c r="AT111" s="22">
        <v>101</v>
      </c>
      <c r="AU111" s="22">
        <v>1.34033</v>
      </c>
      <c r="AV111">
        <f t="shared" si="20"/>
        <v>16.018699999999999</v>
      </c>
      <c r="AW111">
        <f t="shared" si="21"/>
        <v>21.487484179999999</v>
      </c>
      <c r="AX111" s="9"/>
      <c r="AY111" s="22">
        <v>0.40862999999999999</v>
      </c>
      <c r="AZ111" s="22">
        <v>362.35399999999998</v>
      </c>
      <c r="BA111" s="22">
        <v>-1.65253E-2</v>
      </c>
      <c r="BB111" s="22">
        <v>101</v>
      </c>
      <c r="BC111" s="22">
        <v>0.40795900000000002</v>
      </c>
      <c r="BD111">
        <f t="shared" si="22"/>
        <v>16.525300000000001</v>
      </c>
      <c r="BE111">
        <f t="shared" si="23"/>
        <v>6.7527333390000006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33.922499999999999</v>
      </c>
      <c r="I112" s="22">
        <v>-1.64154E-2</v>
      </c>
      <c r="J112" s="22">
        <v>102</v>
      </c>
      <c r="K112" s="22">
        <v>1.33575</v>
      </c>
      <c r="L112">
        <f t="shared" si="12"/>
        <v>16.415400000000002</v>
      </c>
      <c r="M112">
        <f t="shared" si="13"/>
        <v>21.936883944000002</v>
      </c>
      <c r="N112" s="9"/>
      <c r="O112" s="22">
        <v>0.41366599999999998</v>
      </c>
      <c r="P112" s="22">
        <v>89.318399999999997</v>
      </c>
      <c r="Q112" s="22">
        <v>-1.7257700000000001E-2</v>
      </c>
      <c r="R112" s="22">
        <v>102</v>
      </c>
      <c r="S112" s="22">
        <v>0.41302499999999998</v>
      </c>
      <c r="T112">
        <f t="shared" si="14"/>
        <v>17.2577</v>
      </c>
      <c r="U112">
        <f t="shared" si="15"/>
        <v>7.1389237282</v>
      </c>
      <c r="X112" s="9"/>
      <c r="Y112" s="22">
        <v>1.33636</v>
      </c>
      <c r="Z112" s="22">
        <v>151.27500000000001</v>
      </c>
      <c r="AA112" s="22">
        <v>-1.63605E-2</v>
      </c>
      <c r="AB112" s="22">
        <v>102</v>
      </c>
      <c r="AC112" s="22">
        <v>1.33606</v>
      </c>
      <c r="AD112">
        <f t="shared" si="16"/>
        <v>16.360500000000002</v>
      </c>
      <c r="AE112">
        <f t="shared" si="17"/>
        <v>21.863517780000002</v>
      </c>
      <c r="AF112" s="9"/>
      <c r="AG112" s="22">
        <v>0.41366599999999998</v>
      </c>
      <c r="AH112" s="22">
        <v>230.80799999999999</v>
      </c>
      <c r="AI112" s="22">
        <v>-1.6790800000000002E-2</v>
      </c>
      <c r="AJ112" s="22">
        <v>102</v>
      </c>
      <c r="AK112" s="22">
        <v>0.41308600000000001</v>
      </c>
      <c r="AL112">
        <f t="shared" si="18"/>
        <v>16.790800000000001</v>
      </c>
      <c r="AM112">
        <f t="shared" si="19"/>
        <v>6.9457830728000003</v>
      </c>
      <c r="AP112" s="9"/>
      <c r="AQ112" s="22">
        <v>1.33636</v>
      </c>
      <c r="AR112" s="22">
        <v>283.22399999999999</v>
      </c>
      <c r="AS112" s="22">
        <v>-1.60217E-2</v>
      </c>
      <c r="AT112" s="22">
        <v>102</v>
      </c>
      <c r="AU112" s="22">
        <v>1.33606</v>
      </c>
      <c r="AV112">
        <f t="shared" si="20"/>
        <v>16.021699999999999</v>
      </c>
      <c r="AW112">
        <f t="shared" si="21"/>
        <v>21.410759012</v>
      </c>
      <c r="AX112" s="9"/>
      <c r="AY112" s="22">
        <v>0.41366599999999998</v>
      </c>
      <c r="AZ112" s="22">
        <v>362.45499999999998</v>
      </c>
      <c r="BA112" s="22">
        <v>-1.6534400000000001E-2</v>
      </c>
      <c r="BB112" s="22">
        <v>102</v>
      </c>
      <c r="BC112" s="22">
        <v>0.41311599999999998</v>
      </c>
      <c r="BD112">
        <f t="shared" si="22"/>
        <v>16.534400000000002</v>
      </c>
      <c r="BE112">
        <f t="shared" si="23"/>
        <v>6.8397191103999999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34.023200000000003</v>
      </c>
      <c r="I113" s="22">
        <v>-1.6448999999999998E-2</v>
      </c>
      <c r="J113" s="22">
        <v>103</v>
      </c>
      <c r="K113" s="22">
        <v>1.33057</v>
      </c>
      <c r="L113">
        <f t="shared" si="12"/>
        <v>16.448999999999998</v>
      </c>
      <c r="M113">
        <f t="shared" si="13"/>
        <v>21.899047169999996</v>
      </c>
      <c r="N113" s="9"/>
      <c r="O113" s="22">
        <v>0.41870099999999999</v>
      </c>
      <c r="P113" s="22">
        <v>89.4191</v>
      </c>
      <c r="Q113" s="22">
        <v>-1.7251599999999999E-2</v>
      </c>
      <c r="R113" s="22">
        <v>103</v>
      </c>
      <c r="S113" s="22">
        <v>0.41809099999999999</v>
      </c>
      <c r="T113">
        <f t="shared" si="14"/>
        <v>17.2516</v>
      </c>
      <c r="U113">
        <f t="shared" si="15"/>
        <v>7.2232621716000001</v>
      </c>
      <c r="X113" s="9"/>
      <c r="Y113" s="22">
        <v>1.3313299999999999</v>
      </c>
      <c r="Z113" s="22">
        <v>151.376</v>
      </c>
      <c r="AA113" s="22">
        <v>-1.63483E-2</v>
      </c>
      <c r="AB113" s="22">
        <v>103</v>
      </c>
      <c r="AC113" s="22">
        <v>1.33057</v>
      </c>
      <c r="AD113">
        <f t="shared" si="16"/>
        <v>16.348299999999998</v>
      </c>
      <c r="AE113">
        <f t="shared" si="17"/>
        <v>21.764982238999995</v>
      </c>
      <c r="AF113" s="9"/>
      <c r="AG113" s="22">
        <v>0.41870099999999999</v>
      </c>
      <c r="AH113" s="22">
        <v>230.90799999999999</v>
      </c>
      <c r="AI113" s="22">
        <v>-1.6802999999999998E-2</v>
      </c>
      <c r="AJ113" s="22">
        <v>103</v>
      </c>
      <c r="AK113" s="22">
        <v>0.41805999999999999</v>
      </c>
      <c r="AL113">
        <f t="shared" si="18"/>
        <v>16.802999999999997</v>
      </c>
      <c r="AM113">
        <f t="shared" si="19"/>
        <v>7.0354329029999985</v>
      </c>
      <c r="AP113" s="9"/>
      <c r="AQ113" s="22">
        <v>1.3313299999999999</v>
      </c>
      <c r="AR113" s="22">
        <v>283.32499999999999</v>
      </c>
      <c r="AS113" s="22">
        <v>-1.60339E-2</v>
      </c>
      <c r="AT113" s="22">
        <v>103</v>
      </c>
      <c r="AU113" s="22">
        <v>1.32965</v>
      </c>
      <c r="AV113">
        <f t="shared" si="20"/>
        <v>16.033899999999999</v>
      </c>
      <c r="AW113">
        <f t="shared" si="21"/>
        <v>21.346412086999997</v>
      </c>
      <c r="AX113" s="9"/>
      <c r="AY113" s="22">
        <v>0.41870099999999999</v>
      </c>
      <c r="AZ113" s="22">
        <v>362.55500000000001</v>
      </c>
      <c r="BA113" s="22">
        <v>-1.6574100000000001E-2</v>
      </c>
      <c r="BB113" s="22">
        <v>103</v>
      </c>
      <c r="BC113" s="22">
        <v>0.41805999999999999</v>
      </c>
      <c r="BD113">
        <f t="shared" si="22"/>
        <v>16.574100000000001</v>
      </c>
      <c r="BE113">
        <f t="shared" si="23"/>
        <v>6.9395922441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34.123899999999999</v>
      </c>
      <c r="I114" s="22">
        <v>-1.6445899999999999E-2</v>
      </c>
      <c r="J114" s="22">
        <v>104</v>
      </c>
      <c r="K114" s="22">
        <v>1.32568</v>
      </c>
      <c r="L114">
        <f t="shared" si="12"/>
        <v>16.445899999999998</v>
      </c>
      <c r="M114">
        <f t="shared" si="13"/>
        <v>21.812032710999997</v>
      </c>
      <c r="N114" s="9"/>
      <c r="O114" s="22">
        <v>0.42373699999999997</v>
      </c>
      <c r="P114" s="22">
        <v>89.519800000000004</v>
      </c>
      <c r="Q114" s="22">
        <v>-1.72485E-2</v>
      </c>
      <c r="R114" s="22">
        <v>104</v>
      </c>
      <c r="S114" s="22">
        <v>0.42306500000000002</v>
      </c>
      <c r="T114">
        <f t="shared" si="14"/>
        <v>17.2485</v>
      </c>
      <c r="U114">
        <f t="shared" si="15"/>
        <v>7.3088276444999991</v>
      </c>
      <c r="X114" s="9"/>
      <c r="Y114" s="22">
        <v>1.32629</v>
      </c>
      <c r="Z114" s="22">
        <v>151.477</v>
      </c>
      <c r="AA114" s="22">
        <v>-1.6378799999999999E-2</v>
      </c>
      <c r="AB114" s="22">
        <v>104</v>
      </c>
      <c r="AC114" s="22">
        <v>1.32507</v>
      </c>
      <c r="AD114">
        <f t="shared" si="16"/>
        <v>16.378799999999998</v>
      </c>
      <c r="AE114">
        <f t="shared" si="17"/>
        <v>21.723038651999996</v>
      </c>
      <c r="AF114" s="9"/>
      <c r="AG114" s="22">
        <v>0.42373699999999997</v>
      </c>
      <c r="AH114" s="22">
        <v>231.00899999999999</v>
      </c>
      <c r="AI114" s="22">
        <v>-1.6818199999999998E-2</v>
      </c>
      <c r="AJ114" s="22">
        <v>104</v>
      </c>
      <c r="AK114" s="22">
        <v>0.42318699999999998</v>
      </c>
      <c r="AL114">
        <f t="shared" si="18"/>
        <v>16.818199999999997</v>
      </c>
      <c r="AM114">
        <f t="shared" si="19"/>
        <v>7.1264936133999983</v>
      </c>
      <c r="AP114" s="9"/>
      <c r="AQ114" s="22">
        <v>1.32629</v>
      </c>
      <c r="AR114" s="22">
        <v>283.42599999999999</v>
      </c>
      <c r="AS114" s="22">
        <v>-1.60614E-2</v>
      </c>
      <c r="AT114" s="22">
        <v>104</v>
      </c>
      <c r="AU114" s="22">
        <v>1.32599</v>
      </c>
      <c r="AV114">
        <f t="shared" si="20"/>
        <v>16.061399999999999</v>
      </c>
      <c r="AW114">
        <f t="shared" si="21"/>
        <v>21.302074205999997</v>
      </c>
      <c r="AX114" s="9"/>
      <c r="AY114" s="22">
        <v>0.42373699999999997</v>
      </c>
      <c r="AZ114" s="22">
        <v>362.65600000000001</v>
      </c>
      <c r="BA114" s="22">
        <v>-1.6586299999999998E-2</v>
      </c>
      <c r="BB114" s="22">
        <v>104</v>
      </c>
      <c r="BC114" s="22">
        <v>0.42309600000000003</v>
      </c>
      <c r="BD114">
        <f t="shared" si="22"/>
        <v>16.586299999999998</v>
      </c>
      <c r="BE114">
        <f t="shared" si="23"/>
        <v>7.028229003099999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34.224600000000002</v>
      </c>
      <c r="I115" s="22">
        <v>-1.6467300000000001E-2</v>
      </c>
      <c r="J115" s="22">
        <v>105</v>
      </c>
      <c r="K115" s="22">
        <v>1.3205</v>
      </c>
      <c r="L115">
        <f t="shared" si="12"/>
        <v>16.467300000000002</v>
      </c>
      <c r="M115">
        <f t="shared" si="13"/>
        <v>21.757584798000003</v>
      </c>
      <c r="N115" s="9"/>
      <c r="O115" s="22">
        <v>0.42877199999999999</v>
      </c>
      <c r="P115" s="22">
        <v>89.620500000000007</v>
      </c>
      <c r="Q115" s="22">
        <v>-1.72485E-2</v>
      </c>
      <c r="R115" s="22">
        <v>105</v>
      </c>
      <c r="S115" s="22">
        <v>0.42807000000000001</v>
      </c>
      <c r="T115">
        <f t="shared" si="14"/>
        <v>17.2485</v>
      </c>
      <c r="U115">
        <f t="shared" si="15"/>
        <v>7.3956738419999999</v>
      </c>
      <c r="X115" s="9"/>
      <c r="Y115" s="22">
        <v>1.3212600000000001</v>
      </c>
      <c r="Z115" s="22">
        <v>151.577</v>
      </c>
      <c r="AA115" s="22">
        <v>-1.6369600000000002E-2</v>
      </c>
      <c r="AB115" s="22">
        <v>105</v>
      </c>
      <c r="AC115" s="22">
        <v>1.3208</v>
      </c>
      <c r="AD115">
        <f t="shared" si="16"/>
        <v>16.369600000000002</v>
      </c>
      <c r="AE115">
        <f t="shared" si="17"/>
        <v>21.628497696000004</v>
      </c>
      <c r="AF115" s="9"/>
      <c r="AG115" s="22">
        <v>0.42877199999999999</v>
      </c>
      <c r="AH115" s="22">
        <v>231.11</v>
      </c>
      <c r="AI115" s="22">
        <v>-1.6802999999999998E-2</v>
      </c>
      <c r="AJ115" s="22">
        <v>105</v>
      </c>
      <c r="AK115" s="22">
        <v>0.42819200000000002</v>
      </c>
      <c r="AL115">
        <f t="shared" si="18"/>
        <v>16.802999999999997</v>
      </c>
      <c r="AM115">
        <f t="shared" si="19"/>
        <v>7.2046559159999983</v>
      </c>
      <c r="AP115" s="9"/>
      <c r="AQ115" s="22">
        <v>1.3212600000000001</v>
      </c>
      <c r="AR115" s="22">
        <v>283.52699999999999</v>
      </c>
      <c r="AS115" s="22">
        <v>-1.6095000000000002E-2</v>
      </c>
      <c r="AT115" s="22">
        <v>105</v>
      </c>
      <c r="AU115" s="22">
        <v>1.3205</v>
      </c>
      <c r="AV115">
        <f t="shared" si="20"/>
        <v>16.095000000000002</v>
      </c>
      <c r="AW115">
        <f t="shared" si="21"/>
        <v>21.265679700000003</v>
      </c>
      <c r="AX115" s="9"/>
      <c r="AY115" s="22">
        <v>0.42877199999999999</v>
      </c>
      <c r="AZ115" s="22">
        <v>362.75700000000001</v>
      </c>
      <c r="BA115" s="22">
        <v>-1.6610699999999999E-2</v>
      </c>
      <c r="BB115" s="22">
        <v>105</v>
      </c>
      <c r="BC115" s="22">
        <v>0.42813099999999998</v>
      </c>
      <c r="BD115">
        <f t="shared" si="22"/>
        <v>16.610699999999998</v>
      </c>
      <c r="BE115">
        <f t="shared" si="23"/>
        <v>7.1222030603999986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34.325299999999999</v>
      </c>
      <c r="I116" s="22">
        <v>-1.6464199999999998E-2</v>
      </c>
      <c r="J116" s="22">
        <v>106</v>
      </c>
      <c r="K116" s="22">
        <v>1.3156099999999999</v>
      </c>
      <c r="L116">
        <f t="shared" si="12"/>
        <v>16.464199999999998</v>
      </c>
      <c r="M116">
        <f t="shared" si="13"/>
        <v>21.670509323999998</v>
      </c>
      <c r="N116" s="9"/>
      <c r="O116" s="22">
        <v>0.433807</v>
      </c>
      <c r="P116" s="22">
        <v>89.721199999999996</v>
      </c>
      <c r="Q116" s="22">
        <v>-1.7242400000000001E-2</v>
      </c>
      <c r="R116" s="22">
        <v>106</v>
      </c>
      <c r="S116" s="22">
        <v>0.43307499999999999</v>
      </c>
      <c r="T116">
        <f t="shared" si="14"/>
        <v>17.2424</v>
      </c>
      <c r="U116">
        <f t="shared" si="15"/>
        <v>7.4798738167999996</v>
      </c>
      <c r="X116" s="9"/>
      <c r="Y116" s="22">
        <v>1.3162199999999999</v>
      </c>
      <c r="Z116" s="22">
        <v>151.678</v>
      </c>
      <c r="AA116" s="22">
        <v>-1.6412400000000001E-2</v>
      </c>
      <c r="AB116" s="22">
        <v>106</v>
      </c>
      <c r="AC116" s="22">
        <v>1.31531</v>
      </c>
      <c r="AD116">
        <f t="shared" si="16"/>
        <v>16.412400000000002</v>
      </c>
      <c r="AE116">
        <f t="shared" si="17"/>
        <v>21.602329128000001</v>
      </c>
      <c r="AF116" s="9"/>
      <c r="AG116" s="22">
        <v>0.433807</v>
      </c>
      <c r="AH116" s="22">
        <v>231.21</v>
      </c>
      <c r="AI116" s="22">
        <v>-1.6815199999999999E-2</v>
      </c>
      <c r="AJ116" s="22">
        <v>106</v>
      </c>
      <c r="AK116" s="22">
        <v>0.433197</v>
      </c>
      <c r="AL116">
        <f t="shared" si="18"/>
        <v>16.815199999999997</v>
      </c>
      <c r="AM116">
        <f t="shared" si="19"/>
        <v>7.2945514663999989</v>
      </c>
      <c r="AP116" s="9"/>
      <c r="AQ116" s="22">
        <v>1.3162199999999999</v>
      </c>
      <c r="AR116" s="22">
        <v>283.62700000000001</v>
      </c>
      <c r="AS116" s="22">
        <v>-1.61011E-2</v>
      </c>
      <c r="AT116" s="22">
        <v>106</v>
      </c>
      <c r="AU116" s="22">
        <v>1.31531</v>
      </c>
      <c r="AV116">
        <f t="shared" si="20"/>
        <v>16.101099999999999</v>
      </c>
      <c r="AW116">
        <f t="shared" si="21"/>
        <v>21.192589841999997</v>
      </c>
      <c r="AX116" s="9"/>
      <c r="AY116" s="22">
        <v>0.433807</v>
      </c>
      <c r="AZ116" s="22">
        <v>362.858</v>
      </c>
      <c r="BA116" s="22">
        <v>-1.6613800000000001E-2</v>
      </c>
      <c r="BB116" s="22">
        <v>106</v>
      </c>
      <c r="BC116" s="22">
        <v>0.433197</v>
      </c>
      <c r="BD116">
        <f t="shared" si="22"/>
        <v>16.613800000000001</v>
      </c>
      <c r="BE116">
        <f t="shared" si="23"/>
        <v>7.2071827366000001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34.426099999999998</v>
      </c>
      <c r="I117" s="22">
        <v>-1.6464199999999998E-2</v>
      </c>
      <c r="J117" s="22">
        <v>107</v>
      </c>
      <c r="K117" s="22">
        <v>1.31104</v>
      </c>
      <c r="L117">
        <f t="shared" si="12"/>
        <v>16.464199999999998</v>
      </c>
      <c r="M117">
        <f t="shared" si="13"/>
        <v>21.587694398</v>
      </c>
      <c r="N117" s="9"/>
      <c r="O117" s="22">
        <v>0.43884299999999998</v>
      </c>
      <c r="P117" s="22">
        <v>89.821899999999999</v>
      </c>
      <c r="Q117" s="22">
        <v>-1.7242400000000001E-2</v>
      </c>
      <c r="R117" s="22">
        <v>107</v>
      </c>
      <c r="S117" s="22">
        <v>0.43820199999999998</v>
      </c>
      <c r="T117">
        <f t="shared" si="14"/>
        <v>17.2424</v>
      </c>
      <c r="U117">
        <f t="shared" si="15"/>
        <v>7.5667065431999996</v>
      </c>
      <c r="X117" s="9"/>
      <c r="Y117" s="22">
        <v>1.3111900000000001</v>
      </c>
      <c r="Z117" s="22">
        <v>151.779</v>
      </c>
      <c r="AA117" s="22">
        <v>-1.6464199999999998E-2</v>
      </c>
      <c r="AB117" s="22">
        <v>107</v>
      </c>
      <c r="AC117" s="22">
        <v>1.31012</v>
      </c>
      <c r="AD117">
        <f t="shared" si="16"/>
        <v>16.464199999999998</v>
      </c>
      <c r="AE117">
        <f t="shared" si="17"/>
        <v>21.587694398</v>
      </c>
      <c r="AF117" s="9"/>
      <c r="AG117" s="22">
        <v>0.43884299999999998</v>
      </c>
      <c r="AH117" s="22">
        <v>231.31100000000001</v>
      </c>
      <c r="AI117" s="22">
        <v>-1.6836500000000001E-2</v>
      </c>
      <c r="AJ117" s="22">
        <v>107</v>
      </c>
      <c r="AK117" s="22">
        <v>0.43826300000000001</v>
      </c>
      <c r="AL117">
        <f t="shared" si="18"/>
        <v>16.836500000000001</v>
      </c>
      <c r="AM117">
        <f t="shared" si="19"/>
        <v>7.3885801695</v>
      </c>
      <c r="AP117" s="9"/>
      <c r="AQ117" s="22">
        <v>1.3111900000000001</v>
      </c>
      <c r="AR117" s="22">
        <v>283.72800000000001</v>
      </c>
      <c r="AS117" s="22">
        <v>-1.6137700000000001E-2</v>
      </c>
      <c r="AT117" s="22">
        <v>107</v>
      </c>
      <c r="AU117" s="22">
        <v>1.31012</v>
      </c>
      <c r="AV117">
        <f t="shared" si="20"/>
        <v>16.137700000000002</v>
      </c>
      <c r="AW117">
        <f t="shared" si="21"/>
        <v>21.159590863000005</v>
      </c>
      <c r="AX117" s="9"/>
      <c r="AY117" s="22">
        <v>0.43884299999999998</v>
      </c>
      <c r="AZ117" s="22">
        <v>362.95800000000003</v>
      </c>
      <c r="BA117" s="22">
        <v>-1.6555799999999999E-2</v>
      </c>
      <c r="BB117" s="22">
        <v>107</v>
      </c>
      <c r="BC117" s="22">
        <v>0.43826300000000001</v>
      </c>
      <c r="BD117">
        <f t="shared" si="22"/>
        <v>16.555799999999998</v>
      </c>
      <c r="BE117">
        <f t="shared" si="23"/>
        <v>7.2653969393999986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34.526800000000001</v>
      </c>
      <c r="I118" s="22">
        <v>-1.651E-2</v>
      </c>
      <c r="J118" s="22">
        <v>108</v>
      </c>
      <c r="K118" s="22">
        <v>1.30524</v>
      </c>
      <c r="L118">
        <f t="shared" si="12"/>
        <v>16.510000000000002</v>
      </c>
      <c r="M118">
        <f t="shared" si="13"/>
        <v>21.564536499999999</v>
      </c>
      <c r="N118" s="9"/>
      <c r="O118" s="22">
        <v>0.44387799999999999</v>
      </c>
      <c r="P118" s="22">
        <v>89.922600000000003</v>
      </c>
      <c r="Q118" s="22">
        <v>-1.7218000000000001E-2</v>
      </c>
      <c r="R118" s="22">
        <v>108</v>
      </c>
      <c r="S118" s="22">
        <v>0.443268</v>
      </c>
      <c r="T118">
        <f t="shared" si="14"/>
        <v>17.218</v>
      </c>
      <c r="U118">
        <f t="shared" si="15"/>
        <v>7.6426914039999998</v>
      </c>
      <c r="X118" s="9"/>
      <c r="Y118" s="22">
        <v>1.3061499999999999</v>
      </c>
      <c r="Z118" s="22">
        <v>151.88</v>
      </c>
      <c r="AA118" s="22">
        <v>-1.6473399999999999E-2</v>
      </c>
      <c r="AB118" s="22">
        <v>108</v>
      </c>
      <c r="AC118" s="22">
        <v>1.3055399999999999</v>
      </c>
      <c r="AD118">
        <f t="shared" si="16"/>
        <v>16.473399999999998</v>
      </c>
      <c r="AE118">
        <f t="shared" si="17"/>
        <v>21.516731409999995</v>
      </c>
      <c r="AF118" s="9"/>
      <c r="AG118" s="22">
        <v>0.44387799999999999</v>
      </c>
      <c r="AH118" s="22">
        <v>231.41200000000001</v>
      </c>
      <c r="AI118" s="22">
        <v>-1.6870099999999999E-2</v>
      </c>
      <c r="AJ118" s="22">
        <v>108</v>
      </c>
      <c r="AK118" s="22">
        <v>0.44329800000000003</v>
      </c>
      <c r="AL118">
        <f t="shared" si="18"/>
        <v>16.870100000000001</v>
      </c>
      <c r="AM118">
        <f t="shared" si="19"/>
        <v>7.4882662478000004</v>
      </c>
      <c r="AP118" s="9"/>
      <c r="AQ118" s="22">
        <v>1.3061499999999999</v>
      </c>
      <c r="AR118" s="22">
        <v>283.82900000000001</v>
      </c>
      <c r="AS118" s="22">
        <v>-1.6186499999999999E-2</v>
      </c>
      <c r="AT118" s="22">
        <v>108</v>
      </c>
      <c r="AU118" s="22">
        <v>1.3055399999999999</v>
      </c>
      <c r="AV118">
        <f t="shared" si="20"/>
        <v>16.186499999999999</v>
      </c>
      <c r="AW118">
        <f t="shared" si="21"/>
        <v>21.141996974999998</v>
      </c>
      <c r="AX118" s="9"/>
      <c r="AY118" s="22">
        <v>0.44387799999999999</v>
      </c>
      <c r="AZ118" s="22">
        <v>363.05900000000003</v>
      </c>
      <c r="BA118" s="22">
        <v>-1.6534400000000001E-2</v>
      </c>
      <c r="BB118" s="22">
        <v>108</v>
      </c>
      <c r="BC118" s="22">
        <v>0.443359</v>
      </c>
      <c r="BD118">
        <f t="shared" si="22"/>
        <v>16.534400000000002</v>
      </c>
      <c r="BE118">
        <f t="shared" si="23"/>
        <v>7.3392564032000003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34.627499999999998</v>
      </c>
      <c r="I119" s="22">
        <v>-1.6513099999999999E-2</v>
      </c>
      <c r="J119" s="22">
        <v>109</v>
      </c>
      <c r="K119" s="22">
        <v>1.3006599999999999</v>
      </c>
      <c r="L119">
        <f t="shared" si="12"/>
        <v>16.513099999999998</v>
      </c>
      <c r="M119">
        <f t="shared" si="13"/>
        <v>21.485524671999997</v>
      </c>
      <c r="N119" s="9"/>
      <c r="O119" s="22">
        <v>0.44891399999999998</v>
      </c>
      <c r="P119" s="22">
        <v>90.023300000000006</v>
      </c>
      <c r="Q119" s="22">
        <v>-1.72363E-2</v>
      </c>
      <c r="R119" s="22">
        <v>109</v>
      </c>
      <c r="S119" s="22">
        <v>0.44812000000000002</v>
      </c>
      <c r="T119">
        <f t="shared" si="14"/>
        <v>17.2363</v>
      </c>
      <c r="U119">
        <f t="shared" si="15"/>
        <v>7.7376163781999994</v>
      </c>
      <c r="X119" s="9"/>
      <c r="Y119" s="22">
        <v>1.3011200000000001</v>
      </c>
      <c r="Z119" s="22">
        <v>151.97999999999999</v>
      </c>
      <c r="AA119" s="22">
        <v>-1.6482500000000001E-2</v>
      </c>
      <c r="AB119" s="22">
        <v>109</v>
      </c>
      <c r="AC119" s="22">
        <v>1.3009599999999999</v>
      </c>
      <c r="AD119">
        <f t="shared" si="16"/>
        <v>16.482500000000002</v>
      </c>
      <c r="AE119">
        <f t="shared" si="17"/>
        <v>21.445710400000003</v>
      </c>
      <c r="AF119" s="9"/>
      <c r="AG119" s="22">
        <v>0.44891399999999998</v>
      </c>
      <c r="AH119" s="22">
        <v>231.51300000000001</v>
      </c>
      <c r="AI119" s="22">
        <v>-1.6876200000000001E-2</v>
      </c>
      <c r="AJ119" s="22">
        <v>109</v>
      </c>
      <c r="AK119" s="22">
        <v>0.44833400000000001</v>
      </c>
      <c r="AL119">
        <f t="shared" si="18"/>
        <v>16.876200000000001</v>
      </c>
      <c r="AM119">
        <f t="shared" si="19"/>
        <v>7.5759624468000002</v>
      </c>
      <c r="AP119" s="9"/>
      <c r="AQ119" s="22">
        <v>1.3011200000000001</v>
      </c>
      <c r="AR119" s="22">
        <v>283.92899999999997</v>
      </c>
      <c r="AS119" s="22">
        <v>-1.6168200000000001E-2</v>
      </c>
      <c r="AT119" s="22">
        <v>109</v>
      </c>
      <c r="AU119" s="22">
        <v>1.3003499999999999</v>
      </c>
      <c r="AV119">
        <f t="shared" si="20"/>
        <v>16.168200000000002</v>
      </c>
      <c r="AW119">
        <f t="shared" si="21"/>
        <v>21.036768384000005</v>
      </c>
      <c r="AX119" s="9"/>
      <c r="AY119" s="22">
        <v>0.44891399999999998</v>
      </c>
      <c r="AZ119" s="22">
        <v>363.16</v>
      </c>
      <c r="BA119" s="22">
        <v>-1.65527E-2</v>
      </c>
      <c r="BB119" s="22">
        <v>109</v>
      </c>
      <c r="BC119" s="22">
        <v>0.44842500000000002</v>
      </c>
      <c r="BD119">
        <f t="shared" si="22"/>
        <v>16.552700000000002</v>
      </c>
      <c r="BE119">
        <f t="shared" si="23"/>
        <v>7.4307387678000003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34.728200000000001</v>
      </c>
      <c r="I120" s="22">
        <v>-1.6519200000000001E-2</v>
      </c>
      <c r="J120" s="22">
        <v>110</v>
      </c>
      <c r="K120" s="22">
        <v>1.2951699999999999</v>
      </c>
      <c r="L120">
        <f t="shared" si="12"/>
        <v>16.519200000000001</v>
      </c>
      <c r="M120">
        <f t="shared" si="13"/>
        <v>21.410204736000001</v>
      </c>
      <c r="N120" s="9"/>
      <c r="O120" s="22">
        <v>0.45394899999999999</v>
      </c>
      <c r="P120" s="22">
        <v>90.123999999999995</v>
      </c>
      <c r="Q120" s="22">
        <v>-1.7218000000000001E-2</v>
      </c>
      <c r="R120" s="22">
        <v>110</v>
      </c>
      <c r="S120" s="22">
        <v>0.45327800000000001</v>
      </c>
      <c r="T120">
        <f t="shared" si="14"/>
        <v>17.218</v>
      </c>
      <c r="U120">
        <f t="shared" si="15"/>
        <v>7.8160938819999997</v>
      </c>
      <c r="X120" s="9"/>
      <c r="Y120" s="22">
        <v>1.2960799999999999</v>
      </c>
      <c r="Z120" s="22">
        <v>152.08099999999999</v>
      </c>
      <c r="AA120" s="22">
        <v>-1.6482500000000001E-2</v>
      </c>
      <c r="AB120" s="22">
        <v>110</v>
      </c>
      <c r="AC120" s="22">
        <v>1.2948599999999999</v>
      </c>
      <c r="AD120">
        <f t="shared" si="16"/>
        <v>16.482500000000002</v>
      </c>
      <c r="AE120">
        <f t="shared" si="17"/>
        <v>21.3626386</v>
      </c>
      <c r="AF120" s="9"/>
      <c r="AG120" s="22">
        <v>0.45394899999999999</v>
      </c>
      <c r="AH120" s="22">
        <v>231.613</v>
      </c>
      <c r="AI120" s="22">
        <v>-1.6857899999999999E-2</v>
      </c>
      <c r="AJ120" s="22">
        <v>110</v>
      </c>
      <c r="AK120" s="22">
        <v>0.453461</v>
      </c>
      <c r="AL120">
        <f t="shared" si="18"/>
        <v>16.857899999999997</v>
      </c>
      <c r="AM120">
        <f t="shared" si="19"/>
        <v>7.6526268470999987</v>
      </c>
      <c r="AP120" s="9"/>
      <c r="AQ120" s="22">
        <v>1.2960799999999999</v>
      </c>
      <c r="AR120" s="22">
        <v>284.02999999999997</v>
      </c>
      <c r="AS120" s="22">
        <v>-1.6216999999999999E-2</v>
      </c>
      <c r="AT120" s="22">
        <v>110</v>
      </c>
      <c r="AU120" s="22">
        <v>1.2951699999999999</v>
      </c>
      <c r="AV120">
        <f t="shared" si="20"/>
        <v>16.216999999999999</v>
      </c>
      <c r="AW120">
        <f t="shared" si="21"/>
        <v>21.018529359999995</v>
      </c>
      <c r="AX120" s="9"/>
      <c r="AY120" s="22">
        <v>0.45394899999999999</v>
      </c>
      <c r="AZ120" s="22">
        <v>363.26</v>
      </c>
      <c r="BA120" s="22">
        <v>-1.6567999999999999E-2</v>
      </c>
      <c r="BB120" s="22">
        <v>110</v>
      </c>
      <c r="BC120" s="22">
        <v>0.45340000000000003</v>
      </c>
      <c r="BD120">
        <f t="shared" si="22"/>
        <v>16.567999999999998</v>
      </c>
      <c r="BE120">
        <f t="shared" si="23"/>
        <v>7.5210270319999992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34.828899999999997</v>
      </c>
      <c r="I121" s="22">
        <v>-1.6528299999999999E-2</v>
      </c>
      <c r="J121" s="22">
        <v>111</v>
      </c>
      <c r="K121" s="22">
        <v>1.2902800000000001</v>
      </c>
      <c r="L121">
        <f t="shared" si="12"/>
        <v>16.528299999999998</v>
      </c>
      <c r="M121">
        <f t="shared" si="13"/>
        <v>21.338861714999997</v>
      </c>
      <c r="N121" s="9"/>
      <c r="O121" s="22">
        <v>0.458984</v>
      </c>
      <c r="P121" s="22">
        <v>90.224699999999999</v>
      </c>
      <c r="Q121" s="22">
        <v>-1.7218000000000001E-2</v>
      </c>
      <c r="R121" s="22">
        <v>111</v>
      </c>
      <c r="S121" s="22">
        <v>0.45828200000000002</v>
      </c>
      <c r="T121">
        <f t="shared" si="14"/>
        <v>17.218</v>
      </c>
      <c r="U121">
        <f t="shared" si="15"/>
        <v>7.9027865119999996</v>
      </c>
      <c r="X121" s="9"/>
      <c r="Y121" s="22">
        <v>1.29105</v>
      </c>
      <c r="Z121" s="22">
        <v>152.18199999999999</v>
      </c>
      <c r="AA121" s="22">
        <v>-1.6531400000000002E-2</v>
      </c>
      <c r="AB121" s="22">
        <v>111</v>
      </c>
      <c r="AC121" s="22">
        <v>1.2905899999999999</v>
      </c>
      <c r="AD121">
        <f t="shared" si="16"/>
        <v>16.531400000000001</v>
      </c>
      <c r="AE121">
        <f t="shared" si="17"/>
        <v>21.342863970000003</v>
      </c>
      <c r="AF121" s="9"/>
      <c r="AG121" s="22">
        <v>0.458984</v>
      </c>
      <c r="AH121" s="22">
        <v>231.714</v>
      </c>
      <c r="AI121" s="22">
        <v>-1.6842699999999999E-2</v>
      </c>
      <c r="AJ121" s="22">
        <v>111</v>
      </c>
      <c r="AK121" s="22">
        <v>0.45828200000000002</v>
      </c>
      <c r="AL121">
        <f t="shared" si="18"/>
        <v>16.842699999999997</v>
      </c>
      <c r="AM121">
        <f t="shared" si="19"/>
        <v>7.730529816799999</v>
      </c>
      <c r="AP121" s="9"/>
      <c r="AQ121" s="22">
        <v>1.29105</v>
      </c>
      <c r="AR121" s="22">
        <v>284.13099999999997</v>
      </c>
      <c r="AS121" s="22">
        <v>-1.6207900000000001E-2</v>
      </c>
      <c r="AT121" s="22">
        <v>111</v>
      </c>
      <c r="AU121" s="22">
        <v>1.2899799999999999</v>
      </c>
      <c r="AV121">
        <f t="shared" si="20"/>
        <v>16.207900000000002</v>
      </c>
      <c r="AW121">
        <f t="shared" si="21"/>
        <v>20.925209295000002</v>
      </c>
      <c r="AX121" s="9"/>
      <c r="AY121" s="22">
        <v>0.458984</v>
      </c>
      <c r="AZ121" s="22">
        <v>363.36099999999999</v>
      </c>
      <c r="BA121" s="22">
        <v>-1.6543599999999999E-2</v>
      </c>
      <c r="BB121" s="22">
        <v>111</v>
      </c>
      <c r="BC121" s="22">
        <v>0.45843499999999998</v>
      </c>
      <c r="BD121">
        <f t="shared" si="22"/>
        <v>16.543599999999998</v>
      </c>
      <c r="BE121">
        <f t="shared" si="23"/>
        <v>7.5932477023999994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34.929600000000001</v>
      </c>
      <c r="I122" s="22">
        <v>-1.65375E-2</v>
      </c>
      <c r="J122" s="22">
        <v>112</v>
      </c>
      <c r="K122" s="22">
        <v>1.2850999999999999</v>
      </c>
      <c r="L122">
        <f t="shared" si="12"/>
        <v>16.537500000000001</v>
      </c>
      <c r="M122">
        <f t="shared" si="13"/>
        <v>21.267390375000005</v>
      </c>
      <c r="N122" s="9"/>
      <c r="O122" s="22">
        <v>0.46401999999999999</v>
      </c>
      <c r="P122" s="22">
        <v>90.325400000000002</v>
      </c>
      <c r="Q122" s="22">
        <v>-1.7211899999999999E-2</v>
      </c>
      <c r="R122" s="22">
        <v>112</v>
      </c>
      <c r="S122" s="22">
        <v>0.46340900000000002</v>
      </c>
      <c r="T122">
        <f t="shared" si="14"/>
        <v>17.2119</v>
      </c>
      <c r="U122">
        <f t="shared" si="15"/>
        <v>7.9866658379999995</v>
      </c>
      <c r="X122" s="9"/>
      <c r="Y122" s="22">
        <v>1.2860100000000001</v>
      </c>
      <c r="Z122" s="22">
        <v>152.28200000000001</v>
      </c>
      <c r="AA122" s="22">
        <v>-1.6534400000000001E-2</v>
      </c>
      <c r="AB122" s="22">
        <v>112</v>
      </c>
      <c r="AC122" s="22">
        <v>1.2854000000000001</v>
      </c>
      <c r="AD122">
        <f t="shared" si="16"/>
        <v>16.534400000000002</v>
      </c>
      <c r="AE122">
        <f t="shared" si="17"/>
        <v>21.263403744000005</v>
      </c>
      <c r="AF122" s="9"/>
      <c r="AG122" s="22">
        <v>0.46401999999999999</v>
      </c>
      <c r="AH122" s="22">
        <v>231.815</v>
      </c>
      <c r="AI122" s="22">
        <v>-1.67847E-2</v>
      </c>
      <c r="AJ122" s="22">
        <v>112</v>
      </c>
      <c r="AK122" s="22">
        <v>0.46337899999999999</v>
      </c>
      <c r="AL122">
        <f t="shared" si="18"/>
        <v>16.784700000000001</v>
      </c>
      <c r="AM122">
        <f t="shared" si="19"/>
        <v>7.7884364939999999</v>
      </c>
      <c r="AP122" s="9"/>
      <c r="AQ122" s="22">
        <v>1.2860100000000001</v>
      </c>
      <c r="AR122" s="22">
        <v>284.23200000000003</v>
      </c>
      <c r="AS122" s="22">
        <v>-1.6220100000000001E-2</v>
      </c>
      <c r="AT122" s="22">
        <v>112</v>
      </c>
      <c r="AU122" s="22">
        <v>1.2854000000000001</v>
      </c>
      <c r="AV122">
        <f t="shared" si="20"/>
        <v>16.220100000000002</v>
      </c>
      <c r="AW122">
        <f t="shared" si="21"/>
        <v>20.859210801000003</v>
      </c>
      <c r="AX122" s="9"/>
      <c r="AY122" s="22">
        <v>0.46401999999999999</v>
      </c>
      <c r="AZ122" s="22">
        <v>363.46199999999999</v>
      </c>
      <c r="BA122" s="22">
        <v>-1.6500899999999999E-2</v>
      </c>
      <c r="BB122" s="22">
        <v>112</v>
      </c>
      <c r="BC122" s="22">
        <v>0.46346999999999999</v>
      </c>
      <c r="BD122">
        <f t="shared" si="22"/>
        <v>16.500899999999998</v>
      </c>
      <c r="BE122">
        <f t="shared" si="23"/>
        <v>7.6567476179999989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35.030299999999997</v>
      </c>
      <c r="I123" s="22">
        <v>-1.6543599999999999E-2</v>
      </c>
      <c r="J123" s="22">
        <v>113</v>
      </c>
      <c r="K123" s="22">
        <v>1.2799100000000001</v>
      </c>
      <c r="L123">
        <f t="shared" si="12"/>
        <v>16.543599999999998</v>
      </c>
      <c r="M123">
        <f t="shared" si="13"/>
        <v>21.192020727999996</v>
      </c>
      <c r="N123" s="9"/>
      <c r="O123" s="22">
        <v>0.469055</v>
      </c>
      <c r="P123" s="22">
        <v>90.426199999999994</v>
      </c>
      <c r="Q123" s="22">
        <v>-1.72211E-2</v>
      </c>
      <c r="R123" s="22">
        <v>113</v>
      </c>
      <c r="S123" s="22">
        <v>0.46838400000000002</v>
      </c>
      <c r="T123">
        <f t="shared" si="14"/>
        <v>17.2211</v>
      </c>
      <c r="U123">
        <f t="shared" si="15"/>
        <v>8.0776430604999998</v>
      </c>
      <c r="X123" s="9"/>
      <c r="Y123" s="22">
        <v>1.28098</v>
      </c>
      <c r="Z123" s="22">
        <v>152.38300000000001</v>
      </c>
      <c r="AA123" s="22">
        <v>-1.65527E-2</v>
      </c>
      <c r="AB123" s="22">
        <v>113</v>
      </c>
      <c r="AC123" s="22">
        <v>1.2799100000000001</v>
      </c>
      <c r="AD123">
        <f t="shared" si="16"/>
        <v>16.552700000000002</v>
      </c>
      <c r="AE123">
        <f t="shared" si="17"/>
        <v>21.203677646000003</v>
      </c>
      <c r="AF123" s="9"/>
      <c r="AG123" s="22">
        <v>0.469055</v>
      </c>
      <c r="AH123" s="22">
        <v>231.91499999999999</v>
      </c>
      <c r="AI123" s="22">
        <v>-1.6815199999999999E-2</v>
      </c>
      <c r="AJ123" s="22">
        <v>113</v>
      </c>
      <c r="AK123" s="22">
        <v>0.46838400000000002</v>
      </c>
      <c r="AL123">
        <f t="shared" si="18"/>
        <v>16.815199999999997</v>
      </c>
      <c r="AM123">
        <f t="shared" si="19"/>
        <v>7.8872536359999987</v>
      </c>
      <c r="AP123" s="9"/>
      <c r="AQ123" s="22">
        <v>1.28098</v>
      </c>
      <c r="AR123" s="22">
        <v>284.33199999999999</v>
      </c>
      <c r="AS123" s="22">
        <v>-1.6204799999999998E-2</v>
      </c>
      <c r="AT123" s="22">
        <v>113</v>
      </c>
      <c r="AU123" s="22">
        <v>1.2802100000000001</v>
      </c>
      <c r="AV123">
        <f t="shared" si="20"/>
        <v>16.204799999999999</v>
      </c>
      <c r="AW123">
        <f t="shared" si="21"/>
        <v>20.758024703999997</v>
      </c>
      <c r="AX123" s="9"/>
      <c r="AY123" s="22">
        <v>0.469055</v>
      </c>
      <c r="AZ123" s="22">
        <v>363.56299999999999</v>
      </c>
      <c r="BA123" s="22">
        <v>-1.6519200000000001E-2</v>
      </c>
      <c r="BB123" s="22">
        <v>113</v>
      </c>
      <c r="BC123" s="22">
        <v>0.46847499999999997</v>
      </c>
      <c r="BD123">
        <f t="shared" si="22"/>
        <v>16.519200000000001</v>
      </c>
      <c r="BE123">
        <f t="shared" si="23"/>
        <v>7.7484133560000004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35.131</v>
      </c>
      <c r="I124" s="22">
        <v>-1.6567999999999999E-2</v>
      </c>
      <c r="J124" s="22">
        <v>114</v>
      </c>
      <c r="K124" s="22">
        <v>1.27502</v>
      </c>
      <c r="L124">
        <f t="shared" si="12"/>
        <v>16.567999999999998</v>
      </c>
      <c r="M124">
        <f t="shared" si="13"/>
        <v>21.13977392</v>
      </c>
      <c r="N124" s="9"/>
      <c r="O124" s="22">
        <v>0.47409099999999998</v>
      </c>
      <c r="P124" s="22">
        <v>90.526899999999998</v>
      </c>
      <c r="Q124" s="22">
        <v>-1.7227200000000002E-2</v>
      </c>
      <c r="R124" s="22">
        <v>114</v>
      </c>
      <c r="S124" s="22">
        <v>0.47354099999999999</v>
      </c>
      <c r="T124">
        <f t="shared" si="14"/>
        <v>17.2272</v>
      </c>
      <c r="U124">
        <f t="shared" si="15"/>
        <v>8.1672604751999991</v>
      </c>
      <c r="X124" s="9"/>
      <c r="Y124" s="22">
        <v>1.2759400000000001</v>
      </c>
      <c r="Z124" s="22">
        <v>152.48400000000001</v>
      </c>
      <c r="AA124" s="22">
        <v>-1.6534400000000001E-2</v>
      </c>
      <c r="AB124" s="22">
        <v>114</v>
      </c>
      <c r="AC124" s="22">
        <v>1.27502</v>
      </c>
      <c r="AD124">
        <f t="shared" si="16"/>
        <v>16.534400000000002</v>
      </c>
      <c r="AE124">
        <f t="shared" si="17"/>
        <v>21.096902336000003</v>
      </c>
      <c r="AF124" s="9"/>
      <c r="AG124" s="22">
        <v>0.47409099999999998</v>
      </c>
      <c r="AH124" s="22">
        <v>232.01599999999999</v>
      </c>
      <c r="AI124" s="22">
        <v>-1.6842699999999999E-2</v>
      </c>
      <c r="AJ124" s="22">
        <v>114</v>
      </c>
      <c r="AK124" s="22">
        <v>0.47351100000000002</v>
      </c>
      <c r="AL124">
        <f t="shared" si="18"/>
        <v>16.842699999999997</v>
      </c>
      <c r="AM124">
        <f t="shared" si="19"/>
        <v>7.9849724856999984</v>
      </c>
      <c r="AP124" s="9"/>
      <c r="AQ124" s="22">
        <v>1.2759400000000001</v>
      </c>
      <c r="AR124" s="22">
        <v>284.43299999999999</v>
      </c>
      <c r="AS124" s="22">
        <v>-1.62109E-2</v>
      </c>
      <c r="AT124" s="22">
        <v>114</v>
      </c>
      <c r="AU124" s="22">
        <v>1.2753300000000001</v>
      </c>
      <c r="AV124">
        <f t="shared" si="20"/>
        <v>16.210899999999999</v>
      </c>
      <c r="AW124">
        <f t="shared" si="21"/>
        <v>20.684135745999999</v>
      </c>
      <c r="AX124" s="9"/>
      <c r="AY124" s="22">
        <v>0.47409099999999998</v>
      </c>
      <c r="AZ124" s="22">
        <v>363.66300000000001</v>
      </c>
      <c r="BA124" s="22">
        <v>-1.6534400000000001E-2</v>
      </c>
      <c r="BB124" s="22">
        <v>114</v>
      </c>
      <c r="BC124" s="22">
        <v>0.47344999999999998</v>
      </c>
      <c r="BD124">
        <f t="shared" si="22"/>
        <v>16.534400000000002</v>
      </c>
      <c r="BE124">
        <f t="shared" si="23"/>
        <v>7.8388102304000009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35.231699999999996</v>
      </c>
      <c r="I125" s="22">
        <v>-1.65649E-2</v>
      </c>
      <c r="J125" s="22">
        <v>115</v>
      </c>
      <c r="K125" s="22">
        <v>1.27014</v>
      </c>
      <c r="L125">
        <f t="shared" si="12"/>
        <v>16.564900000000002</v>
      </c>
      <c r="M125">
        <f t="shared" si="13"/>
        <v>21.052331410000001</v>
      </c>
      <c r="N125" s="9"/>
      <c r="O125" s="22">
        <v>0.479126</v>
      </c>
      <c r="P125" s="22">
        <v>90.627600000000001</v>
      </c>
      <c r="Q125" s="22">
        <v>-1.7224099999999999E-2</v>
      </c>
      <c r="R125" s="22">
        <v>115</v>
      </c>
      <c r="S125" s="22">
        <v>0.47857699999999997</v>
      </c>
      <c r="T125">
        <f t="shared" si="14"/>
        <v>17.2241</v>
      </c>
      <c r="U125">
        <f t="shared" si="15"/>
        <v>8.2525141366000003</v>
      </c>
      <c r="X125" s="9"/>
      <c r="Y125" s="22">
        <v>1.2708999999999999</v>
      </c>
      <c r="Z125" s="22">
        <v>152.58500000000001</v>
      </c>
      <c r="AA125" s="22">
        <v>-1.6555799999999999E-2</v>
      </c>
      <c r="AB125" s="22">
        <v>115</v>
      </c>
      <c r="AC125" s="22">
        <v>1.2704500000000001</v>
      </c>
      <c r="AD125">
        <f t="shared" si="16"/>
        <v>16.555799999999998</v>
      </c>
      <c r="AE125">
        <f t="shared" si="17"/>
        <v>21.040766219999995</v>
      </c>
      <c r="AF125" s="9"/>
      <c r="AG125" s="22">
        <v>0.479126</v>
      </c>
      <c r="AH125" s="22">
        <v>232.11699999999999</v>
      </c>
      <c r="AI125" s="22">
        <v>-1.68396E-2</v>
      </c>
      <c r="AJ125" s="22">
        <v>115</v>
      </c>
      <c r="AK125" s="22">
        <v>0.47854600000000003</v>
      </c>
      <c r="AL125">
        <f t="shared" si="18"/>
        <v>16.839600000000001</v>
      </c>
      <c r="AM125">
        <f t="shared" si="19"/>
        <v>8.0682901896000008</v>
      </c>
      <c r="AP125" s="9"/>
      <c r="AQ125" s="22">
        <v>1.2708999999999999</v>
      </c>
      <c r="AR125" s="22">
        <v>284.53399999999999</v>
      </c>
      <c r="AS125" s="22">
        <v>-1.62262E-2</v>
      </c>
      <c r="AT125" s="22">
        <v>115</v>
      </c>
      <c r="AU125" s="22">
        <v>1.27075</v>
      </c>
      <c r="AV125">
        <f t="shared" si="20"/>
        <v>16.226199999999999</v>
      </c>
      <c r="AW125">
        <f t="shared" si="21"/>
        <v>20.621877579999996</v>
      </c>
      <c r="AX125" s="9"/>
      <c r="AY125" s="22">
        <v>0.479126</v>
      </c>
      <c r="AZ125" s="22">
        <v>363.76400000000001</v>
      </c>
      <c r="BA125" s="22">
        <v>-1.6546600000000002E-2</v>
      </c>
      <c r="BB125" s="22">
        <v>115</v>
      </c>
      <c r="BC125" s="22">
        <v>0.47848499999999999</v>
      </c>
      <c r="BD125">
        <f t="shared" si="22"/>
        <v>16.546600000000002</v>
      </c>
      <c r="BE125">
        <f t="shared" si="23"/>
        <v>7.9279062716000004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35.3324</v>
      </c>
      <c r="I126" s="22">
        <v>-1.6589400000000001E-2</v>
      </c>
      <c r="J126" s="22">
        <v>116</v>
      </c>
      <c r="K126" s="22">
        <v>1.26556</v>
      </c>
      <c r="L126">
        <f t="shared" si="12"/>
        <v>16.589400000000001</v>
      </c>
      <c r="M126">
        <f t="shared" si="13"/>
        <v>21.000023778000003</v>
      </c>
      <c r="N126" s="9"/>
      <c r="O126" s="22">
        <v>0.48416100000000001</v>
      </c>
      <c r="P126" s="22">
        <v>90.728300000000004</v>
      </c>
      <c r="Q126" s="22">
        <v>-1.7208899999999999E-2</v>
      </c>
      <c r="R126" s="22">
        <v>116</v>
      </c>
      <c r="S126" s="22">
        <v>0.48355100000000001</v>
      </c>
      <c r="T126">
        <f t="shared" si="14"/>
        <v>17.2089</v>
      </c>
      <c r="U126">
        <f t="shared" si="15"/>
        <v>8.3318782328999994</v>
      </c>
      <c r="X126" s="9"/>
      <c r="Y126" s="22">
        <v>1.2658700000000001</v>
      </c>
      <c r="Z126" s="22">
        <v>152.685</v>
      </c>
      <c r="AA126" s="22">
        <v>-1.6577100000000001E-2</v>
      </c>
      <c r="AB126" s="22">
        <v>116</v>
      </c>
      <c r="AC126" s="22">
        <v>1.2646500000000001</v>
      </c>
      <c r="AD126">
        <f t="shared" si="16"/>
        <v>16.577100000000002</v>
      </c>
      <c r="AE126">
        <f t="shared" si="17"/>
        <v>20.984453577000004</v>
      </c>
      <c r="AF126" s="9"/>
      <c r="AG126" s="22">
        <v>0.48416100000000001</v>
      </c>
      <c r="AH126" s="22">
        <v>232.21799999999999</v>
      </c>
      <c r="AI126" s="22">
        <v>-1.67999E-2</v>
      </c>
      <c r="AJ126" s="22">
        <v>116</v>
      </c>
      <c r="AK126" s="22">
        <v>0.48348999999999998</v>
      </c>
      <c r="AL126">
        <f t="shared" si="18"/>
        <v>16.799900000000001</v>
      </c>
      <c r="AM126">
        <f t="shared" si="19"/>
        <v>8.1338563839000013</v>
      </c>
      <c r="AP126" s="9"/>
      <c r="AQ126" s="22">
        <v>1.2658700000000001</v>
      </c>
      <c r="AR126" s="22">
        <v>284.63400000000001</v>
      </c>
      <c r="AS126" s="22">
        <v>-1.6275000000000001E-2</v>
      </c>
      <c r="AT126" s="22">
        <v>116</v>
      </c>
      <c r="AU126" s="22">
        <v>1.2652600000000001</v>
      </c>
      <c r="AV126">
        <f t="shared" si="20"/>
        <v>16.275000000000002</v>
      </c>
      <c r="AW126">
        <f t="shared" si="21"/>
        <v>20.602034250000003</v>
      </c>
      <c r="AX126" s="9"/>
      <c r="AY126" s="22">
        <v>0.48416100000000001</v>
      </c>
      <c r="AZ126" s="22">
        <v>363.86500000000001</v>
      </c>
      <c r="BA126" s="22">
        <v>-1.6567999999999999E-2</v>
      </c>
      <c r="BB126" s="22">
        <v>116</v>
      </c>
      <c r="BC126" s="22">
        <v>0.48345900000000003</v>
      </c>
      <c r="BD126">
        <f t="shared" si="22"/>
        <v>16.567999999999998</v>
      </c>
      <c r="BE126">
        <f t="shared" si="23"/>
        <v>8.0215794479999989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35.433100000000003</v>
      </c>
      <c r="I127" s="22">
        <v>-1.65924E-2</v>
      </c>
      <c r="J127" s="22">
        <v>117</v>
      </c>
      <c r="K127" s="22">
        <v>1.2603800000000001</v>
      </c>
      <c r="L127">
        <f t="shared" si="12"/>
        <v>16.592400000000001</v>
      </c>
      <c r="M127">
        <f t="shared" si="13"/>
        <v>20.920195692</v>
      </c>
      <c r="N127" s="9"/>
      <c r="O127" s="22">
        <v>0.48919699999999999</v>
      </c>
      <c r="P127" s="22">
        <v>90.828999999999994</v>
      </c>
      <c r="Q127" s="22">
        <v>-1.7199699999999998E-2</v>
      </c>
      <c r="R127" s="22">
        <v>117</v>
      </c>
      <c r="S127" s="22">
        <v>0.48843399999999998</v>
      </c>
      <c r="T127">
        <f t="shared" si="14"/>
        <v>17.1997</v>
      </c>
      <c r="U127">
        <f t="shared" si="15"/>
        <v>8.4140416409000007</v>
      </c>
      <c r="X127" s="9"/>
      <c r="Y127" s="22">
        <v>1.2608299999999999</v>
      </c>
      <c r="Z127" s="22">
        <v>152.786</v>
      </c>
      <c r="AA127" s="22">
        <v>-1.6595499999999999E-2</v>
      </c>
      <c r="AB127" s="22">
        <v>117</v>
      </c>
      <c r="AC127" s="22">
        <v>1.2597700000000001</v>
      </c>
      <c r="AD127">
        <f t="shared" si="16"/>
        <v>16.595499999999998</v>
      </c>
      <c r="AE127">
        <f t="shared" si="17"/>
        <v>20.924104264999997</v>
      </c>
      <c r="AF127" s="9"/>
      <c r="AG127" s="22">
        <v>0.48919699999999999</v>
      </c>
      <c r="AH127" s="22">
        <v>232.31800000000001</v>
      </c>
      <c r="AI127" s="22">
        <v>-1.67847E-2</v>
      </c>
      <c r="AJ127" s="22">
        <v>117</v>
      </c>
      <c r="AK127" s="22">
        <v>0.48858600000000002</v>
      </c>
      <c r="AL127">
        <f t="shared" si="18"/>
        <v>16.784700000000001</v>
      </c>
      <c r="AM127">
        <f t="shared" si="19"/>
        <v>8.2110248859000006</v>
      </c>
      <c r="AP127" s="9"/>
      <c r="AQ127" s="22">
        <v>1.2608299999999999</v>
      </c>
      <c r="AR127" s="22">
        <v>284.73500000000001</v>
      </c>
      <c r="AS127" s="22">
        <v>-1.6259800000000001E-2</v>
      </c>
      <c r="AT127" s="22">
        <v>117</v>
      </c>
      <c r="AU127" s="22">
        <v>1.2603800000000001</v>
      </c>
      <c r="AV127">
        <f t="shared" si="20"/>
        <v>16.259800000000002</v>
      </c>
      <c r="AW127">
        <f t="shared" si="21"/>
        <v>20.500843634000002</v>
      </c>
      <c r="AX127" s="9"/>
      <c r="AY127" s="22">
        <v>0.48919699999999999</v>
      </c>
      <c r="AZ127" s="22">
        <v>363.96499999999997</v>
      </c>
      <c r="BA127" s="22">
        <v>-1.66077E-2</v>
      </c>
      <c r="BB127" s="22">
        <v>117</v>
      </c>
      <c r="BC127" s="22">
        <v>0.48855599999999999</v>
      </c>
      <c r="BD127">
        <f t="shared" si="22"/>
        <v>16.607700000000001</v>
      </c>
      <c r="BE127">
        <f t="shared" si="23"/>
        <v>8.1244370169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35.533799999999999</v>
      </c>
      <c r="I128" s="22">
        <v>-1.6610699999999999E-2</v>
      </c>
      <c r="J128" s="22">
        <v>118</v>
      </c>
      <c r="K128" s="22">
        <v>1.25488</v>
      </c>
      <c r="L128">
        <f t="shared" si="12"/>
        <v>16.610699999999998</v>
      </c>
      <c r="M128">
        <f t="shared" si="13"/>
        <v>20.859717059999998</v>
      </c>
      <c r="N128" s="9"/>
      <c r="O128" s="22">
        <v>0.494232</v>
      </c>
      <c r="P128" s="22">
        <v>90.929699999999997</v>
      </c>
      <c r="Q128" s="22">
        <v>-1.7181399999999999E-2</v>
      </c>
      <c r="R128" s="22">
        <v>118</v>
      </c>
      <c r="S128" s="22">
        <v>0.49356100000000003</v>
      </c>
      <c r="T128">
        <f t="shared" si="14"/>
        <v>17.1814</v>
      </c>
      <c r="U128">
        <f t="shared" si="15"/>
        <v>8.4915976848000003</v>
      </c>
      <c r="X128" s="9"/>
      <c r="Y128" s="22">
        <v>1.2558</v>
      </c>
      <c r="Z128" s="22">
        <v>152.887</v>
      </c>
      <c r="AA128" s="22">
        <v>-1.6601600000000001E-2</v>
      </c>
      <c r="AB128" s="22">
        <v>118</v>
      </c>
      <c r="AC128" s="22">
        <v>1.25519</v>
      </c>
      <c r="AD128">
        <f t="shared" si="16"/>
        <v>16.601600000000001</v>
      </c>
      <c r="AE128">
        <f t="shared" si="17"/>
        <v>20.848289280000003</v>
      </c>
      <c r="AF128" s="9"/>
      <c r="AG128" s="22">
        <v>0.494232</v>
      </c>
      <c r="AH128" s="22">
        <v>232.41900000000001</v>
      </c>
      <c r="AI128" s="22">
        <v>-1.67847E-2</v>
      </c>
      <c r="AJ128" s="22">
        <v>118</v>
      </c>
      <c r="AK128" s="22">
        <v>0.49368299999999998</v>
      </c>
      <c r="AL128">
        <f t="shared" si="18"/>
        <v>16.784700000000001</v>
      </c>
      <c r="AM128">
        <f t="shared" si="19"/>
        <v>8.2955358504000003</v>
      </c>
      <c r="AP128" s="9"/>
      <c r="AQ128" s="22">
        <v>1.2558</v>
      </c>
      <c r="AR128" s="22">
        <v>284.83600000000001</v>
      </c>
      <c r="AS128" s="22">
        <v>-1.6323899999999999E-2</v>
      </c>
      <c r="AT128" s="22">
        <v>118</v>
      </c>
      <c r="AU128" s="22">
        <v>1.25519</v>
      </c>
      <c r="AV128">
        <f t="shared" si="20"/>
        <v>16.323899999999998</v>
      </c>
      <c r="AW128">
        <f t="shared" si="21"/>
        <v>20.499553619999997</v>
      </c>
      <c r="AX128" s="9"/>
      <c r="AY128" s="22">
        <v>0.494232</v>
      </c>
      <c r="AZ128" s="22">
        <v>364.06599999999997</v>
      </c>
      <c r="BA128" s="22">
        <v>-1.6577100000000001E-2</v>
      </c>
      <c r="BB128" s="22">
        <v>118</v>
      </c>
      <c r="BC128" s="22">
        <v>0.493591</v>
      </c>
      <c r="BD128">
        <f t="shared" si="22"/>
        <v>16.577100000000002</v>
      </c>
      <c r="BE128">
        <f t="shared" si="23"/>
        <v>8.1929332872000007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35.634599999999999</v>
      </c>
      <c r="I129" s="22">
        <v>-1.66077E-2</v>
      </c>
      <c r="J129" s="22">
        <v>119</v>
      </c>
      <c r="K129" s="22">
        <v>1.25031</v>
      </c>
      <c r="L129">
        <f t="shared" si="12"/>
        <v>16.607700000000001</v>
      </c>
      <c r="M129">
        <f t="shared" si="13"/>
        <v>20.772246852000002</v>
      </c>
      <c r="N129" s="9"/>
      <c r="O129" s="22">
        <v>0.49926799999999999</v>
      </c>
      <c r="P129" s="22">
        <v>91.0304</v>
      </c>
      <c r="Q129" s="22">
        <v>-1.7181399999999999E-2</v>
      </c>
      <c r="R129" s="22">
        <v>119</v>
      </c>
      <c r="S129" s="22">
        <v>0.49859599999999998</v>
      </c>
      <c r="T129">
        <f t="shared" si="14"/>
        <v>17.1814</v>
      </c>
      <c r="U129">
        <f t="shared" si="15"/>
        <v>8.5781232151999998</v>
      </c>
      <c r="X129" s="9"/>
      <c r="Y129" s="22">
        <v>1.2507600000000001</v>
      </c>
      <c r="Z129" s="22">
        <v>152.98699999999999</v>
      </c>
      <c r="AA129" s="22">
        <v>-1.66321E-2</v>
      </c>
      <c r="AB129" s="22">
        <v>119</v>
      </c>
      <c r="AC129" s="22">
        <v>1.25031</v>
      </c>
      <c r="AD129">
        <f t="shared" si="16"/>
        <v>16.632100000000001</v>
      </c>
      <c r="AE129">
        <f t="shared" si="17"/>
        <v>20.802765396000002</v>
      </c>
      <c r="AF129" s="9"/>
      <c r="AG129" s="22">
        <v>0.49926799999999999</v>
      </c>
      <c r="AH129" s="22">
        <v>232.52</v>
      </c>
      <c r="AI129" s="22">
        <v>-1.6806000000000001E-2</v>
      </c>
      <c r="AJ129" s="22">
        <v>119</v>
      </c>
      <c r="AK129" s="22">
        <v>0.49862699999999999</v>
      </c>
      <c r="AL129">
        <f t="shared" si="18"/>
        <v>16.806000000000001</v>
      </c>
      <c r="AM129">
        <f t="shared" si="19"/>
        <v>8.3906980080000011</v>
      </c>
      <c r="AP129" s="9"/>
      <c r="AQ129" s="22">
        <v>1.2507600000000001</v>
      </c>
      <c r="AR129" s="22">
        <v>284.93599999999998</v>
      </c>
      <c r="AS129" s="22">
        <v>-1.63208E-2</v>
      </c>
      <c r="AT129" s="22">
        <v>119</v>
      </c>
      <c r="AU129" s="22">
        <v>1.24969</v>
      </c>
      <c r="AV129">
        <f t="shared" si="20"/>
        <v>16.320799999999998</v>
      </c>
      <c r="AW129">
        <f t="shared" si="21"/>
        <v>20.413403807999998</v>
      </c>
      <c r="AX129" s="9"/>
      <c r="AY129" s="22">
        <v>0.49926799999999999</v>
      </c>
      <c r="AZ129" s="22">
        <v>364.16699999999997</v>
      </c>
      <c r="BA129" s="22">
        <v>-1.6549700000000001E-2</v>
      </c>
      <c r="BB129" s="22">
        <v>119</v>
      </c>
      <c r="BC129" s="22">
        <v>0.49859599999999998</v>
      </c>
      <c r="BD129">
        <f t="shared" si="22"/>
        <v>16.549700000000001</v>
      </c>
      <c r="BE129">
        <f t="shared" si="23"/>
        <v>8.2627356196000008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35.735300000000002</v>
      </c>
      <c r="I130" s="22">
        <v>-1.6601600000000001E-2</v>
      </c>
      <c r="J130" s="22">
        <v>120</v>
      </c>
      <c r="K130" s="22">
        <v>1.24451</v>
      </c>
      <c r="L130">
        <f t="shared" si="12"/>
        <v>16.601600000000001</v>
      </c>
      <c r="M130">
        <f t="shared" si="13"/>
        <v>20.681111168000001</v>
      </c>
      <c r="N130" s="9"/>
      <c r="O130" s="22">
        <v>0.50430299999999995</v>
      </c>
      <c r="P130" s="22">
        <v>91.131100000000004</v>
      </c>
      <c r="Q130" s="22">
        <v>-1.7199699999999998E-2</v>
      </c>
      <c r="R130" s="22">
        <v>120</v>
      </c>
      <c r="S130" s="22">
        <v>0.50366200000000005</v>
      </c>
      <c r="T130">
        <f t="shared" si="14"/>
        <v>17.1997</v>
      </c>
      <c r="U130">
        <f t="shared" si="15"/>
        <v>8.6738603090999984</v>
      </c>
      <c r="X130" s="9"/>
      <c r="Y130" s="22">
        <v>1.24573</v>
      </c>
      <c r="Z130" s="22">
        <v>153.08799999999999</v>
      </c>
      <c r="AA130" s="22">
        <v>-1.66473E-2</v>
      </c>
      <c r="AB130" s="22">
        <v>120</v>
      </c>
      <c r="AC130" s="22">
        <v>1.24512</v>
      </c>
      <c r="AD130">
        <f t="shared" si="16"/>
        <v>16.647300000000001</v>
      </c>
      <c r="AE130">
        <f t="shared" si="17"/>
        <v>20.738041029000001</v>
      </c>
      <c r="AF130" s="9"/>
      <c r="AG130" s="22">
        <v>0.50430299999999995</v>
      </c>
      <c r="AH130" s="22">
        <v>232.62</v>
      </c>
      <c r="AI130" s="22">
        <v>-1.67999E-2</v>
      </c>
      <c r="AJ130" s="22">
        <v>120</v>
      </c>
      <c r="AK130" s="22">
        <v>0.50375400000000004</v>
      </c>
      <c r="AL130">
        <f t="shared" si="18"/>
        <v>16.799900000000001</v>
      </c>
      <c r="AM130">
        <f t="shared" si="19"/>
        <v>8.4722399697000004</v>
      </c>
      <c r="AP130" s="9"/>
      <c r="AQ130" s="22">
        <v>1.24573</v>
      </c>
      <c r="AR130" s="22">
        <v>285.03699999999998</v>
      </c>
      <c r="AS130" s="22">
        <v>-1.63635E-2</v>
      </c>
      <c r="AT130" s="22">
        <v>120</v>
      </c>
      <c r="AU130" s="22">
        <v>1.24512</v>
      </c>
      <c r="AV130">
        <f t="shared" si="20"/>
        <v>16.363499999999998</v>
      </c>
      <c r="AW130">
        <f t="shared" si="21"/>
        <v>20.384502854999997</v>
      </c>
      <c r="AX130" s="9"/>
      <c r="AY130" s="22">
        <v>0.50430299999999995</v>
      </c>
      <c r="AZ130" s="22">
        <v>364.267</v>
      </c>
      <c r="BA130" s="22">
        <v>-1.6586299999999998E-2</v>
      </c>
      <c r="BB130" s="22">
        <v>120</v>
      </c>
      <c r="BC130" s="22">
        <v>0.50363199999999997</v>
      </c>
      <c r="BD130">
        <f t="shared" si="22"/>
        <v>16.586299999999998</v>
      </c>
      <c r="BE130">
        <f t="shared" si="23"/>
        <v>8.364520848899998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35.835999999999999</v>
      </c>
      <c r="I131" s="22">
        <v>-1.6616800000000001E-2</v>
      </c>
      <c r="J131" s="22">
        <v>121</v>
      </c>
      <c r="K131" s="22">
        <v>1.2396199999999999</v>
      </c>
      <c r="L131">
        <f t="shared" si="12"/>
        <v>16.616800000000001</v>
      </c>
      <c r="M131">
        <f t="shared" si="13"/>
        <v>20.616297592000002</v>
      </c>
      <c r="N131" s="9"/>
      <c r="O131" s="22">
        <v>0.50933799999999996</v>
      </c>
      <c r="P131" s="22">
        <v>91.231800000000007</v>
      </c>
      <c r="Q131" s="22">
        <v>-1.7187500000000001E-2</v>
      </c>
      <c r="R131" s="22">
        <v>121</v>
      </c>
      <c r="S131" s="22">
        <v>0.50851400000000002</v>
      </c>
      <c r="T131">
        <f t="shared" si="14"/>
        <v>17.1875</v>
      </c>
      <c r="U131">
        <f t="shared" si="15"/>
        <v>8.7542468749999998</v>
      </c>
      <c r="X131" s="9"/>
      <c r="Y131" s="22">
        <v>1.2406900000000001</v>
      </c>
      <c r="Z131" s="22">
        <v>153.18899999999999</v>
      </c>
      <c r="AA131" s="22">
        <v>-1.6629000000000001E-2</v>
      </c>
      <c r="AB131" s="22">
        <v>121</v>
      </c>
      <c r="AC131" s="22">
        <v>1.23993</v>
      </c>
      <c r="AD131">
        <f t="shared" si="16"/>
        <v>16.629000000000001</v>
      </c>
      <c r="AE131">
        <f t="shared" si="17"/>
        <v>20.631434010000003</v>
      </c>
      <c r="AF131" s="9"/>
      <c r="AG131" s="22">
        <v>0.50933799999999996</v>
      </c>
      <c r="AH131" s="22">
        <v>232.721</v>
      </c>
      <c r="AI131" s="22">
        <v>-1.6781600000000001E-2</v>
      </c>
      <c r="AJ131" s="22">
        <v>121</v>
      </c>
      <c r="AK131" s="22">
        <v>0.50863599999999998</v>
      </c>
      <c r="AL131">
        <f t="shared" si="18"/>
        <v>16.781600000000001</v>
      </c>
      <c r="AM131">
        <f t="shared" si="19"/>
        <v>8.5475065808000004</v>
      </c>
      <c r="AP131" s="9"/>
      <c r="AQ131" s="22">
        <v>1.2406900000000001</v>
      </c>
      <c r="AR131" s="22">
        <v>285.13799999999998</v>
      </c>
      <c r="AS131" s="22">
        <v>-1.6378799999999999E-2</v>
      </c>
      <c r="AT131" s="22">
        <v>121</v>
      </c>
      <c r="AU131" s="22">
        <v>1.2396199999999999</v>
      </c>
      <c r="AV131">
        <f t="shared" si="20"/>
        <v>16.378799999999998</v>
      </c>
      <c r="AW131">
        <f t="shared" si="21"/>
        <v>20.321013371999999</v>
      </c>
      <c r="AX131" s="9"/>
      <c r="AY131" s="22">
        <v>0.50933799999999996</v>
      </c>
      <c r="AZ131" s="22">
        <v>364.36799999999999</v>
      </c>
      <c r="BA131" s="22">
        <v>-1.6589400000000001E-2</v>
      </c>
      <c r="BB131" s="22">
        <v>121</v>
      </c>
      <c r="BC131" s="22">
        <v>0.50866699999999998</v>
      </c>
      <c r="BD131">
        <f t="shared" si="22"/>
        <v>16.589400000000001</v>
      </c>
      <c r="BE131">
        <f t="shared" si="23"/>
        <v>8.4496118171999992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35.936700000000002</v>
      </c>
      <c r="I132" s="22">
        <v>-1.6598499999999999E-2</v>
      </c>
      <c r="J132" s="22">
        <v>122</v>
      </c>
      <c r="K132" s="22">
        <v>1.23444</v>
      </c>
      <c r="L132">
        <f t="shared" si="12"/>
        <v>16.598499999999998</v>
      </c>
      <c r="M132">
        <f t="shared" si="13"/>
        <v>20.510102509999996</v>
      </c>
      <c r="N132" s="9"/>
      <c r="O132" s="22">
        <v>0.514374</v>
      </c>
      <c r="P132" s="22">
        <v>91.332499999999996</v>
      </c>
      <c r="Q132" s="22">
        <v>-1.7169199999999999E-2</v>
      </c>
      <c r="R132" s="22">
        <v>122</v>
      </c>
      <c r="S132" s="22">
        <v>0.513733</v>
      </c>
      <c r="T132">
        <f t="shared" si="14"/>
        <v>17.1692</v>
      </c>
      <c r="U132">
        <f t="shared" si="15"/>
        <v>8.8313900808000003</v>
      </c>
      <c r="X132" s="9"/>
      <c r="Y132" s="22">
        <v>1.23566</v>
      </c>
      <c r="Z132" s="22">
        <v>153.28899999999999</v>
      </c>
      <c r="AA132" s="22">
        <v>-1.6598499999999999E-2</v>
      </c>
      <c r="AB132" s="22">
        <v>122</v>
      </c>
      <c r="AC132" s="22">
        <v>1.2347399999999999</v>
      </c>
      <c r="AD132">
        <f t="shared" si="16"/>
        <v>16.598499999999998</v>
      </c>
      <c r="AE132">
        <f t="shared" si="17"/>
        <v>20.510102509999996</v>
      </c>
      <c r="AF132" s="9"/>
      <c r="AG132" s="22">
        <v>0.514374</v>
      </c>
      <c r="AH132" s="22">
        <v>232.822</v>
      </c>
      <c r="AI132" s="22">
        <v>-1.6787699999999999E-2</v>
      </c>
      <c r="AJ132" s="22">
        <v>122</v>
      </c>
      <c r="AK132" s="22">
        <v>0.51367200000000002</v>
      </c>
      <c r="AL132">
        <f t="shared" si="18"/>
        <v>16.787699999999997</v>
      </c>
      <c r="AM132">
        <f t="shared" si="19"/>
        <v>8.6351563997999978</v>
      </c>
      <c r="AP132" s="9"/>
      <c r="AQ132" s="22">
        <v>1.23566</v>
      </c>
      <c r="AR132" s="22">
        <v>285.23899999999998</v>
      </c>
      <c r="AS132" s="22">
        <v>-1.64032E-2</v>
      </c>
      <c r="AT132" s="22">
        <v>122</v>
      </c>
      <c r="AU132" s="22">
        <v>1.23505</v>
      </c>
      <c r="AV132">
        <f t="shared" si="20"/>
        <v>16.403199999999998</v>
      </c>
      <c r="AW132">
        <f t="shared" si="21"/>
        <v>20.268778111999996</v>
      </c>
      <c r="AX132" s="9"/>
      <c r="AY132" s="22">
        <v>0.514374</v>
      </c>
      <c r="AZ132" s="22">
        <v>364.46899999999999</v>
      </c>
      <c r="BA132" s="22">
        <v>-1.6586299999999998E-2</v>
      </c>
      <c r="BB132" s="22">
        <v>122</v>
      </c>
      <c r="BC132" s="22">
        <v>0.51364100000000001</v>
      </c>
      <c r="BD132">
        <f t="shared" si="22"/>
        <v>16.586299999999998</v>
      </c>
      <c r="BE132">
        <f t="shared" si="23"/>
        <v>8.5315614761999985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36.037399999999998</v>
      </c>
      <c r="I133" s="22">
        <v>-1.6622899999999999E-2</v>
      </c>
      <c r="J133" s="22">
        <v>123</v>
      </c>
      <c r="K133" s="22">
        <v>1.2301599999999999</v>
      </c>
      <c r="L133">
        <f t="shared" si="12"/>
        <v>16.622899999999998</v>
      </c>
      <c r="M133">
        <f t="shared" si="13"/>
        <v>20.456473197999998</v>
      </c>
      <c r="N133" s="9"/>
      <c r="O133" s="22">
        <v>0.51940900000000001</v>
      </c>
      <c r="P133" s="22">
        <v>91.433199999999999</v>
      </c>
      <c r="Q133" s="22">
        <v>-1.7199699999999998E-2</v>
      </c>
      <c r="R133" s="22">
        <v>123</v>
      </c>
      <c r="S133" s="22">
        <v>0.51873800000000003</v>
      </c>
      <c r="T133">
        <f t="shared" si="14"/>
        <v>17.1997</v>
      </c>
      <c r="U133">
        <f t="shared" si="15"/>
        <v>8.9336789772999996</v>
      </c>
      <c r="X133" s="9"/>
      <c r="Y133" s="22">
        <v>1.23062</v>
      </c>
      <c r="Z133" s="22">
        <v>153.38999999999999</v>
      </c>
      <c r="AA133" s="22">
        <v>-1.6577100000000001E-2</v>
      </c>
      <c r="AB133" s="22">
        <v>123</v>
      </c>
      <c r="AC133" s="22">
        <v>1.2301599999999999</v>
      </c>
      <c r="AD133">
        <f t="shared" si="16"/>
        <v>16.577100000000002</v>
      </c>
      <c r="AE133">
        <f t="shared" si="17"/>
        <v>20.400110802000004</v>
      </c>
      <c r="AF133" s="9"/>
      <c r="AG133" s="22">
        <v>0.51940900000000001</v>
      </c>
      <c r="AH133" s="22">
        <v>232.923</v>
      </c>
      <c r="AI133" s="22">
        <v>-1.67847E-2</v>
      </c>
      <c r="AJ133" s="22">
        <v>123</v>
      </c>
      <c r="AK133" s="22">
        <v>0.51861599999999997</v>
      </c>
      <c r="AL133">
        <f t="shared" si="18"/>
        <v>16.784700000000001</v>
      </c>
      <c r="AM133">
        <f t="shared" si="19"/>
        <v>8.7181242423</v>
      </c>
      <c r="AP133" s="9"/>
      <c r="AQ133" s="22">
        <v>1.23062</v>
      </c>
      <c r="AR133" s="22">
        <v>285.339</v>
      </c>
      <c r="AS133" s="22">
        <v>-1.6421499999999999E-2</v>
      </c>
      <c r="AT133" s="22">
        <v>123</v>
      </c>
      <c r="AU133" s="22">
        <v>1.2301599999999999</v>
      </c>
      <c r="AV133">
        <f t="shared" si="20"/>
        <v>16.421499999999998</v>
      </c>
      <c r="AW133">
        <f t="shared" si="21"/>
        <v>20.208626329999998</v>
      </c>
      <c r="AX133" s="9"/>
      <c r="AY133" s="22">
        <v>0.51940900000000001</v>
      </c>
      <c r="AZ133" s="22">
        <v>364.57</v>
      </c>
      <c r="BA133" s="22">
        <v>-1.65924E-2</v>
      </c>
      <c r="BB133" s="22">
        <v>123</v>
      </c>
      <c r="BC133" s="22">
        <v>0.51873800000000003</v>
      </c>
      <c r="BD133">
        <f t="shared" si="22"/>
        <v>16.592400000000001</v>
      </c>
      <c r="BE133">
        <f t="shared" si="23"/>
        <v>8.6182418916000003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36.138100000000001</v>
      </c>
      <c r="I134" s="22">
        <v>-1.6616800000000001E-2</v>
      </c>
      <c r="J134" s="22">
        <v>124</v>
      </c>
      <c r="K134" s="22">
        <v>1.22437</v>
      </c>
      <c r="L134">
        <f t="shared" si="12"/>
        <v>16.616800000000001</v>
      </c>
      <c r="M134">
        <f t="shared" si="13"/>
        <v>20.365383912000002</v>
      </c>
      <c r="N134" s="9"/>
      <c r="O134" s="22">
        <v>0.52444500000000005</v>
      </c>
      <c r="P134" s="22">
        <v>91.533900000000003</v>
      </c>
      <c r="Q134" s="22">
        <v>-1.7184399999999999E-2</v>
      </c>
      <c r="R134" s="22">
        <v>124</v>
      </c>
      <c r="S134" s="22">
        <v>0.52365099999999998</v>
      </c>
      <c r="T134">
        <f t="shared" si="14"/>
        <v>17.1844</v>
      </c>
      <c r="U134">
        <f t="shared" si="15"/>
        <v>9.0122726580000005</v>
      </c>
      <c r="X134" s="9"/>
      <c r="Y134" s="22">
        <v>1.22559</v>
      </c>
      <c r="Z134" s="22">
        <v>153.49100000000001</v>
      </c>
      <c r="AA134" s="22">
        <v>-1.6613800000000001E-2</v>
      </c>
      <c r="AB134" s="22">
        <v>124</v>
      </c>
      <c r="AC134" s="22">
        <v>1.22498</v>
      </c>
      <c r="AD134">
        <f t="shared" si="16"/>
        <v>16.613800000000001</v>
      </c>
      <c r="AE134">
        <f t="shared" si="17"/>
        <v>20.361707142</v>
      </c>
      <c r="AF134" s="9"/>
      <c r="AG134" s="22">
        <v>0.52444500000000005</v>
      </c>
      <c r="AH134" s="22">
        <v>233.023</v>
      </c>
      <c r="AI134" s="22">
        <v>-1.6741900000000001E-2</v>
      </c>
      <c r="AJ134" s="22">
        <v>124</v>
      </c>
      <c r="AK134" s="22">
        <v>0.52377300000000004</v>
      </c>
      <c r="AL134">
        <f t="shared" si="18"/>
        <v>16.741900000000001</v>
      </c>
      <c r="AM134">
        <f t="shared" si="19"/>
        <v>8.7802057455000018</v>
      </c>
      <c r="AP134" s="9"/>
      <c r="AQ134" s="22">
        <v>1.22559</v>
      </c>
      <c r="AR134" s="22">
        <v>285.44</v>
      </c>
      <c r="AS134" s="22">
        <v>-1.6397100000000001E-2</v>
      </c>
      <c r="AT134" s="22">
        <v>124</v>
      </c>
      <c r="AU134" s="22">
        <v>1.22498</v>
      </c>
      <c r="AV134">
        <f t="shared" si="20"/>
        <v>16.397100000000002</v>
      </c>
      <c r="AW134">
        <f t="shared" si="21"/>
        <v>20.096121789000001</v>
      </c>
      <c r="AX134" s="9"/>
      <c r="AY134" s="22">
        <v>0.52444500000000005</v>
      </c>
      <c r="AZ134" s="22">
        <v>364.67</v>
      </c>
      <c r="BA134" s="22">
        <v>-1.6604600000000001E-2</v>
      </c>
      <c r="BB134" s="22">
        <v>124</v>
      </c>
      <c r="BC134" s="22">
        <v>0.52377300000000004</v>
      </c>
      <c r="BD134">
        <f t="shared" si="22"/>
        <v>16.604600000000001</v>
      </c>
      <c r="BE134">
        <f t="shared" si="23"/>
        <v>8.7081994470000019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36.238799999999998</v>
      </c>
      <c r="I135" s="22">
        <v>-1.6629000000000001E-2</v>
      </c>
      <c r="J135" s="22">
        <v>125</v>
      </c>
      <c r="K135" s="22">
        <v>1.2197899999999999</v>
      </c>
      <c r="L135">
        <f t="shared" si="12"/>
        <v>16.629000000000001</v>
      </c>
      <c r="M135">
        <f t="shared" si="13"/>
        <v>20.296525950000003</v>
      </c>
      <c r="N135" s="9"/>
      <c r="O135" s="22">
        <v>0.52947999999999995</v>
      </c>
      <c r="P135" s="22">
        <v>91.634699999999995</v>
      </c>
      <c r="Q135" s="22">
        <v>-1.7175300000000001E-2</v>
      </c>
      <c r="R135" s="22">
        <v>125</v>
      </c>
      <c r="S135" s="22">
        <v>0.52871699999999999</v>
      </c>
      <c r="T135">
        <f t="shared" si="14"/>
        <v>17.1753</v>
      </c>
      <c r="U135">
        <f t="shared" si="15"/>
        <v>9.0939778439999994</v>
      </c>
      <c r="X135" s="9"/>
      <c r="Y135" s="22">
        <v>1.22055</v>
      </c>
      <c r="Z135" s="22">
        <v>153.59200000000001</v>
      </c>
      <c r="AA135" s="22">
        <v>-1.66077E-2</v>
      </c>
      <c r="AB135" s="22">
        <v>125</v>
      </c>
      <c r="AC135" s="22">
        <v>1.2194799999999999</v>
      </c>
      <c r="AD135">
        <f t="shared" si="16"/>
        <v>16.607700000000001</v>
      </c>
      <c r="AE135">
        <f t="shared" si="17"/>
        <v>20.270528235</v>
      </c>
      <c r="AF135" s="9"/>
      <c r="AG135" s="22">
        <v>0.52947999999999995</v>
      </c>
      <c r="AH135" s="22">
        <v>233.124</v>
      </c>
      <c r="AI135" s="22">
        <v>-1.6726700000000001E-2</v>
      </c>
      <c r="AJ135" s="22">
        <v>125</v>
      </c>
      <c r="AK135" s="22">
        <v>0.52890000000000004</v>
      </c>
      <c r="AL135">
        <f t="shared" si="18"/>
        <v>16.726700000000001</v>
      </c>
      <c r="AM135">
        <f t="shared" si="19"/>
        <v>8.8564531159999991</v>
      </c>
      <c r="AP135" s="9"/>
      <c r="AQ135" s="22">
        <v>1.22055</v>
      </c>
      <c r="AR135" s="22">
        <v>285.541</v>
      </c>
      <c r="AS135" s="22">
        <v>-1.64032E-2</v>
      </c>
      <c r="AT135" s="22">
        <v>125</v>
      </c>
      <c r="AU135" s="22">
        <v>1.2194799999999999</v>
      </c>
      <c r="AV135">
        <f t="shared" si="20"/>
        <v>16.403199999999998</v>
      </c>
      <c r="AW135">
        <f t="shared" si="21"/>
        <v>20.020925759999997</v>
      </c>
      <c r="AX135" s="9"/>
      <c r="AY135" s="22">
        <v>0.52947999999999995</v>
      </c>
      <c r="AZ135" s="22">
        <v>364.77100000000002</v>
      </c>
      <c r="BA135" s="22">
        <v>-1.6616800000000001E-2</v>
      </c>
      <c r="BB135" s="22">
        <v>125</v>
      </c>
      <c r="BC135" s="22">
        <v>0.52877799999999997</v>
      </c>
      <c r="BD135">
        <f t="shared" si="22"/>
        <v>16.616800000000001</v>
      </c>
      <c r="BE135">
        <f t="shared" si="23"/>
        <v>8.7982632639999991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36.339500000000001</v>
      </c>
      <c r="I136" s="22">
        <v>-1.6656500000000001E-2</v>
      </c>
      <c r="J136" s="22">
        <v>126</v>
      </c>
      <c r="K136" s="22">
        <v>1.2142900000000001</v>
      </c>
      <c r="L136">
        <f t="shared" si="12"/>
        <v>16.656500000000001</v>
      </c>
      <c r="M136">
        <f t="shared" si="13"/>
        <v>20.246308880000001</v>
      </c>
      <c r="N136" s="9"/>
      <c r="O136" s="22">
        <v>0.53451499999999996</v>
      </c>
      <c r="P136" s="22">
        <v>91.735399999999998</v>
      </c>
      <c r="Q136" s="22">
        <v>-1.7184399999999999E-2</v>
      </c>
      <c r="R136" s="22">
        <v>126</v>
      </c>
      <c r="S136" s="22">
        <v>0.53387499999999999</v>
      </c>
      <c r="T136">
        <f t="shared" si="14"/>
        <v>17.1844</v>
      </c>
      <c r="U136">
        <f t="shared" si="15"/>
        <v>9.1853195659999987</v>
      </c>
      <c r="X136" s="9"/>
      <c r="Y136" s="22">
        <v>1.2155199999999999</v>
      </c>
      <c r="Z136" s="22">
        <v>153.69200000000001</v>
      </c>
      <c r="AA136" s="22">
        <v>-1.66077E-2</v>
      </c>
      <c r="AB136" s="22">
        <v>126</v>
      </c>
      <c r="AC136" s="22">
        <v>1.2149000000000001</v>
      </c>
      <c r="AD136">
        <f t="shared" si="16"/>
        <v>16.607700000000001</v>
      </c>
      <c r="AE136">
        <f t="shared" si="17"/>
        <v>20.186991504000002</v>
      </c>
      <c r="AF136" s="9"/>
      <c r="AG136" s="22">
        <v>0.53451499999999996</v>
      </c>
      <c r="AH136" s="22">
        <v>233.22499999999999</v>
      </c>
      <c r="AI136" s="22">
        <v>-1.6760299999999999E-2</v>
      </c>
      <c r="AJ136" s="22">
        <v>126</v>
      </c>
      <c r="AK136" s="22">
        <v>0.53393599999999997</v>
      </c>
      <c r="AL136">
        <f t="shared" si="18"/>
        <v>16.760299999999997</v>
      </c>
      <c r="AM136">
        <f t="shared" si="19"/>
        <v>8.9586317544999972</v>
      </c>
      <c r="AP136" s="9"/>
      <c r="AQ136" s="22">
        <v>1.2155199999999999</v>
      </c>
      <c r="AR136" s="22">
        <v>285.64100000000002</v>
      </c>
      <c r="AS136" s="22">
        <v>-1.6427600000000001E-2</v>
      </c>
      <c r="AT136" s="22">
        <v>126</v>
      </c>
      <c r="AU136" s="22">
        <v>1.2149000000000001</v>
      </c>
      <c r="AV136">
        <f t="shared" si="20"/>
        <v>16.427600000000002</v>
      </c>
      <c r="AW136">
        <f t="shared" si="21"/>
        <v>19.968076352000001</v>
      </c>
      <c r="AX136" s="9"/>
      <c r="AY136" s="22">
        <v>0.53451499999999996</v>
      </c>
      <c r="AZ136" s="22">
        <v>364.87200000000001</v>
      </c>
      <c r="BA136" s="22">
        <v>-1.6601600000000001E-2</v>
      </c>
      <c r="BB136" s="22">
        <v>126</v>
      </c>
      <c r="BC136" s="22">
        <v>0.53387499999999999</v>
      </c>
      <c r="BD136">
        <f t="shared" si="22"/>
        <v>16.601600000000001</v>
      </c>
      <c r="BE136">
        <f t="shared" si="23"/>
        <v>8.8738042240000006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36.440199999999997</v>
      </c>
      <c r="I137" s="22">
        <v>-1.6641199999999998E-2</v>
      </c>
      <c r="J137" s="22">
        <v>127</v>
      </c>
      <c r="K137" s="22">
        <v>1.2094100000000001</v>
      </c>
      <c r="L137">
        <f t="shared" si="12"/>
        <v>16.641199999999998</v>
      </c>
      <c r="M137">
        <f t="shared" si="13"/>
        <v>20.143839775999997</v>
      </c>
      <c r="N137" s="9"/>
      <c r="O137" s="22">
        <v>0.539551</v>
      </c>
      <c r="P137" s="22">
        <v>91.836100000000002</v>
      </c>
      <c r="Q137" s="22">
        <v>-1.7178300000000001E-2</v>
      </c>
      <c r="R137" s="22">
        <v>127</v>
      </c>
      <c r="S137" s="22">
        <v>0.53891</v>
      </c>
      <c r="T137">
        <f t="shared" si="14"/>
        <v>17.1783</v>
      </c>
      <c r="U137">
        <f t="shared" si="15"/>
        <v>9.2685689433</v>
      </c>
      <c r="X137" s="9"/>
      <c r="Y137" s="22">
        <v>1.21048</v>
      </c>
      <c r="Z137" s="22">
        <v>153.79300000000001</v>
      </c>
      <c r="AA137" s="22">
        <v>-1.6653399999999999E-2</v>
      </c>
      <c r="AB137" s="22">
        <v>127</v>
      </c>
      <c r="AC137" s="22">
        <v>1.2094100000000001</v>
      </c>
      <c r="AD137">
        <f t="shared" si="16"/>
        <v>16.653399999999998</v>
      </c>
      <c r="AE137">
        <f t="shared" si="17"/>
        <v>20.158607631999999</v>
      </c>
      <c r="AF137" s="9"/>
      <c r="AG137" s="22">
        <v>0.539551</v>
      </c>
      <c r="AH137" s="22">
        <v>233.32499999999999</v>
      </c>
      <c r="AI137" s="22">
        <v>-1.6720599999999999E-2</v>
      </c>
      <c r="AJ137" s="22">
        <v>127</v>
      </c>
      <c r="AK137" s="22">
        <v>0.53897099999999998</v>
      </c>
      <c r="AL137">
        <f t="shared" si="18"/>
        <v>16.720599999999997</v>
      </c>
      <c r="AM137">
        <f t="shared" si="19"/>
        <v>9.0216164505999981</v>
      </c>
      <c r="AP137" s="9"/>
      <c r="AQ137" s="22">
        <v>1.21048</v>
      </c>
      <c r="AR137" s="22">
        <v>285.74200000000002</v>
      </c>
      <c r="AS137" s="22">
        <v>-1.6445899999999999E-2</v>
      </c>
      <c r="AT137" s="22">
        <v>127</v>
      </c>
      <c r="AU137" s="22">
        <v>1.2097199999999999</v>
      </c>
      <c r="AV137">
        <f t="shared" si="20"/>
        <v>16.445899999999998</v>
      </c>
      <c r="AW137">
        <f t="shared" si="21"/>
        <v>19.907433031999997</v>
      </c>
      <c r="AX137" s="9"/>
      <c r="AY137" s="22">
        <v>0.539551</v>
      </c>
      <c r="AZ137" s="22">
        <v>364.97199999999998</v>
      </c>
      <c r="BA137" s="22">
        <v>-1.65649E-2</v>
      </c>
      <c r="BB137" s="22">
        <v>127</v>
      </c>
      <c r="BC137" s="22">
        <v>0.53891</v>
      </c>
      <c r="BD137">
        <f t="shared" si="22"/>
        <v>16.564900000000002</v>
      </c>
      <c r="BE137">
        <f t="shared" si="23"/>
        <v>8.9376083599000005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36.540900000000001</v>
      </c>
      <c r="I138" s="22">
        <v>-1.6644300000000001E-2</v>
      </c>
      <c r="J138" s="22">
        <v>128</v>
      </c>
      <c r="K138" s="22">
        <v>1.2045300000000001</v>
      </c>
      <c r="L138">
        <f t="shared" si="12"/>
        <v>16.644300000000001</v>
      </c>
      <c r="M138">
        <f t="shared" si="13"/>
        <v>20.063704992000002</v>
      </c>
      <c r="N138" s="9"/>
      <c r="O138" s="22">
        <v>0.54458600000000001</v>
      </c>
      <c r="P138" s="22">
        <v>91.936800000000005</v>
      </c>
      <c r="Q138" s="22">
        <v>-1.7184399999999999E-2</v>
      </c>
      <c r="R138" s="22">
        <v>128</v>
      </c>
      <c r="S138" s="22">
        <v>0.54391500000000004</v>
      </c>
      <c r="T138">
        <f t="shared" si="14"/>
        <v>17.1844</v>
      </c>
      <c r="U138">
        <f t="shared" si="15"/>
        <v>9.3583836584000011</v>
      </c>
      <c r="X138" s="9"/>
      <c r="Y138" s="22">
        <v>1.2054400000000001</v>
      </c>
      <c r="Z138" s="22">
        <v>153.89400000000001</v>
      </c>
      <c r="AA138" s="22">
        <v>-1.6656500000000001E-2</v>
      </c>
      <c r="AB138" s="22">
        <v>128</v>
      </c>
      <c r="AC138" s="22">
        <v>1.2045300000000001</v>
      </c>
      <c r="AD138">
        <f t="shared" si="16"/>
        <v>16.656500000000001</v>
      </c>
      <c r="AE138">
        <f t="shared" si="17"/>
        <v>20.078411360000004</v>
      </c>
      <c r="AF138" s="9"/>
      <c r="AG138" s="22">
        <v>0.54458600000000001</v>
      </c>
      <c r="AH138" s="22">
        <v>233.42599999999999</v>
      </c>
      <c r="AI138" s="22">
        <v>-1.6744999999999999E-2</v>
      </c>
      <c r="AJ138" s="22">
        <v>128</v>
      </c>
      <c r="AK138" s="22">
        <v>0.54388400000000003</v>
      </c>
      <c r="AL138">
        <f t="shared" si="18"/>
        <v>16.745000000000001</v>
      </c>
      <c r="AM138">
        <f t="shared" si="19"/>
        <v>9.1190925700000012</v>
      </c>
      <c r="AP138" s="9"/>
      <c r="AQ138" s="22">
        <v>1.2054400000000001</v>
      </c>
      <c r="AR138" s="22">
        <v>285.84300000000002</v>
      </c>
      <c r="AS138" s="22">
        <v>-1.64581E-2</v>
      </c>
      <c r="AT138" s="22">
        <v>128</v>
      </c>
      <c r="AU138" s="22">
        <v>1.2048300000000001</v>
      </c>
      <c r="AV138">
        <f t="shared" si="20"/>
        <v>16.458099999999998</v>
      </c>
      <c r="AW138">
        <f t="shared" si="21"/>
        <v>19.839252064</v>
      </c>
      <c r="AX138" s="9"/>
      <c r="AY138" s="22">
        <v>0.54458600000000001</v>
      </c>
      <c r="AZ138" s="22">
        <v>365.07299999999998</v>
      </c>
      <c r="BA138" s="22">
        <v>-1.6561900000000001E-2</v>
      </c>
      <c r="BB138" s="22">
        <v>128</v>
      </c>
      <c r="BC138" s="22">
        <v>0.54391500000000004</v>
      </c>
      <c r="BD138">
        <f t="shared" si="22"/>
        <v>16.561900000000001</v>
      </c>
      <c r="BE138">
        <f t="shared" si="23"/>
        <v>9.0193788734000009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36.641599999999997</v>
      </c>
      <c r="I139" s="22">
        <v>-1.6665599999999999E-2</v>
      </c>
      <c r="J139" s="22">
        <v>129</v>
      </c>
      <c r="K139" s="22">
        <v>1.1993400000000001</v>
      </c>
      <c r="L139">
        <f t="shared" si="12"/>
        <v>16.665599999999998</v>
      </c>
      <c r="M139">
        <f t="shared" si="13"/>
        <v>20.005552895999998</v>
      </c>
      <c r="N139" s="9"/>
      <c r="O139" s="22">
        <v>0.54962200000000005</v>
      </c>
      <c r="P139" s="22">
        <v>92.037499999999994</v>
      </c>
      <c r="Q139" s="22">
        <v>-1.7172199999999999E-2</v>
      </c>
      <c r="R139" s="22">
        <v>129</v>
      </c>
      <c r="S139" s="22">
        <v>0.54891999999999996</v>
      </c>
      <c r="T139">
        <f t="shared" si="14"/>
        <v>17.1722</v>
      </c>
      <c r="U139">
        <f t="shared" si="15"/>
        <v>9.4382189084000014</v>
      </c>
      <c r="X139" s="9"/>
      <c r="Y139" s="22">
        <v>1.20041</v>
      </c>
      <c r="Z139" s="22">
        <v>153.994</v>
      </c>
      <c r="AA139" s="22">
        <v>-1.6659500000000001E-2</v>
      </c>
      <c r="AB139" s="22">
        <v>129</v>
      </c>
      <c r="AC139" s="22">
        <v>1.1996500000000001</v>
      </c>
      <c r="AD139">
        <f t="shared" si="16"/>
        <v>16.659500000000001</v>
      </c>
      <c r="AE139">
        <f t="shared" si="17"/>
        <v>19.998230395</v>
      </c>
      <c r="AF139" s="9"/>
      <c r="AG139" s="22">
        <v>0.54962200000000005</v>
      </c>
      <c r="AH139" s="22">
        <v>233.52699999999999</v>
      </c>
      <c r="AI139" s="22">
        <v>-1.6744999999999999E-2</v>
      </c>
      <c r="AJ139" s="22">
        <v>129</v>
      </c>
      <c r="AK139" s="22">
        <v>0.54888899999999996</v>
      </c>
      <c r="AL139">
        <f t="shared" si="18"/>
        <v>16.745000000000001</v>
      </c>
      <c r="AM139">
        <f t="shared" si="19"/>
        <v>9.2034203900000016</v>
      </c>
      <c r="AP139" s="9"/>
      <c r="AQ139" s="22">
        <v>1.20041</v>
      </c>
      <c r="AR139" s="22">
        <v>285.94400000000002</v>
      </c>
      <c r="AS139" s="22">
        <v>-1.6464199999999998E-2</v>
      </c>
      <c r="AT139" s="22">
        <v>129</v>
      </c>
      <c r="AU139" s="22">
        <v>1.1996500000000001</v>
      </c>
      <c r="AV139">
        <f t="shared" si="20"/>
        <v>16.464199999999998</v>
      </c>
      <c r="AW139">
        <f t="shared" si="21"/>
        <v>19.763790321999998</v>
      </c>
      <c r="AX139" s="9"/>
      <c r="AY139" s="22">
        <v>0.54962200000000005</v>
      </c>
      <c r="AZ139" s="22">
        <v>365.17399999999998</v>
      </c>
      <c r="BA139" s="22">
        <v>-1.6561900000000001E-2</v>
      </c>
      <c r="BB139" s="22">
        <v>129</v>
      </c>
      <c r="BC139" s="22">
        <v>0.54895000000000005</v>
      </c>
      <c r="BD139">
        <f t="shared" si="22"/>
        <v>16.561900000000001</v>
      </c>
      <c r="BE139">
        <f t="shared" si="23"/>
        <v>9.1027846018000016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36.7423</v>
      </c>
      <c r="I140" s="22">
        <v>-1.6687E-2</v>
      </c>
      <c r="J140" s="22">
        <v>130</v>
      </c>
      <c r="K140" s="22">
        <v>1.1944600000000001</v>
      </c>
      <c r="L140">
        <f t="shared" ref="L140:L203" si="24">-I140/$F$2*1000</f>
        <v>16.687000000000001</v>
      </c>
      <c r="M140">
        <f t="shared" ref="M140:M203" si="25">L140*G140</f>
        <v>19.947139190000001</v>
      </c>
      <c r="N140" s="9"/>
      <c r="O140" s="22">
        <v>0.55465699999999996</v>
      </c>
      <c r="P140" s="22">
        <v>92.138199999999998</v>
      </c>
      <c r="Q140" s="22">
        <v>-1.7181399999999999E-2</v>
      </c>
      <c r="R140" s="22">
        <v>130</v>
      </c>
      <c r="S140" s="22">
        <v>0.553925</v>
      </c>
      <c r="T140">
        <f t="shared" ref="T140:T203" si="26">-Q140/$F$2*1000</f>
        <v>17.1814</v>
      </c>
      <c r="U140">
        <f t="shared" ref="U140:U203" si="27">T140*O140</f>
        <v>9.5297837797999989</v>
      </c>
      <c r="X140" s="9"/>
      <c r="Y140" s="22">
        <v>1.19537</v>
      </c>
      <c r="Z140" s="22">
        <v>154.095</v>
      </c>
      <c r="AA140" s="22">
        <v>-1.6629000000000001E-2</v>
      </c>
      <c r="AB140" s="22">
        <v>130</v>
      </c>
      <c r="AC140" s="22">
        <v>1.19476</v>
      </c>
      <c r="AD140">
        <f t="shared" ref="AD140:AD203" si="28">-AA140/$F$2*1000</f>
        <v>16.629000000000001</v>
      </c>
      <c r="AE140">
        <f t="shared" ref="AE140:AE203" si="29">AD140*Y140</f>
        <v>19.877807730000001</v>
      </c>
      <c r="AF140" s="9"/>
      <c r="AG140" s="22">
        <v>0.55465699999999996</v>
      </c>
      <c r="AH140" s="22">
        <v>233.62700000000001</v>
      </c>
      <c r="AI140" s="22">
        <v>-1.67694E-2</v>
      </c>
      <c r="AJ140" s="22">
        <v>130</v>
      </c>
      <c r="AK140" s="22">
        <v>0.55395499999999998</v>
      </c>
      <c r="AL140">
        <f t="shared" ref="AL140:AL203" si="30">-AI140/$F$2*1000</f>
        <v>16.769400000000001</v>
      </c>
      <c r="AM140">
        <f t="shared" ref="AM140:AM203" si="31">AL140*AG140</f>
        <v>9.3012650957999998</v>
      </c>
      <c r="AP140" s="9"/>
      <c r="AQ140" s="22">
        <v>1.19537</v>
      </c>
      <c r="AR140" s="22">
        <v>286.04399999999998</v>
      </c>
      <c r="AS140" s="22">
        <v>-1.6473399999999999E-2</v>
      </c>
      <c r="AT140" s="22">
        <v>130</v>
      </c>
      <c r="AU140" s="22">
        <v>1.19476</v>
      </c>
      <c r="AV140">
        <f t="shared" ref="AV140:AV203" si="32">-AS140/$F$2*1000</f>
        <v>16.473399999999998</v>
      </c>
      <c r="AW140">
        <f t="shared" ref="AW140:AW203" si="33">AV140*AQ140</f>
        <v>19.691808157999997</v>
      </c>
      <c r="AX140" s="9"/>
      <c r="AY140" s="22">
        <v>0.55465699999999996</v>
      </c>
      <c r="AZ140" s="22">
        <v>365.27499999999998</v>
      </c>
      <c r="BA140" s="22">
        <v>-1.6561900000000001E-2</v>
      </c>
      <c r="BB140" s="22">
        <v>130</v>
      </c>
      <c r="BC140" s="22">
        <v>0.553925</v>
      </c>
      <c r="BD140">
        <f t="shared" ref="BD140:BD203" si="34">-BA140/$F$2*1000</f>
        <v>16.561900000000001</v>
      </c>
      <c r="BE140">
        <f t="shared" ref="BE140:BE203" si="35">BD140*AY140</f>
        <v>9.1861737682999998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36.843000000000004</v>
      </c>
      <c r="I141" s="22">
        <v>-1.6665599999999999E-2</v>
      </c>
      <c r="J141" s="22">
        <v>131</v>
      </c>
      <c r="K141" s="22">
        <v>1.18927</v>
      </c>
      <c r="L141">
        <f t="shared" si="24"/>
        <v>16.665599999999998</v>
      </c>
      <c r="M141">
        <f t="shared" si="25"/>
        <v>19.837730303999997</v>
      </c>
      <c r="N141" s="9"/>
      <c r="O141" s="22">
        <v>0.55969199999999997</v>
      </c>
      <c r="P141" s="22">
        <v>92.238900000000001</v>
      </c>
      <c r="Q141" s="22">
        <v>-1.7181399999999999E-2</v>
      </c>
      <c r="R141" s="22">
        <v>131</v>
      </c>
      <c r="S141" s="22">
        <v>0.55908199999999997</v>
      </c>
      <c r="T141">
        <f t="shared" si="26"/>
        <v>17.1814</v>
      </c>
      <c r="U141">
        <f t="shared" si="27"/>
        <v>9.6162921287999996</v>
      </c>
      <c r="X141" s="9"/>
      <c r="Y141" s="22">
        <v>1.19034</v>
      </c>
      <c r="Z141" s="22">
        <v>154.196</v>
      </c>
      <c r="AA141" s="22">
        <v>-1.66351E-2</v>
      </c>
      <c r="AB141" s="22">
        <v>131</v>
      </c>
      <c r="AC141" s="22">
        <v>1.18988</v>
      </c>
      <c r="AD141">
        <f t="shared" si="28"/>
        <v>16.635100000000001</v>
      </c>
      <c r="AE141">
        <f t="shared" si="29"/>
        <v>19.801424934</v>
      </c>
      <c r="AF141" s="9"/>
      <c r="AG141" s="22">
        <v>0.55969199999999997</v>
      </c>
      <c r="AH141" s="22">
        <v>233.72800000000001</v>
      </c>
      <c r="AI141" s="22">
        <v>-1.6763299999999998E-2</v>
      </c>
      <c r="AJ141" s="22">
        <v>131</v>
      </c>
      <c r="AK141" s="22">
        <v>0.55914299999999995</v>
      </c>
      <c r="AL141">
        <f t="shared" si="30"/>
        <v>16.763299999999997</v>
      </c>
      <c r="AM141">
        <f t="shared" si="31"/>
        <v>9.3822849035999987</v>
      </c>
      <c r="AP141" s="9"/>
      <c r="AQ141" s="22">
        <v>1.19034</v>
      </c>
      <c r="AR141" s="22">
        <v>286.14499999999998</v>
      </c>
      <c r="AS141" s="22">
        <v>-1.6491700000000001E-2</v>
      </c>
      <c r="AT141" s="22">
        <v>131</v>
      </c>
      <c r="AU141" s="22">
        <v>1.18927</v>
      </c>
      <c r="AV141">
        <f t="shared" si="32"/>
        <v>16.491700000000002</v>
      </c>
      <c r="AW141">
        <f t="shared" si="33"/>
        <v>19.630730178</v>
      </c>
      <c r="AX141" s="9"/>
      <c r="AY141" s="22">
        <v>0.55969199999999997</v>
      </c>
      <c r="AZ141" s="22">
        <v>365.375</v>
      </c>
      <c r="BA141" s="22">
        <v>-1.6570999999999999E-2</v>
      </c>
      <c r="BB141" s="22">
        <v>131</v>
      </c>
      <c r="BC141" s="22">
        <v>0.55905199999999999</v>
      </c>
      <c r="BD141">
        <f t="shared" si="34"/>
        <v>16.570999999999998</v>
      </c>
      <c r="BE141">
        <f t="shared" si="35"/>
        <v>9.2746561319999987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36.943800000000003</v>
      </c>
      <c r="I142" s="22">
        <v>-1.6693099999999999E-2</v>
      </c>
      <c r="J142" s="22">
        <v>132</v>
      </c>
      <c r="K142" s="22">
        <v>1.18469</v>
      </c>
      <c r="L142">
        <f t="shared" si="24"/>
        <v>16.693099999999998</v>
      </c>
      <c r="M142">
        <f t="shared" si="25"/>
        <v>19.786331429999997</v>
      </c>
      <c r="N142" s="9"/>
      <c r="O142" s="22">
        <v>0.56472800000000001</v>
      </c>
      <c r="P142" s="22">
        <v>92.339600000000004</v>
      </c>
      <c r="Q142" s="22">
        <v>-1.7181399999999999E-2</v>
      </c>
      <c r="R142" s="22">
        <v>132</v>
      </c>
      <c r="S142" s="22">
        <v>0.56402600000000003</v>
      </c>
      <c r="T142">
        <f t="shared" si="26"/>
        <v>17.1814</v>
      </c>
      <c r="U142">
        <f t="shared" si="27"/>
        <v>9.7028176592000008</v>
      </c>
      <c r="X142" s="9"/>
      <c r="Y142" s="22">
        <v>1.1853</v>
      </c>
      <c r="Z142" s="22">
        <v>154.297</v>
      </c>
      <c r="AA142" s="22">
        <v>-1.6653399999999999E-2</v>
      </c>
      <c r="AB142" s="22">
        <v>132</v>
      </c>
      <c r="AC142" s="22">
        <v>1.1853</v>
      </c>
      <c r="AD142">
        <f t="shared" si="28"/>
        <v>16.653399999999998</v>
      </c>
      <c r="AE142">
        <f t="shared" si="29"/>
        <v>19.739275019999997</v>
      </c>
      <c r="AF142" s="9"/>
      <c r="AG142" s="22">
        <v>0.56472800000000001</v>
      </c>
      <c r="AH142" s="22">
        <v>233.82900000000001</v>
      </c>
      <c r="AI142" s="22">
        <v>-1.6763299999999998E-2</v>
      </c>
      <c r="AJ142" s="22">
        <v>132</v>
      </c>
      <c r="AK142" s="22">
        <v>0.56408700000000001</v>
      </c>
      <c r="AL142">
        <f t="shared" si="30"/>
        <v>16.763299999999997</v>
      </c>
      <c r="AM142">
        <f t="shared" si="31"/>
        <v>9.4667048823999984</v>
      </c>
      <c r="AP142" s="9"/>
      <c r="AQ142" s="22">
        <v>1.1853</v>
      </c>
      <c r="AR142" s="22">
        <v>286.24599999999998</v>
      </c>
      <c r="AS142" s="22">
        <v>-1.651E-2</v>
      </c>
      <c r="AT142" s="22">
        <v>132</v>
      </c>
      <c r="AU142" s="22">
        <v>1.1843900000000001</v>
      </c>
      <c r="AV142">
        <f t="shared" si="32"/>
        <v>16.510000000000002</v>
      </c>
      <c r="AW142">
        <f t="shared" si="33"/>
        <v>19.569303000000001</v>
      </c>
      <c r="AX142" s="9"/>
      <c r="AY142" s="22">
        <v>0.56472800000000001</v>
      </c>
      <c r="AZ142" s="22">
        <v>365.476</v>
      </c>
      <c r="BA142" s="22">
        <v>-1.6595499999999999E-2</v>
      </c>
      <c r="BB142" s="22">
        <v>132</v>
      </c>
      <c r="BC142" s="22">
        <v>0.56402600000000003</v>
      </c>
      <c r="BD142">
        <f t="shared" si="34"/>
        <v>16.595499999999998</v>
      </c>
      <c r="BE142">
        <f t="shared" si="35"/>
        <v>9.3719435239999989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37.044499999999999</v>
      </c>
      <c r="I143" s="22">
        <v>-1.67023E-2</v>
      </c>
      <c r="J143" s="22">
        <v>133</v>
      </c>
      <c r="K143" s="22">
        <v>1.17981</v>
      </c>
      <c r="L143">
        <f t="shared" si="24"/>
        <v>16.702300000000001</v>
      </c>
      <c r="M143">
        <f t="shared" si="25"/>
        <v>19.713223621000001</v>
      </c>
      <c r="N143" s="9"/>
      <c r="O143" s="22">
        <v>0.56976300000000002</v>
      </c>
      <c r="P143" s="22">
        <v>92.440299999999993</v>
      </c>
      <c r="Q143" s="22">
        <v>-1.7163100000000001E-2</v>
      </c>
      <c r="R143" s="22">
        <v>133</v>
      </c>
      <c r="S143" s="22">
        <v>0.56912200000000002</v>
      </c>
      <c r="T143">
        <f t="shared" si="26"/>
        <v>17.1631</v>
      </c>
      <c r="U143">
        <f t="shared" si="27"/>
        <v>9.778899345300001</v>
      </c>
      <c r="X143" s="9"/>
      <c r="Y143" s="22">
        <v>1.1802699999999999</v>
      </c>
      <c r="Z143" s="22">
        <v>154.39699999999999</v>
      </c>
      <c r="AA143" s="22">
        <v>-1.66626E-2</v>
      </c>
      <c r="AB143" s="22">
        <v>133</v>
      </c>
      <c r="AC143" s="22">
        <v>1.1792</v>
      </c>
      <c r="AD143">
        <f t="shared" si="28"/>
        <v>16.662600000000001</v>
      </c>
      <c r="AE143">
        <f t="shared" si="29"/>
        <v>19.666366902</v>
      </c>
      <c r="AF143" s="9"/>
      <c r="AG143" s="22">
        <v>0.56976300000000002</v>
      </c>
      <c r="AH143" s="22">
        <v>233.93</v>
      </c>
      <c r="AI143" s="22">
        <v>-1.67969E-2</v>
      </c>
      <c r="AJ143" s="22">
        <v>133</v>
      </c>
      <c r="AK143" s="22">
        <v>0.56912200000000002</v>
      </c>
      <c r="AL143">
        <f t="shared" si="30"/>
        <v>16.796900000000001</v>
      </c>
      <c r="AM143">
        <f t="shared" si="31"/>
        <v>9.5702521347000005</v>
      </c>
      <c r="AP143" s="9"/>
      <c r="AQ143" s="22">
        <v>1.1802699999999999</v>
      </c>
      <c r="AR143" s="22">
        <v>286.346</v>
      </c>
      <c r="AS143" s="22">
        <v>-1.6476399999999999E-2</v>
      </c>
      <c r="AT143" s="22">
        <v>133</v>
      </c>
      <c r="AU143" s="22">
        <v>1.1792</v>
      </c>
      <c r="AV143">
        <f t="shared" si="32"/>
        <v>16.476399999999998</v>
      </c>
      <c r="AW143">
        <f t="shared" si="33"/>
        <v>19.446600627999995</v>
      </c>
      <c r="AX143" s="9"/>
      <c r="AY143" s="22">
        <v>0.56976300000000002</v>
      </c>
      <c r="AZ143" s="22">
        <v>365.577</v>
      </c>
      <c r="BA143" s="22">
        <v>-1.65649E-2</v>
      </c>
      <c r="BB143" s="22">
        <v>133</v>
      </c>
      <c r="BC143" s="22">
        <v>0.56906100000000004</v>
      </c>
      <c r="BD143">
        <f t="shared" si="34"/>
        <v>16.564900000000002</v>
      </c>
      <c r="BE143">
        <f t="shared" si="35"/>
        <v>9.4380671187000011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37.145200000000003</v>
      </c>
      <c r="I144" s="22">
        <v>-1.6690099999999999E-2</v>
      </c>
      <c r="J144" s="22">
        <v>134</v>
      </c>
      <c r="K144" s="22">
        <v>1.17462</v>
      </c>
      <c r="L144">
        <f t="shared" si="24"/>
        <v>16.690100000000001</v>
      </c>
      <c r="M144">
        <f t="shared" si="25"/>
        <v>19.614706223000002</v>
      </c>
      <c r="N144" s="9"/>
      <c r="O144" s="22">
        <v>0.57479899999999995</v>
      </c>
      <c r="P144" s="22">
        <v>92.540999999999997</v>
      </c>
      <c r="Q144" s="22">
        <v>-1.71661E-2</v>
      </c>
      <c r="R144" s="22">
        <v>134</v>
      </c>
      <c r="S144" s="22">
        <v>0.57412700000000005</v>
      </c>
      <c r="T144">
        <f t="shared" si="26"/>
        <v>17.1661</v>
      </c>
      <c r="U144">
        <f t="shared" si="27"/>
        <v>9.8670571138999996</v>
      </c>
      <c r="X144" s="9"/>
      <c r="Y144" s="22">
        <v>1.17523</v>
      </c>
      <c r="Z144" s="22">
        <v>154.49799999999999</v>
      </c>
      <c r="AA144" s="22">
        <v>-1.6671800000000001E-2</v>
      </c>
      <c r="AB144" s="22">
        <v>134</v>
      </c>
      <c r="AC144" s="22">
        <v>1.17401</v>
      </c>
      <c r="AD144">
        <f t="shared" si="28"/>
        <v>16.671800000000001</v>
      </c>
      <c r="AE144">
        <f t="shared" si="29"/>
        <v>19.593199514000002</v>
      </c>
      <c r="AF144" s="9"/>
      <c r="AG144" s="22">
        <v>0.57479899999999995</v>
      </c>
      <c r="AH144" s="22">
        <v>234.03</v>
      </c>
      <c r="AI144" s="22">
        <v>-1.6778600000000001E-2</v>
      </c>
      <c r="AJ144" s="22">
        <v>134</v>
      </c>
      <c r="AK144" s="22">
        <v>0.57418800000000003</v>
      </c>
      <c r="AL144">
        <f t="shared" si="30"/>
        <v>16.778600000000001</v>
      </c>
      <c r="AM144">
        <f t="shared" si="31"/>
        <v>9.6443225013999996</v>
      </c>
      <c r="AP144" s="9"/>
      <c r="AQ144" s="22">
        <v>1.17523</v>
      </c>
      <c r="AR144" s="22">
        <v>286.447</v>
      </c>
      <c r="AS144" s="22">
        <v>-1.6491700000000001E-2</v>
      </c>
      <c r="AT144" s="22">
        <v>134</v>
      </c>
      <c r="AU144" s="22">
        <v>1.17371</v>
      </c>
      <c r="AV144">
        <f t="shared" si="32"/>
        <v>16.491700000000002</v>
      </c>
      <c r="AW144">
        <f t="shared" si="33"/>
        <v>19.381540591</v>
      </c>
      <c r="AX144" s="9"/>
      <c r="AY144" s="22">
        <v>0.57479899999999995</v>
      </c>
      <c r="AZ144" s="22">
        <v>365.67700000000002</v>
      </c>
      <c r="BA144" s="22">
        <v>-1.6577100000000001E-2</v>
      </c>
      <c r="BB144" s="22">
        <v>134</v>
      </c>
      <c r="BC144" s="22">
        <v>0.57409699999999997</v>
      </c>
      <c r="BD144">
        <f t="shared" si="34"/>
        <v>16.577100000000002</v>
      </c>
      <c r="BE144">
        <f t="shared" si="35"/>
        <v>9.5285005029000001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37.245899999999999</v>
      </c>
      <c r="I145" s="22">
        <v>-1.6693099999999999E-2</v>
      </c>
      <c r="J145" s="22">
        <v>135</v>
      </c>
      <c r="K145" s="22">
        <v>1.16943</v>
      </c>
      <c r="L145">
        <f t="shared" si="24"/>
        <v>16.693099999999998</v>
      </c>
      <c r="M145">
        <f t="shared" si="25"/>
        <v>19.534265619999996</v>
      </c>
      <c r="N145" s="9"/>
      <c r="O145" s="22">
        <v>0.57983399999999996</v>
      </c>
      <c r="P145" s="22">
        <v>92.6417</v>
      </c>
      <c r="Q145" s="22">
        <v>-1.71661E-2</v>
      </c>
      <c r="R145" s="22">
        <v>135</v>
      </c>
      <c r="S145" s="22">
        <v>0.57910200000000001</v>
      </c>
      <c r="T145">
        <f t="shared" si="26"/>
        <v>17.1661</v>
      </c>
      <c r="U145">
        <f t="shared" si="27"/>
        <v>9.9534884273999999</v>
      </c>
      <c r="X145" s="9"/>
      <c r="Y145" s="22">
        <v>1.1701999999999999</v>
      </c>
      <c r="Z145" s="22">
        <v>154.59899999999999</v>
      </c>
      <c r="AA145" s="22">
        <v>-1.6696200000000001E-2</v>
      </c>
      <c r="AB145" s="22">
        <v>135</v>
      </c>
      <c r="AC145" s="22">
        <v>1.16943</v>
      </c>
      <c r="AD145">
        <f t="shared" si="28"/>
        <v>16.696200000000001</v>
      </c>
      <c r="AE145">
        <f t="shared" si="29"/>
        <v>19.537893239999999</v>
      </c>
      <c r="AF145" s="9"/>
      <c r="AG145" s="22">
        <v>0.57983399999999996</v>
      </c>
      <c r="AH145" s="22">
        <v>234.131</v>
      </c>
      <c r="AI145" s="22">
        <v>-1.6763299999999998E-2</v>
      </c>
      <c r="AJ145" s="22">
        <v>135</v>
      </c>
      <c r="AK145" s="22">
        <v>0.57919299999999996</v>
      </c>
      <c r="AL145">
        <f t="shared" si="30"/>
        <v>16.763299999999997</v>
      </c>
      <c r="AM145">
        <f t="shared" si="31"/>
        <v>9.7199312921999983</v>
      </c>
      <c r="AP145" s="9"/>
      <c r="AQ145" s="22">
        <v>1.1701999999999999</v>
      </c>
      <c r="AR145" s="22">
        <v>286.548</v>
      </c>
      <c r="AS145" s="22">
        <v>-1.6479500000000001E-2</v>
      </c>
      <c r="AT145" s="22">
        <v>135</v>
      </c>
      <c r="AU145" s="22">
        <v>1.16943</v>
      </c>
      <c r="AV145">
        <f t="shared" si="32"/>
        <v>16.479500000000002</v>
      </c>
      <c r="AW145">
        <f t="shared" si="33"/>
        <v>19.284310900000001</v>
      </c>
      <c r="AX145" s="9"/>
      <c r="AY145" s="22">
        <v>0.57983399999999996</v>
      </c>
      <c r="AZ145" s="22">
        <v>365.77800000000002</v>
      </c>
      <c r="BA145" s="22">
        <v>-1.6589400000000001E-2</v>
      </c>
      <c r="BB145" s="22">
        <v>135</v>
      </c>
      <c r="BC145" s="22">
        <v>0.57916299999999998</v>
      </c>
      <c r="BD145">
        <f t="shared" si="34"/>
        <v>16.589400000000001</v>
      </c>
      <c r="BE145">
        <f t="shared" si="35"/>
        <v>9.6190981596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37.346600000000002</v>
      </c>
      <c r="I146" s="22">
        <v>-1.6699200000000001E-2</v>
      </c>
      <c r="J146" s="22">
        <v>136</v>
      </c>
      <c r="K146" s="22">
        <v>1.16364</v>
      </c>
      <c r="L146">
        <f t="shared" si="24"/>
        <v>16.699200000000001</v>
      </c>
      <c r="M146">
        <f t="shared" si="25"/>
        <v>19.457239872000002</v>
      </c>
      <c r="N146" s="9"/>
      <c r="O146" s="22">
        <v>0.58486899999999997</v>
      </c>
      <c r="P146" s="22">
        <v>92.742400000000004</v>
      </c>
      <c r="Q146" s="22">
        <v>-1.7160000000000002E-2</v>
      </c>
      <c r="R146" s="22">
        <v>136</v>
      </c>
      <c r="S146" s="22">
        <v>0.584229</v>
      </c>
      <c r="T146">
        <f t="shared" si="26"/>
        <v>17.16</v>
      </c>
      <c r="U146">
        <f t="shared" si="27"/>
        <v>10.036352039999999</v>
      </c>
      <c r="X146" s="9"/>
      <c r="Y146" s="22">
        <v>1.16516</v>
      </c>
      <c r="Z146" s="22">
        <v>154.69900000000001</v>
      </c>
      <c r="AA146" s="22">
        <v>-1.6708400000000002E-2</v>
      </c>
      <c r="AB146" s="22">
        <v>136</v>
      </c>
      <c r="AC146" s="22">
        <v>1.16425</v>
      </c>
      <c r="AD146">
        <f t="shared" si="28"/>
        <v>16.708400000000001</v>
      </c>
      <c r="AE146">
        <f t="shared" si="29"/>
        <v>19.467959344</v>
      </c>
      <c r="AF146" s="9"/>
      <c r="AG146" s="22">
        <v>0.58486899999999997</v>
      </c>
      <c r="AH146" s="22">
        <v>234.232</v>
      </c>
      <c r="AI146" s="22">
        <v>-1.67572E-2</v>
      </c>
      <c r="AJ146" s="22">
        <v>136</v>
      </c>
      <c r="AK146" s="22">
        <v>0.584229</v>
      </c>
      <c r="AL146">
        <f t="shared" si="30"/>
        <v>16.757200000000001</v>
      </c>
      <c r="AM146">
        <f t="shared" si="31"/>
        <v>9.8007668068000005</v>
      </c>
      <c r="AP146" s="9"/>
      <c r="AQ146" s="22">
        <v>1.16516</v>
      </c>
      <c r="AR146" s="22">
        <v>286.649</v>
      </c>
      <c r="AS146" s="22">
        <v>-1.6513099999999999E-2</v>
      </c>
      <c r="AT146" s="22">
        <v>136</v>
      </c>
      <c r="AU146" s="22">
        <v>1.16425</v>
      </c>
      <c r="AV146">
        <f t="shared" si="32"/>
        <v>16.513099999999998</v>
      </c>
      <c r="AW146">
        <f t="shared" si="33"/>
        <v>19.240403595999997</v>
      </c>
      <c r="AX146" s="9"/>
      <c r="AY146" s="22">
        <v>0.58486899999999997</v>
      </c>
      <c r="AZ146" s="22">
        <v>365.87900000000002</v>
      </c>
      <c r="BA146" s="22">
        <v>-1.6583299999999999E-2</v>
      </c>
      <c r="BB146" s="22">
        <v>136</v>
      </c>
      <c r="BC146" s="22">
        <v>0.58431999999999995</v>
      </c>
      <c r="BD146">
        <f t="shared" si="34"/>
        <v>16.583299999999998</v>
      </c>
      <c r="BE146">
        <f t="shared" si="35"/>
        <v>9.6990580876999974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37.447299999999998</v>
      </c>
      <c r="I147" s="22">
        <v>-1.67023E-2</v>
      </c>
      <c r="J147" s="22">
        <v>137</v>
      </c>
      <c r="K147" s="22">
        <v>1.1593599999999999</v>
      </c>
      <c r="L147">
        <f t="shared" si="24"/>
        <v>16.702300000000001</v>
      </c>
      <c r="M147">
        <f t="shared" si="25"/>
        <v>19.376839299000004</v>
      </c>
      <c r="N147" s="9"/>
      <c r="O147" s="22">
        <v>0.58990500000000001</v>
      </c>
      <c r="P147" s="22">
        <v>92.843100000000007</v>
      </c>
      <c r="Q147" s="22">
        <v>-1.71661E-2</v>
      </c>
      <c r="R147" s="22">
        <v>137</v>
      </c>
      <c r="S147" s="22">
        <v>0.58920300000000003</v>
      </c>
      <c r="T147">
        <f t="shared" si="26"/>
        <v>17.1661</v>
      </c>
      <c r="U147">
        <f t="shared" si="27"/>
        <v>10.1263682205</v>
      </c>
      <c r="X147" s="9"/>
      <c r="Y147" s="22">
        <v>1.1601300000000001</v>
      </c>
      <c r="Z147" s="22">
        <v>154.80000000000001</v>
      </c>
      <c r="AA147" s="22">
        <v>-1.6708400000000002E-2</v>
      </c>
      <c r="AB147" s="22">
        <v>137</v>
      </c>
      <c r="AC147" s="22">
        <v>1.15906</v>
      </c>
      <c r="AD147">
        <f t="shared" si="28"/>
        <v>16.708400000000001</v>
      </c>
      <c r="AE147">
        <f t="shared" si="29"/>
        <v>19.383916092000003</v>
      </c>
      <c r="AF147" s="9"/>
      <c r="AG147" s="22">
        <v>0.58990500000000001</v>
      </c>
      <c r="AH147" s="22">
        <v>234.33199999999999</v>
      </c>
      <c r="AI147" s="22">
        <v>-1.67694E-2</v>
      </c>
      <c r="AJ147" s="22">
        <v>137</v>
      </c>
      <c r="AK147" s="22">
        <v>0.58923300000000001</v>
      </c>
      <c r="AL147">
        <f t="shared" si="30"/>
        <v>16.769400000000001</v>
      </c>
      <c r="AM147">
        <f t="shared" si="31"/>
        <v>9.8923529070000011</v>
      </c>
      <c r="AP147" s="9"/>
      <c r="AQ147" s="22">
        <v>1.1601300000000001</v>
      </c>
      <c r="AR147" s="22">
        <v>286.74900000000002</v>
      </c>
      <c r="AS147" s="22">
        <v>-1.64948E-2</v>
      </c>
      <c r="AT147" s="22">
        <v>137</v>
      </c>
      <c r="AU147" s="22">
        <v>1.1599699999999999</v>
      </c>
      <c r="AV147">
        <f t="shared" si="32"/>
        <v>16.494800000000001</v>
      </c>
      <c r="AW147">
        <f t="shared" si="33"/>
        <v>19.136112324000003</v>
      </c>
      <c r="AX147" s="9"/>
      <c r="AY147" s="22">
        <v>0.58990500000000001</v>
      </c>
      <c r="AZ147" s="22">
        <v>365.98</v>
      </c>
      <c r="BA147" s="22">
        <v>-1.6567999999999999E-2</v>
      </c>
      <c r="BB147" s="22">
        <v>137</v>
      </c>
      <c r="BC147" s="22">
        <v>0.58926400000000001</v>
      </c>
      <c r="BD147">
        <f t="shared" si="34"/>
        <v>16.567999999999998</v>
      </c>
      <c r="BE147">
        <f t="shared" si="35"/>
        <v>9.7735460399999994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37.548000000000002</v>
      </c>
      <c r="I148" s="22">
        <v>-1.6705299999999999E-2</v>
      </c>
      <c r="J148" s="22">
        <v>138</v>
      </c>
      <c r="K148" s="22">
        <v>1.15479</v>
      </c>
      <c r="L148">
        <f t="shared" si="24"/>
        <v>16.705299999999998</v>
      </c>
      <c r="M148">
        <f t="shared" si="25"/>
        <v>19.296124976999998</v>
      </c>
      <c r="N148" s="9"/>
      <c r="O148" s="22">
        <v>0.59494000000000002</v>
      </c>
      <c r="P148" s="22">
        <v>92.943899999999999</v>
      </c>
      <c r="Q148" s="22">
        <v>-1.7163100000000001E-2</v>
      </c>
      <c r="R148" s="22">
        <v>138</v>
      </c>
      <c r="S148" s="22">
        <v>0.59423800000000004</v>
      </c>
      <c r="T148">
        <f t="shared" si="26"/>
        <v>17.1631</v>
      </c>
      <c r="U148">
        <f t="shared" si="27"/>
        <v>10.211014714000001</v>
      </c>
      <c r="X148" s="9"/>
      <c r="Y148" s="22">
        <v>1.15509</v>
      </c>
      <c r="Z148" s="22">
        <v>154.90100000000001</v>
      </c>
      <c r="AA148" s="22">
        <v>-1.6726700000000001E-2</v>
      </c>
      <c r="AB148" s="22">
        <v>138</v>
      </c>
      <c r="AC148" s="22">
        <v>1.15387</v>
      </c>
      <c r="AD148">
        <f t="shared" si="28"/>
        <v>16.726700000000001</v>
      </c>
      <c r="AE148">
        <f t="shared" si="29"/>
        <v>19.320843903</v>
      </c>
      <c r="AF148" s="9"/>
      <c r="AG148" s="22">
        <v>0.59494000000000002</v>
      </c>
      <c r="AH148" s="22">
        <v>234.43299999999999</v>
      </c>
      <c r="AI148" s="22">
        <v>-1.6751100000000001E-2</v>
      </c>
      <c r="AJ148" s="22">
        <v>138</v>
      </c>
      <c r="AK148" s="22">
        <v>0.59433000000000002</v>
      </c>
      <c r="AL148">
        <f t="shared" si="30"/>
        <v>16.751100000000001</v>
      </c>
      <c r="AM148">
        <f t="shared" si="31"/>
        <v>9.9658994340000007</v>
      </c>
      <c r="AP148" s="9"/>
      <c r="AQ148" s="22">
        <v>1.15509</v>
      </c>
      <c r="AR148" s="22">
        <v>286.85000000000002</v>
      </c>
      <c r="AS148" s="22">
        <v>-1.6507000000000001E-2</v>
      </c>
      <c r="AT148" s="22">
        <v>138</v>
      </c>
      <c r="AU148" s="22">
        <v>1.15448</v>
      </c>
      <c r="AV148">
        <f t="shared" si="32"/>
        <v>16.507000000000001</v>
      </c>
      <c r="AW148">
        <f t="shared" si="33"/>
        <v>19.06707063</v>
      </c>
      <c r="AX148" s="9"/>
      <c r="AY148" s="22">
        <v>0.59494000000000002</v>
      </c>
      <c r="AZ148" s="22">
        <v>366.08</v>
      </c>
      <c r="BA148" s="22">
        <v>-1.6555799999999999E-2</v>
      </c>
      <c r="BB148" s="22">
        <v>138</v>
      </c>
      <c r="BC148" s="22">
        <v>0.59426900000000005</v>
      </c>
      <c r="BD148">
        <f t="shared" si="34"/>
        <v>16.555799999999998</v>
      </c>
      <c r="BE148">
        <f t="shared" si="35"/>
        <v>9.8497076519999993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37.648699999999998</v>
      </c>
      <c r="I149" s="22">
        <v>-1.6696200000000001E-2</v>
      </c>
      <c r="J149" s="22">
        <v>139</v>
      </c>
      <c r="K149" s="22">
        <v>1.1496</v>
      </c>
      <c r="L149">
        <f t="shared" si="24"/>
        <v>16.696200000000001</v>
      </c>
      <c r="M149">
        <f t="shared" si="25"/>
        <v>19.201464810000001</v>
      </c>
      <c r="N149" s="9"/>
      <c r="O149" s="22">
        <v>0.59997599999999995</v>
      </c>
      <c r="P149" s="22">
        <v>93.044600000000003</v>
      </c>
      <c r="Q149" s="22">
        <v>-1.7144800000000002E-2</v>
      </c>
      <c r="R149" s="22">
        <v>139</v>
      </c>
      <c r="S149" s="22">
        <v>0.59930399999999995</v>
      </c>
      <c r="T149">
        <f t="shared" si="26"/>
        <v>17.1448</v>
      </c>
      <c r="U149">
        <f t="shared" si="27"/>
        <v>10.2864685248</v>
      </c>
      <c r="X149" s="9"/>
      <c r="Y149" s="22">
        <v>1.15005</v>
      </c>
      <c r="Z149" s="22">
        <v>155.00200000000001</v>
      </c>
      <c r="AA149" s="22">
        <v>-1.67297E-2</v>
      </c>
      <c r="AB149" s="22">
        <v>139</v>
      </c>
      <c r="AC149" s="22">
        <v>1.1486799999999999</v>
      </c>
      <c r="AD149">
        <f t="shared" si="28"/>
        <v>16.729700000000001</v>
      </c>
      <c r="AE149">
        <f t="shared" si="29"/>
        <v>19.239991485000001</v>
      </c>
      <c r="AF149" s="9"/>
      <c r="AG149" s="22">
        <v>0.59997599999999995</v>
      </c>
      <c r="AH149" s="22">
        <v>234.53399999999999</v>
      </c>
      <c r="AI149" s="22">
        <v>-1.6806000000000001E-2</v>
      </c>
      <c r="AJ149" s="22">
        <v>139</v>
      </c>
      <c r="AK149" s="22">
        <v>0.59933499999999995</v>
      </c>
      <c r="AL149">
        <f t="shared" si="30"/>
        <v>16.806000000000001</v>
      </c>
      <c r="AM149">
        <f t="shared" si="31"/>
        <v>10.083196656</v>
      </c>
      <c r="AP149" s="9"/>
      <c r="AQ149" s="22">
        <v>1.15005</v>
      </c>
      <c r="AR149" s="22">
        <v>286.95100000000002</v>
      </c>
      <c r="AS149" s="22">
        <v>-1.6519200000000001E-2</v>
      </c>
      <c r="AT149" s="22">
        <v>139</v>
      </c>
      <c r="AU149" s="22">
        <v>1.1496</v>
      </c>
      <c r="AV149">
        <f t="shared" si="32"/>
        <v>16.519200000000001</v>
      </c>
      <c r="AW149">
        <f t="shared" si="33"/>
        <v>18.997905960000001</v>
      </c>
      <c r="AX149" s="9"/>
      <c r="AY149" s="22">
        <v>0.59997599999999995</v>
      </c>
      <c r="AZ149" s="22">
        <v>366.18099999999998</v>
      </c>
      <c r="BA149" s="22">
        <v>-1.6519200000000001E-2</v>
      </c>
      <c r="BB149" s="22">
        <v>139</v>
      </c>
      <c r="BC149" s="22">
        <v>0.59933499999999995</v>
      </c>
      <c r="BD149">
        <f t="shared" si="34"/>
        <v>16.519200000000001</v>
      </c>
      <c r="BE149">
        <f t="shared" si="35"/>
        <v>9.9111235392000001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37.749400000000001</v>
      </c>
      <c r="I150" s="22">
        <v>-1.6723600000000002E-2</v>
      </c>
      <c r="J150" s="22">
        <v>140</v>
      </c>
      <c r="K150" s="22">
        <v>1.1444099999999999</v>
      </c>
      <c r="L150">
        <f t="shared" si="24"/>
        <v>16.723600000000001</v>
      </c>
      <c r="M150">
        <f t="shared" si="25"/>
        <v>19.148856471999999</v>
      </c>
      <c r="N150" s="9"/>
      <c r="O150" s="22">
        <v>0.60501099999999997</v>
      </c>
      <c r="P150" s="22">
        <v>93.145300000000006</v>
      </c>
      <c r="Q150" s="22">
        <v>-1.7160000000000002E-2</v>
      </c>
      <c r="R150" s="22">
        <v>140</v>
      </c>
      <c r="S150" s="22">
        <v>0.60433999999999999</v>
      </c>
      <c r="T150">
        <f t="shared" si="26"/>
        <v>17.16</v>
      </c>
      <c r="U150">
        <f t="shared" si="27"/>
        <v>10.381988759999999</v>
      </c>
      <c r="X150" s="9"/>
      <c r="Y150" s="22">
        <v>1.1450199999999999</v>
      </c>
      <c r="Z150" s="22">
        <v>155.102</v>
      </c>
      <c r="AA150" s="22">
        <v>-1.6738900000000001E-2</v>
      </c>
      <c r="AB150" s="22">
        <v>140</v>
      </c>
      <c r="AC150" s="22">
        <v>1.1447099999999999</v>
      </c>
      <c r="AD150">
        <f t="shared" si="28"/>
        <v>16.738900000000001</v>
      </c>
      <c r="AE150">
        <f t="shared" si="29"/>
        <v>19.166375278</v>
      </c>
      <c r="AF150" s="9"/>
      <c r="AG150" s="22">
        <v>0.60501099999999997</v>
      </c>
      <c r="AH150" s="22">
        <v>234.63499999999999</v>
      </c>
      <c r="AI150" s="22">
        <v>-1.6787699999999999E-2</v>
      </c>
      <c r="AJ150" s="22">
        <v>140</v>
      </c>
      <c r="AK150" s="22">
        <v>0.60427900000000001</v>
      </c>
      <c r="AL150">
        <f t="shared" si="30"/>
        <v>16.787699999999997</v>
      </c>
      <c r="AM150">
        <f t="shared" si="31"/>
        <v>10.156743164699998</v>
      </c>
      <c r="AP150" s="9"/>
      <c r="AQ150" s="22">
        <v>1.1450199999999999</v>
      </c>
      <c r="AR150" s="22">
        <v>287.05099999999999</v>
      </c>
      <c r="AS150" s="22">
        <v>-1.6534400000000001E-2</v>
      </c>
      <c r="AT150" s="22">
        <v>140</v>
      </c>
      <c r="AU150" s="22">
        <v>1.1447099999999999</v>
      </c>
      <c r="AV150">
        <f t="shared" si="32"/>
        <v>16.534400000000002</v>
      </c>
      <c r="AW150">
        <f t="shared" si="33"/>
        <v>18.932218687999999</v>
      </c>
      <c r="AX150" s="9"/>
      <c r="AY150" s="22">
        <v>0.60501099999999997</v>
      </c>
      <c r="AZ150" s="22">
        <v>366.28199999999998</v>
      </c>
      <c r="BA150" s="22">
        <v>-1.65375E-2</v>
      </c>
      <c r="BB150" s="22">
        <v>140</v>
      </c>
      <c r="BC150" s="22">
        <v>0.60436999999999996</v>
      </c>
      <c r="BD150">
        <f t="shared" si="34"/>
        <v>16.537500000000001</v>
      </c>
      <c r="BE150">
        <f t="shared" si="35"/>
        <v>10.0053694125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37.850099999999998</v>
      </c>
      <c r="I151" s="22">
        <v>-1.6720599999999999E-2</v>
      </c>
      <c r="J151" s="22">
        <v>141</v>
      </c>
      <c r="K151" s="22">
        <v>1.1395299999999999</v>
      </c>
      <c r="L151">
        <f t="shared" si="24"/>
        <v>16.720599999999997</v>
      </c>
      <c r="M151">
        <f t="shared" si="25"/>
        <v>19.061149587999996</v>
      </c>
      <c r="N151" s="9"/>
      <c r="O151" s="22">
        <v>0.61004599999999998</v>
      </c>
      <c r="P151" s="22">
        <v>93.245999999999995</v>
      </c>
      <c r="Q151" s="22">
        <v>-1.7147800000000001E-2</v>
      </c>
      <c r="R151" s="22">
        <v>141</v>
      </c>
      <c r="S151" s="22">
        <v>0.60946699999999998</v>
      </c>
      <c r="T151">
        <f t="shared" si="26"/>
        <v>17.1478</v>
      </c>
      <c r="U151">
        <f t="shared" si="27"/>
        <v>10.4609467988</v>
      </c>
      <c r="X151" s="9"/>
      <c r="Y151" s="22">
        <v>1.13998</v>
      </c>
      <c r="Z151" s="22">
        <v>155.203</v>
      </c>
      <c r="AA151" s="22">
        <v>-1.6735799999999999E-2</v>
      </c>
      <c r="AB151" s="22">
        <v>141</v>
      </c>
      <c r="AC151" s="22">
        <v>1.1386099999999999</v>
      </c>
      <c r="AD151">
        <f t="shared" si="28"/>
        <v>16.735799999999998</v>
      </c>
      <c r="AE151">
        <f t="shared" si="29"/>
        <v>19.078477283999998</v>
      </c>
      <c r="AF151" s="9"/>
      <c r="AG151" s="22">
        <v>0.61004599999999998</v>
      </c>
      <c r="AH151" s="22">
        <v>234.73500000000001</v>
      </c>
      <c r="AI151" s="22">
        <v>-1.67847E-2</v>
      </c>
      <c r="AJ151" s="22">
        <v>141</v>
      </c>
      <c r="AK151" s="22">
        <v>0.609375</v>
      </c>
      <c r="AL151">
        <f t="shared" si="30"/>
        <v>16.784700000000001</v>
      </c>
      <c r="AM151">
        <f t="shared" si="31"/>
        <v>10.2394390962</v>
      </c>
      <c r="AP151" s="9"/>
      <c r="AQ151" s="22">
        <v>1.13998</v>
      </c>
      <c r="AR151" s="22">
        <v>287.15199999999999</v>
      </c>
      <c r="AS151" s="22">
        <v>-1.65375E-2</v>
      </c>
      <c r="AT151" s="22">
        <v>141</v>
      </c>
      <c r="AU151" s="22">
        <v>1.1392199999999999</v>
      </c>
      <c r="AV151">
        <f t="shared" si="32"/>
        <v>16.537500000000001</v>
      </c>
      <c r="AW151">
        <f t="shared" si="33"/>
        <v>18.852419250000001</v>
      </c>
      <c r="AX151" s="9"/>
      <c r="AY151" s="22">
        <v>0.61004599999999998</v>
      </c>
      <c r="AZ151" s="22">
        <v>366.38200000000001</v>
      </c>
      <c r="BA151" s="22">
        <v>-1.65253E-2</v>
      </c>
      <c r="BB151" s="22">
        <v>141</v>
      </c>
      <c r="BC151" s="22">
        <v>0.60946699999999998</v>
      </c>
      <c r="BD151">
        <f t="shared" si="34"/>
        <v>16.525300000000001</v>
      </c>
      <c r="BE151">
        <f t="shared" si="35"/>
        <v>10.0811931638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37.950800000000001</v>
      </c>
      <c r="I152" s="22">
        <v>-1.6720599999999999E-2</v>
      </c>
      <c r="J152" s="22">
        <v>142</v>
      </c>
      <c r="K152" s="22">
        <v>1.1343399999999999</v>
      </c>
      <c r="L152">
        <f t="shared" si="24"/>
        <v>16.720599999999997</v>
      </c>
      <c r="M152">
        <f t="shared" si="25"/>
        <v>18.977044969999994</v>
      </c>
      <c r="N152" s="9"/>
      <c r="O152" s="22">
        <v>0.61508200000000002</v>
      </c>
      <c r="P152" s="22">
        <v>93.346699999999998</v>
      </c>
      <c r="Q152" s="22">
        <v>-1.7147800000000001E-2</v>
      </c>
      <c r="R152" s="22">
        <v>142</v>
      </c>
      <c r="S152" s="22">
        <v>0.61441000000000001</v>
      </c>
      <c r="T152">
        <f t="shared" si="26"/>
        <v>17.1478</v>
      </c>
      <c r="U152">
        <f t="shared" si="27"/>
        <v>10.5473031196</v>
      </c>
      <c r="X152" s="9"/>
      <c r="Y152" s="22">
        <v>1.1349499999999999</v>
      </c>
      <c r="Z152" s="22">
        <v>155.304</v>
      </c>
      <c r="AA152" s="22">
        <v>-1.6741900000000001E-2</v>
      </c>
      <c r="AB152" s="22">
        <v>142</v>
      </c>
      <c r="AC152" s="22">
        <v>1.1337299999999999</v>
      </c>
      <c r="AD152">
        <f t="shared" si="28"/>
        <v>16.741900000000001</v>
      </c>
      <c r="AE152">
        <f t="shared" si="29"/>
        <v>19.001219405000001</v>
      </c>
      <c r="AF152" s="9"/>
      <c r="AG152" s="22">
        <v>0.61508200000000002</v>
      </c>
      <c r="AH152" s="22">
        <v>234.83600000000001</v>
      </c>
      <c r="AI152" s="22">
        <v>-1.6836500000000001E-2</v>
      </c>
      <c r="AJ152" s="22">
        <v>142</v>
      </c>
      <c r="AK152" s="22">
        <v>0.61450199999999999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287.25299999999999</v>
      </c>
      <c r="AS152" s="22">
        <v>-1.65527E-2</v>
      </c>
      <c r="AT152" s="22">
        <v>142</v>
      </c>
      <c r="AU152" s="22">
        <v>1.1340300000000001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366.483</v>
      </c>
      <c r="BA152" s="22">
        <v>-1.65527E-2</v>
      </c>
      <c r="BB152" s="22">
        <v>142</v>
      </c>
      <c r="BC152" s="22">
        <v>0.61453199999999997</v>
      </c>
      <c r="BD152">
        <f t="shared" si="34"/>
        <v>16.552700000000002</v>
      </c>
      <c r="BE152">
        <f t="shared" si="35"/>
        <v>10.181267821400001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38.051499999999997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93.447400000000002</v>
      </c>
      <c r="Q153" s="22">
        <v>-1.7144800000000002E-2</v>
      </c>
      <c r="R153" s="22">
        <v>143</v>
      </c>
      <c r="S153" s="22">
        <v>0.61944600000000005</v>
      </c>
      <c r="T153">
        <f t="shared" si="26"/>
        <v>17.1448</v>
      </c>
      <c r="U153">
        <f t="shared" si="27"/>
        <v>10.6317819416</v>
      </c>
      <c r="X153" s="9"/>
      <c r="Y153" s="22">
        <v>1.12991</v>
      </c>
      <c r="Z153" s="22">
        <v>155.404</v>
      </c>
      <c r="AA153" s="22">
        <v>-1.6732799999999999E-2</v>
      </c>
      <c r="AB153" s="22">
        <v>143</v>
      </c>
      <c r="AC153" s="22">
        <v>1.1291500000000001</v>
      </c>
      <c r="AD153">
        <f t="shared" si="28"/>
        <v>16.732799999999997</v>
      </c>
      <c r="AE153">
        <f t="shared" si="29"/>
        <v>18.906558047999997</v>
      </c>
      <c r="AF153" s="9"/>
      <c r="AG153" s="22">
        <v>0.62011700000000003</v>
      </c>
      <c r="AH153" s="22">
        <v>234.93700000000001</v>
      </c>
      <c r="AI153" s="22">
        <v>-1.68091E-2</v>
      </c>
      <c r="AJ153" s="22">
        <v>143</v>
      </c>
      <c r="AK153" s="22">
        <v>0.61938499999999996</v>
      </c>
      <c r="AL153">
        <f t="shared" si="30"/>
        <v>16.809100000000001</v>
      </c>
      <c r="AM153">
        <f t="shared" si="31"/>
        <v>10.423608664700001</v>
      </c>
      <c r="AP153" s="9"/>
      <c r="AQ153" s="22">
        <v>1.12991</v>
      </c>
      <c r="AR153" s="22">
        <v>287.35300000000001</v>
      </c>
      <c r="AS153" s="22">
        <v>-1.6567999999999999E-2</v>
      </c>
      <c r="AT153" s="22">
        <v>143</v>
      </c>
      <c r="AU153" s="22">
        <v>1.1285400000000001</v>
      </c>
      <c r="AV153">
        <f t="shared" si="32"/>
        <v>16.567999999999998</v>
      </c>
      <c r="AW153">
        <f t="shared" si="33"/>
        <v>18.720348879999996</v>
      </c>
      <c r="AX153" s="9"/>
      <c r="AY153" s="22">
        <v>0.62011700000000003</v>
      </c>
      <c r="AZ153" s="22">
        <v>366.584</v>
      </c>
      <c r="BA153" s="22">
        <v>-1.6522200000000001E-2</v>
      </c>
      <c r="BB153" s="22">
        <v>143</v>
      </c>
      <c r="BC153" s="22">
        <v>0.61950700000000003</v>
      </c>
      <c r="BD153">
        <f t="shared" si="34"/>
        <v>16.522200000000002</v>
      </c>
      <c r="BE153">
        <f t="shared" si="35"/>
        <v>10.245697097400001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38.152299999999997</v>
      </c>
      <c r="I154" s="22">
        <v>-1.6708400000000002E-2</v>
      </c>
      <c r="J154" s="22">
        <v>144</v>
      </c>
      <c r="K154" s="22">
        <v>1.1239600000000001</v>
      </c>
      <c r="L154">
        <f t="shared" si="24"/>
        <v>16.708400000000001</v>
      </c>
      <c r="M154">
        <f t="shared" si="25"/>
        <v>18.794944992000001</v>
      </c>
      <c r="N154" s="9"/>
      <c r="O154" s="22">
        <v>0.62515299999999996</v>
      </c>
      <c r="P154" s="22">
        <v>93.548100000000005</v>
      </c>
      <c r="Q154" s="22">
        <v>-1.7147800000000001E-2</v>
      </c>
      <c r="R154" s="22">
        <v>144</v>
      </c>
      <c r="S154" s="22">
        <v>0.62451199999999996</v>
      </c>
      <c r="T154">
        <f t="shared" si="26"/>
        <v>17.1478</v>
      </c>
      <c r="U154">
        <f t="shared" si="27"/>
        <v>10.7199986134</v>
      </c>
      <c r="X154" s="9"/>
      <c r="Y154" s="22">
        <v>1.1248800000000001</v>
      </c>
      <c r="Z154" s="22">
        <v>155.505</v>
      </c>
      <c r="AA154" s="22">
        <v>-1.67542E-2</v>
      </c>
      <c r="AB154" s="22">
        <v>144</v>
      </c>
      <c r="AC154" s="22">
        <v>1.1233500000000001</v>
      </c>
      <c r="AD154">
        <f t="shared" si="28"/>
        <v>16.754200000000001</v>
      </c>
      <c r="AE154">
        <f t="shared" si="29"/>
        <v>18.846464496000003</v>
      </c>
      <c r="AF154" s="9"/>
      <c r="AG154" s="22">
        <v>0.62515299999999996</v>
      </c>
      <c r="AH154" s="22">
        <v>235.03700000000001</v>
      </c>
      <c r="AI154" s="22">
        <v>-1.6790800000000002E-2</v>
      </c>
      <c r="AJ154" s="22">
        <v>144</v>
      </c>
      <c r="AK154" s="22">
        <v>0.62451199999999996</v>
      </c>
      <c r="AL154">
        <f t="shared" si="30"/>
        <v>16.790800000000001</v>
      </c>
      <c r="AM154">
        <f t="shared" si="31"/>
        <v>10.4968189924</v>
      </c>
      <c r="AP154" s="9"/>
      <c r="AQ154" s="22">
        <v>1.1248800000000001</v>
      </c>
      <c r="AR154" s="22">
        <v>287.45400000000001</v>
      </c>
      <c r="AS154" s="22">
        <v>-1.65527E-2</v>
      </c>
      <c r="AT154" s="22">
        <v>144</v>
      </c>
      <c r="AU154" s="22">
        <v>1.1236600000000001</v>
      </c>
      <c r="AV154">
        <f t="shared" si="32"/>
        <v>16.552700000000002</v>
      </c>
      <c r="AW154">
        <f t="shared" si="33"/>
        <v>18.619801176000003</v>
      </c>
      <c r="AX154" s="9"/>
      <c r="AY154" s="22">
        <v>0.62515299999999996</v>
      </c>
      <c r="AZ154" s="22">
        <v>366.68400000000003</v>
      </c>
      <c r="BA154" s="22">
        <v>-1.6561900000000001E-2</v>
      </c>
      <c r="BB154" s="22">
        <v>144</v>
      </c>
      <c r="BC154" s="22">
        <v>0.62451199999999996</v>
      </c>
      <c r="BD154">
        <f t="shared" si="34"/>
        <v>16.561900000000001</v>
      </c>
      <c r="BE154">
        <f t="shared" si="35"/>
        <v>10.3537214707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38.253</v>
      </c>
      <c r="I155" s="22">
        <v>-1.6735799999999999E-2</v>
      </c>
      <c r="J155" s="22">
        <v>145</v>
      </c>
      <c r="K155" s="22">
        <v>1.11938</v>
      </c>
      <c r="L155">
        <f t="shared" si="24"/>
        <v>16.735799999999998</v>
      </c>
      <c r="M155">
        <f t="shared" si="25"/>
        <v>18.741418271999997</v>
      </c>
      <c r="N155" s="9"/>
      <c r="O155" s="22">
        <v>0.63018799999999997</v>
      </c>
      <c r="P155" s="22">
        <v>93.648799999999994</v>
      </c>
      <c r="Q155" s="22">
        <v>-1.7141699999999999E-2</v>
      </c>
      <c r="R155" s="22">
        <v>145</v>
      </c>
      <c r="S155" s="22">
        <v>0.62954699999999997</v>
      </c>
      <c r="T155">
        <f t="shared" si="26"/>
        <v>17.1417</v>
      </c>
      <c r="U155">
        <f t="shared" si="27"/>
        <v>10.8024936396</v>
      </c>
      <c r="X155" s="9"/>
      <c r="Y155" s="22">
        <v>1.1198399999999999</v>
      </c>
      <c r="Z155" s="22">
        <v>155.60599999999999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235.13800000000001</v>
      </c>
      <c r="AI155" s="22">
        <v>-1.6781600000000001E-2</v>
      </c>
      <c r="AJ155" s="22">
        <v>145</v>
      </c>
      <c r="AK155" s="22">
        <v>0.62945600000000002</v>
      </c>
      <c r="AL155">
        <f t="shared" si="30"/>
        <v>16.781600000000001</v>
      </c>
      <c r="AM155">
        <f t="shared" si="31"/>
        <v>10.575562940799999</v>
      </c>
      <c r="AP155" s="9"/>
      <c r="AQ155" s="22">
        <v>1.1198399999999999</v>
      </c>
      <c r="AR155" s="22">
        <v>287.55500000000001</v>
      </c>
      <c r="AS155" s="22">
        <v>-1.6570999999999999E-2</v>
      </c>
      <c r="AT155" s="22">
        <v>145</v>
      </c>
      <c r="AU155" s="22">
        <v>1.11877</v>
      </c>
      <c r="AV155">
        <f t="shared" si="32"/>
        <v>16.570999999999998</v>
      </c>
      <c r="AW155">
        <f t="shared" si="33"/>
        <v>18.556868639999998</v>
      </c>
      <c r="AX155" s="9"/>
      <c r="AY155" s="22">
        <v>0.63018799999999997</v>
      </c>
      <c r="AZ155" s="22">
        <v>366.78500000000003</v>
      </c>
      <c r="BA155" s="22">
        <v>-1.6583299999999999E-2</v>
      </c>
      <c r="BB155" s="22">
        <v>145</v>
      </c>
      <c r="BC155" s="22">
        <v>0.62951699999999999</v>
      </c>
      <c r="BD155">
        <f t="shared" si="34"/>
        <v>16.583299999999998</v>
      </c>
      <c r="BE155">
        <f t="shared" si="35"/>
        <v>10.450596660399999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38.353700000000003</v>
      </c>
      <c r="I156" s="22">
        <v>-1.6735799999999999E-2</v>
      </c>
      <c r="J156" s="22">
        <v>146</v>
      </c>
      <c r="K156" s="22">
        <v>1.1142000000000001</v>
      </c>
      <c r="L156">
        <f t="shared" si="24"/>
        <v>16.735799999999998</v>
      </c>
      <c r="M156">
        <f t="shared" si="25"/>
        <v>18.657237197999997</v>
      </c>
      <c r="N156" s="9"/>
      <c r="O156" s="22">
        <v>0.63522299999999998</v>
      </c>
      <c r="P156" s="22">
        <v>93.749499999999998</v>
      </c>
      <c r="Q156" s="22">
        <v>-1.7156999999999999E-2</v>
      </c>
      <c r="R156" s="22">
        <v>146</v>
      </c>
      <c r="S156" s="22">
        <v>0.63461299999999998</v>
      </c>
      <c r="T156">
        <f t="shared" si="26"/>
        <v>17.157</v>
      </c>
      <c r="U156">
        <f t="shared" si="27"/>
        <v>10.898521011</v>
      </c>
      <c r="X156" s="9"/>
      <c r="Y156" s="22">
        <v>1.1148100000000001</v>
      </c>
      <c r="Z156" s="22">
        <v>155.70599999999999</v>
      </c>
      <c r="AA156" s="22">
        <v>-1.6763299999999998E-2</v>
      </c>
      <c r="AB156" s="22">
        <v>146</v>
      </c>
      <c r="AC156" s="22">
        <v>1.1142000000000001</v>
      </c>
      <c r="AD156">
        <f t="shared" si="28"/>
        <v>16.763299999999997</v>
      </c>
      <c r="AE156">
        <f t="shared" si="29"/>
        <v>18.687894473</v>
      </c>
      <c r="AF156" s="9"/>
      <c r="AG156" s="22">
        <v>0.63522299999999998</v>
      </c>
      <c r="AH156" s="22">
        <v>235.239</v>
      </c>
      <c r="AI156" s="22">
        <v>-1.6775499999999999E-2</v>
      </c>
      <c r="AJ156" s="22">
        <v>146</v>
      </c>
      <c r="AK156" s="22">
        <v>0.634552</v>
      </c>
      <c r="AL156">
        <f t="shared" si="30"/>
        <v>16.775499999999997</v>
      </c>
      <c r="AM156">
        <f t="shared" si="31"/>
        <v>10.656183436499997</v>
      </c>
      <c r="AP156" s="9"/>
      <c r="AQ156" s="22">
        <v>1.1148100000000001</v>
      </c>
      <c r="AR156" s="22">
        <v>287.65600000000001</v>
      </c>
      <c r="AS156" s="22">
        <v>-1.65527E-2</v>
      </c>
      <c r="AT156" s="22">
        <v>146</v>
      </c>
      <c r="AU156" s="22">
        <v>1.1135900000000001</v>
      </c>
      <c r="AV156">
        <f t="shared" si="32"/>
        <v>16.552700000000002</v>
      </c>
      <c r="AW156">
        <f t="shared" si="33"/>
        <v>18.453115487000002</v>
      </c>
      <c r="AX156" s="9"/>
      <c r="AY156" s="22">
        <v>0.63522299999999998</v>
      </c>
      <c r="AZ156" s="22">
        <v>366.88600000000002</v>
      </c>
      <c r="BA156" s="22">
        <v>-1.6558799999999999E-2</v>
      </c>
      <c r="BB156" s="22">
        <v>146</v>
      </c>
      <c r="BC156" s="22">
        <v>0.634552</v>
      </c>
      <c r="BD156">
        <f t="shared" si="34"/>
        <v>16.558799999999998</v>
      </c>
      <c r="BE156">
        <f t="shared" si="35"/>
        <v>10.518530612399998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38.4544</v>
      </c>
      <c r="I157" s="22">
        <v>-1.6738900000000001E-2</v>
      </c>
      <c r="J157" s="22">
        <v>147</v>
      </c>
      <c r="K157" s="22">
        <v>1.1090100000000001</v>
      </c>
      <c r="L157">
        <f t="shared" si="24"/>
        <v>16.738900000000001</v>
      </c>
      <c r="M157">
        <f t="shared" si="25"/>
        <v>18.576329052999998</v>
      </c>
      <c r="N157" s="9"/>
      <c r="O157" s="22">
        <v>0.64025900000000002</v>
      </c>
      <c r="P157" s="22">
        <v>93.850200000000001</v>
      </c>
      <c r="Q157" s="22">
        <v>-1.71387E-2</v>
      </c>
      <c r="R157" s="22">
        <v>147</v>
      </c>
      <c r="S157" s="22">
        <v>0.63955700000000004</v>
      </c>
      <c r="T157">
        <f t="shared" si="26"/>
        <v>17.1387</v>
      </c>
      <c r="U157">
        <f t="shared" si="27"/>
        <v>10.973206923300001</v>
      </c>
      <c r="X157" s="9"/>
      <c r="Y157" s="22">
        <v>1.1097699999999999</v>
      </c>
      <c r="Z157" s="22">
        <v>155.80699999999999</v>
      </c>
      <c r="AA157" s="22">
        <v>-1.6760299999999999E-2</v>
      </c>
      <c r="AB157" s="22">
        <v>147</v>
      </c>
      <c r="AC157" s="22">
        <v>1.1090100000000001</v>
      </c>
      <c r="AD157">
        <f t="shared" si="28"/>
        <v>16.760299999999997</v>
      </c>
      <c r="AE157">
        <f t="shared" si="29"/>
        <v>18.600078130999997</v>
      </c>
      <c r="AF157" s="9"/>
      <c r="AG157" s="22">
        <v>0.64025900000000002</v>
      </c>
      <c r="AH157" s="22">
        <v>235.339</v>
      </c>
      <c r="AI157" s="22">
        <v>-1.67847E-2</v>
      </c>
      <c r="AJ157" s="22">
        <v>147</v>
      </c>
      <c r="AK157" s="22">
        <v>0.63958700000000002</v>
      </c>
      <c r="AL157">
        <f t="shared" si="30"/>
        <v>16.784700000000001</v>
      </c>
      <c r="AM157">
        <f t="shared" si="31"/>
        <v>10.746555237300001</v>
      </c>
      <c r="AP157" s="9"/>
      <c r="AQ157" s="22">
        <v>1.1097699999999999</v>
      </c>
      <c r="AR157" s="22">
        <v>287.75599999999997</v>
      </c>
      <c r="AS157" s="22">
        <v>-1.6601600000000001E-2</v>
      </c>
      <c r="AT157" s="22">
        <v>147</v>
      </c>
      <c r="AU157" s="22">
        <v>1.1084000000000001</v>
      </c>
      <c r="AV157">
        <f t="shared" si="32"/>
        <v>16.601600000000001</v>
      </c>
      <c r="AW157">
        <f t="shared" si="33"/>
        <v>18.423957632</v>
      </c>
      <c r="AX157" s="9"/>
      <c r="AY157" s="22">
        <v>0.64025900000000002</v>
      </c>
      <c r="AZ157" s="22">
        <v>366.98700000000002</v>
      </c>
      <c r="BA157" s="22">
        <v>-1.6570999999999999E-2</v>
      </c>
      <c r="BB157" s="22">
        <v>147</v>
      </c>
      <c r="BC157" s="22">
        <v>0.63961800000000002</v>
      </c>
      <c r="BD157">
        <f t="shared" si="34"/>
        <v>16.570999999999998</v>
      </c>
      <c r="BE157">
        <f t="shared" si="35"/>
        <v>10.609731888999999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38.555100000000003</v>
      </c>
      <c r="I158" s="22">
        <v>-1.6766400000000001E-2</v>
      </c>
      <c r="J158" s="22">
        <v>148</v>
      </c>
      <c r="K158" s="22">
        <v>1.10382</v>
      </c>
      <c r="L158">
        <f t="shared" si="24"/>
        <v>16.766400000000001</v>
      </c>
      <c r="M158">
        <f t="shared" si="25"/>
        <v>18.522512736000003</v>
      </c>
      <c r="N158" s="9"/>
      <c r="O158" s="22">
        <v>0.64529400000000003</v>
      </c>
      <c r="P158" s="22">
        <v>93.950900000000004</v>
      </c>
      <c r="Q158" s="22">
        <v>-1.71234E-2</v>
      </c>
      <c r="R158" s="22">
        <v>148</v>
      </c>
      <c r="S158" s="22">
        <v>0.64456199999999997</v>
      </c>
      <c r="T158">
        <f t="shared" si="26"/>
        <v>17.1234</v>
      </c>
      <c r="U158">
        <f t="shared" si="27"/>
        <v>11.049627279600001</v>
      </c>
      <c r="X158" s="9"/>
      <c r="Y158" s="22">
        <v>1.1047400000000001</v>
      </c>
      <c r="Z158" s="22">
        <v>155.90799999999999</v>
      </c>
      <c r="AA158" s="22">
        <v>-1.6778600000000001E-2</v>
      </c>
      <c r="AB158" s="22">
        <v>148</v>
      </c>
      <c r="AC158" s="22">
        <v>1.1041300000000001</v>
      </c>
      <c r="AD158">
        <f t="shared" si="28"/>
        <v>16.778600000000001</v>
      </c>
      <c r="AE158">
        <f t="shared" si="29"/>
        <v>18.535990564000002</v>
      </c>
      <c r="AF158" s="9"/>
      <c r="AG158" s="22">
        <v>0.64529400000000003</v>
      </c>
      <c r="AH158" s="22">
        <v>235.44</v>
      </c>
      <c r="AI158" s="22">
        <v>-1.67847E-2</v>
      </c>
      <c r="AJ158" s="22">
        <v>148</v>
      </c>
      <c r="AK158" s="22">
        <v>0.64465300000000003</v>
      </c>
      <c r="AL158">
        <f t="shared" si="30"/>
        <v>16.784700000000001</v>
      </c>
      <c r="AM158">
        <f t="shared" si="31"/>
        <v>10.831066201800001</v>
      </c>
      <c r="AP158" s="9"/>
      <c r="AQ158" s="22">
        <v>1.1047400000000001</v>
      </c>
      <c r="AR158" s="22">
        <v>287.85700000000003</v>
      </c>
      <c r="AS158" s="22">
        <v>-1.6610699999999999E-2</v>
      </c>
      <c r="AT158" s="22">
        <v>148</v>
      </c>
      <c r="AU158" s="22">
        <v>1.1041300000000001</v>
      </c>
      <c r="AV158">
        <f t="shared" si="32"/>
        <v>16.610699999999998</v>
      </c>
      <c r="AW158">
        <f t="shared" si="33"/>
        <v>18.350504718</v>
      </c>
      <c r="AX158" s="9"/>
      <c r="AY158" s="22">
        <v>0.64529400000000003</v>
      </c>
      <c r="AZ158" s="22">
        <v>367.08699999999999</v>
      </c>
      <c r="BA158" s="22">
        <v>-1.6558799999999999E-2</v>
      </c>
      <c r="BB158" s="22">
        <v>148</v>
      </c>
      <c r="BC158" s="22">
        <v>0.64465300000000003</v>
      </c>
      <c r="BD158">
        <f t="shared" si="34"/>
        <v>16.558799999999998</v>
      </c>
      <c r="BE158">
        <f t="shared" si="35"/>
        <v>10.6852942872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38.655799999999999</v>
      </c>
      <c r="I159" s="22">
        <v>-1.67542E-2</v>
      </c>
      <c r="J159" s="22">
        <v>149</v>
      </c>
      <c r="K159" s="22">
        <v>1.09924</v>
      </c>
      <c r="L159">
        <f t="shared" si="24"/>
        <v>16.754200000000001</v>
      </c>
      <c r="M159">
        <f t="shared" si="25"/>
        <v>18.424593739999999</v>
      </c>
      <c r="N159" s="9"/>
      <c r="O159" s="22">
        <v>0.65032999999999996</v>
      </c>
      <c r="P159" s="22">
        <v>94.051599999999993</v>
      </c>
      <c r="Q159" s="22">
        <v>-1.7126499999999999E-2</v>
      </c>
      <c r="R159" s="22">
        <v>149</v>
      </c>
      <c r="S159" s="22">
        <v>0.64965799999999996</v>
      </c>
      <c r="T159">
        <f t="shared" si="26"/>
        <v>17.1265</v>
      </c>
      <c r="U159">
        <f t="shared" si="27"/>
        <v>11.137876745</v>
      </c>
      <c r="X159" s="9"/>
      <c r="Y159" s="22">
        <v>1.0996999999999999</v>
      </c>
      <c r="Z159" s="22">
        <v>156.00899999999999</v>
      </c>
      <c r="AA159" s="22">
        <v>-1.6775499999999999E-2</v>
      </c>
      <c r="AB159" s="22">
        <v>149</v>
      </c>
      <c r="AC159" s="22">
        <v>1.09894</v>
      </c>
      <c r="AD159">
        <f t="shared" si="28"/>
        <v>16.775499999999997</v>
      </c>
      <c r="AE159">
        <f t="shared" si="29"/>
        <v>18.448017349999997</v>
      </c>
      <c r="AF159" s="9"/>
      <c r="AG159" s="22">
        <v>0.65032999999999996</v>
      </c>
      <c r="AH159" s="22">
        <v>235.541</v>
      </c>
      <c r="AI159" s="22">
        <v>-1.6772499999999999E-2</v>
      </c>
      <c r="AJ159" s="22">
        <v>149</v>
      </c>
      <c r="AK159" s="22">
        <v>0.64965799999999996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287.95800000000003</v>
      </c>
      <c r="AS159" s="22">
        <v>-1.66351E-2</v>
      </c>
      <c r="AT159" s="22">
        <v>149</v>
      </c>
      <c r="AU159" s="22">
        <v>1.09894</v>
      </c>
      <c r="AV159">
        <f t="shared" si="32"/>
        <v>16.635100000000001</v>
      </c>
      <c r="AW159">
        <f t="shared" si="33"/>
        <v>18.293619469999999</v>
      </c>
      <c r="AX159" s="9"/>
      <c r="AY159" s="22">
        <v>0.65032999999999996</v>
      </c>
      <c r="AZ159" s="22">
        <v>367.18799999999999</v>
      </c>
      <c r="BA159" s="22">
        <v>-1.65527E-2</v>
      </c>
      <c r="BB159" s="22">
        <v>149</v>
      </c>
      <c r="BC159" s="22">
        <v>0.64968899999999996</v>
      </c>
      <c r="BD159">
        <f t="shared" si="34"/>
        <v>16.552700000000002</v>
      </c>
      <c r="BE159">
        <f t="shared" si="35"/>
        <v>10.764717391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38.756500000000003</v>
      </c>
      <c r="I160" s="22">
        <v>-1.6747999999999999E-2</v>
      </c>
      <c r="J160" s="22">
        <v>150</v>
      </c>
      <c r="K160" s="22">
        <v>1.09314</v>
      </c>
      <c r="L160">
        <f t="shared" si="24"/>
        <v>16.747999999999998</v>
      </c>
      <c r="M160">
        <f t="shared" si="25"/>
        <v>18.333533159999998</v>
      </c>
      <c r="N160" s="9"/>
      <c r="O160" s="22">
        <v>0.65536499999999998</v>
      </c>
      <c r="P160" s="22">
        <v>94.1524</v>
      </c>
      <c r="Q160" s="22">
        <v>-1.7120400000000001E-2</v>
      </c>
      <c r="R160" s="22">
        <v>150</v>
      </c>
      <c r="S160" s="22">
        <v>0.65472399999999997</v>
      </c>
      <c r="T160">
        <f t="shared" si="26"/>
        <v>17.1204</v>
      </c>
      <c r="U160">
        <f t="shared" si="27"/>
        <v>11.220110946</v>
      </c>
      <c r="X160" s="9"/>
      <c r="Y160" s="22">
        <v>1.09467</v>
      </c>
      <c r="Z160" s="22">
        <v>156.10900000000001</v>
      </c>
      <c r="AA160" s="22">
        <v>-1.6772499999999999E-2</v>
      </c>
      <c r="AB160" s="22">
        <v>150</v>
      </c>
      <c r="AC160" s="22">
        <v>1.09375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235.642</v>
      </c>
      <c r="AI160" s="22">
        <v>-1.6790800000000002E-2</v>
      </c>
      <c r="AJ160" s="22">
        <v>150</v>
      </c>
      <c r="AK160" s="22">
        <v>0.65475499999999998</v>
      </c>
      <c r="AL160">
        <f t="shared" si="30"/>
        <v>16.790800000000001</v>
      </c>
      <c r="AM160">
        <f t="shared" si="31"/>
        <v>11.004102641999999</v>
      </c>
      <c r="AP160" s="9"/>
      <c r="AQ160" s="22">
        <v>1.09467</v>
      </c>
      <c r="AR160" s="22">
        <v>288.05799999999999</v>
      </c>
      <c r="AS160" s="22">
        <v>-1.66321E-2</v>
      </c>
      <c r="AT160" s="22">
        <v>150</v>
      </c>
      <c r="AU160" s="22">
        <v>1.09406</v>
      </c>
      <c r="AV160">
        <f t="shared" si="32"/>
        <v>16.632100000000001</v>
      </c>
      <c r="AW160">
        <f t="shared" si="33"/>
        <v>18.206660907000003</v>
      </c>
      <c r="AX160" s="9"/>
      <c r="AY160" s="22">
        <v>0.65536499999999998</v>
      </c>
      <c r="AZ160" s="22">
        <v>367.28899999999999</v>
      </c>
      <c r="BA160" s="22">
        <v>-1.65253E-2</v>
      </c>
      <c r="BB160" s="22">
        <v>150</v>
      </c>
      <c r="BC160" s="22">
        <v>0.65478499999999995</v>
      </c>
      <c r="BD160">
        <f t="shared" si="34"/>
        <v>16.525300000000001</v>
      </c>
      <c r="BE160">
        <f t="shared" si="35"/>
        <v>10.830103234500001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38.857199999999999</v>
      </c>
      <c r="I161" s="22">
        <v>-1.6735799999999999E-2</v>
      </c>
      <c r="J161" s="22">
        <v>151</v>
      </c>
      <c r="K161" s="22">
        <v>1.08917</v>
      </c>
      <c r="L161">
        <f t="shared" si="24"/>
        <v>16.735799999999998</v>
      </c>
      <c r="M161">
        <f t="shared" si="25"/>
        <v>18.235829753999997</v>
      </c>
      <c r="N161" s="9"/>
      <c r="O161" s="22">
        <v>0.66039999999999999</v>
      </c>
      <c r="P161" s="22">
        <v>94.253100000000003</v>
      </c>
      <c r="Q161" s="22">
        <v>-1.7117299999999998E-2</v>
      </c>
      <c r="R161" s="22">
        <v>151</v>
      </c>
      <c r="S161" s="22">
        <v>0.65966800000000003</v>
      </c>
      <c r="T161">
        <f t="shared" si="26"/>
        <v>17.1173</v>
      </c>
      <c r="U161">
        <f t="shared" si="27"/>
        <v>11.30426492</v>
      </c>
      <c r="X161" s="9"/>
      <c r="Y161" s="22">
        <v>1.0896300000000001</v>
      </c>
      <c r="Z161" s="22">
        <v>156.21</v>
      </c>
      <c r="AA161" s="22">
        <v>-1.6790800000000002E-2</v>
      </c>
      <c r="AB161" s="22">
        <v>151</v>
      </c>
      <c r="AC161" s="22">
        <v>1.08826</v>
      </c>
      <c r="AD161">
        <f t="shared" si="28"/>
        <v>16.790800000000001</v>
      </c>
      <c r="AE161">
        <f t="shared" si="29"/>
        <v>18.295759404000002</v>
      </c>
      <c r="AF161" s="9"/>
      <c r="AG161" s="22">
        <v>0.66039999999999999</v>
      </c>
      <c r="AH161" s="22">
        <v>235.74199999999999</v>
      </c>
      <c r="AI161" s="22">
        <v>-1.67969E-2</v>
      </c>
      <c r="AJ161" s="22">
        <v>151</v>
      </c>
      <c r="AK161" s="22">
        <v>0.65978999999999999</v>
      </c>
      <c r="AL161">
        <f t="shared" si="30"/>
        <v>16.796900000000001</v>
      </c>
      <c r="AM161">
        <f t="shared" si="31"/>
        <v>11.092672760000001</v>
      </c>
      <c r="AP161" s="9"/>
      <c r="AQ161" s="22">
        <v>1.0896300000000001</v>
      </c>
      <c r="AR161" s="22">
        <v>288.15899999999999</v>
      </c>
      <c r="AS161" s="22">
        <v>-1.6613800000000001E-2</v>
      </c>
      <c r="AT161" s="22">
        <v>151</v>
      </c>
      <c r="AU161" s="22">
        <v>1.08856</v>
      </c>
      <c r="AV161">
        <f t="shared" si="32"/>
        <v>16.613800000000001</v>
      </c>
      <c r="AW161">
        <f t="shared" si="33"/>
        <v>18.102894894000002</v>
      </c>
      <c r="AX161" s="9"/>
      <c r="AY161" s="22">
        <v>0.66039999999999999</v>
      </c>
      <c r="AZ161" s="22">
        <v>367.38900000000001</v>
      </c>
      <c r="BA161" s="22">
        <v>-1.65527E-2</v>
      </c>
      <c r="BB161" s="22">
        <v>151</v>
      </c>
      <c r="BC161" s="22">
        <v>0.65982099999999999</v>
      </c>
      <c r="BD161">
        <f t="shared" si="34"/>
        <v>16.552700000000002</v>
      </c>
      <c r="BE161">
        <f t="shared" si="35"/>
        <v>10.931403080000001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38.957900000000002</v>
      </c>
      <c r="I162" s="22">
        <v>-1.6732799999999999E-2</v>
      </c>
      <c r="J162" s="22">
        <v>152</v>
      </c>
      <c r="K162" s="22">
        <v>1.08368</v>
      </c>
      <c r="L162">
        <f t="shared" si="24"/>
        <v>16.732799999999997</v>
      </c>
      <c r="M162">
        <f t="shared" si="25"/>
        <v>18.148227551999998</v>
      </c>
      <c r="N162" s="9"/>
      <c r="O162" s="22">
        <v>0.66543600000000003</v>
      </c>
      <c r="P162" s="22">
        <v>94.353800000000007</v>
      </c>
      <c r="Q162" s="22">
        <v>-1.7132600000000001E-2</v>
      </c>
      <c r="R162" s="22">
        <v>152</v>
      </c>
      <c r="S162" s="22">
        <v>0.66473400000000005</v>
      </c>
      <c r="T162">
        <f t="shared" si="26"/>
        <v>17.1326</v>
      </c>
      <c r="U162">
        <f t="shared" si="27"/>
        <v>11.4006488136</v>
      </c>
      <c r="X162" s="9"/>
      <c r="Y162" s="22">
        <v>1.0845899999999999</v>
      </c>
      <c r="Z162" s="22">
        <v>156.31100000000001</v>
      </c>
      <c r="AA162" s="22">
        <v>-1.67999E-2</v>
      </c>
      <c r="AB162" s="22">
        <v>152</v>
      </c>
      <c r="AC162" s="22">
        <v>1.0833699999999999</v>
      </c>
      <c r="AD162">
        <f t="shared" si="28"/>
        <v>16.799900000000001</v>
      </c>
      <c r="AE162">
        <f t="shared" si="29"/>
        <v>18.221003541000002</v>
      </c>
      <c r="AF162" s="9"/>
      <c r="AG162" s="22">
        <v>0.66543600000000003</v>
      </c>
      <c r="AH162" s="22">
        <v>235.84299999999999</v>
      </c>
      <c r="AI162" s="22">
        <v>-1.6830399999999999E-2</v>
      </c>
      <c r="AJ162" s="22">
        <v>152</v>
      </c>
      <c r="AK162" s="22">
        <v>0.66479500000000002</v>
      </c>
      <c r="AL162">
        <f t="shared" si="30"/>
        <v>16.830399999999997</v>
      </c>
      <c r="AM162">
        <f t="shared" si="31"/>
        <v>11.199554054399998</v>
      </c>
      <c r="AP162" s="9"/>
      <c r="AQ162" s="22">
        <v>1.0845899999999999</v>
      </c>
      <c r="AR162" s="22">
        <v>288.26</v>
      </c>
      <c r="AS162" s="22">
        <v>-1.6604600000000001E-2</v>
      </c>
      <c r="AT162" s="22">
        <v>152</v>
      </c>
      <c r="AU162" s="22">
        <v>1.08368</v>
      </c>
      <c r="AV162">
        <f t="shared" si="32"/>
        <v>16.604600000000001</v>
      </c>
      <c r="AW162">
        <f t="shared" si="33"/>
        <v>18.009183113999999</v>
      </c>
      <c r="AX162" s="9"/>
      <c r="AY162" s="22">
        <v>0.66543600000000003</v>
      </c>
      <c r="AZ162" s="22">
        <v>367.49</v>
      </c>
      <c r="BA162" s="22">
        <v>-1.6531400000000002E-2</v>
      </c>
      <c r="BB162" s="22">
        <v>152</v>
      </c>
      <c r="BC162" s="22">
        <v>0.66467299999999996</v>
      </c>
      <c r="BD162">
        <f t="shared" si="34"/>
        <v>16.531400000000001</v>
      </c>
      <c r="BE162">
        <f t="shared" si="35"/>
        <v>11.000588690400001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39.058599999999998</v>
      </c>
      <c r="I163" s="22">
        <v>-1.6747999999999999E-2</v>
      </c>
      <c r="J163" s="22">
        <v>153</v>
      </c>
      <c r="K163" s="22">
        <v>1.0784899999999999</v>
      </c>
      <c r="L163">
        <f t="shared" si="24"/>
        <v>16.747999999999998</v>
      </c>
      <c r="M163">
        <f t="shared" si="25"/>
        <v>18.08047088</v>
      </c>
      <c r="N163" s="9"/>
      <c r="O163" s="22">
        <v>0.67047100000000004</v>
      </c>
      <c r="P163" s="22">
        <v>94.454499999999996</v>
      </c>
      <c r="Q163" s="22">
        <v>-1.7135600000000001E-2</v>
      </c>
      <c r="R163" s="22">
        <v>153</v>
      </c>
      <c r="S163" s="22">
        <v>0.66979999999999995</v>
      </c>
      <c r="T163">
        <f t="shared" si="26"/>
        <v>17.1356</v>
      </c>
      <c r="U163">
        <f t="shared" si="27"/>
        <v>11.488922867600001</v>
      </c>
      <c r="X163" s="9"/>
      <c r="Y163" s="22">
        <v>1.0795600000000001</v>
      </c>
      <c r="Z163" s="22">
        <v>156.411</v>
      </c>
      <c r="AA163" s="22">
        <v>-1.6787699999999999E-2</v>
      </c>
      <c r="AB163" s="22">
        <v>153</v>
      </c>
      <c r="AC163" s="22">
        <v>1.0788</v>
      </c>
      <c r="AD163">
        <f t="shared" si="28"/>
        <v>16.787699999999997</v>
      </c>
      <c r="AE163">
        <f t="shared" si="29"/>
        <v>18.123329411999997</v>
      </c>
      <c r="AF163" s="9"/>
      <c r="AG163" s="22">
        <v>0.67047100000000004</v>
      </c>
      <c r="AH163" s="22">
        <v>235.94399999999999</v>
      </c>
      <c r="AI163" s="22">
        <v>-1.6845700000000002E-2</v>
      </c>
      <c r="AJ163" s="22">
        <v>153</v>
      </c>
      <c r="AK163" s="22">
        <v>0.66979999999999995</v>
      </c>
      <c r="AL163">
        <f t="shared" si="30"/>
        <v>16.845700000000001</v>
      </c>
      <c r="AM163">
        <f t="shared" si="31"/>
        <v>11.294553324700001</v>
      </c>
      <c r="AP163" s="9"/>
      <c r="AQ163" s="22">
        <v>1.0795600000000001</v>
      </c>
      <c r="AR163" s="22">
        <v>288.36099999999999</v>
      </c>
      <c r="AS163" s="22">
        <v>-1.66077E-2</v>
      </c>
      <c r="AT163" s="22">
        <v>153</v>
      </c>
      <c r="AU163" s="22">
        <v>1.0784899999999999</v>
      </c>
      <c r="AV163">
        <f t="shared" si="32"/>
        <v>16.607700000000001</v>
      </c>
      <c r="AW163">
        <f t="shared" si="33"/>
        <v>17.929008612000004</v>
      </c>
      <c r="AX163" s="9"/>
      <c r="AY163" s="22">
        <v>0.67047100000000004</v>
      </c>
      <c r="AZ163" s="22">
        <v>367.59100000000001</v>
      </c>
      <c r="BA163" s="22">
        <v>-1.65405E-2</v>
      </c>
      <c r="BB163" s="22">
        <v>153</v>
      </c>
      <c r="BC163" s="22">
        <v>0.669678</v>
      </c>
      <c r="BD163">
        <f t="shared" si="34"/>
        <v>16.540499999999998</v>
      </c>
      <c r="BE163">
        <f t="shared" si="35"/>
        <v>11.089925575499999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39.159300000000002</v>
      </c>
      <c r="I164" s="22">
        <v>-1.6751100000000001E-2</v>
      </c>
      <c r="J164" s="22">
        <v>154</v>
      </c>
      <c r="K164" s="22">
        <v>1.073</v>
      </c>
      <c r="L164">
        <f t="shared" si="24"/>
        <v>16.751100000000001</v>
      </c>
      <c r="M164">
        <f t="shared" si="25"/>
        <v>17.999391971999998</v>
      </c>
      <c r="N164" s="9"/>
      <c r="O164" s="22">
        <v>0.67550699999999997</v>
      </c>
      <c r="P164" s="22">
        <v>94.555199999999999</v>
      </c>
      <c r="Q164" s="22">
        <v>-1.71234E-2</v>
      </c>
      <c r="R164" s="22">
        <v>154</v>
      </c>
      <c r="S164" s="22">
        <v>0.67483499999999996</v>
      </c>
      <c r="T164">
        <f t="shared" si="26"/>
        <v>17.1234</v>
      </c>
      <c r="U164">
        <f t="shared" si="27"/>
        <v>11.566976563799999</v>
      </c>
      <c r="X164" s="9"/>
      <c r="Y164" s="22">
        <v>1.0745199999999999</v>
      </c>
      <c r="Z164" s="22">
        <v>156.512</v>
      </c>
      <c r="AA164" s="22">
        <v>-1.67999E-2</v>
      </c>
      <c r="AB164" s="22">
        <v>154</v>
      </c>
      <c r="AC164" s="22">
        <v>1.0739099999999999</v>
      </c>
      <c r="AD164">
        <f t="shared" si="28"/>
        <v>16.799900000000001</v>
      </c>
      <c r="AE164">
        <f t="shared" si="29"/>
        <v>18.051828548</v>
      </c>
      <c r="AF164" s="9"/>
      <c r="AG164" s="22">
        <v>0.67550699999999997</v>
      </c>
      <c r="AH164" s="22">
        <v>236.04400000000001</v>
      </c>
      <c r="AI164" s="22">
        <v>-1.6802999999999998E-2</v>
      </c>
      <c r="AJ164" s="22">
        <v>154</v>
      </c>
      <c r="AK164" s="22">
        <v>0.67477399999999998</v>
      </c>
      <c r="AL164">
        <f t="shared" si="30"/>
        <v>16.802999999999997</v>
      </c>
      <c r="AM164">
        <f t="shared" si="31"/>
        <v>11.350544120999997</v>
      </c>
      <c r="AP164" s="9"/>
      <c r="AQ164" s="22">
        <v>1.0745199999999999</v>
      </c>
      <c r="AR164" s="22">
        <v>288.46100000000001</v>
      </c>
      <c r="AS164" s="22">
        <v>-1.6625999999999998E-2</v>
      </c>
      <c r="AT164" s="22">
        <v>154</v>
      </c>
      <c r="AU164" s="22">
        <v>1.0739099999999999</v>
      </c>
      <c r="AV164">
        <f t="shared" si="32"/>
        <v>16.625999999999998</v>
      </c>
      <c r="AW164">
        <f t="shared" si="33"/>
        <v>17.864969519999995</v>
      </c>
      <c r="AX164" s="9"/>
      <c r="AY164" s="22">
        <v>0.67550699999999997</v>
      </c>
      <c r="AZ164" s="22">
        <v>367.69200000000001</v>
      </c>
      <c r="BA164" s="22">
        <v>-1.65375E-2</v>
      </c>
      <c r="BB164" s="22">
        <v>154</v>
      </c>
      <c r="BC164" s="22">
        <v>0.67483499999999996</v>
      </c>
      <c r="BD164">
        <f t="shared" si="34"/>
        <v>16.537500000000001</v>
      </c>
      <c r="BE164">
        <f t="shared" si="35"/>
        <v>11.1711970125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39.26</v>
      </c>
      <c r="I165" s="22">
        <v>-1.6772499999999999E-2</v>
      </c>
      <c r="J165" s="22">
        <v>155</v>
      </c>
      <c r="K165" s="22">
        <v>1.06873</v>
      </c>
      <c r="L165">
        <f t="shared" si="24"/>
        <v>16.772500000000001</v>
      </c>
      <c r="M165">
        <f t="shared" si="25"/>
        <v>17.938021025000001</v>
      </c>
      <c r="N165" s="9"/>
      <c r="O165" s="22">
        <v>0.68054199999999998</v>
      </c>
      <c r="P165" s="22">
        <v>94.655900000000003</v>
      </c>
      <c r="Q165" s="22">
        <v>-1.71387E-2</v>
      </c>
      <c r="R165" s="22">
        <v>155</v>
      </c>
      <c r="S165" s="22">
        <v>0.679871</v>
      </c>
      <c r="T165">
        <f t="shared" si="26"/>
        <v>17.1387</v>
      </c>
      <c r="U165">
        <f t="shared" si="27"/>
        <v>11.663605175399999</v>
      </c>
      <c r="X165" s="9"/>
      <c r="Y165" s="22">
        <v>1.0694900000000001</v>
      </c>
      <c r="Z165" s="22">
        <v>156.613</v>
      </c>
      <c r="AA165" s="22">
        <v>-1.6802999999999998E-2</v>
      </c>
      <c r="AB165" s="22">
        <v>155</v>
      </c>
      <c r="AC165" s="22">
        <v>1.06812</v>
      </c>
      <c r="AD165">
        <f t="shared" si="28"/>
        <v>16.802999999999997</v>
      </c>
      <c r="AE165">
        <f t="shared" si="29"/>
        <v>17.970640469999999</v>
      </c>
      <c r="AF165" s="9"/>
      <c r="AG165" s="22">
        <v>0.68054199999999998</v>
      </c>
      <c r="AH165" s="22">
        <v>236.14500000000001</v>
      </c>
      <c r="AI165" s="22">
        <v>-1.6806000000000001E-2</v>
      </c>
      <c r="AJ165" s="22">
        <v>155</v>
      </c>
      <c r="AK165" s="22">
        <v>0.67984</v>
      </c>
      <c r="AL165">
        <f t="shared" si="30"/>
        <v>16.806000000000001</v>
      </c>
      <c r="AM165">
        <f t="shared" si="31"/>
        <v>11.437188852</v>
      </c>
      <c r="AP165" s="9"/>
      <c r="AQ165" s="22">
        <v>1.0694900000000001</v>
      </c>
      <c r="AR165" s="22">
        <v>288.56200000000001</v>
      </c>
      <c r="AS165" s="22">
        <v>-1.66199E-2</v>
      </c>
      <c r="AT165" s="22">
        <v>155</v>
      </c>
      <c r="AU165" s="22">
        <v>1.0684199999999999</v>
      </c>
      <c r="AV165">
        <f t="shared" si="32"/>
        <v>16.619900000000001</v>
      </c>
      <c r="AW165">
        <f t="shared" si="33"/>
        <v>17.774816851000001</v>
      </c>
      <c r="AX165" s="9"/>
      <c r="AY165" s="22">
        <v>0.68054199999999998</v>
      </c>
      <c r="AZ165" s="22">
        <v>367.79199999999997</v>
      </c>
      <c r="BA165" s="22">
        <v>-1.6519200000000001E-2</v>
      </c>
      <c r="BB165" s="22">
        <v>155</v>
      </c>
      <c r="BC165" s="22">
        <v>0.679871</v>
      </c>
      <c r="BD165">
        <f t="shared" si="34"/>
        <v>16.519200000000001</v>
      </c>
      <c r="BE165">
        <f t="shared" si="35"/>
        <v>11.242009406400001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39.360700000000001</v>
      </c>
      <c r="I166" s="22">
        <v>-1.67694E-2</v>
      </c>
      <c r="J166" s="22">
        <v>156</v>
      </c>
      <c r="K166" s="22">
        <v>1.0635399999999999</v>
      </c>
      <c r="L166">
        <f t="shared" si="24"/>
        <v>16.769400000000001</v>
      </c>
      <c r="M166">
        <f t="shared" si="25"/>
        <v>17.850187829999999</v>
      </c>
      <c r="N166" s="9"/>
      <c r="O166" s="22">
        <v>0.68557699999999999</v>
      </c>
      <c r="P166" s="22">
        <v>94.756600000000006</v>
      </c>
      <c r="Q166" s="22">
        <v>-1.7117299999999998E-2</v>
      </c>
      <c r="R166" s="22">
        <v>156</v>
      </c>
      <c r="S166" s="22">
        <v>0.68490600000000001</v>
      </c>
      <c r="T166">
        <f t="shared" si="26"/>
        <v>17.1173</v>
      </c>
      <c r="U166">
        <f t="shared" si="27"/>
        <v>11.735227182099999</v>
      </c>
      <c r="X166" s="9"/>
      <c r="Y166" s="22">
        <v>1.0644499999999999</v>
      </c>
      <c r="Z166" s="22">
        <v>156.714</v>
      </c>
      <c r="AA166" s="22">
        <v>-1.6827399999999999E-2</v>
      </c>
      <c r="AB166" s="22">
        <v>156</v>
      </c>
      <c r="AC166" s="22">
        <v>1.0635399999999999</v>
      </c>
      <c r="AD166">
        <f t="shared" si="28"/>
        <v>16.827400000000001</v>
      </c>
      <c r="AE166">
        <f t="shared" si="29"/>
        <v>17.911925929999999</v>
      </c>
      <c r="AF166" s="9"/>
      <c r="AG166" s="22">
        <v>0.68557699999999999</v>
      </c>
      <c r="AH166" s="22">
        <v>236.24600000000001</v>
      </c>
      <c r="AI166" s="22">
        <v>-1.67969E-2</v>
      </c>
      <c r="AJ166" s="22">
        <v>156</v>
      </c>
      <c r="AK166" s="22">
        <v>0.68496699999999999</v>
      </c>
      <c r="AL166">
        <f t="shared" si="30"/>
        <v>16.796900000000001</v>
      </c>
      <c r="AM166">
        <f t="shared" si="31"/>
        <v>11.515568311300001</v>
      </c>
      <c r="AP166" s="9"/>
      <c r="AQ166" s="22">
        <v>1.0644499999999999</v>
      </c>
      <c r="AR166" s="22">
        <v>288.66300000000001</v>
      </c>
      <c r="AS166" s="22">
        <v>-1.66473E-2</v>
      </c>
      <c r="AT166" s="22">
        <v>156</v>
      </c>
      <c r="AU166" s="22">
        <v>1.0635399999999999</v>
      </c>
      <c r="AV166">
        <f t="shared" si="32"/>
        <v>16.647300000000001</v>
      </c>
      <c r="AW166">
        <f t="shared" si="33"/>
        <v>17.720218485</v>
      </c>
      <c r="AX166" s="9"/>
      <c r="AY166" s="22">
        <v>0.68557699999999999</v>
      </c>
      <c r="AZ166" s="22">
        <v>367.89299999999997</v>
      </c>
      <c r="BA166" s="22">
        <v>-1.6555799999999999E-2</v>
      </c>
      <c r="BB166" s="22">
        <v>156</v>
      </c>
      <c r="BC166" s="22">
        <v>0.68490600000000001</v>
      </c>
      <c r="BD166">
        <f t="shared" si="34"/>
        <v>16.555799999999998</v>
      </c>
      <c r="BE166">
        <f t="shared" si="35"/>
        <v>11.350275696599999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39.461500000000001</v>
      </c>
      <c r="I167" s="22">
        <v>-1.6787699999999999E-2</v>
      </c>
      <c r="J167" s="22">
        <v>157</v>
      </c>
      <c r="K167" s="22">
        <v>1.0586500000000001</v>
      </c>
      <c r="L167">
        <f t="shared" si="24"/>
        <v>16.787699999999997</v>
      </c>
      <c r="M167">
        <f t="shared" si="25"/>
        <v>17.785225133999997</v>
      </c>
      <c r="N167" s="9"/>
      <c r="O167" s="22">
        <v>0.69061300000000003</v>
      </c>
      <c r="P167" s="22">
        <v>94.857299999999995</v>
      </c>
      <c r="Q167" s="22">
        <v>-1.71234E-2</v>
      </c>
      <c r="R167" s="22">
        <v>157</v>
      </c>
      <c r="S167" s="22">
        <v>0.68991100000000005</v>
      </c>
      <c r="T167">
        <f t="shared" si="26"/>
        <v>17.1234</v>
      </c>
      <c r="U167">
        <f t="shared" si="27"/>
        <v>11.8256426442</v>
      </c>
      <c r="X167" s="9"/>
      <c r="Y167" s="22">
        <v>1.05942</v>
      </c>
      <c r="Z167" s="22">
        <v>156.81399999999999</v>
      </c>
      <c r="AA167" s="22">
        <v>-1.6836500000000001E-2</v>
      </c>
      <c r="AB167" s="22">
        <v>157</v>
      </c>
      <c r="AC167" s="22">
        <v>1.0589599999999999</v>
      </c>
      <c r="AD167">
        <f t="shared" si="28"/>
        <v>16.836500000000001</v>
      </c>
      <c r="AE167">
        <f t="shared" si="29"/>
        <v>17.836924830000001</v>
      </c>
      <c r="AF167" s="9"/>
      <c r="AG167" s="22">
        <v>0.69061300000000003</v>
      </c>
      <c r="AH167" s="22">
        <v>236.34700000000001</v>
      </c>
      <c r="AI167" s="22">
        <v>-1.68091E-2</v>
      </c>
      <c r="AJ167" s="22">
        <v>157</v>
      </c>
      <c r="AK167" s="22">
        <v>0.68994100000000003</v>
      </c>
      <c r="AL167">
        <f t="shared" si="30"/>
        <v>16.809100000000001</v>
      </c>
      <c r="AM167">
        <f t="shared" si="31"/>
        <v>11.608582978300001</v>
      </c>
      <c r="AP167" s="9"/>
      <c r="AQ167" s="22">
        <v>1.05942</v>
      </c>
      <c r="AR167" s="22">
        <v>288.76299999999998</v>
      </c>
      <c r="AS167" s="22">
        <v>-1.6656500000000001E-2</v>
      </c>
      <c r="AT167" s="22">
        <v>157</v>
      </c>
      <c r="AU167" s="22">
        <v>1.0583499999999999</v>
      </c>
      <c r="AV167">
        <f t="shared" si="32"/>
        <v>16.656500000000001</v>
      </c>
      <c r="AW167">
        <f t="shared" si="33"/>
        <v>17.646229230000003</v>
      </c>
      <c r="AX167" s="9"/>
      <c r="AY167" s="22">
        <v>0.69061300000000003</v>
      </c>
      <c r="AZ167" s="22">
        <v>367.99400000000003</v>
      </c>
      <c r="BA167" s="22">
        <v>-1.65253E-2</v>
      </c>
      <c r="BB167" s="22">
        <v>157</v>
      </c>
      <c r="BC167" s="22">
        <v>0.68997200000000003</v>
      </c>
      <c r="BD167">
        <f t="shared" si="34"/>
        <v>16.525300000000001</v>
      </c>
      <c r="BE167">
        <f t="shared" si="35"/>
        <v>11.412587008900001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39.562199999999997</v>
      </c>
      <c r="I168" s="22">
        <v>-1.68121E-2</v>
      </c>
      <c r="J168" s="22">
        <v>158</v>
      </c>
      <c r="K168" s="22">
        <v>1.0534699999999999</v>
      </c>
      <c r="L168">
        <f t="shared" si="24"/>
        <v>16.812100000000001</v>
      </c>
      <c r="M168">
        <f t="shared" si="25"/>
        <v>17.726341998000002</v>
      </c>
      <c r="N168" s="9"/>
      <c r="O168" s="22">
        <v>0.69564800000000004</v>
      </c>
      <c r="P168" s="22">
        <v>94.957999999999998</v>
      </c>
      <c r="Q168" s="22">
        <v>-1.71112E-2</v>
      </c>
      <c r="R168" s="22">
        <v>158</v>
      </c>
      <c r="S168" s="22">
        <v>0.69494599999999995</v>
      </c>
      <c r="T168">
        <f t="shared" si="26"/>
        <v>17.1112</v>
      </c>
      <c r="U168">
        <f t="shared" si="27"/>
        <v>11.9033720576</v>
      </c>
      <c r="X168" s="9"/>
      <c r="Y168" s="22">
        <v>1.0543800000000001</v>
      </c>
      <c r="Z168" s="22">
        <v>156.91499999999999</v>
      </c>
      <c r="AA168" s="22">
        <v>-1.6833500000000001E-2</v>
      </c>
      <c r="AB168" s="22">
        <v>158</v>
      </c>
      <c r="AC168" s="22">
        <v>1.0534699999999999</v>
      </c>
      <c r="AD168">
        <f t="shared" si="28"/>
        <v>16.833500000000001</v>
      </c>
      <c r="AE168">
        <f t="shared" si="29"/>
        <v>17.748905730000004</v>
      </c>
      <c r="AF168" s="9"/>
      <c r="AG168" s="22">
        <v>0.69564800000000004</v>
      </c>
      <c r="AH168" s="22">
        <v>236.447</v>
      </c>
      <c r="AI168" s="22">
        <v>-1.67969E-2</v>
      </c>
      <c r="AJ168" s="22">
        <v>158</v>
      </c>
      <c r="AK168" s="22">
        <v>0.69494599999999995</v>
      </c>
      <c r="AL168">
        <f t="shared" si="30"/>
        <v>16.796900000000001</v>
      </c>
      <c r="AM168">
        <f t="shared" si="31"/>
        <v>11.684729891200002</v>
      </c>
      <c r="AP168" s="9"/>
      <c r="AQ168" s="22">
        <v>1.0543800000000001</v>
      </c>
      <c r="AR168" s="22">
        <v>288.86399999999998</v>
      </c>
      <c r="AS168" s="22">
        <v>-1.6659500000000001E-2</v>
      </c>
      <c r="AT168" s="22">
        <v>158</v>
      </c>
      <c r="AU168" s="22">
        <v>1.0531600000000001</v>
      </c>
      <c r="AV168">
        <f t="shared" si="32"/>
        <v>16.659500000000001</v>
      </c>
      <c r="AW168">
        <f t="shared" si="33"/>
        <v>17.565443610000003</v>
      </c>
      <c r="AX168" s="9"/>
      <c r="AY168" s="22">
        <v>0.69564800000000004</v>
      </c>
      <c r="AZ168" s="22">
        <v>368.09399999999999</v>
      </c>
      <c r="BA168" s="22">
        <v>-1.6543599999999999E-2</v>
      </c>
      <c r="BB168" s="22">
        <v>158</v>
      </c>
      <c r="BC168" s="22">
        <v>0.69503800000000004</v>
      </c>
      <c r="BD168">
        <f t="shared" si="34"/>
        <v>16.543599999999998</v>
      </c>
      <c r="BE168">
        <f t="shared" si="35"/>
        <v>11.508522252799999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39.6629</v>
      </c>
      <c r="I169" s="22">
        <v>-1.6802999999999998E-2</v>
      </c>
      <c r="J169" s="22">
        <v>159</v>
      </c>
      <c r="K169" s="22">
        <v>1.0488900000000001</v>
      </c>
      <c r="L169">
        <f t="shared" si="24"/>
        <v>16.802999999999997</v>
      </c>
      <c r="M169">
        <f t="shared" si="25"/>
        <v>17.632228049999998</v>
      </c>
      <c r="N169" s="9"/>
      <c r="O169" s="22">
        <v>0.70068399999999997</v>
      </c>
      <c r="P169" s="22">
        <v>95.058700000000002</v>
      </c>
      <c r="Q169" s="22">
        <v>-1.71082E-2</v>
      </c>
      <c r="R169" s="22">
        <v>159</v>
      </c>
      <c r="S169" s="22">
        <v>0.69992100000000002</v>
      </c>
      <c r="T169">
        <f t="shared" si="26"/>
        <v>17.1082</v>
      </c>
      <c r="U169">
        <f t="shared" si="27"/>
        <v>11.9874420088</v>
      </c>
      <c r="X169" s="9"/>
      <c r="Y169" s="22">
        <v>1.04935</v>
      </c>
      <c r="Z169" s="22">
        <v>157.01599999999999</v>
      </c>
      <c r="AA169" s="22">
        <v>-1.6842699999999999E-2</v>
      </c>
      <c r="AB169" s="22">
        <v>159</v>
      </c>
      <c r="AC169" s="22">
        <v>1.0482800000000001</v>
      </c>
      <c r="AD169">
        <f t="shared" si="28"/>
        <v>16.842699999999997</v>
      </c>
      <c r="AE169">
        <f t="shared" si="29"/>
        <v>17.673887244999996</v>
      </c>
      <c r="AF169" s="9"/>
      <c r="AG169" s="22">
        <v>0.70068399999999997</v>
      </c>
      <c r="AH169" s="22">
        <v>236.548</v>
      </c>
      <c r="AI169" s="22">
        <v>-1.6827399999999999E-2</v>
      </c>
      <c r="AJ169" s="22">
        <v>159</v>
      </c>
      <c r="AK169" s="22">
        <v>0.70004299999999997</v>
      </c>
      <c r="AL169">
        <f t="shared" si="30"/>
        <v>16.827400000000001</v>
      </c>
      <c r="AM169">
        <f t="shared" si="31"/>
        <v>11.7906899416</v>
      </c>
      <c r="AP169" s="9"/>
      <c r="AQ169" s="22">
        <v>1.04935</v>
      </c>
      <c r="AR169" s="22">
        <v>288.96499999999997</v>
      </c>
      <c r="AS169" s="22">
        <v>-1.66626E-2</v>
      </c>
      <c r="AT169" s="22">
        <v>159</v>
      </c>
      <c r="AU169" s="22">
        <v>1.0479700000000001</v>
      </c>
      <c r="AV169">
        <f t="shared" si="32"/>
        <v>16.662600000000001</v>
      </c>
      <c r="AW169">
        <f t="shared" si="33"/>
        <v>17.484899310000003</v>
      </c>
      <c r="AX169" s="9"/>
      <c r="AY169" s="22">
        <v>0.70068399999999997</v>
      </c>
      <c r="AZ169" s="22">
        <v>368.19499999999999</v>
      </c>
      <c r="BA169" s="22">
        <v>-1.6519200000000001E-2</v>
      </c>
      <c r="BB169" s="22">
        <v>159</v>
      </c>
      <c r="BC169" s="22">
        <v>0.70007299999999995</v>
      </c>
      <c r="BD169">
        <f t="shared" si="34"/>
        <v>16.519200000000001</v>
      </c>
      <c r="BE169">
        <f t="shared" si="35"/>
        <v>11.574739132800001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39.763599999999997</v>
      </c>
      <c r="I170" s="22">
        <v>-1.6806000000000001E-2</v>
      </c>
      <c r="J170" s="22">
        <v>160</v>
      </c>
      <c r="K170" s="22">
        <v>1.0430900000000001</v>
      </c>
      <c r="L170">
        <f t="shared" si="24"/>
        <v>16.806000000000001</v>
      </c>
      <c r="M170">
        <f t="shared" si="25"/>
        <v>17.550673860000003</v>
      </c>
      <c r="N170" s="9"/>
      <c r="O170" s="22">
        <v>0.70571899999999999</v>
      </c>
      <c r="P170" s="22">
        <v>95.159400000000005</v>
      </c>
      <c r="Q170" s="22">
        <v>-1.7114299999999999E-2</v>
      </c>
      <c r="R170" s="22">
        <v>160</v>
      </c>
      <c r="S170" s="22">
        <v>0.70507799999999998</v>
      </c>
      <c r="T170">
        <f t="shared" si="26"/>
        <v>17.1143</v>
      </c>
      <c r="U170">
        <f t="shared" si="27"/>
        <v>12.077886681699999</v>
      </c>
      <c r="X170" s="9"/>
      <c r="Y170" s="22">
        <v>1.0443100000000001</v>
      </c>
      <c r="Z170" s="22">
        <v>157.11600000000001</v>
      </c>
      <c r="AA170" s="22">
        <v>-1.6821300000000001E-2</v>
      </c>
      <c r="AB170" s="22">
        <v>160</v>
      </c>
      <c r="AC170" s="22">
        <v>1.0430900000000001</v>
      </c>
      <c r="AD170">
        <f t="shared" si="28"/>
        <v>16.821300000000001</v>
      </c>
      <c r="AE170">
        <f t="shared" si="29"/>
        <v>17.566651803000003</v>
      </c>
      <c r="AF170" s="9"/>
      <c r="AG170" s="22">
        <v>0.70571899999999999</v>
      </c>
      <c r="AH170" s="22">
        <v>236.649</v>
      </c>
      <c r="AI170" s="22">
        <v>-1.6833500000000001E-2</v>
      </c>
      <c r="AJ170" s="22">
        <v>160</v>
      </c>
      <c r="AK170" s="22">
        <v>0.70523100000000005</v>
      </c>
      <c r="AL170">
        <f t="shared" si="30"/>
        <v>16.833500000000001</v>
      </c>
      <c r="AM170">
        <f t="shared" si="31"/>
        <v>11.8797207865</v>
      </c>
      <c r="AP170" s="9"/>
      <c r="AQ170" s="22">
        <v>1.0443100000000001</v>
      </c>
      <c r="AR170" s="22">
        <v>289.065</v>
      </c>
      <c r="AS170" s="22">
        <v>-1.6644300000000001E-2</v>
      </c>
      <c r="AT170" s="22">
        <v>160</v>
      </c>
      <c r="AU170" s="22">
        <v>1.0427900000000001</v>
      </c>
      <c r="AV170">
        <f t="shared" si="32"/>
        <v>16.644300000000001</v>
      </c>
      <c r="AW170">
        <f t="shared" si="33"/>
        <v>17.381808933000002</v>
      </c>
      <c r="AX170" s="9"/>
      <c r="AY170" s="22">
        <v>0.70571899999999999</v>
      </c>
      <c r="AZ170" s="22">
        <v>368.29599999999999</v>
      </c>
      <c r="BA170" s="22">
        <v>-1.65649E-2</v>
      </c>
      <c r="BB170" s="22">
        <v>160</v>
      </c>
      <c r="BC170" s="22">
        <v>0.70516999999999996</v>
      </c>
      <c r="BD170">
        <f t="shared" si="34"/>
        <v>16.564900000000002</v>
      </c>
      <c r="BE170">
        <f t="shared" si="35"/>
        <v>11.690164663100001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39.8643</v>
      </c>
      <c r="I171" s="22">
        <v>-1.68121E-2</v>
      </c>
      <c r="J171" s="22">
        <v>161</v>
      </c>
      <c r="K171" s="22">
        <v>1.03851</v>
      </c>
      <c r="L171">
        <f t="shared" si="24"/>
        <v>16.812100000000001</v>
      </c>
      <c r="M171">
        <f t="shared" si="25"/>
        <v>17.472479288000002</v>
      </c>
      <c r="N171" s="9"/>
      <c r="O171" s="22">
        <v>0.710754</v>
      </c>
      <c r="P171" s="22">
        <v>95.260099999999994</v>
      </c>
      <c r="Q171" s="22">
        <v>-1.7102099999999999E-2</v>
      </c>
      <c r="R171" s="22">
        <v>161</v>
      </c>
      <c r="S171" s="22">
        <v>0.71011400000000002</v>
      </c>
      <c r="T171">
        <f t="shared" si="26"/>
        <v>17.1021</v>
      </c>
      <c r="U171">
        <f t="shared" si="27"/>
        <v>12.1553859834</v>
      </c>
      <c r="X171" s="9"/>
      <c r="Y171" s="22">
        <v>1.03928</v>
      </c>
      <c r="Z171" s="22">
        <v>157.21700000000001</v>
      </c>
      <c r="AA171" s="22">
        <v>-1.6833500000000001E-2</v>
      </c>
      <c r="AB171" s="22">
        <v>161</v>
      </c>
      <c r="AC171" s="22">
        <v>1.03851</v>
      </c>
      <c r="AD171">
        <f t="shared" si="28"/>
        <v>16.833500000000001</v>
      </c>
      <c r="AE171">
        <f t="shared" si="29"/>
        <v>17.494719880000002</v>
      </c>
      <c r="AF171" s="9"/>
      <c r="AG171" s="22">
        <v>0.710754</v>
      </c>
      <c r="AH171" s="22">
        <v>236.749</v>
      </c>
      <c r="AI171" s="22">
        <v>-1.67999E-2</v>
      </c>
      <c r="AJ171" s="22">
        <v>161</v>
      </c>
      <c r="AK171" s="22">
        <v>0.71002200000000004</v>
      </c>
      <c r="AL171">
        <f t="shared" si="30"/>
        <v>16.799900000000001</v>
      </c>
      <c r="AM171">
        <f t="shared" si="31"/>
        <v>11.940596124600001</v>
      </c>
      <c r="AP171" s="9"/>
      <c r="AQ171" s="22">
        <v>1.03928</v>
      </c>
      <c r="AR171" s="22">
        <v>289.166</v>
      </c>
      <c r="AS171" s="22">
        <v>-1.6641199999999998E-2</v>
      </c>
      <c r="AT171" s="22">
        <v>161</v>
      </c>
      <c r="AU171" s="22">
        <v>1.03851</v>
      </c>
      <c r="AV171">
        <f t="shared" si="32"/>
        <v>16.641199999999998</v>
      </c>
      <c r="AW171">
        <f t="shared" si="33"/>
        <v>17.294866335999998</v>
      </c>
      <c r="AX171" s="9"/>
      <c r="AY171" s="22">
        <v>0.710754</v>
      </c>
      <c r="AZ171" s="22">
        <v>368.39699999999999</v>
      </c>
      <c r="BA171" s="22">
        <v>-1.6567999999999999E-2</v>
      </c>
      <c r="BB171" s="22">
        <v>161</v>
      </c>
      <c r="BC171" s="22">
        <v>0.710175</v>
      </c>
      <c r="BD171">
        <f t="shared" si="34"/>
        <v>16.567999999999998</v>
      </c>
      <c r="BE171">
        <f t="shared" si="35"/>
        <v>11.775772271999998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39.965000000000003</v>
      </c>
      <c r="I172" s="22">
        <v>-1.6827399999999999E-2</v>
      </c>
      <c r="J172" s="22">
        <v>162</v>
      </c>
      <c r="K172" s="22">
        <v>1.0333300000000001</v>
      </c>
      <c r="L172">
        <f t="shared" si="24"/>
        <v>16.827400000000001</v>
      </c>
      <c r="M172">
        <f t="shared" si="25"/>
        <v>17.403570176000002</v>
      </c>
      <c r="N172" s="9"/>
      <c r="O172" s="22">
        <v>0.71579000000000004</v>
      </c>
      <c r="P172" s="22">
        <v>95.360799999999998</v>
      </c>
      <c r="Q172" s="22">
        <v>-1.71112E-2</v>
      </c>
      <c r="R172" s="22">
        <v>162</v>
      </c>
      <c r="S172" s="22">
        <v>0.71521000000000001</v>
      </c>
      <c r="T172">
        <f t="shared" si="26"/>
        <v>17.1112</v>
      </c>
      <c r="U172">
        <f t="shared" si="27"/>
        <v>12.248025848000001</v>
      </c>
      <c r="X172" s="9"/>
      <c r="Y172" s="22">
        <v>1.03424</v>
      </c>
      <c r="Z172" s="22">
        <v>157.31800000000001</v>
      </c>
      <c r="AA172" s="22">
        <v>-1.6857899999999999E-2</v>
      </c>
      <c r="AB172" s="22">
        <v>162</v>
      </c>
      <c r="AC172" s="22">
        <v>1.0333300000000001</v>
      </c>
      <c r="AD172">
        <f t="shared" si="28"/>
        <v>16.857899999999997</v>
      </c>
      <c r="AE172">
        <f t="shared" si="29"/>
        <v>17.435114495999997</v>
      </c>
      <c r="AF172" s="9"/>
      <c r="AG172" s="22">
        <v>0.71579000000000004</v>
      </c>
      <c r="AH172" s="22">
        <v>236.85</v>
      </c>
      <c r="AI172" s="22">
        <v>-1.6793800000000001E-2</v>
      </c>
      <c r="AJ172" s="22">
        <v>162</v>
      </c>
      <c r="AK172" s="22">
        <v>0.71517900000000001</v>
      </c>
      <c r="AL172">
        <f t="shared" si="30"/>
        <v>16.793800000000001</v>
      </c>
      <c r="AM172">
        <f t="shared" si="31"/>
        <v>12.020834102000002</v>
      </c>
      <c r="AP172" s="9"/>
      <c r="AQ172" s="22">
        <v>1.03424</v>
      </c>
      <c r="AR172" s="22">
        <v>289.267</v>
      </c>
      <c r="AS172" s="22">
        <v>-1.6656500000000001E-2</v>
      </c>
      <c r="AT172" s="22">
        <v>162</v>
      </c>
      <c r="AU172" s="22">
        <v>1.03363</v>
      </c>
      <c r="AV172">
        <f t="shared" si="32"/>
        <v>16.656500000000001</v>
      </c>
      <c r="AW172">
        <f t="shared" si="33"/>
        <v>17.226818560000002</v>
      </c>
      <c r="AX172" s="9"/>
      <c r="AY172" s="22">
        <v>0.71579000000000004</v>
      </c>
      <c r="AZ172" s="22">
        <v>368.49700000000001</v>
      </c>
      <c r="BA172" s="22">
        <v>-1.65375E-2</v>
      </c>
      <c r="BB172" s="22">
        <v>162</v>
      </c>
      <c r="BC172" s="22">
        <v>0.71514900000000003</v>
      </c>
      <c r="BD172">
        <f t="shared" si="34"/>
        <v>16.537500000000001</v>
      </c>
      <c r="BE172">
        <f t="shared" si="35"/>
        <v>11.837377125000001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40.0657</v>
      </c>
      <c r="I173" s="22">
        <v>-1.6830399999999999E-2</v>
      </c>
      <c r="J173" s="22">
        <v>163</v>
      </c>
      <c r="K173" s="22">
        <v>1.02844</v>
      </c>
      <c r="L173">
        <f t="shared" si="24"/>
        <v>16.830399999999997</v>
      </c>
      <c r="M173">
        <f t="shared" si="25"/>
        <v>17.322015983999997</v>
      </c>
      <c r="N173" s="9"/>
      <c r="O173" s="22">
        <v>0.72082500000000005</v>
      </c>
      <c r="P173" s="22">
        <v>95.461600000000004</v>
      </c>
      <c r="Q173" s="22">
        <v>-1.7114299999999999E-2</v>
      </c>
      <c r="R173" s="22">
        <v>163</v>
      </c>
      <c r="S173" s="22">
        <v>0.72015399999999996</v>
      </c>
      <c r="T173">
        <f t="shared" si="26"/>
        <v>17.1143</v>
      </c>
      <c r="U173">
        <f t="shared" si="27"/>
        <v>12.3364152975</v>
      </c>
      <c r="X173" s="9"/>
      <c r="Y173" s="22">
        <v>1.02921</v>
      </c>
      <c r="Z173" s="22">
        <v>157.41900000000001</v>
      </c>
      <c r="AA173" s="22">
        <v>-1.6848800000000001E-2</v>
      </c>
      <c r="AB173" s="22">
        <v>163</v>
      </c>
      <c r="AC173" s="22">
        <v>1.0281400000000001</v>
      </c>
      <c r="AD173">
        <f t="shared" si="28"/>
        <v>16.848800000000001</v>
      </c>
      <c r="AE173">
        <f t="shared" si="29"/>
        <v>17.340953448</v>
      </c>
      <c r="AF173" s="9"/>
      <c r="AG173" s="22">
        <v>0.72082500000000005</v>
      </c>
      <c r="AH173" s="22">
        <v>236.95099999999999</v>
      </c>
      <c r="AI173" s="22">
        <v>-1.6802999999999998E-2</v>
      </c>
      <c r="AJ173" s="22">
        <v>163</v>
      </c>
      <c r="AK173" s="22">
        <v>0.72015399999999996</v>
      </c>
      <c r="AL173">
        <f t="shared" si="30"/>
        <v>16.802999999999997</v>
      </c>
      <c r="AM173">
        <f t="shared" si="31"/>
        <v>12.112022474999998</v>
      </c>
      <c r="AP173" s="9"/>
      <c r="AQ173" s="22">
        <v>1.02921</v>
      </c>
      <c r="AR173" s="22">
        <v>289.36799999999999</v>
      </c>
      <c r="AS173" s="22">
        <v>-1.6650399999999999E-2</v>
      </c>
      <c r="AT173" s="22">
        <v>163</v>
      </c>
      <c r="AU173" s="22">
        <v>1.0281400000000001</v>
      </c>
      <c r="AV173">
        <f t="shared" si="32"/>
        <v>16.650399999999998</v>
      </c>
      <c r="AW173">
        <f t="shared" si="33"/>
        <v>17.136758183999998</v>
      </c>
      <c r="AX173" s="9"/>
      <c r="AY173" s="22">
        <v>0.72082500000000005</v>
      </c>
      <c r="AZ173" s="22">
        <v>368.59800000000001</v>
      </c>
      <c r="BA173" s="22">
        <v>-1.6522200000000001E-2</v>
      </c>
      <c r="BB173" s="22">
        <v>163</v>
      </c>
      <c r="BC173" s="22">
        <v>0.72018400000000005</v>
      </c>
      <c r="BD173">
        <f t="shared" si="34"/>
        <v>16.522200000000002</v>
      </c>
      <c r="BE173">
        <f t="shared" si="35"/>
        <v>11.909614815000001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40.166400000000003</v>
      </c>
      <c r="I174" s="22">
        <v>-1.6821300000000001E-2</v>
      </c>
      <c r="J174" s="22">
        <v>164</v>
      </c>
      <c r="K174" s="22">
        <v>1.02295</v>
      </c>
      <c r="L174">
        <f t="shared" si="24"/>
        <v>16.821300000000001</v>
      </c>
      <c r="M174">
        <f t="shared" si="25"/>
        <v>17.227870821</v>
      </c>
      <c r="N174" s="9"/>
      <c r="O174" s="22">
        <v>0.72586099999999998</v>
      </c>
      <c r="P174" s="22">
        <v>95.562299999999993</v>
      </c>
      <c r="Q174" s="22">
        <v>-1.7095900000000001E-2</v>
      </c>
      <c r="R174" s="22">
        <v>164</v>
      </c>
      <c r="S174" s="22">
        <v>0.72518899999999997</v>
      </c>
      <c r="T174">
        <f t="shared" si="26"/>
        <v>17.0959</v>
      </c>
      <c r="U174">
        <f t="shared" si="27"/>
        <v>12.409247069899999</v>
      </c>
      <c r="X174" s="9"/>
      <c r="Y174" s="22">
        <v>1.02417</v>
      </c>
      <c r="Z174" s="22">
        <v>157.51900000000001</v>
      </c>
      <c r="AA174" s="22">
        <v>-1.6854899999999999E-2</v>
      </c>
      <c r="AB174" s="22">
        <v>164</v>
      </c>
      <c r="AC174" s="22">
        <v>1.02295</v>
      </c>
      <c r="AD174">
        <f t="shared" si="28"/>
        <v>16.854900000000001</v>
      </c>
      <c r="AE174">
        <f t="shared" si="29"/>
        <v>17.262282933000002</v>
      </c>
      <c r="AF174" s="9"/>
      <c r="AG174" s="22">
        <v>0.72586099999999998</v>
      </c>
      <c r="AH174" s="22">
        <v>237.05199999999999</v>
      </c>
      <c r="AI174" s="22">
        <v>-1.6806000000000001E-2</v>
      </c>
      <c r="AJ174" s="22">
        <v>164</v>
      </c>
      <c r="AK174" s="22">
        <v>0.725159</v>
      </c>
      <c r="AL174">
        <f t="shared" si="30"/>
        <v>16.806000000000001</v>
      </c>
      <c r="AM174">
        <f t="shared" si="31"/>
        <v>12.198819966</v>
      </c>
      <c r="AP174" s="9"/>
      <c r="AQ174" s="22">
        <v>1.02417</v>
      </c>
      <c r="AR174" s="22">
        <v>289.46800000000002</v>
      </c>
      <c r="AS174" s="22">
        <v>-1.66473E-2</v>
      </c>
      <c r="AT174" s="22">
        <v>164</v>
      </c>
      <c r="AU174" s="22">
        <v>1.02325</v>
      </c>
      <c r="AV174">
        <f t="shared" si="32"/>
        <v>16.647300000000001</v>
      </c>
      <c r="AW174">
        <f t="shared" si="33"/>
        <v>17.049665241000003</v>
      </c>
      <c r="AX174" s="9"/>
      <c r="AY174" s="22">
        <v>0.72586099999999998</v>
      </c>
      <c r="AZ174" s="22">
        <v>368.69900000000001</v>
      </c>
      <c r="BA174" s="22">
        <v>-1.6519200000000001E-2</v>
      </c>
      <c r="BB174" s="22">
        <v>164</v>
      </c>
      <c r="BC174" s="22">
        <v>0.72524999999999995</v>
      </c>
      <c r="BD174">
        <f t="shared" si="34"/>
        <v>16.519200000000001</v>
      </c>
      <c r="BE174">
        <f t="shared" si="35"/>
        <v>11.990643031200001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40.267099999999999</v>
      </c>
      <c r="I175" s="22">
        <v>-1.6818199999999998E-2</v>
      </c>
      <c r="J175" s="22">
        <v>165</v>
      </c>
      <c r="K175" s="22">
        <v>1.01807</v>
      </c>
      <c r="L175">
        <f t="shared" si="24"/>
        <v>16.818199999999997</v>
      </c>
      <c r="M175">
        <f t="shared" si="25"/>
        <v>17.139932165999998</v>
      </c>
      <c r="N175" s="9"/>
      <c r="O175" s="22">
        <v>0.73089599999999999</v>
      </c>
      <c r="P175" s="22">
        <v>95.662999999999997</v>
      </c>
      <c r="Q175" s="22">
        <v>-1.7074599999999999E-2</v>
      </c>
      <c r="R175" s="22">
        <v>165</v>
      </c>
      <c r="S175" s="22">
        <v>0.73025499999999999</v>
      </c>
      <c r="T175">
        <f t="shared" si="26"/>
        <v>17.0746</v>
      </c>
      <c r="U175">
        <f t="shared" si="27"/>
        <v>12.4797568416</v>
      </c>
      <c r="X175" s="9"/>
      <c r="Y175" s="22">
        <v>1.0191300000000001</v>
      </c>
      <c r="Z175" s="22">
        <v>157.62</v>
      </c>
      <c r="AA175" s="22">
        <v>-1.6857899999999999E-2</v>
      </c>
      <c r="AB175" s="22">
        <v>165</v>
      </c>
      <c r="AC175" s="22">
        <v>1.01807</v>
      </c>
      <c r="AD175">
        <f t="shared" si="28"/>
        <v>16.857899999999997</v>
      </c>
      <c r="AE175">
        <f t="shared" si="29"/>
        <v>17.180391626999999</v>
      </c>
      <c r="AF175" s="9"/>
      <c r="AG175" s="22">
        <v>0.73089599999999999</v>
      </c>
      <c r="AH175" s="22">
        <v>237.15199999999999</v>
      </c>
      <c r="AI175" s="22">
        <v>-1.6787699999999999E-2</v>
      </c>
      <c r="AJ175" s="22">
        <v>165</v>
      </c>
      <c r="AK175" s="22">
        <v>0.73028599999999999</v>
      </c>
      <c r="AL175">
        <f t="shared" si="30"/>
        <v>16.787699999999997</v>
      </c>
      <c r="AM175">
        <f t="shared" si="31"/>
        <v>12.270062779199998</v>
      </c>
      <c r="AP175" s="9"/>
      <c r="AQ175" s="22">
        <v>1.0191300000000001</v>
      </c>
      <c r="AR175" s="22">
        <v>289.56900000000002</v>
      </c>
      <c r="AS175" s="22">
        <v>-1.6625999999999998E-2</v>
      </c>
      <c r="AT175" s="22">
        <v>165</v>
      </c>
      <c r="AU175" s="22">
        <v>1.01776</v>
      </c>
      <c r="AV175">
        <f t="shared" si="32"/>
        <v>16.625999999999998</v>
      </c>
      <c r="AW175">
        <f t="shared" si="33"/>
        <v>16.944055379999998</v>
      </c>
      <c r="AX175" s="9"/>
      <c r="AY175" s="22">
        <v>0.73089599999999999</v>
      </c>
      <c r="AZ175" s="22">
        <v>368.79899999999998</v>
      </c>
      <c r="BA175" s="22">
        <v>-1.65375E-2</v>
      </c>
      <c r="BB175" s="22">
        <v>165</v>
      </c>
      <c r="BC175" s="22">
        <v>0.73019400000000001</v>
      </c>
      <c r="BD175">
        <f t="shared" si="34"/>
        <v>16.537500000000001</v>
      </c>
      <c r="BE175">
        <f t="shared" si="35"/>
        <v>12.087192600000002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40.367800000000003</v>
      </c>
      <c r="I176" s="22">
        <v>-1.68243E-2</v>
      </c>
      <c r="J176" s="22">
        <v>166</v>
      </c>
      <c r="K176" s="22">
        <v>1.01288</v>
      </c>
      <c r="L176">
        <f t="shared" si="24"/>
        <v>16.824300000000001</v>
      </c>
      <c r="M176">
        <f t="shared" si="25"/>
        <v>17.061522630000002</v>
      </c>
      <c r="N176" s="9"/>
      <c r="O176" s="22">
        <v>0.735931</v>
      </c>
      <c r="P176" s="22">
        <v>95.7637</v>
      </c>
      <c r="Q176" s="22">
        <v>-1.7077599999999998E-2</v>
      </c>
      <c r="R176" s="22">
        <v>166</v>
      </c>
      <c r="S176" s="22">
        <v>0.73526000000000002</v>
      </c>
      <c r="T176">
        <f t="shared" si="26"/>
        <v>17.077599999999997</v>
      </c>
      <c r="U176">
        <f t="shared" si="27"/>
        <v>12.567935245599998</v>
      </c>
      <c r="X176" s="9"/>
      <c r="Y176" s="22">
        <v>1.0141</v>
      </c>
      <c r="Z176" s="22">
        <v>157.721</v>
      </c>
      <c r="AA176" s="22">
        <v>-1.6864000000000001E-2</v>
      </c>
      <c r="AB176" s="22">
        <v>166</v>
      </c>
      <c r="AC176" s="22">
        <v>1.01349</v>
      </c>
      <c r="AD176">
        <f t="shared" si="28"/>
        <v>16.864000000000001</v>
      </c>
      <c r="AE176">
        <f t="shared" si="29"/>
        <v>17.101782400000001</v>
      </c>
      <c r="AF176" s="9"/>
      <c r="AG176" s="22">
        <v>0.735931</v>
      </c>
      <c r="AH176" s="22">
        <v>237.25299999999999</v>
      </c>
      <c r="AI176" s="22">
        <v>-1.6787699999999999E-2</v>
      </c>
      <c r="AJ176" s="22">
        <v>166</v>
      </c>
      <c r="AK176" s="22">
        <v>0.73526000000000002</v>
      </c>
      <c r="AL176">
        <f t="shared" si="30"/>
        <v>16.787699999999997</v>
      </c>
      <c r="AM176">
        <f t="shared" si="31"/>
        <v>12.354588848699999</v>
      </c>
      <c r="AP176" s="9"/>
      <c r="AQ176" s="22">
        <v>1.0141</v>
      </c>
      <c r="AR176" s="22">
        <v>289.67</v>
      </c>
      <c r="AS176" s="22">
        <v>-1.66351E-2</v>
      </c>
      <c r="AT176" s="22">
        <v>166</v>
      </c>
      <c r="AU176" s="22">
        <v>1.01349</v>
      </c>
      <c r="AV176">
        <f t="shared" si="32"/>
        <v>16.635100000000001</v>
      </c>
      <c r="AW176">
        <f t="shared" si="33"/>
        <v>16.869654910000001</v>
      </c>
      <c r="AX176" s="9"/>
      <c r="AY176" s="22">
        <v>0.735931</v>
      </c>
      <c r="AZ176" s="22">
        <v>368.9</v>
      </c>
      <c r="BA176" s="22">
        <v>-1.64856E-2</v>
      </c>
      <c r="BB176" s="22">
        <v>166</v>
      </c>
      <c r="BC176" s="22">
        <v>0.73526000000000002</v>
      </c>
      <c r="BD176">
        <f t="shared" si="34"/>
        <v>16.485599999999998</v>
      </c>
      <c r="BE176">
        <f t="shared" si="35"/>
        <v>12.132264093599998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40.468499999999999</v>
      </c>
      <c r="I177" s="22">
        <v>-1.6836500000000001E-2</v>
      </c>
      <c r="J177" s="22">
        <v>167</v>
      </c>
      <c r="K177" s="22">
        <v>1.0083</v>
      </c>
      <c r="L177">
        <f t="shared" si="24"/>
        <v>16.836500000000001</v>
      </c>
      <c r="M177">
        <f t="shared" si="25"/>
        <v>16.989038690000001</v>
      </c>
      <c r="N177" s="9"/>
      <c r="O177" s="22">
        <v>0.74096700000000004</v>
      </c>
      <c r="P177" s="22">
        <v>95.864400000000003</v>
      </c>
      <c r="Q177" s="22">
        <v>-1.7053200000000001E-2</v>
      </c>
      <c r="R177" s="22">
        <v>167</v>
      </c>
      <c r="S177" s="22">
        <v>0.74038700000000002</v>
      </c>
      <c r="T177">
        <f t="shared" si="26"/>
        <v>17.0532</v>
      </c>
      <c r="U177">
        <f t="shared" si="27"/>
        <v>12.6358584444</v>
      </c>
      <c r="X177" s="9"/>
      <c r="Y177" s="22">
        <v>1.0090600000000001</v>
      </c>
      <c r="Z177" s="22">
        <v>157.821</v>
      </c>
      <c r="AA177" s="22">
        <v>-1.6854899999999999E-2</v>
      </c>
      <c r="AB177" s="22">
        <v>167</v>
      </c>
      <c r="AC177" s="22">
        <v>1.0083</v>
      </c>
      <c r="AD177">
        <f t="shared" si="28"/>
        <v>16.854900000000001</v>
      </c>
      <c r="AE177">
        <f t="shared" si="29"/>
        <v>17.007605394000002</v>
      </c>
      <c r="AF177" s="9"/>
      <c r="AG177" s="22">
        <v>0.74096700000000004</v>
      </c>
      <c r="AH177" s="22">
        <v>237.35400000000001</v>
      </c>
      <c r="AI177" s="22">
        <v>-1.6827399999999999E-2</v>
      </c>
      <c r="AJ177" s="22">
        <v>167</v>
      </c>
      <c r="AK177" s="22">
        <v>0.74023399999999995</v>
      </c>
      <c r="AL177">
        <f t="shared" si="30"/>
        <v>16.827400000000001</v>
      </c>
      <c r="AM177">
        <f t="shared" si="31"/>
        <v>12.468548095800001</v>
      </c>
      <c r="AP177" s="9"/>
      <c r="AQ177" s="22">
        <v>1.0090600000000001</v>
      </c>
      <c r="AR177" s="22">
        <v>289.77</v>
      </c>
      <c r="AS177" s="22">
        <v>-1.6616800000000001E-2</v>
      </c>
      <c r="AT177" s="22">
        <v>167</v>
      </c>
      <c r="AU177" s="22">
        <v>1.00769</v>
      </c>
      <c r="AV177">
        <f t="shared" si="32"/>
        <v>16.616800000000001</v>
      </c>
      <c r="AW177">
        <f t="shared" si="33"/>
        <v>16.767348208000001</v>
      </c>
      <c r="AX177" s="9"/>
      <c r="AY177" s="22">
        <v>0.74096700000000004</v>
      </c>
      <c r="AZ177" s="22">
        <v>369.00099999999998</v>
      </c>
      <c r="BA177" s="22">
        <v>-1.6516099999999999E-2</v>
      </c>
      <c r="BB177" s="22">
        <v>167</v>
      </c>
      <c r="BC177" s="22">
        <v>0.74035600000000001</v>
      </c>
      <c r="BD177">
        <f t="shared" si="34"/>
        <v>16.516099999999998</v>
      </c>
      <c r="BE177">
        <f t="shared" si="35"/>
        <v>12.237885068699999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40.569200000000002</v>
      </c>
      <c r="I178" s="22">
        <v>-1.6842699999999999E-2</v>
      </c>
      <c r="J178" s="22">
        <v>168</v>
      </c>
      <c r="K178" s="22">
        <v>1.00281</v>
      </c>
      <c r="L178">
        <f t="shared" si="24"/>
        <v>16.842699999999997</v>
      </c>
      <c r="M178">
        <f t="shared" si="25"/>
        <v>16.910576080999995</v>
      </c>
      <c r="N178" s="9"/>
      <c r="O178" s="22">
        <v>0.74600200000000005</v>
      </c>
      <c r="P178" s="22">
        <v>95.965100000000007</v>
      </c>
      <c r="Q178" s="22">
        <v>-1.70715E-2</v>
      </c>
      <c r="R178" s="22">
        <v>168</v>
      </c>
      <c r="S178" s="22">
        <v>0.74526999999999999</v>
      </c>
      <c r="T178">
        <f t="shared" si="26"/>
        <v>17.0715</v>
      </c>
      <c r="U178">
        <f t="shared" si="27"/>
        <v>12.735373143</v>
      </c>
      <c r="X178" s="9"/>
      <c r="Y178" s="22">
        <v>1.00403</v>
      </c>
      <c r="Z178" s="22">
        <v>157.922</v>
      </c>
      <c r="AA178" s="22">
        <v>-1.6857899999999999E-2</v>
      </c>
      <c r="AB178" s="22">
        <v>168</v>
      </c>
      <c r="AC178" s="22">
        <v>1.00342</v>
      </c>
      <c r="AD178">
        <f t="shared" si="28"/>
        <v>16.857899999999997</v>
      </c>
      <c r="AE178">
        <f t="shared" si="29"/>
        <v>16.925837336999997</v>
      </c>
      <c r="AF178" s="9"/>
      <c r="AG178" s="22">
        <v>0.74600200000000005</v>
      </c>
      <c r="AH178" s="22">
        <v>237.45400000000001</v>
      </c>
      <c r="AI178" s="22">
        <v>-1.68243E-2</v>
      </c>
      <c r="AJ178" s="22">
        <v>168</v>
      </c>
      <c r="AK178" s="22">
        <v>0.74536100000000005</v>
      </c>
      <c r="AL178">
        <f t="shared" si="30"/>
        <v>16.824300000000001</v>
      </c>
      <c r="AM178">
        <f t="shared" si="31"/>
        <v>12.550961448600001</v>
      </c>
      <c r="AP178" s="9"/>
      <c r="AQ178" s="22">
        <v>1.00403</v>
      </c>
      <c r="AR178" s="22">
        <v>289.87099999999998</v>
      </c>
      <c r="AS178" s="22">
        <v>-1.6641199999999998E-2</v>
      </c>
      <c r="AT178" s="22">
        <v>168</v>
      </c>
      <c r="AU178" s="22">
        <v>1.0031099999999999</v>
      </c>
      <c r="AV178">
        <f t="shared" si="32"/>
        <v>16.641199999999998</v>
      </c>
      <c r="AW178">
        <f t="shared" si="33"/>
        <v>16.708264035999996</v>
      </c>
      <c r="AX178" s="9"/>
      <c r="AY178" s="22">
        <v>0.74600200000000005</v>
      </c>
      <c r="AZ178" s="22">
        <v>369.101</v>
      </c>
      <c r="BA178" s="22">
        <v>-1.6503899999999998E-2</v>
      </c>
      <c r="BB178" s="22">
        <v>168</v>
      </c>
      <c r="BC178" s="22">
        <v>0.74536100000000005</v>
      </c>
      <c r="BD178">
        <f t="shared" si="34"/>
        <v>16.503899999999998</v>
      </c>
      <c r="BE178">
        <f t="shared" si="35"/>
        <v>12.3119424078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40.67</v>
      </c>
      <c r="I179" s="22">
        <v>-1.6836500000000001E-2</v>
      </c>
      <c r="J179" s="22">
        <v>169</v>
      </c>
      <c r="K179" s="22">
        <v>0.99883999999999995</v>
      </c>
      <c r="L179">
        <f t="shared" si="24"/>
        <v>16.836500000000001</v>
      </c>
      <c r="M179">
        <f t="shared" si="25"/>
        <v>16.8195456445</v>
      </c>
      <c r="N179" s="9"/>
      <c r="O179" s="22">
        <v>0.75103799999999998</v>
      </c>
      <c r="P179" s="22">
        <v>96.065799999999996</v>
      </c>
      <c r="Q179" s="22">
        <v>-1.7062399999999998E-2</v>
      </c>
      <c r="R179" s="22">
        <v>169</v>
      </c>
      <c r="S179" s="22">
        <v>0.750336</v>
      </c>
      <c r="T179">
        <f t="shared" si="26"/>
        <v>17.062399999999997</v>
      </c>
      <c r="U179">
        <f t="shared" si="27"/>
        <v>12.814510771199997</v>
      </c>
      <c r="X179" s="9"/>
      <c r="Y179" s="22">
        <v>0.99899300000000002</v>
      </c>
      <c r="Z179" s="22">
        <v>158.023</v>
      </c>
      <c r="AA179" s="22">
        <v>-1.6845700000000002E-2</v>
      </c>
      <c r="AB179" s="22">
        <v>169</v>
      </c>
      <c r="AC179" s="22">
        <v>0.99792499999999995</v>
      </c>
      <c r="AD179">
        <f t="shared" si="28"/>
        <v>16.845700000000001</v>
      </c>
      <c r="AE179">
        <f t="shared" si="29"/>
        <v>16.828736380100001</v>
      </c>
      <c r="AF179" s="9"/>
      <c r="AG179" s="22">
        <v>0.75103799999999998</v>
      </c>
      <c r="AH179" s="22">
        <v>237.55500000000001</v>
      </c>
      <c r="AI179" s="22">
        <v>-1.6787699999999999E-2</v>
      </c>
      <c r="AJ179" s="22">
        <v>169</v>
      </c>
      <c r="AK179" s="22">
        <v>0.75036599999999998</v>
      </c>
      <c r="AL179">
        <f t="shared" si="30"/>
        <v>16.787699999999997</v>
      </c>
      <c r="AM179">
        <f t="shared" si="31"/>
        <v>12.608200632599997</v>
      </c>
      <c r="AP179" s="9"/>
      <c r="AQ179" s="22">
        <v>0.99899300000000002</v>
      </c>
      <c r="AR179" s="22">
        <v>289.97199999999998</v>
      </c>
      <c r="AS179" s="22">
        <v>-1.66351E-2</v>
      </c>
      <c r="AT179" s="22">
        <v>169</v>
      </c>
      <c r="AU179" s="22">
        <v>0.99792499999999995</v>
      </c>
      <c r="AV179">
        <f t="shared" si="32"/>
        <v>16.635100000000001</v>
      </c>
      <c r="AW179">
        <f t="shared" si="33"/>
        <v>16.618348454300001</v>
      </c>
      <c r="AX179" s="9"/>
      <c r="AY179" s="22">
        <v>0.75103799999999998</v>
      </c>
      <c r="AZ179" s="22">
        <v>369.202</v>
      </c>
      <c r="BA179" s="22">
        <v>-1.6507000000000001E-2</v>
      </c>
      <c r="BB179" s="22">
        <v>169</v>
      </c>
      <c r="BC179" s="22">
        <v>0.750336</v>
      </c>
      <c r="BD179">
        <f t="shared" si="34"/>
        <v>16.507000000000001</v>
      </c>
      <c r="BE179">
        <f t="shared" si="35"/>
        <v>12.397384266000001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40.770699999999998</v>
      </c>
      <c r="I180" s="22">
        <v>-1.68518E-2</v>
      </c>
      <c r="J180" s="22">
        <v>170</v>
      </c>
      <c r="K180" s="22">
        <v>0.99334699999999998</v>
      </c>
      <c r="L180">
        <f t="shared" si="24"/>
        <v>16.851800000000001</v>
      </c>
      <c r="M180">
        <f t="shared" si="25"/>
        <v>16.749981424400001</v>
      </c>
      <c r="N180" s="9"/>
      <c r="O180" s="22">
        <v>0.756073</v>
      </c>
      <c r="P180" s="22">
        <v>96.166499999999999</v>
      </c>
      <c r="Q180" s="22">
        <v>-1.7053200000000001E-2</v>
      </c>
      <c r="R180" s="22">
        <v>170</v>
      </c>
      <c r="S180" s="22">
        <v>0.75561500000000004</v>
      </c>
      <c r="T180">
        <f t="shared" si="26"/>
        <v>17.0532</v>
      </c>
      <c r="U180">
        <f t="shared" si="27"/>
        <v>12.8934640836</v>
      </c>
      <c r="X180" s="9"/>
      <c r="Y180" s="22">
        <v>0.99395800000000001</v>
      </c>
      <c r="Z180" s="22">
        <v>158.12299999999999</v>
      </c>
      <c r="AA180" s="22">
        <v>-1.6882299999999999E-2</v>
      </c>
      <c r="AB180" s="22">
        <v>170</v>
      </c>
      <c r="AC180" s="22">
        <v>0.99304199999999998</v>
      </c>
      <c r="AD180">
        <f t="shared" si="28"/>
        <v>16.882300000000001</v>
      </c>
      <c r="AE180">
        <f t="shared" si="29"/>
        <v>16.780297143400002</v>
      </c>
      <c r="AF180" s="9"/>
      <c r="AG180" s="22">
        <v>0.756073</v>
      </c>
      <c r="AH180" s="22">
        <v>237.65600000000001</v>
      </c>
      <c r="AI180" s="22">
        <v>-1.6802999999999998E-2</v>
      </c>
      <c r="AJ180" s="22">
        <v>170</v>
      </c>
      <c r="AK180" s="22">
        <v>0.75531000000000004</v>
      </c>
      <c r="AL180">
        <f t="shared" si="30"/>
        <v>16.802999999999997</v>
      </c>
      <c r="AM180">
        <f t="shared" si="31"/>
        <v>12.704294618999997</v>
      </c>
      <c r="AP180" s="9"/>
      <c r="AQ180" s="22">
        <v>0.99395800000000001</v>
      </c>
      <c r="AR180" s="22">
        <v>290.07299999999998</v>
      </c>
      <c r="AS180" s="22">
        <v>-1.6653399999999999E-2</v>
      </c>
      <c r="AT180" s="22">
        <v>170</v>
      </c>
      <c r="AU180" s="22">
        <v>0.99304199999999998</v>
      </c>
      <c r="AV180">
        <f t="shared" si="32"/>
        <v>16.653399999999998</v>
      </c>
      <c r="AW180">
        <f t="shared" si="33"/>
        <v>16.552780157199997</v>
      </c>
      <c r="AX180" s="9"/>
      <c r="AY180" s="22">
        <v>0.756073</v>
      </c>
      <c r="AZ180" s="22">
        <v>369.303</v>
      </c>
      <c r="BA180" s="22">
        <v>-1.6507000000000001E-2</v>
      </c>
      <c r="BB180" s="22">
        <v>170</v>
      </c>
      <c r="BC180" s="22">
        <v>0.75561500000000004</v>
      </c>
      <c r="BD180">
        <f t="shared" si="34"/>
        <v>16.507000000000001</v>
      </c>
      <c r="BE180">
        <f t="shared" si="35"/>
        <v>12.480497011000001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40.871400000000001</v>
      </c>
      <c r="I181" s="22">
        <v>-1.6861000000000001E-2</v>
      </c>
      <c r="J181" s="22">
        <v>171</v>
      </c>
      <c r="K181" s="22">
        <v>0.98785400000000001</v>
      </c>
      <c r="L181">
        <f t="shared" si="24"/>
        <v>16.861000000000001</v>
      </c>
      <c r="M181">
        <f t="shared" si="25"/>
        <v>16.674213842</v>
      </c>
      <c r="N181" s="9"/>
      <c r="O181" s="22">
        <v>0.76110800000000001</v>
      </c>
      <c r="P181" s="22">
        <v>96.267200000000003</v>
      </c>
      <c r="Q181" s="22">
        <v>-1.70563E-2</v>
      </c>
      <c r="R181" s="22">
        <v>171</v>
      </c>
      <c r="S181" s="22">
        <v>0.76019300000000001</v>
      </c>
      <c r="T181">
        <f t="shared" si="26"/>
        <v>17.0563</v>
      </c>
      <c r="U181">
        <f t="shared" si="27"/>
        <v>12.981686380400001</v>
      </c>
      <c r="X181" s="9"/>
      <c r="Y181" s="22">
        <v>0.98892199999999997</v>
      </c>
      <c r="Z181" s="22">
        <v>158.22399999999999</v>
      </c>
      <c r="AA181" s="22">
        <v>-1.6864000000000001E-2</v>
      </c>
      <c r="AB181" s="22">
        <v>171</v>
      </c>
      <c r="AC181" s="22">
        <v>0.98754900000000001</v>
      </c>
      <c r="AD181">
        <f t="shared" si="28"/>
        <v>16.864000000000001</v>
      </c>
      <c r="AE181">
        <f t="shared" si="29"/>
        <v>16.677180608</v>
      </c>
      <c r="AF181" s="9"/>
      <c r="AG181" s="22">
        <v>0.76110800000000001</v>
      </c>
      <c r="AH181" s="22">
        <v>237.756</v>
      </c>
      <c r="AI181" s="22">
        <v>-1.6790800000000002E-2</v>
      </c>
      <c r="AJ181" s="22">
        <v>171</v>
      </c>
      <c r="AK181" s="22">
        <v>0.76019300000000001</v>
      </c>
      <c r="AL181">
        <f t="shared" si="30"/>
        <v>16.790800000000001</v>
      </c>
      <c r="AM181">
        <f t="shared" si="31"/>
        <v>12.779612206400001</v>
      </c>
      <c r="AP181" s="9"/>
      <c r="AQ181" s="22">
        <v>0.98892199999999997</v>
      </c>
      <c r="AR181" s="22">
        <v>290.173</v>
      </c>
      <c r="AS181" s="22">
        <v>-1.6705299999999999E-2</v>
      </c>
      <c r="AT181" s="22">
        <v>171</v>
      </c>
      <c r="AU181" s="22">
        <v>0.98785400000000001</v>
      </c>
      <c r="AV181">
        <f t="shared" si="32"/>
        <v>16.705299999999998</v>
      </c>
      <c r="AW181">
        <f t="shared" si="33"/>
        <v>16.520238686599996</v>
      </c>
      <c r="AX181" s="9"/>
      <c r="AY181" s="22">
        <v>0.76110800000000001</v>
      </c>
      <c r="AZ181" s="22">
        <v>369.404</v>
      </c>
      <c r="BA181" s="22">
        <v>-1.6464199999999998E-2</v>
      </c>
      <c r="BB181" s="22">
        <v>171</v>
      </c>
      <c r="BC181" s="22">
        <v>0.76019300000000001</v>
      </c>
      <c r="BD181">
        <f t="shared" si="34"/>
        <v>16.464199999999998</v>
      </c>
      <c r="BE181">
        <f t="shared" si="35"/>
        <v>12.531034333599999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40.972099999999998</v>
      </c>
      <c r="I182" s="22">
        <v>-1.68518E-2</v>
      </c>
      <c r="J182" s="22">
        <v>172</v>
      </c>
      <c r="K182" s="22">
        <v>0.98266600000000004</v>
      </c>
      <c r="L182">
        <f t="shared" si="24"/>
        <v>16.851800000000001</v>
      </c>
      <c r="M182">
        <f t="shared" si="25"/>
        <v>16.580266946599998</v>
      </c>
      <c r="N182" s="9"/>
      <c r="O182" s="22">
        <v>0.76614400000000005</v>
      </c>
      <c r="P182" s="22">
        <v>96.367900000000006</v>
      </c>
      <c r="Q182" s="22">
        <v>-1.70441E-2</v>
      </c>
      <c r="R182" s="22">
        <v>172</v>
      </c>
      <c r="S182" s="22">
        <v>0.76507599999999998</v>
      </c>
      <c r="T182">
        <f t="shared" si="26"/>
        <v>17.0441</v>
      </c>
      <c r="U182">
        <f t="shared" si="27"/>
        <v>13.058234950400001</v>
      </c>
      <c r="X182" s="9"/>
      <c r="Y182" s="22">
        <v>0.98388699999999996</v>
      </c>
      <c r="Z182" s="22">
        <v>158.32499999999999</v>
      </c>
      <c r="AA182" s="22">
        <v>-1.68793E-2</v>
      </c>
      <c r="AB182" s="22">
        <v>172</v>
      </c>
      <c r="AC182" s="22">
        <v>0.98327600000000004</v>
      </c>
      <c r="AD182">
        <f t="shared" si="28"/>
        <v>16.879300000000001</v>
      </c>
      <c r="AE182">
        <f t="shared" si="29"/>
        <v>16.607323839100001</v>
      </c>
      <c r="AF182" s="9"/>
      <c r="AG182" s="22">
        <v>0.76614400000000005</v>
      </c>
      <c r="AH182" s="22">
        <v>237.857</v>
      </c>
      <c r="AI182" s="22">
        <v>-1.6772499999999999E-2</v>
      </c>
      <c r="AJ182" s="22">
        <v>172</v>
      </c>
      <c r="AK182" s="22">
        <v>0.76599099999999998</v>
      </c>
      <c r="AL182">
        <f t="shared" si="30"/>
        <v>16.772500000000001</v>
      </c>
      <c r="AM182">
        <f t="shared" si="31"/>
        <v>12.850150240000001</v>
      </c>
      <c r="AP182" s="9"/>
      <c r="AQ182" s="22">
        <v>0.98388699999999996</v>
      </c>
      <c r="AR182" s="22">
        <v>290.274</v>
      </c>
      <c r="AS182" s="22">
        <v>-1.6699200000000001E-2</v>
      </c>
      <c r="AT182" s="22">
        <v>172</v>
      </c>
      <c r="AU182" s="22">
        <v>0.98266600000000004</v>
      </c>
      <c r="AV182">
        <f t="shared" si="32"/>
        <v>16.699200000000001</v>
      </c>
      <c r="AW182">
        <f t="shared" si="33"/>
        <v>16.430125790400002</v>
      </c>
      <c r="AX182" s="9"/>
      <c r="AY182" s="22">
        <v>0.76614400000000005</v>
      </c>
      <c r="AZ182" s="22">
        <v>369.50400000000002</v>
      </c>
      <c r="BA182" s="22">
        <v>-1.6488599999999999E-2</v>
      </c>
      <c r="BB182" s="22">
        <v>172</v>
      </c>
      <c r="BC182" s="22">
        <v>0.76507599999999998</v>
      </c>
      <c r="BD182">
        <f t="shared" si="34"/>
        <v>16.488599999999998</v>
      </c>
      <c r="BE182">
        <f t="shared" si="35"/>
        <v>12.632641958399999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41.072800000000001</v>
      </c>
      <c r="I183" s="22">
        <v>-1.6867099999999999E-2</v>
      </c>
      <c r="J183" s="22">
        <v>173</v>
      </c>
      <c r="K183" s="22">
        <v>0.97778299999999996</v>
      </c>
      <c r="L183">
        <f t="shared" si="24"/>
        <v>16.867100000000001</v>
      </c>
      <c r="M183">
        <f t="shared" si="25"/>
        <v>16.510377702100001</v>
      </c>
      <c r="N183" s="9"/>
      <c r="O183" s="22">
        <v>0.77117899999999995</v>
      </c>
      <c r="P183" s="22">
        <v>96.468599999999995</v>
      </c>
      <c r="Q183" s="22">
        <v>-1.7047099999999999E-2</v>
      </c>
      <c r="R183" s="22">
        <v>173</v>
      </c>
      <c r="S183" s="22">
        <v>0.77026399999999995</v>
      </c>
      <c r="T183">
        <f t="shared" si="26"/>
        <v>17.0471</v>
      </c>
      <c r="U183">
        <f t="shared" si="27"/>
        <v>13.146365530899999</v>
      </c>
      <c r="X183" s="9"/>
      <c r="Y183" s="22">
        <v>0.97885100000000003</v>
      </c>
      <c r="Z183" s="22">
        <v>158.42599999999999</v>
      </c>
      <c r="AA183" s="22">
        <v>-1.6873200000000001E-2</v>
      </c>
      <c r="AB183" s="22">
        <v>173</v>
      </c>
      <c r="AC183" s="22">
        <v>0.97839399999999999</v>
      </c>
      <c r="AD183">
        <f t="shared" si="28"/>
        <v>16.873200000000001</v>
      </c>
      <c r="AE183">
        <f t="shared" si="29"/>
        <v>16.516348693200001</v>
      </c>
      <c r="AF183" s="9"/>
      <c r="AG183" s="22">
        <v>0.77117899999999995</v>
      </c>
      <c r="AH183" s="22">
        <v>237.958</v>
      </c>
      <c r="AI183" s="22">
        <v>-1.6818199999999998E-2</v>
      </c>
      <c r="AJ183" s="22">
        <v>173</v>
      </c>
      <c r="AK183" s="22">
        <v>0.77056899999999995</v>
      </c>
      <c r="AL183">
        <f t="shared" si="30"/>
        <v>16.818199999999997</v>
      </c>
      <c r="AM183">
        <f t="shared" si="31"/>
        <v>12.969842657799997</v>
      </c>
      <c r="AP183" s="9"/>
      <c r="AQ183" s="22">
        <v>0.97885100000000003</v>
      </c>
      <c r="AR183" s="22">
        <v>290.375</v>
      </c>
      <c r="AS183" s="22">
        <v>-1.6690099999999999E-2</v>
      </c>
      <c r="AT183" s="22">
        <v>173</v>
      </c>
      <c r="AU183" s="22">
        <v>0.97778299999999996</v>
      </c>
      <c r="AV183">
        <f t="shared" si="32"/>
        <v>16.690100000000001</v>
      </c>
      <c r="AW183">
        <f t="shared" si="33"/>
        <v>16.337121075100001</v>
      </c>
      <c r="AX183" s="9"/>
      <c r="AY183" s="22">
        <v>0.77117899999999995</v>
      </c>
      <c r="AZ183" s="22">
        <v>369.60500000000002</v>
      </c>
      <c r="BA183" s="22">
        <v>-1.6549700000000001E-2</v>
      </c>
      <c r="BB183" s="22">
        <v>173</v>
      </c>
      <c r="BC183" s="22">
        <v>0.77056899999999995</v>
      </c>
      <c r="BD183">
        <f t="shared" si="34"/>
        <v>16.549700000000001</v>
      </c>
      <c r="BE183">
        <f t="shared" si="35"/>
        <v>12.762781096299999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41.173499999999997</v>
      </c>
      <c r="I184" s="22">
        <v>-1.6873200000000001E-2</v>
      </c>
      <c r="J184" s="22">
        <v>174</v>
      </c>
      <c r="K184" s="22">
        <v>0.97320600000000002</v>
      </c>
      <c r="L184">
        <f t="shared" si="24"/>
        <v>16.873200000000001</v>
      </c>
      <c r="M184">
        <f t="shared" si="25"/>
        <v>16.431392131200003</v>
      </c>
      <c r="N184" s="9"/>
      <c r="O184" s="22">
        <v>0.77621499999999999</v>
      </c>
      <c r="P184" s="22">
        <v>96.569299999999998</v>
      </c>
      <c r="Q184" s="22">
        <v>-1.7041000000000001E-2</v>
      </c>
      <c r="R184" s="22">
        <v>174</v>
      </c>
      <c r="S184" s="22">
        <v>0.77575700000000003</v>
      </c>
      <c r="T184">
        <f t="shared" si="26"/>
        <v>17.041</v>
      </c>
      <c r="U184">
        <f t="shared" si="27"/>
        <v>13.227479815000001</v>
      </c>
      <c r="X184" s="9"/>
      <c r="Y184" s="22">
        <v>0.97381600000000001</v>
      </c>
      <c r="Z184" s="22">
        <v>158.52600000000001</v>
      </c>
      <c r="AA184" s="22">
        <v>-1.6897599999999999E-2</v>
      </c>
      <c r="AB184" s="22">
        <v>174</v>
      </c>
      <c r="AC184" s="22">
        <v>0.97320600000000002</v>
      </c>
      <c r="AD184">
        <f t="shared" si="28"/>
        <v>16.897599999999997</v>
      </c>
      <c r="AE184">
        <f t="shared" si="29"/>
        <v>16.455153241599998</v>
      </c>
      <c r="AF184" s="9"/>
      <c r="AG184" s="22">
        <v>0.77621499999999999</v>
      </c>
      <c r="AH184" s="22">
        <v>238.059</v>
      </c>
      <c r="AI184" s="22">
        <v>-1.67999E-2</v>
      </c>
      <c r="AJ184" s="22">
        <v>174</v>
      </c>
      <c r="AK184" s="22">
        <v>0.77545200000000003</v>
      </c>
      <c r="AL184">
        <f t="shared" si="30"/>
        <v>16.799900000000001</v>
      </c>
      <c r="AM184">
        <f t="shared" si="31"/>
        <v>13.040334378500001</v>
      </c>
      <c r="AP184" s="9"/>
      <c r="AQ184" s="22">
        <v>0.97381600000000001</v>
      </c>
      <c r="AR184" s="22">
        <v>290.47500000000002</v>
      </c>
      <c r="AS184" s="22">
        <v>-1.6684000000000001E-2</v>
      </c>
      <c r="AT184" s="22">
        <v>174</v>
      </c>
      <c r="AU184" s="22">
        <v>0.97259499999999999</v>
      </c>
      <c r="AV184">
        <f t="shared" si="32"/>
        <v>16.684000000000001</v>
      </c>
      <c r="AW184">
        <f t="shared" si="33"/>
        <v>16.247146144000002</v>
      </c>
      <c r="AX184" s="9"/>
      <c r="AY184" s="22">
        <v>0.77621499999999999</v>
      </c>
      <c r="AZ184" s="22">
        <v>369.70600000000002</v>
      </c>
      <c r="BA184" s="22">
        <v>-1.6491700000000001E-2</v>
      </c>
      <c r="BB184" s="22">
        <v>174</v>
      </c>
      <c r="BC184" s="22">
        <v>0.77545200000000003</v>
      </c>
      <c r="BD184">
        <f t="shared" si="34"/>
        <v>16.491700000000002</v>
      </c>
      <c r="BE184">
        <f t="shared" si="35"/>
        <v>12.801104915500002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41.2742</v>
      </c>
      <c r="I185" s="22">
        <v>-1.6882299999999999E-2</v>
      </c>
      <c r="J185" s="22">
        <v>175</v>
      </c>
      <c r="K185" s="22">
        <v>0.96740700000000002</v>
      </c>
      <c r="L185">
        <f t="shared" si="24"/>
        <v>16.882300000000001</v>
      </c>
      <c r="M185">
        <f t="shared" si="25"/>
        <v>16.355251476300001</v>
      </c>
      <c r="N185" s="9"/>
      <c r="O185" s="22">
        <v>0.78125</v>
      </c>
      <c r="P185" s="22">
        <v>96.670100000000005</v>
      </c>
      <c r="Q185" s="22">
        <v>-1.7059299999999999E-2</v>
      </c>
      <c r="R185" s="22">
        <v>175</v>
      </c>
      <c r="S185" s="22">
        <v>0.780945</v>
      </c>
      <c r="T185">
        <f t="shared" si="26"/>
        <v>17.0593</v>
      </c>
      <c r="U185">
        <f t="shared" si="27"/>
        <v>13.327578125</v>
      </c>
      <c r="X185" s="9"/>
      <c r="Y185" s="22">
        <v>0.968781</v>
      </c>
      <c r="Z185" s="22">
        <v>158.62700000000001</v>
      </c>
      <c r="AA185" s="22">
        <v>-1.6909799999999999E-2</v>
      </c>
      <c r="AB185" s="22">
        <v>175</v>
      </c>
      <c r="AC185" s="22">
        <v>0.96801800000000005</v>
      </c>
      <c r="AD185">
        <f t="shared" si="28"/>
        <v>16.909800000000001</v>
      </c>
      <c r="AE185">
        <f t="shared" si="29"/>
        <v>16.381892953800001</v>
      </c>
      <c r="AF185" s="9"/>
      <c r="AG185" s="22">
        <v>0.78125</v>
      </c>
      <c r="AH185" s="22">
        <v>238.15899999999999</v>
      </c>
      <c r="AI185" s="22">
        <v>-1.68121E-2</v>
      </c>
      <c r="AJ185" s="22">
        <v>175</v>
      </c>
      <c r="AK185" s="22">
        <v>0.78033399999999997</v>
      </c>
      <c r="AL185">
        <f t="shared" si="30"/>
        <v>16.812100000000001</v>
      </c>
      <c r="AM185">
        <f t="shared" si="31"/>
        <v>13.134453125</v>
      </c>
      <c r="AP185" s="9"/>
      <c r="AQ185" s="22">
        <v>0.968781</v>
      </c>
      <c r="AR185" s="22">
        <v>290.57600000000002</v>
      </c>
      <c r="AS185" s="22">
        <v>-1.6677899999999999E-2</v>
      </c>
      <c r="AT185" s="22">
        <v>175</v>
      </c>
      <c r="AU185" s="22">
        <v>0.96801800000000005</v>
      </c>
      <c r="AV185">
        <f t="shared" si="32"/>
        <v>16.677899999999998</v>
      </c>
      <c r="AW185">
        <f t="shared" si="33"/>
        <v>16.157232639899998</v>
      </c>
      <c r="AX185" s="9"/>
      <c r="AY185" s="22">
        <v>0.78125</v>
      </c>
      <c r="AZ185" s="22">
        <v>369.80599999999998</v>
      </c>
      <c r="BA185" s="22">
        <v>-1.6476399999999999E-2</v>
      </c>
      <c r="BB185" s="22">
        <v>175</v>
      </c>
      <c r="BC185" s="22">
        <v>0.78064</v>
      </c>
      <c r="BD185">
        <f t="shared" si="34"/>
        <v>16.476399999999998</v>
      </c>
      <c r="BE185">
        <f t="shared" si="35"/>
        <v>12.872187499999999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41.374899999999997</v>
      </c>
      <c r="I186" s="22">
        <v>-1.6888400000000001E-2</v>
      </c>
      <c r="J186" s="22">
        <v>176</v>
      </c>
      <c r="K186" s="22">
        <v>0.96221900000000005</v>
      </c>
      <c r="L186">
        <f t="shared" si="24"/>
        <v>16.888400000000001</v>
      </c>
      <c r="M186">
        <f t="shared" si="25"/>
        <v>16.276111058000001</v>
      </c>
      <c r="N186" s="9"/>
      <c r="O186" s="22">
        <v>0.78628500000000001</v>
      </c>
      <c r="P186" s="22">
        <v>96.770799999999994</v>
      </c>
      <c r="Q186" s="22">
        <v>-1.7050200000000001E-2</v>
      </c>
      <c r="R186" s="22">
        <v>176</v>
      </c>
      <c r="S186" s="22">
        <v>0.78521700000000005</v>
      </c>
      <c r="T186">
        <f t="shared" si="26"/>
        <v>17.0502</v>
      </c>
      <c r="U186">
        <f t="shared" si="27"/>
        <v>13.406316507</v>
      </c>
      <c r="X186" s="9"/>
      <c r="Y186" s="22">
        <v>0.96374499999999996</v>
      </c>
      <c r="Z186" s="22">
        <v>158.72800000000001</v>
      </c>
      <c r="AA186" s="22">
        <v>-1.69067E-2</v>
      </c>
      <c r="AB186" s="22">
        <v>176</v>
      </c>
      <c r="AC186" s="22">
        <v>0.96252400000000005</v>
      </c>
      <c r="AD186">
        <f t="shared" si="28"/>
        <v>16.906700000000001</v>
      </c>
      <c r="AE186">
        <f t="shared" si="29"/>
        <v>16.293747591500001</v>
      </c>
      <c r="AF186" s="9"/>
      <c r="AG186" s="22">
        <v>0.78628500000000001</v>
      </c>
      <c r="AH186" s="22">
        <v>238.26</v>
      </c>
      <c r="AI186" s="22">
        <v>-1.6815199999999999E-2</v>
      </c>
      <c r="AJ186" s="22">
        <v>176</v>
      </c>
      <c r="AK186" s="22">
        <v>0.78582799999999997</v>
      </c>
      <c r="AL186">
        <f t="shared" si="30"/>
        <v>16.815199999999997</v>
      </c>
      <c r="AM186">
        <f t="shared" si="31"/>
        <v>13.221539531999998</v>
      </c>
      <c r="AP186" s="9"/>
      <c r="AQ186" s="22">
        <v>0.96374499999999996</v>
      </c>
      <c r="AR186" s="22">
        <v>290.67700000000002</v>
      </c>
      <c r="AS186" s="22">
        <v>-1.6677899999999999E-2</v>
      </c>
      <c r="AT186" s="22">
        <v>176</v>
      </c>
      <c r="AU186" s="22">
        <v>0.96313499999999996</v>
      </c>
      <c r="AV186">
        <f t="shared" si="32"/>
        <v>16.677899999999998</v>
      </c>
      <c r="AW186">
        <f t="shared" si="33"/>
        <v>16.073242735499996</v>
      </c>
      <c r="AX186" s="9"/>
      <c r="AY186" s="22">
        <v>0.78628500000000001</v>
      </c>
      <c r="AZ186" s="22">
        <v>369.90699999999998</v>
      </c>
      <c r="BA186" s="22">
        <v>-1.64856E-2</v>
      </c>
      <c r="BB186" s="22">
        <v>176</v>
      </c>
      <c r="BC186" s="22">
        <v>0.78491200000000005</v>
      </c>
      <c r="BD186">
        <f t="shared" si="34"/>
        <v>16.485599999999998</v>
      </c>
      <c r="BE186">
        <f t="shared" si="35"/>
        <v>12.962379995999999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41.4756</v>
      </c>
      <c r="I187" s="22">
        <v>-1.6882299999999999E-2</v>
      </c>
      <c r="J187" s="22">
        <v>177</v>
      </c>
      <c r="K187" s="22">
        <v>0.95764199999999999</v>
      </c>
      <c r="L187">
        <f t="shared" si="24"/>
        <v>16.882300000000001</v>
      </c>
      <c r="M187">
        <f t="shared" si="25"/>
        <v>16.185229833000001</v>
      </c>
      <c r="N187" s="9"/>
      <c r="O187" s="22">
        <v>0.79132100000000005</v>
      </c>
      <c r="P187" s="22">
        <v>96.871499999999997</v>
      </c>
      <c r="Q187" s="22">
        <v>-1.7053200000000001E-2</v>
      </c>
      <c r="R187" s="22">
        <v>177</v>
      </c>
      <c r="S187" s="22">
        <v>0.79071000000000002</v>
      </c>
      <c r="T187">
        <f t="shared" si="26"/>
        <v>17.0532</v>
      </c>
      <c r="U187">
        <f t="shared" si="27"/>
        <v>13.494555277200002</v>
      </c>
      <c r="X187" s="9"/>
      <c r="Y187" s="22">
        <v>0.95870999999999995</v>
      </c>
      <c r="Z187" s="22">
        <v>158.828</v>
      </c>
      <c r="AA187" s="22">
        <v>-1.6909799999999999E-2</v>
      </c>
      <c r="AB187" s="22">
        <v>177</v>
      </c>
      <c r="AC187" s="22">
        <v>0.95855699999999999</v>
      </c>
      <c r="AD187">
        <f t="shared" si="28"/>
        <v>16.909800000000001</v>
      </c>
      <c r="AE187">
        <f t="shared" si="29"/>
        <v>16.211594357999999</v>
      </c>
      <c r="AF187" s="9"/>
      <c r="AG187" s="22">
        <v>0.79132100000000005</v>
      </c>
      <c r="AH187" s="22">
        <v>238.36099999999999</v>
      </c>
      <c r="AI187" s="22">
        <v>-1.6781600000000001E-2</v>
      </c>
      <c r="AJ187" s="22">
        <v>177</v>
      </c>
      <c r="AK187" s="22">
        <v>0.79040500000000002</v>
      </c>
      <c r="AL187">
        <f t="shared" si="30"/>
        <v>16.781600000000001</v>
      </c>
      <c r="AM187">
        <f t="shared" si="31"/>
        <v>13.279632493600001</v>
      </c>
      <c r="AP187" s="9"/>
      <c r="AQ187" s="22">
        <v>0.95870999999999995</v>
      </c>
      <c r="AR187" s="22">
        <v>290.77800000000002</v>
      </c>
      <c r="AS187" s="22">
        <v>-1.6665599999999999E-2</v>
      </c>
      <c r="AT187" s="22">
        <v>177</v>
      </c>
      <c r="AU187" s="22">
        <v>0.95764199999999999</v>
      </c>
      <c r="AV187">
        <f t="shared" si="32"/>
        <v>16.665599999999998</v>
      </c>
      <c r="AW187">
        <f t="shared" si="33"/>
        <v>15.977477375999998</v>
      </c>
      <c r="AX187" s="9"/>
      <c r="AY187" s="22">
        <v>0.79132100000000005</v>
      </c>
      <c r="AZ187" s="22">
        <v>370.00799999999998</v>
      </c>
      <c r="BA187" s="22">
        <v>-1.6503899999999998E-2</v>
      </c>
      <c r="BB187" s="22">
        <v>177</v>
      </c>
      <c r="BC187" s="22">
        <v>0.79071000000000002</v>
      </c>
      <c r="BD187">
        <f t="shared" si="34"/>
        <v>16.503899999999998</v>
      </c>
      <c r="BE187">
        <f t="shared" si="35"/>
        <v>13.059882651899999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41.576300000000003</v>
      </c>
      <c r="I188" s="22">
        <v>-1.6897599999999999E-2</v>
      </c>
      <c r="J188" s="22">
        <v>178</v>
      </c>
      <c r="K188" s="22">
        <v>0.95245400000000002</v>
      </c>
      <c r="L188">
        <f t="shared" si="24"/>
        <v>16.897599999999997</v>
      </c>
      <c r="M188">
        <f t="shared" si="25"/>
        <v>16.114801782399997</v>
      </c>
      <c r="N188" s="9"/>
      <c r="O188" s="22">
        <v>0.79635599999999995</v>
      </c>
      <c r="P188" s="22">
        <v>96.972200000000001</v>
      </c>
      <c r="Q188" s="22">
        <v>-1.7025800000000001E-2</v>
      </c>
      <c r="R188" s="22">
        <v>178</v>
      </c>
      <c r="S188" s="22">
        <v>0.79528799999999999</v>
      </c>
      <c r="T188">
        <f t="shared" si="26"/>
        <v>17.0258</v>
      </c>
      <c r="U188">
        <f t="shared" si="27"/>
        <v>13.558597984799999</v>
      </c>
      <c r="X188" s="9"/>
      <c r="Y188" s="22">
        <v>0.95367400000000002</v>
      </c>
      <c r="Z188" s="22">
        <v>158.929</v>
      </c>
      <c r="AA188" s="22">
        <v>-1.68915E-2</v>
      </c>
      <c r="AB188" s="22">
        <v>178</v>
      </c>
      <c r="AC188" s="22">
        <v>0.95275900000000002</v>
      </c>
      <c r="AD188">
        <f t="shared" si="28"/>
        <v>16.891500000000001</v>
      </c>
      <c r="AE188">
        <f t="shared" si="29"/>
        <v>16.108984371000002</v>
      </c>
      <c r="AF188" s="9"/>
      <c r="AG188" s="22">
        <v>0.79635599999999995</v>
      </c>
      <c r="AH188" s="22">
        <v>238.46100000000001</v>
      </c>
      <c r="AI188" s="22">
        <v>-1.6815199999999999E-2</v>
      </c>
      <c r="AJ188" s="22">
        <v>178</v>
      </c>
      <c r="AK188" s="22">
        <v>0.79559299999999999</v>
      </c>
      <c r="AL188">
        <f t="shared" si="30"/>
        <v>16.815199999999997</v>
      </c>
      <c r="AM188">
        <f t="shared" si="31"/>
        <v>13.390885411199998</v>
      </c>
      <c r="AP188" s="9"/>
      <c r="AQ188" s="22">
        <v>0.95367400000000002</v>
      </c>
      <c r="AR188" s="22">
        <v>290.87799999999999</v>
      </c>
      <c r="AS188" s="22">
        <v>-1.6690099999999999E-2</v>
      </c>
      <c r="AT188" s="22">
        <v>178</v>
      </c>
      <c r="AU188" s="22">
        <v>0.95275900000000002</v>
      </c>
      <c r="AV188">
        <f t="shared" si="32"/>
        <v>16.690100000000001</v>
      </c>
      <c r="AW188">
        <f t="shared" si="33"/>
        <v>15.916914427400002</v>
      </c>
      <c r="AX188" s="9"/>
      <c r="AY188" s="22">
        <v>0.79635599999999995</v>
      </c>
      <c r="AZ188" s="22">
        <v>370.10899999999998</v>
      </c>
      <c r="BA188" s="22">
        <v>-1.6519200000000001E-2</v>
      </c>
      <c r="BB188" s="22">
        <v>178</v>
      </c>
      <c r="BC188" s="22">
        <v>0.79589799999999999</v>
      </c>
      <c r="BD188">
        <f t="shared" si="34"/>
        <v>16.519200000000001</v>
      </c>
      <c r="BE188">
        <f t="shared" si="35"/>
        <v>13.1551640352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41.677</v>
      </c>
      <c r="I189" s="22">
        <v>-1.6912799999999999E-2</v>
      </c>
      <c r="J189" s="22">
        <v>179</v>
      </c>
      <c r="K189" s="22">
        <v>0.94787600000000005</v>
      </c>
      <c r="L189">
        <f t="shared" si="24"/>
        <v>16.912799999999997</v>
      </c>
      <c r="M189">
        <f t="shared" si="25"/>
        <v>16.044141679199999</v>
      </c>
      <c r="N189" s="9"/>
      <c r="O189" s="22">
        <v>0.80139199999999999</v>
      </c>
      <c r="P189" s="22">
        <v>97.072900000000004</v>
      </c>
      <c r="Q189" s="22">
        <v>-1.7050200000000001E-2</v>
      </c>
      <c r="R189" s="22">
        <v>179</v>
      </c>
      <c r="S189" s="22">
        <v>0.80047599999999997</v>
      </c>
      <c r="T189">
        <f t="shared" si="26"/>
        <v>17.0502</v>
      </c>
      <c r="U189">
        <f t="shared" si="27"/>
        <v>13.6638938784</v>
      </c>
      <c r="X189" s="9"/>
      <c r="Y189" s="22">
        <v>0.94863900000000001</v>
      </c>
      <c r="Z189" s="22">
        <v>159.03</v>
      </c>
      <c r="AA189" s="22">
        <v>-1.69067E-2</v>
      </c>
      <c r="AB189" s="22">
        <v>179</v>
      </c>
      <c r="AC189" s="22">
        <v>0.94726600000000005</v>
      </c>
      <c r="AD189">
        <f t="shared" si="28"/>
        <v>16.906700000000001</v>
      </c>
      <c r="AE189">
        <f t="shared" si="29"/>
        <v>16.038354981299999</v>
      </c>
      <c r="AF189" s="9"/>
      <c r="AG189" s="22">
        <v>0.80139199999999999</v>
      </c>
      <c r="AH189" s="22">
        <v>238.56200000000001</v>
      </c>
      <c r="AI189" s="22">
        <v>-1.67999E-2</v>
      </c>
      <c r="AJ189" s="22">
        <v>179</v>
      </c>
      <c r="AK189" s="22">
        <v>0.80047599999999997</v>
      </c>
      <c r="AL189">
        <f t="shared" si="30"/>
        <v>16.799900000000001</v>
      </c>
      <c r="AM189">
        <f t="shared" si="31"/>
        <v>13.463305460800001</v>
      </c>
      <c r="AP189" s="9"/>
      <c r="AQ189" s="22">
        <v>0.94863900000000001</v>
      </c>
      <c r="AR189" s="22">
        <v>290.97899999999998</v>
      </c>
      <c r="AS189" s="22">
        <v>-1.6668700000000002E-2</v>
      </c>
      <c r="AT189" s="22">
        <v>179</v>
      </c>
      <c r="AU189" s="22">
        <v>0.94757100000000005</v>
      </c>
      <c r="AV189">
        <f t="shared" si="32"/>
        <v>16.668700000000001</v>
      </c>
      <c r="AW189">
        <f t="shared" si="33"/>
        <v>15.812578899300002</v>
      </c>
      <c r="AX189" s="9"/>
      <c r="AY189" s="22">
        <v>0.80139199999999999</v>
      </c>
      <c r="AZ189" s="22">
        <v>370.209</v>
      </c>
      <c r="BA189" s="22">
        <v>-1.6479500000000001E-2</v>
      </c>
      <c r="BB189" s="22">
        <v>179</v>
      </c>
      <c r="BC189" s="22">
        <v>0.80047599999999997</v>
      </c>
      <c r="BD189">
        <f t="shared" si="34"/>
        <v>16.479500000000002</v>
      </c>
      <c r="BE189">
        <f t="shared" si="35"/>
        <v>13.206539464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41.777700000000003</v>
      </c>
      <c r="I190" s="22">
        <v>-1.6903700000000001E-2</v>
      </c>
      <c r="J190" s="22">
        <v>180</v>
      </c>
      <c r="K190" s="22">
        <v>0.94268799999999997</v>
      </c>
      <c r="L190">
        <f t="shared" si="24"/>
        <v>16.903700000000001</v>
      </c>
      <c r="M190">
        <f t="shared" si="25"/>
        <v>15.950398934800001</v>
      </c>
      <c r="N190" s="9"/>
      <c r="O190" s="22">
        <v>0.806427</v>
      </c>
      <c r="P190" s="22">
        <v>97.173599999999993</v>
      </c>
      <c r="Q190" s="22">
        <v>-1.7059299999999999E-2</v>
      </c>
      <c r="R190" s="22">
        <v>180</v>
      </c>
      <c r="S190" s="22">
        <v>0.80566400000000005</v>
      </c>
      <c r="T190">
        <f t="shared" si="26"/>
        <v>17.0593</v>
      </c>
      <c r="U190">
        <f t="shared" si="27"/>
        <v>13.7570801211</v>
      </c>
      <c r="X190" s="9"/>
      <c r="Y190" s="22">
        <v>0.943604</v>
      </c>
      <c r="Z190" s="22">
        <v>159.131</v>
      </c>
      <c r="AA190" s="22">
        <v>-1.6903700000000001E-2</v>
      </c>
      <c r="AB190" s="22">
        <v>180</v>
      </c>
      <c r="AC190" s="22">
        <v>0.94268799999999997</v>
      </c>
      <c r="AD190">
        <f t="shared" si="28"/>
        <v>16.903700000000001</v>
      </c>
      <c r="AE190">
        <f t="shared" si="29"/>
        <v>15.950398934800001</v>
      </c>
      <c r="AF190" s="9"/>
      <c r="AG190" s="22">
        <v>0.806427</v>
      </c>
      <c r="AH190" s="22">
        <v>238.66300000000001</v>
      </c>
      <c r="AI190" s="22">
        <v>-1.6806000000000001E-2</v>
      </c>
      <c r="AJ190" s="22">
        <v>180</v>
      </c>
      <c r="AK190" s="22">
        <v>0.80566400000000005</v>
      </c>
      <c r="AL190">
        <f t="shared" si="30"/>
        <v>16.806000000000001</v>
      </c>
      <c r="AM190">
        <f t="shared" si="31"/>
        <v>13.552812162</v>
      </c>
      <c r="AP190" s="9"/>
      <c r="AQ190" s="22">
        <v>0.943604</v>
      </c>
      <c r="AR190" s="22">
        <v>291.08</v>
      </c>
      <c r="AS190" s="22">
        <v>-1.66748E-2</v>
      </c>
      <c r="AT190" s="22">
        <v>180</v>
      </c>
      <c r="AU190" s="22">
        <v>0.94268799999999997</v>
      </c>
      <c r="AV190">
        <f t="shared" si="32"/>
        <v>16.674800000000001</v>
      </c>
      <c r="AW190">
        <f t="shared" si="33"/>
        <v>15.7344079792</v>
      </c>
      <c r="AX190" s="9"/>
      <c r="AY190" s="22">
        <v>0.806427</v>
      </c>
      <c r="AZ190" s="22">
        <v>370.31</v>
      </c>
      <c r="BA190" s="22">
        <v>-1.6500899999999999E-2</v>
      </c>
      <c r="BB190" s="22">
        <v>180</v>
      </c>
      <c r="BC190" s="22">
        <v>0.80596900000000005</v>
      </c>
      <c r="BD190">
        <f t="shared" si="34"/>
        <v>16.500899999999998</v>
      </c>
      <c r="BE190">
        <f t="shared" si="35"/>
        <v>13.306771284299998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41.878399999999999</v>
      </c>
      <c r="I191" s="22">
        <v>-1.6918900000000001E-2</v>
      </c>
      <c r="J191" s="22">
        <v>181</v>
      </c>
      <c r="K191" s="22">
        <v>0.93811</v>
      </c>
      <c r="L191">
        <f t="shared" si="24"/>
        <v>16.918900000000001</v>
      </c>
      <c r="M191">
        <f t="shared" si="25"/>
        <v>15.879538135200001</v>
      </c>
      <c r="N191" s="9"/>
      <c r="O191" s="22">
        <v>0.81146200000000002</v>
      </c>
      <c r="P191" s="22">
        <v>97.274299999999997</v>
      </c>
      <c r="Q191" s="22">
        <v>-1.70441E-2</v>
      </c>
      <c r="R191" s="22">
        <v>181</v>
      </c>
      <c r="S191" s="22">
        <v>0.81085200000000002</v>
      </c>
      <c r="T191">
        <f t="shared" si="26"/>
        <v>17.0441</v>
      </c>
      <c r="U191">
        <f t="shared" si="27"/>
        <v>13.8306394742</v>
      </c>
      <c r="X191" s="9"/>
      <c r="Y191" s="22">
        <v>0.93856799999999996</v>
      </c>
      <c r="Z191" s="22">
        <v>159.23099999999999</v>
      </c>
      <c r="AA191" s="22">
        <v>-1.6928100000000001E-2</v>
      </c>
      <c r="AB191" s="22">
        <v>181</v>
      </c>
      <c r="AC191" s="22">
        <v>0.93811</v>
      </c>
      <c r="AD191">
        <f t="shared" si="28"/>
        <v>16.928100000000001</v>
      </c>
      <c r="AE191">
        <f t="shared" si="29"/>
        <v>15.8881729608</v>
      </c>
      <c r="AF191" s="9"/>
      <c r="AG191" s="22">
        <v>0.81146200000000002</v>
      </c>
      <c r="AH191" s="22">
        <v>238.76400000000001</v>
      </c>
      <c r="AI191" s="22">
        <v>-1.68121E-2</v>
      </c>
      <c r="AJ191" s="22">
        <v>181</v>
      </c>
      <c r="AK191" s="22">
        <v>0.81085200000000002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291.18</v>
      </c>
      <c r="AS191" s="22">
        <v>-1.66748E-2</v>
      </c>
      <c r="AT191" s="22">
        <v>181</v>
      </c>
      <c r="AU191" s="22">
        <v>0.937805</v>
      </c>
      <c r="AV191">
        <f t="shared" si="32"/>
        <v>16.674800000000001</v>
      </c>
      <c r="AW191">
        <f t="shared" si="33"/>
        <v>15.6504336864</v>
      </c>
      <c r="AX191" s="9"/>
      <c r="AY191" s="22">
        <v>0.81146200000000002</v>
      </c>
      <c r="AZ191" s="22">
        <v>370.411</v>
      </c>
      <c r="BA191" s="22">
        <v>-1.651E-2</v>
      </c>
      <c r="BB191" s="22">
        <v>181</v>
      </c>
      <c r="BC191" s="22">
        <v>0.81054700000000002</v>
      </c>
      <c r="BD191">
        <f t="shared" si="34"/>
        <v>16.510000000000002</v>
      </c>
      <c r="BE191">
        <f t="shared" si="35"/>
        <v>13.397237620000002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41.979199999999999</v>
      </c>
      <c r="I192" s="22">
        <v>-1.6924999999999999E-2</v>
      </c>
      <c r="J192" s="22">
        <v>182</v>
      </c>
      <c r="K192" s="22">
        <v>0.93261700000000003</v>
      </c>
      <c r="L192">
        <f t="shared" si="24"/>
        <v>16.925000000000001</v>
      </c>
      <c r="M192">
        <f t="shared" si="25"/>
        <v>15.800046025</v>
      </c>
      <c r="N192" s="9"/>
      <c r="O192" s="22">
        <v>0.81649799999999995</v>
      </c>
      <c r="P192" s="22">
        <v>97.375</v>
      </c>
      <c r="Q192" s="22">
        <v>-1.7025800000000001E-2</v>
      </c>
      <c r="R192" s="22">
        <v>182</v>
      </c>
      <c r="S192" s="22">
        <v>0.81542999999999999</v>
      </c>
      <c r="T192">
        <f t="shared" si="26"/>
        <v>17.0258</v>
      </c>
      <c r="U192">
        <f t="shared" si="27"/>
        <v>13.901531648399999</v>
      </c>
      <c r="X192" s="9"/>
      <c r="Y192" s="22">
        <v>0.93353299999999995</v>
      </c>
      <c r="Z192" s="22">
        <v>159.33199999999999</v>
      </c>
      <c r="AA192" s="22">
        <v>-1.6915900000000001E-2</v>
      </c>
      <c r="AB192" s="22">
        <v>182</v>
      </c>
      <c r="AC192" s="22">
        <v>0.93292200000000003</v>
      </c>
      <c r="AD192">
        <f t="shared" si="28"/>
        <v>16.915900000000001</v>
      </c>
      <c r="AE192">
        <f t="shared" si="29"/>
        <v>15.7915508747</v>
      </c>
      <c r="AF192" s="9"/>
      <c r="AG192" s="22">
        <v>0.81649799999999995</v>
      </c>
      <c r="AH192" s="22">
        <v>238.864</v>
      </c>
      <c r="AI192" s="22">
        <v>-1.67999E-2</v>
      </c>
      <c r="AJ192" s="22">
        <v>182</v>
      </c>
      <c r="AK192" s="22">
        <v>0.81542999999999999</v>
      </c>
      <c r="AL192">
        <f t="shared" si="30"/>
        <v>16.799900000000001</v>
      </c>
      <c r="AM192">
        <f t="shared" si="31"/>
        <v>13.7170847502</v>
      </c>
      <c r="AP192" s="9"/>
      <c r="AQ192" s="22">
        <v>0.93353299999999995</v>
      </c>
      <c r="AR192" s="22">
        <v>291.28100000000001</v>
      </c>
      <c r="AS192" s="22">
        <v>-1.67023E-2</v>
      </c>
      <c r="AT192" s="22">
        <v>182</v>
      </c>
      <c r="AU192" s="22">
        <v>0.93261700000000003</v>
      </c>
      <c r="AV192">
        <f t="shared" si="32"/>
        <v>16.702300000000001</v>
      </c>
      <c r="AW192">
        <f t="shared" si="33"/>
        <v>15.592148225900001</v>
      </c>
      <c r="AX192" s="9"/>
      <c r="AY192" s="22">
        <v>0.81649799999999995</v>
      </c>
      <c r="AZ192" s="22">
        <v>370.51100000000002</v>
      </c>
      <c r="BA192" s="22">
        <v>-1.6467300000000001E-2</v>
      </c>
      <c r="BB192" s="22">
        <v>182</v>
      </c>
      <c r="BC192" s="22">
        <v>0.81603999999999999</v>
      </c>
      <c r="BD192">
        <f t="shared" si="34"/>
        <v>16.467300000000002</v>
      </c>
      <c r="BE192">
        <f t="shared" si="35"/>
        <v>13.445517515400001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42.079900000000002</v>
      </c>
      <c r="I193" s="22">
        <v>-1.69067E-2</v>
      </c>
      <c r="J193" s="22">
        <v>183</v>
      </c>
      <c r="K193" s="22">
        <v>0.92712399999999995</v>
      </c>
      <c r="L193">
        <f t="shared" si="24"/>
        <v>16.906700000000001</v>
      </c>
      <c r="M193">
        <f t="shared" si="25"/>
        <v>15.697820229900001</v>
      </c>
      <c r="N193" s="9"/>
      <c r="O193" s="22">
        <v>0.82153299999999996</v>
      </c>
      <c r="P193" s="22">
        <v>97.475700000000003</v>
      </c>
      <c r="Q193" s="22">
        <v>-1.7022700000000002E-2</v>
      </c>
      <c r="R193" s="22">
        <v>183</v>
      </c>
      <c r="S193" s="22">
        <v>0.82061799999999996</v>
      </c>
      <c r="T193">
        <f t="shared" si="26"/>
        <v>17.0227</v>
      </c>
      <c r="U193">
        <f t="shared" si="27"/>
        <v>13.984709799099999</v>
      </c>
      <c r="X193" s="9"/>
      <c r="Y193" s="22">
        <v>0.92849700000000002</v>
      </c>
      <c r="Z193" s="22">
        <v>159.43299999999999</v>
      </c>
      <c r="AA193" s="22">
        <v>-1.6922E-2</v>
      </c>
      <c r="AB193" s="22">
        <v>183</v>
      </c>
      <c r="AC193" s="22">
        <v>0.92773399999999995</v>
      </c>
      <c r="AD193">
        <f t="shared" si="28"/>
        <v>16.922000000000001</v>
      </c>
      <c r="AE193">
        <f t="shared" si="29"/>
        <v>15.712026234000001</v>
      </c>
      <c r="AF193" s="9"/>
      <c r="AG193" s="22">
        <v>0.82153299999999996</v>
      </c>
      <c r="AH193" s="22">
        <v>238.965</v>
      </c>
      <c r="AI193" s="22">
        <v>-1.6747999999999999E-2</v>
      </c>
      <c r="AJ193" s="22">
        <v>183</v>
      </c>
      <c r="AK193" s="22">
        <v>0.82092299999999996</v>
      </c>
      <c r="AL193">
        <f t="shared" si="30"/>
        <v>16.747999999999998</v>
      </c>
      <c r="AM193">
        <f t="shared" si="31"/>
        <v>13.759034683999998</v>
      </c>
      <c r="AP193" s="9"/>
      <c r="AQ193" s="22">
        <v>0.92849700000000002</v>
      </c>
      <c r="AR193" s="22">
        <v>291.38200000000001</v>
      </c>
      <c r="AS193" s="22">
        <v>-1.67023E-2</v>
      </c>
      <c r="AT193" s="22">
        <v>183</v>
      </c>
      <c r="AU193" s="22">
        <v>0.92773399999999995</v>
      </c>
      <c r="AV193">
        <f t="shared" si="32"/>
        <v>16.702300000000001</v>
      </c>
      <c r="AW193">
        <f t="shared" si="33"/>
        <v>15.508035443100001</v>
      </c>
      <c r="AX193" s="9"/>
      <c r="AY193" s="22">
        <v>0.82153299999999996</v>
      </c>
      <c r="AZ193" s="22">
        <v>370.61200000000002</v>
      </c>
      <c r="BA193" s="22">
        <v>-1.6476399999999999E-2</v>
      </c>
      <c r="BB193" s="22">
        <v>183</v>
      </c>
      <c r="BC193" s="22">
        <v>0.82061799999999996</v>
      </c>
      <c r="BD193">
        <f t="shared" si="34"/>
        <v>16.476399999999998</v>
      </c>
      <c r="BE193">
        <f t="shared" si="35"/>
        <v>13.535906321199997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42.180599999999998</v>
      </c>
      <c r="I194" s="22">
        <v>-1.6918900000000001E-2</v>
      </c>
      <c r="J194" s="22">
        <v>184</v>
      </c>
      <c r="K194" s="22">
        <v>0.92254599999999998</v>
      </c>
      <c r="L194">
        <f t="shared" si="24"/>
        <v>16.918900000000001</v>
      </c>
      <c r="M194">
        <f t="shared" si="25"/>
        <v>15.623961231800001</v>
      </c>
      <c r="N194" s="9"/>
      <c r="O194" s="22">
        <v>0.826569</v>
      </c>
      <c r="P194" s="22">
        <v>97.576400000000007</v>
      </c>
      <c r="Q194" s="22">
        <v>-1.7034899999999999E-2</v>
      </c>
      <c r="R194" s="22">
        <v>184</v>
      </c>
      <c r="S194" s="22">
        <v>0.82580600000000004</v>
      </c>
      <c r="T194">
        <f t="shared" si="26"/>
        <v>17.0349</v>
      </c>
      <c r="U194">
        <f t="shared" si="27"/>
        <v>14.0805202581</v>
      </c>
      <c r="X194" s="9"/>
      <c r="Y194" s="22">
        <v>0.92346200000000001</v>
      </c>
      <c r="Z194" s="22">
        <v>159.53299999999999</v>
      </c>
      <c r="AA194" s="22">
        <v>-1.6924999999999999E-2</v>
      </c>
      <c r="AB194" s="22">
        <v>184</v>
      </c>
      <c r="AC194" s="22">
        <v>0.92285200000000001</v>
      </c>
      <c r="AD194">
        <f t="shared" si="28"/>
        <v>16.925000000000001</v>
      </c>
      <c r="AE194">
        <f t="shared" si="29"/>
        <v>15.629594350000001</v>
      </c>
      <c r="AF194" s="9"/>
      <c r="AG194" s="22">
        <v>0.826569</v>
      </c>
      <c r="AH194" s="22">
        <v>239.066</v>
      </c>
      <c r="AI194" s="22">
        <v>-1.6720599999999999E-2</v>
      </c>
      <c r="AJ194" s="22">
        <v>184</v>
      </c>
      <c r="AK194" s="22">
        <v>0.82580600000000004</v>
      </c>
      <c r="AL194">
        <f t="shared" si="30"/>
        <v>16.720599999999997</v>
      </c>
      <c r="AM194">
        <f t="shared" si="31"/>
        <v>13.820729621399998</v>
      </c>
      <c r="AP194" s="9"/>
      <c r="AQ194" s="22">
        <v>0.92346200000000001</v>
      </c>
      <c r="AR194" s="22">
        <v>291.48200000000003</v>
      </c>
      <c r="AS194" s="22">
        <v>-1.6684000000000001E-2</v>
      </c>
      <c r="AT194" s="22">
        <v>184</v>
      </c>
      <c r="AU194" s="22">
        <v>0.92315700000000001</v>
      </c>
      <c r="AV194">
        <f t="shared" si="32"/>
        <v>16.684000000000001</v>
      </c>
      <c r="AW194">
        <f t="shared" si="33"/>
        <v>15.407040008000001</v>
      </c>
      <c r="AX194" s="9"/>
      <c r="AY194" s="22">
        <v>0.826569</v>
      </c>
      <c r="AZ194" s="22">
        <v>370.71300000000002</v>
      </c>
      <c r="BA194" s="22">
        <v>-1.6491700000000001E-2</v>
      </c>
      <c r="BB194" s="22">
        <v>184</v>
      </c>
      <c r="BC194" s="22">
        <v>0.82550000000000001</v>
      </c>
      <c r="BD194">
        <f t="shared" si="34"/>
        <v>16.491700000000002</v>
      </c>
      <c r="BE194">
        <f t="shared" si="35"/>
        <v>13.631527977300001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42.281300000000002</v>
      </c>
      <c r="I195" s="22">
        <v>-1.6922E-2</v>
      </c>
      <c r="J195" s="22">
        <v>185</v>
      </c>
      <c r="K195" s="22">
        <v>0.91705300000000001</v>
      </c>
      <c r="L195">
        <f t="shared" si="24"/>
        <v>16.922000000000001</v>
      </c>
      <c r="M195">
        <f t="shared" si="25"/>
        <v>15.541621694</v>
      </c>
      <c r="N195" s="9"/>
      <c r="O195" s="22">
        <v>0.83160400000000001</v>
      </c>
      <c r="P195" s="22">
        <v>97.677099999999996</v>
      </c>
      <c r="Q195" s="22">
        <v>-1.70013E-2</v>
      </c>
      <c r="R195" s="22">
        <v>185</v>
      </c>
      <c r="S195" s="22">
        <v>0.83099400000000001</v>
      </c>
      <c r="T195">
        <f t="shared" si="26"/>
        <v>17.001300000000001</v>
      </c>
      <c r="U195">
        <f t="shared" si="27"/>
        <v>14.1383490852</v>
      </c>
      <c r="X195" s="9"/>
      <c r="Y195" s="22">
        <v>0.91842699999999999</v>
      </c>
      <c r="Z195" s="22">
        <v>159.63399999999999</v>
      </c>
      <c r="AA195" s="22">
        <v>-1.6918900000000001E-2</v>
      </c>
      <c r="AB195" s="22">
        <v>185</v>
      </c>
      <c r="AC195" s="22">
        <v>0.91735800000000001</v>
      </c>
      <c r="AD195">
        <f t="shared" si="28"/>
        <v>16.918900000000001</v>
      </c>
      <c r="AE195">
        <f t="shared" si="29"/>
        <v>15.538774570300001</v>
      </c>
      <c r="AF195" s="9"/>
      <c r="AG195" s="22">
        <v>0.83160400000000001</v>
      </c>
      <c r="AH195" s="22">
        <v>239.166</v>
      </c>
      <c r="AI195" s="22">
        <v>-1.6744999999999999E-2</v>
      </c>
      <c r="AJ195" s="22">
        <v>185</v>
      </c>
      <c r="AK195" s="22">
        <v>0.83038299999999998</v>
      </c>
      <c r="AL195">
        <f t="shared" si="30"/>
        <v>16.745000000000001</v>
      </c>
      <c r="AM195">
        <f t="shared" si="31"/>
        <v>13.925208980000001</v>
      </c>
      <c r="AP195" s="9"/>
      <c r="AQ195" s="22">
        <v>0.91842699999999999</v>
      </c>
      <c r="AR195" s="22">
        <v>291.58300000000003</v>
      </c>
      <c r="AS195" s="22">
        <v>-1.6656500000000001E-2</v>
      </c>
      <c r="AT195" s="22">
        <v>185</v>
      </c>
      <c r="AU195" s="22">
        <v>0.91796900000000003</v>
      </c>
      <c r="AV195">
        <f t="shared" si="32"/>
        <v>16.656500000000001</v>
      </c>
      <c r="AW195">
        <f t="shared" si="33"/>
        <v>15.297779325500001</v>
      </c>
      <c r="AX195" s="9"/>
      <c r="AY195" s="22">
        <v>0.83160400000000001</v>
      </c>
      <c r="AZ195" s="22">
        <v>370.81299999999999</v>
      </c>
      <c r="BA195" s="22">
        <v>-1.6522200000000001E-2</v>
      </c>
      <c r="BB195" s="22">
        <v>185</v>
      </c>
      <c r="BC195" s="22">
        <v>0.83129900000000001</v>
      </c>
      <c r="BD195">
        <f t="shared" si="34"/>
        <v>16.522200000000002</v>
      </c>
      <c r="BE195">
        <f t="shared" si="35"/>
        <v>13.739927608800002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42.381999999999998</v>
      </c>
      <c r="I196" s="22">
        <v>-1.6922E-2</v>
      </c>
      <c r="J196" s="22">
        <v>186</v>
      </c>
      <c r="K196" s="22">
        <v>0.91308599999999995</v>
      </c>
      <c r="L196">
        <f t="shared" si="24"/>
        <v>16.922000000000001</v>
      </c>
      <c r="M196">
        <f t="shared" si="25"/>
        <v>15.456402502</v>
      </c>
      <c r="N196" s="9"/>
      <c r="O196" s="22">
        <v>0.83663900000000002</v>
      </c>
      <c r="P196" s="22">
        <v>97.777799999999999</v>
      </c>
      <c r="Q196" s="22">
        <v>-1.6998300000000001E-2</v>
      </c>
      <c r="R196" s="22">
        <v>186</v>
      </c>
      <c r="S196" s="22">
        <v>0.83648699999999998</v>
      </c>
      <c r="T196">
        <f t="shared" si="26"/>
        <v>16.9983</v>
      </c>
      <c r="U196">
        <f t="shared" si="27"/>
        <v>14.2214407137</v>
      </c>
      <c r="X196" s="9"/>
      <c r="Y196" s="22">
        <v>0.91339099999999995</v>
      </c>
      <c r="Z196" s="22">
        <v>159.73500000000001</v>
      </c>
      <c r="AA196" s="22">
        <v>-1.6918900000000001E-2</v>
      </c>
      <c r="AB196" s="22">
        <v>186</v>
      </c>
      <c r="AC196" s="22">
        <v>0.91278099999999995</v>
      </c>
      <c r="AD196">
        <f t="shared" si="28"/>
        <v>16.918900000000001</v>
      </c>
      <c r="AE196">
        <f t="shared" si="29"/>
        <v>15.453570989899999</v>
      </c>
      <c r="AF196" s="9"/>
      <c r="AG196" s="22">
        <v>0.83663900000000002</v>
      </c>
      <c r="AH196" s="22">
        <v>239.267</v>
      </c>
      <c r="AI196" s="22">
        <v>-1.67572E-2</v>
      </c>
      <c r="AJ196" s="22">
        <v>186</v>
      </c>
      <c r="AK196" s="22">
        <v>0.83526599999999995</v>
      </c>
      <c r="AL196">
        <f t="shared" si="30"/>
        <v>16.757200000000001</v>
      </c>
      <c r="AM196">
        <f t="shared" si="31"/>
        <v>14.019727050800002</v>
      </c>
      <c r="AP196" s="9"/>
      <c r="AQ196" s="22">
        <v>0.91339099999999995</v>
      </c>
      <c r="AR196" s="22">
        <v>291.68400000000003</v>
      </c>
      <c r="AS196" s="22">
        <v>-1.6690099999999999E-2</v>
      </c>
      <c r="AT196" s="22">
        <v>186</v>
      </c>
      <c r="AU196" s="22">
        <v>0.91247599999999995</v>
      </c>
      <c r="AV196">
        <f t="shared" si="32"/>
        <v>16.690100000000001</v>
      </c>
      <c r="AW196">
        <f t="shared" si="33"/>
        <v>15.244587129100001</v>
      </c>
      <c r="AX196" s="9"/>
      <c r="AY196" s="22">
        <v>0.83663900000000002</v>
      </c>
      <c r="AZ196" s="22">
        <v>370.91399999999999</v>
      </c>
      <c r="BA196" s="22">
        <v>-1.6528299999999999E-2</v>
      </c>
      <c r="BB196" s="22">
        <v>186</v>
      </c>
      <c r="BC196" s="22">
        <v>0.83557099999999995</v>
      </c>
      <c r="BD196">
        <f t="shared" si="34"/>
        <v>16.528299999999998</v>
      </c>
      <c r="BE196">
        <f t="shared" si="35"/>
        <v>13.828220383699998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42.482700000000001</v>
      </c>
      <c r="I197" s="22">
        <v>-1.6922E-2</v>
      </c>
      <c r="J197" s="22">
        <v>187</v>
      </c>
      <c r="K197" s="22">
        <v>0.90759299999999998</v>
      </c>
      <c r="L197">
        <f t="shared" si="24"/>
        <v>16.922000000000001</v>
      </c>
      <c r="M197">
        <f t="shared" si="25"/>
        <v>15.371200232000001</v>
      </c>
      <c r="N197" s="9"/>
      <c r="O197" s="22">
        <v>0.84167499999999995</v>
      </c>
      <c r="P197" s="22">
        <v>97.878500000000003</v>
      </c>
      <c r="Q197" s="22">
        <v>-1.6998300000000001E-2</v>
      </c>
      <c r="R197" s="22">
        <v>187</v>
      </c>
      <c r="S197" s="22">
        <v>0.84167499999999995</v>
      </c>
      <c r="T197">
        <f t="shared" si="26"/>
        <v>16.9983</v>
      </c>
      <c r="U197">
        <f t="shared" si="27"/>
        <v>14.3070441525</v>
      </c>
      <c r="X197" s="9"/>
      <c r="Y197" s="22">
        <v>0.90835600000000005</v>
      </c>
      <c r="Z197" s="22">
        <v>159.83600000000001</v>
      </c>
      <c r="AA197" s="22">
        <v>-1.6937299999999999E-2</v>
      </c>
      <c r="AB197" s="22">
        <v>187</v>
      </c>
      <c r="AC197" s="22">
        <v>0.90728799999999998</v>
      </c>
      <c r="AD197">
        <f t="shared" si="28"/>
        <v>16.9373</v>
      </c>
      <c r="AE197">
        <f t="shared" si="29"/>
        <v>15.3850980788</v>
      </c>
      <c r="AF197" s="9"/>
      <c r="AG197" s="22">
        <v>0.84167499999999995</v>
      </c>
      <c r="AH197" s="22">
        <v>239.36799999999999</v>
      </c>
      <c r="AI197" s="22">
        <v>-1.6720599999999999E-2</v>
      </c>
      <c r="AJ197" s="22">
        <v>187</v>
      </c>
      <c r="AK197" s="22">
        <v>0.84045400000000003</v>
      </c>
      <c r="AL197">
        <f t="shared" si="30"/>
        <v>16.720599999999997</v>
      </c>
      <c r="AM197">
        <f t="shared" si="31"/>
        <v>14.073311004999997</v>
      </c>
      <c r="AP197" s="9"/>
      <c r="AQ197" s="22">
        <v>0.90835600000000005</v>
      </c>
      <c r="AR197" s="22">
        <v>291.78500000000003</v>
      </c>
      <c r="AS197" s="22">
        <v>-1.6690099999999999E-2</v>
      </c>
      <c r="AT197" s="22">
        <v>187</v>
      </c>
      <c r="AU197" s="22">
        <v>0.90759299999999998</v>
      </c>
      <c r="AV197">
        <f t="shared" si="32"/>
        <v>16.690100000000001</v>
      </c>
      <c r="AW197">
        <f t="shared" si="33"/>
        <v>15.160552475600001</v>
      </c>
      <c r="AX197" s="9"/>
      <c r="AY197" s="22">
        <v>0.84167499999999995</v>
      </c>
      <c r="AZ197" s="22">
        <v>371.01499999999999</v>
      </c>
      <c r="BA197" s="22">
        <v>-1.65527E-2</v>
      </c>
      <c r="BB197" s="22">
        <v>187</v>
      </c>
      <c r="BC197" s="22">
        <v>0.84075900000000003</v>
      </c>
      <c r="BD197">
        <f t="shared" si="34"/>
        <v>16.552700000000002</v>
      </c>
      <c r="BE197">
        <f t="shared" si="35"/>
        <v>13.9319937725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42.583399999999997</v>
      </c>
      <c r="I198" s="22">
        <v>-1.6928100000000001E-2</v>
      </c>
      <c r="J198" s="22">
        <v>188</v>
      </c>
      <c r="K198" s="22">
        <v>0.90240500000000001</v>
      </c>
      <c r="L198">
        <f t="shared" si="24"/>
        <v>16.928100000000001</v>
      </c>
      <c r="M198">
        <f t="shared" si="25"/>
        <v>15.291491292</v>
      </c>
      <c r="N198" s="9"/>
      <c r="O198" s="22">
        <v>0.84670999999999996</v>
      </c>
      <c r="P198" s="22">
        <v>97.979299999999995</v>
      </c>
      <c r="Q198" s="22">
        <v>-1.6983000000000002E-2</v>
      </c>
      <c r="R198" s="22">
        <v>188</v>
      </c>
      <c r="S198" s="22">
        <v>0.845642</v>
      </c>
      <c r="T198">
        <f t="shared" si="26"/>
        <v>16.983000000000001</v>
      </c>
      <c r="U198">
        <f t="shared" si="27"/>
        <v>14.379675929999999</v>
      </c>
      <c r="X198" s="9"/>
      <c r="Y198" s="22">
        <v>0.90332000000000001</v>
      </c>
      <c r="Z198" s="22">
        <v>159.93600000000001</v>
      </c>
      <c r="AA198" s="22">
        <v>-1.6909799999999999E-2</v>
      </c>
      <c r="AB198" s="22">
        <v>188</v>
      </c>
      <c r="AC198" s="22">
        <v>0.90240500000000001</v>
      </c>
      <c r="AD198">
        <f t="shared" si="28"/>
        <v>16.909800000000001</v>
      </c>
      <c r="AE198">
        <f t="shared" si="29"/>
        <v>15.274960536</v>
      </c>
      <c r="AF198" s="9"/>
      <c r="AG198" s="22">
        <v>0.84670999999999996</v>
      </c>
      <c r="AH198" s="22">
        <v>239.46899999999999</v>
      </c>
      <c r="AI198" s="22">
        <v>-1.6741900000000001E-2</v>
      </c>
      <c r="AJ198" s="22">
        <v>188</v>
      </c>
      <c r="AK198" s="22">
        <v>0.845642</v>
      </c>
      <c r="AL198">
        <f t="shared" si="30"/>
        <v>16.741900000000001</v>
      </c>
      <c r="AM198">
        <f t="shared" si="31"/>
        <v>14.175534149000001</v>
      </c>
      <c r="AP198" s="9"/>
      <c r="AQ198" s="22">
        <v>0.90332000000000001</v>
      </c>
      <c r="AR198" s="22">
        <v>291.88499999999999</v>
      </c>
      <c r="AS198" s="22">
        <v>-1.6680899999999999E-2</v>
      </c>
      <c r="AT198" s="22">
        <v>188</v>
      </c>
      <c r="AU198" s="22">
        <v>0.90148899999999998</v>
      </c>
      <c r="AV198">
        <f t="shared" si="32"/>
        <v>16.680899999999998</v>
      </c>
      <c r="AW198">
        <f t="shared" si="33"/>
        <v>15.068190587999998</v>
      </c>
      <c r="AX198" s="9"/>
      <c r="AY198" s="22">
        <v>0.84670999999999996</v>
      </c>
      <c r="AZ198" s="22">
        <v>371.11599999999999</v>
      </c>
      <c r="BA198" s="22">
        <v>-1.6531400000000002E-2</v>
      </c>
      <c r="BB198" s="22">
        <v>188</v>
      </c>
      <c r="BC198" s="22">
        <v>0.845642</v>
      </c>
      <c r="BD198">
        <f t="shared" si="34"/>
        <v>16.531400000000001</v>
      </c>
      <c r="BE198">
        <f t="shared" si="35"/>
        <v>13.997301694000001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42.684100000000001</v>
      </c>
      <c r="I199" s="22">
        <v>-1.6915900000000001E-2</v>
      </c>
      <c r="J199" s="22">
        <v>189</v>
      </c>
      <c r="K199" s="22">
        <v>0.89843799999999996</v>
      </c>
      <c r="L199">
        <f t="shared" si="24"/>
        <v>16.915900000000001</v>
      </c>
      <c r="M199">
        <f t="shared" si="25"/>
        <v>15.1952992315</v>
      </c>
      <c r="N199" s="9"/>
      <c r="O199" s="22">
        <v>0.851746</v>
      </c>
      <c r="P199" s="22">
        <v>98.08</v>
      </c>
      <c r="Q199" s="22">
        <v>-1.7007399999999999E-2</v>
      </c>
      <c r="R199" s="22">
        <v>189</v>
      </c>
      <c r="S199" s="22">
        <v>0.85082999999999998</v>
      </c>
      <c r="T199">
        <f t="shared" si="26"/>
        <v>17.007400000000001</v>
      </c>
      <c r="U199">
        <f t="shared" si="27"/>
        <v>14.4859849204</v>
      </c>
      <c r="X199" s="9"/>
      <c r="Y199" s="22">
        <v>0.898285</v>
      </c>
      <c r="Z199" s="22">
        <v>160.03700000000001</v>
      </c>
      <c r="AA199" s="22">
        <v>-1.6912799999999999E-2</v>
      </c>
      <c r="AB199" s="22">
        <v>189</v>
      </c>
      <c r="AC199" s="22">
        <v>0.89691200000000004</v>
      </c>
      <c r="AD199">
        <f t="shared" si="28"/>
        <v>16.912799999999997</v>
      </c>
      <c r="AE199">
        <f t="shared" si="29"/>
        <v>15.192514547999998</v>
      </c>
      <c r="AF199" s="9"/>
      <c r="AG199" s="22">
        <v>0.851746</v>
      </c>
      <c r="AH199" s="22">
        <v>239.56899999999999</v>
      </c>
      <c r="AI199" s="22">
        <v>-1.6790800000000002E-2</v>
      </c>
      <c r="AJ199" s="22">
        <v>189</v>
      </c>
      <c r="AK199" s="22">
        <v>0.85113499999999997</v>
      </c>
      <c r="AL199">
        <f t="shared" si="30"/>
        <v>16.790800000000001</v>
      </c>
      <c r="AM199">
        <f t="shared" si="31"/>
        <v>14.301496736800001</v>
      </c>
      <c r="AP199" s="9"/>
      <c r="AQ199" s="22">
        <v>0.898285</v>
      </c>
      <c r="AR199" s="22">
        <v>291.98599999999999</v>
      </c>
      <c r="AS199" s="22">
        <v>-1.6687E-2</v>
      </c>
      <c r="AT199" s="22">
        <v>189</v>
      </c>
      <c r="AU199" s="22">
        <v>0.89721700000000004</v>
      </c>
      <c r="AV199">
        <f t="shared" si="32"/>
        <v>16.687000000000001</v>
      </c>
      <c r="AW199">
        <f t="shared" si="33"/>
        <v>14.989681795000001</v>
      </c>
      <c r="AX199" s="9"/>
      <c r="AY199" s="22">
        <v>0.851746</v>
      </c>
      <c r="AZ199" s="22">
        <v>371.21600000000001</v>
      </c>
      <c r="BA199" s="22">
        <v>-1.64948E-2</v>
      </c>
      <c r="BB199" s="22">
        <v>189</v>
      </c>
      <c r="BC199" s="22">
        <v>0.85113499999999997</v>
      </c>
      <c r="BD199">
        <f t="shared" si="34"/>
        <v>16.494800000000001</v>
      </c>
      <c r="BE199">
        <f t="shared" si="35"/>
        <v>14.049379920800002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42.784799999999997</v>
      </c>
      <c r="I200" s="22">
        <v>-1.6928100000000001E-2</v>
      </c>
      <c r="J200" s="22">
        <v>190</v>
      </c>
      <c r="K200" s="22">
        <v>0.89233399999999996</v>
      </c>
      <c r="L200">
        <f t="shared" si="24"/>
        <v>16.928100000000001</v>
      </c>
      <c r="M200">
        <f t="shared" si="25"/>
        <v>15.121025325</v>
      </c>
      <c r="N200" s="9"/>
      <c r="O200" s="22">
        <v>0.85678100000000001</v>
      </c>
      <c r="P200" s="22">
        <v>98.180700000000002</v>
      </c>
      <c r="Q200" s="22">
        <v>-1.7004399999999999E-2</v>
      </c>
      <c r="R200" s="22">
        <v>190</v>
      </c>
      <c r="S200" s="22">
        <v>0.85632299999999995</v>
      </c>
      <c r="T200">
        <f t="shared" si="26"/>
        <v>17.0044</v>
      </c>
      <c r="U200">
        <f t="shared" si="27"/>
        <v>14.5690468364</v>
      </c>
      <c r="X200" s="9"/>
      <c r="Y200" s="22">
        <v>0.89324999999999999</v>
      </c>
      <c r="Z200" s="22">
        <v>160.13800000000001</v>
      </c>
      <c r="AA200" s="22">
        <v>-1.6912799999999999E-2</v>
      </c>
      <c r="AB200" s="22">
        <v>190</v>
      </c>
      <c r="AC200" s="22">
        <v>0.89263899999999996</v>
      </c>
      <c r="AD200">
        <f t="shared" si="28"/>
        <v>16.912799999999997</v>
      </c>
      <c r="AE200">
        <f t="shared" si="29"/>
        <v>15.107358599999998</v>
      </c>
      <c r="AF200" s="9"/>
      <c r="AG200" s="22">
        <v>0.85678100000000001</v>
      </c>
      <c r="AH200" s="22">
        <v>239.67</v>
      </c>
      <c r="AI200" s="22">
        <v>-1.67694E-2</v>
      </c>
      <c r="AJ200" s="22">
        <v>190</v>
      </c>
      <c r="AK200" s="22">
        <v>0.85601799999999995</v>
      </c>
      <c r="AL200">
        <f t="shared" si="30"/>
        <v>16.769400000000001</v>
      </c>
      <c r="AM200">
        <f t="shared" si="31"/>
        <v>14.367703301400001</v>
      </c>
      <c r="AP200" s="9"/>
      <c r="AQ200" s="22">
        <v>0.89324999999999999</v>
      </c>
      <c r="AR200" s="22">
        <v>292.08699999999999</v>
      </c>
      <c r="AS200" s="22">
        <v>-1.6735799999999999E-2</v>
      </c>
      <c r="AT200" s="22">
        <v>190</v>
      </c>
      <c r="AU200" s="22">
        <v>0.89202899999999996</v>
      </c>
      <c r="AV200">
        <f t="shared" si="32"/>
        <v>16.735799999999998</v>
      </c>
      <c r="AW200">
        <f t="shared" si="33"/>
        <v>14.949253349999998</v>
      </c>
      <c r="AX200" s="9"/>
      <c r="AY200" s="22">
        <v>0.85678100000000001</v>
      </c>
      <c r="AZ200" s="22">
        <v>371.31700000000001</v>
      </c>
      <c r="BA200" s="22">
        <v>-1.651E-2</v>
      </c>
      <c r="BB200" s="22">
        <v>190</v>
      </c>
      <c r="BC200" s="22">
        <v>0.85601799999999995</v>
      </c>
      <c r="BD200">
        <f t="shared" si="34"/>
        <v>16.510000000000002</v>
      </c>
      <c r="BE200">
        <f t="shared" si="35"/>
        <v>14.145454310000002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42.8855</v>
      </c>
      <c r="I201" s="22">
        <v>-1.6952499999999999E-2</v>
      </c>
      <c r="J201" s="22">
        <v>191</v>
      </c>
      <c r="K201" s="22">
        <v>0.88714599999999999</v>
      </c>
      <c r="L201">
        <f t="shared" si="24"/>
        <v>16.952500000000001</v>
      </c>
      <c r="M201">
        <f t="shared" si="25"/>
        <v>15.057447835</v>
      </c>
      <c r="N201" s="9"/>
      <c r="O201" s="22">
        <v>0.86181600000000003</v>
      </c>
      <c r="P201" s="22">
        <v>98.281400000000005</v>
      </c>
      <c r="Q201" s="22">
        <v>-1.7019699999999999E-2</v>
      </c>
      <c r="R201" s="22">
        <v>191</v>
      </c>
      <c r="S201" s="22">
        <v>0.86120600000000003</v>
      </c>
      <c r="T201">
        <f t="shared" si="26"/>
        <v>17.0197</v>
      </c>
      <c r="U201">
        <f t="shared" si="27"/>
        <v>14.667849775200001</v>
      </c>
      <c r="X201" s="9"/>
      <c r="Y201" s="22">
        <v>0.88821399999999995</v>
      </c>
      <c r="Z201" s="22">
        <v>160.238</v>
      </c>
      <c r="AA201" s="22">
        <v>-1.69342E-2</v>
      </c>
      <c r="AB201" s="22">
        <v>191</v>
      </c>
      <c r="AC201" s="22">
        <v>0.88775599999999999</v>
      </c>
      <c r="AD201">
        <f t="shared" si="28"/>
        <v>16.934200000000001</v>
      </c>
      <c r="AE201">
        <f t="shared" si="29"/>
        <v>15.0411935188</v>
      </c>
      <c r="AF201" s="9"/>
      <c r="AG201" s="22">
        <v>0.86181600000000003</v>
      </c>
      <c r="AH201" s="22">
        <v>239.77099999999999</v>
      </c>
      <c r="AI201" s="22">
        <v>-1.6763299999999998E-2</v>
      </c>
      <c r="AJ201" s="22">
        <v>191</v>
      </c>
      <c r="AK201" s="22">
        <v>0.86151100000000003</v>
      </c>
      <c r="AL201">
        <f t="shared" si="30"/>
        <v>16.763299999999997</v>
      </c>
      <c r="AM201">
        <f t="shared" si="31"/>
        <v>14.446880152799999</v>
      </c>
      <c r="AP201" s="9"/>
      <c r="AQ201" s="22">
        <v>0.88821399999999995</v>
      </c>
      <c r="AR201" s="22">
        <v>292.18700000000001</v>
      </c>
      <c r="AS201" s="22">
        <v>-1.6738900000000001E-2</v>
      </c>
      <c r="AT201" s="22">
        <v>191</v>
      </c>
      <c r="AU201" s="22">
        <v>0.88745099999999999</v>
      </c>
      <c r="AV201">
        <f t="shared" si="32"/>
        <v>16.738900000000001</v>
      </c>
      <c r="AW201">
        <f t="shared" si="33"/>
        <v>14.8677253246</v>
      </c>
      <c r="AX201" s="9"/>
      <c r="AY201" s="22">
        <v>0.86181600000000003</v>
      </c>
      <c r="AZ201" s="22">
        <v>371.41800000000001</v>
      </c>
      <c r="BA201" s="22">
        <v>-1.6488599999999999E-2</v>
      </c>
      <c r="BB201" s="22">
        <v>191</v>
      </c>
      <c r="BC201" s="22">
        <v>0.86120600000000003</v>
      </c>
      <c r="BD201">
        <f t="shared" si="34"/>
        <v>16.488599999999998</v>
      </c>
      <c r="BE201">
        <f t="shared" si="35"/>
        <v>14.2101392976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42.986199999999997</v>
      </c>
      <c r="I202" s="22">
        <v>-1.6958600000000001E-2</v>
      </c>
      <c r="J202" s="22">
        <v>192</v>
      </c>
      <c r="K202" s="22">
        <v>0.88226300000000002</v>
      </c>
      <c r="L202">
        <f t="shared" si="24"/>
        <v>16.958600000000001</v>
      </c>
      <c r="M202">
        <f t="shared" si="25"/>
        <v>14.977479389400001</v>
      </c>
      <c r="N202" s="9"/>
      <c r="O202" s="22">
        <v>0.86685199999999996</v>
      </c>
      <c r="P202" s="22">
        <v>98.382099999999994</v>
      </c>
      <c r="Q202" s="22">
        <v>-1.7025800000000001E-2</v>
      </c>
      <c r="R202" s="22">
        <v>192</v>
      </c>
      <c r="S202" s="22">
        <v>0.866089</v>
      </c>
      <c r="T202">
        <f t="shared" si="26"/>
        <v>17.0258</v>
      </c>
      <c r="U202">
        <f t="shared" si="27"/>
        <v>14.758848781599999</v>
      </c>
      <c r="X202" s="9"/>
      <c r="Y202" s="22">
        <v>0.88317900000000005</v>
      </c>
      <c r="Z202" s="22">
        <v>160.339</v>
      </c>
      <c r="AA202" s="22">
        <v>-1.6937299999999999E-2</v>
      </c>
      <c r="AB202" s="22">
        <v>192</v>
      </c>
      <c r="AC202" s="22">
        <v>0.88165300000000002</v>
      </c>
      <c r="AD202">
        <f t="shared" si="28"/>
        <v>16.9373</v>
      </c>
      <c r="AE202">
        <f t="shared" si="29"/>
        <v>14.958667676700001</v>
      </c>
      <c r="AF202" s="9"/>
      <c r="AG202" s="22">
        <v>0.86685199999999996</v>
      </c>
      <c r="AH202" s="22">
        <v>239.87100000000001</v>
      </c>
      <c r="AI202" s="22">
        <v>-1.6760299999999999E-2</v>
      </c>
      <c r="AJ202" s="22">
        <v>192</v>
      </c>
      <c r="AK202" s="22">
        <v>0.866089</v>
      </c>
      <c r="AL202">
        <f t="shared" si="30"/>
        <v>16.760299999999997</v>
      </c>
      <c r="AM202">
        <f t="shared" si="31"/>
        <v>14.528699575599997</v>
      </c>
      <c r="AP202" s="9"/>
      <c r="AQ202" s="22">
        <v>0.88317900000000005</v>
      </c>
      <c r="AR202" s="22">
        <v>292.28800000000001</v>
      </c>
      <c r="AS202" s="22">
        <v>-1.67297E-2</v>
      </c>
      <c r="AT202" s="22">
        <v>192</v>
      </c>
      <c r="AU202" s="22">
        <v>0.88226300000000002</v>
      </c>
      <c r="AV202">
        <f t="shared" si="32"/>
        <v>16.729700000000001</v>
      </c>
      <c r="AW202">
        <f t="shared" si="33"/>
        <v>14.775319716300002</v>
      </c>
      <c r="AX202" s="9"/>
      <c r="AY202" s="22">
        <v>0.86685199999999996</v>
      </c>
      <c r="AZ202" s="22">
        <v>371.51799999999997</v>
      </c>
      <c r="BA202" s="22">
        <v>-1.64856E-2</v>
      </c>
      <c r="BB202" s="22">
        <v>192</v>
      </c>
      <c r="BC202" s="22">
        <v>0.866089</v>
      </c>
      <c r="BD202">
        <f t="shared" si="34"/>
        <v>16.485599999999998</v>
      </c>
      <c r="BE202">
        <f t="shared" si="35"/>
        <v>14.290575331199998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43.0869</v>
      </c>
      <c r="I203" s="22">
        <v>-1.6955600000000001E-2</v>
      </c>
      <c r="J203" s="22">
        <v>193</v>
      </c>
      <c r="K203" s="22">
        <v>0.87738000000000005</v>
      </c>
      <c r="L203">
        <f t="shared" si="24"/>
        <v>16.9556</v>
      </c>
      <c r="M203">
        <f t="shared" si="25"/>
        <v>14.8894414508</v>
      </c>
      <c r="N203" s="9"/>
      <c r="O203" s="22">
        <v>0.87188699999999997</v>
      </c>
      <c r="P203" s="22">
        <v>98.482799999999997</v>
      </c>
      <c r="Q203" s="22">
        <v>-1.7013500000000001E-2</v>
      </c>
      <c r="R203" s="22">
        <v>193</v>
      </c>
      <c r="S203" s="22">
        <v>0.87097199999999997</v>
      </c>
      <c r="T203">
        <f t="shared" si="26"/>
        <v>17.013500000000001</v>
      </c>
      <c r="U203">
        <f t="shared" si="27"/>
        <v>14.833849474499999</v>
      </c>
      <c r="X203" s="9"/>
      <c r="Y203" s="22">
        <v>0.87814300000000001</v>
      </c>
      <c r="Z203" s="22">
        <v>160.44</v>
      </c>
      <c r="AA203" s="22">
        <v>-1.6928100000000001E-2</v>
      </c>
      <c r="AB203" s="22">
        <v>193</v>
      </c>
      <c r="AC203" s="22">
        <v>0.87707500000000005</v>
      </c>
      <c r="AD203">
        <f t="shared" si="28"/>
        <v>16.928100000000001</v>
      </c>
      <c r="AE203">
        <f t="shared" si="29"/>
        <v>14.8652925183</v>
      </c>
      <c r="AF203" s="9"/>
      <c r="AG203" s="22">
        <v>0.87188699999999997</v>
      </c>
      <c r="AH203" s="22">
        <v>239.97200000000001</v>
      </c>
      <c r="AI203" s="22">
        <v>-1.67694E-2</v>
      </c>
      <c r="AJ203" s="22">
        <v>193</v>
      </c>
      <c r="AK203" s="22">
        <v>0.87127699999999997</v>
      </c>
      <c r="AL203">
        <f t="shared" si="30"/>
        <v>16.769400000000001</v>
      </c>
      <c r="AM203">
        <f t="shared" si="31"/>
        <v>14.621021857800001</v>
      </c>
      <c r="AP203" s="9"/>
      <c r="AQ203" s="22">
        <v>0.87814300000000001</v>
      </c>
      <c r="AR203" s="22">
        <v>292.38900000000001</v>
      </c>
      <c r="AS203" s="22">
        <v>-1.6726700000000001E-2</v>
      </c>
      <c r="AT203" s="22">
        <v>193</v>
      </c>
      <c r="AU203" s="22">
        <v>0.87707500000000005</v>
      </c>
      <c r="AV203">
        <f t="shared" si="32"/>
        <v>16.726700000000001</v>
      </c>
      <c r="AW203">
        <f t="shared" si="33"/>
        <v>14.688434518100001</v>
      </c>
      <c r="AX203" s="9"/>
      <c r="AY203" s="22">
        <v>0.87188699999999997</v>
      </c>
      <c r="AZ203" s="22">
        <v>371.61900000000003</v>
      </c>
      <c r="BA203" s="22">
        <v>-1.6531400000000002E-2</v>
      </c>
      <c r="BB203" s="22">
        <v>193</v>
      </c>
      <c r="BC203" s="22">
        <v>0.87066699999999997</v>
      </c>
      <c r="BD203">
        <f t="shared" si="34"/>
        <v>16.531400000000001</v>
      </c>
      <c r="BE203">
        <f t="shared" si="35"/>
        <v>14.413512751800001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43.1877</v>
      </c>
      <c r="I204" s="22">
        <v>-1.6955600000000001E-2</v>
      </c>
      <c r="J204" s="22">
        <v>194</v>
      </c>
      <c r="K204" s="22">
        <v>0.87188699999999997</v>
      </c>
      <c r="L204">
        <f t="shared" ref="L204:L267" si="36">-I204/$F$2*1000</f>
        <v>16.9556</v>
      </c>
      <c r="M204">
        <f t="shared" ref="M204:M267" si="37">L204*G204</f>
        <v>14.8040700048</v>
      </c>
      <c r="N204" s="9"/>
      <c r="O204" s="22">
        <v>0.87692300000000001</v>
      </c>
      <c r="P204" s="22">
        <v>98.583500000000001</v>
      </c>
      <c r="Q204" s="22">
        <v>-1.7007399999999999E-2</v>
      </c>
      <c r="R204" s="22">
        <v>194</v>
      </c>
      <c r="S204" s="22">
        <v>0.87646500000000005</v>
      </c>
      <c r="T204">
        <f t="shared" ref="T204:T267" si="38">-Q204/$F$2*1000</f>
        <v>17.007400000000001</v>
      </c>
      <c r="U204">
        <f t="shared" ref="U204:U267" si="39">T204*O204</f>
        <v>14.914180230200001</v>
      </c>
      <c r="X204" s="9"/>
      <c r="Y204" s="22">
        <v>0.873108</v>
      </c>
      <c r="Z204" s="22">
        <v>160.54</v>
      </c>
      <c r="AA204" s="22">
        <v>-1.6940299999999998E-2</v>
      </c>
      <c r="AB204" s="22">
        <v>194</v>
      </c>
      <c r="AC204" s="22">
        <v>0.87219199999999997</v>
      </c>
      <c r="AD204">
        <f t="shared" ref="AD204:AD267" si="40">-AA204/$F$2*1000</f>
        <v>16.940299999999997</v>
      </c>
      <c r="AE204">
        <f t="shared" ref="AE204:AE267" si="41">AD204*Y204</f>
        <v>14.790711452399997</v>
      </c>
      <c r="AF204" s="9"/>
      <c r="AG204" s="22">
        <v>0.87692300000000001</v>
      </c>
      <c r="AH204" s="22">
        <v>240.07300000000001</v>
      </c>
      <c r="AI204" s="22">
        <v>-1.67847E-2</v>
      </c>
      <c r="AJ204" s="22">
        <v>194</v>
      </c>
      <c r="AK204" s="22">
        <v>0.87616000000000005</v>
      </c>
      <c r="AL204">
        <f t="shared" ref="AL204:AL267" si="42">-AI204/$F$2*1000</f>
        <v>16.784700000000001</v>
      </c>
      <c r="AM204">
        <f t="shared" ref="AM204:AM267" si="43">AL204*AG204</f>
        <v>14.718889478100001</v>
      </c>
      <c r="AP204" s="9"/>
      <c r="AQ204" s="22">
        <v>0.873108</v>
      </c>
      <c r="AR204" s="22">
        <v>292.49</v>
      </c>
      <c r="AS204" s="22">
        <v>-1.6711400000000001E-2</v>
      </c>
      <c r="AT204" s="22">
        <v>194</v>
      </c>
      <c r="AU204" s="22">
        <v>0.87188699999999997</v>
      </c>
      <c r="AV204">
        <f t="shared" ref="AV204:AV267" si="44">-AS204/$F$2*1000</f>
        <v>16.711400000000001</v>
      </c>
      <c r="AW204">
        <f t="shared" ref="AW204:AW267" si="45">AV204*AQ204</f>
        <v>14.590857031200001</v>
      </c>
      <c r="AX204" s="9"/>
      <c r="AY204" s="22">
        <v>0.87692300000000001</v>
      </c>
      <c r="AZ204" s="22">
        <v>371.72</v>
      </c>
      <c r="BA204" s="22">
        <v>-1.6534400000000001E-2</v>
      </c>
      <c r="BB204" s="22">
        <v>194</v>
      </c>
      <c r="BC204" s="22">
        <v>0.87616000000000005</v>
      </c>
      <c r="BD204">
        <f t="shared" ref="BD204:BD267" si="46">-BA204/$F$2*1000</f>
        <v>16.534400000000002</v>
      </c>
      <c r="BE204">
        <f t="shared" ref="BE204:BE267" si="47">BD204*AY204</f>
        <v>14.499395651200002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43.288400000000003</v>
      </c>
      <c r="I205" s="22">
        <v>-1.6952499999999999E-2</v>
      </c>
      <c r="J205" s="22">
        <v>195</v>
      </c>
      <c r="K205" s="22">
        <v>0.86731000000000003</v>
      </c>
      <c r="L205">
        <f t="shared" si="36"/>
        <v>16.952500000000001</v>
      </c>
      <c r="M205">
        <f t="shared" si="37"/>
        <v>14.716007532500001</v>
      </c>
      <c r="N205" s="9"/>
      <c r="O205" s="22">
        <v>0.88195800000000002</v>
      </c>
      <c r="P205" s="22">
        <v>98.684200000000004</v>
      </c>
      <c r="Q205" s="22">
        <v>-1.70166E-2</v>
      </c>
      <c r="R205" s="22">
        <v>195</v>
      </c>
      <c r="S205" s="22">
        <v>0.88134800000000002</v>
      </c>
      <c r="T205">
        <f t="shared" si="38"/>
        <v>17.0166</v>
      </c>
      <c r="U205">
        <f t="shared" si="39"/>
        <v>15.0079265028</v>
      </c>
      <c r="X205" s="9"/>
      <c r="Y205" s="22">
        <v>0.86807299999999998</v>
      </c>
      <c r="Z205" s="22">
        <v>160.64099999999999</v>
      </c>
      <c r="AA205" s="22">
        <v>-1.6955600000000001E-2</v>
      </c>
      <c r="AB205" s="22">
        <v>195</v>
      </c>
      <c r="AC205" s="22">
        <v>0.86731000000000003</v>
      </c>
      <c r="AD205">
        <f t="shared" si="40"/>
        <v>16.9556</v>
      </c>
      <c r="AE205">
        <f t="shared" si="41"/>
        <v>14.7186985588</v>
      </c>
      <c r="AF205" s="9"/>
      <c r="AG205" s="22">
        <v>0.88195800000000002</v>
      </c>
      <c r="AH205" s="22">
        <v>240.173</v>
      </c>
      <c r="AI205" s="22">
        <v>-1.67969E-2</v>
      </c>
      <c r="AJ205" s="22">
        <v>195</v>
      </c>
      <c r="AK205" s="22">
        <v>0.88134800000000002</v>
      </c>
      <c r="AL205">
        <f t="shared" si="42"/>
        <v>16.796900000000001</v>
      </c>
      <c r="AM205">
        <f t="shared" si="43"/>
        <v>14.814160330200002</v>
      </c>
      <c r="AP205" s="9"/>
      <c r="AQ205" s="22">
        <v>0.86807299999999998</v>
      </c>
      <c r="AR205" s="22">
        <v>292.58999999999997</v>
      </c>
      <c r="AS205" s="22">
        <v>-1.67145E-2</v>
      </c>
      <c r="AT205" s="22">
        <v>195</v>
      </c>
      <c r="AU205" s="22">
        <v>0.86761500000000003</v>
      </c>
      <c r="AV205">
        <f t="shared" si="44"/>
        <v>16.714500000000001</v>
      </c>
      <c r="AW205">
        <f t="shared" si="45"/>
        <v>14.509406158500001</v>
      </c>
      <c r="AX205" s="9"/>
      <c r="AY205" s="22">
        <v>0.88195800000000002</v>
      </c>
      <c r="AZ205" s="22">
        <v>371.82100000000003</v>
      </c>
      <c r="BA205" s="22">
        <v>-1.65375E-2</v>
      </c>
      <c r="BB205" s="22">
        <v>195</v>
      </c>
      <c r="BC205" s="22">
        <v>0.88073699999999999</v>
      </c>
      <c r="BD205">
        <f t="shared" si="46"/>
        <v>16.537500000000001</v>
      </c>
      <c r="BE205">
        <f t="shared" si="47"/>
        <v>14.585380425000002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43.389099999999999</v>
      </c>
      <c r="I206" s="22">
        <v>-1.6958600000000001E-2</v>
      </c>
      <c r="J206" s="22">
        <v>196</v>
      </c>
      <c r="K206" s="22">
        <v>0.86242700000000005</v>
      </c>
      <c r="L206">
        <f t="shared" si="36"/>
        <v>16.958600000000001</v>
      </c>
      <c r="M206">
        <f t="shared" si="37"/>
        <v>14.635899268200001</v>
      </c>
      <c r="N206" s="9"/>
      <c r="O206" s="22">
        <v>0.88699300000000003</v>
      </c>
      <c r="P206" s="22">
        <v>98.784899999999993</v>
      </c>
      <c r="Q206" s="22">
        <v>-1.6995199999999999E-2</v>
      </c>
      <c r="R206" s="22">
        <v>196</v>
      </c>
      <c r="S206" s="22">
        <v>0.88592499999999996</v>
      </c>
      <c r="T206">
        <f t="shared" si="38"/>
        <v>16.995199999999997</v>
      </c>
      <c r="U206">
        <f t="shared" si="39"/>
        <v>15.074623433599998</v>
      </c>
      <c r="X206" s="9"/>
      <c r="Y206" s="22">
        <v>0.86303700000000005</v>
      </c>
      <c r="Z206" s="22">
        <v>160.74199999999999</v>
      </c>
      <c r="AA206" s="22">
        <v>-1.6964699999999999E-2</v>
      </c>
      <c r="AB206" s="22">
        <v>196</v>
      </c>
      <c r="AC206" s="22">
        <v>0.86212200000000005</v>
      </c>
      <c r="AD206">
        <f t="shared" si="40"/>
        <v>16.964700000000001</v>
      </c>
      <c r="AE206">
        <f t="shared" si="41"/>
        <v>14.641163793900001</v>
      </c>
      <c r="AF206" s="9"/>
      <c r="AG206" s="22">
        <v>0.88699300000000003</v>
      </c>
      <c r="AH206" s="22">
        <v>240.274</v>
      </c>
      <c r="AI206" s="22">
        <v>-1.6787699999999999E-2</v>
      </c>
      <c r="AJ206" s="22">
        <v>196</v>
      </c>
      <c r="AK206" s="22">
        <v>0.88622999999999996</v>
      </c>
      <c r="AL206">
        <f t="shared" si="42"/>
        <v>16.787699999999997</v>
      </c>
      <c r="AM206">
        <f t="shared" si="43"/>
        <v>14.890572386099999</v>
      </c>
      <c r="AP206" s="9"/>
      <c r="AQ206" s="22">
        <v>0.86303700000000005</v>
      </c>
      <c r="AR206" s="22">
        <v>292.69099999999997</v>
      </c>
      <c r="AS206" s="22">
        <v>-1.67572E-2</v>
      </c>
      <c r="AT206" s="22">
        <v>196</v>
      </c>
      <c r="AU206" s="22">
        <v>0.86181600000000003</v>
      </c>
      <c r="AV206">
        <f t="shared" si="44"/>
        <v>16.757200000000001</v>
      </c>
      <c r="AW206">
        <f t="shared" si="45"/>
        <v>14.462083616400001</v>
      </c>
      <c r="AX206" s="9"/>
      <c r="AY206" s="22">
        <v>0.88699300000000003</v>
      </c>
      <c r="AZ206" s="22">
        <v>371.92099999999999</v>
      </c>
      <c r="BA206" s="22">
        <v>-1.6513099999999999E-2</v>
      </c>
      <c r="BB206" s="22">
        <v>196</v>
      </c>
      <c r="BC206" s="22">
        <v>0.88653599999999999</v>
      </c>
      <c r="BD206">
        <f t="shared" si="46"/>
        <v>16.513099999999998</v>
      </c>
      <c r="BE206">
        <f t="shared" si="47"/>
        <v>14.647004108299999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43.489800000000002</v>
      </c>
      <c r="I207" s="22">
        <v>-1.6964699999999999E-2</v>
      </c>
      <c r="J207" s="22">
        <v>197</v>
      </c>
      <c r="K207" s="22">
        <v>0.85662799999999995</v>
      </c>
      <c r="L207">
        <f t="shared" si="36"/>
        <v>16.964700000000001</v>
      </c>
      <c r="M207">
        <f t="shared" si="37"/>
        <v>14.5557465294</v>
      </c>
      <c r="N207" s="9"/>
      <c r="O207" s="22">
        <v>0.89202899999999996</v>
      </c>
      <c r="P207" s="22">
        <v>98.885599999999997</v>
      </c>
      <c r="Q207" s="22">
        <v>-1.6983000000000002E-2</v>
      </c>
      <c r="R207" s="22">
        <v>197</v>
      </c>
      <c r="S207" s="22">
        <v>0.89080800000000004</v>
      </c>
      <c r="T207">
        <f t="shared" si="38"/>
        <v>16.983000000000001</v>
      </c>
      <c r="U207">
        <f t="shared" si="39"/>
        <v>15.149328507</v>
      </c>
      <c r="X207" s="9"/>
      <c r="Y207" s="22">
        <v>0.85800200000000004</v>
      </c>
      <c r="Z207" s="22">
        <v>160.84299999999999</v>
      </c>
      <c r="AA207" s="22">
        <v>-1.6949499999999999E-2</v>
      </c>
      <c r="AB207" s="22">
        <v>197</v>
      </c>
      <c r="AC207" s="22">
        <v>0.85754399999999997</v>
      </c>
      <c r="AD207">
        <f t="shared" si="40"/>
        <v>16.9495</v>
      </c>
      <c r="AE207">
        <f t="shared" si="41"/>
        <v>14.542704899</v>
      </c>
      <c r="AF207" s="9"/>
      <c r="AG207" s="22">
        <v>0.89202899999999996</v>
      </c>
      <c r="AH207" s="22">
        <v>240.375</v>
      </c>
      <c r="AI207" s="22">
        <v>-1.6793800000000001E-2</v>
      </c>
      <c r="AJ207" s="22">
        <v>197</v>
      </c>
      <c r="AK207" s="22">
        <v>0.89080800000000004</v>
      </c>
      <c r="AL207">
        <f t="shared" si="42"/>
        <v>16.793800000000001</v>
      </c>
      <c r="AM207">
        <f t="shared" si="43"/>
        <v>14.9805566202</v>
      </c>
      <c r="AP207" s="9"/>
      <c r="AQ207" s="22">
        <v>0.85800200000000004</v>
      </c>
      <c r="AR207" s="22">
        <v>292.79199999999997</v>
      </c>
      <c r="AS207" s="22">
        <v>-1.67694E-2</v>
      </c>
      <c r="AT207" s="22">
        <v>197</v>
      </c>
      <c r="AU207" s="22">
        <v>0.85723899999999997</v>
      </c>
      <c r="AV207">
        <f t="shared" si="44"/>
        <v>16.769400000000001</v>
      </c>
      <c r="AW207">
        <f t="shared" si="45"/>
        <v>14.388178738800002</v>
      </c>
      <c r="AX207" s="9"/>
      <c r="AY207" s="22">
        <v>0.89202899999999996</v>
      </c>
      <c r="AZ207" s="22">
        <v>372.02199999999999</v>
      </c>
      <c r="BA207" s="22">
        <v>-1.6500899999999999E-2</v>
      </c>
      <c r="BB207" s="22">
        <v>197</v>
      </c>
      <c r="BC207" s="22">
        <v>0.89080800000000004</v>
      </c>
      <c r="BD207">
        <f t="shared" si="46"/>
        <v>16.500899999999998</v>
      </c>
      <c r="BE207">
        <f t="shared" si="47"/>
        <v>14.719281326099997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43.590499999999999</v>
      </c>
      <c r="I208" s="22">
        <v>-1.6970800000000001E-2</v>
      </c>
      <c r="J208" s="22">
        <v>198</v>
      </c>
      <c r="K208" s="22">
        <v>0.852051</v>
      </c>
      <c r="L208">
        <f t="shared" si="36"/>
        <v>16.970800000000001</v>
      </c>
      <c r="M208">
        <f t="shared" si="37"/>
        <v>14.4755153928</v>
      </c>
      <c r="N208" s="9"/>
      <c r="O208" s="22">
        <v>0.89706399999999997</v>
      </c>
      <c r="P208" s="22">
        <v>98.9863</v>
      </c>
      <c r="Q208" s="22">
        <v>-1.6998300000000001E-2</v>
      </c>
      <c r="R208" s="22">
        <v>198</v>
      </c>
      <c r="S208" s="22">
        <v>0.89599600000000001</v>
      </c>
      <c r="T208">
        <f t="shared" si="38"/>
        <v>16.9983</v>
      </c>
      <c r="U208">
        <f t="shared" si="39"/>
        <v>15.2485629912</v>
      </c>
      <c r="X208" s="9"/>
      <c r="Y208" s="22">
        <v>0.852966</v>
      </c>
      <c r="Z208" s="22">
        <v>160.94300000000001</v>
      </c>
      <c r="AA208" s="22">
        <v>-1.6955600000000001E-2</v>
      </c>
      <c r="AB208" s="22">
        <v>198</v>
      </c>
      <c r="AC208" s="22">
        <v>0.852356</v>
      </c>
      <c r="AD208">
        <f t="shared" si="40"/>
        <v>16.9556</v>
      </c>
      <c r="AE208">
        <f t="shared" si="41"/>
        <v>14.462550309600001</v>
      </c>
      <c r="AF208" s="9"/>
      <c r="AG208" s="22">
        <v>0.89706399999999997</v>
      </c>
      <c r="AH208" s="22">
        <v>240.476</v>
      </c>
      <c r="AI208" s="22">
        <v>-1.6802999999999998E-2</v>
      </c>
      <c r="AJ208" s="22">
        <v>198</v>
      </c>
      <c r="AK208" s="22">
        <v>0.89569100000000001</v>
      </c>
      <c r="AL208">
        <f t="shared" si="42"/>
        <v>16.802999999999997</v>
      </c>
      <c r="AM208">
        <f t="shared" si="43"/>
        <v>15.073366391999997</v>
      </c>
      <c r="AP208" s="9"/>
      <c r="AQ208" s="22">
        <v>0.852966</v>
      </c>
      <c r="AR208" s="22">
        <v>292.892</v>
      </c>
      <c r="AS208" s="22">
        <v>-1.6778600000000001E-2</v>
      </c>
      <c r="AT208" s="22">
        <v>198</v>
      </c>
      <c r="AU208" s="22">
        <v>0.851746</v>
      </c>
      <c r="AV208">
        <f t="shared" si="44"/>
        <v>16.778600000000001</v>
      </c>
      <c r="AW208">
        <f t="shared" si="45"/>
        <v>14.3115753276</v>
      </c>
      <c r="AX208" s="9"/>
      <c r="AY208" s="22">
        <v>0.89706399999999997</v>
      </c>
      <c r="AZ208" s="22">
        <v>372.12299999999999</v>
      </c>
      <c r="BA208" s="22">
        <v>-1.6503899999999998E-2</v>
      </c>
      <c r="BB208" s="22">
        <v>198</v>
      </c>
      <c r="BC208" s="22">
        <v>0.89630100000000001</v>
      </c>
      <c r="BD208">
        <f t="shared" si="46"/>
        <v>16.503899999999998</v>
      </c>
      <c r="BE208">
        <f t="shared" si="47"/>
        <v>14.805054549599998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43.691200000000002</v>
      </c>
      <c r="I209" s="22">
        <v>-1.6979999999999999E-2</v>
      </c>
      <c r="J209" s="22">
        <v>199</v>
      </c>
      <c r="K209" s="22">
        <v>0.84686300000000003</v>
      </c>
      <c r="L209">
        <f t="shared" si="36"/>
        <v>16.979999999999997</v>
      </c>
      <c r="M209">
        <f t="shared" si="37"/>
        <v>14.397868379999997</v>
      </c>
      <c r="N209" s="9"/>
      <c r="O209" s="22">
        <v>0.90210000000000001</v>
      </c>
      <c r="P209" s="22">
        <v>99.087000000000003</v>
      </c>
      <c r="Q209" s="22">
        <v>-1.6979999999999999E-2</v>
      </c>
      <c r="R209" s="22">
        <v>199</v>
      </c>
      <c r="S209" s="22">
        <v>0.90087899999999999</v>
      </c>
      <c r="T209">
        <f t="shared" si="38"/>
        <v>16.979999999999997</v>
      </c>
      <c r="U209">
        <f t="shared" si="39"/>
        <v>15.317657999999998</v>
      </c>
      <c r="X209" s="9"/>
      <c r="Y209" s="22">
        <v>0.84793099999999999</v>
      </c>
      <c r="Z209" s="22">
        <v>161.04400000000001</v>
      </c>
      <c r="AA209" s="22">
        <v>-1.69617E-2</v>
      </c>
      <c r="AB209" s="22">
        <v>199</v>
      </c>
      <c r="AC209" s="22">
        <v>0.84716800000000003</v>
      </c>
      <c r="AD209">
        <f t="shared" si="40"/>
        <v>16.9617</v>
      </c>
      <c r="AE209">
        <f t="shared" si="41"/>
        <v>14.3823512427</v>
      </c>
      <c r="AF209" s="9"/>
      <c r="AG209" s="22">
        <v>0.90210000000000001</v>
      </c>
      <c r="AH209" s="22">
        <v>240.57599999999999</v>
      </c>
      <c r="AI209" s="22">
        <v>-1.6830399999999999E-2</v>
      </c>
      <c r="AJ209" s="22">
        <v>199</v>
      </c>
      <c r="AK209" s="22">
        <v>0.90118399999999999</v>
      </c>
      <c r="AL209">
        <f t="shared" si="42"/>
        <v>16.830399999999997</v>
      </c>
      <c r="AM209">
        <f t="shared" si="43"/>
        <v>15.182703839999999</v>
      </c>
      <c r="AP209" s="9"/>
      <c r="AQ209" s="22">
        <v>0.84793099999999999</v>
      </c>
      <c r="AR209" s="22">
        <v>292.99299999999999</v>
      </c>
      <c r="AS209" s="22">
        <v>-1.6744999999999999E-2</v>
      </c>
      <c r="AT209" s="22">
        <v>199</v>
      </c>
      <c r="AU209" s="22">
        <v>0.84686300000000003</v>
      </c>
      <c r="AV209">
        <f t="shared" si="44"/>
        <v>16.745000000000001</v>
      </c>
      <c r="AW209">
        <f t="shared" si="45"/>
        <v>14.198604595000001</v>
      </c>
      <c r="AX209" s="9"/>
      <c r="AY209" s="22">
        <v>0.90210000000000001</v>
      </c>
      <c r="AZ209" s="22">
        <v>372.22300000000001</v>
      </c>
      <c r="BA209" s="22">
        <v>-1.6503899999999998E-2</v>
      </c>
      <c r="BB209" s="22">
        <v>199</v>
      </c>
      <c r="BC209" s="22">
        <v>0.90118399999999999</v>
      </c>
      <c r="BD209">
        <f t="shared" si="46"/>
        <v>16.503899999999998</v>
      </c>
      <c r="BE209">
        <f t="shared" si="47"/>
        <v>14.888168189999998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43.791899999999998</v>
      </c>
      <c r="I210" s="22">
        <v>-1.6986100000000001E-2</v>
      </c>
      <c r="J210" s="22">
        <v>200</v>
      </c>
      <c r="K210" s="22">
        <v>0.84197999999999995</v>
      </c>
      <c r="L210">
        <f t="shared" si="36"/>
        <v>16.9861</v>
      </c>
      <c r="M210">
        <f t="shared" si="37"/>
        <v>14.3175157456</v>
      </c>
      <c r="N210" s="9"/>
      <c r="O210" s="22">
        <v>0.90713500000000002</v>
      </c>
      <c r="P210" s="22">
        <v>99.187799999999996</v>
      </c>
      <c r="Q210" s="22">
        <v>-1.6979999999999999E-2</v>
      </c>
      <c r="R210" s="22">
        <v>200</v>
      </c>
      <c r="S210" s="22">
        <v>0.90637199999999996</v>
      </c>
      <c r="T210">
        <f t="shared" si="38"/>
        <v>16.979999999999997</v>
      </c>
      <c r="U210">
        <f t="shared" si="39"/>
        <v>15.403152299999997</v>
      </c>
      <c r="X210" s="9"/>
      <c r="Y210" s="22">
        <v>0.84289599999999998</v>
      </c>
      <c r="Z210" s="22">
        <v>161.14500000000001</v>
      </c>
      <c r="AA210" s="22">
        <v>-1.69739E-2</v>
      </c>
      <c r="AB210" s="22">
        <v>200</v>
      </c>
      <c r="AC210" s="22">
        <v>0.84258999999999995</v>
      </c>
      <c r="AD210">
        <f t="shared" si="40"/>
        <v>16.9739</v>
      </c>
      <c r="AE210">
        <f t="shared" si="41"/>
        <v>14.3072324144</v>
      </c>
      <c r="AF210" s="9"/>
      <c r="AG210" s="22">
        <v>0.90713500000000002</v>
      </c>
      <c r="AH210" s="22">
        <v>240.67699999999999</v>
      </c>
      <c r="AI210" s="22">
        <v>-1.68396E-2</v>
      </c>
      <c r="AJ210" s="22">
        <v>200</v>
      </c>
      <c r="AK210" s="22">
        <v>0.90667699999999996</v>
      </c>
      <c r="AL210">
        <f t="shared" si="42"/>
        <v>16.839600000000001</v>
      </c>
      <c r="AM210">
        <f t="shared" si="43"/>
        <v>15.275790546000001</v>
      </c>
      <c r="AP210" s="9"/>
      <c r="AQ210" s="22">
        <v>0.84289599999999998</v>
      </c>
      <c r="AR210" s="22">
        <v>293.09399999999999</v>
      </c>
      <c r="AS210" s="22">
        <v>-1.6760299999999999E-2</v>
      </c>
      <c r="AT210" s="22">
        <v>200</v>
      </c>
      <c r="AU210" s="22">
        <v>0.84167499999999995</v>
      </c>
      <c r="AV210">
        <f t="shared" si="44"/>
        <v>16.760299999999997</v>
      </c>
      <c r="AW210">
        <f t="shared" si="45"/>
        <v>14.127189828799997</v>
      </c>
      <c r="AX210" s="9"/>
      <c r="AY210" s="22">
        <v>0.90713500000000002</v>
      </c>
      <c r="AZ210" s="22">
        <v>372.32400000000001</v>
      </c>
      <c r="BA210" s="22">
        <v>-1.6439800000000001E-2</v>
      </c>
      <c r="BB210" s="22">
        <v>200</v>
      </c>
      <c r="BC210" s="22">
        <v>0.90606699999999996</v>
      </c>
      <c r="BD210">
        <f t="shared" si="46"/>
        <v>16.439800000000002</v>
      </c>
      <c r="BE210">
        <f t="shared" si="47"/>
        <v>14.913117973000002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43.892600000000002</v>
      </c>
      <c r="I211" s="22">
        <v>-1.6983000000000002E-2</v>
      </c>
      <c r="J211" s="22">
        <v>201</v>
      </c>
      <c r="K211" s="22">
        <v>0.83679199999999998</v>
      </c>
      <c r="L211">
        <f t="shared" si="36"/>
        <v>16.983000000000001</v>
      </c>
      <c r="M211">
        <f t="shared" si="37"/>
        <v>14.229376380000001</v>
      </c>
      <c r="N211" s="9"/>
      <c r="O211" s="22">
        <v>0.91217000000000004</v>
      </c>
      <c r="P211" s="22">
        <v>99.288499999999999</v>
      </c>
      <c r="Q211" s="22">
        <v>-1.69739E-2</v>
      </c>
      <c r="R211" s="22">
        <v>201</v>
      </c>
      <c r="S211" s="22">
        <v>0.91156000000000004</v>
      </c>
      <c r="T211">
        <f t="shared" si="38"/>
        <v>16.9739</v>
      </c>
      <c r="U211">
        <f t="shared" si="39"/>
        <v>15.483082363000001</v>
      </c>
      <c r="X211" s="9"/>
      <c r="Y211" s="22">
        <v>0.83786000000000005</v>
      </c>
      <c r="Z211" s="22">
        <v>161.245</v>
      </c>
      <c r="AA211" s="22">
        <v>-1.69617E-2</v>
      </c>
      <c r="AB211" s="22">
        <v>201</v>
      </c>
      <c r="AC211" s="22">
        <v>0.83648699999999998</v>
      </c>
      <c r="AD211">
        <f t="shared" si="40"/>
        <v>16.9617</v>
      </c>
      <c r="AE211">
        <f t="shared" si="41"/>
        <v>14.211529962000002</v>
      </c>
      <c r="AF211" s="9"/>
      <c r="AG211" s="22">
        <v>0.91217000000000004</v>
      </c>
      <c r="AH211" s="22">
        <v>240.77799999999999</v>
      </c>
      <c r="AI211" s="22">
        <v>-1.6781600000000001E-2</v>
      </c>
      <c r="AJ211" s="22">
        <v>201</v>
      </c>
      <c r="AK211" s="22">
        <v>0.91125500000000004</v>
      </c>
      <c r="AL211">
        <f t="shared" si="42"/>
        <v>16.781600000000001</v>
      </c>
      <c r="AM211">
        <f t="shared" si="43"/>
        <v>15.307672072000001</v>
      </c>
      <c r="AP211" s="9"/>
      <c r="AQ211" s="22">
        <v>0.83786000000000005</v>
      </c>
      <c r="AR211" s="22">
        <v>293.19499999999999</v>
      </c>
      <c r="AS211" s="22">
        <v>-1.67297E-2</v>
      </c>
      <c r="AT211" s="22">
        <v>201</v>
      </c>
      <c r="AU211" s="22">
        <v>0.83709699999999998</v>
      </c>
      <c r="AV211">
        <f t="shared" si="44"/>
        <v>16.729700000000001</v>
      </c>
      <c r="AW211">
        <f t="shared" si="45"/>
        <v>14.017146442000001</v>
      </c>
      <c r="AX211" s="9"/>
      <c r="AY211" s="22">
        <v>0.91217000000000004</v>
      </c>
      <c r="AZ211" s="22">
        <v>372.42500000000001</v>
      </c>
      <c r="BA211" s="22">
        <v>-1.6503899999999998E-2</v>
      </c>
      <c r="BB211" s="22">
        <v>201</v>
      </c>
      <c r="BC211" s="22">
        <v>0.91186500000000004</v>
      </c>
      <c r="BD211">
        <f t="shared" si="46"/>
        <v>16.503899999999998</v>
      </c>
      <c r="BE211">
        <f t="shared" si="47"/>
        <v>15.054362462999999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43.993299999999998</v>
      </c>
      <c r="I212" s="22">
        <v>-1.6998300000000001E-2</v>
      </c>
      <c r="J212" s="22">
        <v>202</v>
      </c>
      <c r="K212" s="22">
        <v>0.83190900000000001</v>
      </c>
      <c r="L212">
        <f t="shared" si="36"/>
        <v>16.9983</v>
      </c>
      <c r="M212">
        <f t="shared" si="37"/>
        <v>14.156609197500002</v>
      </c>
      <c r="N212" s="9"/>
      <c r="O212" s="22">
        <v>0.91720599999999997</v>
      </c>
      <c r="P212" s="22">
        <v>99.389200000000002</v>
      </c>
      <c r="Q212" s="22">
        <v>-1.69617E-2</v>
      </c>
      <c r="R212" s="22">
        <v>202</v>
      </c>
      <c r="S212" s="22">
        <v>0.91583300000000001</v>
      </c>
      <c r="T212">
        <f t="shared" si="38"/>
        <v>16.9617</v>
      </c>
      <c r="U212">
        <f t="shared" si="39"/>
        <v>15.557373010199999</v>
      </c>
      <c r="X212" s="9"/>
      <c r="Y212" s="22">
        <v>0.83282500000000004</v>
      </c>
      <c r="Z212" s="22">
        <v>161.346</v>
      </c>
      <c r="AA212" s="22">
        <v>-1.6983000000000002E-2</v>
      </c>
      <c r="AB212" s="22">
        <v>202</v>
      </c>
      <c r="AC212" s="22">
        <v>0.83252000000000004</v>
      </c>
      <c r="AD212">
        <f t="shared" si="40"/>
        <v>16.983000000000001</v>
      </c>
      <c r="AE212">
        <f t="shared" si="41"/>
        <v>14.143866975000002</v>
      </c>
      <c r="AF212" s="9"/>
      <c r="AG212" s="22">
        <v>0.91720599999999997</v>
      </c>
      <c r="AH212" s="22">
        <v>240.87799999999999</v>
      </c>
      <c r="AI212" s="22">
        <v>-1.6790800000000002E-2</v>
      </c>
      <c r="AJ212" s="22">
        <v>202</v>
      </c>
      <c r="AK212" s="22">
        <v>0.91583300000000001</v>
      </c>
      <c r="AL212">
        <f t="shared" si="42"/>
        <v>16.790800000000001</v>
      </c>
      <c r="AM212">
        <f t="shared" si="43"/>
        <v>15.400622504799999</v>
      </c>
      <c r="AP212" s="9"/>
      <c r="AQ212" s="22">
        <v>0.83282500000000004</v>
      </c>
      <c r="AR212" s="22">
        <v>293.29500000000002</v>
      </c>
      <c r="AS212" s="22">
        <v>-1.67175E-2</v>
      </c>
      <c r="AT212" s="22">
        <v>202</v>
      </c>
      <c r="AU212" s="22">
        <v>0.83221400000000001</v>
      </c>
      <c r="AV212">
        <f t="shared" si="44"/>
        <v>16.717500000000001</v>
      </c>
      <c r="AW212">
        <f t="shared" si="45"/>
        <v>13.922751937500001</v>
      </c>
      <c r="AX212" s="9"/>
      <c r="AY212" s="22">
        <v>0.91720599999999997</v>
      </c>
      <c r="AZ212" s="22">
        <v>372.52600000000001</v>
      </c>
      <c r="BA212" s="22">
        <v>-1.64978E-2</v>
      </c>
      <c r="BB212" s="22">
        <v>202</v>
      </c>
      <c r="BC212" s="22">
        <v>0.91613800000000001</v>
      </c>
      <c r="BD212">
        <f t="shared" si="46"/>
        <v>16.497800000000002</v>
      </c>
      <c r="BE212">
        <f t="shared" si="47"/>
        <v>15.131881146800001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44.094000000000001</v>
      </c>
      <c r="I213" s="22">
        <v>-1.7004399999999999E-2</v>
      </c>
      <c r="J213" s="22">
        <v>203</v>
      </c>
      <c r="K213" s="22">
        <v>0.82641600000000004</v>
      </c>
      <c r="L213">
        <f t="shared" si="36"/>
        <v>17.0044</v>
      </c>
      <c r="M213">
        <f t="shared" si="37"/>
        <v>14.0760552716</v>
      </c>
      <c r="N213" s="9"/>
      <c r="O213" s="22">
        <v>0.92224099999999998</v>
      </c>
      <c r="P213" s="22">
        <v>99.489900000000006</v>
      </c>
      <c r="Q213" s="22">
        <v>-1.69739E-2</v>
      </c>
      <c r="R213" s="22">
        <v>203</v>
      </c>
      <c r="S213" s="22">
        <v>0.92132599999999998</v>
      </c>
      <c r="T213">
        <f t="shared" si="38"/>
        <v>16.9739</v>
      </c>
      <c r="U213">
        <f t="shared" si="39"/>
        <v>15.6540265099</v>
      </c>
      <c r="X213" s="9"/>
      <c r="Y213" s="22">
        <v>0.827789</v>
      </c>
      <c r="Z213" s="22">
        <v>161.447</v>
      </c>
      <c r="AA213" s="22">
        <v>-1.6967800000000002E-2</v>
      </c>
      <c r="AB213" s="22">
        <v>203</v>
      </c>
      <c r="AC213" s="22">
        <v>0.82672100000000004</v>
      </c>
      <c r="AD213">
        <f t="shared" si="40"/>
        <v>16.9678</v>
      </c>
      <c r="AE213">
        <f t="shared" si="41"/>
        <v>14.045758194200001</v>
      </c>
      <c r="AF213" s="9"/>
      <c r="AG213" s="22">
        <v>0.92224099999999998</v>
      </c>
      <c r="AH213" s="22">
        <v>240.97900000000001</v>
      </c>
      <c r="AI213" s="22">
        <v>-1.68121E-2</v>
      </c>
      <c r="AJ213" s="22">
        <v>203</v>
      </c>
      <c r="AK213" s="22">
        <v>0.92163099999999998</v>
      </c>
      <c r="AL213">
        <f t="shared" si="42"/>
        <v>16.812100000000001</v>
      </c>
      <c r="AM213">
        <f t="shared" si="43"/>
        <v>15.504807916100001</v>
      </c>
      <c r="AP213" s="9"/>
      <c r="AQ213" s="22">
        <v>0.827789</v>
      </c>
      <c r="AR213" s="22">
        <v>293.39600000000002</v>
      </c>
      <c r="AS213" s="22">
        <v>-1.6726700000000001E-2</v>
      </c>
      <c r="AT213" s="22">
        <v>203</v>
      </c>
      <c r="AU213" s="22">
        <v>0.82702600000000004</v>
      </c>
      <c r="AV213">
        <f t="shared" si="44"/>
        <v>16.726700000000001</v>
      </c>
      <c r="AW213">
        <f t="shared" si="45"/>
        <v>13.846178266300001</v>
      </c>
      <c r="AX213" s="9"/>
      <c r="AY213" s="22">
        <v>0.92224099999999998</v>
      </c>
      <c r="AZ213" s="22">
        <v>372.62599999999998</v>
      </c>
      <c r="BA213" s="22">
        <v>-1.6488599999999999E-2</v>
      </c>
      <c r="BB213" s="22">
        <v>203</v>
      </c>
      <c r="BC213" s="22">
        <v>0.92132599999999998</v>
      </c>
      <c r="BD213">
        <f t="shared" si="46"/>
        <v>16.488599999999998</v>
      </c>
      <c r="BE213">
        <f t="shared" si="47"/>
        <v>15.206462952599997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44.194699999999997</v>
      </c>
      <c r="I214" s="22">
        <v>-1.6986100000000001E-2</v>
      </c>
      <c r="J214" s="22">
        <v>204</v>
      </c>
      <c r="K214" s="22">
        <v>0.82244899999999999</v>
      </c>
      <c r="L214">
        <f t="shared" si="36"/>
        <v>16.9861</v>
      </c>
      <c r="M214">
        <f t="shared" si="37"/>
        <v>13.9753817194</v>
      </c>
      <c r="N214" s="9"/>
      <c r="O214" s="22">
        <v>0.92727700000000002</v>
      </c>
      <c r="P214" s="22">
        <v>99.590599999999995</v>
      </c>
      <c r="Q214" s="22">
        <v>-1.69739E-2</v>
      </c>
      <c r="R214" s="22">
        <v>204</v>
      </c>
      <c r="S214" s="22">
        <v>0.92681899999999995</v>
      </c>
      <c r="T214">
        <f t="shared" si="38"/>
        <v>16.9739</v>
      </c>
      <c r="U214">
        <f t="shared" si="39"/>
        <v>15.7395070703</v>
      </c>
      <c r="X214" s="9"/>
      <c r="Y214" s="22">
        <v>0.82275399999999999</v>
      </c>
      <c r="Z214" s="22">
        <v>161.548</v>
      </c>
      <c r="AA214" s="22">
        <v>-1.6979999999999999E-2</v>
      </c>
      <c r="AB214" s="22">
        <v>204</v>
      </c>
      <c r="AC214" s="22">
        <v>0.82244899999999999</v>
      </c>
      <c r="AD214">
        <f t="shared" si="40"/>
        <v>16.979999999999997</v>
      </c>
      <c r="AE214">
        <f t="shared" si="41"/>
        <v>13.970362919999998</v>
      </c>
      <c r="AF214" s="9"/>
      <c r="AG214" s="22">
        <v>0.92727700000000002</v>
      </c>
      <c r="AH214" s="22">
        <v>241.08</v>
      </c>
      <c r="AI214" s="22">
        <v>-1.68121E-2</v>
      </c>
      <c r="AJ214" s="22">
        <v>204</v>
      </c>
      <c r="AK214" s="22">
        <v>0.92712399999999995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293.49700000000001</v>
      </c>
      <c r="AS214" s="22">
        <v>-1.6781600000000001E-2</v>
      </c>
      <c r="AT214" s="22">
        <v>204</v>
      </c>
      <c r="AU214" s="22">
        <v>0.82244899999999999</v>
      </c>
      <c r="AV214">
        <f t="shared" si="44"/>
        <v>16.781600000000001</v>
      </c>
      <c r="AW214">
        <f t="shared" si="45"/>
        <v>13.8071285264</v>
      </c>
      <c r="AX214" s="9"/>
      <c r="AY214" s="22">
        <v>0.92727700000000002</v>
      </c>
      <c r="AZ214" s="22">
        <v>372.72699999999998</v>
      </c>
      <c r="BA214" s="22">
        <v>-1.6488599999999999E-2</v>
      </c>
      <c r="BB214" s="22">
        <v>204</v>
      </c>
      <c r="BC214" s="22">
        <v>0.92590300000000003</v>
      </c>
      <c r="BD214">
        <f t="shared" si="46"/>
        <v>16.488599999999998</v>
      </c>
      <c r="BE214">
        <f t="shared" si="47"/>
        <v>15.289499542199998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44.295400000000001</v>
      </c>
      <c r="I215" s="22">
        <v>-1.6995199999999999E-2</v>
      </c>
      <c r="J215" s="22">
        <v>205</v>
      </c>
      <c r="K215" s="22">
        <v>0.81695600000000002</v>
      </c>
      <c r="L215">
        <f t="shared" si="36"/>
        <v>16.995199999999997</v>
      </c>
      <c r="M215">
        <f t="shared" si="37"/>
        <v>13.897297948799997</v>
      </c>
      <c r="N215" s="9"/>
      <c r="O215" s="22">
        <v>0.93231200000000003</v>
      </c>
      <c r="P215" s="22">
        <v>99.691299999999998</v>
      </c>
      <c r="Q215" s="22">
        <v>-1.69739E-2</v>
      </c>
      <c r="R215" s="22">
        <v>205</v>
      </c>
      <c r="S215" s="22">
        <v>0.931091</v>
      </c>
      <c r="T215">
        <f t="shared" si="38"/>
        <v>16.9739</v>
      </c>
      <c r="U215">
        <f t="shared" si="39"/>
        <v>15.824970656800001</v>
      </c>
      <c r="X215" s="9"/>
      <c r="Y215" s="22">
        <v>0.81771899999999997</v>
      </c>
      <c r="Z215" s="22">
        <v>161.648</v>
      </c>
      <c r="AA215" s="22">
        <v>-1.69769E-2</v>
      </c>
      <c r="AB215" s="22">
        <v>205</v>
      </c>
      <c r="AC215" s="22">
        <v>0.81695600000000002</v>
      </c>
      <c r="AD215">
        <f t="shared" si="40"/>
        <v>16.976900000000001</v>
      </c>
      <c r="AE215">
        <f t="shared" si="41"/>
        <v>13.882333691099999</v>
      </c>
      <c r="AF215" s="9"/>
      <c r="AG215" s="22">
        <v>0.93231200000000003</v>
      </c>
      <c r="AH215" s="22">
        <v>241.18100000000001</v>
      </c>
      <c r="AI215" s="22">
        <v>-1.6821300000000001E-2</v>
      </c>
      <c r="AJ215" s="22">
        <v>205</v>
      </c>
      <c r="AK215" s="22">
        <v>0.930786</v>
      </c>
      <c r="AL215">
        <f t="shared" si="42"/>
        <v>16.821300000000001</v>
      </c>
      <c r="AM215">
        <f t="shared" si="43"/>
        <v>15.682699845600002</v>
      </c>
      <c r="AP215" s="9"/>
      <c r="AQ215" s="22">
        <v>0.81771899999999997</v>
      </c>
      <c r="AR215" s="22">
        <v>293.59699999999998</v>
      </c>
      <c r="AS215" s="22">
        <v>-1.67694E-2</v>
      </c>
      <c r="AT215" s="22">
        <v>205</v>
      </c>
      <c r="AU215" s="22">
        <v>0.81695600000000002</v>
      </c>
      <c r="AV215">
        <f t="shared" si="44"/>
        <v>16.769400000000001</v>
      </c>
      <c r="AW215">
        <f t="shared" si="45"/>
        <v>13.7126569986</v>
      </c>
      <c r="AX215" s="9"/>
      <c r="AY215" s="22">
        <v>0.93231200000000003</v>
      </c>
      <c r="AZ215" s="22">
        <v>372.82799999999997</v>
      </c>
      <c r="BA215" s="22">
        <v>-1.64429E-2</v>
      </c>
      <c r="BB215" s="22">
        <v>205</v>
      </c>
      <c r="BC215" s="22">
        <v>0.931091</v>
      </c>
      <c r="BD215">
        <f t="shared" si="46"/>
        <v>16.442900000000002</v>
      </c>
      <c r="BE215">
        <f t="shared" si="47"/>
        <v>15.329912984800002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44.396099999999997</v>
      </c>
      <c r="I216" s="22">
        <v>-1.7010500000000001E-2</v>
      </c>
      <c r="J216" s="22">
        <v>206</v>
      </c>
      <c r="K216" s="22">
        <v>0.81207300000000004</v>
      </c>
      <c r="L216">
        <f t="shared" si="36"/>
        <v>17.0105</v>
      </c>
      <c r="M216">
        <f t="shared" si="37"/>
        <v>13.8241441715</v>
      </c>
      <c r="N216" s="9"/>
      <c r="O216" s="22">
        <v>0.93734700000000004</v>
      </c>
      <c r="P216" s="22">
        <v>99.792000000000002</v>
      </c>
      <c r="Q216" s="22">
        <v>-1.69617E-2</v>
      </c>
      <c r="R216" s="22">
        <v>206</v>
      </c>
      <c r="S216" s="22">
        <v>0.93627899999999997</v>
      </c>
      <c r="T216">
        <f t="shared" si="38"/>
        <v>16.9617</v>
      </c>
      <c r="U216">
        <f t="shared" si="39"/>
        <v>15.898998609900001</v>
      </c>
      <c r="X216" s="9"/>
      <c r="Y216" s="22">
        <v>0.81268300000000004</v>
      </c>
      <c r="Z216" s="22">
        <v>161.749</v>
      </c>
      <c r="AA216" s="22">
        <v>-1.6983000000000002E-2</v>
      </c>
      <c r="AB216" s="22">
        <v>206</v>
      </c>
      <c r="AC216" s="22">
        <v>0.81207300000000004</v>
      </c>
      <c r="AD216">
        <f t="shared" si="40"/>
        <v>16.983000000000001</v>
      </c>
      <c r="AE216">
        <f t="shared" si="41"/>
        <v>13.801795389</v>
      </c>
      <c r="AF216" s="9"/>
      <c r="AG216" s="22">
        <v>0.93734700000000004</v>
      </c>
      <c r="AH216" s="22">
        <v>241.28100000000001</v>
      </c>
      <c r="AI216" s="22">
        <v>-1.6821300000000001E-2</v>
      </c>
      <c r="AJ216" s="22">
        <v>206</v>
      </c>
      <c r="AK216" s="22">
        <v>0.93627899999999997</v>
      </c>
      <c r="AL216">
        <f t="shared" si="42"/>
        <v>16.821300000000001</v>
      </c>
      <c r="AM216">
        <f t="shared" si="43"/>
        <v>15.767395091100001</v>
      </c>
      <c r="AP216" s="9"/>
      <c r="AQ216" s="22">
        <v>0.81268300000000004</v>
      </c>
      <c r="AR216" s="22">
        <v>293.69799999999998</v>
      </c>
      <c r="AS216" s="22">
        <v>-1.67542E-2</v>
      </c>
      <c r="AT216" s="22">
        <v>206</v>
      </c>
      <c r="AU216" s="22">
        <v>0.81146200000000002</v>
      </c>
      <c r="AV216">
        <f t="shared" si="44"/>
        <v>16.754200000000001</v>
      </c>
      <c r="AW216">
        <f t="shared" si="45"/>
        <v>13.615853518600002</v>
      </c>
      <c r="AX216" s="9"/>
      <c r="AY216" s="22">
        <v>0.93734700000000004</v>
      </c>
      <c r="AZ216" s="22">
        <v>372.928</v>
      </c>
      <c r="BA216" s="22">
        <v>-1.6534400000000001E-2</v>
      </c>
      <c r="BB216" s="22">
        <v>206</v>
      </c>
      <c r="BC216" s="22">
        <v>0.93627899999999997</v>
      </c>
      <c r="BD216">
        <f t="shared" si="46"/>
        <v>16.534400000000002</v>
      </c>
      <c r="BE216">
        <f t="shared" si="47"/>
        <v>15.498470236800003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44.496899999999997</v>
      </c>
      <c r="I217" s="22">
        <v>-1.69769E-2</v>
      </c>
      <c r="J217" s="22">
        <v>207</v>
      </c>
      <c r="K217" s="22">
        <v>0.80657999999999996</v>
      </c>
      <c r="L217">
        <f t="shared" si="36"/>
        <v>16.976900000000001</v>
      </c>
      <c r="M217">
        <f t="shared" si="37"/>
        <v>13.711359331200001</v>
      </c>
      <c r="N217" s="9"/>
      <c r="O217" s="22">
        <v>0.94238299999999997</v>
      </c>
      <c r="P217" s="22">
        <v>99.892700000000005</v>
      </c>
      <c r="Q217" s="22">
        <v>-1.6964699999999999E-2</v>
      </c>
      <c r="R217" s="22">
        <v>207</v>
      </c>
      <c r="S217" s="22">
        <v>0.94146700000000005</v>
      </c>
      <c r="T217">
        <f t="shared" si="38"/>
        <v>16.964700000000001</v>
      </c>
      <c r="U217">
        <f t="shared" si="39"/>
        <v>15.9872448801</v>
      </c>
      <c r="X217" s="9"/>
      <c r="Y217" s="22">
        <v>0.80764800000000003</v>
      </c>
      <c r="Z217" s="22">
        <v>161.85</v>
      </c>
      <c r="AA217" s="22">
        <v>-1.6986100000000001E-2</v>
      </c>
      <c r="AB217" s="22">
        <v>207</v>
      </c>
      <c r="AC217" s="22">
        <v>0.80627400000000005</v>
      </c>
      <c r="AD217">
        <f t="shared" si="40"/>
        <v>16.9861</v>
      </c>
      <c r="AE217">
        <f t="shared" si="41"/>
        <v>13.718789692800001</v>
      </c>
      <c r="AF217" s="9"/>
      <c r="AG217" s="22">
        <v>0.94238299999999997</v>
      </c>
      <c r="AH217" s="22">
        <v>241.38200000000001</v>
      </c>
      <c r="AI217" s="22">
        <v>-1.6793800000000001E-2</v>
      </c>
      <c r="AJ217" s="22">
        <v>207</v>
      </c>
      <c r="AK217" s="22">
        <v>0.94116200000000005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293.79899999999998</v>
      </c>
      <c r="AS217" s="22">
        <v>-1.6766400000000001E-2</v>
      </c>
      <c r="AT217" s="22">
        <v>207</v>
      </c>
      <c r="AU217" s="22">
        <v>0.80718999999999996</v>
      </c>
      <c r="AV217">
        <f t="shared" si="44"/>
        <v>16.766400000000001</v>
      </c>
      <c r="AW217">
        <f t="shared" si="45"/>
        <v>13.541349427200002</v>
      </c>
      <c r="AX217" s="9"/>
      <c r="AY217" s="22">
        <v>0.94238299999999997</v>
      </c>
      <c r="AZ217" s="22">
        <v>373.029</v>
      </c>
      <c r="BA217" s="22">
        <v>-1.6464199999999998E-2</v>
      </c>
      <c r="BB217" s="22">
        <v>207</v>
      </c>
      <c r="BC217" s="22">
        <v>0.94116200000000005</v>
      </c>
      <c r="BD217">
        <f t="shared" si="46"/>
        <v>16.464199999999998</v>
      </c>
      <c r="BE217">
        <f t="shared" si="47"/>
        <v>15.515582188599998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44.5976</v>
      </c>
      <c r="I218" s="22">
        <v>-1.6986100000000001E-2</v>
      </c>
      <c r="J218" s="22">
        <v>208</v>
      </c>
      <c r="K218" s="22">
        <v>0.80139199999999999</v>
      </c>
      <c r="L218">
        <f t="shared" si="36"/>
        <v>16.9861</v>
      </c>
      <c r="M218">
        <f t="shared" si="37"/>
        <v>13.6332476932</v>
      </c>
      <c r="N218" s="9"/>
      <c r="O218" s="22">
        <v>0.94741799999999998</v>
      </c>
      <c r="P218" s="22">
        <v>99.993399999999994</v>
      </c>
      <c r="Q218" s="22">
        <v>-1.69739E-2</v>
      </c>
      <c r="R218" s="22">
        <v>208</v>
      </c>
      <c r="S218" s="22">
        <v>0.94604500000000002</v>
      </c>
      <c r="T218">
        <f t="shared" si="38"/>
        <v>16.9739</v>
      </c>
      <c r="U218">
        <f t="shared" si="39"/>
        <v>16.081378390200001</v>
      </c>
      <c r="X218" s="9"/>
      <c r="Y218" s="22">
        <v>0.80261199999999999</v>
      </c>
      <c r="Z218" s="22">
        <v>161.94999999999999</v>
      </c>
      <c r="AA218" s="22">
        <v>-1.6998300000000001E-2</v>
      </c>
      <c r="AB218" s="22">
        <v>208</v>
      </c>
      <c r="AC218" s="22">
        <v>0.80200199999999999</v>
      </c>
      <c r="AD218">
        <f t="shared" si="40"/>
        <v>16.9983</v>
      </c>
      <c r="AE218">
        <f t="shared" si="41"/>
        <v>13.6430395596</v>
      </c>
      <c r="AF218" s="9"/>
      <c r="AG218" s="22">
        <v>0.94741799999999998</v>
      </c>
      <c r="AH218" s="22">
        <v>241.483</v>
      </c>
      <c r="AI218" s="22">
        <v>-1.68091E-2</v>
      </c>
      <c r="AJ218" s="22">
        <v>208</v>
      </c>
      <c r="AK218" s="22">
        <v>0.94604500000000002</v>
      </c>
      <c r="AL218">
        <f t="shared" si="42"/>
        <v>16.809100000000001</v>
      </c>
      <c r="AM218">
        <f t="shared" si="43"/>
        <v>15.9252439038</v>
      </c>
      <c r="AP218" s="9"/>
      <c r="AQ218" s="22">
        <v>0.80261199999999999</v>
      </c>
      <c r="AR218" s="22">
        <v>293.899</v>
      </c>
      <c r="AS218" s="22">
        <v>-1.6763299999999998E-2</v>
      </c>
      <c r="AT218" s="22">
        <v>208</v>
      </c>
      <c r="AU218" s="22">
        <v>0.80139199999999999</v>
      </c>
      <c r="AV218">
        <f t="shared" si="44"/>
        <v>16.763299999999997</v>
      </c>
      <c r="AW218">
        <f t="shared" si="45"/>
        <v>13.454425739599998</v>
      </c>
      <c r="AX218" s="9"/>
      <c r="AY218" s="22">
        <v>0.94741799999999998</v>
      </c>
      <c r="AZ218" s="22">
        <v>373.13</v>
      </c>
      <c r="BA218" s="22">
        <v>-1.6464199999999998E-2</v>
      </c>
      <c r="BB218" s="22">
        <v>208</v>
      </c>
      <c r="BC218" s="22">
        <v>0.94696000000000002</v>
      </c>
      <c r="BD218">
        <f t="shared" si="46"/>
        <v>16.464199999999998</v>
      </c>
      <c r="BE218">
        <f t="shared" si="47"/>
        <v>15.598479435599998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44.698300000000003</v>
      </c>
      <c r="I219" s="22">
        <v>-1.69891E-2</v>
      </c>
      <c r="J219" s="22">
        <v>209</v>
      </c>
      <c r="K219" s="22">
        <v>0.79681400000000002</v>
      </c>
      <c r="L219">
        <f t="shared" si="36"/>
        <v>16.989100000000001</v>
      </c>
      <c r="M219">
        <f t="shared" si="37"/>
        <v>13.5501154107</v>
      </c>
      <c r="N219" s="9"/>
      <c r="O219" s="22">
        <v>0.95245400000000002</v>
      </c>
      <c r="P219" s="22">
        <v>100.09399999999999</v>
      </c>
      <c r="Q219" s="22">
        <v>-1.6964699999999999E-2</v>
      </c>
      <c r="R219" s="22">
        <v>209</v>
      </c>
      <c r="S219" s="22">
        <v>0.95153799999999999</v>
      </c>
      <c r="T219">
        <f t="shared" si="38"/>
        <v>16.964700000000001</v>
      </c>
      <c r="U219">
        <f t="shared" si="39"/>
        <v>16.158096373799999</v>
      </c>
      <c r="X219" s="9"/>
      <c r="Y219" s="22">
        <v>0.79757699999999998</v>
      </c>
      <c r="Z219" s="22">
        <v>162.05099999999999</v>
      </c>
      <c r="AA219" s="22">
        <v>-1.7007399999999999E-2</v>
      </c>
      <c r="AB219" s="22">
        <v>209</v>
      </c>
      <c r="AC219" s="22">
        <v>0.79711900000000002</v>
      </c>
      <c r="AD219">
        <f t="shared" si="40"/>
        <v>17.007400000000001</v>
      </c>
      <c r="AE219">
        <f t="shared" si="41"/>
        <v>13.5647110698</v>
      </c>
      <c r="AF219" s="9"/>
      <c r="AG219" s="22">
        <v>0.95245400000000002</v>
      </c>
      <c r="AH219" s="22">
        <v>241.583</v>
      </c>
      <c r="AI219" s="22">
        <v>-1.68121E-2</v>
      </c>
      <c r="AJ219" s="22">
        <v>209</v>
      </c>
      <c r="AK219" s="22">
        <v>0.951233</v>
      </c>
      <c r="AL219">
        <f t="shared" si="42"/>
        <v>16.812100000000001</v>
      </c>
      <c r="AM219">
        <f t="shared" si="43"/>
        <v>16.012751893400001</v>
      </c>
      <c r="AP219" s="9"/>
      <c r="AQ219" s="22">
        <v>0.79757699999999998</v>
      </c>
      <c r="AR219" s="22">
        <v>294</v>
      </c>
      <c r="AS219" s="22">
        <v>-1.6766400000000001E-2</v>
      </c>
      <c r="AT219" s="22">
        <v>209</v>
      </c>
      <c r="AU219" s="22">
        <v>0.79650900000000002</v>
      </c>
      <c r="AV219">
        <f t="shared" si="44"/>
        <v>16.766400000000001</v>
      </c>
      <c r="AW219">
        <f t="shared" si="45"/>
        <v>13.3724950128</v>
      </c>
      <c r="AX219" s="9"/>
      <c r="AY219" s="22">
        <v>0.95245400000000002</v>
      </c>
      <c r="AZ219" s="22">
        <v>373.23</v>
      </c>
      <c r="BA219" s="22">
        <v>-1.6439800000000001E-2</v>
      </c>
      <c r="BB219" s="22">
        <v>209</v>
      </c>
      <c r="BC219" s="22">
        <v>0.95153799999999999</v>
      </c>
      <c r="BD219">
        <f t="shared" si="46"/>
        <v>16.439800000000002</v>
      </c>
      <c r="BE219">
        <f t="shared" si="47"/>
        <v>15.658153269200001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44.798999999999999</v>
      </c>
      <c r="I220" s="22">
        <v>-1.70166E-2</v>
      </c>
      <c r="J220" s="22">
        <v>210</v>
      </c>
      <c r="K220" s="22">
        <v>0.79162600000000005</v>
      </c>
      <c r="L220">
        <f t="shared" si="36"/>
        <v>17.0166</v>
      </c>
      <c r="M220">
        <f t="shared" si="37"/>
        <v>13.486370197199999</v>
      </c>
      <c r="N220" s="9"/>
      <c r="O220" s="22">
        <v>0.95748900000000003</v>
      </c>
      <c r="P220" s="22">
        <v>100.19499999999999</v>
      </c>
      <c r="Q220" s="22">
        <v>-1.6958600000000001E-2</v>
      </c>
      <c r="R220" s="22">
        <v>210</v>
      </c>
      <c r="S220" s="22">
        <v>0.95642099999999997</v>
      </c>
      <c r="T220">
        <f t="shared" si="38"/>
        <v>16.958600000000001</v>
      </c>
      <c r="U220">
        <f t="shared" si="39"/>
        <v>16.237672955400001</v>
      </c>
      <c r="X220" s="9"/>
      <c r="Y220" s="22">
        <v>0.79254199999999997</v>
      </c>
      <c r="Z220" s="22">
        <v>162.15199999999999</v>
      </c>
      <c r="AA220" s="22">
        <v>-1.7013500000000001E-2</v>
      </c>
      <c r="AB220" s="22">
        <v>210</v>
      </c>
      <c r="AC220" s="22">
        <v>0.79132100000000005</v>
      </c>
      <c r="AD220">
        <f t="shared" si="40"/>
        <v>17.013500000000001</v>
      </c>
      <c r="AE220">
        <f t="shared" si="41"/>
        <v>13.483913317000001</v>
      </c>
      <c r="AF220" s="9"/>
      <c r="AG220" s="22">
        <v>0.95748900000000003</v>
      </c>
      <c r="AH220" s="22">
        <v>241.684</v>
      </c>
      <c r="AI220" s="22">
        <v>-1.6787699999999999E-2</v>
      </c>
      <c r="AJ220" s="22">
        <v>210</v>
      </c>
      <c r="AK220" s="22">
        <v>0.95703099999999997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294.101</v>
      </c>
      <c r="AS220" s="22">
        <v>-1.67999E-2</v>
      </c>
      <c r="AT220" s="22">
        <v>210</v>
      </c>
      <c r="AU220" s="22">
        <v>0.79223600000000005</v>
      </c>
      <c r="AV220">
        <f t="shared" si="44"/>
        <v>16.799900000000001</v>
      </c>
      <c r="AW220">
        <f t="shared" si="45"/>
        <v>13.314626345800001</v>
      </c>
      <c r="AX220" s="9"/>
      <c r="AY220" s="22">
        <v>0.95748900000000003</v>
      </c>
      <c r="AZ220" s="22">
        <v>373.33100000000002</v>
      </c>
      <c r="BA220" s="22">
        <v>-1.6464199999999998E-2</v>
      </c>
      <c r="BB220" s="22">
        <v>210</v>
      </c>
      <c r="BC220" s="22">
        <v>0.95611599999999997</v>
      </c>
      <c r="BD220">
        <f t="shared" si="46"/>
        <v>16.464199999999998</v>
      </c>
      <c r="BE220">
        <f t="shared" si="47"/>
        <v>15.7642903938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44.899700000000003</v>
      </c>
      <c r="I221" s="22">
        <v>-1.7010500000000001E-2</v>
      </c>
      <c r="J221" s="22">
        <v>211</v>
      </c>
      <c r="K221" s="22">
        <v>0.78674299999999997</v>
      </c>
      <c r="L221">
        <f t="shared" si="36"/>
        <v>17.0105</v>
      </c>
      <c r="M221">
        <f t="shared" si="37"/>
        <v>13.395870813</v>
      </c>
      <c r="N221" s="9"/>
      <c r="O221" s="22">
        <v>0.96252400000000005</v>
      </c>
      <c r="P221" s="22">
        <v>100.29600000000001</v>
      </c>
      <c r="Q221" s="22">
        <v>-1.6952499999999999E-2</v>
      </c>
      <c r="R221" s="22">
        <v>211</v>
      </c>
      <c r="S221" s="22">
        <v>0.96099900000000005</v>
      </c>
      <c r="T221">
        <f t="shared" si="38"/>
        <v>16.952500000000001</v>
      </c>
      <c r="U221">
        <f t="shared" si="39"/>
        <v>16.31718811</v>
      </c>
      <c r="X221" s="9"/>
      <c r="Y221" s="22">
        <v>0.78750600000000004</v>
      </c>
      <c r="Z221" s="22">
        <v>162.25299999999999</v>
      </c>
      <c r="AA221" s="22">
        <v>-1.7007399999999999E-2</v>
      </c>
      <c r="AB221" s="22">
        <v>211</v>
      </c>
      <c r="AC221" s="22">
        <v>0.78613299999999997</v>
      </c>
      <c r="AD221">
        <f t="shared" si="40"/>
        <v>17.007400000000001</v>
      </c>
      <c r="AE221">
        <f t="shared" si="41"/>
        <v>13.393429544400002</v>
      </c>
      <c r="AF221" s="9"/>
      <c r="AG221" s="22">
        <v>0.96252400000000005</v>
      </c>
      <c r="AH221" s="22">
        <v>241.785</v>
      </c>
      <c r="AI221" s="22">
        <v>-1.67999E-2</v>
      </c>
      <c r="AJ221" s="22">
        <v>211</v>
      </c>
      <c r="AK221" s="22">
        <v>0.96160900000000005</v>
      </c>
      <c r="AL221">
        <f t="shared" si="42"/>
        <v>16.799900000000001</v>
      </c>
      <c r="AM221">
        <f t="shared" si="43"/>
        <v>16.1703069476</v>
      </c>
      <c r="AP221" s="9"/>
      <c r="AQ221" s="22">
        <v>0.78750600000000004</v>
      </c>
      <c r="AR221" s="22">
        <v>294.202</v>
      </c>
      <c r="AS221" s="22">
        <v>-1.6790800000000002E-2</v>
      </c>
      <c r="AT221" s="22">
        <v>211</v>
      </c>
      <c r="AU221" s="22">
        <v>0.78643799999999997</v>
      </c>
      <c r="AV221">
        <f t="shared" si="44"/>
        <v>16.790800000000001</v>
      </c>
      <c r="AW221">
        <f t="shared" si="45"/>
        <v>13.222855744800002</v>
      </c>
      <c r="AX221" s="9"/>
      <c r="AY221" s="22">
        <v>0.96252400000000005</v>
      </c>
      <c r="AZ221" s="22">
        <v>373.43200000000002</v>
      </c>
      <c r="BA221" s="22">
        <v>-1.64703E-2</v>
      </c>
      <c r="BB221" s="22">
        <v>211</v>
      </c>
      <c r="BC221" s="22">
        <v>0.96130400000000005</v>
      </c>
      <c r="BD221">
        <f t="shared" si="46"/>
        <v>16.470300000000002</v>
      </c>
      <c r="BE221">
        <f t="shared" si="47"/>
        <v>15.853059037200003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45.000399999999999</v>
      </c>
      <c r="I222" s="22">
        <v>-1.7010500000000001E-2</v>
      </c>
      <c r="J222" s="22">
        <v>212</v>
      </c>
      <c r="K222" s="22">
        <v>0.78186</v>
      </c>
      <c r="L222">
        <f t="shared" si="36"/>
        <v>17.0105</v>
      </c>
      <c r="M222">
        <f t="shared" si="37"/>
        <v>13.310222945500001</v>
      </c>
      <c r="N222" s="9"/>
      <c r="O222" s="22">
        <v>0.96755999999999998</v>
      </c>
      <c r="P222" s="22">
        <v>100.396</v>
      </c>
      <c r="Q222" s="22">
        <v>-1.69617E-2</v>
      </c>
      <c r="R222" s="22">
        <v>212</v>
      </c>
      <c r="S222" s="22">
        <v>0.96649200000000002</v>
      </c>
      <c r="T222">
        <f t="shared" si="38"/>
        <v>16.9617</v>
      </c>
      <c r="U222">
        <f t="shared" si="39"/>
        <v>16.411462451999999</v>
      </c>
      <c r="X222" s="9"/>
      <c r="Y222" s="22">
        <v>0.78247100000000003</v>
      </c>
      <c r="Z222" s="22">
        <v>162.35300000000001</v>
      </c>
      <c r="AA222" s="22">
        <v>-1.7022700000000002E-2</v>
      </c>
      <c r="AB222" s="22">
        <v>212</v>
      </c>
      <c r="AC222" s="22">
        <v>0.780945</v>
      </c>
      <c r="AD222">
        <f t="shared" si="40"/>
        <v>17.0227</v>
      </c>
      <c r="AE222">
        <f t="shared" si="41"/>
        <v>13.319769091700001</v>
      </c>
      <c r="AF222" s="9"/>
      <c r="AG222" s="22">
        <v>0.96755999999999998</v>
      </c>
      <c r="AH222" s="22">
        <v>241.886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294.30200000000002</v>
      </c>
      <c r="AS222" s="22">
        <v>-1.67969E-2</v>
      </c>
      <c r="AT222" s="22">
        <v>212</v>
      </c>
      <c r="AU222" s="22">
        <v>0.781555</v>
      </c>
      <c r="AV222">
        <f t="shared" si="44"/>
        <v>16.796900000000001</v>
      </c>
      <c r="AW222">
        <f t="shared" si="45"/>
        <v>13.1430871399</v>
      </c>
      <c r="AX222" s="9"/>
      <c r="AY222" s="22">
        <v>0.96755999999999998</v>
      </c>
      <c r="AZ222" s="22">
        <v>373.53300000000002</v>
      </c>
      <c r="BA222" s="22">
        <v>-1.6482500000000001E-2</v>
      </c>
      <c r="BB222" s="22">
        <v>212</v>
      </c>
      <c r="BC222" s="22">
        <v>0.96588099999999999</v>
      </c>
      <c r="BD222">
        <f t="shared" si="46"/>
        <v>16.482500000000002</v>
      </c>
      <c r="BE222">
        <f t="shared" si="47"/>
        <v>15.947807700000002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45.101100000000002</v>
      </c>
      <c r="I223" s="22">
        <v>-1.70013E-2</v>
      </c>
      <c r="J223" s="22">
        <v>213</v>
      </c>
      <c r="K223" s="22">
        <v>0.77636700000000003</v>
      </c>
      <c r="L223">
        <f t="shared" si="36"/>
        <v>17.001300000000001</v>
      </c>
      <c r="M223">
        <f t="shared" si="37"/>
        <v>13.217405665499999</v>
      </c>
      <c r="N223" s="9"/>
      <c r="O223" s="22">
        <v>0.97259499999999999</v>
      </c>
      <c r="P223" s="22">
        <v>100.497</v>
      </c>
      <c r="Q223" s="22">
        <v>-1.6943400000000001E-2</v>
      </c>
      <c r="R223" s="22">
        <v>213</v>
      </c>
      <c r="S223" s="22">
        <v>0.97198499999999999</v>
      </c>
      <c r="T223">
        <f t="shared" si="38"/>
        <v>16.9434</v>
      </c>
      <c r="U223">
        <f t="shared" si="39"/>
        <v>16.479066122999999</v>
      </c>
      <c r="X223" s="9"/>
      <c r="Y223" s="22">
        <v>0.77743499999999999</v>
      </c>
      <c r="Z223" s="22">
        <v>162.45400000000001</v>
      </c>
      <c r="AA223" s="22">
        <v>-1.70166E-2</v>
      </c>
      <c r="AB223" s="22">
        <v>213</v>
      </c>
      <c r="AC223" s="22">
        <v>0.77636700000000003</v>
      </c>
      <c r="AD223">
        <f t="shared" si="40"/>
        <v>17.0166</v>
      </c>
      <c r="AE223">
        <f t="shared" si="41"/>
        <v>13.229300421</v>
      </c>
      <c r="AF223" s="9"/>
      <c r="AG223" s="22">
        <v>0.97259499999999999</v>
      </c>
      <c r="AH223" s="22">
        <v>241.98599999999999</v>
      </c>
      <c r="AI223" s="22">
        <v>-1.6763299999999998E-2</v>
      </c>
      <c r="AJ223" s="22">
        <v>213</v>
      </c>
      <c r="AK223" s="22">
        <v>0.97137499999999999</v>
      </c>
      <c r="AL223">
        <f t="shared" si="42"/>
        <v>16.763299999999997</v>
      </c>
      <c r="AM223">
        <f t="shared" si="43"/>
        <v>16.303901763499997</v>
      </c>
      <c r="AP223" s="9"/>
      <c r="AQ223" s="22">
        <v>0.77743499999999999</v>
      </c>
      <c r="AR223" s="22">
        <v>294.40300000000002</v>
      </c>
      <c r="AS223" s="22">
        <v>-1.67999E-2</v>
      </c>
      <c r="AT223" s="22">
        <v>213</v>
      </c>
      <c r="AU223" s="22">
        <v>0.77697799999999995</v>
      </c>
      <c r="AV223">
        <f t="shared" si="44"/>
        <v>16.799900000000001</v>
      </c>
      <c r="AW223">
        <f t="shared" si="45"/>
        <v>13.060830256500001</v>
      </c>
      <c r="AX223" s="9"/>
      <c r="AY223" s="22">
        <v>0.97259499999999999</v>
      </c>
      <c r="AZ223" s="22">
        <v>373.63299999999998</v>
      </c>
      <c r="BA223" s="22">
        <v>-1.6467300000000001E-2</v>
      </c>
      <c r="BB223" s="22">
        <v>213</v>
      </c>
      <c r="BC223" s="22">
        <v>0.97167999999999999</v>
      </c>
      <c r="BD223">
        <f t="shared" si="46"/>
        <v>16.467300000000002</v>
      </c>
      <c r="BE223">
        <f t="shared" si="47"/>
        <v>16.016013643500003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45.201799999999999</v>
      </c>
      <c r="I224" s="22">
        <v>-1.7004399999999999E-2</v>
      </c>
      <c r="J224" s="22">
        <v>214</v>
      </c>
      <c r="K224" s="22">
        <v>0.77148399999999995</v>
      </c>
      <c r="L224">
        <f t="shared" si="36"/>
        <v>17.0044</v>
      </c>
      <c r="M224">
        <f t="shared" si="37"/>
        <v>13.13419856</v>
      </c>
      <c r="N224" s="9"/>
      <c r="O224" s="22">
        <v>0.97763100000000003</v>
      </c>
      <c r="P224" s="22">
        <v>100.598</v>
      </c>
      <c r="Q224" s="22">
        <v>-1.69342E-2</v>
      </c>
      <c r="R224" s="22">
        <v>214</v>
      </c>
      <c r="S224" s="22">
        <v>0.97686799999999996</v>
      </c>
      <c r="T224">
        <f t="shared" si="38"/>
        <v>16.934200000000001</v>
      </c>
      <c r="U224">
        <f t="shared" si="39"/>
        <v>16.555398880200002</v>
      </c>
      <c r="X224" s="9"/>
      <c r="Y224" s="22">
        <v>0.77239999999999998</v>
      </c>
      <c r="Z224" s="22">
        <v>162.55500000000001</v>
      </c>
      <c r="AA224" s="22">
        <v>-1.7025800000000001E-2</v>
      </c>
      <c r="AB224" s="22">
        <v>214</v>
      </c>
      <c r="AC224" s="22">
        <v>0.77148399999999995</v>
      </c>
      <c r="AD224">
        <f t="shared" si="40"/>
        <v>17.0258</v>
      </c>
      <c r="AE224">
        <f t="shared" si="41"/>
        <v>13.15072792</v>
      </c>
      <c r="AF224" s="9"/>
      <c r="AG224" s="22">
        <v>0.97763100000000003</v>
      </c>
      <c r="AH224" s="22">
        <v>242.08699999999999</v>
      </c>
      <c r="AI224" s="22">
        <v>-1.6793800000000001E-2</v>
      </c>
      <c r="AJ224" s="22">
        <v>214</v>
      </c>
      <c r="AK224" s="22">
        <v>0.97686799999999996</v>
      </c>
      <c r="AL224">
        <f t="shared" si="42"/>
        <v>16.793800000000001</v>
      </c>
      <c r="AM224">
        <f t="shared" si="43"/>
        <v>16.418139487800001</v>
      </c>
      <c r="AP224" s="9"/>
      <c r="AQ224" s="22">
        <v>0.77239999999999998</v>
      </c>
      <c r="AR224" s="22">
        <v>294.50400000000002</v>
      </c>
      <c r="AS224" s="22">
        <v>-1.6781600000000001E-2</v>
      </c>
      <c r="AT224" s="22">
        <v>214</v>
      </c>
      <c r="AU224" s="22">
        <v>0.77178999999999998</v>
      </c>
      <c r="AV224">
        <f t="shared" si="44"/>
        <v>16.781600000000001</v>
      </c>
      <c r="AW224">
        <f t="shared" si="45"/>
        <v>12.96210784</v>
      </c>
      <c r="AX224" s="9"/>
      <c r="AY224" s="22">
        <v>0.97763100000000003</v>
      </c>
      <c r="AZ224" s="22">
        <v>373.73399999999998</v>
      </c>
      <c r="BA224" s="22">
        <v>-1.651E-2</v>
      </c>
      <c r="BB224" s="22">
        <v>214</v>
      </c>
      <c r="BC224" s="22">
        <v>0.97595200000000004</v>
      </c>
      <c r="BD224">
        <f t="shared" si="46"/>
        <v>16.510000000000002</v>
      </c>
      <c r="BE224">
        <f t="shared" si="47"/>
        <v>16.140687810000003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45.302500000000002</v>
      </c>
      <c r="I225" s="22">
        <v>-1.7019699999999999E-2</v>
      </c>
      <c r="J225" s="22">
        <v>215</v>
      </c>
      <c r="K225" s="22">
        <v>0.76690700000000001</v>
      </c>
      <c r="L225">
        <f t="shared" si="36"/>
        <v>17.0197</v>
      </c>
      <c r="M225">
        <f t="shared" si="37"/>
        <v>13.0603220905</v>
      </c>
      <c r="N225" s="9"/>
      <c r="O225" s="22">
        <v>0.98266600000000004</v>
      </c>
      <c r="P225" s="22">
        <v>100.69799999999999</v>
      </c>
      <c r="Q225" s="22">
        <v>-1.69617E-2</v>
      </c>
      <c r="R225" s="22">
        <v>215</v>
      </c>
      <c r="S225" s="22">
        <v>0.98175000000000001</v>
      </c>
      <c r="T225">
        <f t="shared" si="38"/>
        <v>16.9617</v>
      </c>
      <c r="U225">
        <f t="shared" si="39"/>
        <v>16.667685892200002</v>
      </c>
      <c r="X225" s="9"/>
      <c r="Y225" s="22">
        <v>0.76736499999999996</v>
      </c>
      <c r="Z225" s="22">
        <v>162.655</v>
      </c>
      <c r="AA225" s="22">
        <v>-1.7047099999999999E-2</v>
      </c>
      <c r="AB225" s="22">
        <v>215</v>
      </c>
      <c r="AC225" s="22">
        <v>0.76629599999999998</v>
      </c>
      <c r="AD225">
        <f t="shared" si="40"/>
        <v>17.0471</v>
      </c>
      <c r="AE225">
        <f t="shared" si="41"/>
        <v>13.0813478915</v>
      </c>
      <c r="AF225" s="9"/>
      <c r="AG225" s="22">
        <v>0.98266600000000004</v>
      </c>
      <c r="AH225" s="22">
        <v>242.18799999999999</v>
      </c>
      <c r="AI225" s="22">
        <v>-1.6787699999999999E-2</v>
      </c>
      <c r="AJ225" s="22">
        <v>215</v>
      </c>
      <c r="AK225" s="22">
        <v>0.98205600000000004</v>
      </c>
      <c r="AL225">
        <f t="shared" si="42"/>
        <v>16.787699999999997</v>
      </c>
      <c r="AM225">
        <f t="shared" si="43"/>
        <v>16.4967020082</v>
      </c>
      <c r="AP225" s="9"/>
      <c r="AQ225" s="22">
        <v>0.76736499999999996</v>
      </c>
      <c r="AR225" s="22">
        <v>294.60399999999998</v>
      </c>
      <c r="AS225" s="22">
        <v>-1.6802999999999998E-2</v>
      </c>
      <c r="AT225" s="22">
        <v>215</v>
      </c>
      <c r="AU225" s="22">
        <v>0.76629599999999998</v>
      </c>
      <c r="AV225">
        <f t="shared" si="44"/>
        <v>16.802999999999997</v>
      </c>
      <c r="AW225">
        <f t="shared" si="45"/>
        <v>12.894034094999997</v>
      </c>
      <c r="AX225" s="9"/>
      <c r="AY225" s="22">
        <v>0.98266600000000004</v>
      </c>
      <c r="AZ225" s="22">
        <v>373.83499999999998</v>
      </c>
      <c r="BA225" s="22">
        <v>-1.65405E-2</v>
      </c>
      <c r="BB225" s="22">
        <v>215</v>
      </c>
      <c r="BC225" s="22">
        <v>0.98175000000000001</v>
      </c>
      <c r="BD225">
        <f t="shared" si="46"/>
        <v>16.540499999999998</v>
      </c>
      <c r="BE225">
        <f t="shared" si="47"/>
        <v>16.253786973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45.403199999999998</v>
      </c>
      <c r="I226" s="22">
        <v>-1.70288E-2</v>
      </c>
      <c r="J226" s="22">
        <v>216</v>
      </c>
      <c r="K226" s="22">
        <v>0.76171900000000003</v>
      </c>
      <c r="L226">
        <f t="shared" si="36"/>
        <v>17.0288</v>
      </c>
      <c r="M226">
        <f t="shared" si="37"/>
        <v>12.981548075200001</v>
      </c>
      <c r="N226" s="9"/>
      <c r="O226" s="22">
        <v>0.98770100000000005</v>
      </c>
      <c r="P226" s="22">
        <v>100.79900000000001</v>
      </c>
      <c r="Q226" s="22">
        <v>-1.6940299999999998E-2</v>
      </c>
      <c r="R226" s="22">
        <v>216</v>
      </c>
      <c r="S226" s="22">
        <v>0.98693799999999998</v>
      </c>
      <c r="T226">
        <f t="shared" si="38"/>
        <v>16.940299999999997</v>
      </c>
      <c r="U226">
        <f t="shared" si="39"/>
        <v>16.731951250299996</v>
      </c>
      <c r="X226" s="9"/>
      <c r="Y226" s="22">
        <v>0.76232900000000003</v>
      </c>
      <c r="Z226" s="22">
        <v>162.756</v>
      </c>
      <c r="AA226" s="22">
        <v>-1.7022700000000002E-2</v>
      </c>
      <c r="AB226" s="22">
        <v>216</v>
      </c>
      <c r="AC226" s="22">
        <v>0.76141400000000004</v>
      </c>
      <c r="AD226">
        <f t="shared" si="40"/>
        <v>17.0227</v>
      </c>
      <c r="AE226">
        <f t="shared" si="41"/>
        <v>12.9768978683</v>
      </c>
      <c r="AF226" s="9"/>
      <c r="AG226" s="22">
        <v>0.98770100000000005</v>
      </c>
      <c r="AH226" s="22">
        <v>242.28800000000001</v>
      </c>
      <c r="AI226" s="22">
        <v>-1.6772499999999999E-2</v>
      </c>
      <c r="AJ226" s="22">
        <v>216</v>
      </c>
      <c r="AK226" s="22">
        <v>0.98602299999999998</v>
      </c>
      <c r="AL226">
        <f t="shared" si="42"/>
        <v>16.772500000000001</v>
      </c>
      <c r="AM226">
        <f t="shared" si="43"/>
        <v>16.566215022500003</v>
      </c>
      <c r="AP226" s="9"/>
      <c r="AQ226" s="22">
        <v>0.76232900000000003</v>
      </c>
      <c r="AR226" s="22">
        <v>294.70499999999998</v>
      </c>
      <c r="AS226" s="22">
        <v>-1.68243E-2</v>
      </c>
      <c r="AT226" s="22">
        <v>216</v>
      </c>
      <c r="AU226" s="22">
        <v>0.76141400000000004</v>
      </c>
      <c r="AV226">
        <f t="shared" si="44"/>
        <v>16.824300000000001</v>
      </c>
      <c r="AW226">
        <f t="shared" si="45"/>
        <v>12.825651794700001</v>
      </c>
      <c r="AX226" s="9"/>
      <c r="AY226" s="22">
        <v>0.98770100000000005</v>
      </c>
      <c r="AZ226" s="22">
        <v>373.935</v>
      </c>
      <c r="BA226" s="22">
        <v>-1.6513099999999999E-2</v>
      </c>
      <c r="BB226" s="22">
        <v>216</v>
      </c>
      <c r="BC226" s="22">
        <v>0.98693799999999998</v>
      </c>
      <c r="BD226">
        <f t="shared" si="46"/>
        <v>16.513099999999998</v>
      </c>
      <c r="BE226">
        <f t="shared" si="47"/>
        <v>16.310005383099998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45.503900000000002</v>
      </c>
      <c r="I227" s="22">
        <v>-1.7034899999999999E-2</v>
      </c>
      <c r="J227" s="22">
        <v>217</v>
      </c>
      <c r="K227" s="22">
        <v>0.75653099999999995</v>
      </c>
      <c r="L227">
        <f t="shared" si="36"/>
        <v>17.0349</v>
      </c>
      <c r="M227">
        <f t="shared" si="37"/>
        <v>12.900427560600001</v>
      </c>
      <c r="N227" s="9"/>
      <c r="O227" s="22">
        <v>0.99273699999999998</v>
      </c>
      <c r="P227" s="22">
        <v>100.9</v>
      </c>
      <c r="Q227" s="22">
        <v>-1.6949499999999999E-2</v>
      </c>
      <c r="R227" s="22">
        <v>217</v>
      </c>
      <c r="S227" s="22">
        <v>0.99182099999999995</v>
      </c>
      <c r="T227">
        <f t="shared" si="38"/>
        <v>16.9495</v>
      </c>
      <c r="U227">
        <f t="shared" si="39"/>
        <v>16.8263957815</v>
      </c>
      <c r="X227" s="9"/>
      <c r="Y227" s="22">
        <v>0.75729400000000002</v>
      </c>
      <c r="Z227" s="22">
        <v>162.857</v>
      </c>
      <c r="AA227" s="22">
        <v>-1.7038000000000001E-2</v>
      </c>
      <c r="AB227" s="22">
        <v>217</v>
      </c>
      <c r="AC227" s="22">
        <v>0.75592000000000004</v>
      </c>
      <c r="AD227">
        <f t="shared" si="40"/>
        <v>17.038</v>
      </c>
      <c r="AE227">
        <f t="shared" si="41"/>
        <v>12.902775172</v>
      </c>
      <c r="AF227" s="9"/>
      <c r="AG227" s="22">
        <v>0.99273699999999998</v>
      </c>
      <c r="AH227" s="22">
        <v>242.38900000000001</v>
      </c>
      <c r="AI227" s="22">
        <v>-1.6747999999999999E-2</v>
      </c>
      <c r="AJ227" s="22">
        <v>217</v>
      </c>
      <c r="AK227" s="22">
        <v>0.99182099999999995</v>
      </c>
      <c r="AL227">
        <f t="shared" si="42"/>
        <v>16.747999999999998</v>
      </c>
      <c r="AM227">
        <f t="shared" si="43"/>
        <v>16.626359275999999</v>
      </c>
      <c r="AP227" s="9"/>
      <c r="AQ227" s="22">
        <v>0.75729400000000002</v>
      </c>
      <c r="AR227" s="22">
        <v>294.80599999999998</v>
      </c>
      <c r="AS227" s="22">
        <v>-1.6857899999999999E-2</v>
      </c>
      <c r="AT227" s="22">
        <v>217</v>
      </c>
      <c r="AU227" s="22">
        <v>0.75622599999999995</v>
      </c>
      <c r="AV227">
        <f t="shared" si="44"/>
        <v>16.857899999999997</v>
      </c>
      <c r="AW227">
        <f t="shared" si="45"/>
        <v>12.766386522599998</v>
      </c>
      <c r="AX227" s="9"/>
      <c r="AY227" s="22">
        <v>0.99273699999999998</v>
      </c>
      <c r="AZ227" s="22">
        <v>374.036</v>
      </c>
      <c r="BA227" s="22">
        <v>-1.64948E-2</v>
      </c>
      <c r="BB227" s="22">
        <v>217</v>
      </c>
      <c r="BC227" s="22">
        <v>0.99151599999999995</v>
      </c>
      <c r="BD227">
        <f t="shared" si="46"/>
        <v>16.494800000000001</v>
      </c>
      <c r="BE227">
        <f t="shared" si="47"/>
        <v>16.374998267600002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45.604599999999998</v>
      </c>
      <c r="I228" s="22">
        <v>-1.7025800000000001E-2</v>
      </c>
      <c r="J228" s="22">
        <v>218</v>
      </c>
      <c r="K228" s="22">
        <v>0.75134299999999998</v>
      </c>
      <c r="L228">
        <f t="shared" si="36"/>
        <v>17.0258</v>
      </c>
      <c r="M228">
        <f t="shared" si="37"/>
        <v>12.807794256399999</v>
      </c>
      <c r="N228" s="9"/>
      <c r="O228" s="22">
        <v>0.99777199999999999</v>
      </c>
      <c r="P228" s="22">
        <v>101</v>
      </c>
      <c r="Q228" s="22">
        <v>-1.69312E-2</v>
      </c>
      <c r="R228" s="22">
        <v>218</v>
      </c>
      <c r="S228" s="22">
        <v>0.99761999999999995</v>
      </c>
      <c r="T228">
        <f t="shared" si="38"/>
        <v>16.9312</v>
      </c>
      <c r="U228">
        <f t="shared" si="39"/>
        <v>16.8934772864</v>
      </c>
      <c r="X228" s="9"/>
      <c r="Y228" s="22">
        <v>0.75225799999999998</v>
      </c>
      <c r="Z228" s="22">
        <v>162.95699999999999</v>
      </c>
      <c r="AA228" s="22">
        <v>-1.70288E-2</v>
      </c>
      <c r="AB228" s="22">
        <v>218</v>
      </c>
      <c r="AC228" s="22">
        <v>0.75134299999999998</v>
      </c>
      <c r="AD228">
        <f t="shared" si="40"/>
        <v>17.0288</v>
      </c>
      <c r="AE228">
        <f t="shared" si="41"/>
        <v>12.8100510304</v>
      </c>
      <c r="AF228" s="9"/>
      <c r="AG228" s="22">
        <v>0.99777199999999999</v>
      </c>
      <c r="AH228" s="22">
        <v>242.49</v>
      </c>
      <c r="AI228" s="22">
        <v>-1.6751100000000001E-2</v>
      </c>
      <c r="AJ228" s="22">
        <v>218</v>
      </c>
      <c r="AK228" s="22">
        <v>0.99670400000000003</v>
      </c>
      <c r="AL228">
        <f t="shared" si="42"/>
        <v>16.751100000000001</v>
      </c>
      <c r="AM228">
        <f t="shared" si="43"/>
        <v>16.713778549200001</v>
      </c>
      <c r="AP228" s="9"/>
      <c r="AQ228" s="22">
        <v>0.75225799999999998</v>
      </c>
      <c r="AR228" s="22">
        <v>294.90699999999998</v>
      </c>
      <c r="AS228" s="22">
        <v>-1.68793E-2</v>
      </c>
      <c r="AT228" s="22">
        <v>218</v>
      </c>
      <c r="AU228" s="22">
        <v>0.75134299999999998</v>
      </c>
      <c r="AV228">
        <f t="shared" si="44"/>
        <v>16.879300000000001</v>
      </c>
      <c r="AW228">
        <f t="shared" si="45"/>
        <v>12.6975884594</v>
      </c>
      <c r="AX228" s="9"/>
      <c r="AY228" s="22">
        <v>0.99777199999999999</v>
      </c>
      <c r="AZ228" s="22">
        <v>374.137</v>
      </c>
      <c r="BA228" s="22">
        <v>-1.6488599999999999E-2</v>
      </c>
      <c r="BB228" s="22">
        <v>218</v>
      </c>
      <c r="BC228" s="22">
        <v>0.99639900000000003</v>
      </c>
      <c r="BD228">
        <f t="shared" si="46"/>
        <v>16.488599999999998</v>
      </c>
      <c r="BE228">
        <f t="shared" si="47"/>
        <v>16.451863399199997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45.705399999999997</v>
      </c>
      <c r="I229" s="22">
        <v>-1.7034899999999999E-2</v>
      </c>
      <c r="J229" s="22">
        <v>219</v>
      </c>
      <c r="K229" s="22">
        <v>0.74652099999999999</v>
      </c>
      <c r="L229">
        <f t="shared" si="36"/>
        <v>17.0349</v>
      </c>
      <c r="M229">
        <f t="shared" si="37"/>
        <v>12.728869082699999</v>
      </c>
      <c r="N229" s="9"/>
      <c r="O229" s="22">
        <v>1.00281</v>
      </c>
      <c r="P229" s="22">
        <v>101.101</v>
      </c>
      <c r="Q229" s="22">
        <v>-1.69312E-2</v>
      </c>
      <c r="R229" s="22">
        <v>219</v>
      </c>
      <c r="S229" s="22">
        <v>1.0018899999999999</v>
      </c>
      <c r="T229">
        <f t="shared" si="38"/>
        <v>16.9312</v>
      </c>
      <c r="U229">
        <f t="shared" si="39"/>
        <v>16.978776671999999</v>
      </c>
      <c r="X229" s="9"/>
      <c r="Y229" s="22">
        <v>0.74722299999999997</v>
      </c>
      <c r="Z229" s="22">
        <v>163.05799999999999</v>
      </c>
      <c r="AA229" s="22">
        <v>-1.7038000000000001E-2</v>
      </c>
      <c r="AB229" s="22">
        <v>219</v>
      </c>
      <c r="AC229" s="22">
        <v>0.74655199999999999</v>
      </c>
      <c r="AD229">
        <f t="shared" si="40"/>
        <v>17.038</v>
      </c>
      <c r="AE229">
        <f t="shared" si="41"/>
        <v>12.731185474</v>
      </c>
      <c r="AF229" s="9"/>
      <c r="AG229" s="22">
        <v>1.00281</v>
      </c>
      <c r="AH229" s="22">
        <v>242.59</v>
      </c>
      <c r="AI229" s="22">
        <v>-1.67694E-2</v>
      </c>
      <c r="AJ229" s="22">
        <v>219</v>
      </c>
      <c r="AK229" s="22">
        <v>1.0022</v>
      </c>
      <c r="AL229">
        <f t="shared" si="42"/>
        <v>16.769400000000001</v>
      </c>
      <c r="AM229">
        <f t="shared" si="43"/>
        <v>16.816522014</v>
      </c>
      <c r="AP229" s="9"/>
      <c r="AQ229" s="22">
        <v>0.74722299999999997</v>
      </c>
      <c r="AR229" s="22">
        <v>295.00700000000001</v>
      </c>
      <c r="AS229" s="22">
        <v>-1.6900600000000002E-2</v>
      </c>
      <c r="AT229" s="22">
        <v>219</v>
      </c>
      <c r="AU229" s="22">
        <v>0.74661299999999997</v>
      </c>
      <c r="AV229">
        <f t="shared" si="44"/>
        <v>16.900600000000001</v>
      </c>
      <c r="AW229">
        <f t="shared" si="45"/>
        <v>12.6285170338</v>
      </c>
      <c r="AX229" s="9"/>
      <c r="AY229" s="22">
        <v>1.00281</v>
      </c>
      <c r="AZ229" s="22">
        <v>374.238</v>
      </c>
      <c r="BA229" s="22">
        <v>-1.6500899999999999E-2</v>
      </c>
      <c r="BB229" s="22">
        <v>219</v>
      </c>
      <c r="BC229" s="22">
        <v>1.0018899999999999</v>
      </c>
      <c r="BD229">
        <f t="shared" si="46"/>
        <v>16.500899999999998</v>
      </c>
      <c r="BE229">
        <f t="shared" si="47"/>
        <v>16.547267528999999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45.806100000000001</v>
      </c>
      <c r="I230" s="22">
        <v>-1.70563E-2</v>
      </c>
      <c r="J230" s="22">
        <v>220</v>
      </c>
      <c r="K230" s="22">
        <v>0.74148599999999998</v>
      </c>
      <c r="L230">
        <f t="shared" si="36"/>
        <v>17.0563</v>
      </c>
      <c r="M230">
        <f t="shared" si="37"/>
        <v>12.6589811844</v>
      </c>
      <c r="N230" s="9"/>
      <c r="O230" s="22">
        <v>1.0078400000000001</v>
      </c>
      <c r="P230" s="22">
        <v>101.202</v>
      </c>
      <c r="Q230" s="22">
        <v>-1.6912799999999999E-2</v>
      </c>
      <c r="R230" s="22">
        <v>220</v>
      </c>
      <c r="S230" s="22">
        <v>1.0067699999999999</v>
      </c>
      <c r="T230">
        <f t="shared" si="38"/>
        <v>16.912799999999997</v>
      </c>
      <c r="U230">
        <f t="shared" si="39"/>
        <v>17.045396351999997</v>
      </c>
      <c r="X230" s="9"/>
      <c r="Y230" s="22">
        <v>0.74218799999999996</v>
      </c>
      <c r="Z230" s="22">
        <v>163.15899999999999</v>
      </c>
      <c r="AA230" s="22">
        <v>-1.7050200000000001E-2</v>
      </c>
      <c r="AB230" s="22">
        <v>220</v>
      </c>
      <c r="AC230" s="22">
        <v>0.74148599999999998</v>
      </c>
      <c r="AD230">
        <f t="shared" si="40"/>
        <v>17.0502</v>
      </c>
      <c r="AE230">
        <f t="shared" si="41"/>
        <v>12.6544538376</v>
      </c>
      <c r="AF230" s="9"/>
      <c r="AG230" s="22">
        <v>1.0078400000000001</v>
      </c>
      <c r="AH230" s="22">
        <v>242.691</v>
      </c>
      <c r="AI230" s="22">
        <v>-1.6775499999999999E-2</v>
      </c>
      <c r="AJ230" s="22">
        <v>220</v>
      </c>
      <c r="AK230" s="22">
        <v>1.0067699999999999</v>
      </c>
      <c r="AL230">
        <f t="shared" si="42"/>
        <v>16.775499999999997</v>
      </c>
      <c r="AM230">
        <f t="shared" si="43"/>
        <v>16.90701992</v>
      </c>
      <c r="AP230" s="9"/>
      <c r="AQ230" s="22">
        <v>0.74218799999999996</v>
      </c>
      <c r="AR230" s="22">
        <v>295.108</v>
      </c>
      <c r="AS230" s="22">
        <v>-1.6854899999999999E-2</v>
      </c>
      <c r="AT230" s="22">
        <v>220</v>
      </c>
      <c r="AU230" s="22">
        <v>0.74163800000000002</v>
      </c>
      <c r="AV230">
        <f t="shared" si="44"/>
        <v>16.854900000000001</v>
      </c>
      <c r="AW230">
        <f t="shared" si="45"/>
        <v>12.5095045212</v>
      </c>
      <c r="AX230" s="9"/>
      <c r="AY230" s="22">
        <v>1.0078400000000001</v>
      </c>
      <c r="AZ230" s="22">
        <v>374.33800000000002</v>
      </c>
      <c r="BA230" s="22">
        <v>-1.6507000000000001E-2</v>
      </c>
      <c r="BB230" s="22">
        <v>220</v>
      </c>
      <c r="BC230" s="22">
        <v>1.0067699999999999</v>
      </c>
      <c r="BD230">
        <f t="shared" si="46"/>
        <v>16.507000000000001</v>
      </c>
      <c r="BE230">
        <f t="shared" si="47"/>
        <v>16.636414880000004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45.906799999999997</v>
      </c>
      <c r="I231" s="22">
        <v>-1.7065400000000001E-2</v>
      </c>
      <c r="J231" s="22">
        <v>221</v>
      </c>
      <c r="K231" s="22">
        <v>0.73645000000000005</v>
      </c>
      <c r="L231">
        <f t="shared" si="36"/>
        <v>17.0654</v>
      </c>
      <c r="M231">
        <f t="shared" si="37"/>
        <v>12.579793740800001</v>
      </c>
      <c r="N231" s="9"/>
      <c r="O231" s="22">
        <v>1.01288</v>
      </c>
      <c r="P231" s="22">
        <v>101.303</v>
      </c>
      <c r="Q231" s="22">
        <v>-1.69067E-2</v>
      </c>
      <c r="R231" s="22">
        <v>221</v>
      </c>
      <c r="S231" s="22">
        <v>1.01227</v>
      </c>
      <c r="T231">
        <f t="shared" si="38"/>
        <v>16.906700000000001</v>
      </c>
      <c r="U231">
        <f t="shared" si="39"/>
        <v>17.124458296</v>
      </c>
      <c r="X231" s="9"/>
      <c r="Y231" s="22">
        <v>0.73715200000000003</v>
      </c>
      <c r="Z231" s="22">
        <v>163.26</v>
      </c>
      <c r="AA231" s="22">
        <v>-1.7047099999999999E-2</v>
      </c>
      <c r="AB231" s="22">
        <v>221</v>
      </c>
      <c r="AC231" s="22">
        <v>0.73641999999999996</v>
      </c>
      <c r="AD231">
        <f t="shared" si="40"/>
        <v>17.0471</v>
      </c>
      <c r="AE231">
        <f t="shared" si="41"/>
        <v>12.566303859200001</v>
      </c>
      <c r="AF231" s="9"/>
      <c r="AG231" s="22">
        <v>1.01288</v>
      </c>
      <c r="AH231" s="22">
        <v>242.792</v>
      </c>
      <c r="AI231" s="22">
        <v>-1.6751100000000001E-2</v>
      </c>
      <c r="AJ231" s="22">
        <v>221</v>
      </c>
      <c r="AK231" s="22">
        <v>1.01227</v>
      </c>
      <c r="AL231">
        <f t="shared" si="42"/>
        <v>16.751100000000001</v>
      </c>
      <c r="AM231">
        <f t="shared" si="43"/>
        <v>16.966854168000001</v>
      </c>
      <c r="AP231" s="9"/>
      <c r="AQ231" s="22">
        <v>0.73715200000000003</v>
      </c>
      <c r="AR231" s="22">
        <v>295.209</v>
      </c>
      <c r="AS231" s="22">
        <v>-1.6873200000000001E-2</v>
      </c>
      <c r="AT231" s="22">
        <v>221</v>
      </c>
      <c r="AU231" s="22">
        <v>0.73645000000000005</v>
      </c>
      <c r="AV231">
        <f t="shared" si="44"/>
        <v>16.873200000000001</v>
      </c>
      <c r="AW231">
        <f t="shared" si="45"/>
        <v>12.438113126400001</v>
      </c>
      <c r="AX231" s="9"/>
      <c r="AY231" s="22">
        <v>1.01288</v>
      </c>
      <c r="AZ231" s="22">
        <v>374.43900000000002</v>
      </c>
      <c r="BA231" s="22">
        <v>-1.64703E-2</v>
      </c>
      <c r="BB231" s="22">
        <v>221</v>
      </c>
      <c r="BC231" s="22">
        <v>1.01196</v>
      </c>
      <c r="BD231">
        <f t="shared" si="46"/>
        <v>16.470300000000002</v>
      </c>
      <c r="BE231">
        <f t="shared" si="47"/>
        <v>16.682437464000003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46.0075</v>
      </c>
      <c r="I232" s="22">
        <v>-1.70563E-2</v>
      </c>
      <c r="J232" s="22">
        <v>222</v>
      </c>
      <c r="K232" s="22">
        <v>0.73135399999999995</v>
      </c>
      <c r="L232">
        <f t="shared" si="36"/>
        <v>17.0563</v>
      </c>
      <c r="M232">
        <f t="shared" si="37"/>
        <v>12.487207187100001</v>
      </c>
      <c r="N232" s="9"/>
      <c r="O232" s="22">
        <v>1.0179100000000001</v>
      </c>
      <c r="P232" s="22">
        <v>101.40300000000001</v>
      </c>
      <c r="Q232" s="22">
        <v>-1.69067E-2</v>
      </c>
      <c r="R232" s="22">
        <v>222</v>
      </c>
      <c r="S232" s="22">
        <v>1.01654</v>
      </c>
      <c r="T232">
        <f t="shared" si="38"/>
        <v>16.906700000000001</v>
      </c>
      <c r="U232">
        <f t="shared" si="39"/>
        <v>17.209498997000001</v>
      </c>
      <c r="X232" s="9"/>
      <c r="Y232" s="22">
        <v>0.73211700000000002</v>
      </c>
      <c r="Z232" s="22">
        <v>163.36000000000001</v>
      </c>
      <c r="AA232" s="22">
        <v>-1.7047099999999999E-2</v>
      </c>
      <c r="AB232" s="22">
        <v>222</v>
      </c>
      <c r="AC232" s="22">
        <v>0.73144500000000001</v>
      </c>
      <c r="AD232">
        <f t="shared" si="40"/>
        <v>17.0471</v>
      </c>
      <c r="AE232">
        <f t="shared" si="41"/>
        <v>12.4804717107</v>
      </c>
      <c r="AF232" s="9"/>
      <c r="AG232" s="22">
        <v>1.0179100000000001</v>
      </c>
      <c r="AH232" s="22">
        <v>242.893</v>
      </c>
      <c r="AI232" s="22">
        <v>-1.67145E-2</v>
      </c>
      <c r="AJ232" s="22">
        <v>222</v>
      </c>
      <c r="AK232" s="22">
        <v>1.01685</v>
      </c>
      <c r="AL232">
        <f t="shared" si="42"/>
        <v>16.714500000000001</v>
      </c>
      <c r="AM232">
        <f t="shared" si="43"/>
        <v>17.013856695000001</v>
      </c>
      <c r="AP232" s="9"/>
      <c r="AQ232" s="22">
        <v>0.73211700000000002</v>
      </c>
      <c r="AR232" s="22">
        <v>295.30900000000003</v>
      </c>
      <c r="AS232" s="22">
        <v>-1.6888400000000001E-2</v>
      </c>
      <c r="AT232" s="22">
        <v>222</v>
      </c>
      <c r="AU232" s="22">
        <v>0.73159799999999997</v>
      </c>
      <c r="AV232">
        <f t="shared" si="44"/>
        <v>16.888400000000001</v>
      </c>
      <c r="AW232">
        <f t="shared" si="45"/>
        <v>12.364284742800001</v>
      </c>
      <c r="AX232" s="9"/>
      <c r="AY232" s="22">
        <v>1.0179100000000001</v>
      </c>
      <c r="AZ232" s="22">
        <v>374.54</v>
      </c>
      <c r="BA232" s="22">
        <v>-1.6461199999999999E-2</v>
      </c>
      <c r="BB232" s="22">
        <v>222</v>
      </c>
      <c r="BC232" s="22">
        <v>1.01685</v>
      </c>
      <c r="BD232">
        <f t="shared" si="46"/>
        <v>16.461199999999998</v>
      </c>
      <c r="BE232">
        <f t="shared" si="47"/>
        <v>16.756020092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46.108199999999997</v>
      </c>
      <c r="I233" s="22">
        <v>-1.70685E-2</v>
      </c>
      <c r="J233" s="22">
        <v>223</v>
      </c>
      <c r="K233" s="22">
        <v>0.72641</v>
      </c>
      <c r="L233">
        <f t="shared" si="36"/>
        <v>17.0685</v>
      </c>
      <c r="M233">
        <f t="shared" si="37"/>
        <v>12.410182048499999</v>
      </c>
      <c r="N233" s="9"/>
      <c r="O233" s="22">
        <v>1.02295</v>
      </c>
      <c r="P233" s="22">
        <v>101.504</v>
      </c>
      <c r="Q233" s="22">
        <v>-1.68945E-2</v>
      </c>
      <c r="R233" s="22">
        <v>223</v>
      </c>
      <c r="S233" s="22">
        <v>1.02203</v>
      </c>
      <c r="T233">
        <f t="shared" si="38"/>
        <v>16.894500000000001</v>
      </c>
      <c r="U233">
        <f t="shared" si="39"/>
        <v>17.282228775</v>
      </c>
      <c r="X233" s="9"/>
      <c r="Y233" s="22">
        <v>0.72708099999999998</v>
      </c>
      <c r="Z233" s="22">
        <v>163.46100000000001</v>
      </c>
      <c r="AA233" s="22">
        <v>-1.7074599999999999E-2</v>
      </c>
      <c r="AB233" s="22">
        <v>223</v>
      </c>
      <c r="AC233" s="22">
        <v>0.72650099999999995</v>
      </c>
      <c r="AD233">
        <f t="shared" si="40"/>
        <v>17.0746</v>
      </c>
      <c r="AE233">
        <f t="shared" si="41"/>
        <v>12.4146172426</v>
      </c>
      <c r="AF233" s="9"/>
      <c r="AG233" s="22">
        <v>1.02295</v>
      </c>
      <c r="AH233" s="22">
        <v>242.99299999999999</v>
      </c>
      <c r="AI233" s="22">
        <v>-1.6699200000000001E-2</v>
      </c>
      <c r="AJ233" s="22">
        <v>223</v>
      </c>
      <c r="AK233" s="22">
        <v>1.02203</v>
      </c>
      <c r="AL233">
        <f t="shared" si="42"/>
        <v>16.699200000000001</v>
      </c>
      <c r="AM233">
        <f t="shared" si="43"/>
        <v>17.082446640000001</v>
      </c>
      <c r="AP233" s="9"/>
      <c r="AQ233" s="22">
        <v>0.72708099999999998</v>
      </c>
      <c r="AR233" s="22">
        <v>295.41000000000003</v>
      </c>
      <c r="AS233" s="22">
        <v>-1.68915E-2</v>
      </c>
      <c r="AT233" s="22">
        <v>223</v>
      </c>
      <c r="AU233" s="22">
        <v>0.726379</v>
      </c>
      <c r="AV233">
        <f t="shared" si="44"/>
        <v>16.891500000000001</v>
      </c>
      <c r="AW233">
        <f t="shared" si="45"/>
        <v>12.2814887115</v>
      </c>
      <c r="AX233" s="9"/>
      <c r="AY233" s="22">
        <v>1.02295</v>
      </c>
      <c r="AZ233" s="22">
        <v>374.64</v>
      </c>
      <c r="BA233" s="22">
        <v>-1.6482500000000001E-2</v>
      </c>
      <c r="BB233" s="22">
        <v>223</v>
      </c>
      <c r="BC233" s="22">
        <v>1.02203</v>
      </c>
      <c r="BD233">
        <f t="shared" si="46"/>
        <v>16.482500000000002</v>
      </c>
      <c r="BE233">
        <f t="shared" si="47"/>
        <v>16.860773375000001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46.2089</v>
      </c>
      <c r="I234" s="22">
        <v>-1.7065400000000001E-2</v>
      </c>
      <c r="J234" s="22">
        <v>224</v>
      </c>
      <c r="K234" s="22">
        <v>0.72137499999999999</v>
      </c>
      <c r="L234">
        <f t="shared" si="36"/>
        <v>17.0654</v>
      </c>
      <c r="M234">
        <f t="shared" si="37"/>
        <v>12.3220038084</v>
      </c>
      <c r="N234" s="9"/>
      <c r="O234" s="22">
        <v>1.0279799999999999</v>
      </c>
      <c r="P234" s="22">
        <v>101.605</v>
      </c>
      <c r="Q234" s="22">
        <v>-1.6915900000000001E-2</v>
      </c>
      <c r="R234" s="22">
        <v>224</v>
      </c>
      <c r="S234" s="22">
        <v>1.02722</v>
      </c>
      <c r="T234">
        <f t="shared" si="38"/>
        <v>16.915900000000001</v>
      </c>
      <c r="U234">
        <f t="shared" si="39"/>
        <v>17.389206882</v>
      </c>
      <c r="X234" s="9"/>
      <c r="Y234" s="22">
        <v>0.72204599999999997</v>
      </c>
      <c r="Z234" s="22">
        <v>163.56200000000001</v>
      </c>
      <c r="AA234" s="22">
        <v>-1.70441E-2</v>
      </c>
      <c r="AB234" s="22">
        <v>224</v>
      </c>
      <c r="AC234" s="22">
        <v>0.72140499999999996</v>
      </c>
      <c r="AD234">
        <f t="shared" si="40"/>
        <v>17.0441</v>
      </c>
      <c r="AE234">
        <f t="shared" si="41"/>
        <v>12.306624228599999</v>
      </c>
      <c r="AF234" s="9"/>
      <c r="AG234" s="22">
        <v>1.0279799999999999</v>
      </c>
      <c r="AH234" s="22">
        <v>243.09399999999999</v>
      </c>
      <c r="AI234" s="22">
        <v>-1.6711400000000001E-2</v>
      </c>
      <c r="AJ234" s="22">
        <v>224</v>
      </c>
      <c r="AK234" s="22">
        <v>1.0269200000000001</v>
      </c>
      <c r="AL234">
        <f t="shared" si="42"/>
        <v>16.711400000000001</v>
      </c>
      <c r="AM234">
        <f t="shared" si="43"/>
        <v>17.178984971999999</v>
      </c>
      <c r="AP234" s="9"/>
      <c r="AQ234" s="22">
        <v>0.72204599999999997</v>
      </c>
      <c r="AR234" s="22">
        <v>295.51100000000002</v>
      </c>
      <c r="AS234" s="22">
        <v>-1.68793E-2</v>
      </c>
      <c r="AT234" s="22">
        <v>224</v>
      </c>
      <c r="AU234" s="22">
        <v>0.72149700000000005</v>
      </c>
      <c r="AV234">
        <f t="shared" si="44"/>
        <v>16.879300000000001</v>
      </c>
      <c r="AW234">
        <f t="shared" si="45"/>
        <v>12.1876310478</v>
      </c>
      <c r="AX234" s="9"/>
      <c r="AY234" s="22">
        <v>1.0279799999999999</v>
      </c>
      <c r="AZ234" s="22">
        <v>374.74099999999999</v>
      </c>
      <c r="BA234" s="22">
        <v>-1.64703E-2</v>
      </c>
      <c r="BB234" s="22">
        <v>224</v>
      </c>
      <c r="BC234" s="22">
        <v>1.0275300000000001</v>
      </c>
      <c r="BD234">
        <f t="shared" si="46"/>
        <v>16.470300000000002</v>
      </c>
      <c r="BE234">
        <f t="shared" si="47"/>
        <v>16.931138994000001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46.309600000000003</v>
      </c>
      <c r="I235" s="22">
        <v>-1.7050200000000001E-2</v>
      </c>
      <c r="J235" s="22">
        <v>225</v>
      </c>
      <c r="K235" s="22">
        <v>0.71633899999999995</v>
      </c>
      <c r="L235">
        <f t="shared" si="36"/>
        <v>17.0502</v>
      </c>
      <c r="M235">
        <f t="shared" si="37"/>
        <v>12.225163902</v>
      </c>
      <c r="N235" s="9"/>
      <c r="O235" s="22">
        <v>1.03302</v>
      </c>
      <c r="P235" s="22">
        <v>101.705</v>
      </c>
      <c r="Q235" s="22">
        <v>-1.68793E-2</v>
      </c>
      <c r="R235" s="22">
        <v>225</v>
      </c>
      <c r="S235" s="22">
        <v>1.0318000000000001</v>
      </c>
      <c r="T235">
        <f t="shared" si="38"/>
        <v>16.879300000000001</v>
      </c>
      <c r="U235">
        <f t="shared" si="39"/>
        <v>17.436654486000002</v>
      </c>
      <c r="X235" s="9"/>
      <c r="Y235" s="22">
        <v>0.71701000000000004</v>
      </c>
      <c r="Z235" s="22">
        <v>163.66200000000001</v>
      </c>
      <c r="AA235" s="22">
        <v>-1.7041000000000001E-2</v>
      </c>
      <c r="AB235" s="22">
        <v>225</v>
      </c>
      <c r="AC235" s="22">
        <v>0.71630899999999997</v>
      </c>
      <c r="AD235">
        <f t="shared" si="40"/>
        <v>17.041</v>
      </c>
      <c r="AE235">
        <f t="shared" si="41"/>
        <v>12.21856741</v>
      </c>
      <c r="AF235" s="9"/>
      <c r="AG235" s="22">
        <v>1.03302</v>
      </c>
      <c r="AH235" s="22">
        <v>243.19499999999999</v>
      </c>
      <c r="AI235" s="22">
        <v>-1.6741900000000001E-2</v>
      </c>
      <c r="AJ235" s="22">
        <v>225</v>
      </c>
      <c r="AK235" s="22">
        <v>1.0318000000000001</v>
      </c>
      <c r="AL235">
        <f t="shared" si="42"/>
        <v>16.741900000000001</v>
      </c>
      <c r="AM235">
        <f t="shared" si="43"/>
        <v>17.294717538</v>
      </c>
      <c r="AP235" s="9"/>
      <c r="AQ235" s="22">
        <v>0.71701000000000004</v>
      </c>
      <c r="AR235" s="22">
        <v>295.61200000000002</v>
      </c>
      <c r="AS235" s="22">
        <v>-1.6897599999999999E-2</v>
      </c>
      <c r="AT235" s="22">
        <v>225</v>
      </c>
      <c r="AU235" s="22">
        <v>0.71646100000000001</v>
      </c>
      <c r="AV235">
        <f t="shared" si="44"/>
        <v>16.897599999999997</v>
      </c>
      <c r="AW235">
        <f t="shared" si="45"/>
        <v>12.115748175999999</v>
      </c>
      <c r="AX235" s="9"/>
      <c r="AY235" s="22">
        <v>1.03302</v>
      </c>
      <c r="AZ235" s="22">
        <v>374.84199999999998</v>
      </c>
      <c r="BA235" s="22">
        <v>-1.64581E-2</v>
      </c>
      <c r="BB235" s="22">
        <v>225</v>
      </c>
      <c r="BC235" s="22">
        <v>1.03241</v>
      </c>
      <c r="BD235">
        <f t="shared" si="46"/>
        <v>16.458099999999998</v>
      </c>
      <c r="BE235">
        <f t="shared" si="47"/>
        <v>17.001546462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46.410299999999999</v>
      </c>
      <c r="I236" s="22">
        <v>-1.7059299999999999E-2</v>
      </c>
      <c r="J236" s="22">
        <v>226</v>
      </c>
      <c r="K236" s="22">
        <v>0.71130400000000005</v>
      </c>
      <c r="L236">
        <f t="shared" si="36"/>
        <v>17.0593</v>
      </c>
      <c r="M236">
        <f t="shared" si="37"/>
        <v>12.145795117500001</v>
      </c>
      <c r="N236" s="9"/>
      <c r="O236" s="22">
        <v>1.03806</v>
      </c>
      <c r="P236" s="22">
        <v>101.806</v>
      </c>
      <c r="Q236" s="22">
        <v>-1.68793E-2</v>
      </c>
      <c r="R236" s="22">
        <v>226</v>
      </c>
      <c r="S236" s="22">
        <v>1.03668</v>
      </c>
      <c r="T236">
        <f t="shared" si="38"/>
        <v>16.879300000000001</v>
      </c>
      <c r="U236">
        <f t="shared" si="39"/>
        <v>17.521726158</v>
      </c>
      <c r="X236" s="9"/>
      <c r="Y236" s="22">
        <v>0.71197500000000002</v>
      </c>
      <c r="Z236" s="22">
        <v>163.76300000000001</v>
      </c>
      <c r="AA236" s="22">
        <v>-1.7065400000000001E-2</v>
      </c>
      <c r="AB236" s="22">
        <v>226</v>
      </c>
      <c r="AC236" s="22">
        <v>0.71127300000000004</v>
      </c>
      <c r="AD236">
        <f t="shared" si="40"/>
        <v>17.0654</v>
      </c>
      <c r="AE236">
        <f t="shared" si="41"/>
        <v>12.150138165000001</v>
      </c>
      <c r="AF236" s="9"/>
      <c r="AG236" s="22">
        <v>1.03806</v>
      </c>
      <c r="AH236" s="22">
        <v>243.29499999999999</v>
      </c>
      <c r="AI236" s="22">
        <v>-1.6735799999999999E-2</v>
      </c>
      <c r="AJ236" s="22">
        <v>226</v>
      </c>
      <c r="AK236" s="22">
        <v>1.0369900000000001</v>
      </c>
      <c r="AL236">
        <f t="shared" si="42"/>
        <v>16.735799999999998</v>
      </c>
      <c r="AM236">
        <f t="shared" si="43"/>
        <v>17.372764547999996</v>
      </c>
      <c r="AP236" s="9"/>
      <c r="AQ236" s="22">
        <v>0.71197500000000002</v>
      </c>
      <c r="AR236" s="22">
        <v>295.71199999999999</v>
      </c>
      <c r="AS236" s="22">
        <v>-1.6922E-2</v>
      </c>
      <c r="AT236" s="22">
        <v>226</v>
      </c>
      <c r="AU236" s="22">
        <v>0.71133400000000002</v>
      </c>
      <c r="AV236">
        <f t="shared" si="44"/>
        <v>16.922000000000001</v>
      </c>
      <c r="AW236">
        <f t="shared" si="45"/>
        <v>12.048040950000001</v>
      </c>
      <c r="AX236" s="9"/>
      <c r="AY236" s="22">
        <v>1.03806</v>
      </c>
      <c r="AZ236" s="22">
        <v>374.94299999999998</v>
      </c>
      <c r="BA236" s="22">
        <v>-1.64856E-2</v>
      </c>
      <c r="BB236" s="22">
        <v>226</v>
      </c>
      <c r="BC236" s="22">
        <v>1.03729</v>
      </c>
      <c r="BD236">
        <f t="shared" si="46"/>
        <v>16.485599999999998</v>
      </c>
      <c r="BE236">
        <f t="shared" si="47"/>
        <v>17.113041935999998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46.511000000000003</v>
      </c>
      <c r="I237" s="22">
        <v>-1.7062399999999998E-2</v>
      </c>
      <c r="J237" s="22">
        <v>227</v>
      </c>
      <c r="K237" s="22">
        <v>0.70629900000000001</v>
      </c>
      <c r="L237">
        <f t="shared" si="36"/>
        <v>17.062399999999997</v>
      </c>
      <c r="M237">
        <f t="shared" si="37"/>
        <v>12.062093055999998</v>
      </c>
      <c r="N237" s="9"/>
      <c r="O237" s="22">
        <v>1.0430900000000001</v>
      </c>
      <c r="P237" s="22">
        <v>101.907</v>
      </c>
      <c r="Q237" s="22">
        <v>-1.68793E-2</v>
      </c>
      <c r="R237" s="22">
        <v>227</v>
      </c>
      <c r="S237" s="22">
        <v>1.0412600000000001</v>
      </c>
      <c r="T237">
        <f t="shared" si="38"/>
        <v>16.879300000000001</v>
      </c>
      <c r="U237">
        <f t="shared" si="39"/>
        <v>17.606629037000001</v>
      </c>
      <c r="X237" s="9"/>
      <c r="Y237" s="22">
        <v>0.70694000000000001</v>
      </c>
      <c r="Z237" s="22">
        <v>163.864</v>
      </c>
      <c r="AA237" s="22">
        <v>-1.70715E-2</v>
      </c>
      <c r="AB237" s="22">
        <v>227</v>
      </c>
      <c r="AC237" s="22">
        <v>0.70635999999999999</v>
      </c>
      <c r="AD237">
        <f t="shared" si="40"/>
        <v>17.0715</v>
      </c>
      <c r="AE237">
        <f t="shared" si="41"/>
        <v>12.06852621</v>
      </c>
      <c r="AF237" s="9"/>
      <c r="AG237" s="22">
        <v>1.0430900000000001</v>
      </c>
      <c r="AH237" s="22">
        <v>243.39599999999999</v>
      </c>
      <c r="AI237" s="22">
        <v>-1.67145E-2</v>
      </c>
      <c r="AJ237" s="22">
        <v>227</v>
      </c>
      <c r="AK237" s="22">
        <v>1.04156</v>
      </c>
      <c r="AL237">
        <f t="shared" si="42"/>
        <v>16.714500000000001</v>
      </c>
      <c r="AM237">
        <f t="shared" si="43"/>
        <v>17.434727805000001</v>
      </c>
      <c r="AP237" s="9"/>
      <c r="AQ237" s="22">
        <v>0.70694000000000001</v>
      </c>
      <c r="AR237" s="22">
        <v>295.81299999999999</v>
      </c>
      <c r="AS237" s="22">
        <v>-1.68945E-2</v>
      </c>
      <c r="AT237" s="22">
        <v>227</v>
      </c>
      <c r="AU237" s="22">
        <v>0.70623800000000003</v>
      </c>
      <c r="AV237">
        <f t="shared" si="44"/>
        <v>16.894500000000001</v>
      </c>
      <c r="AW237">
        <f t="shared" si="45"/>
        <v>11.94339783</v>
      </c>
      <c r="AX237" s="9"/>
      <c r="AY237" s="22">
        <v>1.0430900000000001</v>
      </c>
      <c r="AZ237" s="22">
        <v>375.04300000000001</v>
      </c>
      <c r="BA237" s="22">
        <v>-1.6421499999999999E-2</v>
      </c>
      <c r="BB237" s="22">
        <v>227</v>
      </c>
      <c r="BC237" s="22">
        <v>1.04156</v>
      </c>
      <c r="BD237">
        <f t="shared" si="46"/>
        <v>16.421499999999998</v>
      </c>
      <c r="BE237">
        <f t="shared" si="47"/>
        <v>17.129102435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46.611699999999999</v>
      </c>
      <c r="I238" s="22">
        <v>-1.70685E-2</v>
      </c>
      <c r="J238" s="22">
        <v>228</v>
      </c>
      <c r="K238" s="22">
        <v>0.701233</v>
      </c>
      <c r="L238">
        <f t="shared" si="36"/>
        <v>17.0685</v>
      </c>
      <c r="M238">
        <f t="shared" si="37"/>
        <v>11.980448424</v>
      </c>
      <c r="N238" s="9"/>
      <c r="O238" s="22">
        <v>1.04813</v>
      </c>
      <c r="P238" s="22">
        <v>102.008</v>
      </c>
      <c r="Q238" s="22">
        <v>-1.6885399999999998E-2</v>
      </c>
      <c r="R238" s="22">
        <v>228</v>
      </c>
      <c r="S238" s="22">
        <v>1.0473600000000001</v>
      </c>
      <c r="T238">
        <f t="shared" si="38"/>
        <v>16.885399999999997</v>
      </c>
      <c r="U238">
        <f t="shared" si="39"/>
        <v>17.698094301999998</v>
      </c>
      <c r="X238" s="9"/>
      <c r="Y238" s="22">
        <v>0.70190399999999997</v>
      </c>
      <c r="Z238" s="22">
        <v>163.965</v>
      </c>
      <c r="AA238" s="22">
        <v>-1.70715E-2</v>
      </c>
      <c r="AB238" s="22">
        <v>228</v>
      </c>
      <c r="AC238" s="22">
        <v>0.701233</v>
      </c>
      <c r="AD238">
        <f t="shared" si="40"/>
        <v>17.0715</v>
      </c>
      <c r="AE238">
        <f t="shared" si="41"/>
        <v>11.982554135999999</v>
      </c>
      <c r="AF238" s="9"/>
      <c r="AG238" s="22">
        <v>1.04813</v>
      </c>
      <c r="AH238" s="22">
        <v>243.49700000000001</v>
      </c>
      <c r="AI238" s="22">
        <v>-1.6738900000000001E-2</v>
      </c>
      <c r="AJ238" s="22">
        <v>228</v>
      </c>
      <c r="AK238" s="22">
        <v>1.0467500000000001</v>
      </c>
      <c r="AL238">
        <f t="shared" si="42"/>
        <v>16.738900000000001</v>
      </c>
      <c r="AM238">
        <f t="shared" si="43"/>
        <v>17.544543257000001</v>
      </c>
      <c r="AP238" s="9"/>
      <c r="AQ238" s="22">
        <v>0.70190399999999997</v>
      </c>
      <c r="AR238" s="22">
        <v>295.91399999999999</v>
      </c>
      <c r="AS238" s="22">
        <v>-1.6864000000000001E-2</v>
      </c>
      <c r="AT238" s="22">
        <v>228</v>
      </c>
      <c r="AU238" s="22">
        <v>0.70120199999999999</v>
      </c>
      <c r="AV238">
        <f t="shared" si="44"/>
        <v>16.864000000000001</v>
      </c>
      <c r="AW238">
        <f t="shared" si="45"/>
        <v>11.836909056</v>
      </c>
      <c r="AX238" s="9"/>
      <c r="AY238" s="22">
        <v>1.04813</v>
      </c>
      <c r="AZ238" s="22">
        <v>375.14400000000001</v>
      </c>
      <c r="BA238" s="22">
        <v>-1.6421499999999999E-2</v>
      </c>
      <c r="BB238" s="22">
        <v>228</v>
      </c>
      <c r="BC238" s="22">
        <v>1.0467500000000001</v>
      </c>
      <c r="BD238">
        <f t="shared" si="46"/>
        <v>16.421499999999998</v>
      </c>
      <c r="BE238">
        <f t="shared" si="47"/>
        <v>17.211866794999999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46.712400000000002</v>
      </c>
      <c r="I239" s="22">
        <v>-1.7062399999999998E-2</v>
      </c>
      <c r="J239" s="22">
        <v>229</v>
      </c>
      <c r="K239" s="22">
        <v>0.69619799999999998</v>
      </c>
      <c r="L239">
        <f t="shared" si="36"/>
        <v>17.062399999999997</v>
      </c>
      <c r="M239">
        <f t="shared" si="37"/>
        <v>11.890257625599997</v>
      </c>
      <c r="N239" s="9"/>
      <c r="O239" s="22">
        <v>1.0531600000000001</v>
      </c>
      <c r="P239" s="22">
        <v>102.108</v>
      </c>
      <c r="Q239" s="22">
        <v>-1.6882299999999999E-2</v>
      </c>
      <c r="R239" s="22">
        <v>229</v>
      </c>
      <c r="S239" s="22">
        <v>1.0522499999999999</v>
      </c>
      <c r="T239">
        <f t="shared" si="38"/>
        <v>16.882300000000001</v>
      </c>
      <c r="U239">
        <f t="shared" si="39"/>
        <v>17.779763068000001</v>
      </c>
      <c r="X239" s="9"/>
      <c r="Y239" s="22">
        <v>0.69686899999999996</v>
      </c>
      <c r="Z239" s="22">
        <v>164.065</v>
      </c>
      <c r="AA239" s="22">
        <v>-1.7065400000000001E-2</v>
      </c>
      <c r="AB239" s="22">
        <v>229</v>
      </c>
      <c r="AC239" s="22">
        <v>0.69622799999999996</v>
      </c>
      <c r="AD239">
        <f t="shared" si="40"/>
        <v>17.0654</v>
      </c>
      <c r="AE239">
        <f t="shared" si="41"/>
        <v>11.8923482326</v>
      </c>
      <c r="AF239" s="9"/>
      <c r="AG239" s="22">
        <v>1.0531600000000001</v>
      </c>
      <c r="AH239" s="22">
        <v>243.59800000000001</v>
      </c>
      <c r="AI239" s="22">
        <v>-1.67175E-2</v>
      </c>
      <c r="AJ239" s="22">
        <v>229</v>
      </c>
      <c r="AK239" s="22">
        <v>1.0519400000000001</v>
      </c>
      <c r="AL239">
        <f t="shared" si="42"/>
        <v>16.717500000000001</v>
      </c>
      <c r="AM239">
        <f t="shared" si="43"/>
        <v>17.606202300000003</v>
      </c>
      <c r="AP239" s="9"/>
      <c r="AQ239" s="22">
        <v>0.69686899999999996</v>
      </c>
      <c r="AR239" s="22">
        <v>296.01400000000001</v>
      </c>
      <c r="AS239" s="22">
        <v>-1.69067E-2</v>
      </c>
      <c r="AT239" s="22">
        <v>229</v>
      </c>
      <c r="AU239" s="22">
        <v>0.69622799999999996</v>
      </c>
      <c r="AV239">
        <f t="shared" si="44"/>
        <v>16.906700000000001</v>
      </c>
      <c r="AW239">
        <f t="shared" si="45"/>
        <v>11.7817551223</v>
      </c>
      <c r="AX239" s="9"/>
      <c r="AY239" s="22">
        <v>1.0531600000000001</v>
      </c>
      <c r="AZ239" s="22">
        <v>375.245</v>
      </c>
      <c r="BA239" s="22">
        <v>-1.6452000000000001E-2</v>
      </c>
      <c r="BB239" s="22">
        <v>229</v>
      </c>
      <c r="BC239" s="22">
        <v>1.0516399999999999</v>
      </c>
      <c r="BD239">
        <f t="shared" si="46"/>
        <v>16.452000000000002</v>
      </c>
      <c r="BE239">
        <f t="shared" si="47"/>
        <v>17.326588320000003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46.813099999999999</v>
      </c>
      <c r="I240" s="22">
        <v>-1.70441E-2</v>
      </c>
      <c r="J240" s="22">
        <v>230</v>
      </c>
      <c r="K240" s="22">
        <v>0.69116200000000005</v>
      </c>
      <c r="L240">
        <f t="shared" si="36"/>
        <v>17.0441</v>
      </c>
      <c r="M240">
        <f t="shared" si="37"/>
        <v>11.791670835300001</v>
      </c>
      <c r="N240" s="9"/>
      <c r="O240" s="22">
        <v>1.0582</v>
      </c>
      <c r="P240" s="22">
        <v>102.209</v>
      </c>
      <c r="Q240" s="22">
        <v>-1.6873200000000001E-2</v>
      </c>
      <c r="R240" s="22">
        <v>230</v>
      </c>
      <c r="S240" s="22">
        <v>1.0574300000000001</v>
      </c>
      <c r="T240">
        <f t="shared" si="38"/>
        <v>16.873200000000001</v>
      </c>
      <c r="U240">
        <f t="shared" si="39"/>
        <v>17.855220240000001</v>
      </c>
      <c r="X240" s="9"/>
      <c r="Y240" s="22">
        <v>0.69183300000000003</v>
      </c>
      <c r="Z240" s="22">
        <v>164.166</v>
      </c>
      <c r="AA240" s="22">
        <v>-1.7086799999999999E-2</v>
      </c>
      <c r="AB240" s="22">
        <v>230</v>
      </c>
      <c r="AC240" s="22">
        <v>0.69113199999999997</v>
      </c>
      <c r="AD240">
        <f t="shared" si="40"/>
        <v>17.0868</v>
      </c>
      <c r="AE240">
        <f t="shared" si="41"/>
        <v>11.821212104400001</v>
      </c>
      <c r="AF240" s="9"/>
      <c r="AG240" s="22">
        <v>1.0582</v>
      </c>
      <c r="AH240" s="22">
        <v>243.69800000000001</v>
      </c>
      <c r="AI240" s="22">
        <v>-1.6684000000000001E-2</v>
      </c>
      <c r="AJ240" s="22">
        <v>230</v>
      </c>
      <c r="AK240" s="22">
        <v>1.0571299999999999</v>
      </c>
      <c r="AL240">
        <f t="shared" si="42"/>
        <v>16.684000000000001</v>
      </c>
      <c r="AM240">
        <f t="shared" si="43"/>
        <v>17.655008800000001</v>
      </c>
      <c r="AP240" s="9"/>
      <c r="AQ240" s="22">
        <v>0.69183300000000003</v>
      </c>
      <c r="AR240" s="22">
        <v>296.11500000000001</v>
      </c>
      <c r="AS240" s="22">
        <v>-1.6903700000000001E-2</v>
      </c>
      <c r="AT240" s="22">
        <v>230</v>
      </c>
      <c r="AU240" s="22">
        <v>0.69116200000000005</v>
      </c>
      <c r="AV240">
        <f t="shared" si="44"/>
        <v>16.903700000000001</v>
      </c>
      <c r="AW240">
        <f t="shared" si="45"/>
        <v>11.694537482100001</v>
      </c>
      <c r="AX240" s="9"/>
      <c r="AY240" s="22">
        <v>1.0582</v>
      </c>
      <c r="AZ240" s="22">
        <v>375.34500000000003</v>
      </c>
      <c r="BA240" s="22">
        <v>-1.6448999999999998E-2</v>
      </c>
      <c r="BB240" s="22">
        <v>230</v>
      </c>
      <c r="BC240" s="22">
        <v>1.0568200000000001</v>
      </c>
      <c r="BD240">
        <f t="shared" si="46"/>
        <v>16.448999999999998</v>
      </c>
      <c r="BE240">
        <f t="shared" si="47"/>
        <v>17.406331799999997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46.913800000000002</v>
      </c>
      <c r="I241" s="22">
        <v>-1.7047099999999999E-2</v>
      </c>
      <c r="J241" s="22">
        <v>231</v>
      </c>
      <c r="K241" s="22">
        <v>0.68612700000000004</v>
      </c>
      <c r="L241">
        <f t="shared" si="36"/>
        <v>17.0471</v>
      </c>
      <c r="M241">
        <f t="shared" si="37"/>
        <v>11.7079141858</v>
      </c>
      <c r="N241" s="9"/>
      <c r="O241" s="22">
        <v>1.0632299999999999</v>
      </c>
      <c r="P241" s="22">
        <v>102.31</v>
      </c>
      <c r="Q241" s="22">
        <v>-1.6854899999999999E-2</v>
      </c>
      <c r="R241" s="22">
        <v>231</v>
      </c>
      <c r="S241" s="22">
        <v>1.0617099999999999</v>
      </c>
      <c r="T241">
        <f t="shared" si="38"/>
        <v>16.854900000000001</v>
      </c>
      <c r="U241">
        <f t="shared" si="39"/>
        <v>17.920635326999999</v>
      </c>
      <c r="X241" s="9"/>
      <c r="Y241" s="22">
        <v>0.68679800000000002</v>
      </c>
      <c r="Z241" s="22">
        <v>164.267</v>
      </c>
      <c r="AA241" s="22">
        <v>-1.7077599999999998E-2</v>
      </c>
      <c r="AB241" s="22">
        <v>231</v>
      </c>
      <c r="AC241" s="22">
        <v>0.68609600000000004</v>
      </c>
      <c r="AD241">
        <f t="shared" si="40"/>
        <v>17.077599999999997</v>
      </c>
      <c r="AE241">
        <f t="shared" si="41"/>
        <v>11.728861524799997</v>
      </c>
      <c r="AF241" s="9"/>
      <c r="AG241" s="22">
        <v>1.0632299999999999</v>
      </c>
      <c r="AH241" s="22">
        <v>243.79900000000001</v>
      </c>
      <c r="AI241" s="22">
        <v>-1.6677899999999999E-2</v>
      </c>
      <c r="AJ241" s="22">
        <v>231</v>
      </c>
      <c r="AK241" s="22">
        <v>1.0632299999999999</v>
      </c>
      <c r="AL241">
        <f t="shared" si="42"/>
        <v>16.677899999999998</v>
      </c>
      <c r="AM241">
        <f t="shared" si="43"/>
        <v>17.732443616999994</v>
      </c>
      <c r="AP241" s="9"/>
      <c r="AQ241" s="22">
        <v>0.68679800000000002</v>
      </c>
      <c r="AR241" s="22">
        <v>296.21600000000001</v>
      </c>
      <c r="AS241" s="22">
        <v>-1.6857899999999999E-2</v>
      </c>
      <c r="AT241" s="22">
        <v>231</v>
      </c>
      <c r="AU241" s="22">
        <v>0.68612700000000004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375.44600000000003</v>
      </c>
      <c r="BA241" s="22">
        <v>-1.6464199999999998E-2</v>
      </c>
      <c r="BB241" s="22">
        <v>231</v>
      </c>
      <c r="BC241" s="22">
        <v>1.0626199999999999</v>
      </c>
      <c r="BD241">
        <f t="shared" si="46"/>
        <v>16.464199999999998</v>
      </c>
      <c r="BE241">
        <f t="shared" si="47"/>
        <v>17.505231365999997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47.014600000000002</v>
      </c>
      <c r="I242" s="22">
        <v>-1.7065400000000001E-2</v>
      </c>
      <c r="J242" s="22">
        <v>232</v>
      </c>
      <c r="K242" s="22">
        <v>0.681091</v>
      </c>
      <c r="L242">
        <f t="shared" si="36"/>
        <v>17.0654</v>
      </c>
      <c r="M242">
        <f t="shared" si="37"/>
        <v>11.6345583002</v>
      </c>
      <c r="N242" s="9"/>
      <c r="O242" s="22">
        <v>1.0682700000000001</v>
      </c>
      <c r="P242" s="22">
        <v>102.41</v>
      </c>
      <c r="Q242" s="22">
        <v>-1.6861000000000001E-2</v>
      </c>
      <c r="R242" s="22">
        <v>232</v>
      </c>
      <c r="S242" s="22">
        <v>1.0671999999999999</v>
      </c>
      <c r="T242">
        <f t="shared" si="38"/>
        <v>16.861000000000001</v>
      </c>
      <c r="U242">
        <f t="shared" si="39"/>
        <v>18.01210047</v>
      </c>
      <c r="X242" s="9"/>
      <c r="Y242" s="22">
        <v>0.68176300000000001</v>
      </c>
      <c r="Z242" s="22">
        <v>164.36699999999999</v>
      </c>
      <c r="AA242" s="22">
        <v>-1.7077599999999998E-2</v>
      </c>
      <c r="AB242" s="22">
        <v>232</v>
      </c>
      <c r="AC242" s="22">
        <v>0.68121299999999996</v>
      </c>
      <c r="AD242">
        <f t="shared" si="40"/>
        <v>17.077599999999997</v>
      </c>
      <c r="AE242">
        <f t="shared" si="41"/>
        <v>11.642875808799998</v>
      </c>
      <c r="AF242" s="9"/>
      <c r="AG242" s="22">
        <v>1.0682700000000001</v>
      </c>
      <c r="AH242" s="22">
        <v>243.9</v>
      </c>
      <c r="AI242" s="22">
        <v>-1.6726700000000001E-2</v>
      </c>
      <c r="AJ242" s="22">
        <v>232</v>
      </c>
      <c r="AK242" s="22">
        <v>1.0671999999999999</v>
      </c>
      <c r="AL242">
        <f t="shared" si="42"/>
        <v>16.726700000000001</v>
      </c>
      <c r="AM242">
        <f t="shared" si="43"/>
        <v>17.868631809000004</v>
      </c>
      <c r="AP242" s="9"/>
      <c r="AQ242" s="22">
        <v>0.68176300000000001</v>
      </c>
      <c r="AR242" s="22">
        <v>296.31599999999997</v>
      </c>
      <c r="AS242" s="22">
        <v>-1.6876200000000001E-2</v>
      </c>
      <c r="AT242" s="22">
        <v>232</v>
      </c>
      <c r="AU242" s="22">
        <v>0.68103000000000002</v>
      </c>
      <c r="AV242">
        <f t="shared" si="44"/>
        <v>16.876200000000001</v>
      </c>
      <c r="AW242">
        <f t="shared" si="45"/>
        <v>11.505568740600001</v>
      </c>
      <c r="AX242" s="9"/>
      <c r="AY242" s="22">
        <v>1.0682700000000001</v>
      </c>
      <c r="AZ242" s="22">
        <v>375.54700000000003</v>
      </c>
      <c r="BA242" s="22">
        <v>-1.6479500000000001E-2</v>
      </c>
      <c r="BB242" s="22">
        <v>232</v>
      </c>
      <c r="BC242" s="22">
        <v>1.0678099999999999</v>
      </c>
      <c r="BD242">
        <f t="shared" si="46"/>
        <v>16.479500000000002</v>
      </c>
      <c r="BE242">
        <f t="shared" si="47"/>
        <v>17.604555465000004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47.115299999999998</v>
      </c>
      <c r="I243" s="22">
        <v>-1.7074599999999999E-2</v>
      </c>
      <c r="J243" s="22">
        <v>233</v>
      </c>
      <c r="K243" s="22">
        <v>0.67605599999999999</v>
      </c>
      <c r="L243">
        <f t="shared" si="36"/>
        <v>17.0746</v>
      </c>
      <c r="M243">
        <f t="shared" si="37"/>
        <v>11.5548428342</v>
      </c>
      <c r="N243" s="9"/>
      <c r="O243" s="22">
        <v>1.0732999999999999</v>
      </c>
      <c r="P243" s="22">
        <v>102.511</v>
      </c>
      <c r="Q243" s="22">
        <v>-1.6867099999999999E-2</v>
      </c>
      <c r="R243" s="22">
        <v>233</v>
      </c>
      <c r="S243" s="22">
        <v>1.0726899999999999</v>
      </c>
      <c r="T243">
        <f t="shared" si="38"/>
        <v>16.867100000000001</v>
      </c>
      <c r="U243">
        <f t="shared" si="39"/>
        <v>18.10345843</v>
      </c>
      <c r="X243" s="9"/>
      <c r="Y243" s="22">
        <v>0.67672699999999997</v>
      </c>
      <c r="Z243" s="22">
        <v>164.46799999999999</v>
      </c>
      <c r="AA243" s="22">
        <v>-1.7089799999999999E-2</v>
      </c>
      <c r="AB243" s="22">
        <v>233</v>
      </c>
      <c r="AC243" s="22">
        <v>0.67608599999999996</v>
      </c>
      <c r="AD243">
        <f t="shared" si="40"/>
        <v>17.0898</v>
      </c>
      <c r="AE243">
        <f t="shared" si="41"/>
        <v>11.565129084599999</v>
      </c>
      <c r="AF243" s="9"/>
      <c r="AG243" s="22">
        <v>1.0732999999999999</v>
      </c>
      <c r="AH243" s="22">
        <v>244</v>
      </c>
      <c r="AI243" s="22">
        <v>-1.67175E-2</v>
      </c>
      <c r="AJ243" s="22">
        <v>233</v>
      </c>
      <c r="AK243" s="22">
        <v>1.0726899999999999</v>
      </c>
      <c r="AL243">
        <f t="shared" si="42"/>
        <v>16.717500000000001</v>
      </c>
      <c r="AM243">
        <f t="shared" si="43"/>
        <v>17.942892749999999</v>
      </c>
      <c r="AP243" s="9"/>
      <c r="AQ243" s="22">
        <v>0.67672699999999997</v>
      </c>
      <c r="AR243" s="22">
        <v>296.41699999999997</v>
      </c>
      <c r="AS243" s="22">
        <v>-1.6918900000000001E-2</v>
      </c>
      <c r="AT243" s="22">
        <v>233</v>
      </c>
      <c r="AU243" s="22">
        <v>0.67611699999999997</v>
      </c>
      <c r="AV243">
        <f t="shared" si="44"/>
        <v>16.918900000000001</v>
      </c>
      <c r="AW243">
        <f t="shared" si="45"/>
        <v>11.4494764403</v>
      </c>
      <c r="AX243" s="9"/>
      <c r="AY243" s="22">
        <v>1.0732999999999999</v>
      </c>
      <c r="AZ243" s="22">
        <v>375.64699999999999</v>
      </c>
      <c r="BA243" s="22">
        <v>-1.6464199999999998E-2</v>
      </c>
      <c r="BB243" s="22">
        <v>233</v>
      </c>
      <c r="BC243" s="22">
        <v>1.07239</v>
      </c>
      <c r="BD243">
        <f t="shared" si="46"/>
        <v>16.464199999999998</v>
      </c>
      <c r="BE243">
        <f t="shared" si="47"/>
        <v>17.671025859999997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47.216000000000001</v>
      </c>
      <c r="I244" s="22">
        <v>-1.7074599999999999E-2</v>
      </c>
      <c r="J244" s="22">
        <v>234</v>
      </c>
      <c r="K244" s="22">
        <v>0.67095899999999997</v>
      </c>
      <c r="L244">
        <f t="shared" si="36"/>
        <v>17.0746</v>
      </c>
      <c r="M244">
        <f t="shared" si="37"/>
        <v>11.4688722232</v>
      </c>
      <c r="N244" s="9"/>
      <c r="O244" s="22">
        <v>1.0783400000000001</v>
      </c>
      <c r="P244" s="22">
        <v>102.61199999999999</v>
      </c>
      <c r="Q244" s="22">
        <v>-1.6845700000000002E-2</v>
      </c>
      <c r="R244" s="22">
        <v>234</v>
      </c>
      <c r="S244" s="22">
        <v>1.07697</v>
      </c>
      <c r="T244">
        <f t="shared" si="38"/>
        <v>16.845700000000001</v>
      </c>
      <c r="U244">
        <f t="shared" si="39"/>
        <v>18.165392138000001</v>
      </c>
      <c r="X244" s="9"/>
      <c r="Y244" s="22">
        <v>0.67169199999999996</v>
      </c>
      <c r="Z244" s="22">
        <v>164.56899999999999</v>
      </c>
      <c r="AA244" s="22">
        <v>-1.7080700000000001E-2</v>
      </c>
      <c r="AB244" s="22">
        <v>234</v>
      </c>
      <c r="AC244" s="22">
        <v>0.67095899999999997</v>
      </c>
      <c r="AD244">
        <f t="shared" si="40"/>
        <v>17.0807</v>
      </c>
      <c r="AE244">
        <f t="shared" si="41"/>
        <v>11.4729695444</v>
      </c>
      <c r="AF244" s="9"/>
      <c r="AG244" s="22">
        <v>1.0783400000000001</v>
      </c>
      <c r="AH244" s="22">
        <v>244.101</v>
      </c>
      <c r="AI244" s="22">
        <v>-1.67023E-2</v>
      </c>
      <c r="AJ244" s="22">
        <v>234</v>
      </c>
      <c r="AK244" s="22">
        <v>1.07758</v>
      </c>
      <c r="AL244">
        <f t="shared" si="42"/>
        <v>16.702300000000001</v>
      </c>
      <c r="AM244">
        <f t="shared" si="43"/>
        <v>18.010758182000004</v>
      </c>
      <c r="AP244" s="9"/>
      <c r="AQ244" s="22">
        <v>0.67169199999999996</v>
      </c>
      <c r="AR244" s="22">
        <v>296.51799999999997</v>
      </c>
      <c r="AS244" s="22">
        <v>-1.6867099999999999E-2</v>
      </c>
      <c r="AT244" s="22">
        <v>234</v>
      </c>
      <c r="AU244" s="22">
        <v>0.67098999999999998</v>
      </c>
      <c r="AV244">
        <f t="shared" si="44"/>
        <v>16.867100000000001</v>
      </c>
      <c r="AW244">
        <f t="shared" si="45"/>
        <v>11.329496133199999</v>
      </c>
      <c r="AX244" s="9"/>
      <c r="AY244" s="22">
        <v>1.0783400000000001</v>
      </c>
      <c r="AZ244" s="22">
        <v>375.74799999999999</v>
      </c>
      <c r="BA244" s="22">
        <v>-1.6433699999999999E-2</v>
      </c>
      <c r="BB244" s="22">
        <v>234</v>
      </c>
      <c r="BC244" s="22">
        <v>1.0772699999999999</v>
      </c>
      <c r="BD244">
        <f t="shared" si="46"/>
        <v>16.433699999999998</v>
      </c>
      <c r="BE244">
        <f t="shared" si="47"/>
        <v>17.721116058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47.316699999999997</v>
      </c>
      <c r="I245" s="22">
        <v>-1.7080700000000001E-2</v>
      </c>
      <c r="J245" s="22">
        <v>235</v>
      </c>
      <c r="K245" s="22">
        <v>0.66604600000000003</v>
      </c>
      <c r="L245">
        <f t="shared" si="36"/>
        <v>17.0807</v>
      </c>
      <c r="M245">
        <f t="shared" si="37"/>
        <v>11.386951139200001</v>
      </c>
      <c r="N245" s="9"/>
      <c r="O245" s="22">
        <v>1.0833699999999999</v>
      </c>
      <c r="P245" s="22">
        <v>102.71299999999999</v>
      </c>
      <c r="Q245" s="22">
        <v>-1.6845700000000002E-2</v>
      </c>
      <c r="R245" s="22">
        <v>235</v>
      </c>
      <c r="S245" s="22">
        <v>1.08246</v>
      </c>
      <c r="T245">
        <f t="shared" si="38"/>
        <v>16.845700000000001</v>
      </c>
      <c r="U245">
        <f t="shared" si="39"/>
        <v>18.250126008999999</v>
      </c>
      <c r="X245" s="9"/>
      <c r="Y245" s="22">
        <v>0.66665600000000003</v>
      </c>
      <c r="Z245" s="22">
        <v>164.66900000000001</v>
      </c>
      <c r="AA245" s="22">
        <v>-1.7050200000000001E-2</v>
      </c>
      <c r="AB245" s="22">
        <v>235</v>
      </c>
      <c r="AC245" s="22">
        <v>0.66595499999999996</v>
      </c>
      <c r="AD245">
        <f t="shared" si="40"/>
        <v>17.0502</v>
      </c>
      <c r="AE245">
        <f t="shared" si="41"/>
        <v>11.366618131200001</v>
      </c>
      <c r="AF245" s="9"/>
      <c r="AG245" s="22">
        <v>1.0833699999999999</v>
      </c>
      <c r="AH245" s="22">
        <v>244.202</v>
      </c>
      <c r="AI245" s="22">
        <v>-1.6699200000000001E-2</v>
      </c>
      <c r="AJ245" s="22">
        <v>235</v>
      </c>
      <c r="AK245" s="22">
        <v>1.0827599999999999</v>
      </c>
      <c r="AL245">
        <f t="shared" si="42"/>
        <v>16.699200000000001</v>
      </c>
      <c r="AM245">
        <f t="shared" si="43"/>
        <v>18.091412303999999</v>
      </c>
      <c r="AP245" s="9"/>
      <c r="AQ245" s="22">
        <v>0.66665600000000003</v>
      </c>
      <c r="AR245" s="22">
        <v>296.61900000000003</v>
      </c>
      <c r="AS245" s="22">
        <v>-1.68945E-2</v>
      </c>
      <c r="AT245" s="22">
        <v>235</v>
      </c>
      <c r="AU245" s="22">
        <v>0.66598500000000005</v>
      </c>
      <c r="AV245">
        <f t="shared" si="44"/>
        <v>16.894500000000001</v>
      </c>
      <c r="AW245">
        <f t="shared" si="45"/>
        <v>11.262819792</v>
      </c>
      <c r="AX245" s="9"/>
      <c r="AY245" s="22">
        <v>1.0833699999999999</v>
      </c>
      <c r="AZ245" s="22">
        <v>375.84899999999999</v>
      </c>
      <c r="BA245" s="22">
        <v>-1.6412400000000001E-2</v>
      </c>
      <c r="BB245" s="22">
        <v>235</v>
      </c>
      <c r="BC245" s="22">
        <v>1.0821499999999999</v>
      </c>
      <c r="BD245">
        <f t="shared" si="46"/>
        <v>16.412400000000002</v>
      </c>
      <c r="BE245">
        <f t="shared" si="47"/>
        <v>17.780701788000002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47.417400000000001</v>
      </c>
      <c r="I246" s="22">
        <v>-1.7074599999999999E-2</v>
      </c>
      <c r="J246" s="22">
        <v>236</v>
      </c>
      <c r="K246" s="22">
        <v>0.66088899999999995</v>
      </c>
      <c r="L246">
        <f t="shared" si="36"/>
        <v>17.0746</v>
      </c>
      <c r="M246">
        <f t="shared" si="37"/>
        <v>11.2969139266</v>
      </c>
      <c r="N246" s="9"/>
      <c r="O246" s="22">
        <v>1.0884100000000001</v>
      </c>
      <c r="P246" s="22">
        <v>102.813</v>
      </c>
      <c r="Q246" s="22">
        <v>-1.6848800000000001E-2</v>
      </c>
      <c r="R246" s="22">
        <v>236</v>
      </c>
      <c r="S246" s="22">
        <v>1.08765</v>
      </c>
      <c r="T246">
        <f t="shared" si="38"/>
        <v>16.848800000000001</v>
      </c>
      <c r="U246">
        <f t="shared" si="39"/>
        <v>18.338402408000004</v>
      </c>
      <c r="X246" s="9"/>
      <c r="Y246" s="22">
        <v>0.66162100000000001</v>
      </c>
      <c r="Z246" s="22">
        <v>164.77</v>
      </c>
      <c r="AA246" s="22">
        <v>-1.7089799999999999E-2</v>
      </c>
      <c r="AB246" s="22">
        <v>236</v>
      </c>
      <c r="AC246" s="22">
        <v>0.66101100000000002</v>
      </c>
      <c r="AD246">
        <f t="shared" si="40"/>
        <v>17.0898</v>
      </c>
      <c r="AE246">
        <f t="shared" si="41"/>
        <v>11.3069705658</v>
      </c>
      <c r="AF246" s="9"/>
      <c r="AG246" s="22">
        <v>1.0884100000000001</v>
      </c>
      <c r="AH246" s="22">
        <v>244.303</v>
      </c>
      <c r="AI246" s="22">
        <v>-1.6696200000000001E-2</v>
      </c>
      <c r="AJ246" s="22">
        <v>236</v>
      </c>
      <c r="AK246" s="22">
        <v>1.08704</v>
      </c>
      <c r="AL246">
        <f t="shared" si="42"/>
        <v>16.696200000000001</v>
      </c>
      <c r="AM246">
        <f t="shared" si="43"/>
        <v>18.172311042000004</v>
      </c>
      <c r="AP246" s="9"/>
      <c r="AQ246" s="22">
        <v>0.66162100000000001</v>
      </c>
      <c r="AR246" s="22">
        <v>296.71899999999999</v>
      </c>
      <c r="AS246" s="22">
        <v>-1.6876200000000001E-2</v>
      </c>
      <c r="AT246" s="22">
        <v>236</v>
      </c>
      <c r="AU246" s="22">
        <v>0.66104099999999999</v>
      </c>
      <c r="AV246">
        <f t="shared" si="44"/>
        <v>16.876200000000001</v>
      </c>
      <c r="AW246">
        <f t="shared" si="45"/>
        <v>11.165648320200001</v>
      </c>
      <c r="AX246" s="9"/>
      <c r="AY246" s="22">
        <v>1.0884100000000001</v>
      </c>
      <c r="AZ246" s="22">
        <v>375.95</v>
      </c>
      <c r="BA246" s="22">
        <v>-1.6384900000000001E-2</v>
      </c>
      <c r="BB246" s="22">
        <v>236</v>
      </c>
      <c r="BC246" s="22">
        <v>1.08734</v>
      </c>
      <c r="BD246">
        <f t="shared" si="46"/>
        <v>16.384900000000002</v>
      </c>
      <c r="BE246">
        <f t="shared" si="47"/>
        <v>17.833489009000004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47.518099999999997</v>
      </c>
      <c r="I247" s="22">
        <v>-1.7086799999999999E-2</v>
      </c>
      <c r="J247" s="22">
        <v>237</v>
      </c>
      <c r="K247" s="22">
        <v>0.65597499999999997</v>
      </c>
      <c r="L247">
        <f t="shared" si="36"/>
        <v>17.0868</v>
      </c>
      <c r="M247">
        <f t="shared" si="37"/>
        <v>11.218953664800001</v>
      </c>
      <c r="N247" s="9"/>
      <c r="O247" s="22">
        <v>1.09344</v>
      </c>
      <c r="P247" s="22">
        <v>102.914</v>
      </c>
      <c r="Q247" s="22">
        <v>-1.68518E-2</v>
      </c>
      <c r="R247" s="22">
        <v>237</v>
      </c>
      <c r="S247" s="22">
        <v>1.09283</v>
      </c>
      <c r="T247">
        <f t="shared" si="38"/>
        <v>16.851800000000001</v>
      </c>
      <c r="U247">
        <f t="shared" si="39"/>
        <v>18.426432192</v>
      </c>
      <c r="X247" s="9"/>
      <c r="Y247" s="22">
        <v>0.656586</v>
      </c>
      <c r="Z247" s="22">
        <v>164.87100000000001</v>
      </c>
      <c r="AA247" s="22">
        <v>-1.70685E-2</v>
      </c>
      <c r="AB247" s="22">
        <v>237</v>
      </c>
      <c r="AC247" s="22">
        <v>0.655945</v>
      </c>
      <c r="AD247">
        <f t="shared" si="40"/>
        <v>17.0685</v>
      </c>
      <c r="AE247">
        <f t="shared" si="41"/>
        <v>11.206938141</v>
      </c>
      <c r="AF247" s="9"/>
      <c r="AG247" s="22">
        <v>1.09344</v>
      </c>
      <c r="AH247" s="22">
        <v>244.40299999999999</v>
      </c>
      <c r="AI247" s="22">
        <v>-1.67145E-2</v>
      </c>
      <c r="AJ247" s="22">
        <v>237</v>
      </c>
      <c r="AK247" s="22">
        <v>1.09253</v>
      </c>
      <c r="AL247">
        <f t="shared" si="42"/>
        <v>16.714500000000001</v>
      </c>
      <c r="AM247">
        <f t="shared" si="43"/>
        <v>18.276302879999999</v>
      </c>
      <c r="AP247" s="9"/>
      <c r="AQ247" s="22">
        <v>0.656586</v>
      </c>
      <c r="AR247" s="22">
        <v>296.82</v>
      </c>
      <c r="AS247" s="22">
        <v>-1.6888400000000001E-2</v>
      </c>
      <c r="AT247" s="22">
        <v>237</v>
      </c>
      <c r="AU247" s="22">
        <v>0.65603599999999995</v>
      </c>
      <c r="AV247">
        <f t="shared" si="44"/>
        <v>16.888400000000001</v>
      </c>
      <c r="AW247">
        <f t="shared" si="45"/>
        <v>11.0886870024</v>
      </c>
      <c r="AX247" s="9"/>
      <c r="AY247" s="22">
        <v>1.09344</v>
      </c>
      <c r="AZ247" s="22">
        <v>376.05</v>
      </c>
      <c r="BA247" s="22">
        <v>-1.6421499999999999E-2</v>
      </c>
      <c r="BB247" s="22">
        <v>237</v>
      </c>
      <c r="BC247" s="22">
        <v>1.09283</v>
      </c>
      <c r="BD247">
        <f t="shared" si="46"/>
        <v>16.421499999999998</v>
      </c>
      <c r="BE247">
        <f t="shared" si="47"/>
        <v>17.955924959999997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47.6188</v>
      </c>
      <c r="I248" s="22">
        <v>-1.7102099999999999E-2</v>
      </c>
      <c r="J248" s="22">
        <v>238</v>
      </c>
      <c r="K248" s="22">
        <v>0.65093999999999996</v>
      </c>
      <c r="L248">
        <f t="shared" si="36"/>
        <v>17.1021</v>
      </c>
      <c r="M248">
        <f t="shared" si="37"/>
        <v>11.142873255</v>
      </c>
      <c r="N248" s="9"/>
      <c r="O248" s="22">
        <v>1.0984799999999999</v>
      </c>
      <c r="P248" s="22">
        <v>103.015</v>
      </c>
      <c r="Q248" s="22">
        <v>-1.6833500000000001E-2</v>
      </c>
      <c r="R248" s="22">
        <v>238</v>
      </c>
      <c r="S248" s="22">
        <v>1.09802</v>
      </c>
      <c r="T248">
        <f t="shared" si="38"/>
        <v>16.833500000000001</v>
      </c>
      <c r="U248">
        <f t="shared" si="39"/>
        <v>18.49126308</v>
      </c>
      <c r="X248" s="9"/>
      <c r="Y248" s="22">
        <v>0.65154999999999996</v>
      </c>
      <c r="Z248" s="22">
        <v>164.97200000000001</v>
      </c>
      <c r="AA248" s="22">
        <v>-1.7080700000000001E-2</v>
      </c>
      <c r="AB248" s="22">
        <v>238</v>
      </c>
      <c r="AC248" s="22">
        <v>0.65087899999999999</v>
      </c>
      <c r="AD248">
        <f t="shared" si="40"/>
        <v>17.0807</v>
      </c>
      <c r="AE248">
        <f t="shared" si="41"/>
        <v>11.128930085</v>
      </c>
      <c r="AF248" s="9"/>
      <c r="AG248" s="22">
        <v>1.0984799999999999</v>
      </c>
      <c r="AH248" s="22">
        <v>244.50399999999999</v>
      </c>
      <c r="AI248" s="22">
        <v>-1.67145E-2</v>
      </c>
      <c r="AJ248" s="22">
        <v>238</v>
      </c>
      <c r="AK248" s="22">
        <v>1.09802</v>
      </c>
      <c r="AL248">
        <f t="shared" si="42"/>
        <v>16.714500000000001</v>
      </c>
      <c r="AM248">
        <f t="shared" si="43"/>
        <v>18.360543960000001</v>
      </c>
      <c r="AP248" s="9"/>
      <c r="AQ248" s="22">
        <v>0.65154999999999996</v>
      </c>
      <c r="AR248" s="22">
        <v>296.92099999999999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376.15100000000001</v>
      </c>
      <c r="BA248" s="22">
        <v>-1.6400100000000001E-2</v>
      </c>
      <c r="BB248" s="22">
        <v>238</v>
      </c>
      <c r="BC248" s="22">
        <v>1.09741</v>
      </c>
      <c r="BD248">
        <f t="shared" si="46"/>
        <v>16.400100000000002</v>
      </c>
      <c r="BE248">
        <f t="shared" si="47"/>
        <v>18.015181848000001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47.719499999999996</v>
      </c>
      <c r="I249" s="22">
        <v>-1.7086799999999999E-2</v>
      </c>
      <c r="J249" s="22">
        <v>239</v>
      </c>
      <c r="K249" s="22">
        <v>0.64584399999999997</v>
      </c>
      <c r="L249">
        <f t="shared" si="36"/>
        <v>17.0868</v>
      </c>
      <c r="M249">
        <f t="shared" si="37"/>
        <v>11.046872501999999</v>
      </c>
      <c r="N249" s="9"/>
      <c r="O249" s="22">
        <v>1.1035200000000001</v>
      </c>
      <c r="P249" s="22">
        <v>103.11499999999999</v>
      </c>
      <c r="Q249" s="22">
        <v>-1.6821300000000001E-2</v>
      </c>
      <c r="R249" s="22">
        <v>239</v>
      </c>
      <c r="S249" s="22">
        <v>1.10229</v>
      </c>
      <c r="T249">
        <f t="shared" si="38"/>
        <v>16.821300000000001</v>
      </c>
      <c r="U249">
        <f t="shared" si="39"/>
        <v>18.562640976000001</v>
      </c>
      <c r="X249" s="9"/>
      <c r="Y249" s="22">
        <v>0.64651499999999995</v>
      </c>
      <c r="Z249" s="22">
        <v>165.072</v>
      </c>
      <c r="AA249" s="22">
        <v>-1.7050200000000001E-2</v>
      </c>
      <c r="AB249" s="22">
        <v>239</v>
      </c>
      <c r="AC249" s="22">
        <v>0.64578199999999997</v>
      </c>
      <c r="AD249">
        <f t="shared" si="40"/>
        <v>17.0502</v>
      </c>
      <c r="AE249">
        <f t="shared" si="41"/>
        <v>11.023210053</v>
      </c>
      <c r="AF249" s="9"/>
      <c r="AG249" s="22">
        <v>1.1035200000000001</v>
      </c>
      <c r="AH249" s="22">
        <v>244.60499999999999</v>
      </c>
      <c r="AI249" s="22">
        <v>-1.6696200000000001E-2</v>
      </c>
      <c r="AJ249" s="22">
        <v>239</v>
      </c>
      <c r="AK249" s="22">
        <v>1.1029100000000001</v>
      </c>
      <c r="AL249">
        <f t="shared" si="42"/>
        <v>16.696200000000001</v>
      </c>
      <c r="AM249">
        <f t="shared" si="43"/>
        <v>18.424590624</v>
      </c>
      <c r="AP249" s="9"/>
      <c r="AQ249" s="22">
        <v>0.64651499999999995</v>
      </c>
      <c r="AR249" s="22">
        <v>297.02100000000002</v>
      </c>
      <c r="AS249" s="22">
        <v>-1.6836500000000001E-2</v>
      </c>
      <c r="AT249" s="22">
        <v>239</v>
      </c>
      <c r="AU249" s="22">
        <v>0.64587399999999995</v>
      </c>
      <c r="AV249">
        <f t="shared" si="44"/>
        <v>16.836500000000001</v>
      </c>
      <c r="AW249">
        <f t="shared" si="45"/>
        <v>10.885049797499999</v>
      </c>
      <c r="AX249" s="9"/>
      <c r="AY249" s="22">
        <v>1.1035200000000001</v>
      </c>
      <c r="AZ249" s="22">
        <v>376.25200000000001</v>
      </c>
      <c r="BA249" s="22">
        <v>-1.6409300000000002E-2</v>
      </c>
      <c r="BB249" s="22">
        <v>239</v>
      </c>
      <c r="BC249" s="22">
        <v>1.10229</v>
      </c>
      <c r="BD249">
        <f t="shared" si="46"/>
        <v>16.409300000000002</v>
      </c>
      <c r="BE249">
        <f t="shared" si="47"/>
        <v>18.107990736000001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47.8202</v>
      </c>
      <c r="I250" s="22">
        <v>-1.7092900000000001E-2</v>
      </c>
      <c r="J250" s="22">
        <v>240</v>
      </c>
      <c r="K250" s="22">
        <v>0.64077799999999996</v>
      </c>
      <c r="L250">
        <f t="shared" si="36"/>
        <v>17.0929</v>
      </c>
      <c r="M250">
        <f t="shared" si="37"/>
        <v>10.964736399100001</v>
      </c>
      <c r="N250" s="9"/>
      <c r="O250" s="22">
        <v>1.1085499999999999</v>
      </c>
      <c r="P250" s="22">
        <v>103.21599999999999</v>
      </c>
      <c r="Q250" s="22">
        <v>-1.6827399999999999E-2</v>
      </c>
      <c r="R250" s="22">
        <v>240</v>
      </c>
      <c r="S250" s="22">
        <v>1.1077900000000001</v>
      </c>
      <c r="T250">
        <f t="shared" si="38"/>
        <v>16.827400000000001</v>
      </c>
      <c r="U250">
        <f t="shared" si="39"/>
        <v>18.654014270000001</v>
      </c>
      <c r="X250" s="9"/>
      <c r="Y250" s="22">
        <v>0.64147900000000002</v>
      </c>
      <c r="Z250" s="22">
        <v>165.173</v>
      </c>
      <c r="AA250" s="22">
        <v>-1.7074599999999999E-2</v>
      </c>
      <c r="AB250" s="22">
        <v>240</v>
      </c>
      <c r="AC250" s="22">
        <v>0.64083900000000005</v>
      </c>
      <c r="AD250">
        <f t="shared" si="40"/>
        <v>17.0746</v>
      </c>
      <c r="AE250">
        <f t="shared" si="41"/>
        <v>10.952997333400001</v>
      </c>
      <c r="AF250" s="9"/>
      <c r="AG250" s="22">
        <v>1.1085499999999999</v>
      </c>
      <c r="AH250" s="22">
        <v>244.70500000000001</v>
      </c>
      <c r="AI250" s="22">
        <v>-1.6680899999999999E-2</v>
      </c>
      <c r="AJ250" s="22">
        <v>240</v>
      </c>
      <c r="AK250" s="22">
        <v>1.1077900000000001</v>
      </c>
      <c r="AL250">
        <f t="shared" si="42"/>
        <v>16.680899999999998</v>
      </c>
      <c r="AM250">
        <f t="shared" si="43"/>
        <v>18.491611694999996</v>
      </c>
      <c r="AP250" s="9"/>
      <c r="AQ250" s="22">
        <v>0.64147900000000002</v>
      </c>
      <c r="AR250" s="22">
        <v>297.12200000000001</v>
      </c>
      <c r="AS250" s="22">
        <v>-1.6818199999999998E-2</v>
      </c>
      <c r="AT250" s="22">
        <v>240</v>
      </c>
      <c r="AU250" s="22">
        <v>0.64077799999999996</v>
      </c>
      <c r="AV250">
        <f t="shared" si="44"/>
        <v>16.818199999999997</v>
      </c>
      <c r="AW250">
        <f t="shared" si="45"/>
        <v>10.788522117799999</v>
      </c>
      <c r="AX250" s="9"/>
      <c r="AY250" s="22">
        <v>1.1085499999999999</v>
      </c>
      <c r="AZ250" s="22">
        <v>376.35199999999998</v>
      </c>
      <c r="BA250" s="22">
        <v>-1.6393999999999999E-2</v>
      </c>
      <c r="BB250" s="22">
        <v>240</v>
      </c>
      <c r="BC250" s="22">
        <v>1.10748</v>
      </c>
      <c r="BD250">
        <f t="shared" si="46"/>
        <v>16.393999999999998</v>
      </c>
      <c r="BE250">
        <f t="shared" si="47"/>
        <v>18.173568699999997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47.920900000000003</v>
      </c>
      <c r="I251" s="22">
        <v>-1.7095900000000001E-2</v>
      </c>
      <c r="J251" s="22">
        <v>241</v>
      </c>
      <c r="K251" s="22">
        <v>0.63565099999999997</v>
      </c>
      <c r="L251">
        <f t="shared" si="36"/>
        <v>17.0959</v>
      </c>
      <c r="M251">
        <f t="shared" si="37"/>
        <v>10.8805829796</v>
      </c>
      <c r="N251" s="9"/>
      <c r="O251" s="22">
        <v>1.1135900000000001</v>
      </c>
      <c r="P251" s="22">
        <v>103.31699999999999</v>
      </c>
      <c r="Q251" s="22">
        <v>-1.68243E-2</v>
      </c>
      <c r="R251" s="22">
        <v>241</v>
      </c>
      <c r="S251" s="22">
        <v>1.11267</v>
      </c>
      <c r="T251">
        <f t="shared" si="38"/>
        <v>16.824300000000001</v>
      </c>
      <c r="U251">
        <f t="shared" si="39"/>
        <v>18.735372237000004</v>
      </c>
      <c r="X251" s="9"/>
      <c r="Y251" s="22">
        <v>0.63644400000000001</v>
      </c>
      <c r="Z251" s="22">
        <v>165.274</v>
      </c>
      <c r="AA251" s="22">
        <v>-1.7077599999999998E-2</v>
      </c>
      <c r="AB251" s="22">
        <v>241</v>
      </c>
      <c r="AC251" s="22">
        <v>0.63577300000000003</v>
      </c>
      <c r="AD251">
        <f t="shared" si="40"/>
        <v>17.077599999999997</v>
      </c>
      <c r="AE251">
        <f t="shared" si="41"/>
        <v>10.868936054399999</v>
      </c>
      <c r="AF251" s="9"/>
      <c r="AG251" s="22">
        <v>1.1135900000000001</v>
      </c>
      <c r="AH251" s="22">
        <v>244.80600000000001</v>
      </c>
      <c r="AI251" s="22">
        <v>-1.6659500000000001E-2</v>
      </c>
      <c r="AJ251" s="22">
        <v>241</v>
      </c>
      <c r="AK251" s="22">
        <v>1.1129800000000001</v>
      </c>
      <c r="AL251">
        <f t="shared" si="42"/>
        <v>16.659500000000001</v>
      </c>
      <c r="AM251">
        <f t="shared" si="43"/>
        <v>18.551852605000004</v>
      </c>
      <c r="AP251" s="9"/>
      <c r="AQ251" s="22">
        <v>0.63644400000000001</v>
      </c>
      <c r="AR251" s="22">
        <v>297.22300000000001</v>
      </c>
      <c r="AS251" s="22">
        <v>-1.6830399999999999E-2</v>
      </c>
      <c r="AT251" s="22">
        <v>241</v>
      </c>
      <c r="AU251" s="22">
        <v>0.63580300000000001</v>
      </c>
      <c r="AV251">
        <f t="shared" si="44"/>
        <v>16.830399999999997</v>
      </c>
      <c r="AW251">
        <f t="shared" si="45"/>
        <v>10.711607097599998</v>
      </c>
      <c r="AX251" s="9"/>
      <c r="AY251" s="22">
        <v>1.1135900000000001</v>
      </c>
      <c r="AZ251" s="22">
        <v>376.45299999999997</v>
      </c>
      <c r="BA251" s="22">
        <v>-1.6397100000000001E-2</v>
      </c>
      <c r="BB251" s="22">
        <v>241</v>
      </c>
      <c r="BC251" s="22">
        <v>1.11267</v>
      </c>
      <c r="BD251">
        <f t="shared" si="46"/>
        <v>16.397100000000002</v>
      </c>
      <c r="BE251">
        <f t="shared" si="47"/>
        <v>18.259646589000003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48.021599999999999</v>
      </c>
      <c r="I252" s="22">
        <v>-1.7095900000000001E-2</v>
      </c>
      <c r="J252" s="22">
        <v>242</v>
      </c>
      <c r="K252" s="22">
        <v>0.63082899999999997</v>
      </c>
      <c r="L252">
        <f t="shared" si="36"/>
        <v>17.0959</v>
      </c>
      <c r="M252">
        <f t="shared" si="37"/>
        <v>10.7945051231</v>
      </c>
      <c r="N252" s="9"/>
      <c r="O252" s="22">
        <v>1.1186199999999999</v>
      </c>
      <c r="P252" s="22">
        <v>103.417</v>
      </c>
      <c r="Q252" s="22">
        <v>-1.68243E-2</v>
      </c>
      <c r="R252" s="22">
        <v>242</v>
      </c>
      <c r="S252" s="22">
        <v>1.1178600000000001</v>
      </c>
      <c r="T252">
        <f t="shared" si="38"/>
        <v>16.824300000000001</v>
      </c>
      <c r="U252">
        <f t="shared" si="39"/>
        <v>18.819998466000001</v>
      </c>
      <c r="X252" s="9"/>
      <c r="Y252" s="22">
        <v>0.631409</v>
      </c>
      <c r="Z252" s="22">
        <v>165.374</v>
      </c>
      <c r="AA252" s="22">
        <v>-1.7095900000000001E-2</v>
      </c>
      <c r="AB252" s="22">
        <v>242</v>
      </c>
      <c r="AC252" s="22">
        <v>0.63082899999999997</v>
      </c>
      <c r="AD252">
        <f t="shared" si="40"/>
        <v>17.0959</v>
      </c>
      <c r="AE252">
        <f t="shared" si="41"/>
        <v>10.7945051231</v>
      </c>
      <c r="AF252" s="9"/>
      <c r="AG252" s="22">
        <v>1.1186199999999999</v>
      </c>
      <c r="AH252" s="22">
        <v>244.90700000000001</v>
      </c>
      <c r="AI252" s="22">
        <v>-1.6668700000000002E-2</v>
      </c>
      <c r="AJ252" s="22">
        <v>242</v>
      </c>
      <c r="AK252" s="22">
        <v>1.11755</v>
      </c>
      <c r="AL252">
        <f t="shared" si="42"/>
        <v>16.668700000000001</v>
      </c>
      <c r="AM252">
        <f t="shared" si="43"/>
        <v>18.645941193999999</v>
      </c>
      <c r="AP252" s="9"/>
      <c r="AQ252" s="22">
        <v>0.631409</v>
      </c>
      <c r="AR252" s="22">
        <v>297.32400000000001</v>
      </c>
      <c r="AS252" s="22">
        <v>-1.6848800000000001E-2</v>
      </c>
      <c r="AT252" s="22">
        <v>242</v>
      </c>
      <c r="AU252" s="22">
        <v>0.63067600000000001</v>
      </c>
      <c r="AV252">
        <f t="shared" si="44"/>
        <v>16.848800000000001</v>
      </c>
      <c r="AW252">
        <f t="shared" si="45"/>
        <v>10.6384839592</v>
      </c>
      <c r="AX252" s="9"/>
      <c r="AY252" s="22">
        <v>1.1186199999999999</v>
      </c>
      <c r="AZ252" s="22">
        <v>376.55399999999997</v>
      </c>
      <c r="BA252" s="22">
        <v>-1.6366599999999999E-2</v>
      </c>
      <c r="BB252" s="22">
        <v>242</v>
      </c>
      <c r="BC252" s="22">
        <v>1.11816</v>
      </c>
      <c r="BD252">
        <f t="shared" si="46"/>
        <v>16.366599999999998</v>
      </c>
      <c r="BE252">
        <f t="shared" si="47"/>
        <v>18.308006091999996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48.122300000000003</v>
      </c>
      <c r="I253" s="22">
        <v>-1.71082E-2</v>
      </c>
      <c r="J253" s="22">
        <v>243</v>
      </c>
      <c r="K253" s="22">
        <v>0.62582400000000005</v>
      </c>
      <c r="L253">
        <f t="shared" si="36"/>
        <v>17.1082</v>
      </c>
      <c r="M253">
        <f t="shared" si="37"/>
        <v>10.716114558599999</v>
      </c>
      <c r="N253" s="9"/>
      <c r="O253" s="22">
        <v>1.1236600000000001</v>
      </c>
      <c r="P253" s="22">
        <v>103.518</v>
      </c>
      <c r="Q253" s="22">
        <v>-1.6818199999999998E-2</v>
      </c>
      <c r="R253" s="22">
        <v>243</v>
      </c>
      <c r="S253" s="22">
        <v>1.1227400000000001</v>
      </c>
      <c r="T253">
        <f t="shared" si="38"/>
        <v>16.818199999999997</v>
      </c>
      <c r="U253">
        <f t="shared" si="39"/>
        <v>18.897938611999997</v>
      </c>
      <c r="X253" s="9"/>
      <c r="Y253" s="22">
        <v>0.62637299999999996</v>
      </c>
      <c r="Z253" s="22">
        <v>165.47499999999999</v>
      </c>
      <c r="AA253" s="22">
        <v>-1.7092900000000001E-2</v>
      </c>
      <c r="AB253" s="22">
        <v>243</v>
      </c>
      <c r="AC253" s="22">
        <v>0.62570199999999998</v>
      </c>
      <c r="AD253">
        <f t="shared" si="40"/>
        <v>17.0929</v>
      </c>
      <c r="AE253">
        <f t="shared" si="41"/>
        <v>10.706531051699999</v>
      </c>
      <c r="AF253" s="9"/>
      <c r="AG253" s="22">
        <v>1.1236600000000001</v>
      </c>
      <c r="AH253" s="22">
        <v>245.00700000000001</v>
      </c>
      <c r="AI253" s="22">
        <v>-1.6665599999999999E-2</v>
      </c>
      <c r="AJ253" s="22">
        <v>243</v>
      </c>
      <c r="AK253" s="22">
        <v>1.1230500000000001</v>
      </c>
      <c r="AL253">
        <f t="shared" si="42"/>
        <v>16.665599999999998</v>
      </c>
      <c r="AM253">
        <f t="shared" si="43"/>
        <v>18.726468095999998</v>
      </c>
      <c r="AP253" s="9"/>
      <c r="AQ253" s="22">
        <v>0.62637299999999996</v>
      </c>
      <c r="AR253" s="22">
        <v>297.42399999999998</v>
      </c>
      <c r="AS253" s="22">
        <v>-1.6818199999999998E-2</v>
      </c>
      <c r="AT253" s="22">
        <v>243</v>
      </c>
      <c r="AU253" s="22">
        <v>0.62573199999999995</v>
      </c>
      <c r="AV253">
        <f t="shared" si="44"/>
        <v>16.818199999999997</v>
      </c>
      <c r="AW253">
        <f t="shared" si="45"/>
        <v>10.534466388599999</v>
      </c>
      <c r="AX253" s="9"/>
      <c r="AY253" s="22">
        <v>1.1236600000000001</v>
      </c>
      <c r="AZ253" s="22">
        <v>376.65499999999997</v>
      </c>
      <c r="BA253" s="22">
        <v>-1.6384900000000001E-2</v>
      </c>
      <c r="BB253" s="22">
        <v>243</v>
      </c>
      <c r="BC253" s="22">
        <v>1.1227400000000001</v>
      </c>
      <c r="BD253">
        <f t="shared" si="46"/>
        <v>16.384900000000002</v>
      </c>
      <c r="BE253">
        <f t="shared" si="47"/>
        <v>18.411056734000002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48.223100000000002</v>
      </c>
      <c r="I254" s="22">
        <v>-1.7095900000000001E-2</v>
      </c>
      <c r="J254" s="22">
        <v>244</v>
      </c>
      <c r="K254" s="22">
        <v>0.62066699999999997</v>
      </c>
      <c r="L254">
        <f t="shared" si="36"/>
        <v>17.0959</v>
      </c>
      <c r="M254">
        <f t="shared" si="37"/>
        <v>10.622332314199999</v>
      </c>
      <c r="N254" s="9"/>
      <c r="O254" s="22">
        <v>1.12869</v>
      </c>
      <c r="P254" s="22">
        <v>103.619</v>
      </c>
      <c r="Q254" s="22">
        <v>-1.6815199999999999E-2</v>
      </c>
      <c r="R254" s="22">
        <v>244</v>
      </c>
      <c r="S254" s="22">
        <v>1.1276200000000001</v>
      </c>
      <c r="T254">
        <f t="shared" si="38"/>
        <v>16.815199999999997</v>
      </c>
      <c r="U254">
        <f t="shared" si="39"/>
        <v>18.979148087999995</v>
      </c>
      <c r="X254" s="9"/>
      <c r="Y254" s="22">
        <v>0.62133799999999995</v>
      </c>
      <c r="Z254" s="22">
        <v>165.57599999999999</v>
      </c>
      <c r="AA254" s="22">
        <v>-1.7105100000000002E-2</v>
      </c>
      <c r="AB254" s="22">
        <v>244</v>
      </c>
      <c r="AC254" s="22">
        <v>0.62066699999999997</v>
      </c>
      <c r="AD254">
        <f t="shared" si="40"/>
        <v>17.1051</v>
      </c>
      <c r="AE254">
        <f t="shared" si="41"/>
        <v>10.6280486238</v>
      </c>
      <c r="AF254" s="9"/>
      <c r="AG254" s="22">
        <v>1.12869</v>
      </c>
      <c r="AH254" s="22">
        <v>245.108</v>
      </c>
      <c r="AI254" s="22">
        <v>-1.66473E-2</v>
      </c>
      <c r="AJ254" s="22">
        <v>244</v>
      </c>
      <c r="AK254" s="22">
        <v>1.1279300000000001</v>
      </c>
      <c r="AL254">
        <f t="shared" si="42"/>
        <v>16.647300000000001</v>
      </c>
      <c r="AM254">
        <f t="shared" si="43"/>
        <v>18.789641037000003</v>
      </c>
      <c r="AP254" s="9"/>
      <c r="AQ254" s="22">
        <v>0.62133799999999995</v>
      </c>
      <c r="AR254" s="22">
        <v>297.52499999999998</v>
      </c>
      <c r="AS254" s="22">
        <v>-1.6830399999999999E-2</v>
      </c>
      <c r="AT254" s="22">
        <v>244</v>
      </c>
      <c r="AU254" s="22">
        <v>0.62072799999999995</v>
      </c>
      <c r="AV254">
        <f t="shared" si="44"/>
        <v>16.830399999999997</v>
      </c>
      <c r="AW254">
        <f t="shared" si="45"/>
        <v>10.457367075199997</v>
      </c>
      <c r="AX254" s="9"/>
      <c r="AY254" s="22">
        <v>1.12869</v>
      </c>
      <c r="AZ254" s="22">
        <v>376.755</v>
      </c>
      <c r="BA254" s="22">
        <v>-1.6397100000000001E-2</v>
      </c>
      <c r="BB254" s="22">
        <v>244</v>
      </c>
      <c r="BC254" s="22">
        <v>1.1273200000000001</v>
      </c>
      <c r="BD254">
        <f t="shared" si="46"/>
        <v>16.397100000000002</v>
      </c>
      <c r="BE254">
        <f t="shared" si="47"/>
        <v>18.507242799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48.323799999999999</v>
      </c>
      <c r="I255" s="22">
        <v>-1.7105100000000002E-2</v>
      </c>
      <c r="J255" s="22">
        <v>245</v>
      </c>
      <c r="K255" s="22">
        <v>0.61550899999999997</v>
      </c>
      <c r="L255">
        <f t="shared" si="36"/>
        <v>17.1051</v>
      </c>
      <c r="M255">
        <f t="shared" si="37"/>
        <v>10.5419073402</v>
      </c>
      <c r="N255" s="9"/>
      <c r="O255" s="22">
        <v>1.1337299999999999</v>
      </c>
      <c r="P255" s="22">
        <v>103.72</v>
      </c>
      <c r="Q255" s="22">
        <v>-1.68091E-2</v>
      </c>
      <c r="R255" s="22">
        <v>245</v>
      </c>
      <c r="S255" s="22">
        <v>1.1331199999999999</v>
      </c>
      <c r="T255">
        <f t="shared" si="38"/>
        <v>16.809100000000001</v>
      </c>
      <c r="U255">
        <f t="shared" si="39"/>
        <v>19.056980942999999</v>
      </c>
      <c r="X255" s="9"/>
      <c r="Y255" s="22">
        <v>0.61630200000000002</v>
      </c>
      <c r="Z255" s="22">
        <v>165.67699999999999</v>
      </c>
      <c r="AA255" s="22">
        <v>-1.71112E-2</v>
      </c>
      <c r="AB255" s="22">
        <v>245</v>
      </c>
      <c r="AC255" s="22">
        <v>0.61553999999999998</v>
      </c>
      <c r="AD255">
        <f t="shared" si="40"/>
        <v>17.1112</v>
      </c>
      <c r="AE255">
        <f t="shared" si="41"/>
        <v>10.5456667824</v>
      </c>
      <c r="AF255" s="9"/>
      <c r="AG255" s="22">
        <v>1.1337299999999999</v>
      </c>
      <c r="AH255" s="22">
        <v>245.209</v>
      </c>
      <c r="AI255" s="22">
        <v>-1.6641199999999998E-2</v>
      </c>
      <c r="AJ255" s="22">
        <v>245</v>
      </c>
      <c r="AK255" s="22">
        <v>1.1331199999999999</v>
      </c>
      <c r="AL255">
        <f t="shared" si="42"/>
        <v>16.641199999999998</v>
      </c>
      <c r="AM255">
        <f t="shared" si="43"/>
        <v>18.866627675999997</v>
      </c>
      <c r="AP255" s="9"/>
      <c r="AQ255" s="22">
        <v>0.61630200000000002</v>
      </c>
      <c r="AR255" s="22">
        <v>297.62599999999998</v>
      </c>
      <c r="AS255" s="22">
        <v>-1.6845700000000002E-2</v>
      </c>
      <c r="AT255" s="22">
        <v>245</v>
      </c>
      <c r="AU255" s="22">
        <v>0.61563100000000004</v>
      </c>
      <c r="AV255">
        <f t="shared" si="44"/>
        <v>16.845700000000001</v>
      </c>
      <c r="AW255">
        <f t="shared" si="45"/>
        <v>10.382038601400001</v>
      </c>
      <c r="AX255" s="9"/>
      <c r="AY255" s="22">
        <v>1.1337299999999999</v>
      </c>
      <c r="AZ255" s="22">
        <v>376.85599999999999</v>
      </c>
      <c r="BA255" s="22">
        <v>-1.6384900000000001E-2</v>
      </c>
      <c r="BB255" s="22">
        <v>245</v>
      </c>
      <c r="BC255" s="22">
        <v>1.1328100000000001</v>
      </c>
      <c r="BD255">
        <f t="shared" si="46"/>
        <v>16.384900000000002</v>
      </c>
      <c r="BE255">
        <f t="shared" si="47"/>
        <v>18.576052677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48.424500000000002</v>
      </c>
      <c r="I256" s="22">
        <v>-1.7092900000000001E-2</v>
      </c>
      <c r="J256" s="22">
        <v>246</v>
      </c>
      <c r="K256" s="22">
        <v>0.61071799999999998</v>
      </c>
      <c r="L256">
        <f t="shared" si="36"/>
        <v>17.0929</v>
      </c>
      <c r="M256">
        <f t="shared" si="37"/>
        <v>10.4483257043</v>
      </c>
      <c r="N256" s="9"/>
      <c r="O256" s="22">
        <v>1.13876</v>
      </c>
      <c r="P256" s="22">
        <v>103.82</v>
      </c>
      <c r="Q256" s="22">
        <v>-1.67969E-2</v>
      </c>
      <c r="R256" s="22">
        <v>246</v>
      </c>
      <c r="S256" s="22">
        <v>1.1379999999999999</v>
      </c>
      <c r="T256">
        <f t="shared" si="38"/>
        <v>16.796900000000001</v>
      </c>
      <c r="U256">
        <f t="shared" si="39"/>
        <v>19.127637844000002</v>
      </c>
      <c r="X256" s="9"/>
      <c r="Y256" s="22">
        <v>0.611267</v>
      </c>
      <c r="Z256" s="22">
        <v>165.77699999999999</v>
      </c>
      <c r="AA256" s="22">
        <v>-1.7086799999999999E-2</v>
      </c>
      <c r="AB256" s="22">
        <v>246</v>
      </c>
      <c r="AC256" s="22">
        <v>0.610626</v>
      </c>
      <c r="AD256">
        <f t="shared" si="40"/>
        <v>17.0868</v>
      </c>
      <c r="AE256">
        <f t="shared" si="41"/>
        <v>10.4445969756</v>
      </c>
      <c r="AF256" s="9"/>
      <c r="AG256" s="22">
        <v>1.13876</v>
      </c>
      <c r="AH256" s="22">
        <v>245.31</v>
      </c>
      <c r="AI256" s="22">
        <v>-1.6644300000000001E-2</v>
      </c>
      <c r="AJ256" s="22">
        <v>246</v>
      </c>
      <c r="AK256" s="22">
        <v>1.1376999999999999</v>
      </c>
      <c r="AL256">
        <f t="shared" si="42"/>
        <v>16.644300000000001</v>
      </c>
      <c r="AM256">
        <f t="shared" si="43"/>
        <v>18.953863068</v>
      </c>
      <c r="AP256" s="9"/>
      <c r="AQ256" s="22">
        <v>0.611267</v>
      </c>
      <c r="AR256" s="22">
        <v>297.726</v>
      </c>
      <c r="AS256" s="22">
        <v>-1.6842699999999999E-2</v>
      </c>
      <c r="AT256" s="22">
        <v>246</v>
      </c>
      <c r="AU256" s="22">
        <v>0.61068699999999998</v>
      </c>
      <c r="AV256">
        <f t="shared" si="44"/>
        <v>16.842699999999997</v>
      </c>
      <c r="AW256">
        <f t="shared" si="45"/>
        <v>10.295386700899998</v>
      </c>
      <c r="AX256" s="9"/>
      <c r="AY256" s="22">
        <v>1.13876</v>
      </c>
      <c r="AZ256" s="22">
        <v>376.95699999999999</v>
      </c>
      <c r="BA256" s="22">
        <v>-1.6384900000000001E-2</v>
      </c>
      <c r="BB256" s="22">
        <v>246</v>
      </c>
      <c r="BC256" s="22">
        <v>1.1379999999999999</v>
      </c>
      <c r="BD256">
        <f t="shared" si="46"/>
        <v>16.384900000000002</v>
      </c>
      <c r="BE256">
        <f t="shared" si="47"/>
        <v>18.658468724000002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48.525199999999998</v>
      </c>
      <c r="I257" s="22">
        <v>-1.70715E-2</v>
      </c>
      <c r="J257" s="22">
        <v>247</v>
      </c>
      <c r="K257" s="22">
        <v>0.60553000000000001</v>
      </c>
      <c r="L257">
        <f t="shared" si="36"/>
        <v>17.0715</v>
      </c>
      <c r="M257">
        <f t="shared" si="37"/>
        <v>10.349289588</v>
      </c>
      <c r="N257" s="9"/>
      <c r="O257" s="22">
        <v>1.1437999999999999</v>
      </c>
      <c r="P257" s="22">
        <v>103.92100000000001</v>
      </c>
      <c r="Q257" s="22">
        <v>-1.6775499999999999E-2</v>
      </c>
      <c r="R257" s="22">
        <v>247</v>
      </c>
      <c r="S257" s="22">
        <v>1.1431899999999999</v>
      </c>
      <c r="T257">
        <f t="shared" si="38"/>
        <v>16.775499999999997</v>
      </c>
      <c r="U257">
        <f t="shared" si="39"/>
        <v>19.187816899999994</v>
      </c>
      <c r="X257" s="9"/>
      <c r="Y257" s="22">
        <v>0.60623199999999999</v>
      </c>
      <c r="Z257" s="22">
        <v>165.87799999999999</v>
      </c>
      <c r="AA257" s="22">
        <v>-1.71112E-2</v>
      </c>
      <c r="AB257" s="22">
        <v>247</v>
      </c>
      <c r="AC257" s="22">
        <v>0.60553000000000001</v>
      </c>
      <c r="AD257">
        <f t="shared" si="40"/>
        <v>17.1112</v>
      </c>
      <c r="AE257">
        <f t="shared" si="41"/>
        <v>10.3733569984</v>
      </c>
      <c r="AF257" s="9"/>
      <c r="AG257" s="22">
        <v>1.1437999999999999</v>
      </c>
      <c r="AH257" s="22">
        <v>245.41</v>
      </c>
      <c r="AI257" s="22">
        <v>-1.6613800000000001E-2</v>
      </c>
      <c r="AJ257" s="22">
        <v>247</v>
      </c>
      <c r="AK257" s="22">
        <v>1.1422699999999999</v>
      </c>
      <c r="AL257">
        <f t="shared" si="42"/>
        <v>16.613800000000001</v>
      </c>
      <c r="AM257">
        <f t="shared" si="43"/>
        <v>19.00286444</v>
      </c>
      <c r="AP257" s="9"/>
      <c r="AQ257" s="22">
        <v>0.60623199999999999</v>
      </c>
      <c r="AR257" s="22">
        <v>297.827</v>
      </c>
      <c r="AS257" s="22">
        <v>-1.6870099999999999E-2</v>
      </c>
      <c r="AT257" s="22">
        <v>247</v>
      </c>
      <c r="AU257" s="22">
        <v>0.60562099999999996</v>
      </c>
      <c r="AV257">
        <f t="shared" si="44"/>
        <v>16.870100000000001</v>
      </c>
      <c r="AW257">
        <f t="shared" si="45"/>
        <v>10.2271944632</v>
      </c>
      <c r="AX257" s="9"/>
      <c r="AY257" s="22">
        <v>1.1437999999999999</v>
      </c>
      <c r="AZ257" s="22">
        <v>377.05700000000002</v>
      </c>
      <c r="BA257" s="22">
        <v>-1.63757E-2</v>
      </c>
      <c r="BB257" s="22">
        <v>247</v>
      </c>
      <c r="BC257" s="22">
        <v>1.1425799999999999</v>
      </c>
      <c r="BD257">
        <f t="shared" si="46"/>
        <v>16.375699999999998</v>
      </c>
      <c r="BE257">
        <f t="shared" si="47"/>
        <v>18.730525659999998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48.625900000000001</v>
      </c>
      <c r="I258" s="22">
        <v>-1.7080700000000001E-2</v>
      </c>
      <c r="J258" s="22">
        <v>248</v>
      </c>
      <c r="K258" s="22">
        <v>0.60055499999999995</v>
      </c>
      <c r="L258">
        <f t="shared" si="36"/>
        <v>17.0807</v>
      </c>
      <c r="M258">
        <f t="shared" si="37"/>
        <v>10.268848517199999</v>
      </c>
      <c r="N258" s="9"/>
      <c r="O258" s="22">
        <v>1.14883</v>
      </c>
      <c r="P258" s="22">
        <v>104.02200000000001</v>
      </c>
      <c r="Q258" s="22">
        <v>-1.6772499999999999E-2</v>
      </c>
      <c r="R258" s="22">
        <v>248</v>
      </c>
      <c r="S258" s="22">
        <v>1.1486799999999999</v>
      </c>
      <c r="T258">
        <f t="shared" si="38"/>
        <v>16.772500000000001</v>
      </c>
      <c r="U258">
        <f t="shared" si="39"/>
        <v>19.268751175000002</v>
      </c>
      <c r="X258" s="9"/>
      <c r="Y258" s="22">
        <v>0.60119599999999995</v>
      </c>
      <c r="Z258" s="22">
        <v>165.97900000000001</v>
      </c>
      <c r="AA258" s="22">
        <v>-1.7129499999999999E-2</v>
      </c>
      <c r="AB258" s="22">
        <v>248</v>
      </c>
      <c r="AC258" s="22">
        <v>0.60049399999999997</v>
      </c>
      <c r="AD258">
        <f t="shared" si="40"/>
        <v>17.1295</v>
      </c>
      <c r="AE258">
        <f t="shared" si="41"/>
        <v>10.298186882</v>
      </c>
      <c r="AF258" s="9"/>
      <c r="AG258" s="22">
        <v>1.14883</v>
      </c>
      <c r="AH258" s="22">
        <v>245.511</v>
      </c>
      <c r="AI258" s="22">
        <v>-1.6629000000000001E-2</v>
      </c>
      <c r="AJ258" s="22">
        <v>248</v>
      </c>
      <c r="AK258" s="22">
        <v>1.14777</v>
      </c>
      <c r="AL258">
        <f t="shared" si="42"/>
        <v>16.629000000000001</v>
      </c>
      <c r="AM258">
        <f t="shared" si="43"/>
        <v>19.103894070000003</v>
      </c>
      <c r="AP258" s="9"/>
      <c r="AQ258" s="22">
        <v>0.60119599999999995</v>
      </c>
      <c r="AR258" s="22">
        <v>297.928</v>
      </c>
      <c r="AS258" s="22">
        <v>-1.6857899999999999E-2</v>
      </c>
      <c r="AT258" s="22">
        <v>248</v>
      </c>
      <c r="AU258" s="22">
        <v>0.60049399999999997</v>
      </c>
      <c r="AV258">
        <f t="shared" si="44"/>
        <v>16.857899999999997</v>
      </c>
      <c r="AW258">
        <f t="shared" si="45"/>
        <v>10.134902048399997</v>
      </c>
      <c r="AX258" s="9"/>
      <c r="AY258" s="22">
        <v>1.14883</v>
      </c>
      <c r="AZ258" s="22">
        <v>377.15800000000002</v>
      </c>
      <c r="BA258" s="22">
        <v>-1.6333E-2</v>
      </c>
      <c r="BB258" s="22">
        <v>248</v>
      </c>
      <c r="BC258" s="22">
        <v>1.1486799999999999</v>
      </c>
      <c r="BD258">
        <f t="shared" si="46"/>
        <v>16.333000000000002</v>
      </c>
      <c r="BE258">
        <f t="shared" si="47"/>
        <v>18.763840390000002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48.726599999999998</v>
      </c>
      <c r="I259" s="22">
        <v>-1.7086799999999999E-2</v>
      </c>
      <c r="J259" s="22">
        <v>249</v>
      </c>
      <c r="K259" s="22">
        <v>0.59555100000000005</v>
      </c>
      <c r="L259">
        <f t="shared" si="36"/>
        <v>17.0868</v>
      </c>
      <c r="M259">
        <f t="shared" si="37"/>
        <v>10.186483774800001</v>
      </c>
      <c r="N259" s="9"/>
      <c r="O259" s="22">
        <v>1.15387</v>
      </c>
      <c r="P259" s="22">
        <v>104.122</v>
      </c>
      <c r="Q259" s="22">
        <v>-1.67847E-2</v>
      </c>
      <c r="R259" s="22">
        <v>249</v>
      </c>
      <c r="S259" s="22">
        <v>1.15265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166.07900000000001</v>
      </c>
      <c r="AA259" s="22">
        <v>-1.7117299999999998E-2</v>
      </c>
      <c r="AB259" s="22">
        <v>249</v>
      </c>
      <c r="AC259" s="22">
        <v>0.59533700000000001</v>
      </c>
      <c r="AD259">
        <f t="shared" si="40"/>
        <v>17.1173</v>
      </c>
      <c r="AE259">
        <f t="shared" si="41"/>
        <v>10.204666685300001</v>
      </c>
      <c r="AF259" s="9"/>
      <c r="AG259" s="22">
        <v>1.15387</v>
      </c>
      <c r="AH259" s="22">
        <v>245.61199999999999</v>
      </c>
      <c r="AI259" s="22">
        <v>-1.6622899999999999E-2</v>
      </c>
      <c r="AJ259" s="22">
        <v>249</v>
      </c>
      <c r="AK259" s="22">
        <v>1.1529499999999999</v>
      </c>
      <c r="AL259">
        <f t="shared" si="42"/>
        <v>16.622899999999998</v>
      </c>
      <c r="AM259">
        <f t="shared" si="43"/>
        <v>19.180665622999996</v>
      </c>
      <c r="AP259" s="9"/>
      <c r="AQ259" s="22">
        <v>0.59616100000000005</v>
      </c>
      <c r="AR259" s="22">
        <v>298.029</v>
      </c>
      <c r="AS259" s="22">
        <v>-1.6870099999999999E-2</v>
      </c>
      <c r="AT259" s="22">
        <v>249</v>
      </c>
      <c r="AU259" s="22">
        <v>0.59545899999999996</v>
      </c>
      <c r="AV259">
        <f t="shared" si="44"/>
        <v>16.870100000000001</v>
      </c>
      <c r="AW259">
        <f t="shared" si="45"/>
        <v>10.057295686100002</v>
      </c>
      <c r="AX259" s="9"/>
      <c r="AY259" s="22">
        <v>1.15387</v>
      </c>
      <c r="AZ259" s="22">
        <v>377.25900000000001</v>
      </c>
      <c r="BA259" s="22">
        <v>-1.6390999999999999E-2</v>
      </c>
      <c r="BB259" s="22">
        <v>249</v>
      </c>
      <c r="BC259" s="22">
        <v>1.1529499999999999</v>
      </c>
      <c r="BD259">
        <f t="shared" si="46"/>
        <v>16.390999999999998</v>
      </c>
      <c r="BE259">
        <f t="shared" si="47"/>
        <v>18.913083169999997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48.827300000000001</v>
      </c>
      <c r="I260" s="22">
        <v>-1.7099E-2</v>
      </c>
      <c r="J260" s="22">
        <v>250</v>
      </c>
      <c r="K260" s="22">
        <v>0.59042399999999995</v>
      </c>
      <c r="L260">
        <f t="shared" si="36"/>
        <v>17.099</v>
      </c>
      <c r="M260">
        <f t="shared" si="37"/>
        <v>10.107646375</v>
      </c>
      <c r="N260" s="9"/>
      <c r="O260" s="22">
        <v>1.1589100000000001</v>
      </c>
      <c r="P260" s="22">
        <v>104.223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166.18</v>
      </c>
      <c r="AA260" s="22">
        <v>-1.7132600000000001E-2</v>
      </c>
      <c r="AB260" s="22">
        <v>250</v>
      </c>
      <c r="AC260" s="22">
        <v>0.59045400000000003</v>
      </c>
      <c r="AD260">
        <f t="shared" si="40"/>
        <v>17.1326</v>
      </c>
      <c r="AE260">
        <f t="shared" si="41"/>
        <v>10.127508175000001</v>
      </c>
      <c r="AF260" s="9"/>
      <c r="AG260" s="22">
        <v>1.1589100000000001</v>
      </c>
      <c r="AH260" s="22">
        <v>245.71199999999999</v>
      </c>
      <c r="AI260" s="22">
        <v>-1.6604600000000001E-2</v>
      </c>
      <c r="AJ260" s="22">
        <v>250</v>
      </c>
      <c r="AK260" s="22">
        <v>1.15723</v>
      </c>
      <c r="AL260">
        <f t="shared" si="42"/>
        <v>16.604600000000001</v>
      </c>
      <c r="AM260">
        <f t="shared" si="43"/>
        <v>19.243236986000003</v>
      </c>
      <c r="AP260" s="9"/>
      <c r="AQ260" s="22">
        <v>0.59112500000000001</v>
      </c>
      <c r="AR260" s="22">
        <v>298.12900000000002</v>
      </c>
      <c r="AS260" s="22">
        <v>-1.6873200000000001E-2</v>
      </c>
      <c r="AT260" s="22">
        <v>250</v>
      </c>
      <c r="AU260" s="22">
        <v>0.59045400000000003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377.36</v>
      </c>
      <c r="BA260" s="22">
        <v>-1.6397100000000001E-2</v>
      </c>
      <c r="BB260" s="22">
        <v>250</v>
      </c>
      <c r="BC260" s="22">
        <v>1.15845</v>
      </c>
      <c r="BD260">
        <f t="shared" si="46"/>
        <v>16.397100000000002</v>
      </c>
      <c r="BE260">
        <f t="shared" si="47"/>
        <v>19.002763161000004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48.927999999999997</v>
      </c>
      <c r="I261" s="22">
        <v>-1.7099E-2</v>
      </c>
      <c r="J261" s="22">
        <v>251</v>
      </c>
      <c r="K261" s="22">
        <v>0.585449</v>
      </c>
      <c r="L261">
        <f t="shared" si="36"/>
        <v>17.099</v>
      </c>
      <c r="M261">
        <f t="shared" si="37"/>
        <v>10.02155291</v>
      </c>
      <c r="N261" s="9"/>
      <c r="O261" s="22">
        <v>1.16394</v>
      </c>
      <c r="P261" s="22">
        <v>104.324</v>
      </c>
      <c r="Q261" s="22">
        <v>-1.67847E-2</v>
      </c>
      <c r="R261" s="22">
        <v>251</v>
      </c>
      <c r="S261" s="22">
        <v>1.1630199999999999</v>
      </c>
      <c r="T261">
        <f t="shared" si="38"/>
        <v>16.784700000000001</v>
      </c>
      <c r="U261">
        <f t="shared" si="39"/>
        <v>19.536383718</v>
      </c>
      <c r="X261" s="9"/>
      <c r="Y261" s="22">
        <v>0.58609</v>
      </c>
      <c r="Z261" s="22">
        <v>166.28100000000001</v>
      </c>
      <c r="AA261" s="22">
        <v>-1.7129499999999999E-2</v>
      </c>
      <c r="AB261" s="22">
        <v>251</v>
      </c>
      <c r="AC261" s="22">
        <v>0.58541900000000002</v>
      </c>
      <c r="AD261">
        <f t="shared" si="40"/>
        <v>17.1295</v>
      </c>
      <c r="AE261">
        <f t="shared" si="41"/>
        <v>10.039428655</v>
      </c>
      <c r="AF261" s="9"/>
      <c r="AG261" s="22">
        <v>1.16394</v>
      </c>
      <c r="AH261" s="22">
        <v>245.81299999999999</v>
      </c>
      <c r="AI261" s="22">
        <v>-1.6622899999999999E-2</v>
      </c>
      <c r="AJ261" s="22">
        <v>251</v>
      </c>
      <c r="AK261" s="22">
        <v>1.16364</v>
      </c>
      <c r="AL261">
        <f t="shared" si="42"/>
        <v>16.622899999999998</v>
      </c>
      <c r="AM261">
        <f t="shared" si="43"/>
        <v>19.348058225999996</v>
      </c>
      <c r="AP261" s="9"/>
      <c r="AQ261" s="22">
        <v>0.58609</v>
      </c>
      <c r="AR261" s="22">
        <v>298.23</v>
      </c>
      <c r="AS261" s="22">
        <v>-1.68243E-2</v>
      </c>
      <c r="AT261" s="22">
        <v>251</v>
      </c>
      <c r="AU261" s="22">
        <v>0.58554099999999998</v>
      </c>
      <c r="AV261">
        <f t="shared" si="44"/>
        <v>16.824300000000001</v>
      </c>
      <c r="AW261">
        <f t="shared" si="45"/>
        <v>9.8605539870000012</v>
      </c>
      <c r="AX261" s="9"/>
      <c r="AY261" s="22">
        <v>1.16394</v>
      </c>
      <c r="AZ261" s="22">
        <v>377.46</v>
      </c>
      <c r="BA261" s="22">
        <v>-1.6397100000000001E-2</v>
      </c>
      <c r="BB261" s="22">
        <v>251</v>
      </c>
      <c r="BC261" s="22">
        <v>1.16272</v>
      </c>
      <c r="BD261">
        <f t="shared" si="46"/>
        <v>16.397100000000002</v>
      </c>
      <c r="BE261">
        <f t="shared" si="47"/>
        <v>19.085240574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49.028700000000001</v>
      </c>
      <c r="I262" s="22">
        <v>-1.7102099999999999E-2</v>
      </c>
      <c r="J262" s="22">
        <v>252</v>
      </c>
      <c r="K262" s="22">
        <v>0.58038299999999998</v>
      </c>
      <c r="L262">
        <f t="shared" si="36"/>
        <v>17.1021</v>
      </c>
      <c r="M262">
        <f t="shared" si="37"/>
        <v>9.937260715499999</v>
      </c>
      <c r="N262" s="9"/>
      <c r="O262" s="22">
        <v>1.1689799999999999</v>
      </c>
      <c r="P262" s="22">
        <v>104.425</v>
      </c>
      <c r="Q262" s="22">
        <v>-1.6763299999999998E-2</v>
      </c>
      <c r="R262" s="22">
        <v>252</v>
      </c>
      <c r="S262" s="22">
        <v>1.16791</v>
      </c>
      <c r="T262">
        <f t="shared" si="38"/>
        <v>16.763299999999997</v>
      </c>
      <c r="U262">
        <f t="shared" si="39"/>
        <v>19.595962433999997</v>
      </c>
      <c r="X262" s="9"/>
      <c r="Y262" s="22">
        <v>0.58105499999999999</v>
      </c>
      <c r="Z262" s="22">
        <v>166.38200000000001</v>
      </c>
      <c r="AA262" s="22">
        <v>-1.7135600000000001E-2</v>
      </c>
      <c r="AB262" s="22">
        <v>252</v>
      </c>
      <c r="AC262" s="22">
        <v>0.58041399999999999</v>
      </c>
      <c r="AD262">
        <f t="shared" si="40"/>
        <v>17.1356</v>
      </c>
      <c r="AE262">
        <f t="shared" si="41"/>
        <v>9.9567260579999992</v>
      </c>
      <c r="AF262" s="9"/>
      <c r="AG262" s="22">
        <v>1.1689799999999999</v>
      </c>
      <c r="AH262" s="22">
        <v>245.91399999999999</v>
      </c>
      <c r="AI262" s="22">
        <v>-1.66199E-2</v>
      </c>
      <c r="AJ262" s="22">
        <v>252</v>
      </c>
      <c r="AK262" s="22">
        <v>1.16852</v>
      </c>
      <c r="AL262">
        <f t="shared" si="42"/>
        <v>16.619900000000001</v>
      </c>
      <c r="AM262">
        <f t="shared" si="43"/>
        <v>19.428330702</v>
      </c>
      <c r="AP262" s="9"/>
      <c r="AQ262" s="22">
        <v>0.58105499999999999</v>
      </c>
      <c r="AR262" s="22">
        <v>298.33100000000002</v>
      </c>
      <c r="AS262" s="22">
        <v>-1.6854899999999999E-2</v>
      </c>
      <c r="AT262" s="22">
        <v>252</v>
      </c>
      <c r="AU262" s="22">
        <v>0.58041399999999999</v>
      </c>
      <c r="AV262">
        <f t="shared" si="44"/>
        <v>16.854900000000001</v>
      </c>
      <c r="AW262">
        <f t="shared" si="45"/>
        <v>9.7936239194999999</v>
      </c>
      <c r="AX262" s="9"/>
      <c r="AY262" s="22">
        <v>1.1689799999999999</v>
      </c>
      <c r="AZ262" s="22">
        <v>377.56099999999998</v>
      </c>
      <c r="BA262" s="22">
        <v>-1.6397100000000001E-2</v>
      </c>
      <c r="BB262" s="22">
        <v>252</v>
      </c>
      <c r="BC262" s="22">
        <v>1.1676</v>
      </c>
      <c r="BD262">
        <f t="shared" si="46"/>
        <v>16.397100000000002</v>
      </c>
      <c r="BE262">
        <f t="shared" si="47"/>
        <v>19.167881957999999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49.129399999999997</v>
      </c>
      <c r="I263" s="22">
        <v>-1.7095900000000001E-2</v>
      </c>
      <c r="J263" s="22">
        <v>253</v>
      </c>
      <c r="K263" s="22">
        <v>0.57531699999999997</v>
      </c>
      <c r="L263">
        <f t="shared" si="36"/>
        <v>17.0959</v>
      </c>
      <c r="M263">
        <f t="shared" si="37"/>
        <v>9.8475632220999998</v>
      </c>
      <c r="N263" s="9"/>
      <c r="O263" s="22">
        <v>1.17401</v>
      </c>
      <c r="P263" s="22">
        <v>104.52500000000001</v>
      </c>
      <c r="Q263" s="22">
        <v>-1.6760299999999999E-2</v>
      </c>
      <c r="R263" s="22">
        <v>253</v>
      </c>
      <c r="S263" s="22">
        <v>1.1734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166.482</v>
      </c>
      <c r="AA263" s="22">
        <v>-1.7144800000000002E-2</v>
      </c>
      <c r="AB263" s="22">
        <v>253</v>
      </c>
      <c r="AC263" s="22">
        <v>0.57537799999999995</v>
      </c>
      <c r="AD263">
        <f t="shared" si="40"/>
        <v>17.1448</v>
      </c>
      <c r="AE263">
        <f t="shared" si="41"/>
        <v>9.8757305511999984</v>
      </c>
      <c r="AF263" s="9"/>
      <c r="AG263" s="22">
        <v>1.17401</v>
      </c>
      <c r="AH263" s="22">
        <v>246.01499999999999</v>
      </c>
      <c r="AI263" s="22">
        <v>-1.6616800000000001E-2</v>
      </c>
      <c r="AJ263" s="22">
        <v>253</v>
      </c>
      <c r="AK263" s="22">
        <v>1.17279</v>
      </c>
      <c r="AL263">
        <f t="shared" si="42"/>
        <v>16.616800000000001</v>
      </c>
      <c r="AM263">
        <f t="shared" si="43"/>
        <v>19.508289368</v>
      </c>
      <c r="AP263" s="9"/>
      <c r="AQ263" s="22">
        <v>0.57601899999999995</v>
      </c>
      <c r="AR263" s="22">
        <v>298.43099999999998</v>
      </c>
      <c r="AS263" s="22">
        <v>-1.6873200000000001E-2</v>
      </c>
      <c r="AT263" s="22">
        <v>253</v>
      </c>
      <c r="AU263" s="22">
        <v>0.57525599999999999</v>
      </c>
      <c r="AV263">
        <f t="shared" si="44"/>
        <v>16.873200000000001</v>
      </c>
      <c r="AW263">
        <f t="shared" si="45"/>
        <v>9.7192837907999987</v>
      </c>
      <c r="AX263" s="9"/>
      <c r="AY263" s="22">
        <v>1.17401</v>
      </c>
      <c r="AZ263" s="22">
        <v>377.66199999999998</v>
      </c>
      <c r="BA263" s="22">
        <v>-1.6378799999999999E-2</v>
      </c>
      <c r="BB263" s="22">
        <v>253</v>
      </c>
      <c r="BC263" s="22">
        <v>1.17249</v>
      </c>
      <c r="BD263">
        <f t="shared" si="46"/>
        <v>16.378799999999998</v>
      </c>
      <c r="BE263">
        <f t="shared" si="47"/>
        <v>19.228874987999998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49.2301</v>
      </c>
      <c r="I264" s="22">
        <v>-1.71234E-2</v>
      </c>
      <c r="J264" s="22">
        <v>254</v>
      </c>
      <c r="K264" s="22">
        <v>0.57031299999999996</v>
      </c>
      <c r="L264">
        <f t="shared" si="36"/>
        <v>17.1234</v>
      </c>
      <c r="M264">
        <f t="shared" si="37"/>
        <v>9.7771874256000011</v>
      </c>
      <c r="N264" s="9"/>
      <c r="O264" s="22">
        <v>1.1790499999999999</v>
      </c>
      <c r="P264" s="22">
        <v>104.626</v>
      </c>
      <c r="Q264" s="22">
        <v>-1.67542E-2</v>
      </c>
      <c r="R264" s="22">
        <v>254</v>
      </c>
      <c r="S264" s="22">
        <v>1.17828</v>
      </c>
      <c r="T264">
        <f t="shared" si="38"/>
        <v>16.754200000000001</v>
      </c>
      <c r="U264">
        <f t="shared" si="39"/>
        <v>19.754039509999998</v>
      </c>
      <c r="X264" s="9"/>
      <c r="Y264" s="22">
        <v>0.57098400000000005</v>
      </c>
      <c r="Z264" s="22">
        <v>166.583</v>
      </c>
      <c r="AA264" s="22">
        <v>-1.7144800000000002E-2</v>
      </c>
      <c r="AB264" s="22">
        <v>254</v>
      </c>
      <c r="AC264" s="22">
        <v>0.57031299999999996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246.11500000000001</v>
      </c>
      <c r="AI264" s="22">
        <v>-1.66077E-2</v>
      </c>
      <c r="AJ264" s="22">
        <v>254</v>
      </c>
      <c r="AK264" s="22">
        <v>1.17798</v>
      </c>
      <c r="AL264">
        <f t="shared" si="42"/>
        <v>16.607700000000001</v>
      </c>
      <c r="AM264">
        <f t="shared" si="43"/>
        <v>19.581308685</v>
      </c>
      <c r="AP264" s="9"/>
      <c r="AQ264" s="22">
        <v>0.57098400000000005</v>
      </c>
      <c r="AR264" s="22">
        <v>298.53199999999998</v>
      </c>
      <c r="AS264" s="22">
        <v>-1.6882299999999999E-2</v>
      </c>
      <c r="AT264" s="22">
        <v>254</v>
      </c>
      <c r="AU264" s="22">
        <v>0.57031299999999996</v>
      </c>
      <c r="AV264">
        <f t="shared" si="44"/>
        <v>16.882300000000001</v>
      </c>
      <c r="AW264">
        <f t="shared" si="45"/>
        <v>9.6395231832000015</v>
      </c>
      <c r="AX264" s="9"/>
      <c r="AY264" s="22">
        <v>1.1790499999999999</v>
      </c>
      <c r="AZ264" s="22">
        <v>377.762</v>
      </c>
      <c r="BA264" s="22">
        <v>-1.6418499999999999E-2</v>
      </c>
      <c r="BB264" s="22">
        <v>254</v>
      </c>
      <c r="BC264" s="22">
        <v>1.17828</v>
      </c>
      <c r="BD264">
        <f t="shared" si="46"/>
        <v>16.418499999999998</v>
      </c>
      <c r="BE264">
        <f t="shared" si="47"/>
        <v>19.358232424999997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49.330800000000004</v>
      </c>
      <c r="I265" s="22">
        <v>-1.7095900000000001E-2</v>
      </c>
      <c r="J265" s="22">
        <v>255</v>
      </c>
      <c r="K265" s="22">
        <v>0.56527700000000003</v>
      </c>
      <c r="L265">
        <f t="shared" si="36"/>
        <v>17.0959</v>
      </c>
      <c r="M265">
        <f t="shared" si="37"/>
        <v>9.6753904132000006</v>
      </c>
      <c r="N265" s="9"/>
      <c r="O265" s="22">
        <v>1.18408</v>
      </c>
      <c r="P265" s="22">
        <v>104.727</v>
      </c>
      <c r="Q265" s="22">
        <v>-1.6747999999999999E-2</v>
      </c>
      <c r="R265" s="22">
        <v>255</v>
      </c>
      <c r="S265" s="22">
        <v>1.1831700000000001</v>
      </c>
      <c r="T265">
        <f t="shared" si="38"/>
        <v>16.747999999999998</v>
      </c>
      <c r="U265">
        <f t="shared" si="39"/>
        <v>19.830971839999997</v>
      </c>
      <c r="X265" s="9"/>
      <c r="Y265" s="22">
        <v>0.56594800000000001</v>
      </c>
      <c r="Z265" s="22">
        <v>166.684</v>
      </c>
      <c r="AA265" s="22">
        <v>-1.7163100000000001E-2</v>
      </c>
      <c r="AB265" s="22">
        <v>255</v>
      </c>
      <c r="AC265" s="22">
        <v>0.56521600000000005</v>
      </c>
      <c r="AD265">
        <f t="shared" si="40"/>
        <v>17.1631</v>
      </c>
      <c r="AE265">
        <f t="shared" si="41"/>
        <v>9.7134221188000005</v>
      </c>
      <c r="AF265" s="9"/>
      <c r="AG265" s="22">
        <v>1.18408</v>
      </c>
      <c r="AH265" s="22">
        <v>246.21600000000001</v>
      </c>
      <c r="AI265" s="22">
        <v>-1.6610699999999999E-2</v>
      </c>
      <c r="AJ265" s="22">
        <v>255</v>
      </c>
      <c r="AK265" s="22">
        <v>1.18347</v>
      </c>
      <c r="AL265">
        <f t="shared" si="42"/>
        <v>16.610699999999998</v>
      </c>
      <c r="AM265">
        <f t="shared" si="43"/>
        <v>19.668397655999996</v>
      </c>
      <c r="AP265" s="9"/>
      <c r="AQ265" s="22">
        <v>0.56594800000000001</v>
      </c>
      <c r="AR265" s="22">
        <v>298.63299999999998</v>
      </c>
      <c r="AS265" s="22">
        <v>-1.68396E-2</v>
      </c>
      <c r="AT265" s="22">
        <v>255</v>
      </c>
      <c r="AU265" s="22">
        <v>0.56530800000000003</v>
      </c>
      <c r="AV265">
        <f t="shared" si="44"/>
        <v>16.839600000000001</v>
      </c>
      <c r="AW265">
        <f t="shared" si="45"/>
        <v>9.5303379408000009</v>
      </c>
      <c r="AX265" s="9"/>
      <c r="AY265" s="22">
        <v>1.18408</v>
      </c>
      <c r="AZ265" s="22">
        <v>377.863</v>
      </c>
      <c r="BA265" s="22">
        <v>-1.63727E-2</v>
      </c>
      <c r="BB265" s="22">
        <v>255</v>
      </c>
      <c r="BC265" s="22">
        <v>1.1831700000000001</v>
      </c>
      <c r="BD265">
        <f t="shared" si="46"/>
        <v>16.372700000000002</v>
      </c>
      <c r="BE265">
        <f t="shared" si="47"/>
        <v>19.386586616000002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49.4315</v>
      </c>
      <c r="I266" s="22">
        <v>-1.7077599999999998E-2</v>
      </c>
      <c r="J266" s="22">
        <v>256</v>
      </c>
      <c r="K266" s="22">
        <v>0.56018100000000004</v>
      </c>
      <c r="L266">
        <f t="shared" si="36"/>
        <v>17.077599999999997</v>
      </c>
      <c r="M266">
        <f t="shared" si="37"/>
        <v>9.5790478487999984</v>
      </c>
      <c r="N266" s="9"/>
      <c r="O266" s="22">
        <v>1.18912</v>
      </c>
      <c r="P266" s="22">
        <v>104.827</v>
      </c>
      <c r="Q266" s="22">
        <v>-1.6726700000000001E-2</v>
      </c>
      <c r="R266" s="22">
        <v>256</v>
      </c>
      <c r="S266" s="22">
        <v>1.1880500000000001</v>
      </c>
      <c r="T266">
        <f t="shared" si="38"/>
        <v>16.726700000000001</v>
      </c>
      <c r="U266">
        <f t="shared" si="39"/>
        <v>19.890053504000001</v>
      </c>
      <c r="X266" s="9"/>
      <c r="Y266" s="22">
        <v>0.56091299999999999</v>
      </c>
      <c r="Z266" s="22">
        <v>166.78399999999999</v>
      </c>
      <c r="AA266" s="22">
        <v>-1.7147800000000001E-2</v>
      </c>
      <c r="AB266" s="22">
        <v>256</v>
      </c>
      <c r="AC266" s="22">
        <v>0.560303</v>
      </c>
      <c r="AD266">
        <f t="shared" si="40"/>
        <v>17.1478</v>
      </c>
      <c r="AE266">
        <f t="shared" si="41"/>
        <v>9.6184239413999997</v>
      </c>
      <c r="AF266" s="9"/>
      <c r="AG266" s="22">
        <v>1.18912</v>
      </c>
      <c r="AH266" s="22">
        <v>246.31700000000001</v>
      </c>
      <c r="AI266" s="22">
        <v>-1.65924E-2</v>
      </c>
      <c r="AJ266" s="22">
        <v>256</v>
      </c>
      <c r="AK266" s="22">
        <v>1.1880500000000001</v>
      </c>
      <c r="AL266">
        <f t="shared" si="42"/>
        <v>16.592400000000001</v>
      </c>
      <c r="AM266">
        <f t="shared" si="43"/>
        <v>19.730354688000002</v>
      </c>
      <c r="AP266" s="9"/>
      <c r="AQ266" s="22">
        <v>0.56091299999999999</v>
      </c>
      <c r="AR266" s="22">
        <v>298.733</v>
      </c>
      <c r="AS266" s="22">
        <v>-1.6845700000000002E-2</v>
      </c>
      <c r="AT266" s="22">
        <v>256</v>
      </c>
      <c r="AU266" s="22">
        <v>0.56027199999999999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377.964</v>
      </c>
      <c r="BA266" s="22">
        <v>-1.63605E-2</v>
      </c>
      <c r="BB266" s="22">
        <v>256</v>
      </c>
      <c r="BC266" s="22">
        <v>1.18835</v>
      </c>
      <c r="BD266">
        <f t="shared" si="46"/>
        <v>16.360500000000002</v>
      </c>
      <c r="BE266">
        <f t="shared" si="47"/>
        <v>19.454597760000002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49.532299999999999</v>
      </c>
      <c r="I267" s="22">
        <v>-1.7102099999999999E-2</v>
      </c>
      <c r="J267" s="22">
        <v>257</v>
      </c>
      <c r="K267" s="22">
        <v>0.55520599999999998</v>
      </c>
      <c r="L267">
        <f t="shared" si="36"/>
        <v>17.1021</v>
      </c>
      <c r="M267">
        <f t="shared" si="37"/>
        <v>9.5066811437999998</v>
      </c>
      <c r="N267" s="9"/>
      <c r="O267" s="22">
        <v>1.19415</v>
      </c>
      <c r="P267" s="22">
        <v>104.928</v>
      </c>
      <c r="Q267" s="22">
        <v>-1.6735799999999999E-2</v>
      </c>
      <c r="R267" s="22">
        <v>257</v>
      </c>
      <c r="S267" s="22">
        <v>1.19354</v>
      </c>
      <c r="T267">
        <f t="shared" si="38"/>
        <v>16.735799999999998</v>
      </c>
      <c r="U267">
        <f t="shared" si="39"/>
        <v>19.985055569999997</v>
      </c>
      <c r="X267" s="9"/>
      <c r="Y267" s="22">
        <v>0.55587799999999998</v>
      </c>
      <c r="Z267" s="22">
        <v>166.88499999999999</v>
      </c>
      <c r="AA267" s="22">
        <v>-1.71112E-2</v>
      </c>
      <c r="AB267" s="22">
        <v>257</v>
      </c>
      <c r="AC267" s="22">
        <v>0.555145</v>
      </c>
      <c r="AD267">
        <f t="shared" si="40"/>
        <v>17.1112</v>
      </c>
      <c r="AE267">
        <f t="shared" si="41"/>
        <v>9.5117396335999995</v>
      </c>
      <c r="AF267" s="9"/>
      <c r="AG267" s="22">
        <v>1.19415</v>
      </c>
      <c r="AH267" s="22">
        <v>246.417</v>
      </c>
      <c r="AI267" s="22">
        <v>-1.6595499999999999E-2</v>
      </c>
      <c r="AJ267" s="22">
        <v>257</v>
      </c>
      <c r="AK267" s="22">
        <v>1.1932400000000001</v>
      </c>
      <c r="AL267">
        <f t="shared" si="42"/>
        <v>16.595499999999998</v>
      </c>
      <c r="AM267">
        <f t="shared" si="43"/>
        <v>19.817516325</v>
      </c>
      <c r="AP267" s="9"/>
      <c r="AQ267" s="22">
        <v>0.55587799999999998</v>
      </c>
      <c r="AR267" s="22">
        <v>298.834</v>
      </c>
      <c r="AS267" s="22">
        <v>-1.6873200000000001E-2</v>
      </c>
      <c r="AT267" s="22">
        <v>257</v>
      </c>
      <c r="AU267" s="22">
        <v>0.55520599999999998</v>
      </c>
      <c r="AV267">
        <f t="shared" si="44"/>
        <v>16.873200000000001</v>
      </c>
      <c r="AW267">
        <f t="shared" si="45"/>
        <v>9.3794406695999992</v>
      </c>
      <c r="AX267" s="9"/>
      <c r="AY267" s="22">
        <v>1.19415</v>
      </c>
      <c r="AZ267" s="22">
        <v>378.06400000000002</v>
      </c>
      <c r="BA267" s="22">
        <v>-1.6354400000000002E-2</v>
      </c>
      <c r="BB267" s="22">
        <v>257</v>
      </c>
      <c r="BC267" s="22">
        <v>1.19354</v>
      </c>
      <c r="BD267">
        <f t="shared" si="46"/>
        <v>16.354400000000002</v>
      </c>
      <c r="BE267">
        <f t="shared" si="47"/>
        <v>19.529606760000004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49.633000000000003</v>
      </c>
      <c r="I268" s="22">
        <v>-1.7117299999999998E-2</v>
      </c>
      <c r="J268" s="22">
        <v>258</v>
      </c>
      <c r="K268" s="22">
        <v>0.55026200000000003</v>
      </c>
      <c r="L268">
        <f t="shared" ref="L268:L331" si="48">-I268/$F$2*1000</f>
        <v>17.1173</v>
      </c>
      <c r="M268">
        <f t="shared" ref="M268:M331" si="49">L268*G268</f>
        <v>9.4289277666000011</v>
      </c>
      <c r="N268" s="9"/>
      <c r="O268" s="22">
        <v>1.19919</v>
      </c>
      <c r="P268" s="22">
        <v>105.029</v>
      </c>
      <c r="Q268" s="22">
        <v>-1.6726700000000001E-2</v>
      </c>
      <c r="R268" s="22">
        <v>258</v>
      </c>
      <c r="S268" s="22">
        <v>1.1984300000000001</v>
      </c>
      <c r="T268">
        <f t="shared" ref="T268:T331" si="50">-Q268/$F$2*1000</f>
        <v>16.726700000000001</v>
      </c>
      <c r="U268">
        <f t="shared" ref="U268:U331" si="51">T268*O268</f>
        <v>20.058491373000003</v>
      </c>
      <c r="X268" s="9"/>
      <c r="Y268" s="22">
        <v>0.55084200000000005</v>
      </c>
      <c r="Z268" s="22">
        <v>166.98599999999999</v>
      </c>
      <c r="AA268" s="22">
        <v>-1.7126499999999999E-2</v>
      </c>
      <c r="AB268" s="22">
        <v>258</v>
      </c>
      <c r="AC268" s="22">
        <v>0.55017099999999997</v>
      </c>
      <c r="AD268">
        <f t="shared" ref="AD268:AD331" si="52">-AA268/$F$2*1000</f>
        <v>17.1265</v>
      </c>
      <c r="AE268">
        <f t="shared" ref="AE268:AE331" si="53">AD268*Y268</f>
        <v>9.4339955130000011</v>
      </c>
      <c r="AF268" s="9"/>
      <c r="AG268" s="22">
        <v>1.19919</v>
      </c>
      <c r="AH268" s="22">
        <v>246.518</v>
      </c>
      <c r="AI268" s="22">
        <v>-1.6595499999999999E-2</v>
      </c>
      <c r="AJ268" s="22">
        <v>258</v>
      </c>
      <c r="AK268" s="22">
        <v>1.1984300000000001</v>
      </c>
      <c r="AL268">
        <f t="shared" ref="AL268:AL331" si="54">-AI268/$F$2*1000</f>
        <v>16.595499999999998</v>
      </c>
      <c r="AM268">
        <f t="shared" ref="AM268:AM331" si="55">AL268*AG268</f>
        <v>19.901157644999998</v>
      </c>
      <c r="AP268" s="9"/>
      <c r="AQ268" s="22">
        <v>0.55084200000000005</v>
      </c>
      <c r="AR268" s="22">
        <v>298.935</v>
      </c>
      <c r="AS268" s="22">
        <v>-1.6836500000000001E-2</v>
      </c>
      <c r="AT268" s="22">
        <v>258</v>
      </c>
      <c r="AU268" s="22">
        <v>0.55017099999999997</v>
      </c>
      <c r="AV268">
        <f t="shared" ref="AV268:AV331" si="56">-AS268/$F$2*1000</f>
        <v>16.836500000000001</v>
      </c>
      <c r="AW268">
        <f t="shared" ref="AW268:AW331" si="57">AV268*AQ268</f>
        <v>9.2742513330000023</v>
      </c>
      <c r="AX268" s="9"/>
      <c r="AY268" s="22">
        <v>1.19919</v>
      </c>
      <c r="AZ268" s="22">
        <v>378.16500000000002</v>
      </c>
      <c r="BA268" s="22">
        <v>-1.6308599999999999E-2</v>
      </c>
      <c r="BB268" s="22">
        <v>258</v>
      </c>
      <c r="BC268" s="22">
        <v>1.1987300000000001</v>
      </c>
      <c r="BD268">
        <f t="shared" ref="BD268:BD331" si="58">-BA268/$F$2*1000</f>
        <v>16.308599999999998</v>
      </c>
      <c r="BE268">
        <f t="shared" ref="BE268:BE331" si="59">BD268*AY268</f>
        <v>19.557110033999997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49.733699999999999</v>
      </c>
      <c r="I269" s="22">
        <v>-1.7129499999999999E-2</v>
      </c>
      <c r="J269" s="22">
        <v>259</v>
      </c>
      <c r="K269" s="22">
        <v>0.54516600000000004</v>
      </c>
      <c r="L269">
        <f t="shared" si="48"/>
        <v>17.1295</v>
      </c>
      <c r="M269">
        <f t="shared" si="49"/>
        <v>9.3494010065000008</v>
      </c>
      <c r="N269" s="9"/>
      <c r="O269" s="22">
        <v>1.2042200000000001</v>
      </c>
      <c r="P269" s="22">
        <v>105.13</v>
      </c>
      <c r="Q269" s="22">
        <v>-1.6732799999999999E-2</v>
      </c>
      <c r="R269" s="22">
        <v>259</v>
      </c>
      <c r="S269" s="22">
        <v>1.2036100000000001</v>
      </c>
      <c r="T269">
        <f t="shared" si="50"/>
        <v>16.732799999999997</v>
      </c>
      <c r="U269">
        <f t="shared" si="51"/>
        <v>20.149972415999997</v>
      </c>
      <c r="X269" s="9"/>
      <c r="Y269" s="22">
        <v>0.54580700000000004</v>
      </c>
      <c r="Z269" s="22">
        <v>167.08600000000001</v>
      </c>
      <c r="AA269" s="22">
        <v>-1.7129499999999999E-2</v>
      </c>
      <c r="AB269" s="22">
        <v>259</v>
      </c>
      <c r="AC269" s="22">
        <v>0.54519700000000004</v>
      </c>
      <c r="AD269">
        <f t="shared" si="52"/>
        <v>17.1295</v>
      </c>
      <c r="AE269">
        <f t="shared" si="53"/>
        <v>9.3494010065000008</v>
      </c>
      <c r="AF269" s="9"/>
      <c r="AG269" s="22">
        <v>1.2042200000000001</v>
      </c>
      <c r="AH269" s="22">
        <v>246.619</v>
      </c>
      <c r="AI269" s="22">
        <v>-1.6583299999999999E-2</v>
      </c>
      <c r="AJ269" s="22">
        <v>259</v>
      </c>
      <c r="AK269" s="22">
        <v>1.2030000000000001</v>
      </c>
      <c r="AL269">
        <f t="shared" si="54"/>
        <v>16.583299999999998</v>
      </c>
      <c r="AM269">
        <f t="shared" si="55"/>
        <v>19.969941525999999</v>
      </c>
      <c r="AP269" s="9"/>
      <c r="AQ269" s="22">
        <v>0.54580700000000004</v>
      </c>
      <c r="AR269" s="22">
        <v>299.036</v>
      </c>
      <c r="AS269" s="22">
        <v>-1.6861000000000001E-2</v>
      </c>
      <c r="AT269" s="22">
        <v>259</v>
      </c>
      <c r="AU269" s="22">
        <v>0.54519700000000004</v>
      </c>
      <c r="AV269">
        <f t="shared" si="56"/>
        <v>16.861000000000001</v>
      </c>
      <c r="AW269">
        <f t="shared" si="57"/>
        <v>9.2028518270000017</v>
      </c>
      <c r="AX269" s="9"/>
      <c r="AY269" s="22">
        <v>1.2042200000000001</v>
      </c>
      <c r="AZ269" s="22">
        <v>378.26600000000002</v>
      </c>
      <c r="BA269" s="22">
        <v>-1.6271999999999998E-2</v>
      </c>
      <c r="BB269" s="22">
        <v>259</v>
      </c>
      <c r="BC269" s="22">
        <v>1.2030000000000001</v>
      </c>
      <c r="BD269">
        <f t="shared" si="58"/>
        <v>16.271999999999998</v>
      </c>
      <c r="BE269">
        <f t="shared" si="59"/>
        <v>19.595067839999999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49.834400000000002</v>
      </c>
      <c r="I270" s="22">
        <v>-1.7135600000000001E-2</v>
      </c>
      <c r="J270" s="22">
        <v>260</v>
      </c>
      <c r="K270" s="22">
        <v>0.53997799999999996</v>
      </c>
      <c r="L270">
        <f t="shared" si="48"/>
        <v>17.1356</v>
      </c>
      <c r="M270">
        <f t="shared" si="49"/>
        <v>9.2664355476000004</v>
      </c>
      <c r="N270" s="9"/>
      <c r="O270" s="22">
        <v>1.20926</v>
      </c>
      <c r="P270" s="22">
        <v>105.23</v>
      </c>
      <c r="Q270" s="22">
        <v>-1.6720599999999999E-2</v>
      </c>
      <c r="R270" s="22">
        <v>260</v>
      </c>
      <c r="S270" s="22">
        <v>1.2084999999999999</v>
      </c>
      <c r="T270">
        <f t="shared" si="50"/>
        <v>16.720599999999997</v>
      </c>
      <c r="U270">
        <f t="shared" si="51"/>
        <v>20.219552755999995</v>
      </c>
      <c r="X270" s="9"/>
      <c r="Y270" s="22">
        <v>0.540771</v>
      </c>
      <c r="Z270" s="22">
        <v>167.18700000000001</v>
      </c>
      <c r="AA270" s="22">
        <v>-1.7126499999999999E-2</v>
      </c>
      <c r="AB270" s="22">
        <v>260</v>
      </c>
      <c r="AC270" s="22">
        <v>0.54007000000000005</v>
      </c>
      <c r="AD270">
        <f t="shared" si="52"/>
        <v>17.1265</v>
      </c>
      <c r="AE270">
        <f t="shared" si="53"/>
        <v>9.2615145314999996</v>
      </c>
      <c r="AF270" s="9"/>
      <c r="AG270" s="22">
        <v>1.20926</v>
      </c>
      <c r="AH270" s="22">
        <v>246.72</v>
      </c>
      <c r="AI270" s="22">
        <v>-1.6555799999999999E-2</v>
      </c>
      <c r="AJ270" s="22">
        <v>260</v>
      </c>
      <c r="AK270" s="22">
        <v>1.2084999999999999</v>
      </c>
      <c r="AL270">
        <f t="shared" si="54"/>
        <v>16.555799999999998</v>
      </c>
      <c r="AM270">
        <f t="shared" si="55"/>
        <v>20.020266707999998</v>
      </c>
      <c r="AP270" s="9"/>
      <c r="AQ270" s="22">
        <v>0.540771</v>
      </c>
      <c r="AR270" s="22">
        <v>299.13600000000002</v>
      </c>
      <c r="AS270" s="22">
        <v>-1.6845700000000002E-2</v>
      </c>
      <c r="AT270" s="22">
        <v>260</v>
      </c>
      <c r="AU270" s="22">
        <v>0.540161</v>
      </c>
      <c r="AV270">
        <f t="shared" si="56"/>
        <v>16.845700000000001</v>
      </c>
      <c r="AW270">
        <f t="shared" si="57"/>
        <v>9.1096660347</v>
      </c>
      <c r="AX270" s="9"/>
      <c r="AY270" s="22">
        <v>1.20926</v>
      </c>
      <c r="AZ270" s="22">
        <v>378.36700000000002</v>
      </c>
      <c r="BA270" s="22">
        <v>-1.62262E-2</v>
      </c>
      <c r="BB270" s="22">
        <v>260</v>
      </c>
      <c r="BC270" s="22">
        <v>1.2078899999999999</v>
      </c>
      <c r="BD270">
        <f t="shared" si="58"/>
        <v>16.226199999999999</v>
      </c>
      <c r="BE270">
        <f t="shared" si="59"/>
        <v>19.621694611999999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49.935099999999998</v>
      </c>
      <c r="I271" s="22">
        <v>-1.71234E-2</v>
      </c>
      <c r="J271" s="22">
        <v>261</v>
      </c>
      <c r="K271" s="22">
        <v>0.53500400000000004</v>
      </c>
      <c r="L271">
        <f t="shared" si="48"/>
        <v>17.1234</v>
      </c>
      <c r="M271">
        <f t="shared" si="49"/>
        <v>9.1736218223999995</v>
      </c>
      <c r="N271" s="9"/>
      <c r="O271" s="22">
        <v>1.2142900000000001</v>
      </c>
      <c r="P271" s="22">
        <v>105.331</v>
      </c>
      <c r="Q271" s="22">
        <v>-1.6720599999999999E-2</v>
      </c>
      <c r="R271" s="22">
        <v>261</v>
      </c>
      <c r="S271" s="22">
        <v>1.2130700000000001</v>
      </c>
      <c r="T271">
        <f t="shared" si="50"/>
        <v>16.720599999999997</v>
      </c>
      <c r="U271">
        <f t="shared" si="51"/>
        <v>20.303657374</v>
      </c>
      <c r="X271" s="9"/>
      <c r="Y271" s="22">
        <v>0.53573599999999999</v>
      </c>
      <c r="Z271" s="22">
        <v>167.28800000000001</v>
      </c>
      <c r="AA271" s="22">
        <v>-1.71082E-2</v>
      </c>
      <c r="AB271" s="22">
        <v>261</v>
      </c>
      <c r="AC271" s="22">
        <v>0.53509499999999999</v>
      </c>
      <c r="AD271">
        <f t="shared" si="52"/>
        <v>17.1082</v>
      </c>
      <c r="AE271">
        <f t="shared" si="53"/>
        <v>9.1654786351999995</v>
      </c>
      <c r="AF271" s="9"/>
      <c r="AG271" s="22">
        <v>1.2142900000000001</v>
      </c>
      <c r="AH271" s="22">
        <v>246.82</v>
      </c>
      <c r="AI271" s="22">
        <v>-1.6558799999999999E-2</v>
      </c>
      <c r="AJ271" s="22">
        <v>261</v>
      </c>
      <c r="AK271" s="22">
        <v>1.2139899999999999</v>
      </c>
      <c r="AL271">
        <f t="shared" si="54"/>
        <v>16.558799999999998</v>
      </c>
      <c r="AM271">
        <f t="shared" si="55"/>
        <v>20.107185252000001</v>
      </c>
      <c r="AP271" s="9"/>
      <c r="AQ271" s="22">
        <v>0.53573599999999999</v>
      </c>
      <c r="AR271" s="22">
        <v>299.23700000000002</v>
      </c>
      <c r="AS271" s="22">
        <v>-1.6842699999999999E-2</v>
      </c>
      <c r="AT271" s="22">
        <v>261</v>
      </c>
      <c r="AU271" s="22">
        <v>0.53506500000000001</v>
      </c>
      <c r="AV271">
        <f t="shared" si="56"/>
        <v>16.842699999999997</v>
      </c>
      <c r="AW271">
        <f t="shared" si="57"/>
        <v>9.0232407271999975</v>
      </c>
      <c r="AX271" s="9"/>
      <c r="AY271" s="22">
        <v>1.2142900000000001</v>
      </c>
      <c r="AZ271" s="22">
        <v>378.46699999999998</v>
      </c>
      <c r="BA271" s="22">
        <v>-1.6244499999999999E-2</v>
      </c>
      <c r="BB271" s="22">
        <v>261</v>
      </c>
      <c r="BC271" s="22">
        <v>1.2133799999999999</v>
      </c>
      <c r="BD271">
        <f t="shared" si="58"/>
        <v>16.244499999999999</v>
      </c>
      <c r="BE271">
        <f t="shared" si="59"/>
        <v>19.725533904999999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50.035800000000002</v>
      </c>
      <c r="I272" s="22">
        <v>-1.7129499999999999E-2</v>
      </c>
      <c r="J272" s="22">
        <v>262</v>
      </c>
      <c r="K272" s="22">
        <v>0.53012099999999995</v>
      </c>
      <c r="L272">
        <f t="shared" si="48"/>
        <v>17.1295</v>
      </c>
      <c r="M272">
        <f t="shared" si="49"/>
        <v>9.0906427794999995</v>
      </c>
      <c r="N272" s="9"/>
      <c r="O272" s="22">
        <v>1.21933</v>
      </c>
      <c r="P272" s="22">
        <v>105.432</v>
      </c>
      <c r="Q272" s="22">
        <v>-1.6705299999999999E-2</v>
      </c>
      <c r="R272" s="22">
        <v>262</v>
      </c>
      <c r="S272" s="22">
        <v>1.2179599999999999</v>
      </c>
      <c r="T272">
        <f t="shared" si="50"/>
        <v>16.705299999999998</v>
      </c>
      <c r="U272">
        <f t="shared" si="51"/>
        <v>20.369273448999998</v>
      </c>
      <c r="X272" s="9"/>
      <c r="Y272" s="22">
        <v>0.53070099999999998</v>
      </c>
      <c r="Z272" s="22">
        <v>167.38900000000001</v>
      </c>
      <c r="AA272" s="22">
        <v>-1.7095900000000001E-2</v>
      </c>
      <c r="AB272" s="22">
        <v>262</v>
      </c>
      <c r="AC272" s="22">
        <v>0.53008999999999995</v>
      </c>
      <c r="AD272">
        <f t="shared" si="52"/>
        <v>17.0959</v>
      </c>
      <c r="AE272">
        <f t="shared" si="53"/>
        <v>9.0728112259000007</v>
      </c>
      <c r="AF272" s="9"/>
      <c r="AG272" s="22">
        <v>1.21933</v>
      </c>
      <c r="AH272" s="22">
        <v>246.92099999999999</v>
      </c>
      <c r="AI272" s="22">
        <v>-1.6528299999999999E-2</v>
      </c>
      <c r="AJ272" s="22">
        <v>262</v>
      </c>
      <c r="AK272" s="22">
        <v>1.2182599999999999</v>
      </c>
      <c r="AL272">
        <f t="shared" si="54"/>
        <v>16.528299999999998</v>
      </c>
      <c r="AM272">
        <f t="shared" si="55"/>
        <v>20.153452038999998</v>
      </c>
      <c r="AP272" s="9"/>
      <c r="AQ272" s="22">
        <v>0.53070099999999998</v>
      </c>
      <c r="AR272" s="22">
        <v>299.33800000000002</v>
      </c>
      <c r="AS272" s="22">
        <v>-1.68793E-2</v>
      </c>
      <c r="AT272" s="22">
        <v>262</v>
      </c>
      <c r="AU272" s="22">
        <v>0.529999</v>
      </c>
      <c r="AV272">
        <f t="shared" si="56"/>
        <v>16.879300000000001</v>
      </c>
      <c r="AW272">
        <f t="shared" si="57"/>
        <v>8.9578613892999996</v>
      </c>
      <c r="AX272" s="9"/>
      <c r="AY272" s="22">
        <v>1.21933</v>
      </c>
      <c r="AZ272" s="22">
        <v>378.56799999999998</v>
      </c>
      <c r="BA272" s="22">
        <v>-1.6256699999999999E-2</v>
      </c>
      <c r="BB272" s="22">
        <v>262</v>
      </c>
      <c r="BC272" s="22">
        <v>1.2185699999999999</v>
      </c>
      <c r="BD272">
        <f t="shared" si="58"/>
        <v>16.256699999999999</v>
      </c>
      <c r="BE272">
        <f t="shared" si="59"/>
        <v>19.822282010999999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50.136499999999998</v>
      </c>
      <c r="I273" s="22">
        <v>-1.7129499999999999E-2</v>
      </c>
      <c r="J273" s="22">
        <v>263</v>
      </c>
      <c r="K273" s="22">
        <v>0.52496299999999996</v>
      </c>
      <c r="L273">
        <f t="shared" si="48"/>
        <v>17.1295</v>
      </c>
      <c r="M273">
        <f t="shared" si="49"/>
        <v>9.0043786175000005</v>
      </c>
      <c r="N273" s="9"/>
      <c r="O273" s="22">
        <v>1.22437</v>
      </c>
      <c r="P273" s="22">
        <v>105.532</v>
      </c>
      <c r="Q273" s="22">
        <v>-1.67175E-2</v>
      </c>
      <c r="R273" s="22">
        <v>263</v>
      </c>
      <c r="S273" s="22">
        <v>1.2231399999999999</v>
      </c>
      <c r="T273">
        <f t="shared" si="50"/>
        <v>16.717500000000001</v>
      </c>
      <c r="U273">
        <f t="shared" si="51"/>
        <v>20.468405475000001</v>
      </c>
      <c r="X273" s="9"/>
      <c r="Y273" s="22">
        <v>0.52566500000000005</v>
      </c>
      <c r="Z273" s="22">
        <v>167.489</v>
      </c>
      <c r="AA273" s="22">
        <v>-1.7129499999999999E-2</v>
      </c>
      <c r="AB273" s="22">
        <v>263</v>
      </c>
      <c r="AC273" s="22">
        <v>0.52496299999999996</v>
      </c>
      <c r="AD273">
        <f t="shared" si="52"/>
        <v>17.1295</v>
      </c>
      <c r="AE273">
        <f t="shared" si="53"/>
        <v>9.0043786175000005</v>
      </c>
      <c r="AF273" s="9"/>
      <c r="AG273" s="22">
        <v>1.22437</v>
      </c>
      <c r="AH273" s="22">
        <v>247.02199999999999</v>
      </c>
      <c r="AI273" s="22">
        <v>-1.6445899999999999E-2</v>
      </c>
      <c r="AJ273" s="22">
        <v>263</v>
      </c>
      <c r="AK273" s="22">
        <v>1.2234499999999999</v>
      </c>
      <c r="AL273">
        <f t="shared" si="54"/>
        <v>16.445899999999998</v>
      </c>
      <c r="AM273">
        <f t="shared" si="55"/>
        <v>20.135866582999999</v>
      </c>
      <c r="AP273" s="9"/>
      <c r="AQ273" s="22">
        <v>0.52566500000000005</v>
      </c>
      <c r="AR273" s="22">
        <v>299.43799999999999</v>
      </c>
      <c r="AS273" s="22">
        <v>-1.6873200000000001E-2</v>
      </c>
      <c r="AT273" s="22">
        <v>263</v>
      </c>
      <c r="AU273" s="22">
        <v>0.52508500000000002</v>
      </c>
      <c r="AV273">
        <f t="shared" si="56"/>
        <v>16.873200000000001</v>
      </c>
      <c r="AW273">
        <f t="shared" si="57"/>
        <v>8.8696506780000011</v>
      </c>
      <c r="AX273" s="9"/>
      <c r="AY273" s="22">
        <v>1.22437</v>
      </c>
      <c r="AZ273" s="22">
        <v>378.66899999999998</v>
      </c>
      <c r="BA273" s="22">
        <v>-1.61987E-2</v>
      </c>
      <c r="BB273" s="22">
        <v>263</v>
      </c>
      <c r="BC273" s="22">
        <v>1.2234499999999999</v>
      </c>
      <c r="BD273">
        <f t="shared" si="58"/>
        <v>16.198699999999999</v>
      </c>
      <c r="BE273">
        <f t="shared" si="59"/>
        <v>19.833202318999998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50.237200000000001</v>
      </c>
      <c r="I274" s="22">
        <v>-1.71234E-2</v>
      </c>
      <c r="J274" s="22">
        <v>264</v>
      </c>
      <c r="K274" s="22">
        <v>0.52002000000000004</v>
      </c>
      <c r="L274">
        <f t="shared" si="48"/>
        <v>17.1234</v>
      </c>
      <c r="M274">
        <f t="shared" si="49"/>
        <v>8.9149557420000001</v>
      </c>
      <c r="N274" s="9"/>
      <c r="O274" s="22">
        <v>1.2294</v>
      </c>
      <c r="P274" s="22">
        <v>105.633</v>
      </c>
      <c r="Q274" s="22">
        <v>-1.6711400000000001E-2</v>
      </c>
      <c r="R274" s="22">
        <v>264</v>
      </c>
      <c r="S274" s="22">
        <v>1.2289399999999999</v>
      </c>
      <c r="T274">
        <f t="shared" si="50"/>
        <v>16.711400000000001</v>
      </c>
      <c r="U274">
        <f t="shared" si="51"/>
        <v>20.544995160000003</v>
      </c>
      <c r="X274" s="9"/>
      <c r="Y274" s="22">
        <v>0.52063000000000004</v>
      </c>
      <c r="Z274" s="22">
        <v>167.59</v>
      </c>
      <c r="AA274" s="22">
        <v>-1.71112E-2</v>
      </c>
      <c r="AB274" s="22">
        <v>264</v>
      </c>
      <c r="AC274" s="22">
        <v>0.52005000000000001</v>
      </c>
      <c r="AD274">
        <f t="shared" si="52"/>
        <v>17.1112</v>
      </c>
      <c r="AE274">
        <f t="shared" si="53"/>
        <v>8.9086040560000015</v>
      </c>
      <c r="AF274" s="9"/>
      <c r="AG274" s="22">
        <v>1.2294</v>
      </c>
      <c r="AH274" s="22">
        <v>247.12200000000001</v>
      </c>
      <c r="AI274" s="22">
        <v>-1.6467300000000001E-2</v>
      </c>
      <c r="AJ274" s="22">
        <v>264</v>
      </c>
      <c r="AK274" s="22">
        <v>1.2289399999999999</v>
      </c>
      <c r="AL274">
        <f t="shared" si="54"/>
        <v>16.467300000000002</v>
      </c>
      <c r="AM274">
        <f t="shared" si="55"/>
        <v>20.244898620000004</v>
      </c>
      <c r="AP274" s="9"/>
      <c r="AQ274" s="22">
        <v>0.52063000000000004</v>
      </c>
      <c r="AR274" s="22">
        <v>299.53899999999999</v>
      </c>
      <c r="AS274" s="22">
        <v>-1.68793E-2</v>
      </c>
      <c r="AT274" s="22">
        <v>264</v>
      </c>
      <c r="AU274" s="22">
        <v>0.51998900000000003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378.76900000000001</v>
      </c>
      <c r="BA274" s="22">
        <v>-1.6223100000000001E-2</v>
      </c>
      <c r="BB274" s="22">
        <v>264</v>
      </c>
      <c r="BC274" s="22">
        <v>1.22864</v>
      </c>
      <c r="BD274">
        <f t="shared" si="58"/>
        <v>16.223100000000002</v>
      </c>
      <c r="BE274">
        <f t="shared" si="59"/>
        <v>19.944679140000005</v>
      </c>
    </row>
    <row r="275" spans="6:101">
      <c r="F275" s="9"/>
      <c r="G275" s="22">
        <v>0.515594</v>
      </c>
      <c r="H275" s="22">
        <v>50.337899999999998</v>
      </c>
      <c r="I275" s="22">
        <v>-1.7141699999999999E-2</v>
      </c>
      <c r="J275" s="22">
        <v>265</v>
      </c>
      <c r="K275" s="22">
        <v>0.514984</v>
      </c>
      <c r="L275">
        <f t="shared" si="48"/>
        <v>17.1417</v>
      </c>
      <c r="M275">
        <f t="shared" si="49"/>
        <v>8.8381576697999993</v>
      </c>
      <c r="N275" s="9"/>
      <c r="O275" s="22">
        <v>1.23444</v>
      </c>
      <c r="P275" s="22">
        <v>105.73399999999999</v>
      </c>
      <c r="Q275" s="22">
        <v>-1.6711400000000001E-2</v>
      </c>
      <c r="R275" s="22">
        <v>265</v>
      </c>
      <c r="S275" s="22">
        <v>1.23383</v>
      </c>
      <c r="T275">
        <f t="shared" si="50"/>
        <v>16.711400000000001</v>
      </c>
      <c r="U275">
        <f t="shared" si="51"/>
        <v>20.629220616000001</v>
      </c>
      <c r="X275" s="9"/>
      <c r="Y275" s="22">
        <v>0.515594</v>
      </c>
      <c r="Z275" s="22">
        <v>167.691</v>
      </c>
      <c r="AA275" s="22">
        <v>-1.7105100000000002E-2</v>
      </c>
      <c r="AB275" s="22">
        <v>265</v>
      </c>
      <c r="AC275" s="22">
        <v>0.51492300000000002</v>
      </c>
      <c r="AD275">
        <f t="shared" si="52"/>
        <v>17.1051</v>
      </c>
      <c r="AE275">
        <f t="shared" si="53"/>
        <v>8.8192869294000005</v>
      </c>
      <c r="AF275" s="9"/>
      <c r="AG275" s="22">
        <v>1.23444</v>
      </c>
      <c r="AH275" s="22">
        <v>247.22300000000001</v>
      </c>
      <c r="AI275" s="22">
        <v>-1.6439800000000001E-2</v>
      </c>
      <c r="AJ275" s="22">
        <v>265</v>
      </c>
      <c r="AK275" s="22">
        <v>1.2335199999999999</v>
      </c>
      <c r="AL275">
        <f t="shared" si="54"/>
        <v>16.439800000000002</v>
      </c>
      <c r="AM275">
        <f t="shared" si="55"/>
        <v>20.293946712</v>
      </c>
      <c r="AP275" s="9"/>
      <c r="AQ275" s="22">
        <v>0.515594</v>
      </c>
      <c r="AR275" s="22">
        <v>299.64</v>
      </c>
      <c r="AS275" s="22">
        <v>-1.6876200000000001E-2</v>
      </c>
      <c r="AT275" s="22">
        <v>265</v>
      </c>
      <c r="AU275" s="22">
        <v>0.51489300000000005</v>
      </c>
      <c r="AV275">
        <f t="shared" si="56"/>
        <v>16.876200000000001</v>
      </c>
      <c r="AW275">
        <f t="shared" si="57"/>
        <v>8.7012674628000006</v>
      </c>
      <c r="AX275" s="9"/>
      <c r="AY275" s="22">
        <v>1.23444</v>
      </c>
      <c r="AZ275" s="22">
        <v>378.87</v>
      </c>
      <c r="BA275" s="22">
        <v>-1.6204799999999998E-2</v>
      </c>
      <c r="BB275" s="22">
        <v>265</v>
      </c>
      <c r="BC275" s="22">
        <v>1.2335199999999999</v>
      </c>
      <c r="BD275">
        <f t="shared" si="58"/>
        <v>16.204799999999999</v>
      </c>
      <c r="BE275">
        <f t="shared" si="59"/>
        <v>20.003853311999997</v>
      </c>
    </row>
    <row r="276" spans="6:101">
      <c r="F276" s="9"/>
      <c r="G276" s="22">
        <v>0.51055899999999999</v>
      </c>
      <c r="H276" s="22">
        <v>50.438600000000001</v>
      </c>
      <c r="I276" s="22">
        <v>-1.7156999999999999E-2</v>
      </c>
      <c r="J276" s="22">
        <v>266</v>
      </c>
      <c r="K276" s="22">
        <v>0.50988800000000001</v>
      </c>
      <c r="L276">
        <f t="shared" si="48"/>
        <v>17.157</v>
      </c>
      <c r="M276">
        <f t="shared" si="49"/>
        <v>8.7596607629999994</v>
      </c>
      <c r="N276" s="9"/>
      <c r="O276" s="22">
        <v>1.2394700000000001</v>
      </c>
      <c r="P276" s="22">
        <v>105.834</v>
      </c>
      <c r="Q276" s="22">
        <v>-1.6684000000000001E-2</v>
      </c>
      <c r="R276" s="22">
        <v>266</v>
      </c>
      <c r="S276" s="22">
        <v>1.2383999999999999</v>
      </c>
      <c r="T276">
        <f t="shared" si="50"/>
        <v>16.684000000000001</v>
      </c>
      <c r="U276">
        <f t="shared" si="51"/>
        <v>20.679317480000002</v>
      </c>
      <c r="X276" s="9"/>
      <c r="Y276" s="22">
        <v>0.51055899999999999</v>
      </c>
      <c r="Z276" s="22">
        <v>167.791</v>
      </c>
      <c r="AA276" s="22">
        <v>-1.71112E-2</v>
      </c>
      <c r="AB276" s="22">
        <v>266</v>
      </c>
      <c r="AC276" s="22">
        <v>0.50991799999999998</v>
      </c>
      <c r="AD276">
        <f t="shared" si="52"/>
        <v>17.1112</v>
      </c>
      <c r="AE276">
        <f t="shared" si="53"/>
        <v>8.7362771608000003</v>
      </c>
      <c r="AF276" s="9"/>
      <c r="AG276" s="22">
        <v>1.2394700000000001</v>
      </c>
      <c r="AH276" s="22">
        <v>247.32400000000001</v>
      </c>
      <c r="AI276" s="22">
        <v>-1.64856E-2</v>
      </c>
      <c r="AJ276" s="22">
        <v>266</v>
      </c>
      <c r="AK276" s="22">
        <v>1.23871</v>
      </c>
      <c r="AL276">
        <f t="shared" si="54"/>
        <v>16.485599999999998</v>
      </c>
      <c r="AM276">
        <f t="shared" si="55"/>
        <v>20.433406632000001</v>
      </c>
      <c r="AP276" s="9"/>
      <c r="AQ276" s="22">
        <v>0.51055899999999999</v>
      </c>
      <c r="AR276" s="22">
        <v>299.74099999999999</v>
      </c>
      <c r="AS276" s="22">
        <v>-1.6845700000000002E-2</v>
      </c>
      <c r="AT276" s="22">
        <v>266</v>
      </c>
      <c r="AU276" s="22">
        <v>0.50991799999999998</v>
      </c>
      <c r="AV276">
        <f t="shared" si="56"/>
        <v>16.845700000000001</v>
      </c>
      <c r="AW276">
        <f t="shared" si="57"/>
        <v>8.6007237462999999</v>
      </c>
      <c r="AX276" s="9"/>
      <c r="AY276" s="22">
        <v>1.2394700000000001</v>
      </c>
      <c r="AZ276" s="22">
        <v>378.971</v>
      </c>
      <c r="BA276" s="22">
        <v>-1.6192600000000001E-2</v>
      </c>
      <c r="BB276" s="22">
        <v>266</v>
      </c>
      <c r="BC276" s="22">
        <v>1.23871</v>
      </c>
      <c r="BD276">
        <f t="shared" si="58"/>
        <v>16.192600000000002</v>
      </c>
      <c r="BE276">
        <f t="shared" si="59"/>
        <v>20.070241922000005</v>
      </c>
    </row>
    <row r="277" spans="6:101">
      <c r="F277" s="9"/>
      <c r="G277" s="22">
        <v>0.50552399999999997</v>
      </c>
      <c r="H277" s="22">
        <v>50.539299999999997</v>
      </c>
      <c r="I277" s="22">
        <v>-1.7147800000000001E-2</v>
      </c>
      <c r="J277" s="22">
        <v>267</v>
      </c>
      <c r="K277" s="22">
        <v>0.50488299999999997</v>
      </c>
      <c r="L277">
        <f t="shared" si="48"/>
        <v>17.1478</v>
      </c>
      <c r="M277">
        <f t="shared" si="49"/>
        <v>8.6686244471999991</v>
      </c>
      <c r="N277" s="9"/>
      <c r="O277" s="22">
        <v>1.24451</v>
      </c>
      <c r="P277" s="22">
        <v>105.935</v>
      </c>
      <c r="Q277" s="22">
        <v>-1.6687E-2</v>
      </c>
      <c r="R277" s="22">
        <v>267</v>
      </c>
      <c r="S277" s="22">
        <v>1.24359</v>
      </c>
      <c r="T277">
        <f t="shared" si="50"/>
        <v>16.687000000000001</v>
      </c>
      <c r="U277">
        <f t="shared" si="51"/>
        <v>20.767138370000001</v>
      </c>
      <c r="X277" s="9"/>
      <c r="Y277" s="22">
        <v>0.50552399999999997</v>
      </c>
      <c r="Z277" s="22">
        <v>167.892</v>
      </c>
      <c r="AA277" s="22">
        <v>-1.7095900000000001E-2</v>
      </c>
      <c r="AB277" s="22">
        <v>267</v>
      </c>
      <c r="AC277" s="22">
        <v>0.50485199999999997</v>
      </c>
      <c r="AD277">
        <f t="shared" si="52"/>
        <v>17.0959</v>
      </c>
      <c r="AE277">
        <f t="shared" si="53"/>
        <v>8.6423877515999994</v>
      </c>
      <c r="AF277" s="9"/>
      <c r="AG277" s="22">
        <v>1.24451</v>
      </c>
      <c r="AH277" s="22">
        <v>247.42400000000001</v>
      </c>
      <c r="AI277" s="22">
        <v>-1.6430699999999999E-2</v>
      </c>
      <c r="AJ277" s="22">
        <v>267</v>
      </c>
      <c r="AK277" s="22">
        <v>1.2439</v>
      </c>
      <c r="AL277">
        <f t="shared" si="54"/>
        <v>16.430699999999998</v>
      </c>
      <c r="AM277">
        <f t="shared" si="55"/>
        <v>20.448170456999996</v>
      </c>
      <c r="AP277" s="9"/>
      <c r="AQ277" s="22">
        <v>0.50552399999999997</v>
      </c>
      <c r="AR277" s="22">
        <v>299.84100000000001</v>
      </c>
      <c r="AS277" s="22">
        <v>-1.6836500000000001E-2</v>
      </c>
      <c r="AT277" s="22">
        <v>267</v>
      </c>
      <c r="AU277" s="22">
        <v>0.50491299999999995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379.072</v>
      </c>
      <c r="BA277" s="22">
        <v>-1.6192600000000001E-2</v>
      </c>
      <c r="BB277" s="22">
        <v>267</v>
      </c>
      <c r="BC277" s="22">
        <v>1.24329</v>
      </c>
      <c r="BD277">
        <f t="shared" si="58"/>
        <v>16.192600000000002</v>
      </c>
      <c r="BE277">
        <f t="shared" si="59"/>
        <v>20.151852626000004</v>
      </c>
    </row>
    <row r="278" spans="6:101">
      <c r="F278" s="9"/>
      <c r="G278" s="22">
        <v>0.50048800000000004</v>
      </c>
      <c r="H278" s="22">
        <v>50.64</v>
      </c>
      <c r="I278" s="22">
        <v>-1.7156999999999999E-2</v>
      </c>
      <c r="J278" s="22">
        <v>268</v>
      </c>
      <c r="K278" s="22">
        <v>0.49987799999999999</v>
      </c>
      <c r="L278">
        <f t="shared" si="48"/>
        <v>17.157</v>
      </c>
      <c r="M278">
        <f t="shared" si="49"/>
        <v>8.5868726160000008</v>
      </c>
      <c r="N278" s="9"/>
      <c r="O278" s="22">
        <v>1.2495400000000001</v>
      </c>
      <c r="P278" s="22">
        <v>106.036</v>
      </c>
      <c r="Q278" s="22">
        <v>-1.6668700000000002E-2</v>
      </c>
      <c r="R278" s="22">
        <v>268</v>
      </c>
      <c r="S278" s="22">
        <v>1.24878</v>
      </c>
      <c r="T278">
        <f t="shared" si="50"/>
        <v>16.668700000000001</v>
      </c>
      <c r="U278">
        <f t="shared" si="51"/>
        <v>20.828207398000004</v>
      </c>
      <c r="X278" s="9"/>
      <c r="Y278" s="22">
        <v>0.50048800000000004</v>
      </c>
      <c r="Z278" s="22">
        <v>167.99299999999999</v>
      </c>
      <c r="AA278" s="22">
        <v>-1.71234E-2</v>
      </c>
      <c r="AB278" s="22">
        <v>268</v>
      </c>
      <c r="AC278" s="22">
        <v>0.49981700000000001</v>
      </c>
      <c r="AD278">
        <f t="shared" si="52"/>
        <v>17.1234</v>
      </c>
      <c r="AE278">
        <f t="shared" si="53"/>
        <v>8.5700562192000014</v>
      </c>
      <c r="AF278" s="9"/>
      <c r="AG278" s="22">
        <v>1.2495400000000001</v>
      </c>
      <c r="AH278" s="22">
        <v>247.52500000000001</v>
      </c>
      <c r="AI278" s="22">
        <v>-1.6400100000000001E-2</v>
      </c>
      <c r="AJ278" s="22">
        <v>268</v>
      </c>
      <c r="AK278" s="22">
        <v>1.24878</v>
      </c>
      <c r="AL278">
        <f t="shared" si="54"/>
        <v>16.400100000000002</v>
      </c>
      <c r="AM278">
        <f t="shared" si="55"/>
        <v>20.492580954000005</v>
      </c>
      <c r="AP278" s="9"/>
      <c r="AQ278" s="22">
        <v>0.50048800000000004</v>
      </c>
      <c r="AR278" s="22">
        <v>299.94200000000001</v>
      </c>
      <c r="AS278" s="22">
        <v>-1.6864000000000001E-2</v>
      </c>
      <c r="AT278" s="22">
        <v>268</v>
      </c>
      <c r="AU278" s="22">
        <v>0.49990800000000002</v>
      </c>
      <c r="AV278">
        <f t="shared" si="56"/>
        <v>16.864000000000001</v>
      </c>
      <c r="AW278">
        <f t="shared" si="57"/>
        <v>8.4402296320000012</v>
      </c>
      <c r="AX278" s="9"/>
      <c r="AY278" s="22">
        <v>1.2495400000000001</v>
      </c>
      <c r="AZ278" s="22">
        <v>379.17200000000003</v>
      </c>
      <c r="BA278" s="22">
        <v>-1.6159099999999999E-2</v>
      </c>
      <c r="BB278" s="22">
        <v>268</v>
      </c>
      <c r="BC278" s="22">
        <v>1.24847</v>
      </c>
      <c r="BD278">
        <f t="shared" si="58"/>
        <v>16.159099999999999</v>
      </c>
      <c r="BE278">
        <f t="shared" si="59"/>
        <v>20.191441814000001</v>
      </c>
    </row>
    <row r="279" spans="6:101">
      <c r="F279" s="9"/>
      <c r="G279" s="22">
        <v>0.49545299999999998</v>
      </c>
      <c r="H279" s="22">
        <v>50.7408</v>
      </c>
      <c r="I279" s="22">
        <v>-1.71539E-2</v>
      </c>
      <c r="J279" s="22">
        <v>269</v>
      </c>
      <c r="K279" s="22">
        <v>0.49481199999999997</v>
      </c>
      <c r="L279">
        <f t="shared" si="48"/>
        <v>17.1539</v>
      </c>
      <c r="M279">
        <f t="shared" si="49"/>
        <v>8.4989512167000001</v>
      </c>
      <c r="N279" s="9"/>
      <c r="O279" s="22">
        <v>1.25458</v>
      </c>
      <c r="P279" s="22">
        <v>106.137</v>
      </c>
      <c r="Q279" s="22">
        <v>-1.6677899999999999E-2</v>
      </c>
      <c r="R279" s="22">
        <v>269</v>
      </c>
      <c r="S279" s="22">
        <v>1.25397</v>
      </c>
      <c r="T279">
        <f t="shared" si="50"/>
        <v>16.677899999999998</v>
      </c>
      <c r="U279">
        <f t="shared" si="51"/>
        <v>20.923759781999998</v>
      </c>
      <c r="X279" s="9"/>
      <c r="Y279" s="22">
        <v>0.49545299999999998</v>
      </c>
      <c r="Z279" s="22">
        <v>168.09399999999999</v>
      </c>
      <c r="AA279" s="22">
        <v>-1.7114299999999999E-2</v>
      </c>
      <c r="AB279" s="22">
        <v>269</v>
      </c>
      <c r="AC279" s="22">
        <v>0.49481199999999997</v>
      </c>
      <c r="AD279">
        <f t="shared" si="52"/>
        <v>17.1143</v>
      </c>
      <c r="AE279">
        <f t="shared" si="53"/>
        <v>8.4793312779000001</v>
      </c>
      <c r="AF279" s="9"/>
      <c r="AG279" s="22">
        <v>1.25458</v>
      </c>
      <c r="AH279" s="22">
        <v>247.626</v>
      </c>
      <c r="AI279" s="22">
        <v>-1.6384900000000001E-2</v>
      </c>
      <c r="AJ279" s="22">
        <v>269</v>
      </c>
      <c r="AK279" s="22">
        <v>1.25397</v>
      </c>
      <c r="AL279">
        <f t="shared" si="54"/>
        <v>16.384900000000002</v>
      </c>
      <c r="AM279">
        <f t="shared" si="55"/>
        <v>20.556167842000004</v>
      </c>
      <c r="AP279" s="9"/>
      <c r="AQ279" s="22">
        <v>0.49545299999999998</v>
      </c>
      <c r="AR279" s="22">
        <v>300.04300000000001</v>
      </c>
      <c r="AS279" s="22">
        <v>-1.68518E-2</v>
      </c>
      <c r="AT279" s="22">
        <v>269</v>
      </c>
      <c r="AU279" s="22">
        <v>0.49478100000000003</v>
      </c>
      <c r="AV279">
        <f t="shared" si="56"/>
        <v>16.851800000000001</v>
      </c>
      <c r="AW279">
        <f t="shared" si="57"/>
        <v>8.3492748654</v>
      </c>
      <c r="AX279" s="9"/>
      <c r="AY279" s="22">
        <v>1.25458</v>
      </c>
      <c r="AZ279" s="22">
        <v>379.27300000000002</v>
      </c>
      <c r="BA279" s="22">
        <v>-1.61835E-2</v>
      </c>
      <c r="BB279" s="22">
        <v>269</v>
      </c>
      <c r="BC279" s="22">
        <v>1.25397</v>
      </c>
      <c r="BD279">
        <f t="shared" si="58"/>
        <v>16.183499999999999</v>
      </c>
      <c r="BE279">
        <f t="shared" si="59"/>
        <v>20.303495429999998</v>
      </c>
    </row>
    <row r="280" spans="6:101">
      <c r="F280" s="9"/>
      <c r="G280" s="22">
        <v>0.49041699999999999</v>
      </c>
      <c r="H280" s="22">
        <v>50.841500000000003</v>
      </c>
      <c r="I280" s="22">
        <v>-1.7169199999999999E-2</v>
      </c>
      <c r="J280" s="22">
        <v>270</v>
      </c>
      <c r="K280" s="22">
        <v>0.48977700000000002</v>
      </c>
      <c r="L280">
        <f t="shared" si="48"/>
        <v>17.1692</v>
      </c>
      <c r="M280">
        <f t="shared" si="49"/>
        <v>8.4200675563999994</v>
      </c>
      <c r="N280" s="9"/>
      <c r="O280" s="22">
        <v>1.2596099999999999</v>
      </c>
      <c r="P280" s="22">
        <v>106.23699999999999</v>
      </c>
      <c r="Q280" s="22">
        <v>-1.6650399999999999E-2</v>
      </c>
      <c r="R280" s="22">
        <v>270</v>
      </c>
      <c r="S280" s="22">
        <v>1.2591600000000001</v>
      </c>
      <c r="T280">
        <f t="shared" si="50"/>
        <v>16.650399999999998</v>
      </c>
      <c r="U280">
        <f t="shared" si="51"/>
        <v>20.973010343999995</v>
      </c>
      <c r="X280" s="9"/>
      <c r="Y280" s="22">
        <v>0.49041699999999999</v>
      </c>
      <c r="Z280" s="22">
        <v>168.19399999999999</v>
      </c>
      <c r="AA280" s="22">
        <v>-1.7135600000000001E-2</v>
      </c>
      <c r="AB280" s="22">
        <v>270</v>
      </c>
      <c r="AC280" s="22">
        <v>0.489838</v>
      </c>
      <c r="AD280">
        <f t="shared" si="52"/>
        <v>17.1356</v>
      </c>
      <c r="AE280">
        <f t="shared" si="53"/>
        <v>8.4035895451999991</v>
      </c>
      <c r="AF280" s="9"/>
      <c r="AG280" s="22">
        <v>1.2596099999999999</v>
      </c>
      <c r="AH280" s="22">
        <v>247.727</v>
      </c>
      <c r="AI280" s="22">
        <v>-1.6354400000000002E-2</v>
      </c>
      <c r="AJ280" s="22">
        <v>270</v>
      </c>
      <c r="AK280" s="22">
        <v>1.2591600000000001</v>
      </c>
      <c r="AL280">
        <f t="shared" si="54"/>
        <v>16.354400000000002</v>
      </c>
      <c r="AM280">
        <f t="shared" si="55"/>
        <v>20.600165784000001</v>
      </c>
      <c r="AP280" s="9"/>
      <c r="AQ280" s="22">
        <v>0.49041699999999999</v>
      </c>
      <c r="AR280" s="22">
        <v>300.14299999999997</v>
      </c>
      <c r="AS280" s="22">
        <v>-1.6888400000000001E-2</v>
      </c>
      <c r="AT280" s="22">
        <v>270</v>
      </c>
      <c r="AU280" s="22">
        <v>0.48974600000000001</v>
      </c>
      <c r="AV280">
        <f t="shared" si="56"/>
        <v>16.888400000000001</v>
      </c>
      <c r="AW280">
        <f t="shared" si="57"/>
        <v>8.2823584627999995</v>
      </c>
      <c r="AX280" s="9"/>
      <c r="AY280" s="22">
        <v>1.2596099999999999</v>
      </c>
      <c r="AZ280" s="22">
        <v>379.37400000000002</v>
      </c>
      <c r="BA280" s="22">
        <v>-1.6162099999999999E-2</v>
      </c>
      <c r="BB280" s="22">
        <v>270</v>
      </c>
      <c r="BC280" s="22">
        <v>1.25885</v>
      </c>
      <c r="BD280">
        <f t="shared" si="58"/>
        <v>16.162099999999999</v>
      </c>
      <c r="BE280">
        <f t="shared" si="59"/>
        <v>20.357942780999998</v>
      </c>
    </row>
    <row r="281" spans="6:101">
      <c r="F281" s="9"/>
      <c r="G281" s="22">
        <v>0.48538199999999998</v>
      </c>
      <c r="H281" s="22">
        <v>50.9422</v>
      </c>
      <c r="I281" s="22">
        <v>-1.7156999999999999E-2</v>
      </c>
      <c r="J281" s="22">
        <v>271</v>
      </c>
      <c r="K281" s="22">
        <v>0.48477199999999998</v>
      </c>
      <c r="L281">
        <f t="shared" si="48"/>
        <v>17.157</v>
      </c>
      <c r="M281">
        <f t="shared" si="49"/>
        <v>8.3276989740000005</v>
      </c>
      <c r="N281" s="9"/>
      <c r="O281" s="22">
        <v>1.2646500000000001</v>
      </c>
      <c r="P281" s="22">
        <v>106.33799999999999</v>
      </c>
      <c r="Q281" s="22">
        <v>-1.66473E-2</v>
      </c>
      <c r="R281" s="22">
        <v>271</v>
      </c>
      <c r="S281" s="22">
        <v>1.2640400000000001</v>
      </c>
      <c r="T281">
        <f t="shared" si="50"/>
        <v>16.647300000000001</v>
      </c>
      <c r="U281">
        <f t="shared" si="51"/>
        <v>21.053007945000001</v>
      </c>
      <c r="X281" s="9"/>
      <c r="Y281" s="22">
        <v>0.48538199999999998</v>
      </c>
      <c r="Z281" s="22">
        <v>168.29499999999999</v>
      </c>
      <c r="AA281" s="22">
        <v>-1.7144800000000002E-2</v>
      </c>
      <c r="AB281" s="22">
        <v>271</v>
      </c>
      <c r="AC281" s="22">
        <v>0.48474099999999998</v>
      </c>
      <c r="AD281">
        <f t="shared" si="52"/>
        <v>17.1448</v>
      </c>
      <c r="AE281">
        <f t="shared" si="53"/>
        <v>8.3217773136000002</v>
      </c>
      <c r="AF281" s="9"/>
      <c r="AG281" s="22">
        <v>1.2646500000000001</v>
      </c>
      <c r="AH281" s="22">
        <v>247.827</v>
      </c>
      <c r="AI281" s="22">
        <v>-1.6323899999999999E-2</v>
      </c>
      <c r="AJ281" s="22">
        <v>271</v>
      </c>
      <c r="AK281" s="22">
        <v>1.2640400000000001</v>
      </c>
      <c r="AL281">
        <f t="shared" si="54"/>
        <v>16.323899999999998</v>
      </c>
      <c r="AM281">
        <f t="shared" si="55"/>
        <v>20.644020134999998</v>
      </c>
      <c r="AP281" s="9"/>
      <c r="AQ281" s="22">
        <v>0.48538199999999998</v>
      </c>
      <c r="AR281" s="22">
        <v>300.24400000000003</v>
      </c>
      <c r="AS281" s="22">
        <v>-1.6885399999999998E-2</v>
      </c>
      <c r="AT281" s="22">
        <v>271</v>
      </c>
      <c r="AU281" s="22">
        <v>0.48480200000000001</v>
      </c>
      <c r="AV281">
        <f t="shared" si="56"/>
        <v>16.885399999999997</v>
      </c>
      <c r="AW281">
        <f t="shared" si="57"/>
        <v>8.195869222799999</v>
      </c>
      <c r="AX281" s="9"/>
      <c r="AY281" s="22">
        <v>1.2646500000000001</v>
      </c>
      <c r="AZ281" s="22">
        <v>379.47399999999999</v>
      </c>
      <c r="BA281" s="22">
        <v>-1.6153000000000001E-2</v>
      </c>
      <c r="BB281" s="22">
        <v>271</v>
      </c>
      <c r="BC281" s="22">
        <v>1.2640400000000001</v>
      </c>
      <c r="BD281">
        <f t="shared" si="58"/>
        <v>16.153000000000002</v>
      </c>
      <c r="BE281">
        <f t="shared" si="59"/>
        <v>20.427891450000004</v>
      </c>
    </row>
    <row r="282" spans="6:101">
      <c r="F282" s="9"/>
      <c r="G282" s="22">
        <v>0.48034700000000002</v>
      </c>
      <c r="H282" s="22">
        <v>51.042900000000003</v>
      </c>
      <c r="I282" s="22">
        <v>-1.7178300000000001E-2</v>
      </c>
      <c r="J282" s="22">
        <v>272</v>
      </c>
      <c r="K282" s="22">
        <v>0.47964499999999999</v>
      </c>
      <c r="L282">
        <f t="shared" si="48"/>
        <v>17.1783</v>
      </c>
      <c r="M282">
        <f t="shared" si="49"/>
        <v>8.2515448701</v>
      </c>
      <c r="N282" s="9"/>
      <c r="O282" s="22">
        <v>1.2696799999999999</v>
      </c>
      <c r="P282" s="22">
        <v>106.43899999999999</v>
      </c>
      <c r="Q282" s="22">
        <v>-1.6629000000000001E-2</v>
      </c>
      <c r="R282" s="22">
        <v>272</v>
      </c>
      <c r="S282" s="22">
        <v>1.2686200000000001</v>
      </c>
      <c r="T282">
        <f t="shared" si="50"/>
        <v>16.629000000000001</v>
      </c>
      <c r="U282">
        <f t="shared" si="51"/>
        <v>21.113508719999999</v>
      </c>
      <c r="X282" s="9"/>
      <c r="Y282" s="22">
        <v>0.48034700000000002</v>
      </c>
      <c r="Z282" s="22">
        <v>168.39599999999999</v>
      </c>
      <c r="AA282" s="22">
        <v>-1.7120400000000001E-2</v>
      </c>
      <c r="AB282" s="22">
        <v>272</v>
      </c>
      <c r="AC282" s="22">
        <v>0.47970600000000002</v>
      </c>
      <c r="AD282">
        <f t="shared" si="52"/>
        <v>17.1204</v>
      </c>
      <c r="AE282">
        <f t="shared" si="53"/>
        <v>8.2237327788000005</v>
      </c>
      <c r="AF282" s="9"/>
      <c r="AG282" s="22">
        <v>1.2696799999999999</v>
      </c>
      <c r="AH282" s="22">
        <v>247.928</v>
      </c>
      <c r="AI282" s="22">
        <v>-1.6342200000000001E-2</v>
      </c>
      <c r="AJ282" s="22">
        <v>272</v>
      </c>
      <c r="AK282" s="22">
        <v>1.26892</v>
      </c>
      <c r="AL282">
        <f t="shared" si="54"/>
        <v>16.342200000000002</v>
      </c>
      <c r="AM282">
        <f t="shared" si="55"/>
        <v>20.749364496000002</v>
      </c>
      <c r="AP282" s="9"/>
      <c r="AQ282" s="22">
        <v>0.48034700000000002</v>
      </c>
      <c r="AR282" s="22">
        <v>300.34500000000003</v>
      </c>
      <c r="AS282" s="22">
        <v>-1.6903700000000001E-2</v>
      </c>
      <c r="AT282" s="22">
        <v>272</v>
      </c>
      <c r="AU282" s="22">
        <v>0.47970600000000002</v>
      </c>
      <c r="AV282">
        <f t="shared" si="56"/>
        <v>16.903700000000001</v>
      </c>
      <c r="AW282">
        <f t="shared" si="57"/>
        <v>8.1196415839</v>
      </c>
      <c r="AX282" s="9"/>
      <c r="AY282" s="22">
        <v>1.2696799999999999</v>
      </c>
      <c r="AZ282" s="22">
        <v>379.57499999999999</v>
      </c>
      <c r="BA282" s="22">
        <v>-1.6153000000000001E-2</v>
      </c>
      <c r="BB282" s="22">
        <v>272</v>
      </c>
      <c r="BC282" s="22">
        <v>1.2692300000000001</v>
      </c>
      <c r="BD282">
        <f t="shared" si="58"/>
        <v>16.153000000000002</v>
      </c>
      <c r="BE282">
        <f t="shared" si="59"/>
        <v>20.509141040000003</v>
      </c>
    </row>
    <row r="283" spans="6:101">
      <c r="F283" s="9"/>
      <c r="G283" s="22">
        <v>0.47531099999999998</v>
      </c>
      <c r="H283" s="22">
        <v>51.143599999999999</v>
      </c>
      <c r="I283" s="22">
        <v>-1.7175300000000001E-2</v>
      </c>
      <c r="J283" s="22">
        <v>273</v>
      </c>
      <c r="K283" s="22">
        <v>0.47464000000000001</v>
      </c>
      <c r="L283">
        <f t="shared" si="48"/>
        <v>17.1753</v>
      </c>
      <c r="M283">
        <f t="shared" si="49"/>
        <v>8.163609018299999</v>
      </c>
      <c r="N283" s="9"/>
      <c r="O283" s="22">
        <v>1.2747200000000001</v>
      </c>
      <c r="P283" s="22">
        <v>106.539</v>
      </c>
      <c r="Q283" s="22">
        <v>-1.6601600000000001E-2</v>
      </c>
      <c r="R283" s="22">
        <v>273</v>
      </c>
      <c r="S283" s="22">
        <v>1.2741100000000001</v>
      </c>
      <c r="T283">
        <f t="shared" si="50"/>
        <v>16.601600000000001</v>
      </c>
      <c r="U283">
        <f t="shared" si="51"/>
        <v>21.162391552000003</v>
      </c>
      <c r="X283" s="9"/>
      <c r="Y283" s="22">
        <v>0.47531099999999998</v>
      </c>
      <c r="Z283" s="22">
        <v>168.49600000000001</v>
      </c>
      <c r="AA283" s="22">
        <v>-1.71112E-2</v>
      </c>
      <c r="AB283" s="22">
        <v>273</v>
      </c>
      <c r="AC283" s="22">
        <v>0.47457899999999997</v>
      </c>
      <c r="AD283">
        <f t="shared" si="52"/>
        <v>17.1112</v>
      </c>
      <c r="AE283">
        <f t="shared" si="53"/>
        <v>8.1331415832000005</v>
      </c>
      <c r="AF283" s="9"/>
      <c r="AG283" s="22">
        <v>1.2747200000000001</v>
      </c>
      <c r="AH283" s="22">
        <v>248.029</v>
      </c>
      <c r="AI283" s="22">
        <v>-1.6333E-2</v>
      </c>
      <c r="AJ283" s="22">
        <v>273</v>
      </c>
      <c r="AK283" s="22">
        <v>1.2741100000000001</v>
      </c>
      <c r="AL283">
        <f t="shared" si="54"/>
        <v>16.333000000000002</v>
      </c>
      <c r="AM283">
        <f t="shared" si="55"/>
        <v>20.820001760000004</v>
      </c>
      <c r="AP283" s="9"/>
      <c r="AQ283" s="22">
        <v>0.47531099999999998</v>
      </c>
      <c r="AR283" s="22">
        <v>300.44499999999999</v>
      </c>
      <c r="AS283" s="22">
        <v>-1.68518E-2</v>
      </c>
      <c r="AT283" s="22">
        <v>273</v>
      </c>
      <c r="AU283" s="22">
        <v>0.47464000000000001</v>
      </c>
      <c r="AV283">
        <f t="shared" si="56"/>
        <v>16.851800000000001</v>
      </c>
      <c r="AW283">
        <f t="shared" si="57"/>
        <v>8.0098459097999992</v>
      </c>
      <c r="AX283" s="9"/>
      <c r="AY283" s="22">
        <v>1.2747200000000001</v>
      </c>
      <c r="AZ283" s="22">
        <v>379.67599999999999</v>
      </c>
      <c r="BA283" s="22">
        <v>-1.6110200000000002E-2</v>
      </c>
      <c r="BB283" s="22">
        <v>273</v>
      </c>
      <c r="BC283" s="22">
        <v>1.2735000000000001</v>
      </c>
      <c r="BD283">
        <f t="shared" si="58"/>
        <v>16.110200000000003</v>
      </c>
      <c r="BE283">
        <f t="shared" si="59"/>
        <v>20.535994144000004</v>
      </c>
    </row>
    <row r="284" spans="6:101">
      <c r="F284" s="9"/>
      <c r="G284" s="22">
        <v>0.47027600000000003</v>
      </c>
      <c r="H284" s="22">
        <v>51.244300000000003</v>
      </c>
      <c r="I284" s="22">
        <v>-1.7169199999999999E-2</v>
      </c>
      <c r="J284" s="22">
        <v>274</v>
      </c>
      <c r="K284" s="22">
        <v>0.46963500000000002</v>
      </c>
      <c r="L284">
        <f t="shared" si="48"/>
        <v>17.1692</v>
      </c>
      <c r="M284">
        <f t="shared" si="49"/>
        <v>8.0742626992000002</v>
      </c>
      <c r="N284" s="9"/>
      <c r="O284" s="22">
        <v>1.2797499999999999</v>
      </c>
      <c r="P284" s="22">
        <v>106.64</v>
      </c>
      <c r="Q284" s="22">
        <v>-1.6595499999999999E-2</v>
      </c>
      <c r="R284" s="22">
        <v>274</v>
      </c>
      <c r="S284" s="22">
        <v>1.2786900000000001</v>
      </c>
      <c r="T284">
        <f t="shared" si="50"/>
        <v>16.595499999999998</v>
      </c>
      <c r="U284">
        <f t="shared" si="51"/>
        <v>21.238091124999997</v>
      </c>
      <c r="X284" s="9"/>
      <c r="Y284" s="22">
        <v>0.47027600000000003</v>
      </c>
      <c r="Z284" s="22">
        <v>168.59700000000001</v>
      </c>
      <c r="AA284" s="22">
        <v>-1.7147800000000001E-2</v>
      </c>
      <c r="AB284" s="22">
        <v>274</v>
      </c>
      <c r="AC284" s="22">
        <v>0.46960400000000002</v>
      </c>
      <c r="AD284">
        <f t="shared" si="52"/>
        <v>17.1478</v>
      </c>
      <c r="AE284">
        <f t="shared" si="53"/>
        <v>8.064198792800001</v>
      </c>
      <c r="AF284" s="9"/>
      <c r="AG284" s="22">
        <v>1.2797499999999999</v>
      </c>
      <c r="AH284" s="22">
        <v>248.12899999999999</v>
      </c>
      <c r="AI284" s="22">
        <v>-1.6311599999999999E-2</v>
      </c>
      <c r="AJ284" s="22">
        <v>274</v>
      </c>
      <c r="AK284" s="22">
        <v>1.2793000000000001</v>
      </c>
      <c r="AL284">
        <f t="shared" si="54"/>
        <v>16.311599999999999</v>
      </c>
      <c r="AM284">
        <f t="shared" si="55"/>
        <v>20.874770099999996</v>
      </c>
      <c r="AP284" s="9"/>
      <c r="AQ284" s="22">
        <v>0.47027600000000003</v>
      </c>
      <c r="AR284" s="22">
        <v>300.54599999999999</v>
      </c>
      <c r="AS284" s="22">
        <v>-1.6888400000000001E-2</v>
      </c>
      <c r="AT284" s="22">
        <v>274</v>
      </c>
      <c r="AU284" s="22">
        <v>0.46963500000000002</v>
      </c>
      <c r="AV284">
        <f t="shared" si="56"/>
        <v>16.888400000000001</v>
      </c>
      <c r="AW284">
        <f t="shared" si="57"/>
        <v>7.9422091984000005</v>
      </c>
      <c r="AX284" s="9"/>
      <c r="AY284" s="22">
        <v>1.2797499999999999</v>
      </c>
      <c r="AZ284" s="22">
        <v>379.77699999999999</v>
      </c>
      <c r="BA284" s="22">
        <v>-1.6082800000000001E-2</v>
      </c>
      <c r="BB284" s="22">
        <v>274</v>
      </c>
      <c r="BC284" s="22">
        <v>1.2786900000000001</v>
      </c>
      <c r="BD284">
        <f t="shared" si="58"/>
        <v>16.082800000000002</v>
      </c>
      <c r="BE284">
        <f t="shared" si="59"/>
        <v>20.581963300000002</v>
      </c>
    </row>
    <row r="285" spans="6:101">
      <c r="F285" s="9"/>
      <c r="G285" s="22">
        <v>0.46523999999999999</v>
      </c>
      <c r="H285" s="22">
        <v>51.344999999999999</v>
      </c>
      <c r="I285" s="22">
        <v>-1.7172199999999999E-2</v>
      </c>
      <c r="J285" s="22">
        <v>275</v>
      </c>
      <c r="K285" s="22">
        <v>0.46462999999999999</v>
      </c>
      <c r="L285">
        <f t="shared" si="48"/>
        <v>17.1722</v>
      </c>
      <c r="M285">
        <f t="shared" si="49"/>
        <v>7.989194328</v>
      </c>
      <c r="N285" s="9"/>
      <c r="O285" s="22">
        <v>1.2847900000000001</v>
      </c>
      <c r="P285" s="22">
        <v>106.741</v>
      </c>
      <c r="Q285" s="22">
        <v>-1.6595499999999999E-2</v>
      </c>
      <c r="R285" s="22">
        <v>275</v>
      </c>
      <c r="S285" s="22">
        <v>1.2844800000000001</v>
      </c>
      <c r="T285">
        <f t="shared" si="50"/>
        <v>16.595499999999998</v>
      </c>
      <c r="U285">
        <f t="shared" si="51"/>
        <v>21.321732444999999</v>
      </c>
      <c r="X285" s="9"/>
      <c r="Y285" s="22">
        <v>0.46523999999999999</v>
      </c>
      <c r="Z285" s="22">
        <v>168.69800000000001</v>
      </c>
      <c r="AA285" s="22">
        <v>-1.7144800000000002E-2</v>
      </c>
      <c r="AB285" s="22">
        <v>275</v>
      </c>
      <c r="AC285" s="22">
        <v>0.46460000000000001</v>
      </c>
      <c r="AD285">
        <f t="shared" si="52"/>
        <v>17.1448</v>
      </c>
      <c r="AE285">
        <f t="shared" si="53"/>
        <v>7.9764467520000002</v>
      </c>
      <c r="AF285" s="9"/>
      <c r="AG285" s="22">
        <v>1.2847900000000001</v>
      </c>
      <c r="AH285" s="22">
        <v>248.23</v>
      </c>
      <c r="AI285" s="22">
        <v>-1.6333E-2</v>
      </c>
      <c r="AJ285" s="22">
        <v>275</v>
      </c>
      <c r="AK285" s="22">
        <v>1.2841800000000001</v>
      </c>
      <c r="AL285">
        <f t="shared" si="54"/>
        <v>16.333000000000002</v>
      </c>
      <c r="AM285">
        <f t="shared" si="55"/>
        <v>20.984475070000006</v>
      </c>
      <c r="AP285" s="9"/>
      <c r="AQ285" s="22">
        <v>0.46523999999999999</v>
      </c>
      <c r="AR285" s="22">
        <v>300.64699999999999</v>
      </c>
      <c r="AS285" s="22">
        <v>-1.6888400000000001E-2</v>
      </c>
      <c r="AT285" s="22">
        <v>275</v>
      </c>
      <c r="AU285" s="22">
        <v>0.46460000000000001</v>
      </c>
      <c r="AV285">
        <f t="shared" si="56"/>
        <v>16.888400000000001</v>
      </c>
      <c r="AW285">
        <f t="shared" si="57"/>
        <v>7.8571592160000003</v>
      </c>
      <c r="AX285" s="9"/>
      <c r="AY285" s="22">
        <v>1.2847900000000001</v>
      </c>
      <c r="AZ285" s="22">
        <v>379.87700000000001</v>
      </c>
      <c r="BA285" s="22">
        <v>-1.60492E-2</v>
      </c>
      <c r="BB285" s="22">
        <v>275</v>
      </c>
      <c r="BC285" s="22">
        <v>1.2838700000000001</v>
      </c>
      <c r="BD285">
        <f t="shared" si="58"/>
        <v>16.049199999999999</v>
      </c>
      <c r="BE285">
        <f t="shared" si="59"/>
        <v>20.619851667999999</v>
      </c>
    </row>
    <row r="286" spans="6:101">
      <c r="F286" s="9"/>
      <c r="G286" s="22">
        <v>0.46020499999999998</v>
      </c>
      <c r="H286" s="22">
        <v>51.445700000000002</v>
      </c>
      <c r="I286" s="22">
        <v>-1.7163100000000001E-2</v>
      </c>
      <c r="J286" s="22">
        <v>276</v>
      </c>
      <c r="K286" s="22">
        <v>0.45959499999999998</v>
      </c>
      <c r="L286">
        <f t="shared" si="48"/>
        <v>17.1631</v>
      </c>
      <c r="M286">
        <f t="shared" si="49"/>
        <v>7.8985444354999998</v>
      </c>
      <c r="N286" s="9"/>
      <c r="O286" s="22">
        <v>1.28983</v>
      </c>
      <c r="P286" s="22">
        <v>106.842</v>
      </c>
      <c r="Q286" s="22">
        <v>-1.6577100000000001E-2</v>
      </c>
      <c r="R286" s="22">
        <v>276</v>
      </c>
      <c r="S286" s="22">
        <v>1.2899799999999999</v>
      </c>
      <c r="T286">
        <f t="shared" si="50"/>
        <v>16.577100000000002</v>
      </c>
      <c r="U286">
        <f t="shared" si="51"/>
        <v>21.381640893000004</v>
      </c>
      <c r="X286" s="9"/>
      <c r="Y286" s="22">
        <v>0.46020499999999998</v>
      </c>
      <c r="Z286" s="22">
        <v>168.79900000000001</v>
      </c>
      <c r="AA286" s="22">
        <v>-1.7144800000000002E-2</v>
      </c>
      <c r="AB286" s="22">
        <v>276</v>
      </c>
      <c r="AC286" s="22">
        <v>0.45962500000000001</v>
      </c>
      <c r="AD286">
        <f t="shared" si="52"/>
        <v>17.1448</v>
      </c>
      <c r="AE286">
        <f t="shared" si="53"/>
        <v>7.8901226839999996</v>
      </c>
      <c r="AF286" s="9"/>
      <c r="AG286" s="22">
        <v>1.28983</v>
      </c>
      <c r="AH286" s="22">
        <v>248.33099999999999</v>
      </c>
      <c r="AI286" s="22">
        <v>-1.6357400000000001E-2</v>
      </c>
      <c r="AJ286" s="22">
        <v>276</v>
      </c>
      <c r="AK286" s="22">
        <v>1.2893699999999999</v>
      </c>
      <c r="AL286">
        <f t="shared" si="54"/>
        <v>16.357400000000002</v>
      </c>
      <c r="AM286">
        <f t="shared" si="55"/>
        <v>21.098265242000004</v>
      </c>
      <c r="AP286" s="9"/>
      <c r="AQ286" s="22">
        <v>0.46020499999999998</v>
      </c>
      <c r="AR286" s="22">
        <v>300.74799999999999</v>
      </c>
      <c r="AS286" s="22">
        <v>-1.6928100000000001E-2</v>
      </c>
      <c r="AT286" s="22">
        <v>276</v>
      </c>
      <c r="AU286" s="22">
        <v>0.45956399999999997</v>
      </c>
      <c r="AV286">
        <f t="shared" si="56"/>
        <v>16.928100000000001</v>
      </c>
      <c r="AW286">
        <f t="shared" si="57"/>
        <v>7.7903962604999997</v>
      </c>
      <c r="AX286" s="9"/>
      <c r="AY286" s="22">
        <v>1.28983</v>
      </c>
      <c r="AZ286" s="22">
        <v>379.97800000000001</v>
      </c>
      <c r="BA286" s="22">
        <v>-1.6036999999999999E-2</v>
      </c>
      <c r="BB286" s="22">
        <v>276</v>
      </c>
      <c r="BC286" s="22">
        <v>1.2893699999999999</v>
      </c>
      <c r="BD286">
        <f t="shared" si="58"/>
        <v>16.036999999999999</v>
      </c>
      <c r="BE286">
        <f t="shared" si="59"/>
        <v>20.68500371</v>
      </c>
    </row>
    <row r="287" spans="6:101">
      <c r="F287" s="9"/>
      <c r="G287" s="22">
        <v>0.45517000000000002</v>
      </c>
      <c r="H287" s="22">
        <v>51.546399999999998</v>
      </c>
      <c r="I287" s="22">
        <v>-1.7160000000000002E-2</v>
      </c>
      <c r="J287" s="22">
        <v>277</v>
      </c>
      <c r="K287" s="22">
        <v>0.45449800000000001</v>
      </c>
      <c r="L287">
        <f t="shared" si="48"/>
        <v>17.16</v>
      </c>
      <c r="M287">
        <f t="shared" si="49"/>
        <v>7.8107172</v>
      </c>
      <c r="N287" s="9"/>
      <c r="O287" s="22">
        <v>1.2948599999999999</v>
      </c>
      <c r="P287" s="22">
        <v>106.94199999999999</v>
      </c>
      <c r="Q287" s="22">
        <v>-1.6558799999999999E-2</v>
      </c>
      <c r="R287" s="22">
        <v>277</v>
      </c>
      <c r="S287" s="22">
        <v>1.2939499999999999</v>
      </c>
      <c r="T287">
        <f t="shared" si="50"/>
        <v>16.558799999999998</v>
      </c>
      <c r="U287">
        <f t="shared" si="51"/>
        <v>21.441327767999997</v>
      </c>
      <c r="X287" s="9"/>
      <c r="Y287" s="22">
        <v>0.45517000000000002</v>
      </c>
      <c r="Z287" s="22">
        <v>168.899</v>
      </c>
      <c r="AA287" s="22">
        <v>-1.7175300000000001E-2</v>
      </c>
      <c r="AB287" s="22">
        <v>277</v>
      </c>
      <c r="AC287" s="22">
        <v>0.45458999999999999</v>
      </c>
      <c r="AD287">
        <f t="shared" si="52"/>
        <v>17.1753</v>
      </c>
      <c r="AE287">
        <f t="shared" si="53"/>
        <v>7.8176813010000004</v>
      </c>
      <c r="AF287" s="9"/>
      <c r="AG287" s="22">
        <v>1.2948599999999999</v>
      </c>
      <c r="AH287" s="22">
        <v>248.43199999999999</v>
      </c>
      <c r="AI287" s="22">
        <v>-1.6305500000000001E-2</v>
      </c>
      <c r="AJ287" s="22">
        <v>277</v>
      </c>
      <c r="AK287" s="22">
        <v>1.2945599999999999</v>
      </c>
      <c r="AL287">
        <f t="shared" si="54"/>
        <v>16.305500000000002</v>
      </c>
      <c r="AM287">
        <f t="shared" si="55"/>
        <v>21.11333973</v>
      </c>
      <c r="AP287" s="9"/>
      <c r="AQ287" s="22">
        <v>0.45517000000000002</v>
      </c>
      <c r="AR287" s="22">
        <v>300.84800000000001</v>
      </c>
      <c r="AS287" s="22">
        <v>-1.6900600000000002E-2</v>
      </c>
      <c r="AT287" s="22">
        <v>277</v>
      </c>
      <c r="AU287" s="22">
        <v>0.45449800000000001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380.07900000000001</v>
      </c>
      <c r="BA287" s="22">
        <v>-1.60614E-2</v>
      </c>
      <c r="BB287" s="22">
        <v>277</v>
      </c>
      <c r="BC287" s="22">
        <v>1.2942499999999999</v>
      </c>
      <c r="BD287">
        <f t="shared" si="58"/>
        <v>16.061399999999999</v>
      </c>
      <c r="BE287">
        <f t="shared" si="59"/>
        <v>20.797264403999996</v>
      </c>
    </row>
    <row r="288" spans="6:101">
      <c r="F288" s="9"/>
      <c r="G288" s="22">
        <v>0.45013399999999998</v>
      </c>
      <c r="H288" s="22">
        <v>51.647100000000002</v>
      </c>
      <c r="I288" s="22">
        <v>-1.7178300000000001E-2</v>
      </c>
      <c r="J288" s="22">
        <v>278</v>
      </c>
      <c r="K288" s="22">
        <v>0.44952399999999998</v>
      </c>
      <c r="L288">
        <f t="shared" si="48"/>
        <v>17.1783</v>
      </c>
      <c r="M288">
        <f t="shared" si="49"/>
        <v>7.7325368921999997</v>
      </c>
      <c r="N288" s="9"/>
      <c r="O288" s="22">
        <v>1.2999000000000001</v>
      </c>
      <c r="P288" s="22">
        <v>107.04300000000001</v>
      </c>
      <c r="Q288" s="22">
        <v>-1.6567999999999999E-2</v>
      </c>
      <c r="R288" s="22">
        <v>278</v>
      </c>
      <c r="S288" s="22">
        <v>1.2994399999999999</v>
      </c>
      <c r="T288">
        <f t="shared" si="50"/>
        <v>16.567999999999998</v>
      </c>
      <c r="U288">
        <f t="shared" si="51"/>
        <v>21.536743199999997</v>
      </c>
      <c r="X288" s="9"/>
      <c r="Y288" s="22">
        <v>0.45013399999999998</v>
      </c>
      <c r="Z288" s="22">
        <v>169</v>
      </c>
      <c r="AA288" s="22">
        <v>-1.71509E-2</v>
      </c>
      <c r="AB288" s="22">
        <v>278</v>
      </c>
      <c r="AC288" s="22">
        <v>0.44949299999999998</v>
      </c>
      <c r="AD288">
        <f t="shared" si="52"/>
        <v>17.1509</v>
      </c>
      <c r="AE288">
        <f t="shared" si="53"/>
        <v>7.7202032205999993</v>
      </c>
      <c r="AF288" s="9"/>
      <c r="AG288" s="22">
        <v>1.2999000000000001</v>
      </c>
      <c r="AH288" s="22">
        <v>248.53200000000001</v>
      </c>
      <c r="AI288" s="22">
        <v>-1.6311599999999999E-2</v>
      </c>
      <c r="AJ288" s="22">
        <v>278</v>
      </c>
      <c r="AK288" s="22">
        <v>1.2991299999999999</v>
      </c>
      <c r="AL288">
        <f t="shared" si="54"/>
        <v>16.311599999999999</v>
      </c>
      <c r="AM288">
        <f t="shared" si="55"/>
        <v>21.20344884</v>
      </c>
      <c r="AP288" s="9"/>
      <c r="AQ288" s="22">
        <v>0.45013399999999998</v>
      </c>
      <c r="AR288" s="22">
        <v>300.94900000000001</v>
      </c>
      <c r="AS288" s="22">
        <v>-1.6922E-2</v>
      </c>
      <c r="AT288" s="22">
        <v>278</v>
      </c>
      <c r="AU288" s="22">
        <v>0.44952399999999998</v>
      </c>
      <c r="AV288">
        <f t="shared" si="56"/>
        <v>16.922000000000001</v>
      </c>
      <c r="AW288">
        <f t="shared" si="57"/>
        <v>7.6171675480000003</v>
      </c>
      <c r="AX288" s="9"/>
      <c r="AY288" s="22">
        <v>1.2999000000000001</v>
      </c>
      <c r="AZ288" s="22">
        <v>380.17899999999997</v>
      </c>
      <c r="BA288" s="22">
        <v>-1.6070600000000001E-2</v>
      </c>
      <c r="BB288" s="22">
        <v>278</v>
      </c>
      <c r="BC288" s="22">
        <v>1.2991299999999999</v>
      </c>
      <c r="BD288">
        <f t="shared" si="58"/>
        <v>16.070600000000002</v>
      </c>
      <c r="BE288">
        <f t="shared" si="59"/>
        <v>20.890172940000003</v>
      </c>
    </row>
    <row r="289" spans="6:57">
      <c r="F289" s="9"/>
      <c r="G289" s="22">
        <v>0.44509900000000002</v>
      </c>
      <c r="H289" s="22">
        <v>51.747799999999998</v>
      </c>
      <c r="I289" s="22">
        <v>-1.71906E-2</v>
      </c>
      <c r="J289" s="22">
        <v>279</v>
      </c>
      <c r="K289" s="22">
        <v>0.44445800000000002</v>
      </c>
      <c r="L289">
        <f t="shared" si="48"/>
        <v>17.1906</v>
      </c>
      <c r="M289">
        <f t="shared" si="49"/>
        <v>7.6515188694000003</v>
      </c>
      <c r="N289" s="9"/>
      <c r="O289" s="22">
        <v>1.3049299999999999</v>
      </c>
      <c r="P289" s="22">
        <v>107.14400000000001</v>
      </c>
      <c r="Q289" s="22">
        <v>-1.6555799999999999E-2</v>
      </c>
      <c r="R289" s="22">
        <v>279</v>
      </c>
      <c r="S289" s="22">
        <v>1.3043199999999999</v>
      </c>
      <c r="T289">
        <f t="shared" si="50"/>
        <v>16.555799999999998</v>
      </c>
      <c r="U289">
        <f t="shared" si="51"/>
        <v>21.604160093999997</v>
      </c>
      <c r="X289" s="9"/>
      <c r="Y289" s="22">
        <v>0.44509900000000002</v>
      </c>
      <c r="Z289" s="22">
        <v>169.101</v>
      </c>
      <c r="AA289" s="22">
        <v>-1.7187500000000001E-2</v>
      </c>
      <c r="AB289" s="22">
        <v>279</v>
      </c>
      <c r="AC289" s="22">
        <v>0.44455</v>
      </c>
      <c r="AD289">
        <f t="shared" si="52"/>
        <v>17.1875</v>
      </c>
      <c r="AE289">
        <f t="shared" si="53"/>
        <v>7.6501390625000001</v>
      </c>
      <c r="AF289" s="9"/>
      <c r="AG289" s="22">
        <v>1.3049299999999999</v>
      </c>
      <c r="AH289" s="22">
        <v>248.63300000000001</v>
      </c>
      <c r="AI289" s="22">
        <v>-1.6262800000000001E-2</v>
      </c>
      <c r="AJ289" s="22">
        <v>279</v>
      </c>
      <c r="AK289" s="22">
        <v>1.30463</v>
      </c>
      <c r="AL289">
        <f t="shared" si="54"/>
        <v>16.262800000000002</v>
      </c>
      <c r="AM289">
        <f t="shared" si="55"/>
        <v>21.221815604000003</v>
      </c>
      <c r="AP289" s="9"/>
      <c r="AQ289" s="22">
        <v>0.44509900000000002</v>
      </c>
      <c r="AR289" s="22">
        <v>301.05</v>
      </c>
      <c r="AS289" s="22">
        <v>-1.6918900000000001E-2</v>
      </c>
      <c r="AT289" s="22">
        <v>279</v>
      </c>
      <c r="AU289" s="22">
        <v>0.44433600000000001</v>
      </c>
      <c r="AV289">
        <f t="shared" si="56"/>
        <v>16.918900000000001</v>
      </c>
      <c r="AW289">
        <f t="shared" si="57"/>
        <v>7.5305854711000011</v>
      </c>
      <c r="AX289" s="9"/>
      <c r="AY289" s="22">
        <v>1.3049299999999999</v>
      </c>
      <c r="AZ289" s="22">
        <v>380.28</v>
      </c>
      <c r="BA289" s="22">
        <v>-1.6046100000000001E-2</v>
      </c>
      <c r="BB289" s="22">
        <v>279</v>
      </c>
      <c r="BC289" s="22">
        <v>1.30463</v>
      </c>
      <c r="BD289">
        <f t="shared" si="58"/>
        <v>16.046099999999999</v>
      </c>
      <c r="BE289">
        <f t="shared" si="59"/>
        <v>20.939037272999997</v>
      </c>
    </row>
    <row r="290" spans="6:57">
      <c r="F290" s="9"/>
      <c r="G290" s="22">
        <v>0.44006299999999998</v>
      </c>
      <c r="H290" s="22">
        <v>51.848500000000001</v>
      </c>
      <c r="I290" s="22">
        <v>-1.71906E-2</v>
      </c>
      <c r="J290" s="22">
        <v>280</v>
      </c>
      <c r="K290" s="22">
        <v>0.43942300000000001</v>
      </c>
      <c r="L290">
        <f t="shared" si="48"/>
        <v>17.1906</v>
      </c>
      <c r="M290">
        <f t="shared" si="49"/>
        <v>7.5649470077999998</v>
      </c>
      <c r="N290" s="9"/>
      <c r="O290" s="22">
        <v>1.3099700000000001</v>
      </c>
      <c r="P290" s="22">
        <v>107.244</v>
      </c>
      <c r="Q290" s="22">
        <v>-1.6522200000000001E-2</v>
      </c>
      <c r="R290" s="22">
        <v>280</v>
      </c>
      <c r="S290" s="22">
        <v>1.30951</v>
      </c>
      <c r="T290">
        <f t="shared" si="50"/>
        <v>16.522200000000002</v>
      </c>
      <c r="U290">
        <f t="shared" si="51"/>
        <v>21.643586334000002</v>
      </c>
      <c r="X290" s="9"/>
      <c r="Y290" s="22">
        <v>0.44006299999999998</v>
      </c>
      <c r="Z290" s="22">
        <v>169.20099999999999</v>
      </c>
      <c r="AA290" s="22">
        <v>-1.7156999999999999E-2</v>
      </c>
      <c r="AB290" s="22">
        <v>280</v>
      </c>
      <c r="AC290" s="22">
        <v>0.439392</v>
      </c>
      <c r="AD290">
        <f t="shared" si="52"/>
        <v>17.157</v>
      </c>
      <c r="AE290">
        <f t="shared" si="53"/>
        <v>7.550160891</v>
      </c>
      <c r="AF290" s="9"/>
      <c r="AG290" s="22">
        <v>1.3099700000000001</v>
      </c>
      <c r="AH290" s="22">
        <v>248.73400000000001</v>
      </c>
      <c r="AI290" s="22">
        <v>-1.6235400000000001E-2</v>
      </c>
      <c r="AJ290" s="22">
        <v>280</v>
      </c>
      <c r="AK290" s="22">
        <v>1.3089</v>
      </c>
      <c r="AL290">
        <f t="shared" si="54"/>
        <v>16.235400000000002</v>
      </c>
      <c r="AM290">
        <f t="shared" si="55"/>
        <v>21.267886938000004</v>
      </c>
      <c r="AP290" s="9"/>
      <c r="AQ290" s="22">
        <v>0.44006299999999998</v>
      </c>
      <c r="AR290" s="22">
        <v>301.14999999999998</v>
      </c>
      <c r="AS290" s="22">
        <v>-1.69067E-2</v>
      </c>
      <c r="AT290" s="22">
        <v>280</v>
      </c>
      <c r="AU290" s="22">
        <v>0.439392</v>
      </c>
      <c r="AV290">
        <f t="shared" si="56"/>
        <v>16.906700000000001</v>
      </c>
      <c r="AW290">
        <f t="shared" si="57"/>
        <v>7.4400131220999999</v>
      </c>
      <c r="AX290" s="9"/>
      <c r="AY290" s="22">
        <v>1.3099700000000001</v>
      </c>
      <c r="AZ290" s="22">
        <v>380.38099999999997</v>
      </c>
      <c r="BA290" s="22">
        <v>-1.5985099999999999E-2</v>
      </c>
      <c r="BB290" s="22">
        <v>280</v>
      </c>
      <c r="BC290" s="22">
        <v>1.3085899999999999</v>
      </c>
      <c r="BD290">
        <f t="shared" si="58"/>
        <v>15.985099999999999</v>
      </c>
      <c r="BE290">
        <f t="shared" si="59"/>
        <v>20.940001447</v>
      </c>
    </row>
    <row r="291" spans="6:57">
      <c r="F291" s="9"/>
      <c r="G291" s="22">
        <v>0.43502800000000003</v>
      </c>
      <c r="H291" s="22">
        <v>51.949199999999998</v>
      </c>
      <c r="I291" s="22">
        <v>-1.7175300000000001E-2</v>
      </c>
      <c r="J291" s="22">
        <v>281</v>
      </c>
      <c r="K291" s="22">
        <v>0.43438700000000002</v>
      </c>
      <c r="L291">
        <f t="shared" si="48"/>
        <v>17.1753</v>
      </c>
      <c r="M291">
        <f t="shared" si="49"/>
        <v>7.4717364084000009</v>
      </c>
      <c r="N291" s="9"/>
      <c r="O291" s="22">
        <v>1.3149999999999999</v>
      </c>
      <c r="P291" s="22">
        <v>107.345</v>
      </c>
      <c r="Q291" s="22">
        <v>-1.6531400000000002E-2</v>
      </c>
      <c r="R291" s="22">
        <v>281</v>
      </c>
      <c r="S291" s="22">
        <v>1.31409</v>
      </c>
      <c r="T291">
        <f t="shared" si="50"/>
        <v>16.531400000000001</v>
      </c>
      <c r="U291">
        <f t="shared" si="51"/>
        <v>21.738791000000003</v>
      </c>
      <c r="X291" s="9"/>
      <c r="Y291" s="22">
        <v>0.43502800000000003</v>
      </c>
      <c r="Z291" s="22">
        <v>169.30199999999999</v>
      </c>
      <c r="AA291" s="22">
        <v>-1.7135600000000001E-2</v>
      </c>
      <c r="AB291" s="22">
        <v>281</v>
      </c>
      <c r="AC291" s="22">
        <v>0.43435699999999999</v>
      </c>
      <c r="AD291">
        <f t="shared" si="52"/>
        <v>17.1356</v>
      </c>
      <c r="AE291">
        <f t="shared" si="53"/>
        <v>7.4544657968000001</v>
      </c>
      <c r="AF291" s="9"/>
      <c r="AG291" s="22">
        <v>1.3149999999999999</v>
      </c>
      <c r="AH291" s="22">
        <v>248.834</v>
      </c>
      <c r="AI291" s="22">
        <v>-1.62262E-2</v>
      </c>
      <c r="AJ291" s="22">
        <v>281</v>
      </c>
      <c r="AK291" s="22">
        <v>1.31409</v>
      </c>
      <c r="AL291">
        <f t="shared" si="54"/>
        <v>16.226199999999999</v>
      </c>
      <c r="AM291">
        <f t="shared" si="55"/>
        <v>21.337452999999996</v>
      </c>
      <c r="AP291" s="9"/>
      <c r="AQ291" s="22">
        <v>0.43502800000000003</v>
      </c>
      <c r="AR291" s="22">
        <v>301.25099999999998</v>
      </c>
      <c r="AS291" s="22">
        <v>-1.6870099999999999E-2</v>
      </c>
      <c r="AT291" s="22">
        <v>281</v>
      </c>
      <c r="AU291" s="22">
        <v>0.434448</v>
      </c>
      <c r="AV291">
        <f t="shared" si="56"/>
        <v>16.870100000000001</v>
      </c>
      <c r="AW291">
        <f t="shared" si="57"/>
        <v>7.3389658628000012</v>
      </c>
      <c r="AX291" s="9"/>
      <c r="AY291" s="22">
        <v>1.3149999999999999</v>
      </c>
      <c r="AZ291" s="22">
        <v>380.48099999999999</v>
      </c>
      <c r="BA291" s="22">
        <v>-1.5994299999999999E-2</v>
      </c>
      <c r="BB291" s="22">
        <v>281</v>
      </c>
      <c r="BC291" s="22">
        <v>1.3143899999999999</v>
      </c>
      <c r="BD291">
        <f t="shared" si="58"/>
        <v>15.994299999999999</v>
      </c>
      <c r="BE291">
        <f t="shared" si="59"/>
        <v>21.032504499999998</v>
      </c>
    </row>
    <row r="292" spans="6:57">
      <c r="F292" s="9"/>
      <c r="G292" s="22">
        <v>0.42999300000000001</v>
      </c>
      <c r="H292" s="22">
        <v>52.05</v>
      </c>
      <c r="I292" s="22">
        <v>-1.7178300000000001E-2</v>
      </c>
      <c r="J292" s="22">
        <v>282</v>
      </c>
      <c r="K292" s="22">
        <v>0.429504</v>
      </c>
      <c r="L292">
        <f t="shared" si="48"/>
        <v>17.1783</v>
      </c>
      <c r="M292">
        <f t="shared" si="49"/>
        <v>7.3865487519000004</v>
      </c>
      <c r="N292" s="9"/>
      <c r="O292" s="22">
        <v>1.3200400000000001</v>
      </c>
      <c r="P292" s="22">
        <v>107.446</v>
      </c>
      <c r="Q292" s="22">
        <v>-1.64978E-2</v>
      </c>
      <c r="R292" s="22">
        <v>282</v>
      </c>
      <c r="S292" s="22">
        <v>1.3186599999999999</v>
      </c>
      <c r="T292">
        <f t="shared" si="50"/>
        <v>16.497800000000002</v>
      </c>
      <c r="U292">
        <f t="shared" si="51"/>
        <v>21.777755912000003</v>
      </c>
      <c r="X292" s="9"/>
      <c r="Y292" s="22">
        <v>0.42999300000000001</v>
      </c>
      <c r="Z292" s="22">
        <v>169.40299999999999</v>
      </c>
      <c r="AA292" s="22">
        <v>-1.71661E-2</v>
      </c>
      <c r="AB292" s="22">
        <v>282</v>
      </c>
      <c r="AC292" s="22">
        <v>0.42941299999999999</v>
      </c>
      <c r="AD292">
        <f t="shared" si="52"/>
        <v>17.1661</v>
      </c>
      <c r="AE292">
        <f t="shared" si="53"/>
        <v>7.3813028373000007</v>
      </c>
      <c r="AF292" s="9"/>
      <c r="AG292" s="22">
        <v>1.3200400000000001</v>
      </c>
      <c r="AH292" s="22">
        <v>248.935</v>
      </c>
      <c r="AI292" s="22">
        <v>-1.6216999999999999E-2</v>
      </c>
      <c r="AJ292" s="22">
        <v>282</v>
      </c>
      <c r="AK292" s="22">
        <v>1.3186599999999999</v>
      </c>
      <c r="AL292">
        <f t="shared" si="54"/>
        <v>16.216999999999999</v>
      </c>
      <c r="AM292">
        <f t="shared" si="55"/>
        <v>21.407088680000001</v>
      </c>
      <c r="AP292" s="9"/>
      <c r="AQ292" s="22">
        <v>0.42999300000000001</v>
      </c>
      <c r="AR292" s="22">
        <v>301.35199999999998</v>
      </c>
      <c r="AS292" s="22">
        <v>-1.6867099999999999E-2</v>
      </c>
      <c r="AT292" s="22">
        <v>282</v>
      </c>
      <c r="AU292" s="22">
        <v>0.42941299999999999</v>
      </c>
      <c r="AV292">
        <f t="shared" si="56"/>
        <v>16.867100000000001</v>
      </c>
      <c r="AW292">
        <f t="shared" si="57"/>
        <v>7.2527349303000008</v>
      </c>
      <c r="AX292" s="9"/>
      <c r="AY292" s="22">
        <v>1.3200400000000001</v>
      </c>
      <c r="AZ292" s="22">
        <v>380.58199999999999</v>
      </c>
      <c r="BA292" s="22">
        <v>-1.5963700000000001E-2</v>
      </c>
      <c r="BB292" s="22">
        <v>282</v>
      </c>
      <c r="BC292" s="22">
        <v>1.3192699999999999</v>
      </c>
      <c r="BD292">
        <f t="shared" si="58"/>
        <v>15.963700000000001</v>
      </c>
      <c r="BE292">
        <f t="shared" si="59"/>
        <v>21.072722548000002</v>
      </c>
    </row>
    <row r="293" spans="6:57">
      <c r="F293" s="9"/>
      <c r="G293" s="22">
        <v>0.42495699999999997</v>
      </c>
      <c r="H293" s="22">
        <v>52.150700000000001</v>
      </c>
      <c r="I293" s="22">
        <v>-1.71906E-2</v>
      </c>
      <c r="J293" s="22">
        <v>283</v>
      </c>
      <c r="K293" s="22">
        <v>0.424377</v>
      </c>
      <c r="L293">
        <f t="shared" si="48"/>
        <v>17.1906</v>
      </c>
      <c r="M293">
        <f t="shared" si="49"/>
        <v>7.3052658041999994</v>
      </c>
      <c r="N293" s="9"/>
      <c r="O293" s="22">
        <v>1.32507</v>
      </c>
      <c r="P293" s="22">
        <v>107.547</v>
      </c>
      <c r="Q293" s="22">
        <v>-1.64948E-2</v>
      </c>
      <c r="R293" s="22">
        <v>283</v>
      </c>
      <c r="S293" s="22">
        <v>1.32385</v>
      </c>
      <c r="T293">
        <f t="shared" si="50"/>
        <v>16.494800000000001</v>
      </c>
      <c r="U293">
        <f t="shared" si="51"/>
        <v>21.856764636000001</v>
      </c>
      <c r="X293" s="9"/>
      <c r="Y293" s="22">
        <v>0.42495699999999997</v>
      </c>
      <c r="Z293" s="22">
        <v>169.50299999999999</v>
      </c>
      <c r="AA293" s="22">
        <v>-1.71387E-2</v>
      </c>
      <c r="AB293" s="22">
        <v>283</v>
      </c>
      <c r="AC293" s="22">
        <v>0.42434699999999997</v>
      </c>
      <c r="AD293">
        <f t="shared" si="52"/>
        <v>17.1387</v>
      </c>
      <c r="AE293">
        <f t="shared" si="53"/>
        <v>7.2832105358999994</v>
      </c>
      <c r="AF293" s="9"/>
      <c r="AG293" s="22">
        <v>1.32507</v>
      </c>
      <c r="AH293" s="22">
        <v>249.036</v>
      </c>
      <c r="AI293" s="22">
        <v>-1.6168200000000001E-2</v>
      </c>
      <c r="AJ293" s="22">
        <v>283</v>
      </c>
      <c r="AK293" s="22">
        <v>1.32446</v>
      </c>
      <c r="AL293">
        <f t="shared" si="54"/>
        <v>16.168200000000002</v>
      </c>
      <c r="AM293">
        <f t="shared" si="55"/>
        <v>21.423996774000003</v>
      </c>
      <c r="AP293" s="9"/>
      <c r="AQ293" s="22">
        <v>0.42495699999999997</v>
      </c>
      <c r="AR293" s="22">
        <v>301.45299999999997</v>
      </c>
      <c r="AS293" s="22">
        <v>-1.6870099999999999E-2</v>
      </c>
      <c r="AT293" s="22">
        <v>283</v>
      </c>
      <c r="AU293" s="22">
        <v>0.424377</v>
      </c>
      <c r="AV293">
        <f t="shared" si="56"/>
        <v>16.870100000000001</v>
      </c>
      <c r="AW293">
        <f t="shared" si="57"/>
        <v>7.1690670857000001</v>
      </c>
      <c r="AX293" s="9"/>
      <c r="AY293" s="22">
        <v>1.32507</v>
      </c>
      <c r="AZ293" s="22">
        <v>380.68299999999999</v>
      </c>
      <c r="BA293" s="22">
        <v>-1.5908800000000001E-2</v>
      </c>
      <c r="BB293" s="22">
        <v>283</v>
      </c>
      <c r="BC293" s="22">
        <v>1.32446</v>
      </c>
      <c r="BD293">
        <f t="shared" si="58"/>
        <v>15.908800000000001</v>
      </c>
      <c r="BE293">
        <f t="shared" si="59"/>
        <v>21.080273615999999</v>
      </c>
    </row>
    <row r="294" spans="6:57">
      <c r="F294" s="9"/>
      <c r="G294" s="22">
        <v>0.41992200000000002</v>
      </c>
      <c r="H294" s="22">
        <v>52.251399999999997</v>
      </c>
      <c r="I294" s="22">
        <v>-1.7187500000000001E-2</v>
      </c>
      <c r="J294" s="22">
        <v>284</v>
      </c>
      <c r="K294" s="22">
        <v>0.41921999999999998</v>
      </c>
      <c r="L294">
        <f t="shared" si="48"/>
        <v>17.1875</v>
      </c>
      <c r="M294">
        <f t="shared" si="49"/>
        <v>7.2174093749999999</v>
      </c>
      <c r="N294" s="9"/>
      <c r="O294" s="22">
        <v>1.3301099999999999</v>
      </c>
      <c r="P294" s="22">
        <v>107.64700000000001</v>
      </c>
      <c r="Q294" s="22">
        <v>-1.6479500000000001E-2</v>
      </c>
      <c r="R294" s="22">
        <v>284</v>
      </c>
      <c r="S294" s="22">
        <v>1.32874</v>
      </c>
      <c r="T294">
        <f t="shared" si="50"/>
        <v>16.479500000000002</v>
      </c>
      <c r="U294">
        <f t="shared" si="51"/>
        <v>21.919547744999999</v>
      </c>
      <c r="X294" s="9"/>
      <c r="Y294" s="22">
        <v>0.41992200000000002</v>
      </c>
      <c r="Z294" s="22">
        <v>169.60400000000001</v>
      </c>
      <c r="AA294" s="22">
        <v>-1.7141699999999999E-2</v>
      </c>
      <c r="AB294" s="22">
        <v>284</v>
      </c>
      <c r="AC294" s="22">
        <v>0.41931200000000002</v>
      </c>
      <c r="AD294">
        <f t="shared" si="52"/>
        <v>17.1417</v>
      </c>
      <c r="AE294">
        <f t="shared" si="53"/>
        <v>7.1981769474000004</v>
      </c>
      <c r="AF294" s="9"/>
      <c r="AG294" s="22">
        <v>1.3301099999999999</v>
      </c>
      <c r="AH294" s="22">
        <v>249.136</v>
      </c>
      <c r="AI294" s="22">
        <v>-1.6162099999999999E-2</v>
      </c>
      <c r="AJ294" s="22">
        <v>284</v>
      </c>
      <c r="AK294" s="22">
        <v>1.32904</v>
      </c>
      <c r="AL294">
        <f t="shared" si="54"/>
        <v>16.162099999999999</v>
      </c>
      <c r="AM294">
        <f t="shared" si="55"/>
        <v>21.497370830999998</v>
      </c>
      <c r="AP294" s="9"/>
      <c r="AQ294" s="22">
        <v>0.41992200000000002</v>
      </c>
      <c r="AR294" s="22">
        <v>301.553</v>
      </c>
      <c r="AS294" s="22">
        <v>-1.6857899999999999E-2</v>
      </c>
      <c r="AT294" s="22">
        <v>284</v>
      </c>
      <c r="AU294" s="22">
        <v>0.41934199999999999</v>
      </c>
      <c r="AV294">
        <f t="shared" si="56"/>
        <v>16.857899999999997</v>
      </c>
      <c r="AW294">
        <f t="shared" si="57"/>
        <v>7.0790030837999991</v>
      </c>
      <c r="AX294" s="9"/>
      <c r="AY294" s="22">
        <v>1.3301099999999999</v>
      </c>
      <c r="AZ294" s="22">
        <v>380.78399999999999</v>
      </c>
      <c r="BA294" s="22">
        <v>-1.59393E-2</v>
      </c>
      <c r="BB294" s="22">
        <v>284</v>
      </c>
      <c r="BC294" s="22">
        <v>1.32935</v>
      </c>
      <c r="BD294">
        <f t="shared" si="58"/>
        <v>15.939299999999999</v>
      </c>
      <c r="BE294">
        <f t="shared" si="59"/>
        <v>21.201022322999997</v>
      </c>
    </row>
    <row r="295" spans="6:57">
      <c r="F295" s="9"/>
      <c r="G295" s="22">
        <v>0.41488599999999998</v>
      </c>
      <c r="H295" s="22">
        <v>52.3521</v>
      </c>
      <c r="I295" s="22">
        <v>-1.7208899999999999E-2</v>
      </c>
      <c r="J295" s="22">
        <v>285</v>
      </c>
      <c r="K295" s="22">
        <v>0.414246</v>
      </c>
      <c r="L295">
        <f t="shared" si="48"/>
        <v>17.2089</v>
      </c>
      <c r="M295">
        <f t="shared" si="49"/>
        <v>7.1397316853999993</v>
      </c>
      <c r="N295" s="9"/>
      <c r="O295" s="22">
        <v>1.33514</v>
      </c>
      <c r="P295" s="22">
        <v>107.748</v>
      </c>
      <c r="Q295" s="22">
        <v>-1.6452000000000001E-2</v>
      </c>
      <c r="R295" s="22">
        <v>285</v>
      </c>
      <c r="S295" s="22">
        <v>1.33392</v>
      </c>
      <c r="T295">
        <f t="shared" si="50"/>
        <v>16.452000000000002</v>
      </c>
      <c r="U295">
        <f t="shared" si="51"/>
        <v>21.965723280000002</v>
      </c>
      <c r="X295" s="9"/>
      <c r="Y295" s="22">
        <v>0.41488599999999998</v>
      </c>
      <c r="Z295" s="22">
        <v>169.70500000000001</v>
      </c>
      <c r="AA295" s="22">
        <v>-1.7181399999999999E-2</v>
      </c>
      <c r="AB295" s="22">
        <v>285</v>
      </c>
      <c r="AC295" s="22">
        <v>0.414246</v>
      </c>
      <c r="AD295">
        <f t="shared" si="52"/>
        <v>17.1814</v>
      </c>
      <c r="AE295">
        <f t="shared" si="53"/>
        <v>7.1283223203999997</v>
      </c>
      <c r="AF295" s="9"/>
      <c r="AG295" s="22">
        <v>1.33514</v>
      </c>
      <c r="AH295" s="22">
        <v>249.23699999999999</v>
      </c>
      <c r="AI295" s="22">
        <v>-1.6134599999999999E-2</v>
      </c>
      <c r="AJ295" s="22">
        <v>285</v>
      </c>
      <c r="AK295" s="22">
        <v>1.33423</v>
      </c>
      <c r="AL295">
        <f t="shared" si="54"/>
        <v>16.134599999999999</v>
      </c>
      <c r="AM295">
        <f t="shared" si="55"/>
        <v>21.541949843999998</v>
      </c>
      <c r="AP295" s="9"/>
      <c r="AQ295" s="22">
        <v>0.41488599999999998</v>
      </c>
      <c r="AR295" s="22">
        <v>301.654</v>
      </c>
      <c r="AS295" s="22">
        <v>-1.6888400000000001E-2</v>
      </c>
      <c r="AT295" s="22">
        <v>285</v>
      </c>
      <c r="AU295" s="22">
        <v>0.41430699999999998</v>
      </c>
      <c r="AV295">
        <f t="shared" si="56"/>
        <v>16.888400000000001</v>
      </c>
      <c r="AW295">
        <f t="shared" si="57"/>
        <v>7.0067607224000001</v>
      </c>
      <c r="AX295" s="9"/>
      <c r="AY295" s="22">
        <v>1.33514</v>
      </c>
      <c r="AZ295" s="22">
        <v>380.88400000000001</v>
      </c>
      <c r="BA295" s="22">
        <v>-1.5899699999999999E-2</v>
      </c>
      <c r="BB295" s="22">
        <v>285</v>
      </c>
      <c r="BC295" s="22">
        <v>1.33423</v>
      </c>
      <c r="BD295">
        <f t="shared" si="58"/>
        <v>15.899699999999999</v>
      </c>
      <c r="BE295">
        <f t="shared" si="59"/>
        <v>21.228325458</v>
      </c>
    </row>
    <row r="296" spans="6:57">
      <c r="F296" s="9"/>
      <c r="G296" s="22">
        <v>0.40985100000000002</v>
      </c>
      <c r="H296" s="22">
        <v>52.452800000000003</v>
      </c>
      <c r="I296" s="22">
        <v>-1.72363E-2</v>
      </c>
      <c r="J296" s="22">
        <v>286</v>
      </c>
      <c r="K296" s="22">
        <v>0.409302</v>
      </c>
      <c r="L296">
        <f t="shared" si="48"/>
        <v>17.2363</v>
      </c>
      <c r="M296">
        <f t="shared" si="49"/>
        <v>7.0643147913000002</v>
      </c>
      <c r="N296" s="9"/>
      <c r="O296" s="22">
        <v>1.3401799999999999</v>
      </c>
      <c r="P296" s="22">
        <v>107.849</v>
      </c>
      <c r="Q296" s="22">
        <v>-1.64429E-2</v>
      </c>
      <c r="R296" s="22">
        <v>286</v>
      </c>
      <c r="S296" s="22">
        <v>1.33972</v>
      </c>
      <c r="T296">
        <f t="shared" si="50"/>
        <v>16.442900000000002</v>
      </c>
      <c r="U296">
        <f t="shared" si="51"/>
        <v>22.036445722</v>
      </c>
      <c r="X296" s="9"/>
      <c r="Y296" s="22">
        <v>0.40985100000000002</v>
      </c>
      <c r="Z296" s="22">
        <v>169.80600000000001</v>
      </c>
      <c r="AA296" s="22">
        <v>-1.7184399999999999E-2</v>
      </c>
      <c r="AB296" s="22">
        <v>286</v>
      </c>
      <c r="AC296" s="22">
        <v>0.409271</v>
      </c>
      <c r="AD296">
        <f t="shared" si="52"/>
        <v>17.1844</v>
      </c>
      <c r="AE296">
        <f t="shared" si="53"/>
        <v>7.0430435244000007</v>
      </c>
      <c r="AF296" s="9"/>
      <c r="AG296" s="22">
        <v>1.3401799999999999</v>
      </c>
      <c r="AH296" s="22">
        <v>249.33799999999999</v>
      </c>
      <c r="AI296" s="22">
        <v>-1.6107199999999999E-2</v>
      </c>
      <c r="AJ296" s="22">
        <v>286</v>
      </c>
      <c r="AK296" s="22">
        <v>1.3394200000000001</v>
      </c>
      <c r="AL296">
        <f t="shared" si="54"/>
        <v>16.107199999999999</v>
      </c>
      <c r="AM296">
        <f t="shared" si="55"/>
        <v>21.586547295999996</v>
      </c>
      <c r="AP296" s="9"/>
      <c r="AQ296" s="22">
        <v>0.40985100000000002</v>
      </c>
      <c r="AR296" s="22">
        <v>301.755</v>
      </c>
      <c r="AS296" s="22">
        <v>-1.68793E-2</v>
      </c>
      <c r="AT296" s="22">
        <v>286</v>
      </c>
      <c r="AU296" s="22">
        <v>0.409271</v>
      </c>
      <c r="AV296">
        <f t="shared" si="56"/>
        <v>16.879300000000001</v>
      </c>
      <c r="AW296">
        <f t="shared" si="57"/>
        <v>6.9179979843000003</v>
      </c>
      <c r="AX296" s="9"/>
      <c r="AY296" s="22">
        <v>1.3401799999999999</v>
      </c>
      <c r="AZ296" s="22">
        <v>380.98500000000001</v>
      </c>
      <c r="BA296" s="22">
        <v>-1.59119E-2</v>
      </c>
      <c r="BB296" s="22">
        <v>286</v>
      </c>
      <c r="BC296" s="22">
        <v>1.33911</v>
      </c>
      <c r="BD296">
        <f t="shared" si="58"/>
        <v>15.911899999999999</v>
      </c>
      <c r="BE296">
        <f t="shared" si="59"/>
        <v>21.324810141999997</v>
      </c>
    </row>
    <row r="297" spans="6:57">
      <c r="F297" s="9"/>
      <c r="G297" s="22">
        <v>0.40481600000000001</v>
      </c>
      <c r="H297" s="22">
        <v>52.5535</v>
      </c>
      <c r="I297" s="22">
        <v>-1.7227200000000002E-2</v>
      </c>
      <c r="J297" s="22">
        <v>287</v>
      </c>
      <c r="K297" s="22">
        <v>0.40417500000000001</v>
      </c>
      <c r="L297">
        <f t="shared" si="48"/>
        <v>17.2272</v>
      </c>
      <c r="M297">
        <f t="shared" si="49"/>
        <v>6.9738461952000002</v>
      </c>
      <c r="N297" s="9"/>
      <c r="O297" s="22">
        <v>1.34521</v>
      </c>
      <c r="P297" s="22">
        <v>107.949</v>
      </c>
      <c r="Q297" s="22">
        <v>-1.6439800000000001E-2</v>
      </c>
      <c r="R297" s="22">
        <v>287</v>
      </c>
      <c r="S297" s="22">
        <v>1.3446</v>
      </c>
      <c r="T297">
        <f t="shared" si="50"/>
        <v>16.439800000000002</v>
      </c>
      <c r="U297">
        <f t="shared" si="51"/>
        <v>22.114983358000003</v>
      </c>
      <c r="X297" s="9"/>
      <c r="Y297" s="22">
        <v>0.40481600000000001</v>
      </c>
      <c r="Z297" s="22">
        <v>169.90600000000001</v>
      </c>
      <c r="AA297" s="22">
        <v>-1.7172199999999999E-2</v>
      </c>
      <c r="AB297" s="22">
        <v>287</v>
      </c>
      <c r="AC297" s="22">
        <v>0.40420499999999998</v>
      </c>
      <c r="AD297">
        <f t="shared" si="52"/>
        <v>17.1722</v>
      </c>
      <c r="AE297">
        <f t="shared" si="53"/>
        <v>6.9515813152000003</v>
      </c>
      <c r="AF297" s="9"/>
      <c r="AG297" s="22">
        <v>1.34521</v>
      </c>
      <c r="AH297" s="22">
        <v>249.43899999999999</v>
      </c>
      <c r="AI297" s="22">
        <v>-1.61163E-2</v>
      </c>
      <c r="AJ297" s="22">
        <v>287</v>
      </c>
      <c r="AK297" s="22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2">
        <v>0.40481600000000001</v>
      </c>
      <c r="AR297" s="22">
        <v>301.85500000000002</v>
      </c>
      <c r="AS297" s="22">
        <v>-1.6870099999999999E-2</v>
      </c>
      <c r="AT297" s="22">
        <v>287</v>
      </c>
      <c r="AU297" s="22">
        <v>0.40423599999999998</v>
      </c>
      <c r="AV297">
        <f t="shared" si="56"/>
        <v>16.870100000000001</v>
      </c>
      <c r="AW297">
        <f t="shared" si="57"/>
        <v>6.8292864016000001</v>
      </c>
      <c r="AX297" s="9"/>
      <c r="AY297" s="22">
        <v>1.34521</v>
      </c>
      <c r="AZ297" s="22">
        <v>381.08600000000001</v>
      </c>
      <c r="BA297" s="22">
        <v>-1.5881300000000001E-2</v>
      </c>
      <c r="BB297" s="22">
        <v>287</v>
      </c>
      <c r="BC297" s="22">
        <v>1.3436900000000001</v>
      </c>
      <c r="BD297">
        <f t="shared" si="58"/>
        <v>15.881300000000001</v>
      </c>
      <c r="BE297">
        <f t="shared" si="59"/>
        <v>21.363683573000003</v>
      </c>
    </row>
    <row r="298" spans="6:57">
      <c r="F298" s="9"/>
      <c r="G298" s="22">
        <v>0.39978000000000002</v>
      </c>
      <c r="H298" s="22">
        <v>52.654200000000003</v>
      </c>
      <c r="I298" s="22">
        <v>-1.7239399999999998E-2</v>
      </c>
      <c r="J298" s="22">
        <v>288</v>
      </c>
      <c r="K298" s="22">
        <v>0.39910899999999999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108.05</v>
      </c>
      <c r="Q298" s="22">
        <v>-1.6418499999999999E-2</v>
      </c>
      <c r="R298" s="22">
        <v>288</v>
      </c>
      <c r="S298" s="22">
        <v>1.34918</v>
      </c>
      <c r="T298">
        <f t="shared" si="50"/>
        <v>16.418499999999998</v>
      </c>
      <c r="U298">
        <f t="shared" si="51"/>
        <v>22.169079624999995</v>
      </c>
      <c r="X298" s="9"/>
      <c r="Y298" s="22">
        <v>0.39978000000000002</v>
      </c>
      <c r="Z298" s="22">
        <v>170.00700000000001</v>
      </c>
      <c r="AA298" s="22">
        <v>-1.71509E-2</v>
      </c>
      <c r="AB298" s="22">
        <v>288</v>
      </c>
      <c r="AC298" s="22">
        <v>0.39907799999999999</v>
      </c>
      <c r="AD298">
        <f t="shared" si="52"/>
        <v>17.1509</v>
      </c>
      <c r="AE298">
        <f t="shared" si="53"/>
        <v>6.8565868020000007</v>
      </c>
      <c r="AF298" s="9"/>
      <c r="AG298" s="22">
        <v>1.35025</v>
      </c>
      <c r="AH298" s="22">
        <v>249.53899999999999</v>
      </c>
      <c r="AI298" s="22">
        <v>-1.60736E-2</v>
      </c>
      <c r="AJ298" s="22">
        <v>288</v>
      </c>
      <c r="AK298" s="22">
        <v>1.3501000000000001</v>
      </c>
      <c r="AL298">
        <f t="shared" si="54"/>
        <v>16.073599999999999</v>
      </c>
      <c r="AM298">
        <f t="shared" si="55"/>
        <v>21.703378399999998</v>
      </c>
      <c r="AP298" s="9"/>
      <c r="AQ298" s="22">
        <v>0.39978000000000002</v>
      </c>
      <c r="AR298" s="22">
        <v>301.95600000000002</v>
      </c>
      <c r="AS298" s="22">
        <v>-1.6842699999999999E-2</v>
      </c>
      <c r="AT298" s="22">
        <v>288</v>
      </c>
      <c r="AU298" s="22">
        <v>0.39917000000000002</v>
      </c>
      <c r="AV298">
        <f t="shared" si="56"/>
        <v>16.842699999999997</v>
      </c>
      <c r="AW298">
        <f t="shared" si="57"/>
        <v>6.733374605999999</v>
      </c>
      <c r="AX298" s="9"/>
      <c r="AY298" s="22">
        <v>1.35025</v>
      </c>
      <c r="AZ298" s="22">
        <v>381.18599999999998</v>
      </c>
      <c r="BA298" s="22">
        <v>-1.5850800000000002E-2</v>
      </c>
      <c r="BB298" s="22">
        <v>288</v>
      </c>
      <c r="BC298" s="22">
        <v>1.3494900000000001</v>
      </c>
      <c r="BD298">
        <f t="shared" si="58"/>
        <v>15.850800000000001</v>
      </c>
      <c r="BE298">
        <f t="shared" si="59"/>
        <v>21.402542700000001</v>
      </c>
    </row>
    <row r="299" spans="6:57">
      <c r="F299" s="9"/>
      <c r="G299" s="22">
        <v>0.39474500000000001</v>
      </c>
      <c r="H299" s="22">
        <v>52.754899999999999</v>
      </c>
      <c r="I299" s="22">
        <v>-1.7230200000000001E-2</v>
      </c>
      <c r="J299" s="22">
        <v>289</v>
      </c>
      <c r="K299" s="22">
        <v>0.39410400000000001</v>
      </c>
      <c r="L299">
        <f t="shared" si="48"/>
        <v>17.2302</v>
      </c>
      <c r="M299">
        <f t="shared" si="49"/>
        <v>6.8015352990000002</v>
      </c>
      <c r="N299" s="9"/>
      <c r="O299" s="22">
        <v>1.3552900000000001</v>
      </c>
      <c r="P299" s="22">
        <v>108.151</v>
      </c>
      <c r="Q299" s="22">
        <v>-1.6384900000000001E-2</v>
      </c>
      <c r="R299" s="22">
        <v>289</v>
      </c>
      <c r="S299" s="22">
        <v>1.3549800000000001</v>
      </c>
      <c r="T299">
        <f t="shared" si="50"/>
        <v>16.384900000000002</v>
      </c>
      <c r="U299">
        <f t="shared" si="51"/>
        <v>22.206291121000003</v>
      </c>
      <c r="X299" s="9"/>
      <c r="Y299" s="22">
        <v>0.39474500000000001</v>
      </c>
      <c r="Z299" s="22">
        <v>170.108</v>
      </c>
      <c r="AA299" s="22">
        <v>-1.7147800000000001E-2</v>
      </c>
      <c r="AB299" s="22">
        <v>289</v>
      </c>
      <c r="AC299" s="22">
        <v>0.39416499999999999</v>
      </c>
      <c r="AD299">
        <f t="shared" si="52"/>
        <v>17.1478</v>
      </c>
      <c r="AE299">
        <f t="shared" si="53"/>
        <v>6.7690083110000003</v>
      </c>
      <c r="AF299" s="9"/>
      <c r="AG299" s="22">
        <v>1.3552900000000001</v>
      </c>
      <c r="AH299" s="22">
        <v>249.64</v>
      </c>
      <c r="AI299" s="22">
        <v>-1.6091899999999999E-2</v>
      </c>
      <c r="AJ299" s="22">
        <v>289</v>
      </c>
      <c r="AK299" s="22">
        <v>1.3546800000000001</v>
      </c>
      <c r="AL299">
        <f t="shared" si="54"/>
        <v>16.091899999999999</v>
      </c>
      <c r="AM299">
        <f t="shared" si="55"/>
        <v>21.809191151</v>
      </c>
      <c r="AP299" s="9"/>
      <c r="AQ299" s="22">
        <v>0.39474500000000001</v>
      </c>
      <c r="AR299" s="22">
        <v>302.05700000000002</v>
      </c>
      <c r="AS299" s="22">
        <v>-1.6873200000000001E-2</v>
      </c>
      <c r="AT299" s="22">
        <v>289</v>
      </c>
      <c r="AU299" s="22">
        <v>0.39410400000000001</v>
      </c>
      <c r="AV299">
        <f t="shared" si="56"/>
        <v>16.873200000000001</v>
      </c>
      <c r="AW299">
        <f t="shared" si="57"/>
        <v>6.6606113340000004</v>
      </c>
      <c r="AX299" s="9"/>
      <c r="AY299" s="22">
        <v>1.3552900000000001</v>
      </c>
      <c r="AZ299" s="22">
        <v>381.28699999999998</v>
      </c>
      <c r="BA299" s="22">
        <v>-1.58142E-2</v>
      </c>
      <c r="BB299" s="22">
        <v>289</v>
      </c>
      <c r="BC299" s="22">
        <v>1.35406</v>
      </c>
      <c r="BD299">
        <f t="shared" si="58"/>
        <v>15.8142</v>
      </c>
      <c r="BE299">
        <f t="shared" si="59"/>
        <v>21.432827118000002</v>
      </c>
    </row>
    <row r="300" spans="6:57">
      <c r="F300" s="9"/>
      <c r="G300" s="22">
        <v>0.38970900000000003</v>
      </c>
      <c r="H300" s="22">
        <v>52.855600000000003</v>
      </c>
      <c r="I300" s="22">
        <v>-1.7218000000000001E-2</v>
      </c>
      <c r="J300" s="22">
        <v>290</v>
      </c>
      <c r="K300" s="22">
        <v>0.38909899999999997</v>
      </c>
      <c r="L300">
        <f t="shared" si="48"/>
        <v>17.218</v>
      </c>
      <c r="M300">
        <f t="shared" si="49"/>
        <v>6.7100095620000006</v>
      </c>
      <c r="N300" s="9"/>
      <c r="O300" s="22">
        <v>1.36032</v>
      </c>
      <c r="P300" s="22">
        <v>108.251</v>
      </c>
      <c r="Q300" s="22">
        <v>-1.63757E-2</v>
      </c>
      <c r="R300" s="22">
        <v>290</v>
      </c>
      <c r="S300" s="22">
        <v>1.3595600000000001</v>
      </c>
      <c r="T300">
        <f t="shared" si="50"/>
        <v>16.375699999999998</v>
      </c>
      <c r="U300">
        <f t="shared" si="51"/>
        <v>22.276192223999999</v>
      </c>
      <c r="X300" s="9"/>
      <c r="Y300" s="22">
        <v>0.38970900000000003</v>
      </c>
      <c r="Z300" s="22">
        <v>170.208</v>
      </c>
      <c r="AA300" s="22">
        <v>-1.7144800000000002E-2</v>
      </c>
      <c r="AB300" s="22">
        <v>290</v>
      </c>
      <c r="AC300" s="22">
        <v>0.38912999999999998</v>
      </c>
      <c r="AD300">
        <f t="shared" si="52"/>
        <v>17.1448</v>
      </c>
      <c r="AE300">
        <f t="shared" si="53"/>
        <v>6.6814828632000003</v>
      </c>
      <c r="AF300" s="9"/>
      <c r="AG300" s="22">
        <v>1.36032</v>
      </c>
      <c r="AH300" s="22">
        <v>249.74100000000001</v>
      </c>
      <c r="AI300" s="22">
        <v>-1.61011E-2</v>
      </c>
      <c r="AJ300" s="22">
        <v>290</v>
      </c>
      <c r="AK300" s="22">
        <v>1.3598600000000001</v>
      </c>
      <c r="AL300">
        <f t="shared" si="54"/>
        <v>16.101099999999999</v>
      </c>
      <c r="AM300">
        <f t="shared" si="55"/>
        <v>21.902648351999996</v>
      </c>
      <c r="AP300" s="9"/>
      <c r="AQ300" s="22">
        <v>0.38970900000000003</v>
      </c>
      <c r="AR300" s="22">
        <v>302.15800000000002</v>
      </c>
      <c r="AS300" s="22">
        <v>-1.68793E-2</v>
      </c>
      <c r="AT300" s="22">
        <v>290</v>
      </c>
      <c r="AU300" s="22">
        <v>0.38916000000000001</v>
      </c>
      <c r="AV300">
        <f t="shared" si="56"/>
        <v>16.879300000000001</v>
      </c>
      <c r="AW300">
        <f t="shared" si="57"/>
        <v>6.5780151237000011</v>
      </c>
      <c r="AX300" s="9"/>
      <c r="AY300" s="22">
        <v>1.36032</v>
      </c>
      <c r="AZ300" s="22">
        <v>381.38799999999998</v>
      </c>
      <c r="BA300" s="22">
        <v>-1.5817299999999999E-2</v>
      </c>
      <c r="BB300" s="22">
        <v>290</v>
      </c>
      <c r="BC300" s="22">
        <v>1.3595600000000001</v>
      </c>
      <c r="BD300">
        <f t="shared" si="58"/>
        <v>15.817299999999999</v>
      </c>
      <c r="BE300">
        <f t="shared" si="59"/>
        <v>21.516589535999998</v>
      </c>
    </row>
    <row r="301" spans="6:57">
      <c r="F301" s="9"/>
      <c r="G301" s="22">
        <v>0.38467400000000002</v>
      </c>
      <c r="H301" s="22">
        <v>52.956299999999999</v>
      </c>
      <c r="I301" s="22">
        <v>-1.7211899999999999E-2</v>
      </c>
      <c r="J301" s="22">
        <v>291</v>
      </c>
      <c r="K301" s="22">
        <v>0.38403300000000001</v>
      </c>
      <c r="L301">
        <f t="shared" si="48"/>
        <v>17.2119</v>
      </c>
      <c r="M301">
        <f t="shared" si="49"/>
        <v>6.6209704206</v>
      </c>
      <c r="N301" s="9"/>
      <c r="O301" s="22">
        <v>1.3653599999999999</v>
      </c>
      <c r="P301" s="22">
        <v>108.352</v>
      </c>
      <c r="Q301" s="22">
        <v>-1.6290300000000001E-2</v>
      </c>
      <c r="R301" s="22">
        <v>291</v>
      </c>
      <c r="S301" s="22">
        <v>1.3647499999999999</v>
      </c>
      <c r="T301">
        <f t="shared" si="50"/>
        <v>16.290300000000002</v>
      </c>
      <c r="U301">
        <f t="shared" si="51"/>
        <v>22.242124008000001</v>
      </c>
      <c r="X301" s="9"/>
      <c r="Y301" s="22">
        <v>0.38467400000000002</v>
      </c>
      <c r="Z301" s="22">
        <v>170.309</v>
      </c>
      <c r="AA301" s="22">
        <v>-1.71539E-2</v>
      </c>
      <c r="AB301" s="22">
        <v>291</v>
      </c>
      <c r="AC301" s="22">
        <v>0.38397199999999998</v>
      </c>
      <c r="AD301">
        <f t="shared" si="52"/>
        <v>17.1539</v>
      </c>
      <c r="AE301">
        <f t="shared" si="53"/>
        <v>6.5986593286000002</v>
      </c>
      <c r="AF301" s="9"/>
      <c r="AG301" s="22">
        <v>1.3653599999999999</v>
      </c>
      <c r="AH301" s="22">
        <v>249.84100000000001</v>
      </c>
      <c r="AI301" s="22">
        <v>-1.6055300000000002E-2</v>
      </c>
      <c r="AJ301" s="22">
        <v>291</v>
      </c>
      <c r="AK301" s="22">
        <v>1.3647499999999999</v>
      </c>
      <c r="AL301">
        <f t="shared" si="54"/>
        <v>16.055300000000003</v>
      </c>
      <c r="AM301">
        <f t="shared" si="55"/>
        <v>21.921264408000003</v>
      </c>
      <c r="AP301" s="9"/>
      <c r="AQ301" s="22">
        <v>0.38467400000000002</v>
      </c>
      <c r="AR301" s="22">
        <v>302.25799999999998</v>
      </c>
      <c r="AS301" s="22">
        <v>-1.6937299999999999E-2</v>
      </c>
      <c r="AT301" s="22">
        <v>291</v>
      </c>
      <c r="AU301" s="22">
        <v>0.38403300000000001</v>
      </c>
      <c r="AV301">
        <f t="shared" si="56"/>
        <v>16.9373</v>
      </c>
      <c r="AW301">
        <f t="shared" si="57"/>
        <v>6.5153389402000004</v>
      </c>
      <c r="AX301" s="9"/>
      <c r="AY301" s="22">
        <v>1.3653599999999999</v>
      </c>
      <c r="AZ301" s="22">
        <v>381.48899999999998</v>
      </c>
      <c r="BA301" s="22">
        <v>-1.58142E-2</v>
      </c>
      <c r="BB301" s="22">
        <v>291</v>
      </c>
      <c r="BC301" s="22">
        <v>1.3644400000000001</v>
      </c>
      <c r="BD301">
        <f t="shared" si="58"/>
        <v>15.8142</v>
      </c>
      <c r="BE301">
        <f t="shared" si="59"/>
        <v>21.592076111999997</v>
      </c>
    </row>
    <row r="302" spans="6:57">
      <c r="F302" s="9"/>
      <c r="G302" s="22">
        <v>0.379639</v>
      </c>
      <c r="H302" s="22">
        <v>53.057000000000002</v>
      </c>
      <c r="I302" s="22">
        <v>-1.7230200000000001E-2</v>
      </c>
      <c r="J302" s="22">
        <v>292</v>
      </c>
      <c r="K302" s="22">
        <v>0.37893700000000002</v>
      </c>
      <c r="L302">
        <f t="shared" si="48"/>
        <v>17.2302</v>
      </c>
      <c r="M302">
        <f t="shared" si="49"/>
        <v>6.5412558978000002</v>
      </c>
      <c r="N302" s="9"/>
      <c r="O302" s="22">
        <v>1.37039</v>
      </c>
      <c r="P302" s="22">
        <v>108.453</v>
      </c>
      <c r="Q302" s="22">
        <v>-1.6284199999999999E-2</v>
      </c>
      <c r="R302" s="22">
        <v>292</v>
      </c>
      <c r="S302" s="22">
        <v>1.3699300000000001</v>
      </c>
      <c r="T302">
        <f t="shared" si="50"/>
        <v>16.284199999999998</v>
      </c>
      <c r="U302">
        <f t="shared" si="51"/>
        <v>22.315704837999998</v>
      </c>
      <c r="X302" s="9"/>
      <c r="Y302" s="22">
        <v>0.379639</v>
      </c>
      <c r="Z302" s="22">
        <v>170.41</v>
      </c>
      <c r="AA302" s="22">
        <v>-1.7160000000000002E-2</v>
      </c>
      <c r="AB302" s="22">
        <v>292</v>
      </c>
      <c r="AC302" s="22">
        <v>0.37905899999999998</v>
      </c>
      <c r="AD302">
        <f t="shared" si="52"/>
        <v>17.16</v>
      </c>
      <c r="AE302">
        <f t="shared" si="53"/>
        <v>6.5146052399999999</v>
      </c>
      <c r="AF302" s="9"/>
      <c r="AG302" s="22">
        <v>1.37039</v>
      </c>
      <c r="AH302" s="22">
        <v>249.94200000000001</v>
      </c>
      <c r="AI302" s="22">
        <v>-1.60339E-2</v>
      </c>
      <c r="AJ302" s="22">
        <v>292</v>
      </c>
      <c r="AK302" s="22">
        <v>1.3693200000000001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302.35899999999998</v>
      </c>
      <c r="AS302" s="22">
        <v>-1.6940299999999998E-2</v>
      </c>
      <c r="AT302" s="22">
        <v>292</v>
      </c>
      <c r="AU302" s="22">
        <v>0.378967</v>
      </c>
      <c r="AV302">
        <f t="shared" si="56"/>
        <v>16.940299999999997</v>
      </c>
      <c r="AW302">
        <f t="shared" si="57"/>
        <v>6.4311985516999988</v>
      </c>
      <c r="AX302" s="9"/>
      <c r="AY302" s="22">
        <v>1.37039</v>
      </c>
      <c r="AZ302" s="22">
        <v>381.589</v>
      </c>
      <c r="BA302" s="22">
        <v>-1.5799000000000001E-2</v>
      </c>
      <c r="BB302" s="22">
        <v>292</v>
      </c>
      <c r="BC302" s="22">
        <v>1.3693200000000001</v>
      </c>
      <c r="BD302">
        <f t="shared" si="58"/>
        <v>15.799000000000001</v>
      </c>
      <c r="BE302">
        <f t="shared" si="59"/>
        <v>21.650791610000002</v>
      </c>
    </row>
    <row r="303" spans="6:57">
      <c r="F303" s="9"/>
      <c r="G303" s="22">
        <v>0.37460300000000002</v>
      </c>
      <c r="H303" s="22">
        <v>53.157699999999998</v>
      </c>
      <c r="I303" s="22">
        <v>-1.72333E-2</v>
      </c>
      <c r="J303" s="22">
        <v>293</v>
      </c>
      <c r="K303" s="22">
        <v>0.37396200000000002</v>
      </c>
      <c r="L303">
        <f t="shared" si="48"/>
        <v>17.2333</v>
      </c>
      <c r="M303">
        <f t="shared" si="49"/>
        <v>6.4556458799000005</v>
      </c>
      <c r="N303" s="9"/>
      <c r="O303" s="22">
        <v>1.3754299999999999</v>
      </c>
      <c r="P303" s="22">
        <v>108.554</v>
      </c>
      <c r="Q303" s="22">
        <v>-1.6262800000000001E-2</v>
      </c>
      <c r="R303" s="22">
        <v>293</v>
      </c>
      <c r="S303" s="22">
        <v>1.3745099999999999</v>
      </c>
      <c r="T303">
        <f t="shared" si="50"/>
        <v>16.262800000000002</v>
      </c>
      <c r="U303">
        <f t="shared" si="51"/>
        <v>22.368343004000003</v>
      </c>
      <c r="X303" s="9"/>
      <c r="Y303" s="22">
        <v>0.37460300000000002</v>
      </c>
      <c r="Z303" s="22">
        <v>170.511</v>
      </c>
      <c r="AA303" s="22">
        <v>-1.7178300000000001E-2</v>
      </c>
      <c r="AB303" s="22">
        <v>293</v>
      </c>
      <c r="AC303" s="22">
        <v>0.37399300000000002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250.04300000000001</v>
      </c>
      <c r="AI303" s="22">
        <v>-1.60187E-2</v>
      </c>
      <c r="AJ303" s="22">
        <v>293</v>
      </c>
      <c r="AK303" s="22">
        <v>1.3745099999999999</v>
      </c>
      <c r="AL303">
        <f t="shared" si="54"/>
        <v>16.018699999999999</v>
      </c>
      <c r="AM303">
        <f t="shared" si="55"/>
        <v>22.032600540999997</v>
      </c>
      <c r="AP303" s="9"/>
      <c r="AQ303" s="22">
        <v>0.37460300000000002</v>
      </c>
      <c r="AR303" s="22">
        <v>302.45999999999998</v>
      </c>
      <c r="AS303" s="22">
        <v>-1.6888400000000001E-2</v>
      </c>
      <c r="AT303" s="22">
        <v>293</v>
      </c>
      <c r="AU303" s="22">
        <v>0.37399300000000002</v>
      </c>
      <c r="AV303">
        <f t="shared" si="56"/>
        <v>16.888400000000001</v>
      </c>
      <c r="AW303">
        <f t="shared" si="57"/>
        <v>6.3264453052000009</v>
      </c>
      <c r="AX303" s="9"/>
      <c r="AY303" s="22">
        <v>1.3754299999999999</v>
      </c>
      <c r="AZ303" s="22">
        <v>381.69</v>
      </c>
      <c r="BA303" s="22">
        <v>-1.57471E-2</v>
      </c>
      <c r="BB303" s="22">
        <v>293</v>
      </c>
      <c r="BC303" s="22">
        <v>1.3742099999999999</v>
      </c>
      <c r="BD303">
        <f t="shared" si="58"/>
        <v>15.7471</v>
      </c>
      <c r="BE303">
        <f t="shared" si="59"/>
        <v>21.659033752999999</v>
      </c>
    </row>
    <row r="304" spans="6:57">
      <c r="F304" s="9"/>
      <c r="G304" s="22">
        <v>0.36956800000000001</v>
      </c>
      <c r="H304" s="22">
        <v>53.258499999999998</v>
      </c>
      <c r="I304" s="22">
        <v>-1.7239399999999998E-2</v>
      </c>
      <c r="J304" s="22">
        <v>294</v>
      </c>
      <c r="K304" s="22">
        <v>0.368927</v>
      </c>
      <c r="L304">
        <f t="shared" si="48"/>
        <v>17.2394</v>
      </c>
      <c r="M304">
        <f t="shared" si="49"/>
        <v>6.3711305791999999</v>
      </c>
      <c r="N304" s="9"/>
      <c r="O304" s="22">
        <v>1.38046</v>
      </c>
      <c r="P304" s="22">
        <v>108.654</v>
      </c>
      <c r="Q304" s="22">
        <v>-1.62262E-2</v>
      </c>
      <c r="R304" s="22">
        <v>294</v>
      </c>
      <c r="S304" s="22">
        <v>1.3790899999999999</v>
      </c>
      <c r="T304">
        <f t="shared" si="50"/>
        <v>16.226199999999999</v>
      </c>
      <c r="U304">
        <f t="shared" si="51"/>
        <v>22.399620052</v>
      </c>
      <c r="X304" s="9"/>
      <c r="Y304" s="22">
        <v>0.36956800000000001</v>
      </c>
      <c r="Z304" s="22">
        <v>170.61099999999999</v>
      </c>
      <c r="AA304" s="22">
        <v>-1.71661E-2</v>
      </c>
      <c r="AB304" s="22">
        <v>294</v>
      </c>
      <c r="AC304" s="22">
        <v>0.36898799999999998</v>
      </c>
      <c r="AD304">
        <f t="shared" si="52"/>
        <v>17.1661</v>
      </c>
      <c r="AE304">
        <f t="shared" si="53"/>
        <v>6.3440412448000005</v>
      </c>
      <c r="AF304" s="9"/>
      <c r="AG304" s="22">
        <v>1.38046</v>
      </c>
      <c r="AH304" s="22">
        <v>250.14400000000001</v>
      </c>
      <c r="AI304" s="22">
        <v>-1.5942399999999999E-2</v>
      </c>
      <c r="AJ304" s="22">
        <v>294</v>
      </c>
      <c r="AK304" s="22">
        <v>1.3803099999999999</v>
      </c>
      <c r="AL304">
        <f t="shared" si="54"/>
        <v>15.942399999999999</v>
      </c>
      <c r="AM304">
        <f t="shared" si="55"/>
        <v>22.007845503999999</v>
      </c>
      <c r="AP304" s="9"/>
      <c r="AQ304" s="22">
        <v>0.36956800000000001</v>
      </c>
      <c r="AR304" s="22">
        <v>302.56</v>
      </c>
      <c r="AS304" s="22">
        <v>-1.6918900000000001E-2</v>
      </c>
      <c r="AT304" s="22">
        <v>294</v>
      </c>
      <c r="AU304" s="22">
        <v>0.36898799999999998</v>
      </c>
      <c r="AV304">
        <f t="shared" si="56"/>
        <v>16.918900000000001</v>
      </c>
      <c r="AW304">
        <f t="shared" si="57"/>
        <v>6.2526840352000006</v>
      </c>
      <c r="AX304" s="9"/>
      <c r="AY304" s="22">
        <v>1.38046</v>
      </c>
      <c r="AZ304" s="22">
        <v>381.791</v>
      </c>
      <c r="BA304" s="22">
        <v>-1.57501E-2</v>
      </c>
      <c r="BB304" s="22">
        <v>294</v>
      </c>
      <c r="BC304" s="22">
        <v>1.3796999999999999</v>
      </c>
      <c r="BD304">
        <f t="shared" si="58"/>
        <v>15.7501</v>
      </c>
      <c r="BE304">
        <f t="shared" si="59"/>
        <v>21.742383046</v>
      </c>
    </row>
    <row r="305" spans="6:57">
      <c r="F305" s="9"/>
      <c r="G305" s="22">
        <v>0.36453200000000002</v>
      </c>
      <c r="H305" s="22">
        <v>53.359200000000001</v>
      </c>
      <c r="I305" s="22">
        <v>-1.7227200000000002E-2</v>
      </c>
      <c r="J305" s="22">
        <v>295</v>
      </c>
      <c r="K305" s="22">
        <v>0.36404399999999998</v>
      </c>
      <c r="L305">
        <f t="shared" si="48"/>
        <v>17.2272</v>
      </c>
      <c r="M305">
        <f t="shared" si="49"/>
        <v>6.2798656704000004</v>
      </c>
      <c r="N305" s="9"/>
      <c r="O305" s="22">
        <v>1.3855</v>
      </c>
      <c r="P305" s="22">
        <v>108.755</v>
      </c>
      <c r="Q305" s="22">
        <v>-1.6220100000000001E-2</v>
      </c>
      <c r="R305" s="22">
        <v>295</v>
      </c>
      <c r="S305" s="22">
        <v>1.3851899999999999</v>
      </c>
      <c r="T305">
        <f t="shared" si="50"/>
        <v>16.220100000000002</v>
      </c>
      <c r="U305">
        <f t="shared" si="51"/>
        <v>22.472948550000002</v>
      </c>
      <c r="X305" s="9"/>
      <c r="Y305" s="22">
        <v>0.36453200000000002</v>
      </c>
      <c r="Z305" s="22">
        <v>170.71199999999999</v>
      </c>
      <c r="AA305" s="22">
        <v>-1.7181399999999999E-2</v>
      </c>
      <c r="AB305" s="22">
        <v>295</v>
      </c>
      <c r="AC305" s="22">
        <v>0.36395300000000003</v>
      </c>
      <c r="AD305">
        <f t="shared" si="52"/>
        <v>17.1814</v>
      </c>
      <c r="AE305">
        <f t="shared" si="53"/>
        <v>6.2631701048000004</v>
      </c>
      <c r="AF305" s="9"/>
      <c r="AG305" s="22">
        <v>1.3855</v>
      </c>
      <c r="AH305" s="22">
        <v>250.244</v>
      </c>
      <c r="AI305" s="22">
        <v>-1.5921000000000001E-2</v>
      </c>
      <c r="AJ305" s="22">
        <v>295</v>
      </c>
      <c r="AK305" s="22">
        <v>1.38489</v>
      </c>
      <c r="AL305">
        <f t="shared" si="54"/>
        <v>15.921000000000001</v>
      </c>
      <c r="AM305">
        <f t="shared" si="55"/>
        <v>22.058545500000001</v>
      </c>
      <c r="AP305" s="9"/>
      <c r="AQ305" s="22">
        <v>0.36453200000000002</v>
      </c>
      <c r="AR305" s="22">
        <v>302.661</v>
      </c>
      <c r="AS305" s="22">
        <v>-1.68915E-2</v>
      </c>
      <c r="AT305" s="22">
        <v>295</v>
      </c>
      <c r="AU305" s="22">
        <v>0.363983</v>
      </c>
      <c r="AV305">
        <f t="shared" si="56"/>
        <v>16.891500000000001</v>
      </c>
      <c r="AW305">
        <f t="shared" si="57"/>
        <v>6.1574922780000003</v>
      </c>
      <c r="AX305" s="9"/>
      <c r="AY305" s="22">
        <v>1.3855</v>
      </c>
      <c r="AZ305" s="22">
        <v>381.89100000000002</v>
      </c>
      <c r="BA305" s="22">
        <v>-1.5698199999999999E-2</v>
      </c>
      <c r="BB305" s="22">
        <v>295</v>
      </c>
      <c r="BC305" s="22">
        <v>1.3851899999999999</v>
      </c>
      <c r="BD305">
        <f t="shared" si="58"/>
        <v>15.698199999999998</v>
      </c>
      <c r="BE305">
        <f t="shared" si="59"/>
        <v>21.749856099999995</v>
      </c>
    </row>
    <row r="306" spans="6:57">
      <c r="F306" s="9"/>
      <c r="G306" s="22">
        <v>0.35949700000000001</v>
      </c>
      <c r="H306" s="22">
        <v>53.459899999999998</v>
      </c>
      <c r="I306" s="22">
        <v>-1.7239399999999998E-2</v>
      </c>
      <c r="J306" s="22">
        <v>296</v>
      </c>
      <c r="K306" s="22">
        <v>0.358765</v>
      </c>
      <c r="L306">
        <f t="shared" si="48"/>
        <v>17.2394</v>
      </c>
      <c r="M306">
        <f t="shared" si="49"/>
        <v>6.1975125817999999</v>
      </c>
      <c r="N306" s="9"/>
      <c r="O306" s="22">
        <v>1.39053</v>
      </c>
      <c r="P306" s="22">
        <v>108.85599999999999</v>
      </c>
      <c r="Q306" s="22">
        <v>-1.6177400000000002E-2</v>
      </c>
      <c r="R306" s="22">
        <v>296</v>
      </c>
      <c r="S306" s="22">
        <v>1.39008</v>
      </c>
      <c r="T306">
        <f t="shared" si="50"/>
        <v>16.177400000000002</v>
      </c>
      <c r="U306">
        <f t="shared" si="51"/>
        <v>22.495160022000004</v>
      </c>
      <c r="X306" s="9"/>
      <c r="Y306" s="22">
        <v>0.35949700000000001</v>
      </c>
      <c r="Z306" s="22">
        <v>170.81299999999999</v>
      </c>
      <c r="AA306" s="22">
        <v>-1.7120400000000001E-2</v>
      </c>
      <c r="AB306" s="22">
        <v>296</v>
      </c>
      <c r="AC306" s="22">
        <v>0.35891699999999999</v>
      </c>
      <c r="AD306">
        <f t="shared" si="52"/>
        <v>17.1204</v>
      </c>
      <c r="AE306">
        <f t="shared" si="53"/>
        <v>6.1547324388</v>
      </c>
      <c r="AF306" s="9"/>
      <c r="AG306" s="22">
        <v>1.39053</v>
      </c>
      <c r="AH306" s="22">
        <v>250.345</v>
      </c>
      <c r="AI306" s="22">
        <v>-1.58844E-2</v>
      </c>
      <c r="AJ306" s="22">
        <v>296</v>
      </c>
      <c r="AK306" s="22">
        <v>1.38947</v>
      </c>
      <c r="AL306">
        <f t="shared" si="54"/>
        <v>15.884399999999999</v>
      </c>
      <c r="AM306">
        <f t="shared" si="55"/>
        <v>22.087734732000001</v>
      </c>
      <c r="AP306" s="9"/>
      <c r="AQ306" s="22">
        <v>0.35949700000000001</v>
      </c>
      <c r="AR306" s="22">
        <v>302.762</v>
      </c>
      <c r="AS306" s="22">
        <v>-1.6915900000000001E-2</v>
      </c>
      <c r="AT306" s="22">
        <v>296</v>
      </c>
      <c r="AU306" s="22">
        <v>0.35891699999999999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381.99200000000002</v>
      </c>
      <c r="BA306" s="22">
        <v>-1.5649400000000001E-2</v>
      </c>
      <c r="BB306" s="22">
        <v>296</v>
      </c>
      <c r="BC306" s="22">
        <v>1.3897699999999999</v>
      </c>
      <c r="BD306">
        <f t="shared" si="58"/>
        <v>15.6494</v>
      </c>
      <c r="BE306">
        <f t="shared" si="59"/>
        <v>21.760960182000002</v>
      </c>
    </row>
    <row r="307" spans="6:57">
      <c r="F307" s="9"/>
      <c r="G307" s="22">
        <v>0.354462</v>
      </c>
      <c r="H307" s="22">
        <v>53.560600000000001</v>
      </c>
      <c r="I307" s="22">
        <v>-1.7239399999999998E-2</v>
      </c>
      <c r="J307" s="22">
        <v>297</v>
      </c>
      <c r="K307" s="22">
        <v>0.35385100000000003</v>
      </c>
      <c r="L307">
        <f t="shared" si="48"/>
        <v>17.2394</v>
      </c>
      <c r="M307">
        <f t="shared" si="49"/>
        <v>6.1107122028000003</v>
      </c>
      <c r="N307" s="9"/>
      <c r="O307" s="22">
        <v>1.39557</v>
      </c>
      <c r="P307" s="22">
        <v>108.956</v>
      </c>
      <c r="Q307" s="22">
        <v>-1.61438E-2</v>
      </c>
      <c r="R307" s="22">
        <v>297</v>
      </c>
      <c r="S307" s="22">
        <v>1.3946499999999999</v>
      </c>
      <c r="T307">
        <f t="shared" si="50"/>
        <v>16.143799999999999</v>
      </c>
      <c r="U307">
        <f t="shared" si="51"/>
        <v>22.529802965999998</v>
      </c>
      <c r="X307" s="9"/>
      <c r="Y307" s="22">
        <v>0.354462</v>
      </c>
      <c r="Z307" s="22">
        <v>170.91300000000001</v>
      </c>
      <c r="AA307" s="22">
        <v>-1.71509E-2</v>
      </c>
      <c r="AB307" s="22">
        <v>297</v>
      </c>
      <c r="AC307" s="22">
        <v>0.35388199999999997</v>
      </c>
      <c r="AD307">
        <f t="shared" si="52"/>
        <v>17.1509</v>
      </c>
      <c r="AE307">
        <f t="shared" si="53"/>
        <v>6.0793423158</v>
      </c>
      <c r="AF307" s="9"/>
      <c r="AG307" s="22">
        <v>1.39557</v>
      </c>
      <c r="AH307" s="22">
        <v>250.446</v>
      </c>
      <c r="AI307" s="22">
        <v>-1.5899699999999999E-2</v>
      </c>
      <c r="AJ307" s="22">
        <v>297</v>
      </c>
      <c r="AK307" s="22">
        <v>1.39435</v>
      </c>
      <c r="AL307">
        <f t="shared" si="54"/>
        <v>15.899699999999999</v>
      </c>
      <c r="AM307">
        <f t="shared" si="55"/>
        <v>22.189144328999998</v>
      </c>
      <c r="AP307" s="9"/>
      <c r="AQ307" s="22">
        <v>0.354462</v>
      </c>
      <c r="AR307" s="22">
        <v>302.86200000000002</v>
      </c>
      <c r="AS307" s="22">
        <v>-1.6915900000000001E-2</v>
      </c>
      <c r="AT307" s="22">
        <v>297</v>
      </c>
      <c r="AU307" s="22">
        <v>0.353912</v>
      </c>
      <c r="AV307">
        <f t="shared" si="56"/>
        <v>16.915900000000001</v>
      </c>
      <c r="AW307">
        <f t="shared" si="57"/>
        <v>5.9960437457999998</v>
      </c>
      <c r="AX307" s="9"/>
      <c r="AY307" s="22">
        <v>1.39557</v>
      </c>
      <c r="AZ307" s="22">
        <v>382.09300000000002</v>
      </c>
      <c r="BA307" s="22">
        <v>-1.5609700000000001E-2</v>
      </c>
      <c r="BB307" s="22">
        <v>297</v>
      </c>
      <c r="BC307" s="22">
        <v>1.3946499999999999</v>
      </c>
      <c r="BD307">
        <f t="shared" si="58"/>
        <v>15.6097</v>
      </c>
      <c r="BE307">
        <f t="shared" si="59"/>
        <v>21.784429028999998</v>
      </c>
    </row>
    <row r="308" spans="6:57">
      <c r="F308" s="9"/>
      <c r="G308" s="22">
        <v>0.34942600000000001</v>
      </c>
      <c r="H308" s="22">
        <v>53.661299999999997</v>
      </c>
      <c r="I308" s="22">
        <v>-1.72485E-2</v>
      </c>
      <c r="J308" s="22">
        <v>298</v>
      </c>
      <c r="K308" s="22">
        <v>0.34890700000000002</v>
      </c>
      <c r="L308">
        <f t="shared" si="48"/>
        <v>17.2485</v>
      </c>
      <c r="M308">
        <f t="shared" si="49"/>
        <v>6.0270743610000004</v>
      </c>
      <c r="N308" s="9"/>
      <c r="O308" s="22">
        <v>1.4006000000000001</v>
      </c>
      <c r="P308" s="22">
        <v>109.057</v>
      </c>
      <c r="Q308" s="22">
        <v>-1.6140700000000001E-2</v>
      </c>
      <c r="R308" s="22">
        <v>298</v>
      </c>
      <c r="S308" s="22">
        <v>1.39984</v>
      </c>
      <c r="T308">
        <f t="shared" si="50"/>
        <v>16.140700000000002</v>
      </c>
      <c r="U308">
        <f t="shared" si="51"/>
        <v>22.606664420000005</v>
      </c>
      <c r="X308" s="9"/>
      <c r="Y308" s="22">
        <v>0.34942600000000001</v>
      </c>
      <c r="Z308" s="22">
        <v>171.01400000000001</v>
      </c>
      <c r="AA308" s="22">
        <v>-1.71906E-2</v>
      </c>
      <c r="AB308" s="22">
        <v>298</v>
      </c>
      <c r="AC308" s="22">
        <v>0.34884599999999999</v>
      </c>
      <c r="AD308">
        <f t="shared" si="52"/>
        <v>17.1906</v>
      </c>
      <c r="AE308">
        <f t="shared" si="53"/>
        <v>6.0068425956000002</v>
      </c>
      <c r="AF308" s="9"/>
      <c r="AG308" s="22">
        <v>1.4006000000000001</v>
      </c>
      <c r="AH308" s="22">
        <v>250.54599999999999</v>
      </c>
      <c r="AI308" s="22">
        <v>-1.58569E-2</v>
      </c>
      <c r="AJ308" s="22">
        <v>298</v>
      </c>
      <c r="AK308" s="22">
        <v>1.40015</v>
      </c>
      <c r="AL308">
        <f t="shared" si="54"/>
        <v>15.8569</v>
      </c>
      <c r="AM308">
        <f t="shared" si="55"/>
        <v>22.209174140000002</v>
      </c>
      <c r="AP308" s="9"/>
      <c r="AQ308" s="22">
        <v>0.34942600000000001</v>
      </c>
      <c r="AR308" s="22">
        <v>302.96300000000002</v>
      </c>
      <c r="AS308" s="22">
        <v>-1.6888400000000001E-2</v>
      </c>
      <c r="AT308" s="22">
        <v>298</v>
      </c>
      <c r="AU308" s="22">
        <v>0.34881600000000001</v>
      </c>
      <c r="AV308">
        <f t="shared" si="56"/>
        <v>16.888400000000001</v>
      </c>
      <c r="AW308">
        <f t="shared" si="57"/>
        <v>5.9012460584000008</v>
      </c>
      <c r="AX308" s="9"/>
      <c r="AY308" s="22">
        <v>1.4006000000000001</v>
      </c>
      <c r="AZ308" s="22">
        <v>382.19299999999998</v>
      </c>
      <c r="BA308" s="22">
        <v>-1.5625E-2</v>
      </c>
      <c r="BB308" s="22">
        <v>298</v>
      </c>
      <c r="BC308" s="22">
        <v>1.40015</v>
      </c>
      <c r="BD308">
        <f t="shared" si="58"/>
        <v>15.625</v>
      </c>
      <c r="BE308">
        <f t="shared" si="59"/>
        <v>21.884375000000002</v>
      </c>
    </row>
    <row r="309" spans="6:57">
      <c r="F309" s="9"/>
      <c r="G309" s="22">
        <v>0.344391</v>
      </c>
      <c r="H309" s="22">
        <v>53.762</v>
      </c>
      <c r="I309" s="22">
        <v>-1.7263799999999999E-2</v>
      </c>
      <c r="J309" s="22">
        <v>299</v>
      </c>
      <c r="K309" s="22">
        <v>0.343719</v>
      </c>
      <c r="L309">
        <f t="shared" si="48"/>
        <v>17.2638</v>
      </c>
      <c r="M309">
        <f t="shared" si="49"/>
        <v>5.9454973457999998</v>
      </c>
      <c r="N309" s="9"/>
      <c r="O309" s="22">
        <v>1.40564</v>
      </c>
      <c r="P309" s="22">
        <v>109.158</v>
      </c>
      <c r="Q309" s="22">
        <v>-1.6098000000000001E-2</v>
      </c>
      <c r="R309" s="22">
        <v>299</v>
      </c>
      <c r="S309" s="22">
        <v>1.40533</v>
      </c>
      <c r="T309">
        <f t="shared" si="50"/>
        <v>16.098000000000003</v>
      </c>
      <c r="U309">
        <f t="shared" si="51"/>
        <v>22.627992720000005</v>
      </c>
      <c r="X309" s="9"/>
      <c r="Y309" s="22">
        <v>0.344391</v>
      </c>
      <c r="Z309" s="22">
        <v>171.11500000000001</v>
      </c>
      <c r="AA309" s="22">
        <v>-1.7169199999999999E-2</v>
      </c>
      <c r="AB309" s="22">
        <v>299</v>
      </c>
      <c r="AC309" s="22">
        <v>0.34381099999999998</v>
      </c>
      <c r="AD309">
        <f t="shared" si="52"/>
        <v>17.1692</v>
      </c>
      <c r="AE309">
        <f t="shared" si="53"/>
        <v>5.9129179572000004</v>
      </c>
      <c r="AF309" s="9"/>
      <c r="AG309" s="22">
        <v>1.40564</v>
      </c>
      <c r="AH309" s="22">
        <v>250.64699999999999</v>
      </c>
      <c r="AI309" s="22">
        <v>-1.5808099999999999E-2</v>
      </c>
      <c r="AJ309" s="22">
        <v>299</v>
      </c>
      <c r="AK309" s="22">
        <v>1.40472</v>
      </c>
      <c r="AL309">
        <f t="shared" si="54"/>
        <v>15.808099999999998</v>
      </c>
      <c r="AM309">
        <f t="shared" si="55"/>
        <v>22.220497683999998</v>
      </c>
      <c r="AP309" s="9"/>
      <c r="AQ309" s="22">
        <v>0.344391</v>
      </c>
      <c r="AR309" s="22">
        <v>303.06400000000002</v>
      </c>
      <c r="AS309" s="22">
        <v>-1.6903700000000001E-2</v>
      </c>
      <c r="AT309" s="22">
        <v>299</v>
      </c>
      <c r="AU309" s="22">
        <v>0.343781</v>
      </c>
      <c r="AV309">
        <f t="shared" si="56"/>
        <v>16.903700000000001</v>
      </c>
      <c r="AW309">
        <f t="shared" si="57"/>
        <v>5.8214821467000002</v>
      </c>
      <c r="AX309" s="9"/>
      <c r="AY309" s="22">
        <v>1.40564</v>
      </c>
      <c r="AZ309" s="22">
        <v>382.29399999999998</v>
      </c>
      <c r="BA309" s="22">
        <v>-1.55426E-2</v>
      </c>
      <c r="BB309" s="22">
        <v>299</v>
      </c>
      <c r="BC309" s="22">
        <v>1.40564</v>
      </c>
      <c r="BD309">
        <f t="shared" si="58"/>
        <v>15.5426</v>
      </c>
      <c r="BE309">
        <f t="shared" si="59"/>
        <v>21.847300264000001</v>
      </c>
    </row>
    <row r="310" spans="6:57">
      <c r="F310" s="9"/>
      <c r="G310" s="22">
        <v>0.33935500000000002</v>
      </c>
      <c r="H310" s="22">
        <v>53.862699999999997</v>
      </c>
      <c r="I310" s="22">
        <v>-1.72363E-2</v>
      </c>
      <c r="J310" s="22">
        <v>300</v>
      </c>
      <c r="K310" s="22">
        <v>0.33865400000000001</v>
      </c>
      <c r="L310">
        <f t="shared" si="48"/>
        <v>17.2363</v>
      </c>
      <c r="M310">
        <f t="shared" si="49"/>
        <v>5.8492245865000001</v>
      </c>
      <c r="N310" s="9"/>
      <c r="O310" s="22">
        <v>1.4106799999999999</v>
      </c>
      <c r="P310" s="22">
        <v>109.259</v>
      </c>
      <c r="Q310" s="22">
        <v>-1.6055300000000002E-2</v>
      </c>
      <c r="R310" s="22">
        <v>300</v>
      </c>
      <c r="S310" s="22">
        <v>1.40991</v>
      </c>
      <c r="T310">
        <f t="shared" si="50"/>
        <v>16.055300000000003</v>
      </c>
      <c r="U310">
        <f t="shared" si="51"/>
        <v>22.648890604000002</v>
      </c>
      <c r="X310" s="9"/>
      <c r="Y310" s="22">
        <v>0.33935500000000002</v>
      </c>
      <c r="Z310" s="22">
        <v>171.21600000000001</v>
      </c>
      <c r="AA310" s="22">
        <v>-1.7163100000000001E-2</v>
      </c>
      <c r="AB310" s="22">
        <v>300</v>
      </c>
      <c r="AC310" s="22">
        <v>0.33877600000000002</v>
      </c>
      <c r="AD310">
        <f t="shared" si="52"/>
        <v>17.1631</v>
      </c>
      <c r="AE310">
        <f t="shared" si="53"/>
        <v>5.8243838005000006</v>
      </c>
      <c r="AF310" s="9"/>
      <c r="AG310" s="22">
        <v>1.4106799999999999</v>
      </c>
      <c r="AH310" s="22">
        <v>250.74799999999999</v>
      </c>
      <c r="AI310" s="22">
        <v>-1.5802E-2</v>
      </c>
      <c r="AJ310" s="22">
        <v>300</v>
      </c>
      <c r="AK310" s="22">
        <v>1.41022</v>
      </c>
      <c r="AL310">
        <f t="shared" si="54"/>
        <v>15.802</v>
      </c>
      <c r="AM310">
        <f t="shared" si="55"/>
        <v>22.29156536</v>
      </c>
      <c r="AP310" s="9"/>
      <c r="AQ310" s="22">
        <v>0.33935500000000002</v>
      </c>
      <c r="AR310" s="22">
        <v>303.16500000000002</v>
      </c>
      <c r="AS310" s="22">
        <v>-1.68945E-2</v>
      </c>
      <c r="AT310" s="22">
        <v>300</v>
      </c>
      <c r="AU310" s="22">
        <v>0.33877600000000002</v>
      </c>
      <c r="AV310">
        <f t="shared" si="56"/>
        <v>16.894500000000001</v>
      </c>
      <c r="AW310">
        <f t="shared" si="57"/>
        <v>5.7332330475000006</v>
      </c>
      <c r="AX310" s="9"/>
      <c r="AY310" s="22">
        <v>1.4106799999999999</v>
      </c>
      <c r="AZ310" s="22">
        <v>382.39499999999998</v>
      </c>
      <c r="BA310" s="22">
        <v>-1.5521200000000001E-2</v>
      </c>
      <c r="BB310" s="22">
        <v>300</v>
      </c>
      <c r="BC310" s="22">
        <v>1.41083</v>
      </c>
      <c r="BD310">
        <f t="shared" si="58"/>
        <v>15.5212</v>
      </c>
      <c r="BE310">
        <f t="shared" si="59"/>
        <v>21.895446415999999</v>
      </c>
    </row>
    <row r="311" spans="6:57">
      <c r="F311" s="9"/>
      <c r="G311" s="22">
        <v>0.33432000000000001</v>
      </c>
      <c r="H311" s="22">
        <v>53.9634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109.35899999999999</v>
      </c>
      <c r="Q311" s="22">
        <v>-1.60339E-2</v>
      </c>
      <c r="R311" s="22">
        <v>301</v>
      </c>
      <c r="S311" s="22">
        <v>1.4154100000000001</v>
      </c>
      <c r="T311">
        <f t="shared" si="50"/>
        <v>16.033899999999999</v>
      </c>
      <c r="U311">
        <f t="shared" si="51"/>
        <v>22.699352568999998</v>
      </c>
      <c r="X311" s="9"/>
      <c r="Y311" s="22">
        <v>0.33432000000000001</v>
      </c>
      <c r="Z311" s="22">
        <v>171.316</v>
      </c>
      <c r="AA311" s="22">
        <v>-1.7172199999999999E-2</v>
      </c>
      <c r="AB311" s="22">
        <v>301</v>
      </c>
      <c r="AC311" s="22">
        <v>0.33364899999999997</v>
      </c>
      <c r="AD311">
        <f t="shared" si="52"/>
        <v>17.1722</v>
      </c>
      <c r="AE311">
        <f t="shared" si="53"/>
        <v>5.7410099040000002</v>
      </c>
      <c r="AF311" s="9"/>
      <c r="AG311" s="22">
        <v>1.41571</v>
      </c>
      <c r="AH311" s="22">
        <v>250.84899999999999</v>
      </c>
      <c r="AI311" s="22">
        <v>-1.5722699999999999E-2</v>
      </c>
      <c r="AJ311" s="22">
        <v>301</v>
      </c>
      <c r="AK311" s="22">
        <v>1.4154100000000001</v>
      </c>
      <c r="AL311">
        <f t="shared" si="54"/>
        <v>15.7227</v>
      </c>
      <c r="AM311">
        <f t="shared" si="55"/>
        <v>22.258783616999999</v>
      </c>
      <c r="AP311" s="9"/>
      <c r="AQ311" s="22">
        <v>0.33432000000000001</v>
      </c>
      <c r="AR311" s="22">
        <v>303.26499999999999</v>
      </c>
      <c r="AS311" s="22">
        <v>-1.69067E-2</v>
      </c>
      <c r="AT311" s="22">
        <v>301</v>
      </c>
      <c r="AU311" s="22">
        <v>0.33377099999999998</v>
      </c>
      <c r="AV311">
        <f t="shared" si="56"/>
        <v>16.906700000000001</v>
      </c>
      <c r="AW311">
        <f t="shared" si="57"/>
        <v>5.652247944</v>
      </c>
      <c r="AX311" s="9"/>
      <c r="AY311" s="22">
        <v>1.41571</v>
      </c>
      <c r="AZ311" s="22">
        <v>382.49599999999998</v>
      </c>
      <c r="BA311" s="22">
        <v>-1.5466300000000001E-2</v>
      </c>
      <c r="BB311" s="22">
        <v>301</v>
      </c>
      <c r="BC311" s="22">
        <v>1.41449</v>
      </c>
      <c r="BD311">
        <f t="shared" si="58"/>
        <v>15.4663</v>
      </c>
      <c r="BE311">
        <f t="shared" si="59"/>
        <v>21.895795573000001</v>
      </c>
    </row>
    <row r="312" spans="6:57">
      <c r="F312" s="9"/>
      <c r="G312" s="22">
        <v>0.32928499999999999</v>
      </c>
      <c r="H312" s="22">
        <v>54.064100000000003</v>
      </c>
      <c r="I312" s="22">
        <v>-1.7254599999999998E-2</v>
      </c>
      <c r="J312" s="22">
        <v>302</v>
      </c>
      <c r="K312" s="22">
        <v>0.328735</v>
      </c>
      <c r="L312">
        <f t="shared" si="48"/>
        <v>17.2546</v>
      </c>
      <c r="M312">
        <f t="shared" si="49"/>
        <v>5.6816809609999996</v>
      </c>
      <c r="N312" s="9"/>
      <c r="O312" s="22">
        <v>1.42075</v>
      </c>
      <c r="P312" s="22">
        <v>109.46</v>
      </c>
      <c r="Q312" s="22">
        <v>-1.5994299999999999E-2</v>
      </c>
      <c r="R312" s="22">
        <v>302</v>
      </c>
      <c r="S312" s="22">
        <v>1.41998</v>
      </c>
      <c r="T312">
        <f t="shared" si="50"/>
        <v>15.994299999999999</v>
      </c>
      <c r="U312">
        <f t="shared" si="51"/>
        <v>22.723901724999997</v>
      </c>
      <c r="X312" s="9"/>
      <c r="Y312" s="22">
        <v>0.32928499999999999</v>
      </c>
      <c r="Z312" s="22">
        <v>171.417</v>
      </c>
      <c r="AA312" s="22">
        <v>-1.7202800000000001E-2</v>
      </c>
      <c r="AB312" s="22">
        <v>302</v>
      </c>
      <c r="AC312" s="22">
        <v>0.32861299999999999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250.94900000000001</v>
      </c>
      <c r="AI312" s="22">
        <v>-1.56647E-2</v>
      </c>
      <c r="AJ312" s="22">
        <v>302</v>
      </c>
      <c r="AK312" s="22">
        <v>1.41998</v>
      </c>
      <c r="AL312">
        <f t="shared" si="54"/>
        <v>15.6647</v>
      </c>
      <c r="AM312">
        <f t="shared" si="55"/>
        <v>22.255622525</v>
      </c>
      <c r="AP312" s="9"/>
      <c r="AQ312" s="22">
        <v>0.32928499999999999</v>
      </c>
      <c r="AR312" s="22">
        <v>303.36599999999999</v>
      </c>
      <c r="AS312" s="22">
        <v>-1.6937299999999999E-2</v>
      </c>
      <c r="AT312" s="22">
        <v>302</v>
      </c>
      <c r="AU312" s="22">
        <v>0.32864399999999999</v>
      </c>
      <c r="AV312">
        <f t="shared" si="56"/>
        <v>16.9373</v>
      </c>
      <c r="AW312">
        <f t="shared" si="57"/>
        <v>5.5771988305000004</v>
      </c>
      <c r="AX312" s="9"/>
      <c r="AY312" s="22">
        <v>1.42075</v>
      </c>
      <c r="AZ312" s="22">
        <v>382.596</v>
      </c>
      <c r="BA312" s="22">
        <v>-1.54358E-2</v>
      </c>
      <c r="BB312" s="22">
        <v>302</v>
      </c>
      <c r="BC312" s="22">
        <v>1.41998</v>
      </c>
      <c r="BD312">
        <f t="shared" si="58"/>
        <v>15.4358</v>
      </c>
      <c r="BE312">
        <f t="shared" si="59"/>
        <v>21.93041285</v>
      </c>
    </row>
    <row r="313" spans="6:57">
      <c r="F313" s="9"/>
      <c r="G313" s="22">
        <v>0.32424900000000001</v>
      </c>
      <c r="H313" s="22">
        <v>54.1648</v>
      </c>
      <c r="I313" s="22">
        <v>-1.7266799999999999E-2</v>
      </c>
      <c r="J313" s="22">
        <v>303</v>
      </c>
      <c r="K313" s="22">
        <v>0.32363900000000001</v>
      </c>
      <c r="L313">
        <f t="shared" si="48"/>
        <v>17.2668</v>
      </c>
      <c r="M313">
        <f t="shared" si="49"/>
        <v>5.5987426332000005</v>
      </c>
      <c r="N313" s="9"/>
      <c r="O313" s="22">
        <v>1.42578</v>
      </c>
      <c r="P313" s="22">
        <v>109.56100000000001</v>
      </c>
      <c r="Q313" s="22">
        <v>-1.5945399999999998E-2</v>
      </c>
      <c r="R313" s="22">
        <v>303</v>
      </c>
      <c r="S313" s="22">
        <v>1.4254800000000001</v>
      </c>
      <c r="T313">
        <f t="shared" si="50"/>
        <v>15.945399999999999</v>
      </c>
      <c r="U313">
        <f t="shared" si="51"/>
        <v>22.734632412</v>
      </c>
      <c r="X313" s="9"/>
      <c r="Y313" s="22">
        <v>0.32424900000000001</v>
      </c>
      <c r="Z313" s="22">
        <v>171.518</v>
      </c>
      <c r="AA313" s="22">
        <v>-1.7211899999999999E-2</v>
      </c>
      <c r="AB313" s="22">
        <v>303</v>
      </c>
      <c r="AC313" s="22">
        <v>0.32360800000000001</v>
      </c>
      <c r="AD313">
        <f t="shared" si="52"/>
        <v>17.2119</v>
      </c>
      <c r="AE313">
        <f t="shared" si="53"/>
        <v>5.5809413631</v>
      </c>
      <c r="AF313" s="9"/>
      <c r="AG313" s="22">
        <v>1.42578</v>
      </c>
      <c r="AH313" s="22">
        <v>251.05</v>
      </c>
      <c r="AI313" s="22">
        <v>-1.5661600000000001E-2</v>
      </c>
      <c r="AJ313" s="22">
        <v>303</v>
      </c>
      <c r="AK313" s="22">
        <v>1.42517</v>
      </c>
      <c r="AL313">
        <f t="shared" si="54"/>
        <v>15.661600000000002</v>
      </c>
      <c r="AM313">
        <f t="shared" si="55"/>
        <v>22.329996048000002</v>
      </c>
      <c r="AP313" s="9"/>
      <c r="AQ313" s="22">
        <v>0.32424900000000001</v>
      </c>
      <c r="AR313" s="22">
        <v>303.46699999999998</v>
      </c>
      <c r="AS313" s="22">
        <v>-1.69342E-2</v>
      </c>
      <c r="AT313" s="22">
        <v>303</v>
      </c>
      <c r="AU313" s="22">
        <v>0.32363900000000001</v>
      </c>
      <c r="AV313">
        <f t="shared" si="56"/>
        <v>16.934200000000001</v>
      </c>
      <c r="AW313">
        <f t="shared" si="57"/>
        <v>5.4908974158000001</v>
      </c>
      <c r="AX313" s="9"/>
      <c r="AY313" s="22">
        <v>1.42578</v>
      </c>
      <c r="AZ313" s="22">
        <v>382.697</v>
      </c>
      <c r="BA313" s="22">
        <v>-1.5432700000000001E-2</v>
      </c>
      <c r="BB313" s="22">
        <v>303</v>
      </c>
      <c r="BC313" s="22">
        <v>1.4254800000000001</v>
      </c>
      <c r="BD313">
        <f t="shared" si="58"/>
        <v>15.432700000000001</v>
      </c>
      <c r="BE313">
        <f t="shared" si="59"/>
        <v>22.003635006000003</v>
      </c>
    </row>
    <row r="314" spans="6:57">
      <c r="F314" s="9"/>
      <c r="G314" s="22">
        <v>0.319214</v>
      </c>
      <c r="H314" s="22">
        <v>54.265500000000003</v>
      </c>
      <c r="I314" s="22">
        <v>-1.7263799999999999E-2</v>
      </c>
      <c r="J314" s="22">
        <v>304</v>
      </c>
      <c r="K314" s="22">
        <v>0.318604</v>
      </c>
      <c r="L314">
        <f t="shared" si="48"/>
        <v>17.2638</v>
      </c>
      <c r="M314">
        <f t="shared" si="49"/>
        <v>5.5108466531999998</v>
      </c>
      <c r="N314" s="9"/>
      <c r="O314" s="22">
        <v>1.43082</v>
      </c>
      <c r="P314" s="22">
        <v>109.661</v>
      </c>
      <c r="Q314" s="22">
        <v>-1.5905800000000001E-2</v>
      </c>
      <c r="R314" s="22">
        <v>304</v>
      </c>
      <c r="S314" s="22">
        <v>1.4303600000000001</v>
      </c>
      <c r="T314">
        <f t="shared" si="50"/>
        <v>15.905800000000001</v>
      </c>
      <c r="U314">
        <f t="shared" si="51"/>
        <v>22.758336756000002</v>
      </c>
      <c r="X314" s="9"/>
      <c r="Y314" s="22">
        <v>0.319214</v>
      </c>
      <c r="Z314" s="22">
        <v>171.61799999999999</v>
      </c>
      <c r="AA314" s="22">
        <v>-1.7230200000000001E-2</v>
      </c>
      <c r="AB314" s="22">
        <v>304</v>
      </c>
      <c r="AC314" s="22">
        <v>0.31866499999999998</v>
      </c>
      <c r="AD314">
        <f t="shared" si="52"/>
        <v>17.2302</v>
      </c>
      <c r="AE314">
        <f t="shared" si="53"/>
        <v>5.5001210627999999</v>
      </c>
      <c r="AF314" s="9"/>
      <c r="AG314" s="22">
        <v>1.43082</v>
      </c>
      <c r="AH314" s="22">
        <v>251.15100000000001</v>
      </c>
      <c r="AI314" s="22">
        <v>-1.56128E-2</v>
      </c>
      <c r="AJ314" s="22">
        <v>304</v>
      </c>
      <c r="AK314" s="22">
        <v>1.4303600000000001</v>
      </c>
      <c r="AL314">
        <f t="shared" si="54"/>
        <v>15.6128</v>
      </c>
      <c r="AM314">
        <f t="shared" si="55"/>
        <v>22.339106495999999</v>
      </c>
      <c r="AP314" s="9"/>
      <c r="AQ314" s="22">
        <v>0.319214</v>
      </c>
      <c r="AR314" s="22">
        <v>303.56700000000001</v>
      </c>
      <c r="AS314" s="22">
        <v>-1.69067E-2</v>
      </c>
      <c r="AT314" s="22">
        <v>304</v>
      </c>
      <c r="AU314" s="22">
        <v>0.31854199999999999</v>
      </c>
      <c r="AV314">
        <f t="shared" si="56"/>
        <v>16.906700000000001</v>
      </c>
      <c r="AW314">
        <f t="shared" si="57"/>
        <v>5.3968553338000005</v>
      </c>
      <c r="AX314" s="9"/>
      <c r="AY314" s="22">
        <v>1.43082</v>
      </c>
      <c r="AZ314" s="22">
        <v>382.798</v>
      </c>
      <c r="BA314" s="22">
        <v>-1.54053E-2</v>
      </c>
      <c r="BB314" s="22">
        <v>304</v>
      </c>
      <c r="BC314" s="22">
        <v>1.4303600000000001</v>
      </c>
      <c r="BD314">
        <f t="shared" si="58"/>
        <v>15.4053</v>
      </c>
      <c r="BE314">
        <f t="shared" si="59"/>
        <v>22.042211346000002</v>
      </c>
    </row>
    <row r="315" spans="6:57">
      <c r="F315" s="9"/>
      <c r="G315" s="22">
        <v>0.31417800000000001</v>
      </c>
      <c r="H315" s="22">
        <v>54.366199999999999</v>
      </c>
      <c r="I315" s="22">
        <v>-1.72607E-2</v>
      </c>
      <c r="J315" s="22">
        <v>305</v>
      </c>
      <c r="K315" s="22">
        <v>0.31353799999999998</v>
      </c>
      <c r="L315">
        <f t="shared" si="48"/>
        <v>17.2607</v>
      </c>
      <c r="M315">
        <f t="shared" si="49"/>
        <v>5.4229322046000004</v>
      </c>
      <c r="N315" s="9"/>
      <c r="O315" s="22">
        <v>1.4358500000000001</v>
      </c>
      <c r="P315" s="22">
        <v>109.762</v>
      </c>
      <c r="Q315" s="22">
        <v>-1.5878300000000001E-2</v>
      </c>
      <c r="R315" s="22">
        <v>305</v>
      </c>
      <c r="S315" s="22">
        <v>1.4352400000000001</v>
      </c>
      <c r="T315">
        <f t="shared" si="50"/>
        <v>15.878300000000001</v>
      </c>
      <c r="U315">
        <f t="shared" si="51"/>
        <v>22.798857055000003</v>
      </c>
      <c r="X315" s="9"/>
      <c r="Y315" s="22">
        <v>0.31417800000000001</v>
      </c>
      <c r="Z315" s="22">
        <v>171.71899999999999</v>
      </c>
      <c r="AA315" s="22">
        <v>-1.7254599999999998E-2</v>
      </c>
      <c r="AB315" s="22">
        <v>305</v>
      </c>
      <c r="AC315" s="22">
        <v>0.31356800000000001</v>
      </c>
      <c r="AD315">
        <f t="shared" si="52"/>
        <v>17.2546</v>
      </c>
      <c r="AE315">
        <f t="shared" si="53"/>
        <v>5.4210157188000005</v>
      </c>
      <c r="AF315" s="9"/>
      <c r="AG315" s="22">
        <v>1.4358500000000001</v>
      </c>
      <c r="AH315" s="22">
        <v>251.251</v>
      </c>
      <c r="AI315" s="22">
        <v>-1.55426E-2</v>
      </c>
      <c r="AJ315" s="22">
        <v>305</v>
      </c>
      <c r="AK315" s="22">
        <v>1.4346300000000001</v>
      </c>
      <c r="AL315">
        <f t="shared" si="54"/>
        <v>15.5426</v>
      </c>
      <c r="AM315">
        <f t="shared" si="55"/>
        <v>22.316842210000001</v>
      </c>
      <c r="AP315" s="9"/>
      <c r="AQ315" s="22">
        <v>0.31417800000000001</v>
      </c>
      <c r="AR315" s="22">
        <v>303.66800000000001</v>
      </c>
      <c r="AS315" s="22">
        <v>-1.6924999999999999E-2</v>
      </c>
      <c r="AT315" s="22">
        <v>305</v>
      </c>
      <c r="AU315" s="22">
        <v>0.31359900000000002</v>
      </c>
      <c r="AV315">
        <f t="shared" si="56"/>
        <v>16.925000000000001</v>
      </c>
      <c r="AW315">
        <f t="shared" si="57"/>
        <v>5.3174626500000004</v>
      </c>
      <c r="AX315" s="9"/>
      <c r="AY315" s="22">
        <v>1.4358500000000001</v>
      </c>
      <c r="AZ315" s="22">
        <v>382.89800000000002</v>
      </c>
      <c r="BA315" s="22">
        <v>-1.5374799999999999E-2</v>
      </c>
      <c r="BB315" s="22">
        <v>305</v>
      </c>
      <c r="BC315" s="22">
        <v>1.4349400000000001</v>
      </c>
      <c r="BD315">
        <f t="shared" si="58"/>
        <v>15.374799999999999</v>
      </c>
      <c r="BE315">
        <f t="shared" si="59"/>
        <v>22.075906579999998</v>
      </c>
    </row>
    <row r="316" spans="6:57">
      <c r="F316" s="9"/>
      <c r="G316" s="22">
        <v>0.309143</v>
      </c>
      <c r="H316" s="22">
        <v>54.466900000000003</v>
      </c>
      <c r="I316" s="22">
        <v>-1.72607E-2</v>
      </c>
      <c r="J316" s="22">
        <v>306</v>
      </c>
      <c r="K316" s="22">
        <v>0.30847200000000002</v>
      </c>
      <c r="L316">
        <f t="shared" si="48"/>
        <v>17.2607</v>
      </c>
      <c r="M316">
        <f t="shared" si="49"/>
        <v>5.3360245801000001</v>
      </c>
      <c r="N316" s="9"/>
      <c r="O316" s="22">
        <v>1.44089</v>
      </c>
      <c r="P316" s="22">
        <v>109.863</v>
      </c>
      <c r="Q316" s="22">
        <v>-1.58417E-2</v>
      </c>
      <c r="R316" s="22">
        <v>306</v>
      </c>
      <c r="S316" s="22">
        <v>1.4395100000000001</v>
      </c>
      <c r="T316">
        <f t="shared" si="50"/>
        <v>15.841699999999999</v>
      </c>
      <c r="U316">
        <f t="shared" si="51"/>
        <v>22.826147112999998</v>
      </c>
      <c r="X316" s="9"/>
      <c r="Y316" s="22">
        <v>0.309143</v>
      </c>
      <c r="Z316" s="22">
        <v>171.82</v>
      </c>
      <c r="AA316" s="22">
        <v>-1.72211E-2</v>
      </c>
      <c r="AB316" s="22">
        <v>306</v>
      </c>
      <c r="AC316" s="22">
        <v>0.30859399999999998</v>
      </c>
      <c r="AD316">
        <f t="shared" si="52"/>
        <v>17.2211</v>
      </c>
      <c r="AE316">
        <f t="shared" si="53"/>
        <v>5.3237825172999997</v>
      </c>
      <c r="AF316" s="9"/>
      <c r="AG316" s="22">
        <v>1.44089</v>
      </c>
      <c r="AH316" s="22">
        <v>251.352</v>
      </c>
      <c r="AI316" s="22">
        <v>-1.54907E-2</v>
      </c>
      <c r="AJ316" s="22">
        <v>306</v>
      </c>
      <c r="AK316" s="22">
        <v>1.4398200000000001</v>
      </c>
      <c r="AL316">
        <f t="shared" si="54"/>
        <v>15.4907</v>
      </c>
      <c r="AM316">
        <f t="shared" si="55"/>
        <v>22.320394723</v>
      </c>
      <c r="AP316" s="9"/>
      <c r="AQ316" s="22">
        <v>0.309143</v>
      </c>
      <c r="AR316" s="22">
        <v>303.76900000000001</v>
      </c>
      <c r="AS316" s="22">
        <v>-1.6940299999999998E-2</v>
      </c>
      <c r="AT316" s="22">
        <v>306</v>
      </c>
      <c r="AU316" s="22">
        <v>0.308533</v>
      </c>
      <c r="AV316">
        <f t="shared" si="56"/>
        <v>16.940299999999997</v>
      </c>
      <c r="AW316">
        <f t="shared" si="57"/>
        <v>5.2369751628999994</v>
      </c>
      <c r="AX316" s="9"/>
      <c r="AY316" s="22">
        <v>1.44089</v>
      </c>
      <c r="AZ316" s="22">
        <v>382.99900000000002</v>
      </c>
      <c r="BA316" s="22">
        <v>-1.53534E-2</v>
      </c>
      <c r="BB316" s="22">
        <v>306</v>
      </c>
      <c r="BC316" s="22">
        <v>1.4404300000000001</v>
      </c>
      <c r="BD316">
        <f t="shared" si="58"/>
        <v>15.353399999999999</v>
      </c>
      <c r="BE316">
        <f t="shared" si="59"/>
        <v>22.122560525999997</v>
      </c>
    </row>
    <row r="317" spans="6:57">
      <c r="F317" s="9"/>
      <c r="G317" s="22">
        <v>0.30410799999999999</v>
      </c>
      <c r="H317" s="22">
        <v>54.567700000000002</v>
      </c>
      <c r="I317" s="22">
        <v>-1.7263799999999999E-2</v>
      </c>
      <c r="J317" s="22">
        <v>307</v>
      </c>
      <c r="K317" s="22">
        <v>0.30343599999999998</v>
      </c>
      <c r="L317">
        <f t="shared" si="48"/>
        <v>17.2638</v>
      </c>
      <c r="M317">
        <f t="shared" si="49"/>
        <v>5.2500596903999996</v>
      </c>
      <c r="N317" s="9"/>
      <c r="O317" s="22">
        <v>1.4459200000000001</v>
      </c>
      <c r="P317" s="22">
        <v>109.964</v>
      </c>
      <c r="Q317" s="22">
        <v>-1.58295E-2</v>
      </c>
      <c r="R317" s="22">
        <v>307</v>
      </c>
      <c r="S317" s="22">
        <v>1.4456199999999999</v>
      </c>
      <c r="T317">
        <f t="shared" si="50"/>
        <v>15.829499999999999</v>
      </c>
      <c r="U317">
        <f t="shared" si="51"/>
        <v>22.888190640000001</v>
      </c>
      <c r="X317" s="9"/>
      <c r="Y317" s="22">
        <v>0.30410799999999999</v>
      </c>
      <c r="Z317" s="22">
        <v>171.92</v>
      </c>
      <c r="AA317" s="22">
        <v>-1.7199699999999998E-2</v>
      </c>
      <c r="AB317" s="22">
        <v>307</v>
      </c>
      <c r="AC317" s="22">
        <v>0.30343599999999998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251.453</v>
      </c>
      <c r="AI317" s="22">
        <v>-1.5457200000000001E-2</v>
      </c>
      <c r="AJ317" s="22">
        <v>307</v>
      </c>
      <c r="AK317" s="22">
        <v>1.4450099999999999</v>
      </c>
      <c r="AL317">
        <f t="shared" si="54"/>
        <v>15.4572</v>
      </c>
      <c r="AM317">
        <f t="shared" si="55"/>
        <v>22.349874624000002</v>
      </c>
      <c r="AP317" s="9"/>
      <c r="AQ317" s="22">
        <v>0.30410799999999999</v>
      </c>
      <c r="AR317" s="22">
        <v>303.87</v>
      </c>
      <c r="AS317" s="22">
        <v>-1.69617E-2</v>
      </c>
      <c r="AT317" s="22">
        <v>307</v>
      </c>
      <c r="AU317" s="22">
        <v>0.30352800000000002</v>
      </c>
      <c r="AV317">
        <f t="shared" si="56"/>
        <v>16.9617</v>
      </c>
      <c r="AW317">
        <f t="shared" si="57"/>
        <v>5.1581886635999998</v>
      </c>
      <c r="AX317" s="9"/>
      <c r="AY317" s="22">
        <v>1.4459200000000001</v>
      </c>
      <c r="AZ317" s="22">
        <v>383.1</v>
      </c>
      <c r="BA317" s="22">
        <v>-1.53107E-2</v>
      </c>
      <c r="BB317" s="22">
        <v>307</v>
      </c>
      <c r="BC317" s="22">
        <v>1.4450099999999999</v>
      </c>
      <c r="BD317">
        <f t="shared" si="58"/>
        <v>15.310700000000001</v>
      </c>
      <c r="BE317">
        <f t="shared" si="59"/>
        <v>22.138047344000004</v>
      </c>
    </row>
    <row r="318" spans="6:57">
      <c r="F318" s="9"/>
      <c r="G318" s="22">
        <v>0.299072</v>
      </c>
      <c r="H318" s="22">
        <v>54.668399999999998</v>
      </c>
      <c r="I318" s="22">
        <v>-1.7285200000000001E-2</v>
      </c>
      <c r="J318" s="22">
        <v>308</v>
      </c>
      <c r="K318" s="22">
        <v>0.29849199999999998</v>
      </c>
      <c r="L318">
        <f t="shared" si="48"/>
        <v>17.2852</v>
      </c>
      <c r="M318">
        <f t="shared" si="49"/>
        <v>5.1695193344000003</v>
      </c>
      <c r="N318" s="9"/>
      <c r="O318" s="22">
        <v>1.45096</v>
      </c>
      <c r="P318" s="22">
        <v>110.06399999999999</v>
      </c>
      <c r="Q318" s="22">
        <v>-1.57593E-2</v>
      </c>
      <c r="R318" s="22">
        <v>308</v>
      </c>
      <c r="S318" s="22">
        <v>1.4501999999999999</v>
      </c>
      <c r="T318">
        <f t="shared" si="50"/>
        <v>15.7593</v>
      </c>
      <c r="U318">
        <f t="shared" si="51"/>
        <v>22.866113928000001</v>
      </c>
      <c r="X318" s="9"/>
      <c r="Y318" s="22">
        <v>0.299072</v>
      </c>
      <c r="Z318" s="22">
        <v>172.02099999999999</v>
      </c>
      <c r="AA318" s="22">
        <v>-1.71906E-2</v>
      </c>
      <c r="AB318" s="22">
        <v>308</v>
      </c>
      <c r="AC318" s="22">
        <v>0.29846200000000001</v>
      </c>
      <c r="AD318">
        <f t="shared" si="52"/>
        <v>17.1906</v>
      </c>
      <c r="AE318">
        <f t="shared" si="53"/>
        <v>5.1412271232000002</v>
      </c>
      <c r="AF318" s="9"/>
      <c r="AG318" s="22">
        <v>1.45096</v>
      </c>
      <c r="AH318" s="22">
        <v>251.553</v>
      </c>
      <c r="AI318" s="22">
        <v>-1.54602E-2</v>
      </c>
      <c r="AJ318" s="22">
        <v>308</v>
      </c>
      <c r="AK318" s="22">
        <v>1.4495800000000001</v>
      </c>
      <c r="AL318">
        <f t="shared" si="54"/>
        <v>15.4602</v>
      </c>
      <c r="AM318">
        <f t="shared" si="55"/>
        <v>22.432131792</v>
      </c>
      <c r="AP318" s="9"/>
      <c r="AQ318" s="22">
        <v>0.299072</v>
      </c>
      <c r="AR318" s="22">
        <v>303.97000000000003</v>
      </c>
      <c r="AS318" s="22">
        <v>-1.6979999999999999E-2</v>
      </c>
      <c r="AT318" s="22">
        <v>308</v>
      </c>
      <c r="AU318" s="22">
        <v>0.29840100000000003</v>
      </c>
      <c r="AV318">
        <f t="shared" si="56"/>
        <v>16.979999999999997</v>
      </c>
      <c r="AW318">
        <f t="shared" si="57"/>
        <v>5.0782425599999987</v>
      </c>
      <c r="AX318" s="9"/>
      <c r="AY318" s="22">
        <v>1.45096</v>
      </c>
      <c r="AZ318" s="22">
        <v>383.20100000000002</v>
      </c>
      <c r="BA318" s="22">
        <v>-1.52283E-2</v>
      </c>
      <c r="BB318" s="22">
        <v>308</v>
      </c>
      <c r="BC318" s="22">
        <v>1.4501999999999999</v>
      </c>
      <c r="BD318">
        <f t="shared" si="58"/>
        <v>15.228300000000001</v>
      </c>
      <c r="BE318">
        <f t="shared" si="59"/>
        <v>22.095654168000003</v>
      </c>
    </row>
    <row r="319" spans="6:57">
      <c r="F319" s="9"/>
      <c r="G319" s="22">
        <v>0.29403699999999999</v>
      </c>
      <c r="H319" s="22">
        <v>54.769100000000002</v>
      </c>
      <c r="I319" s="22">
        <v>-1.72882E-2</v>
      </c>
      <c r="J319" s="22">
        <v>309</v>
      </c>
      <c r="K319" s="22">
        <v>0.29336499999999999</v>
      </c>
      <c r="L319">
        <f t="shared" si="48"/>
        <v>17.2882</v>
      </c>
      <c r="M319">
        <f t="shared" si="49"/>
        <v>5.0833704633999997</v>
      </c>
      <c r="N319" s="9"/>
      <c r="O319" s="22">
        <v>1.4559899999999999</v>
      </c>
      <c r="P319" s="22">
        <v>110.16500000000001</v>
      </c>
      <c r="Q319" s="22">
        <v>-1.57196E-2</v>
      </c>
      <c r="R319" s="22">
        <v>309</v>
      </c>
      <c r="S319" s="22">
        <v>1.4556899999999999</v>
      </c>
      <c r="T319">
        <f t="shared" si="50"/>
        <v>15.7196</v>
      </c>
      <c r="U319">
        <f t="shared" si="51"/>
        <v>22.887580403999998</v>
      </c>
      <c r="X319" s="9"/>
      <c r="Y319" s="22">
        <v>0.29403699999999999</v>
      </c>
      <c r="Z319" s="22">
        <v>172.12200000000001</v>
      </c>
      <c r="AA319" s="22">
        <v>-1.7181399999999999E-2</v>
      </c>
      <c r="AB319" s="22">
        <v>309</v>
      </c>
      <c r="AC319" s="22">
        <v>0.29330400000000001</v>
      </c>
      <c r="AD319">
        <f t="shared" si="52"/>
        <v>17.1814</v>
      </c>
      <c r="AE319">
        <f t="shared" si="53"/>
        <v>5.0519673117999995</v>
      </c>
      <c r="AF319" s="9"/>
      <c r="AG319" s="22">
        <v>1.4559899999999999</v>
      </c>
      <c r="AH319" s="22">
        <v>251.654</v>
      </c>
      <c r="AI319" s="22">
        <v>-1.54144E-2</v>
      </c>
      <c r="AJ319" s="22">
        <v>309</v>
      </c>
      <c r="AK319" s="22">
        <v>1.4553799999999999</v>
      </c>
      <c r="AL319">
        <f t="shared" si="54"/>
        <v>15.414400000000001</v>
      </c>
      <c r="AM319">
        <f t="shared" si="55"/>
        <v>22.443212255999999</v>
      </c>
      <c r="AP319" s="9"/>
      <c r="AQ319" s="22">
        <v>0.29403699999999999</v>
      </c>
      <c r="AR319" s="22">
        <v>304.07100000000003</v>
      </c>
      <c r="AS319" s="22">
        <v>-1.6949499999999999E-2</v>
      </c>
      <c r="AT319" s="22">
        <v>309</v>
      </c>
      <c r="AU319" s="22">
        <v>0.29342699999999999</v>
      </c>
      <c r="AV319">
        <f t="shared" si="56"/>
        <v>16.9495</v>
      </c>
      <c r="AW319">
        <f t="shared" si="57"/>
        <v>4.9837801314999997</v>
      </c>
      <c r="AX319" s="9"/>
      <c r="AY319" s="22">
        <v>1.4559899999999999</v>
      </c>
      <c r="AZ319" s="22">
        <v>383.30099999999999</v>
      </c>
      <c r="BA319" s="22">
        <v>-1.5173300000000001E-2</v>
      </c>
      <c r="BB319" s="22">
        <v>309</v>
      </c>
      <c r="BC319" s="22">
        <v>1.4553799999999999</v>
      </c>
      <c r="BD319">
        <f t="shared" si="58"/>
        <v>15.173300000000001</v>
      </c>
      <c r="BE319">
        <f t="shared" si="59"/>
        <v>22.092173067000001</v>
      </c>
    </row>
    <row r="320" spans="6:57">
      <c r="F320" s="9"/>
      <c r="G320" s="22">
        <v>0.28900100000000001</v>
      </c>
      <c r="H320" s="22">
        <v>54.869799999999998</v>
      </c>
      <c r="I320" s="22">
        <v>-1.7279099999999999E-2</v>
      </c>
      <c r="J320" s="22">
        <v>310</v>
      </c>
      <c r="K320" s="22">
        <v>0.28832999999999998</v>
      </c>
      <c r="L320">
        <f t="shared" si="48"/>
        <v>17.2791</v>
      </c>
      <c r="M320">
        <f t="shared" si="49"/>
        <v>4.9936771790999996</v>
      </c>
      <c r="N320" s="9"/>
      <c r="O320" s="22">
        <v>1.4610300000000001</v>
      </c>
      <c r="P320" s="22">
        <v>110.26600000000001</v>
      </c>
      <c r="Q320" s="22">
        <v>-1.5676900000000001E-2</v>
      </c>
      <c r="R320" s="22">
        <v>310</v>
      </c>
      <c r="S320" s="22">
        <v>1.4605699999999999</v>
      </c>
      <c r="T320">
        <f t="shared" si="50"/>
        <v>15.6769</v>
      </c>
      <c r="U320">
        <f t="shared" si="51"/>
        <v>22.904421207000002</v>
      </c>
      <c r="X320" s="9"/>
      <c r="Y320" s="22">
        <v>0.28900100000000001</v>
      </c>
      <c r="Z320" s="22">
        <v>172.22300000000001</v>
      </c>
      <c r="AA320" s="22">
        <v>-1.7202800000000001E-2</v>
      </c>
      <c r="AB320" s="22">
        <v>310</v>
      </c>
      <c r="AC320" s="22">
        <v>0.28836099999999998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251.755</v>
      </c>
      <c r="AI320" s="22">
        <v>-1.5383900000000001E-2</v>
      </c>
      <c r="AJ320" s="22">
        <v>310</v>
      </c>
      <c r="AK320" s="22">
        <v>1.46088</v>
      </c>
      <c r="AL320">
        <f t="shared" si="54"/>
        <v>15.383900000000001</v>
      </c>
      <c r="AM320">
        <f t="shared" si="55"/>
        <v>22.476339417000002</v>
      </c>
      <c r="AP320" s="9"/>
      <c r="AQ320" s="22">
        <v>0.28900100000000001</v>
      </c>
      <c r="AR320" s="22">
        <v>304.17200000000003</v>
      </c>
      <c r="AS320" s="22">
        <v>-1.6915900000000001E-2</v>
      </c>
      <c r="AT320" s="22">
        <v>310</v>
      </c>
      <c r="AU320" s="22">
        <v>0.28842200000000001</v>
      </c>
      <c r="AV320">
        <f t="shared" si="56"/>
        <v>16.915900000000001</v>
      </c>
      <c r="AW320">
        <f t="shared" si="57"/>
        <v>4.8887120159000004</v>
      </c>
      <c r="AX320" s="9"/>
      <c r="AY320" s="22">
        <v>1.4610300000000001</v>
      </c>
      <c r="AZ320" s="22">
        <v>383.40199999999999</v>
      </c>
      <c r="BA320" s="22">
        <v>-1.5136699999999999E-2</v>
      </c>
      <c r="BB320" s="22">
        <v>310</v>
      </c>
      <c r="BC320" s="22">
        <v>1.4605699999999999</v>
      </c>
      <c r="BD320">
        <f t="shared" si="58"/>
        <v>15.136699999999999</v>
      </c>
      <c r="BE320">
        <f t="shared" si="59"/>
        <v>22.115172801</v>
      </c>
    </row>
    <row r="321" spans="6:57">
      <c r="F321" s="9"/>
      <c r="G321" s="22">
        <v>0.283966</v>
      </c>
      <c r="H321" s="22">
        <v>54.970500000000001</v>
      </c>
      <c r="I321" s="22">
        <v>-1.7266799999999999E-2</v>
      </c>
      <c r="J321" s="22">
        <v>311</v>
      </c>
      <c r="K321" s="22">
        <v>0.28329500000000002</v>
      </c>
      <c r="L321">
        <f t="shared" si="48"/>
        <v>17.2668</v>
      </c>
      <c r="M321">
        <f t="shared" si="49"/>
        <v>4.9031841287999995</v>
      </c>
      <c r="N321" s="9"/>
      <c r="O321" s="22">
        <v>1.4660599999999999</v>
      </c>
      <c r="P321" s="22">
        <v>110.366</v>
      </c>
      <c r="Q321" s="22">
        <v>-1.56372E-2</v>
      </c>
      <c r="R321" s="22">
        <v>311</v>
      </c>
      <c r="S321" s="22">
        <v>1.46576</v>
      </c>
      <c r="T321">
        <f t="shared" si="50"/>
        <v>15.6372</v>
      </c>
      <c r="U321">
        <f t="shared" si="51"/>
        <v>22.925073431999998</v>
      </c>
      <c r="X321" s="9"/>
      <c r="Y321" s="22">
        <v>0.283966</v>
      </c>
      <c r="Z321" s="22">
        <v>172.32300000000001</v>
      </c>
      <c r="AA321" s="22">
        <v>-1.7208899999999999E-2</v>
      </c>
      <c r="AB321" s="22">
        <v>311</v>
      </c>
      <c r="AC321" s="22">
        <v>0.283356</v>
      </c>
      <c r="AD321">
        <f t="shared" si="52"/>
        <v>17.2089</v>
      </c>
      <c r="AE321">
        <f t="shared" si="53"/>
        <v>4.8867424974000002</v>
      </c>
      <c r="AF321" s="9"/>
      <c r="AG321" s="22">
        <v>1.4660599999999999</v>
      </c>
      <c r="AH321" s="22">
        <v>251.85599999999999</v>
      </c>
      <c r="AI321" s="22">
        <v>-1.5301500000000001E-2</v>
      </c>
      <c r="AJ321" s="22">
        <v>311</v>
      </c>
      <c r="AK321" s="22">
        <v>1.4654499999999999</v>
      </c>
      <c r="AL321">
        <f t="shared" si="54"/>
        <v>15.301500000000001</v>
      </c>
      <c r="AM321">
        <f t="shared" si="55"/>
        <v>22.43291709</v>
      </c>
      <c r="AP321" s="9"/>
      <c r="AQ321" s="22">
        <v>0.283966</v>
      </c>
      <c r="AR321" s="22">
        <v>304.27199999999999</v>
      </c>
      <c r="AS321" s="22">
        <v>-1.6897599999999999E-2</v>
      </c>
      <c r="AT321" s="22">
        <v>311</v>
      </c>
      <c r="AU321" s="22">
        <v>0.283356</v>
      </c>
      <c r="AV321">
        <f t="shared" si="56"/>
        <v>16.897599999999997</v>
      </c>
      <c r="AW321">
        <f t="shared" si="57"/>
        <v>4.7983438815999992</v>
      </c>
      <c r="AX321" s="9"/>
      <c r="AY321" s="22">
        <v>1.4660599999999999</v>
      </c>
      <c r="AZ321" s="22">
        <v>383.50299999999999</v>
      </c>
      <c r="BA321" s="22">
        <v>-1.5109300000000001E-2</v>
      </c>
      <c r="BB321" s="22">
        <v>311</v>
      </c>
      <c r="BC321" s="22">
        <v>1.4654499999999999</v>
      </c>
      <c r="BD321">
        <f t="shared" si="58"/>
        <v>15.109300000000001</v>
      </c>
      <c r="BE321">
        <f t="shared" si="59"/>
        <v>22.151140357999999</v>
      </c>
    </row>
    <row r="322" spans="6:57">
      <c r="F322" s="9"/>
      <c r="G322" s="22">
        <v>0.27893099999999998</v>
      </c>
      <c r="H322" s="22">
        <v>55.071199999999997</v>
      </c>
      <c r="I322" s="22">
        <v>-1.7266799999999999E-2</v>
      </c>
      <c r="J322" s="22">
        <v>312</v>
      </c>
      <c r="K322" s="22">
        <v>0.27841199999999999</v>
      </c>
      <c r="L322">
        <f t="shared" si="48"/>
        <v>17.2668</v>
      </c>
      <c r="M322">
        <f t="shared" si="49"/>
        <v>4.8162457908</v>
      </c>
      <c r="N322" s="9"/>
      <c r="O322" s="22">
        <v>1.4711000000000001</v>
      </c>
      <c r="P322" s="22">
        <v>110.467</v>
      </c>
      <c r="Q322" s="22">
        <v>-1.5606699999999999E-2</v>
      </c>
      <c r="R322" s="22">
        <v>312</v>
      </c>
      <c r="S322" s="22">
        <v>1.4700299999999999</v>
      </c>
      <c r="T322">
        <f t="shared" si="50"/>
        <v>15.6067</v>
      </c>
      <c r="U322">
        <f t="shared" si="51"/>
        <v>22.959016370000001</v>
      </c>
      <c r="X322" s="9"/>
      <c r="Y322" s="22">
        <v>0.27893099999999998</v>
      </c>
      <c r="Z322" s="22">
        <v>172.42400000000001</v>
      </c>
      <c r="AA322" s="22">
        <v>-1.7208899999999999E-2</v>
      </c>
      <c r="AB322" s="22">
        <v>312</v>
      </c>
      <c r="AC322" s="22">
        <v>0.27832000000000001</v>
      </c>
      <c r="AD322">
        <f t="shared" si="52"/>
        <v>17.2089</v>
      </c>
      <c r="AE322">
        <f t="shared" si="53"/>
        <v>4.8000956858999997</v>
      </c>
      <c r="AF322" s="9"/>
      <c r="AG322" s="22">
        <v>1.4711000000000001</v>
      </c>
      <c r="AH322" s="22">
        <v>251.95599999999999</v>
      </c>
      <c r="AI322" s="22">
        <v>-1.52771E-2</v>
      </c>
      <c r="AJ322" s="22">
        <v>312</v>
      </c>
      <c r="AK322" s="22">
        <v>1.47034</v>
      </c>
      <c r="AL322">
        <f t="shared" si="54"/>
        <v>15.277100000000001</v>
      </c>
      <c r="AM322">
        <f t="shared" si="55"/>
        <v>22.474141810000003</v>
      </c>
      <c r="AP322" s="9"/>
      <c r="AQ322" s="22">
        <v>0.27893099999999998</v>
      </c>
      <c r="AR322" s="22">
        <v>304.37299999999999</v>
      </c>
      <c r="AS322" s="22">
        <v>-1.6903700000000001E-2</v>
      </c>
      <c r="AT322" s="22">
        <v>312</v>
      </c>
      <c r="AU322" s="22">
        <v>0.27841199999999999</v>
      </c>
      <c r="AV322">
        <f t="shared" si="56"/>
        <v>16.903700000000001</v>
      </c>
      <c r="AW322">
        <f t="shared" si="57"/>
        <v>4.7149659447000003</v>
      </c>
      <c r="AX322" s="9"/>
      <c r="AY322" s="22">
        <v>1.4711000000000001</v>
      </c>
      <c r="AZ322" s="22">
        <v>383.60300000000001</v>
      </c>
      <c r="BA322" s="22">
        <v>-1.50574E-2</v>
      </c>
      <c r="BB322" s="22">
        <v>312</v>
      </c>
      <c r="BC322" s="22">
        <v>1.47034</v>
      </c>
      <c r="BD322">
        <f t="shared" si="58"/>
        <v>15.057399999999999</v>
      </c>
      <c r="BE322">
        <f t="shared" si="59"/>
        <v>22.15094114</v>
      </c>
    </row>
    <row r="323" spans="6:57">
      <c r="F323" s="9"/>
      <c r="G323" s="22">
        <v>0.273895</v>
      </c>
      <c r="H323" s="22">
        <v>55.171900000000001</v>
      </c>
      <c r="I323" s="22">
        <v>-1.7272900000000001E-2</v>
      </c>
      <c r="J323" s="22">
        <v>313</v>
      </c>
      <c r="K323" s="22">
        <v>0.273285</v>
      </c>
      <c r="L323">
        <f t="shared" si="48"/>
        <v>17.2729</v>
      </c>
      <c r="M323">
        <f t="shared" si="49"/>
        <v>4.7309609454999997</v>
      </c>
      <c r="N323" s="9"/>
      <c r="O323" s="22">
        <v>1.47614</v>
      </c>
      <c r="P323" s="22">
        <v>110.568</v>
      </c>
      <c r="Q323" s="22">
        <v>-1.55304E-2</v>
      </c>
      <c r="R323" s="22">
        <v>313</v>
      </c>
      <c r="S323" s="22">
        <v>1.4755199999999999</v>
      </c>
      <c r="T323">
        <f t="shared" si="50"/>
        <v>15.5304</v>
      </c>
      <c r="U323">
        <f t="shared" si="51"/>
        <v>22.925044656000001</v>
      </c>
      <c r="X323" s="9"/>
      <c r="Y323" s="22">
        <v>0.273895</v>
      </c>
      <c r="Z323" s="22">
        <v>172.52500000000001</v>
      </c>
      <c r="AA323" s="22">
        <v>-1.7211899999999999E-2</v>
      </c>
      <c r="AB323" s="22">
        <v>313</v>
      </c>
      <c r="AC323" s="22">
        <v>0.27334599999999998</v>
      </c>
      <c r="AD323">
        <f t="shared" si="52"/>
        <v>17.2119</v>
      </c>
      <c r="AE323">
        <f t="shared" si="53"/>
        <v>4.7142533504999999</v>
      </c>
      <c r="AF323" s="9"/>
      <c r="AG323" s="22">
        <v>1.47614</v>
      </c>
      <c r="AH323" s="22">
        <v>252.05699999999999</v>
      </c>
      <c r="AI323" s="22">
        <v>-1.52008E-2</v>
      </c>
      <c r="AJ323" s="22">
        <v>313</v>
      </c>
      <c r="AK323" s="22">
        <v>1.4755199999999999</v>
      </c>
      <c r="AL323">
        <f t="shared" si="54"/>
        <v>15.200800000000001</v>
      </c>
      <c r="AM323">
        <f t="shared" si="55"/>
        <v>22.438508912000003</v>
      </c>
      <c r="AP323" s="9"/>
      <c r="AQ323" s="22">
        <v>0.273895</v>
      </c>
      <c r="AR323" s="22">
        <v>304.47399999999999</v>
      </c>
      <c r="AS323" s="22">
        <v>-1.6915900000000001E-2</v>
      </c>
      <c r="AT323" s="22">
        <v>313</v>
      </c>
      <c r="AU323" s="22">
        <v>0.27331499999999997</v>
      </c>
      <c r="AV323">
        <f t="shared" si="56"/>
        <v>16.915900000000001</v>
      </c>
      <c r="AW323">
        <f t="shared" si="57"/>
        <v>4.6331804305000004</v>
      </c>
      <c r="AX323" s="9"/>
      <c r="AY323" s="22">
        <v>1.47614</v>
      </c>
      <c r="AZ323" s="22">
        <v>383.70400000000001</v>
      </c>
      <c r="BA323" s="22">
        <v>-1.50055E-2</v>
      </c>
      <c r="BB323" s="22">
        <v>313</v>
      </c>
      <c r="BC323" s="22">
        <v>1.4755199999999999</v>
      </c>
      <c r="BD323">
        <f t="shared" si="58"/>
        <v>15.0055</v>
      </c>
      <c r="BE323">
        <f t="shared" si="59"/>
        <v>22.150218769999999</v>
      </c>
    </row>
    <row r="324" spans="6:57">
      <c r="F324" s="9"/>
      <c r="G324" s="22">
        <v>0.26885999999999999</v>
      </c>
      <c r="H324" s="22">
        <v>55.272599999999997</v>
      </c>
      <c r="I324" s="22">
        <v>-1.7279099999999999E-2</v>
      </c>
      <c r="J324" s="22">
        <v>314</v>
      </c>
      <c r="K324" s="22">
        <v>0.26818799999999998</v>
      </c>
      <c r="L324">
        <f t="shared" si="48"/>
        <v>17.2791</v>
      </c>
      <c r="M324">
        <f t="shared" si="49"/>
        <v>4.645658826</v>
      </c>
      <c r="N324" s="9"/>
      <c r="O324" s="22">
        <v>1.4811700000000001</v>
      </c>
      <c r="P324" s="22">
        <v>110.66800000000001</v>
      </c>
      <c r="Q324" s="22">
        <v>-1.54602E-2</v>
      </c>
      <c r="R324" s="22">
        <v>314</v>
      </c>
      <c r="S324" s="22">
        <v>1.4801</v>
      </c>
      <c r="T324">
        <f t="shared" si="50"/>
        <v>15.4602</v>
      </c>
      <c r="U324">
        <f t="shared" si="51"/>
        <v>22.899184434000002</v>
      </c>
      <c r="X324" s="9"/>
      <c r="Y324" s="22">
        <v>0.26885999999999999</v>
      </c>
      <c r="Z324" s="22">
        <v>172.625</v>
      </c>
      <c r="AA324" s="22">
        <v>-1.7211899999999999E-2</v>
      </c>
      <c r="AB324" s="22">
        <v>314</v>
      </c>
      <c r="AC324" s="22">
        <v>0.26824999999999999</v>
      </c>
      <c r="AD324">
        <f t="shared" si="52"/>
        <v>17.2119</v>
      </c>
      <c r="AE324">
        <f t="shared" si="53"/>
        <v>4.6275914340000002</v>
      </c>
      <c r="AF324" s="9"/>
      <c r="AG324" s="22">
        <v>1.4811700000000001</v>
      </c>
      <c r="AH324" s="22">
        <v>252.15799999999999</v>
      </c>
      <c r="AI324" s="22">
        <v>-1.5158100000000001E-2</v>
      </c>
      <c r="AJ324" s="22">
        <v>314</v>
      </c>
      <c r="AK324" s="22">
        <v>1.48102</v>
      </c>
      <c r="AL324">
        <f t="shared" si="54"/>
        <v>15.158100000000001</v>
      </c>
      <c r="AM324">
        <f t="shared" si="55"/>
        <v>22.451722977000003</v>
      </c>
      <c r="AP324" s="9"/>
      <c r="AQ324" s="22">
        <v>0.26885999999999999</v>
      </c>
      <c r="AR324" s="22">
        <v>304.57499999999999</v>
      </c>
      <c r="AS324" s="22">
        <v>-1.6924999999999999E-2</v>
      </c>
      <c r="AT324" s="22">
        <v>314</v>
      </c>
      <c r="AU324" s="22">
        <v>0.26828000000000002</v>
      </c>
      <c r="AV324">
        <f t="shared" si="56"/>
        <v>16.925000000000001</v>
      </c>
      <c r="AW324">
        <f t="shared" si="57"/>
        <v>4.5504555</v>
      </c>
      <c r="AX324" s="9"/>
      <c r="AY324" s="22">
        <v>1.4811700000000001</v>
      </c>
      <c r="AZ324" s="22">
        <v>383.80500000000001</v>
      </c>
      <c r="BA324" s="22">
        <v>-1.4953599999999999E-2</v>
      </c>
      <c r="BB324" s="22">
        <v>314</v>
      </c>
      <c r="BC324" s="22">
        <v>1.48102</v>
      </c>
      <c r="BD324">
        <f t="shared" si="58"/>
        <v>14.9536</v>
      </c>
      <c r="BE324">
        <f t="shared" si="59"/>
        <v>22.148823712000002</v>
      </c>
    </row>
    <row r="325" spans="6:57">
      <c r="F325" s="9"/>
      <c r="G325" s="22">
        <v>0.263824</v>
      </c>
      <c r="H325" s="22">
        <v>55.3733</v>
      </c>
      <c r="I325" s="22">
        <v>-1.7297400000000001E-2</v>
      </c>
      <c r="J325" s="22">
        <v>315</v>
      </c>
      <c r="K325" s="22">
        <v>0.26327499999999998</v>
      </c>
      <c r="L325">
        <f t="shared" si="48"/>
        <v>17.2974</v>
      </c>
      <c r="M325">
        <f t="shared" si="49"/>
        <v>4.5634692575999996</v>
      </c>
      <c r="N325" s="9"/>
      <c r="O325" s="22">
        <v>1.48621</v>
      </c>
      <c r="P325" s="22">
        <v>110.76900000000001</v>
      </c>
      <c r="Q325" s="22">
        <v>-1.5417500000000001E-2</v>
      </c>
      <c r="R325" s="22">
        <v>315</v>
      </c>
      <c r="S325" s="22">
        <v>1.4859</v>
      </c>
      <c r="T325">
        <f t="shared" si="50"/>
        <v>15.4175</v>
      </c>
      <c r="U325">
        <f t="shared" si="51"/>
        <v>22.913642675000002</v>
      </c>
      <c r="X325" s="9"/>
      <c r="Y325" s="22">
        <v>0.263824</v>
      </c>
      <c r="Z325" s="22">
        <v>172.726</v>
      </c>
      <c r="AA325" s="22">
        <v>-1.7208899999999999E-2</v>
      </c>
      <c r="AB325" s="22">
        <v>315</v>
      </c>
      <c r="AC325" s="22">
        <v>0.263214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252.25800000000001</v>
      </c>
      <c r="AI325" s="22">
        <v>-1.51001E-2</v>
      </c>
      <c r="AJ325" s="22">
        <v>315</v>
      </c>
      <c r="AK325" s="22">
        <v>1.4859</v>
      </c>
      <c r="AL325">
        <f t="shared" si="54"/>
        <v>15.100099999999999</v>
      </c>
      <c r="AM325">
        <f t="shared" si="55"/>
        <v>22.441919621</v>
      </c>
      <c r="AP325" s="9"/>
      <c r="AQ325" s="22">
        <v>0.263824</v>
      </c>
      <c r="AR325" s="22">
        <v>304.67500000000001</v>
      </c>
      <c r="AS325" s="22">
        <v>-1.69312E-2</v>
      </c>
      <c r="AT325" s="22">
        <v>315</v>
      </c>
      <c r="AU325" s="22">
        <v>0.26324500000000001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383.90600000000001</v>
      </c>
      <c r="BA325" s="22">
        <v>-1.48834E-2</v>
      </c>
      <c r="BB325" s="22">
        <v>315</v>
      </c>
      <c r="BC325" s="22">
        <v>1.4856</v>
      </c>
      <c r="BD325">
        <f t="shared" si="58"/>
        <v>14.8834</v>
      </c>
      <c r="BE325">
        <f t="shared" si="59"/>
        <v>22.119857914000001</v>
      </c>
    </row>
    <row r="326" spans="6:57">
      <c r="F326" s="9"/>
      <c r="G326" s="22">
        <v>0.25878899999999999</v>
      </c>
      <c r="H326" s="22">
        <v>55.473999999999997</v>
      </c>
      <c r="I326" s="22">
        <v>-1.7272900000000001E-2</v>
      </c>
      <c r="J326" s="22">
        <v>316</v>
      </c>
      <c r="K326" s="22">
        <v>0.25817899999999999</v>
      </c>
      <c r="L326">
        <f t="shared" si="48"/>
        <v>17.2729</v>
      </c>
      <c r="M326">
        <f t="shared" si="49"/>
        <v>4.4700365180999997</v>
      </c>
      <c r="N326" s="9"/>
      <c r="O326" s="22">
        <v>1.4912399999999999</v>
      </c>
      <c r="P326" s="22">
        <v>110.87</v>
      </c>
      <c r="Q326" s="22">
        <v>-1.5356399999999999E-2</v>
      </c>
      <c r="R326" s="22">
        <v>316</v>
      </c>
      <c r="S326" s="22">
        <v>1.49048</v>
      </c>
      <c r="T326">
        <f t="shared" si="50"/>
        <v>15.356399999999999</v>
      </c>
      <c r="U326">
        <f t="shared" si="51"/>
        <v>22.900077935999995</v>
      </c>
      <c r="X326" s="9"/>
      <c r="Y326" s="22">
        <v>0.25878899999999999</v>
      </c>
      <c r="Z326" s="22">
        <v>172.827</v>
      </c>
      <c r="AA326" s="22">
        <v>-1.72333E-2</v>
      </c>
      <c r="AB326" s="22">
        <v>316</v>
      </c>
      <c r="AC326" s="22">
        <v>0.25820900000000002</v>
      </c>
      <c r="AD326">
        <f t="shared" si="52"/>
        <v>17.2333</v>
      </c>
      <c r="AE326">
        <f t="shared" si="53"/>
        <v>4.4597884736999998</v>
      </c>
      <c r="AF326" s="9"/>
      <c r="AG326" s="22">
        <v>1.4912399999999999</v>
      </c>
      <c r="AH326" s="22">
        <v>252.35900000000001</v>
      </c>
      <c r="AI326" s="22">
        <v>-1.5026899999999999E-2</v>
      </c>
      <c r="AJ326" s="22">
        <v>316</v>
      </c>
      <c r="AK326" s="22">
        <v>1.49078</v>
      </c>
      <c r="AL326">
        <f t="shared" si="54"/>
        <v>15.026899999999999</v>
      </c>
      <c r="AM326">
        <f t="shared" si="55"/>
        <v>22.408714355999997</v>
      </c>
      <c r="AP326" s="9"/>
      <c r="AQ326" s="22">
        <v>0.25878899999999999</v>
      </c>
      <c r="AR326" s="22">
        <v>304.77600000000001</v>
      </c>
      <c r="AS326" s="22">
        <v>-1.6949499999999999E-2</v>
      </c>
      <c r="AT326" s="22">
        <v>316</v>
      </c>
      <c r="AU326" s="22">
        <v>0.25814799999999999</v>
      </c>
      <c r="AV326">
        <f t="shared" si="56"/>
        <v>16.9495</v>
      </c>
      <c r="AW326">
        <f t="shared" si="57"/>
        <v>4.3863441554999998</v>
      </c>
      <c r="AX326" s="9"/>
      <c r="AY326" s="22">
        <v>1.4912399999999999</v>
      </c>
      <c r="AZ326" s="22">
        <v>384.00599999999997</v>
      </c>
      <c r="BA326" s="22">
        <v>-1.4849899999999999E-2</v>
      </c>
      <c r="BB326" s="22">
        <v>316</v>
      </c>
      <c r="BC326" s="22">
        <v>1.49048</v>
      </c>
      <c r="BD326">
        <f t="shared" si="58"/>
        <v>14.8499</v>
      </c>
      <c r="BE326">
        <f t="shared" si="59"/>
        <v>22.144764876</v>
      </c>
    </row>
    <row r="327" spans="6:57">
      <c r="F327" s="9"/>
      <c r="G327" s="22">
        <v>0.25375399999999998</v>
      </c>
      <c r="H327" s="22">
        <v>55.5747</v>
      </c>
      <c r="I327" s="22">
        <v>-1.7285200000000001E-2</v>
      </c>
      <c r="J327" s="22">
        <v>317</v>
      </c>
      <c r="K327" s="22">
        <v>0.25323499999999999</v>
      </c>
      <c r="L327">
        <f t="shared" si="48"/>
        <v>17.2852</v>
      </c>
      <c r="M327">
        <f t="shared" si="49"/>
        <v>4.3861886407999995</v>
      </c>
      <c r="N327" s="9"/>
      <c r="O327" s="22">
        <v>1.4962800000000001</v>
      </c>
      <c r="P327" s="22">
        <v>110.971</v>
      </c>
      <c r="Q327" s="22">
        <v>-1.5307599999999999E-2</v>
      </c>
      <c r="R327" s="22">
        <v>317</v>
      </c>
      <c r="S327" s="22">
        <v>1.4956700000000001</v>
      </c>
      <c r="T327">
        <f t="shared" si="50"/>
        <v>15.307599999999999</v>
      </c>
      <c r="U327">
        <f t="shared" si="51"/>
        <v>22.904455727999999</v>
      </c>
      <c r="X327" s="9"/>
      <c r="Y327" s="22">
        <v>0.25375399999999998</v>
      </c>
      <c r="Z327" s="22">
        <v>172.928</v>
      </c>
      <c r="AA327" s="22">
        <v>-1.7208899999999999E-2</v>
      </c>
      <c r="AB327" s="22">
        <v>317</v>
      </c>
      <c r="AC327" s="22">
        <v>0.253021</v>
      </c>
      <c r="AD327">
        <f t="shared" si="52"/>
        <v>17.2089</v>
      </c>
      <c r="AE327">
        <f t="shared" si="53"/>
        <v>4.3668272105999995</v>
      </c>
      <c r="AF327" s="9"/>
      <c r="AG327" s="22">
        <v>1.4962800000000001</v>
      </c>
      <c r="AH327" s="22">
        <v>252.46</v>
      </c>
      <c r="AI327" s="22">
        <v>-1.4993299999999999E-2</v>
      </c>
      <c r="AJ327" s="22">
        <v>317</v>
      </c>
      <c r="AK327" s="22">
        <v>1.4956700000000001</v>
      </c>
      <c r="AL327">
        <f t="shared" si="54"/>
        <v>14.9933</v>
      </c>
      <c r="AM327">
        <f t="shared" si="55"/>
        <v>22.434174924000001</v>
      </c>
      <c r="AP327" s="9"/>
      <c r="AQ327" s="22">
        <v>0.25375399999999998</v>
      </c>
      <c r="AR327" s="22">
        <v>304.87700000000001</v>
      </c>
      <c r="AS327" s="22">
        <v>-1.69067E-2</v>
      </c>
      <c r="AT327" s="22">
        <v>317</v>
      </c>
      <c r="AU327" s="22">
        <v>0.25314300000000001</v>
      </c>
      <c r="AV327">
        <f t="shared" si="56"/>
        <v>16.906700000000001</v>
      </c>
      <c r="AW327">
        <f t="shared" si="57"/>
        <v>4.2901427517999995</v>
      </c>
      <c r="AX327" s="9"/>
      <c r="AY327" s="22">
        <v>1.4962800000000001</v>
      </c>
      <c r="AZ327" s="22">
        <v>384.10700000000003</v>
      </c>
      <c r="BA327" s="22">
        <v>-1.47736E-2</v>
      </c>
      <c r="BB327" s="22">
        <v>317</v>
      </c>
      <c r="BC327" s="22">
        <v>1.49536</v>
      </c>
      <c r="BD327">
        <f t="shared" si="58"/>
        <v>14.7736</v>
      </c>
      <c r="BE327">
        <f t="shared" si="59"/>
        <v>22.105442207999999</v>
      </c>
    </row>
    <row r="328" spans="6:57">
      <c r="F328" s="9"/>
      <c r="G328" s="22">
        <v>0.24871799999999999</v>
      </c>
      <c r="H328" s="22">
        <v>55.675400000000003</v>
      </c>
      <c r="I328" s="22">
        <v>-1.72882E-2</v>
      </c>
      <c r="J328" s="22">
        <v>318</v>
      </c>
      <c r="K328" s="22">
        <v>0.248108</v>
      </c>
      <c r="L328">
        <f t="shared" si="48"/>
        <v>17.2882</v>
      </c>
      <c r="M328">
        <f t="shared" si="49"/>
        <v>4.2998865276</v>
      </c>
      <c r="N328" s="9"/>
      <c r="O328" s="22">
        <v>1.5013099999999999</v>
      </c>
      <c r="P328" s="22">
        <v>111.071</v>
      </c>
      <c r="Q328" s="22">
        <v>-1.52374E-2</v>
      </c>
      <c r="R328" s="22">
        <v>318</v>
      </c>
      <c r="S328" s="22">
        <v>1.5005500000000001</v>
      </c>
      <c r="T328">
        <f t="shared" si="50"/>
        <v>15.237399999999999</v>
      </c>
      <c r="U328">
        <f t="shared" si="51"/>
        <v>22.876060993999996</v>
      </c>
      <c r="X328" s="9"/>
      <c r="Y328" s="22">
        <v>0.24871799999999999</v>
      </c>
      <c r="Z328" s="22">
        <v>173.02799999999999</v>
      </c>
      <c r="AA328" s="22">
        <v>-1.7202800000000001E-2</v>
      </c>
      <c r="AB328" s="22">
        <v>318</v>
      </c>
      <c r="AC328" s="22">
        <v>0.248169</v>
      </c>
      <c r="AD328">
        <f t="shared" si="52"/>
        <v>17.2028</v>
      </c>
      <c r="AE328">
        <f t="shared" si="53"/>
        <v>4.2786460104000001</v>
      </c>
      <c r="AF328" s="9"/>
      <c r="AG328" s="22">
        <v>1.5013099999999999</v>
      </c>
      <c r="AH328" s="22">
        <v>252.56100000000001</v>
      </c>
      <c r="AI328" s="22">
        <v>-1.4947500000000001E-2</v>
      </c>
      <c r="AJ328" s="22">
        <v>318</v>
      </c>
      <c r="AK328" s="22">
        <v>1.5005500000000001</v>
      </c>
      <c r="AL328">
        <f t="shared" si="54"/>
        <v>14.947500000000002</v>
      </c>
      <c r="AM328">
        <f t="shared" si="55"/>
        <v>22.440831225</v>
      </c>
      <c r="AP328" s="9"/>
      <c r="AQ328" s="22">
        <v>0.24871799999999999</v>
      </c>
      <c r="AR328" s="22">
        <v>304.97699999999998</v>
      </c>
      <c r="AS328" s="22">
        <v>-1.6918900000000001E-2</v>
      </c>
      <c r="AT328" s="22">
        <v>318</v>
      </c>
      <c r="AU328" s="22">
        <v>0.248138</v>
      </c>
      <c r="AV328">
        <f t="shared" si="56"/>
        <v>16.918900000000001</v>
      </c>
      <c r="AW328">
        <f t="shared" si="57"/>
        <v>4.2080349701999999</v>
      </c>
      <c r="AX328" s="9"/>
      <c r="AY328" s="22">
        <v>1.5013099999999999</v>
      </c>
      <c r="AZ328" s="22">
        <v>384.20800000000003</v>
      </c>
      <c r="BA328" s="22">
        <v>-1.47247E-2</v>
      </c>
      <c r="BB328" s="22">
        <v>318</v>
      </c>
      <c r="BC328" s="22">
        <v>1.4999400000000001</v>
      </c>
      <c r="BD328">
        <f t="shared" si="58"/>
        <v>14.7247</v>
      </c>
      <c r="BE328">
        <f t="shared" si="59"/>
        <v>22.106339357</v>
      </c>
    </row>
    <row r="329" spans="6:57">
      <c r="F329" s="9"/>
      <c r="G329" s="22">
        <v>0.24368300000000001</v>
      </c>
      <c r="H329" s="22">
        <v>55.776200000000003</v>
      </c>
      <c r="I329" s="22">
        <v>-1.7282100000000002E-2</v>
      </c>
      <c r="J329" s="22">
        <v>319</v>
      </c>
      <c r="K329" s="22">
        <v>0.24310300000000001</v>
      </c>
      <c r="L329">
        <f t="shared" si="48"/>
        <v>17.282100000000003</v>
      </c>
      <c r="M329">
        <f t="shared" si="49"/>
        <v>4.2113539743000006</v>
      </c>
      <c r="N329" s="9"/>
      <c r="O329" s="22">
        <v>1.5063500000000001</v>
      </c>
      <c r="P329" s="22">
        <v>111.172</v>
      </c>
      <c r="Q329" s="22">
        <v>-1.51611E-2</v>
      </c>
      <c r="R329" s="22">
        <v>319</v>
      </c>
      <c r="S329" s="22">
        <v>1.5057400000000001</v>
      </c>
      <c r="T329">
        <f t="shared" si="50"/>
        <v>15.161100000000001</v>
      </c>
      <c r="U329">
        <f t="shared" si="51"/>
        <v>22.837922985000002</v>
      </c>
      <c r="X329" s="9"/>
      <c r="Y329" s="22">
        <v>0.24368300000000001</v>
      </c>
      <c r="Z329" s="22">
        <v>173.12899999999999</v>
      </c>
      <c r="AA329" s="22">
        <v>-1.7199699999999998E-2</v>
      </c>
      <c r="AB329" s="22">
        <v>319</v>
      </c>
      <c r="AC329" s="22">
        <v>0.24310300000000001</v>
      </c>
      <c r="AD329">
        <f t="shared" si="52"/>
        <v>17.1997</v>
      </c>
      <c r="AE329">
        <f t="shared" si="53"/>
        <v>4.1912744951000001</v>
      </c>
      <c r="AF329" s="9"/>
      <c r="AG329" s="22">
        <v>1.5063500000000001</v>
      </c>
      <c r="AH329" s="22">
        <v>252.661</v>
      </c>
      <c r="AI329" s="22">
        <v>-1.4907800000000001E-2</v>
      </c>
      <c r="AJ329" s="22">
        <v>319</v>
      </c>
      <c r="AK329" s="22">
        <v>1.50604</v>
      </c>
      <c r="AL329">
        <f t="shared" si="54"/>
        <v>14.9078</v>
      </c>
      <c r="AM329">
        <f t="shared" si="55"/>
        <v>22.456364530000002</v>
      </c>
      <c r="AP329" s="9"/>
      <c r="AQ329" s="22">
        <v>0.24368300000000001</v>
      </c>
      <c r="AR329" s="22">
        <v>305.07799999999997</v>
      </c>
      <c r="AS329" s="22">
        <v>-1.6912799999999999E-2</v>
      </c>
      <c r="AT329" s="22">
        <v>319</v>
      </c>
      <c r="AU329" s="22">
        <v>0.24304200000000001</v>
      </c>
      <c r="AV329">
        <f t="shared" si="56"/>
        <v>16.912799999999997</v>
      </c>
      <c r="AW329">
        <f t="shared" si="57"/>
        <v>4.1213618423999998</v>
      </c>
      <c r="AX329" s="9"/>
      <c r="AY329" s="22">
        <v>1.5063500000000001</v>
      </c>
      <c r="AZ329" s="22">
        <v>384.30799999999999</v>
      </c>
      <c r="BA329" s="22">
        <v>-1.46362E-2</v>
      </c>
      <c r="BB329" s="22">
        <v>319</v>
      </c>
      <c r="BC329" s="22">
        <v>1.50604</v>
      </c>
      <c r="BD329">
        <f t="shared" si="58"/>
        <v>14.636200000000001</v>
      </c>
      <c r="BE329">
        <f t="shared" si="59"/>
        <v>22.047239870000002</v>
      </c>
    </row>
    <row r="330" spans="6:57">
      <c r="F330" s="9"/>
      <c r="G330" s="22">
        <v>0.238647</v>
      </c>
      <c r="H330" s="22">
        <v>55.876899999999999</v>
      </c>
      <c r="I330" s="22">
        <v>-1.7294299999999999E-2</v>
      </c>
      <c r="J330" s="22">
        <v>320</v>
      </c>
      <c r="K330" s="22">
        <v>0.238098</v>
      </c>
      <c r="L330">
        <f t="shared" si="48"/>
        <v>17.2943</v>
      </c>
      <c r="M330">
        <f t="shared" si="49"/>
        <v>4.1272328120999999</v>
      </c>
      <c r="N330" s="9"/>
      <c r="O330" s="22">
        <v>1.5113799999999999</v>
      </c>
      <c r="P330" s="22">
        <v>111.273</v>
      </c>
      <c r="Q330" s="22">
        <v>-1.5109300000000001E-2</v>
      </c>
      <c r="R330" s="22">
        <v>320</v>
      </c>
      <c r="S330" s="22">
        <v>1.5106200000000001</v>
      </c>
      <c r="T330">
        <f t="shared" si="50"/>
        <v>15.109300000000001</v>
      </c>
      <c r="U330">
        <f t="shared" si="51"/>
        <v>22.835893834</v>
      </c>
      <c r="X330" s="9"/>
      <c r="Y330" s="22">
        <v>0.238647</v>
      </c>
      <c r="Z330" s="22">
        <v>173.23</v>
      </c>
      <c r="AA330" s="22">
        <v>-1.7160000000000002E-2</v>
      </c>
      <c r="AB330" s="22">
        <v>320</v>
      </c>
      <c r="AC330" s="22">
        <v>0.238068</v>
      </c>
      <c r="AD330">
        <f t="shared" si="52"/>
        <v>17.16</v>
      </c>
      <c r="AE330">
        <f t="shared" si="53"/>
        <v>4.0951825199999998</v>
      </c>
      <c r="AF330" s="9"/>
      <c r="AG330" s="22">
        <v>1.5113799999999999</v>
      </c>
      <c r="AH330" s="22">
        <v>252.762</v>
      </c>
      <c r="AI330" s="22">
        <v>-1.4825400000000001E-2</v>
      </c>
      <c r="AJ330" s="22">
        <v>320</v>
      </c>
      <c r="AK330" s="22">
        <v>1.5106200000000001</v>
      </c>
      <c r="AL330">
        <f t="shared" si="54"/>
        <v>14.8254</v>
      </c>
      <c r="AM330">
        <f t="shared" si="55"/>
        <v>22.406813052</v>
      </c>
      <c r="AP330" s="9"/>
      <c r="AQ330" s="22">
        <v>0.238647</v>
      </c>
      <c r="AR330" s="22">
        <v>305.17899999999997</v>
      </c>
      <c r="AS330" s="22">
        <v>-1.6897599999999999E-2</v>
      </c>
      <c r="AT330" s="22">
        <v>320</v>
      </c>
      <c r="AU330" s="22">
        <v>0.238098</v>
      </c>
      <c r="AV330">
        <f t="shared" si="56"/>
        <v>16.897599999999997</v>
      </c>
      <c r="AW330">
        <f t="shared" si="57"/>
        <v>4.0325615471999994</v>
      </c>
      <c r="AX330" s="9"/>
      <c r="AY330" s="22">
        <v>1.5113799999999999</v>
      </c>
      <c r="AZ330" s="22">
        <v>384.40899999999999</v>
      </c>
      <c r="BA330" s="22">
        <v>-1.45966E-2</v>
      </c>
      <c r="BB330" s="22">
        <v>320</v>
      </c>
      <c r="BC330" s="22">
        <v>1.5106200000000001</v>
      </c>
      <c r="BD330">
        <f t="shared" si="58"/>
        <v>14.596599999999999</v>
      </c>
      <c r="BE330">
        <f t="shared" si="59"/>
        <v>22.061009307999996</v>
      </c>
    </row>
    <row r="331" spans="6:57">
      <c r="F331" s="9"/>
      <c r="G331" s="22">
        <v>0.23361199999999999</v>
      </c>
      <c r="H331" s="22">
        <v>55.977600000000002</v>
      </c>
      <c r="I331" s="22">
        <v>-1.7306499999999999E-2</v>
      </c>
      <c r="J331" s="22">
        <v>321</v>
      </c>
      <c r="K331" s="22">
        <v>0.233185</v>
      </c>
      <c r="L331">
        <f t="shared" si="48"/>
        <v>17.3065</v>
      </c>
      <c r="M331">
        <f t="shared" si="49"/>
        <v>4.0430060779999994</v>
      </c>
      <c r="N331" s="9"/>
      <c r="O331" s="22">
        <v>1.5164200000000001</v>
      </c>
      <c r="P331" s="22">
        <v>111.373</v>
      </c>
      <c r="Q331" s="22">
        <v>-1.50452E-2</v>
      </c>
      <c r="R331" s="22">
        <v>321</v>
      </c>
      <c r="S331" s="22">
        <v>1.5152000000000001</v>
      </c>
      <c r="T331">
        <f t="shared" si="50"/>
        <v>15.045199999999999</v>
      </c>
      <c r="U331">
        <f t="shared" si="51"/>
        <v>22.814842184</v>
      </c>
      <c r="X331" s="9"/>
      <c r="Y331" s="22">
        <v>0.23361199999999999</v>
      </c>
      <c r="Z331" s="22">
        <v>173.33</v>
      </c>
      <c r="AA331" s="22">
        <v>-1.7169199999999999E-2</v>
      </c>
      <c r="AB331" s="22">
        <v>321</v>
      </c>
      <c r="AC331" s="22">
        <v>0.23297100000000001</v>
      </c>
      <c r="AD331">
        <f t="shared" si="52"/>
        <v>17.1692</v>
      </c>
      <c r="AE331">
        <f t="shared" si="53"/>
        <v>4.0109311503999994</v>
      </c>
      <c r="AF331" s="9"/>
      <c r="AG331" s="22">
        <v>1.5164200000000001</v>
      </c>
      <c r="AH331" s="22">
        <v>252.863</v>
      </c>
      <c r="AI331" s="22">
        <v>-1.47247E-2</v>
      </c>
      <c r="AJ331" s="22">
        <v>321</v>
      </c>
      <c r="AK331" s="22">
        <v>1.5158100000000001</v>
      </c>
      <c r="AL331">
        <f t="shared" si="54"/>
        <v>14.7247</v>
      </c>
      <c r="AM331">
        <f t="shared" si="55"/>
        <v>22.328829574000004</v>
      </c>
      <c r="AP331" s="9"/>
      <c r="AQ331" s="22">
        <v>0.23361199999999999</v>
      </c>
      <c r="AR331" s="22">
        <v>305.279</v>
      </c>
      <c r="AS331" s="22">
        <v>-1.6876200000000001E-2</v>
      </c>
      <c r="AT331" s="22">
        <v>321</v>
      </c>
      <c r="AU331" s="22">
        <v>0.23300199999999999</v>
      </c>
      <c r="AV331">
        <f t="shared" si="56"/>
        <v>16.876200000000001</v>
      </c>
      <c r="AW331">
        <f t="shared" si="57"/>
        <v>3.9424828343999998</v>
      </c>
      <c r="AX331" s="9"/>
      <c r="AY331" s="22">
        <v>1.5164200000000001</v>
      </c>
      <c r="AZ331" s="22">
        <v>384.51</v>
      </c>
      <c r="BA331" s="22">
        <v>-1.4517199999999999E-2</v>
      </c>
      <c r="BB331" s="22">
        <v>321</v>
      </c>
      <c r="BC331" s="22">
        <v>1.5148900000000001</v>
      </c>
      <c r="BD331">
        <f t="shared" si="58"/>
        <v>14.517199999999999</v>
      </c>
      <c r="BE331">
        <f t="shared" si="59"/>
        <v>22.014172424000002</v>
      </c>
    </row>
    <row r="332" spans="6:57">
      <c r="F332" s="9"/>
      <c r="G332" s="22">
        <v>0.228577</v>
      </c>
      <c r="H332" s="22">
        <v>56.078299999999999</v>
      </c>
      <c r="I332" s="22">
        <v>-1.7312600000000001E-2</v>
      </c>
      <c r="J332" s="22">
        <v>322</v>
      </c>
      <c r="K332" s="22">
        <v>0.22799700000000001</v>
      </c>
      <c r="L332">
        <f t="shared" ref="L332:L395" si="60">-I332/$F$2*1000</f>
        <v>17.3126</v>
      </c>
      <c r="M332">
        <f t="shared" ref="M332:M395" si="61">L332*G332</f>
        <v>3.9572621701999999</v>
      </c>
      <c r="N332" s="9"/>
      <c r="O332" s="22">
        <v>1.52145</v>
      </c>
      <c r="P332" s="22">
        <v>111.474</v>
      </c>
      <c r="Q332" s="22">
        <v>-1.49658E-2</v>
      </c>
      <c r="R332" s="22">
        <v>322</v>
      </c>
      <c r="S332" s="22">
        <v>1.5206900000000001</v>
      </c>
      <c r="T332">
        <f t="shared" ref="T332:T395" si="62">-Q332/$F$2*1000</f>
        <v>14.9658</v>
      </c>
      <c r="U332">
        <f t="shared" ref="U332:U395" si="63">T332*O332</f>
        <v>22.769716410000001</v>
      </c>
      <c r="X332" s="9"/>
      <c r="Y332" s="22">
        <v>0.228577</v>
      </c>
      <c r="Z332" s="22">
        <v>173.43100000000001</v>
      </c>
      <c r="AA332" s="22">
        <v>-1.71936E-2</v>
      </c>
      <c r="AB332" s="22">
        <v>322</v>
      </c>
      <c r="AC332" s="22">
        <v>0.22799700000000001</v>
      </c>
      <c r="AD332">
        <f t="shared" ref="AD332:AD395" si="64">-AA332/$F$2*1000</f>
        <v>17.1936</v>
      </c>
      <c r="AE332">
        <f t="shared" ref="AE332:AE395" si="65">AD332*Y332</f>
        <v>3.9300615072</v>
      </c>
      <c r="AF332" s="9"/>
      <c r="AG332" s="22">
        <v>1.52145</v>
      </c>
      <c r="AH332" s="22">
        <v>252.96299999999999</v>
      </c>
      <c r="AI332" s="22">
        <v>-1.4660599999999999E-2</v>
      </c>
      <c r="AJ332" s="22">
        <v>322</v>
      </c>
      <c r="AK332" s="22">
        <v>1.5206900000000001</v>
      </c>
      <c r="AL332">
        <f t="shared" ref="AL332:AL395" si="66">-AI332/$F$2*1000</f>
        <v>14.660599999999999</v>
      </c>
      <c r="AM332">
        <f t="shared" ref="AM332:AM395" si="67">AL332*AG332</f>
        <v>22.305369869999996</v>
      </c>
      <c r="AP332" s="9"/>
      <c r="AQ332" s="22">
        <v>0.228577</v>
      </c>
      <c r="AR332" s="22">
        <v>305.38</v>
      </c>
      <c r="AS332" s="22">
        <v>-1.6888400000000001E-2</v>
      </c>
      <c r="AT332" s="22">
        <v>322</v>
      </c>
      <c r="AU332" s="22">
        <v>0.22799700000000001</v>
      </c>
      <c r="AV332">
        <f t="shared" ref="AV332:AV395" si="68">-AS332/$F$2*1000</f>
        <v>16.888400000000001</v>
      </c>
      <c r="AW332">
        <f t="shared" ref="AW332:AW395" si="69">AV332*AQ332</f>
        <v>3.8602998068000001</v>
      </c>
      <c r="AX332" s="9"/>
      <c r="AY332" s="22">
        <v>1.52145</v>
      </c>
      <c r="AZ332" s="22">
        <v>384.61</v>
      </c>
      <c r="BA332" s="22">
        <v>-1.44501E-2</v>
      </c>
      <c r="BB332" s="22">
        <v>322</v>
      </c>
      <c r="BC332" s="22">
        <v>1.5209999999999999</v>
      </c>
      <c r="BD332">
        <f t="shared" ref="BD332:BD395" si="70">-BA332/$F$2*1000</f>
        <v>14.450100000000001</v>
      </c>
      <c r="BE332">
        <f t="shared" ref="BE332:BE395" si="71">BD332*AY332</f>
        <v>21.985104645</v>
      </c>
    </row>
    <row r="333" spans="6:57">
      <c r="F333" s="9"/>
      <c r="G333" s="22">
        <v>0.22354099999999999</v>
      </c>
      <c r="H333" s="22">
        <v>56.179000000000002</v>
      </c>
      <c r="I333" s="22">
        <v>-1.72882E-2</v>
      </c>
      <c r="J333" s="22">
        <v>323</v>
      </c>
      <c r="K333" s="22">
        <v>0.222992</v>
      </c>
      <c r="L333">
        <f t="shared" si="60"/>
        <v>17.2882</v>
      </c>
      <c r="M333">
        <f t="shared" si="61"/>
        <v>3.8646215161999997</v>
      </c>
      <c r="N333" s="9"/>
      <c r="O333" s="22">
        <v>1.5264899999999999</v>
      </c>
      <c r="P333" s="22">
        <v>111.575</v>
      </c>
      <c r="Q333" s="22">
        <v>-1.4898700000000001E-2</v>
      </c>
      <c r="R333" s="22">
        <v>323</v>
      </c>
      <c r="S333" s="22">
        <v>1.5261800000000001</v>
      </c>
      <c r="T333">
        <f t="shared" si="62"/>
        <v>14.898700000000002</v>
      </c>
      <c r="U333">
        <f t="shared" si="63"/>
        <v>22.742716563000002</v>
      </c>
      <c r="X333" s="9"/>
      <c r="Y333" s="22">
        <v>0.22354099999999999</v>
      </c>
      <c r="Z333" s="22">
        <v>173.53200000000001</v>
      </c>
      <c r="AA333" s="22">
        <v>-1.7208899999999999E-2</v>
      </c>
      <c r="AB333" s="22">
        <v>323</v>
      </c>
      <c r="AC333" s="22">
        <v>0.22296099999999999</v>
      </c>
      <c r="AD333">
        <f t="shared" si="64"/>
        <v>17.2089</v>
      </c>
      <c r="AE333">
        <f t="shared" si="65"/>
        <v>3.8468947148999999</v>
      </c>
      <c r="AF333" s="9"/>
      <c r="AG333" s="22">
        <v>1.5264899999999999</v>
      </c>
      <c r="AH333" s="22">
        <v>253.06399999999999</v>
      </c>
      <c r="AI333" s="22">
        <v>-1.45874E-2</v>
      </c>
      <c r="AJ333" s="22">
        <v>323</v>
      </c>
      <c r="AK333" s="22">
        <v>1.5258799999999999</v>
      </c>
      <c r="AL333">
        <f t="shared" si="66"/>
        <v>14.587400000000001</v>
      </c>
      <c r="AM333">
        <f t="shared" si="67"/>
        <v>22.267520225999998</v>
      </c>
      <c r="AP333" s="9"/>
      <c r="AQ333" s="22">
        <v>0.22354099999999999</v>
      </c>
      <c r="AR333" s="22">
        <v>305.48099999999999</v>
      </c>
      <c r="AS333" s="22">
        <v>-1.6897599999999999E-2</v>
      </c>
      <c r="AT333" s="22">
        <v>323</v>
      </c>
      <c r="AU333" s="22">
        <v>0.22289999999999999</v>
      </c>
      <c r="AV333">
        <f t="shared" si="68"/>
        <v>16.897599999999997</v>
      </c>
      <c r="AW333">
        <f t="shared" si="69"/>
        <v>3.7773064015999993</v>
      </c>
      <c r="AX333" s="9"/>
      <c r="AY333" s="22">
        <v>1.5264899999999999</v>
      </c>
      <c r="AZ333" s="22">
        <v>384.71100000000001</v>
      </c>
      <c r="BA333" s="22">
        <v>-1.44165E-2</v>
      </c>
      <c r="BB333" s="22">
        <v>323</v>
      </c>
      <c r="BC333" s="22">
        <v>1.5255700000000001</v>
      </c>
      <c r="BD333">
        <f t="shared" si="70"/>
        <v>14.416500000000001</v>
      </c>
      <c r="BE333">
        <f t="shared" si="71"/>
        <v>22.006643085</v>
      </c>
    </row>
    <row r="334" spans="6:57">
      <c r="F334" s="9"/>
      <c r="G334" s="22">
        <v>0.21850600000000001</v>
      </c>
      <c r="H334" s="22">
        <v>56.279699999999998</v>
      </c>
      <c r="I334" s="22">
        <v>-1.73004E-2</v>
      </c>
      <c r="J334" s="22">
        <v>324</v>
      </c>
      <c r="K334" s="22">
        <v>0.21795700000000001</v>
      </c>
      <c r="L334">
        <f t="shared" si="60"/>
        <v>17.3004</v>
      </c>
      <c r="M334">
        <f t="shared" si="61"/>
        <v>3.7802412024000001</v>
      </c>
      <c r="N334" s="9"/>
      <c r="O334" s="22">
        <v>1.53152</v>
      </c>
      <c r="P334" s="22">
        <v>111.676</v>
      </c>
      <c r="Q334" s="22">
        <v>-1.4801E-2</v>
      </c>
      <c r="R334" s="22">
        <v>324</v>
      </c>
      <c r="S334" s="22">
        <v>1.5304599999999999</v>
      </c>
      <c r="T334">
        <f t="shared" si="62"/>
        <v>14.801</v>
      </c>
      <c r="U334">
        <f t="shared" si="63"/>
        <v>22.668027519999999</v>
      </c>
      <c r="X334" s="9"/>
      <c r="Y334" s="22">
        <v>0.21850600000000001</v>
      </c>
      <c r="Z334" s="22">
        <v>173.63300000000001</v>
      </c>
      <c r="AA334" s="22">
        <v>-1.7230200000000001E-2</v>
      </c>
      <c r="AB334" s="22">
        <v>324</v>
      </c>
      <c r="AC334" s="22">
        <v>0.21798699999999999</v>
      </c>
      <c r="AD334">
        <f t="shared" si="64"/>
        <v>17.2302</v>
      </c>
      <c r="AE334">
        <f t="shared" si="65"/>
        <v>3.7649020812000003</v>
      </c>
      <c r="AF334" s="9"/>
      <c r="AG334" s="22">
        <v>1.53152</v>
      </c>
      <c r="AH334" s="22">
        <v>253.16499999999999</v>
      </c>
      <c r="AI334" s="22">
        <v>-1.45264E-2</v>
      </c>
      <c r="AJ334" s="22">
        <v>324</v>
      </c>
      <c r="AK334" s="22">
        <v>1.5310699999999999</v>
      </c>
      <c r="AL334">
        <f t="shared" si="66"/>
        <v>14.526400000000001</v>
      </c>
      <c r="AM334">
        <f t="shared" si="67"/>
        <v>22.247472128000002</v>
      </c>
      <c r="AP334" s="9"/>
      <c r="AQ334" s="22">
        <v>0.21850600000000001</v>
      </c>
      <c r="AR334" s="22">
        <v>305.58199999999999</v>
      </c>
      <c r="AS334" s="22">
        <v>-1.6922E-2</v>
      </c>
      <c r="AT334" s="22">
        <v>324</v>
      </c>
      <c r="AU334" s="22">
        <v>0.21801799999999999</v>
      </c>
      <c r="AV334">
        <f t="shared" si="68"/>
        <v>16.922000000000001</v>
      </c>
      <c r="AW334">
        <f t="shared" si="69"/>
        <v>3.6975585320000004</v>
      </c>
      <c r="AX334" s="9"/>
      <c r="AY334" s="22">
        <v>1.53152</v>
      </c>
      <c r="AZ334" s="22">
        <v>384.81200000000001</v>
      </c>
      <c r="BA334" s="22">
        <v>-1.4340200000000001E-2</v>
      </c>
      <c r="BB334" s="22">
        <v>324</v>
      </c>
      <c r="BC334" s="22">
        <v>1.5307599999999999</v>
      </c>
      <c r="BD334">
        <f t="shared" si="70"/>
        <v>14.340200000000001</v>
      </c>
      <c r="BE334">
        <f t="shared" si="71"/>
        <v>21.962303104</v>
      </c>
    </row>
    <row r="335" spans="6:57">
      <c r="F335" s="9"/>
      <c r="G335" s="22">
        <v>0.21346999999999999</v>
      </c>
      <c r="H335" s="22">
        <v>56.380400000000002</v>
      </c>
      <c r="I335" s="22">
        <v>-1.7309600000000001E-2</v>
      </c>
      <c r="J335" s="22">
        <v>325</v>
      </c>
      <c r="K335" s="22">
        <v>0.212921</v>
      </c>
      <c r="L335">
        <f t="shared" si="60"/>
        <v>17.3096</v>
      </c>
      <c r="M335">
        <f t="shared" si="61"/>
        <v>3.695080312</v>
      </c>
      <c r="N335" s="9"/>
      <c r="O335" s="22">
        <v>1.5365599999999999</v>
      </c>
      <c r="P335" s="22">
        <v>111.776</v>
      </c>
      <c r="Q335" s="22">
        <v>-1.47125E-2</v>
      </c>
      <c r="R335" s="22">
        <v>325</v>
      </c>
      <c r="S335" s="22">
        <v>1.5359499999999999</v>
      </c>
      <c r="T335">
        <f t="shared" si="62"/>
        <v>14.7125</v>
      </c>
      <c r="U335">
        <f t="shared" si="63"/>
        <v>22.606638999999998</v>
      </c>
      <c r="X335" s="9"/>
      <c r="Y335" s="22">
        <v>0.21346999999999999</v>
      </c>
      <c r="Z335" s="22">
        <v>173.733</v>
      </c>
      <c r="AA335" s="22">
        <v>-1.7230200000000001E-2</v>
      </c>
      <c r="AB335" s="22">
        <v>325</v>
      </c>
      <c r="AC335" s="22">
        <v>0.212891</v>
      </c>
      <c r="AD335">
        <f t="shared" si="64"/>
        <v>17.2302</v>
      </c>
      <c r="AE335">
        <f t="shared" si="65"/>
        <v>3.6781307939999999</v>
      </c>
      <c r="AF335" s="9"/>
      <c r="AG335" s="22">
        <v>1.5365599999999999</v>
      </c>
      <c r="AH335" s="22">
        <v>253.26599999999999</v>
      </c>
      <c r="AI335" s="22">
        <v>-1.44409E-2</v>
      </c>
      <c r="AJ335" s="22">
        <v>325</v>
      </c>
      <c r="AK335" s="22">
        <v>1.5362499999999999</v>
      </c>
      <c r="AL335">
        <f t="shared" si="66"/>
        <v>14.440899999999999</v>
      </c>
      <c r="AM335">
        <f t="shared" si="67"/>
        <v>22.189309303999998</v>
      </c>
      <c r="AP335" s="9"/>
      <c r="AQ335" s="22">
        <v>0.21346999999999999</v>
      </c>
      <c r="AR335" s="22">
        <v>305.68200000000002</v>
      </c>
      <c r="AS335" s="22">
        <v>-1.68915E-2</v>
      </c>
      <c r="AT335" s="22">
        <v>325</v>
      </c>
      <c r="AU335" s="22">
        <v>0.212921</v>
      </c>
      <c r="AV335">
        <f t="shared" si="68"/>
        <v>16.891500000000001</v>
      </c>
      <c r="AW335">
        <f t="shared" si="69"/>
        <v>3.6058285049999999</v>
      </c>
      <c r="AX335" s="9"/>
      <c r="AY335" s="22">
        <v>1.5365599999999999</v>
      </c>
      <c r="AZ335" s="22">
        <v>384.91300000000001</v>
      </c>
      <c r="BA335" s="22">
        <v>-1.42761E-2</v>
      </c>
      <c r="BB335" s="22">
        <v>325</v>
      </c>
      <c r="BC335" s="22">
        <v>1.5359499999999999</v>
      </c>
      <c r="BD335">
        <f t="shared" si="70"/>
        <v>14.2761</v>
      </c>
      <c r="BE335">
        <f t="shared" si="71"/>
        <v>21.936084215999998</v>
      </c>
    </row>
    <row r="336" spans="6:57">
      <c r="F336" s="9"/>
      <c r="G336" s="22">
        <v>0.20843500000000001</v>
      </c>
      <c r="H336" s="22">
        <v>56.481099999999998</v>
      </c>
      <c r="I336" s="22">
        <v>-1.73279E-2</v>
      </c>
      <c r="J336" s="22">
        <v>326</v>
      </c>
      <c r="K336" s="22">
        <v>0.207733</v>
      </c>
      <c r="L336">
        <f t="shared" si="60"/>
        <v>17.3279</v>
      </c>
      <c r="M336">
        <f t="shared" si="61"/>
        <v>3.6117408365000001</v>
      </c>
      <c r="N336" s="9"/>
      <c r="O336" s="22">
        <v>1.5416000000000001</v>
      </c>
      <c r="P336" s="22">
        <v>111.877</v>
      </c>
      <c r="Q336" s="22">
        <v>-1.4627100000000001E-2</v>
      </c>
      <c r="R336" s="22">
        <v>326</v>
      </c>
      <c r="S336" s="22">
        <v>1.5408299999999999</v>
      </c>
      <c r="T336">
        <f t="shared" si="62"/>
        <v>14.6271</v>
      </c>
      <c r="U336">
        <f t="shared" si="63"/>
        <v>22.549137360000003</v>
      </c>
      <c r="X336" s="9"/>
      <c r="Y336" s="22">
        <v>0.20843500000000001</v>
      </c>
      <c r="Z336" s="22">
        <v>173.834</v>
      </c>
      <c r="AA336" s="22">
        <v>-1.72333E-2</v>
      </c>
      <c r="AB336" s="22">
        <v>326</v>
      </c>
      <c r="AC336" s="22">
        <v>0.20794699999999999</v>
      </c>
      <c r="AD336">
        <f t="shared" si="64"/>
        <v>17.2333</v>
      </c>
      <c r="AE336">
        <f t="shared" si="65"/>
        <v>3.5920228855</v>
      </c>
      <c r="AF336" s="9"/>
      <c r="AG336" s="22">
        <v>1.5416000000000001</v>
      </c>
      <c r="AH336" s="22">
        <v>253.36600000000001</v>
      </c>
      <c r="AI336" s="22">
        <v>-1.43524E-2</v>
      </c>
      <c r="AJ336" s="22">
        <v>326</v>
      </c>
      <c r="AK336" s="22">
        <v>1.5408299999999999</v>
      </c>
      <c r="AL336">
        <f t="shared" si="66"/>
        <v>14.352399999999999</v>
      </c>
      <c r="AM336">
        <f t="shared" si="67"/>
        <v>22.125659840000001</v>
      </c>
      <c r="AP336" s="9"/>
      <c r="AQ336" s="22">
        <v>0.20843500000000001</v>
      </c>
      <c r="AR336" s="22">
        <v>305.78300000000002</v>
      </c>
      <c r="AS336" s="22">
        <v>-1.6922E-2</v>
      </c>
      <c r="AT336" s="22">
        <v>326</v>
      </c>
      <c r="AU336" s="22">
        <v>0.20791599999999999</v>
      </c>
      <c r="AV336">
        <f t="shared" si="68"/>
        <v>16.922000000000001</v>
      </c>
      <c r="AW336">
        <f t="shared" si="69"/>
        <v>3.5271370700000002</v>
      </c>
      <c r="AX336" s="9"/>
      <c r="AY336" s="22">
        <v>1.5416000000000001</v>
      </c>
      <c r="AZ336" s="22">
        <v>385.01299999999998</v>
      </c>
      <c r="BA336" s="22">
        <v>-1.4218099999999999E-2</v>
      </c>
      <c r="BB336" s="22">
        <v>326</v>
      </c>
      <c r="BC336" s="22">
        <v>1.54053</v>
      </c>
      <c r="BD336">
        <f t="shared" si="70"/>
        <v>14.2181</v>
      </c>
      <c r="BE336">
        <f t="shared" si="71"/>
        <v>21.91862296</v>
      </c>
    </row>
    <row r="337" spans="6:57">
      <c r="F337" s="9"/>
      <c r="G337" s="22">
        <v>0.2034</v>
      </c>
      <c r="H337" s="22">
        <v>56.581800000000001</v>
      </c>
      <c r="I337" s="22">
        <v>-1.7312600000000001E-2</v>
      </c>
      <c r="J337" s="22">
        <v>327</v>
      </c>
      <c r="K337" s="22">
        <v>0.20282</v>
      </c>
      <c r="L337">
        <f t="shared" si="60"/>
        <v>17.3126</v>
      </c>
      <c r="M337">
        <f t="shared" si="61"/>
        <v>3.5213828399999998</v>
      </c>
      <c r="N337" s="9"/>
      <c r="O337" s="22">
        <v>1.5466299999999999</v>
      </c>
      <c r="P337" s="22">
        <v>111.97799999999999</v>
      </c>
      <c r="Q337" s="22">
        <v>-1.45691E-2</v>
      </c>
      <c r="R337" s="22">
        <v>327</v>
      </c>
      <c r="S337" s="22">
        <v>1.5460199999999999</v>
      </c>
      <c r="T337">
        <f t="shared" si="62"/>
        <v>14.569100000000001</v>
      </c>
      <c r="U337">
        <f t="shared" si="63"/>
        <v>22.533007133000002</v>
      </c>
      <c r="X337" s="9"/>
      <c r="Y337" s="22">
        <v>0.2034</v>
      </c>
      <c r="Z337" s="22">
        <v>173.935</v>
      </c>
      <c r="AA337" s="22">
        <v>-1.72058E-2</v>
      </c>
      <c r="AB337" s="22">
        <v>327</v>
      </c>
      <c r="AC337" s="22">
        <v>0.202789</v>
      </c>
      <c r="AD337">
        <f t="shared" si="64"/>
        <v>17.2058</v>
      </c>
      <c r="AE337">
        <f t="shared" si="65"/>
        <v>3.4996597199999999</v>
      </c>
      <c r="AF337" s="9"/>
      <c r="AG337" s="22">
        <v>1.5466299999999999</v>
      </c>
      <c r="AH337" s="22">
        <v>253.46700000000001</v>
      </c>
      <c r="AI337" s="22">
        <v>-1.4257799999999999E-2</v>
      </c>
      <c r="AJ337" s="22">
        <v>327</v>
      </c>
      <c r="AK337" s="22">
        <v>1.54572</v>
      </c>
      <c r="AL337">
        <f t="shared" si="66"/>
        <v>14.2578</v>
      </c>
      <c r="AM337">
        <f t="shared" si="67"/>
        <v>22.051541214</v>
      </c>
      <c r="AP337" s="9"/>
      <c r="AQ337" s="22">
        <v>0.2034</v>
      </c>
      <c r="AR337" s="22">
        <v>305.88400000000001</v>
      </c>
      <c r="AS337" s="22">
        <v>-1.6928100000000001E-2</v>
      </c>
      <c r="AT337" s="22">
        <v>327</v>
      </c>
      <c r="AU337" s="22">
        <v>0.20285</v>
      </c>
      <c r="AV337">
        <f t="shared" si="68"/>
        <v>16.928100000000001</v>
      </c>
      <c r="AW337">
        <f t="shared" si="69"/>
        <v>3.4431755399999999</v>
      </c>
      <c r="AX337" s="9"/>
      <c r="AY337" s="22">
        <v>1.5466299999999999</v>
      </c>
      <c r="AZ337" s="22">
        <v>385.11399999999998</v>
      </c>
      <c r="BA337" s="22">
        <v>-1.41052E-2</v>
      </c>
      <c r="BB337" s="22">
        <v>327</v>
      </c>
      <c r="BC337" s="22">
        <v>1.54572</v>
      </c>
      <c r="BD337">
        <f t="shared" si="70"/>
        <v>14.1052</v>
      </c>
      <c r="BE337">
        <f t="shared" si="71"/>
        <v>21.815525475999998</v>
      </c>
    </row>
    <row r="338" spans="6:57">
      <c r="F338" s="9"/>
      <c r="G338" s="22">
        <v>0.19836400000000001</v>
      </c>
      <c r="H338" s="22">
        <v>56.682499999999997</v>
      </c>
      <c r="I338" s="22">
        <v>-1.7337000000000002E-2</v>
      </c>
      <c r="J338" s="22">
        <v>328</v>
      </c>
      <c r="K338" s="22">
        <v>0.19778399999999999</v>
      </c>
      <c r="L338">
        <f t="shared" si="60"/>
        <v>17.337000000000003</v>
      </c>
      <c r="M338">
        <f t="shared" si="61"/>
        <v>3.4390366680000009</v>
      </c>
      <c r="N338" s="9"/>
      <c r="O338" s="22">
        <v>1.5516700000000001</v>
      </c>
      <c r="P338" s="22">
        <v>112.078</v>
      </c>
      <c r="Q338" s="22">
        <v>-1.4471400000000001E-2</v>
      </c>
      <c r="R338" s="22">
        <v>328</v>
      </c>
      <c r="S338" s="22">
        <v>1.5508999999999999</v>
      </c>
      <c r="T338">
        <f t="shared" si="62"/>
        <v>14.471400000000001</v>
      </c>
      <c r="U338">
        <f t="shared" si="63"/>
        <v>22.454837238000003</v>
      </c>
      <c r="X338" s="9"/>
      <c r="Y338" s="22">
        <v>0.19836400000000001</v>
      </c>
      <c r="Z338" s="22">
        <v>174.035</v>
      </c>
      <c r="AA338" s="22">
        <v>-1.7227200000000002E-2</v>
      </c>
      <c r="AB338" s="22">
        <v>328</v>
      </c>
      <c r="AC338" s="22">
        <v>0.19775400000000001</v>
      </c>
      <c r="AD338">
        <f t="shared" si="64"/>
        <v>17.2272</v>
      </c>
      <c r="AE338">
        <f t="shared" si="65"/>
        <v>3.4172563008000001</v>
      </c>
      <c r="AF338" s="9"/>
      <c r="AG338" s="22">
        <v>1.5516700000000001</v>
      </c>
      <c r="AH338" s="22">
        <v>253.56800000000001</v>
      </c>
      <c r="AI338" s="22">
        <v>-1.4175399999999999E-2</v>
      </c>
      <c r="AJ338" s="22">
        <v>328</v>
      </c>
      <c r="AK338" s="22">
        <v>1.55121</v>
      </c>
      <c r="AL338">
        <f t="shared" si="66"/>
        <v>14.1754</v>
      </c>
      <c r="AM338">
        <f t="shared" si="67"/>
        <v>21.995542918000002</v>
      </c>
      <c r="AP338" s="9"/>
      <c r="AQ338" s="22">
        <v>0.19836400000000001</v>
      </c>
      <c r="AR338" s="22">
        <v>305.98399999999998</v>
      </c>
      <c r="AS338" s="22">
        <v>-1.6915900000000001E-2</v>
      </c>
      <c r="AT338" s="22">
        <v>328</v>
      </c>
      <c r="AU338" s="22">
        <v>0.19784499999999999</v>
      </c>
      <c r="AV338">
        <f t="shared" si="68"/>
        <v>16.915900000000001</v>
      </c>
      <c r="AW338">
        <f t="shared" si="69"/>
        <v>3.3555055876000002</v>
      </c>
      <c r="AX338" s="9"/>
      <c r="AY338" s="22">
        <v>1.5516700000000001</v>
      </c>
      <c r="AZ338" s="22">
        <v>385.21499999999997</v>
      </c>
      <c r="BA338" s="22">
        <v>-1.4035000000000001E-2</v>
      </c>
      <c r="BB338" s="22">
        <v>328</v>
      </c>
      <c r="BC338" s="22">
        <v>1.5515099999999999</v>
      </c>
      <c r="BD338">
        <f t="shared" si="70"/>
        <v>14.035</v>
      </c>
      <c r="BE338">
        <f t="shared" si="71"/>
        <v>21.777688450000003</v>
      </c>
    </row>
    <row r="339" spans="6:57">
      <c r="F339" s="9"/>
      <c r="G339" s="22">
        <v>0.193329</v>
      </c>
      <c r="H339" s="22">
        <v>56.783200000000001</v>
      </c>
      <c r="I339" s="22">
        <v>-1.7346199999999999E-2</v>
      </c>
      <c r="J339" s="22">
        <v>329</v>
      </c>
      <c r="K339" s="22">
        <v>0.192749</v>
      </c>
      <c r="L339">
        <f t="shared" si="60"/>
        <v>17.3462</v>
      </c>
      <c r="M339">
        <f t="shared" si="61"/>
        <v>3.3535234998000001</v>
      </c>
      <c r="N339" s="9"/>
      <c r="O339" s="22">
        <v>1.5567</v>
      </c>
      <c r="P339" s="22">
        <v>112.179</v>
      </c>
      <c r="Q339" s="22">
        <v>-1.43768E-2</v>
      </c>
      <c r="R339" s="22">
        <v>329</v>
      </c>
      <c r="S339" s="22">
        <v>1.5564</v>
      </c>
      <c r="T339">
        <f t="shared" si="62"/>
        <v>14.376800000000001</v>
      </c>
      <c r="U339">
        <f t="shared" si="63"/>
        <v>22.38036456</v>
      </c>
      <c r="X339" s="9"/>
      <c r="Y339" s="22">
        <v>0.193329</v>
      </c>
      <c r="Z339" s="22">
        <v>174.136</v>
      </c>
      <c r="AA339" s="22">
        <v>-1.72455E-2</v>
      </c>
      <c r="AB339" s="22">
        <v>329</v>
      </c>
      <c r="AC339" s="22">
        <v>0.19278000000000001</v>
      </c>
      <c r="AD339">
        <f t="shared" si="64"/>
        <v>17.2455</v>
      </c>
      <c r="AE339">
        <f t="shared" si="65"/>
        <v>3.3340552694999999</v>
      </c>
      <c r="AF339" s="9"/>
      <c r="AG339" s="22">
        <v>1.5567</v>
      </c>
      <c r="AH339" s="22">
        <v>253.66800000000001</v>
      </c>
      <c r="AI339" s="22">
        <v>-1.4080799999999999E-2</v>
      </c>
      <c r="AJ339" s="22">
        <v>329</v>
      </c>
      <c r="AK339" s="22">
        <v>1.55609</v>
      </c>
      <c r="AL339">
        <f t="shared" si="66"/>
        <v>14.0808</v>
      </c>
      <c r="AM339">
        <f t="shared" si="67"/>
        <v>21.919581359999999</v>
      </c>
      <c r="AP339" s="9"/>
      <c r="AQ339" s="22">
        <v>0.193329</v>
      </c>
      <c r="AR339" s="22">
        <v>306.08499999999998</v>
      </c>
      <c r="AS339" s="22">
        <v>-1.69067E-2</v>
      </c>
      <c r="AT339" s="22">
        <v>329</v>
      </c>
      <c r="AU339" s="22">
        <v>0.19284100000000001</v>
      </c>
      <c r="AV339">
        <f t="shared" si="68"/>
        <v>16.906700000000001</v>
      </c>
      <c r="AW339">
        <f t="shared" si="69"/>
        <v>3.2685554043000002</v>
      </c>
      <c r="AX339" s="9"/>
      <c r="AY339" s="22">
        <v>1.5567</v>
      </c>
      <c r="AZ339" s="22">
        <v>385.315</v>
      </c>
      <c r="BA339" s="22">
        <v>-1.3952600000000001E-2</v>
      </c>
      <c r="BB339" s="22">
        <v>329</v>
      </c>
      <c r="BC339" s="22">
        <v>1.55579</v>
      </c>
      <c r="BD339">
        <f t="shared" si="70"/>
        <v>13.9526</v>
      </c>
      <c r="BE339">
        <f t="shared" si="71"/>
        <v>21.72001242</v>
      </c>
    </row>
    <row r="340" spans="6:57">
      <c r="F340" s="9"/>
      <c r="G340" s="22">
        <v>0.18829299999999999</v>
      </c>
      <c r="H340" s="22">
        <v>56.883899999999997</v>
      </c>
      <c r="I340" s="22">
        <v>-1.73309E-2</v>
      </c>
      <c r="J340" s="22">
        <v>330</v>
      </c>
      <c r="K340" s="22">
        <v>0.18768299999999999</v>
      </c>
      <c r="L340">
        <f t="shared" si="60"/>
        <v>17.3309</v>
      </c>
      <c r="M340">
        <f t="shared" si="61"/>
        <v>3.2632871536999999</v>
      </c>
      <c r="N340" s="9"/>
      <c r="O340" s="22">
        <v>1.5617399999999999</v>
      </c>
      <c r="P340" s="22">
        <v>112.28</v>
      </c>
      <c r="Q340" s="22">
        <v>-1.4267E-2</v>
      </c>
      <c r="R340" s="22">
        <v>330</v>
      </c>
      <c r="S340" s="22">
        <v>1.56097</v>
      </c>
      <c r="T340">
        <f t="shared" si="62"/>
        <v>14.266999999999999</v>
      </c>
      <c r="U340">
        <f t="shared" si="63"/>
        <v>22.281344579999999</v>
      </c>
      <c r="X340" s="9"/>
      <c r="Y340" s="22">
        <v>0.18829299999999999</v>
      </c>
      <c r="Z340" s="22">
        <v>174.23699999999999</v>
      </c>
      <c r="AA340" s="22">
        <v>-1.7227200000000002E-2</v>
      </c>
      <c r="AB340" s="22">
        <v>330</v>
      </c>
      <c r="AC340" s="22">
        <v>0.18771399999999999</v>
      </c>
      <c r="AD340">
        <f t="shared" si="64"/>
        <v>17.2272</v>
      </c>
      <c r="AE340">
        <f t="shared" si="65"/>
        <v>3.2437611695999999</v>
      </c>
      <c r="AF340" s="9"/>
      <c r="AG340" s="22">
        <v>1.5617399999999999</v>
      </c>
      <c r="AH340" s="22">
        <v>253.76900000000001</v>
      </c>
      <c r="AI340" s="22">
        <v>-1.40076E-2</v>
      </c>
      <c r="AJ340" s="22">
        <v>330</v>
      </c>
      <c r="AK340" s="22">
        <v>1.56097</v>
      </c>
      <c r="AL340">
        <f t="shared" si="66"/>
        <v>14.0076</v>
      </c>
      <c r="AM340">
        <f t="shared" si="67"/>
        <v>21.876229223999999</v>
      </c>
      <c r="AP340" s="9"/>
      <c r="AQ340" s="22">
        <v>0.18829299999999999</v>
      </c>
      <c r="AR340" s="22">
        <v>306.18599999999998</v>
      </c>
      <c r="AS340" s="22">
        <v>-1.6940299999999998E-2</v>
      </c>
      <c r="AT340" s="22">
        <v>330</v>
      </c>
      <c r="AU340" s="22">
        <v>0.187836</v>
      </c>
      <c r="AV340">
        <f t="shared" si="68"/>
        <v>16.940299999999997</v>
      </c>
      <c r="AW340">
        <f t="shared" si="69"/>
        <v>3.1897399078999991</v>
      </c>
      <c r="AX340" s="9"/>
      <c r="AY340" s="22">
        <v>1.5617399999999999</v>
      </c>
      <c r="AZ340" s="22">
        <v>385.416</v>
      </c>
      <c r="BA340" s="22">
        <v>-1.38519E-2</v>
      </c>
      <c r="BB340" s="22">
        <v>330</v>
      </c>
      <c r="BC340" s="22">
        <v>1.56158</v>
      </c>
      <c r="BD340">
        <f t="shared" si="70"/>
        <v>13.851900000000001</v>
      </c>
      <c r="BE340">
        <f t="shared" si="71"/>
        <v>21.633066306</v>
      </c>
    </row>
    <row r="341" spans="6:57">
      <c r="F341" s="9"/>
      <c r="G341" s="22">
        <v>0.183258</v>
      </c>
      <c r="H341" s="22">
        <v>56.9846</v>
      </c>
      <c r="I341" s="22">
        <v>-1.7309600000000001E-2</v>
      </c>
      <c r="J341" s="22">
        <v>331</v>
      </c>
      <c r="K341" s="22">
        <v>0.18270900000000001</v>
      </c>
      <c r="L341">
        <f t="shared" si="60"/>
        <v>17.3096</v>
      </c>
      <c r="M341">
        <f t="shared" si="61"/>
        <v>3.1721226767999999</v>
      </c>
      <c r="N341" s="9"/>
      <c r="O341" s="22">
        <v>1.56677</v>
      </c>
      <c r="P341" s="22">
        <v>112.38</v>
      </c>
      <c r="Q341" s="22">
        <v>-1.4175399999999999E-2</v>
      </c>
      <c r="R341" s="22">
        <v>331</v>
      </c>
      <c r="S341" s="22">
        <v>1.56555</v>
      </c>
      <c r="T341">
        <f t="shared" si="62"/>
        <v>14.1754</v>
      </c>
      <c r="U341">
        <f t="shared" si="63"/>
        <v>22.209591457999998</v>
      </c>
      <c r="X341" s="9"/>
      <c r="Y341" s="22">
        <v>0.183258</v>
      </c>
      <c r="Z341" s="22">
        <v>174.33699999999999</v>
      </c>
      <c r="AA341" s="22">
        <v>-1.72363E-2</v>
      </c>
      <c r="AB341" s="22">
        <v>331</v>
      </c>
      <c r="AC341" s="22">
        <v>0.18267800000000001</v>
      </c>
      <c r="AD341">
        <f t="shared" si="64"/>
        <v>17.2363</v>
      </c>
      <c r="AE341">
        <f t="shared" si="65"/>
        <v>3.1586898654</v>
      </c>
      <c r="AF341" s="9"/>
      <c r="AG341" s="22">
        <v>1.56677</v>
      </c>
      <c r="AH341" s="22">
        <v>253.87</v>
      </c>
      <c r="AI341" s="22">
        <v>-1.3946500000000001E-2</v>
      </c>
      <c r="AJ341" s="22">
        <v>331</v>
      </c>
      <c r="AK341" s="22">
        <v>1.56616</v>
      </c>
      <c r="AL341">
        <f t="shared" si="66"/>
        <v>13.9465</v>
      </c>
      <c r="AM341">
        <f t="shared" si="67"/>
        <v>21.850957805</v>
      </c>
      <c r="AP341" s="9"/>
      <c r="AQ341" s="22">
        <v>0.183258</v>
      </c>
      <c r="AR341" s="22">
        <v>306.28699999999998</v>
      </c>
      <c r="AS341" s="22">
        <v>-1.6949499999999999E-2</v>
      </c>
      <c r="AT341" s="22">
        <v>331</v>
      </c>
      <c r="AU341" s="22">
        <v>0.18273900000000001</v>
      </c>
      <c r="AV341">
        <f t="shared" si="68"/>
        <v>16.9495</v>
      </c>
      <c r="AW341">
        <f t="shared" si="69"/>
        <v>3.1061314710000003</v>
      </c>
      <c r="AX341" s="9"/>
      <c r="AY341" s="22">
        <v>1.56677</v>
      </c>
      <c r="AZ341" s="22">
        <v>385.517</v>
      </c>
      <c r="BA341" s="22">
        <v>-1.37787E-2</v>
      </c>
      <c r="BB341" s="22">
        <v>331</v>
      </c>
      <c r="BC341" s="22">
        <v>1.56647</v>
      </c>
      <c r="BD341">
        <f t="shared" si="70"/>
        <v>13.778699999999999</v>
      </c>
      <c r="BE341">
        <f t="shared" si="71"/>
        <v>21.588053798999997</v>
      </c>
    </row>
    <row r="342" spans="6:57">
      <c r="F342" s="9"/>
      <c r="G342" s="22">
        <v>0.17822299999999999</v>
      </c>
      <c r="H342" s="22">
        <v>57.0854</v>
      </c>
      <c r="I342" s="22">
        <v>-1.7321799999999998E-2</v>
      </c>
      <c r="J342" s="22">
        <v>332</v>
      </c>
      <c r="K342" s="22">
        <v>0.17761199999999999</v>
      </c>
      <c r="L342">
        <f t="shared" si="60"/>
        <v>17.3218</v>
      </c>
      <c r="M342">
        <f t="shared" si="61"/>
        <v>3.0871431613999998</v>
      </c>
      <c r="N342" s="9"/>
      <c r="O342" s="22">
        <v>1.5718099999999999</v>
      </c>
      <c r="P342" s="22">
        <v>112.48099999999999</v>
      </c>
      <c r="Q342" s="22">
        <v>-1.41052E-2</v>
      </c>
      <c r="R342" s="22">
        <v>332</v>
      </c>
      <c r="S342" s="22">
        <v>1.57074</v>
      </c>
      <c r="T342">
        <f t="shared" si="62"/>
        <v>14.1052</v>
      </c>
      <c r="U342">
        <f t="shared" si="63"/>
        <v>22.170694412</v>
      </c>
      <c r="X342" s="9"/>
      <c r="Y342" s="22">
        <v>0.17822299999999999</v>
      </c>
      <c r="Z342" s="22">
        <v>174.43799999999999</v>
      </c>
      <c r="AA342" s="22">
        <v>-1.7211899999999999E-2</v>
      </c>
      <c r="AB342" s="22">
        <v>332</v>
      </c>
      <c r="AC342" s="22">
        <v>0.177673</v>
      </c>
      <c r="AD342">
        <f t="shared" si="64"/>
        <v>17.2119</v>
      </c>
      <c r="AE342">
        <f t="shared" si="65"/>
        <v>3.0675564537</v>
      </c>
      <c r="AF342" s="9"/>
      <c r="AG342" s="22">
        <v>1.5718099999999999</v>
      </c>
      <c r="AH342" s="22">
        <v>253.97</v>
      </c>
      <c r="AI342" s="22">
        <v>-1.3858000000000001E-2</v>
      </c>
      <c r="AJ342" s="22">
        <v>332</v>
      </c>
      <c r="AK342" s="22">
        <v>1.57135</v>
      </c>
      <c r="AL342">
        <f t="shared" si="66"/>
        <v>13.858000000000001</v>
      </c>
      <c r="AM342">
        <f t="shared" si="67"/>
        <v>21.78214298</v>
      </c>
      <c r="AP342" s="9"/>
      <c r="AQ342" s="22">
        <v>0.17822299999999999</v>
      </c>
      <c r="AR342" s="22">
        <v>306.387</v>
      </c>
      <c r="AS342" s="22">
        <v>-1.6958600000000001E-2</v>
      </c>
      <c r="AT342" s="22">
        <v>332</v>
      </c>
      <c r="AU342" s="22">
        <v>0.177643</v>
      </c>
      <c r="AV342">
        <f t="shared" si="68"/>
        <v>16.958600000000001</v>
      </c>
      <c r="AW342">
        <f t="shared" si="69"/>
        <v>3.0224125678</v>
      </c>
      <c r="AX342" s="9"/>
      <c r="AY342" s="22">
        <v>1.5718099999999999</v>
      </c>
      <c r="AZ342" s="22">
        <v>385.61799999999999</v>
      </c>
      <c r="BA342" s="22">
        <v>-1.36688E-2</v>
      </c>
      <c r="BB342" s="22">
        <v>332</v>
      </c>
      <c r="BC342" s="22">
        <v>1.57135</v>
      </c>
      <c r="BD342">
        <f t="shared" si="70"/>
        <v>13.668799999999999</v>
      </c>
      <c r="BE342">
        <f t="shared" si="71"/>
        <v>21.484756527999998</v>
      </c>
    </row>
    <row r="343" spans="6:57">
      <c r="F343" s="9"/>
      <c r="G343" s="22">
        <v>0.17318700000000001</v>
      </c>
      <c r="H343" s="22">
        <v>57.186100000000003</v>
      </c>
      <c r="I343" s="22">
        <v>-1.73004E-2</v>
      </c>
      <c r="J343" s="22">
        <v>333</v>
      </c>
      <c r="K343" s="22">
        <v>0.17260700000000001</v>
      </c>
      <c r="L343">
        <f t="shared" si="60"/>
        <v>17.3004</v>
      </c>
      <c r="M343">
        <f t="shared" si="61"/>
        <v>2.9962043748</v>
      </c>
      <c r="N343" s="9"/>
      <c r="O343" s="22">
        <v>1.57684</v>
      </c>
      <c r="P343" s="22">
        <v>112.58199999999999</v>
      </c>
      <c r="Q343" s="22">
        <v>-1.3986200000000001E-2</v>
      </c>
      <c r="R343" s="22">
        <v>333</v>
      </c>
      <c r="S343" s="22">
        <v>1.57623</v>
      </c>
      <c r="T343">
        <f t="shared" si="62"/>
        <v>13.9862</v>
      </c>
      <c r="U343">
        <f t="shared" si="63"/>
        <v>22.053999608000002</v>
      </c>
      <c r="X343" s="9"/>
      <c r="Y343" s="22">
        <v>0.17318700000000001</v>
      </c>
      <c r="Z343" s="22">
        <v>174.53899999999999</v>
      </c>
      <c r="AA343" s="22">
        <v>-1.7187500000000001E-2</v>
      </c>
      <c r="AB343" s="22">
        <v>333</v>
      </c>
      <c r="AC343" s="22">
        <v>0.17272899999999999</v>
      </c>
      <c r="AD343">
        <f t="shared" si="64"/>
        <v>17.1875</v>
      </c>
      <c r="AE343">
        <f t="shared" si="65"/>
        <v>2.9766515625000003</v>
      </c>
      <c r="AF343" s="9"/>
      <c r="AG343" s="22">
        <v>1.57684</v>
      </c>
      <c r="AH343" s="22">
        <v>254.071</v>
      </c>
      <c r="AI343" s="22">
        <v>-1.37085E-2</v>
      </c>
      <c r="AJ343" s="22">
        <v>333</v>
      </c>
      <c r="AK343" s="22">
        <v>1.5759300000000001</v>
      </c>
      <c r="AL343">
        <f t="shared" si="66"/>
        <v>13.708500000000001</v>
      </c>
      <c r="AM343">
        <f t="shared" si="67"/>
        <v>21.616111140000001</v>
      </c>
      <c r="AP343" s="9"/>
      <c r="AQ343" s="22">
        <v>0.17318700000000001</v>
      </c>
      <c r="AR343" s="22">
        <v>306.488</v>
      </c>
      <c r="AS343" s="22">
        <v>-1.69342E-2</v>
      </c>
      <c r="AT343" s="22">
        <v>333</v>
      </c>
      <c r="AU343" s="22">
        <v>0.17266799999999999</v>
      </c>
      <c r="AV343">
        <f t="shared" si="68"/>
        <v>16.934200000000001</v>
      </c>
      <c r="AW343">
        <f t="shared" si="69"/>
        <v>2.9327832954000002</v>
      </c>
      <c r="AX343" s="9"/>
      <c r="AY343" s="22">
        <v>1.57684</v>
      </c>
      <c r="AZ343" s="22">
        <v>385.71800000000002</v>
      </c>
      <c r="BA343" s="22">
        <v>-1.35742E-2</v>
      </c>
      <c r="BB343" s="22">
        <v>333</v>
      </c>
      <c r="BC343" s="22">
        <v>1.5765400000000001</v>
      </c>
      <c r="BD343">
        <f t="shared" si="70"/>
        <v>13.574199999999999</v>
      </c>
      <c r="BE343">
        <f t="shared" si="71"/>
        <v>21.404341528</v>
      </c>
    </row>
    <row r="344" spans="6:57">
      <c r="F344" s="9"/>
      <c r="G344" s="22">
        <v>0.168152</v>
      </c>
      <c r="H344" s="22">
        <v>57.286799999999999</v>
      </c>
      <c r="I344" s="22">
        <v>-1.7297400000000001E-2</v>
      </c>
      <c r="J344" s="22">
        <v>334</v>
      </c>
      <c r="K344" s="22">
        <v>0.167603</v>
      </c>
      <c r="L344">
        <f t="shared" si="60"/>
        <v>17.2974</v>
      </c>
      <c r="M344">
        <f t="shared" si="61"/>
        <v>2.9085924047999998</v>
      </c>
      <c r="N344" s="9"/>
      <c r="O344" s="22">
        <v>1.58188</v>
      </c>
      <c r="P344" s="22">
        <v>112.68300000000001</v>
      </c>
      <c r="Q344" s="22">
        <v>-1.3876299999999999E-2</v>
      </c>
      <c r="R344" s="22">
        <v>334</v>
      </c>
      <c r="S344" s="22">
        <v>1.58142</v>
      </c>
      <c r="T344">
        <f t="shared" si="62"/>
        <v>13.876299999999999</v>
      </c>
      <c r="U344">
        <f t="shared" si="63"/>
        <v>21.950641443999999</v>
      </c>
      <c r="X344" s="9"/>
      <c r="Y344" s="22">
        <v>0.168152</v>
      </c>
      <c r="Z344" s="22">
        <v>174.64</v>
      </c>
      <c r="AA344" s="22">
        <v>-1.7184399999999999E-2</v>
      </c>
      <c r="AB344" s="22">
        <v>334</v>
      </c>
      <c r="AC344" s="22">
        <v>0.16751099999999999</v>
      </c>
      <c r="AD344">
        <f t="shared" si="64"/>
        <v>17.1844</v>
      </c>
      <c r="AE344">
        <f t="shared" si="65"/>
        <v>2.8895912288000001</v>
      </c>
      <c r="AF344" s="9"/>
      <c r="AG344" s="22">
        <v>1.58188</v>
      </c>
      <c r="AH344" s="22">
        <v>254.172</v>
      </c>
      <c r="AI344" s="22">
        <v>-1.36261E-2</v>
      </c>
      <c r="AJ344" s="22">
        <v>334</v>
      </c>
      <c r="AK344" s="22">
        <v>1.5811200000000001</v>
      </c>
      <c r="AL344">
        <f t="shared" si="66"/>
        <v>13.626100000000001</v>
      </c>
      <c r="AM344">
        <f t="shared" si="67"/>
        <v>21.554855068000002</v>
      </c>
      <c r="AP344" s="9"/>
      <c r="AQ344" s="22">
        <v>0.168152</v>
      </c>
      <c r="AR344" s="22">
        <v>306.589</v>
      </c>
      <c r="AS344" s="22">
        <v>-1.69464E-2</v>
      </c>
      <c r="AT344" s="22">
        <v>334</v>
      </c>
      <c r="AU344" s="22">
        <v>0.167572</v>
      </c>
      <c r="AV344">
        <f t="shared" si="68"/>
        <v>16.946400000000001</v>
      </c>
      <c r="AW344">
        <f t="shared" si="69"/>
        <v>2.8495710528</v>
      </c>
      <c r="AX344" s="9"/>
      <c r="AY344" s="22">
        <v>1.58188</v>
      </c>
      <c r="AZ344" s="22">
        <v>385.81900000000002</v>
      </c>
      <c r="BA344" s="22">
        <v>-1.3516200000000001E-2</v>
      </c>
      <c r="BB344" s="22">
        <v>334</v>
      </c>
      <c r="BC344" s="22">
        <v>1.5811200000000001</v>
      </c>
      <c r="BD344">
        <f t="shared" si="70"/>
        <v>13.516200000000001</v>
      </c>
      <c r="BE344">
        <f t="shared" si="71"/>
        <v>21.381006456000001</v>
      </c>
    </row>
    <row r="345" spans="6:57">
      <c r="F345" s="9"/>
      <c r="G345" s="22">
        <v>0.16311600000000001</v>
      </c>
      <c r="H345" s="22">
        <v>57.387500000000003</v>
      </c>
      <c r="I345" s="22">
        <v>-1.7312600000000001E-2</v>
      </c>
      <c r="J345" s="22">
        <v>335</v>
      </c>
      <c r="K345" s="22">
        <v>0.16253699999999999</v>
      </c>
      <c r="L345">
        <f t="shared" si="60"/>
        <v>17.3126</v>
      </c>
      <c r="M345">
        <f t="shared" si="61"/>
        <v>2.8239620616000001</v>
      </c>
      <c r="N345" s="9"/>
      <c r="O345" s="22">
        <v>1.58691</v>
      </c>
      <c r="P345" s="22">
        <v>112.783</v>
      </c>
      <c r="Q345" s="22">
        <v>-1.3772599999999999E-2</v>
      </c>
      <c r="R345" s="22">
        <v>335</v>
      </c>
      <c r="S345" s="22">
        <v>1.5860000000000001</v>
      </c>
      <c r="T345">
        <f t="shared" si="62"/>
        <v>13.772599999999999</v>
      </c>
      <c r="U345">
        <f t="shared" si="63"/>
        <v>21.855876666</v>
      </c>
      <c r="X345" s="9"/>
      <c r="Y345" s="22">
        <v>0.16311600000000001</v>
      </c>
      <c r="Z345" s="22">
        <v>174.74</v>
      </c>
      <c r="AA345" s="22">
        <v>-1.72211E-2</v>
      </c>
      <c r="AB345" s="22">
        <v>335</v>
      </c>
      <c r="AC345" s="22">
        <v>0.16256699999999999</v>
      </c>
      <c r="AD345">
        <f t="shared" si="64"/>
        <v>17.2211</v>
      </c>
      <c r="AE345">
        <f t="shared" si="65"/>
        <v>2.8090369476000001</v>
      </c>
      <c r="AF345" s="9"/>
      <c r="AG345" s="22">
        <v>1.58691</v>
      </c>
      <c r="AH345" s="22">
        <v>254.273</v>
      </c>
      <c r="AI345" s="22">
        <v>-1.35345E-2</v>
      </c>
      <c r="AJ345" s="22">
        <v>335</v>
      </c>
      <c r="AK345" s="22">
        <v>1.58569</v>
      </c>
      <c r="AL345">
        <f t="shared" si="66"/>
        <v>13.5345</v>
      </c>
      <c r="AM345">
        <f t="shared" si="67"/>
        <v>21.478033395000001</v>
      </c>
      <c r="AP345" s="9"/>
      <c r="AQ345" s="22">
        <v>0.16311600000000001</v>
      </c>
      <c r="AR345" s="22">
        <v>306.68900000000002</v>
      </c>
      <c r="AS345" s="22">
        <v>-1.6912799999999999E-2</v>
      </c>
      <c r="AT345" s="22">
        <v>335</v>
      </c>
      <c r="AU345" s="22">
        <v>0.16256699999999999</v>
      </c>
      <c r="AV345">
        <f t="shared" si="68"/>
        <v>16.912799999999997</v>
      </c>
      <c r="AW345">
        <f t="shared" si="69"/>
        <v>2.7587482847999998</v>
      </c>
      <c r="AX345" s="9"/>
      <c r="AY345" s="22">
        <v>1.58691</v>
      </c>
      <c r="AZ345" s="22">
        <v>385.92</v>
      </c>
      <c r="BA345" s="22">
        <v>-1.33759E-2</v>
      </c>
      <c r="BB345" s="22">
        <v>335</v>
      </c>
      <c r="BC345" s="22">
        <v>1.5863</v>
      </c>
      <c r="BD345">
        <f t="shared" si="70"/>
        <v>13.3759</v>
      </c>
      <c r="BE345">
        <f t="shared" si="71"/>
        <v>21.226349468999999</v>
      </c>
    </row>
    <row r="346" spans="6:57">
      <c r="F346" s="9"/>
      <c r="G346" s="22">
        <v>0.158081</v>
      </c>
      <c r="H346" s="22">
        <v>57.488199999999999</v>
      </c>
      <c r="I346" s="22">
        <v>-1.7340100000000001E-2</v>
      </c>
      <c r="J346" s="22">
        <v>336</v>
      </c>
      <c r="K346" s="22">
        <v>0.15756200000000001</v>
      </c>
      <c r="L346">
        <f t="shared" si="60"/>
        <v>17.3401</v>
      </c>
      <c r="M346">
        <f t="shared" si="61"/>
        <v>2.7411403481000001</v>
      </c>
      <c r="N346" s="9"/>
      <c r="O346" s="22">
        <v>1.59195</v>
      </c>
      <c r="P346" s="22">
        <v>112.884</v>
      </c>
      <c r="Q346" s="22">
        <v>-1.36475E-2</v>
      </c>
      <c r="R346" s="22">
        <v>336</v>
      </c>
      <c r="S346" s="22">
        <v>1.5914900000000001</v>
      </c>
      <c r="T346">
        <f t="shared" si="62"/>
        <v>13.647499999999999</v>
      </c>
      <c r="U346">
        <f t="shared" si="63"/>
        <v>21.726137625</v>
      </c>
      <c r="X346" s="9"/>
      <c r="Y346" s="22">
        <v>0.158081</v>
      </c>
      <c r="Z346" s="22">
        <v>174.84100000000001</v>
      </c>
      <c r="AA346" s="22">
        <v>-1.7208899999999999E-2</v>
      </c>
      <c r="AB346" s="22">
        <v>336</v>
      </c>
      <c r="AC346" s="22">
        <v>0.15762300000000001</v>
      </c>
      <c r="AD346">
        <f t="shared" si="64"/>
        <v>17.2089</v>
      </c>
      <c r="AE346">
        <f t="shared" si="65"/>
        <v>2.7204001208999999</v>
      </c>
      <c r="AF346" s="9"/>
      <c r="AG346" s="22">
        <v>1.59195</v>
      </c>
      <c r="AH346" s="22">
        <v>254.37299999999999</v>
      </c>
      <c r="AI346" s="22">
        <v>-1.3418599999999999E-2</v>
      </c>
      <c r="AJ346" s="22">
        <v>336</v>
      </c>
      <c r="AK346" s="22">
        <v>1.5908800000000001</v>
      </c>
      <c r="AL346">
        <f t="shared" si="66"/>
        <v>13.4186</v>
      </c>
      <c r="AM346">
        <f t="shared" si="67"/>
        <v>21.361740269999999</v>
      </c>
      <c r="AP346" s="9"/>
      <c r="AQ346" s="22">
        <v>0.158081</v>
      </c>
      <c r="AR346" s="22">
        <v>306.79000000000002</v>
      </c>
      <c r="AS346" s="22">
        <v>-1.6912799999999999E-2</v>
      </c>
      <c r="AT346" s="22">
        <v>336</v>
      </c>
      <c r="AU346" s="22">
        <v>0.157501</v>
      </c>
      <c r="AV346">
        <f t="shared" si="68"/>
        <v>16.912799999999997</v>
      </c>
      <c r="AW346">
        <f t="shared" si="69"/>
        <v>2.6735923367999996</v>
      </c>
      <c r="AX346" s="9"/>
      <c r="AY346" s="22">
        <v>1.59195</v>
      </c>
      <c r="AZ346" s="22">
        <v>386.02</v>
      </c>
      <c r="BA346" s="22">
        <v>-1.32996E-2</v>
      </c>
      <c r="BB346" s="22">
        <v>336</v>
      </c>
      <c r="BC346" s="22">
        <v>1.5911900000000001</v>
      </c>
      <c r="BD346">
        <f t="shared" si="70"/>
        <v>13.2996</v>
      </c>
      <c r="BE346">
        <f t="shared" si="71"/>
        <v>21.172298219999998</v>
      </c>
    </row>
    <row r="347" spans="6:57">
      <c r="F347" s="9"/>
      <c r="G347" s="22">
        <v>0.15304599999999999</v>
      </c>
      <c r="H347" s="22">
        <v>57.588900000000002</v>
      </c>
      <c r="I347" s="22">
        <v>-1.7309600000000001E-2</v>
      </c>
      <c r="J347" s="22">
        <v>337</v>
      </c>
      <c r="K347" s="22">
        <v>0.15249599999999999</v>
      </c>
      <c r="L347">
        <f t="shared" si="60"/>
        <v>17.3096</v>
      </c>
      <c r="M347">
        <f t="shared" si="61"/>
        <v>2.6491650415999999</v>
      </c>
      <c r="N347" s="9"/>
      <c r="O347" s="22">
        <v>1.5969800000000001</v>
      </c>
      <c r="P347" s="22">
        <v>112.985</v>
      </c>
      <c r="Q347" s="22">
        <v>-1.3528399999999999E-2</v>
      </c>
      <c r="R347" s="22">
        <v>337</v>
      </c>
      <c r="S347" s="22">
        <v>1.5966800000000001</v>
      </c>
      <c r="T347">
        <f t="shared" si="62"/>
        <v>13.5284</v>
      </c>
      <c r="U347">
        <f t="shared" si="63"/>
        <v>21.604584232000001</v>
      </c>
      <c r="X347" s="9"/>
      <c r="Y347" s="22">
        <v>0.15304599999999999</v>
      </c>
      <c r="Z347" s="22">
        <v>174.94200000000001</v>
      </c>
      <c r="AA347" s="22">
        <v>-1.7184399999999999E-2</v>
      </c>
      <c r="AB347" s="22">
        <v>337</v>
      </c>
      <c r="AC347" s="22">
        <v>0.152557</v>
      </c>
      <c r="AD347">
        <f t="shared" si="64"/>
        <v>17.1844</v>
      </c>
      <c r="AE347">
        <f t="shared" si="65"/>
        <v>2.6300036823999999</v>
      </c>
      <c r="AF347" s="9"/>
      <c r="AG347" s="22">
        <v>1.5969800000000001</v>
      </c>
      <c r="AH347" s="22">
        <v>254.47399999999999</v>
      </c>
      <c r="AI347" s="22">
        <v>-1.3284300000000001E-2</v>
      </c>
      <c r="AJ347" s="22">
        <v>337</v>
      </c>
      <c r="AK347" s="22">
        <v>1.5963700000000001</v>
      </c>
      <c r="AL347">
        <f t="shared" si="66"/>
        <v>13.2843</v>
      </c>
      <c r="AM347">
        <f t="shared" si="67"/>
        <v>21.214761414000002</v>
      </c>
      <c r="AP347" s="9"/>
      <c r="AQ347" s="22">
        <v>0.15304599999999999</v>
      </c>
      <c r="AR347" s="22">
        <v>306.89100000000002</v>
      </c>
      <c r="AS347" s="22">
        <v>-1.6888400000000001E-2</v>
      </c>
      <c r="AT347" s="22">
        <v>337</v>
      </c>
      <c r="AU347" s="22">
        <v>0.15249599999999999</v>
      </c>
      <c r="AV347">
        <f t="shared" si="68"/>
        <v>16.888400000000001</v>
      </c>
      <c r="AW347">
        <f t="shared" si="69"/>
        <v>2.5847020663999998</v>
      </c>
      <c r="AX347" s="9"/>
      <c r="AY347" s="22">
        <v>1.5969800000000001</v>
      </c>
      <c r="AZ347" s="22">
        <v>386.12099999999998</v>
      </c>
      <c r="BA347" s="22">
        <v>-1.315E-2</v>
      </c>
      <c r="BB347" s="22">
        <v>337</v>
      </c>
      <c r="BC347" s="22">
        <v>1.5963700000000001</v>
      </c>
      <c r="BD347">
        <f t="shared" si="70"/>
        <v>13.15</v>
      </c>
      <c r="BE347">
        <f t="shared" si="71"/>
        <v>21.000287</v>
      </c>
    </row>
    <row r="348" spans="6:57">
      <c r="F348" s="9"/>
      <c r="G348" s="22">
        <v>0.14801</v>
      </c>
      <c r="H348" s="22">
        <v>57.689599999999999</v>
      </c>
      <c r="I348" s="22">
        <v>-1.7297400000000001E-2</v>
      </c>
      <c r="J348" s="22">
        <v>338</v>
      </c>
      <c r="K348" s="22">
        <v>0.147705</v>
      </c>
      <c r="L348">
        <f t="shared" si="60"/>
        <v>17.2974</v>
      </c>
      <c r="M348">
        <f t="shared" si="61"/>
        <v>2.5601881739999999</v>
      </c>
      <c r="N348" s="9"/>
      <c r="O348" s="22">
        <v>1.60202</v>
      </c>
      <c r="P348" s="22">
        <v>113.08499999999999</v>
      </c>
      <c r="Q348" s="22">
        <v>-1.33911E-2</v>
      </c>
      <c r="R348" s="22">
        <v>338</v>
      </c>
      <c r="S348" s="22">
        <v>1.6015600000000001</v>
      </c>
      <c r="T348">
        <f t="shared" si="62"/>
        <v>13.3911</v>
      </c>
      <c r="U348">
        <f t="shared" si="63"/>
        <v>21.452810022000001</v>
      </c>
      <c r="X348" s="9"/>
      <c r="Y348" s="22">
        <v>0.14801</v>
      </c>
      <c r="Z348" s="22">
        <v>175.042</v>
      </c>
      <c r="AA348" s="22">
        <v>-1.7227200000000002E-2</v>
      </c>
      <c r="AB348" s="22">
        <v>338</v>
      </c>
      <c r="AC348" s="22">
        <v>0.14749100000000001</v>
      </c>
      <c r="AD348">
        <f t="shared" si="64"/>
        <v>17.2272</v>
      </c>
      <c r="AE348">
        <f t="shared" si="65"/>
        <v>2.5497978720000001</v>
      </c>
      <c r="AF348" s="9"/>
      <c r="AG348" s="22">
        <v>1.60202</v>
      </c>
      <c r="AH348" s="22">
        <v>254.57499999999999</v>
      </c>
      <c r="AI348" s="22">
        <v>-1.31714E-2</v>
      </c>
      <c r="AJ348" s="22">
        <v>338</v>
      </c>
      <c r="AK348" s="22">
        <v>1.6012599999999999</v>
      </c>
      <c r="AL348">
        <f t="shared" si="66"/>
        <v>13.1714</v>
      </c>
      <c r="AM348">
        <f t="shared" si="67"/>
        <v>21.100846228000002</v>
      </c>
      <c r="AP348" s="9"/>
      <c r="AQ348" s="22">
        <v>0.14801</v>
      </c>
      <c r="AR348" s="22">
        <v>306.99200000000002</v>
      </c>
      <c r="AS348" s="22">
        <v>-1.6909799999999999E-2</v>
      </c>
      <c r="AT348" s="22">
        <v>338</v>
      </c>
      <c r="AU348" s="22">
        <v>0.14755199999999999</v>
      </c>
      <c r="AV348">
        <f t="shared" si="68"/>
        <v>16.909800000000001</v>
      </c>
      <c r="AW348">
        <f t="shared" si="69"/>
        <v>2.502819498</v>
      </c>
      <c r="AX348" s="9"/>
      <c r="AY348" s="22">
        <v>1.60202</v>
      </c>
      <c r="AZ348" s="22">
        <v>386.22199999999998</v>
      </c>
      <c r="BA348" s="22">
        <v>-1.3018800000000001E-2</v>
      </c>
      <c r="BB348" s="22">
        <v>338</v>
      </c>
      <c r="BC348" s="22">
        <v>1.6012599999999999</v>
      </c>
      <c r="BD348">
        <f t="shared" si="70"/>
        <v>13.018800000000001</v>
      </c>
      <c r="BE348">
        <f t="shared" si="71"/>
        <v>20.856377976000001</v>
      </c>
    </row>
    <row r="349" spans="6:57">
      <c r="F349" s="9"/>
      <c r="G349" s="22">
        <v>0.14297499999999999</v>
      </c>
      <c r="H349" s="22">
        <v>57.790300000000002</v>
      </c>
      <c r="I349" s="22">
        <v>-1.7279099999999999E-2</v>
      </c>
      <c r="J349" s="22">
        <v>339</v>
      </c>
      <c r="K349" s="22">
        <v>0.142487</v>
      </c>
      <c r="L349">
        <f t="shared" si="60"/>
        <v>17.2791</v>
      </c>
      <c r="M349">
        <f t="shared" si="61"/>
        <v>2.4704793224999997</v>
      </c>
      <c r="N349" s="9"/>
      <c r="O349" s="22">
        <v>1.6070599999999999</v>
      </c>
      <c r="P349" s="22">
        <v>113.18600000000001</v>
      </c>
      <c r="Q349" s="22">
        <v>-1.3281299999999999E-2</v>
      </c>
      <c r="R349" s="22">
        <v>339</v>
      </c>
      <c r="S349" s="22">
        <v>1.6061399999999999</v>
      </c>
      <c r="T349">
        <f t="shared" si="62"/>
        <v>13.2813</v>
      </c>
      <c r="U349">
        <f t="shared" si="63"/>
        <v>21.343845977999997</v>
      </c>
      <c r="X349" s="9"/>
      <c r="Y349" s="22">
        <v>0.14297499999999999</v>
      </c>
      <c r="Z349" s="22">
        <v>175.143</v>
      </c>
      <c r="AA349" s="22">
        <v>-1.71936E-2</v>
      </c>
      <c r="AB349" s="22">
        <v>339</v>
      </c>
      <c r="AC349" s="22">
        <v>0.142456</v>
      </c>
      <c r="AD349">
        <f t="shared" si="64"/>
        <v>17.1936</v>
      </c>
      <c r="AE349">
        <f t="shared" si="65"/>
        <v>2.4582549599999997</v>
      </c>
      <c r="AF349" s="9"/>
      <c r="AG349" s="22">
        <v>1.6070599999999999</v>
      </c>
      <c r="AH349" s="22">
        <v>254.67500000000001</v>
      </c>
      <c r="AI349" s="22">
        <v>-1.30402E-2</v>
      </c>
      <c r="AJ349" s="22">
        <v>339</v>
      </c>
      <c r="AK349" s="22">
        <v>1.6067499999999999</v>
      </c>
      <c r="AL349">
        <f t="shared" si="66"/>
        <v>13.0402</v>
      </c>
      <c r="AM349">
        <f t="shared" si="67"/>
        <v>20.956383811999999</v>
      </c>
      <c r="AP349" s="9"/>
      <c r="AQ349" s="22">
        <v>0.14297499999999999</v>
      </c>
      <c r="AR349" s="22">
        <v>307.09199999999998</v>
      </c>
      <c r="AS349" s="22">
        <v>-1.6922E-2</v>
      </c>
      <c r="AT349" s="22">
        <v>339</v>
      </c>
      <c r="AU349" s="22">
        <v>0.142426</v>
      </c>
      <c r="AV349">
        <f t="shared" si="68"/>
        <v>16.922000000000001</v>
      </c>
      <c r="AW349">
        <f t="shared" si="69"/>
        <v>2.41942295</v>
      </c>
      <c r="AX349" s="9"/>
      <c r="AY349" s="22">
        <v>1.6070599999999999</v>
      </c>
      <c r="AZ349" s="22">
        <v>386.32299999999998</v>
      </c>
      <c r="BA349" s="22">
        <v>-1.2899799999999999E-2</v>
      </c>
      <c r="BB349" s="22">
        <v>339</v>
      </c>
      <c r="BC349" s="22">
        <v>1.6061399999999999</v>
      </c>
      <c r="BD349">
        <f t="shared" si="70"/>
        <v>12.899799999999999</v>
      </c>
      <c r="BE349">
        <f t="shared" si="71"/>
        <v>20.730752587999998</v>
      </c>
    </row>
    <row r="350" spans="6:57">
      <c r="F350" s="9"/>
      <c r="G350" s="22">
        <v>0.13793900000000001</v>
      </c>
      <c r="H350" s="22">
        <v>57.890999999999998</v>
      </c>
      <c r="I350" s="22">
        <v>-1.73431E-2</v>
      </c>
      <c r="J350" s="22">
        <v>340</v>
      </c>
      <c r="K350" s="22">
        <v>0.13745099999999999</v>
      </c>
      <c r="L350">
        <f t="shared" si="60"/>
        <v>17.3431</v>
      </c>
      <c r="M350">
        <f t="shared" si="61"/>
        <v>2.3922898709</v>
      </c>
      <c r="N350" s="9"/>
      <c r="O350" s="22">
        <v>1.61209</v>
      </c>
      <c r="P350" s="22">
        <v>113.28700000000001</v>
      </c>
      <c r="Q350" s="22">
        <v>-1.3159199999999999E-2</v>
      </c>
      <c r="R350" s="22">
        <v>340</v>
      </c>
      <c r="S350" s="22">
        <v>1.6116299999999999</v>
      </c>
      <c r="T350">
        <f t="shared" si="62"/>
        <v>13.1592</v>
      </c>
      <c r="U350">
        <f t="shared" si="63"/>
        <v>21.213814727999999</v>
      </c>
      <c r="X350" s="9"/>
      <c r="Y350" s="22">
        <v>0.13793900000000001</v>
      </c>
      <c r="Z350" s="22">
        <v>175.244</v>
      </c>
      <c r="AA350" s="22">
        <v>-1.71906E-2</v>
      </c>
      <c r="AB350" s="22">
        <v>340</v>
      </c>
      <c r="AC350" s="22">
        <v>0.13742099999999999</v>
      </c>
      <c r="AD350">
        <f t="shared" si="64"/>
        <v>17.1906</v>
      </c>
      <c r="AE350">
        <f t="shared" si="65"/>
        <v>2.3712541734000001</v>
      </c>
      <c r="AF350" s="9"/>
      <c r="AG350" s="22">
        <v>1.61209</v>
      </c>
      <c r="AH350" s="22">
        <v>254.77600000000001</v>
      </c>
      <c r="AI350" s="22">
        <v>-1.2914999999999999E-2</v>
      </c>
      <c r="AJ350" s="22">
        <v>340</v>
      </c>
      <c r="AK350" s="22">
        <v>1.6107199999999999</v>
      </c>
      <c r="AL350">
        <f t="shared" si="66"/>
        <v>12.914999999999999</v>
      </c>
      <c r="AM350">
        <f t="shared" si="67"/>
        <v>20.820142349999998</v>
      </c>
      <c r="AP350" s="9"/>
      <c r="AQ350" s="22">
        <v>0.13793900000000001</v>
      </c>
      <c r="AR350" s="22">
        <v>307.19299999999998</v>
      </c>
      <c r="AS350" s="22">
        <v>-1.6915900000000001E-2</v>
      </c>
      <c r="AT350" s="22">
        <v>340</v>
      </c>
      <c r="AU350" s="22">
        <v>0.137299</v>
      </c>
      <c r="AV350">
        <f t="shared" si="68"/>
        <v>16.915900000000001</v>
      </c>
      <c r="AW350">
        <f t="shared" si="69"/>
        <v>2.3333623301000004</v>
      </c>
      <c r="AX350" s="9"/>
      <c r="AY350" s="22">
        <v>1.61209</v>
      </c>
      <c r="AZ350" s="22">
        <v>386.423</v>
      </c>
      <c r="BA350" s="22">
        <v>-1.27502E-2</v>
      </c>
      <c r="BB350" s="22">
        <v>340</v>
      </c>
      <c r="BC350" s="22">
        <v>1.6110199999999999</v>
      </c>
      <c r="BD350">
        <f t="shared" si="70"/>
        <v>12.7502</v>
      </c>
      <c r="BE350">
        <f t="shared" si="71"/>
        <v>20.554469917999999</v>
      </c>
    </row>
    <row r="351" spans="6:57">
      <c r="F351" s="9"/>
      <c r="G351" s="22">
        <v>0.13290399999999999</v>
      </c>
      <c r="H351" s="22">
        <v>57.991700000000002</v>
      </c>
      <c r="I351" s="22">
        <v>-1.7309600000000001E-2</v>
      </c>
      <c r="J351" s="22">
        <v>341</v>
      </c>
      <c r="K351" s="22">
        <v>0.132324</v>
      </c>
      <c r="L351">
        <f t="shared" si="60"/>
        <v>17.3096</v>
      </c>
      <c r="M351">
        <f t="shared" si="61"/>
        <v>2.3005150783999997</v>
      </c>
      <c r="N351" s="9"/>
      <c r="O351" s="22">
        <v>1.61713</v>
      </c>
      <c r="P351" s="22">
        <v>113.38800000000001</v>
      </c>
      <c r="Q351" s="22">
        <v>-1.3003499999999999E-2</v>
      </c>
      <c r="R351" s="22">
        <v>341</v>
      </c>
      <c r="S351" s="22">
        <v>1.61652</v>
      </c>
      <c r="T351">
        <f t="shared" si="62"/>
        <v>13.003499999999999</v>
      </c>
      <c r="U351">
        <f t="shared" si="63"/>
        <v>21.028349954999999</v>
      </c>
      <c r="X351" s="9"/>
      <c r="Y351" s="22">
        <v>0.13290399999999999</v>
      </c>
      <c r="Z351" s="22">
        <v>175.345</v>
      </c>
      <c r="AA351" s="22">
        <v>-1.7199699999999998E-2</v>
      </c>
      <c r="AB351" s="22">
        <v>341</v>
      </c>
      <c r="AC351" s="22">
        <v>0.132324</v>
      </c>
      <c r="AD351">
        <f t="shared" si="64"/>
        <v>17.1997</v>
      </c>
      <c r="AE351">
        <f t="shared" si="65"/>
        <v>2.2859089288000001</v>
      </c>
      <c r="AF351" s="9"/>
      <c r="AG351" s="22">
        <v>1.61713</v>
      </c>
      <c r="AH351" s="22">
        <v>254.87700000000001</v>
      </c>
      <c r="AI351" s="22">
        <v>-1.27563E-2</v>
      </c>
      <c r="AJ351" s="22">
        <v>341</v>
      </c>
      <c r="AK351" s="22">
        <v>1.61652</v>
      </c>
      <c r="AL351">
        <f t="shared" si="66"/>
        <v>12.7563</v>
      </c>
      <c r="AM351">
        <f t="shared" si="67"/>
        <v>20.628595419</v>
      </c>
      <c r="AP351" s="9"/>
      <c r="AQ351" s="22">
        <v>0.13290399999999999</v>
      </c>
      <c r="AR351" s="22">
        <v>307.29399999999998</v>
      </c>
      <c r="AS351" s="22">
        <v>-1.6943400000000001E-2</v>
      </c>
      <c r="AT351" s="22">
        <v>341</v>
      </c>
      <c r="AU351" s="22">
        <v>0.13247700000000001</v>
      </c>
      <c r="AV351">
        <f t="shared" si="68"/>
        <v>16.9434</v>
      </c>
      <c r="AW351">
        <f t="shared" si="69"/>
        <v>2.2518456335999999</v>
      </c>
      <c r="AX351" s="9"/>
      <c r="AY351" s="22">
        <v>1.61713</v>
      </c>
      <c r="AZ351" s="22">
        <v>386.524</v>
      </c>
      <c r="BA351" s="22">
        <v>-1.26099E-2</v>
      </c>
      <c r="BB351" s="22">
        <v>341</v>
      </c>
      <c r="BC351" s="22">
        <v>1.61652</v>
      </c>
      <c r="BD351">
        <f t="shared" si="70"/>
        <v>12.6099</v>
      </c>
      <c r="BE351">
        <f t="shared" si="71"/>
        <v>20.391847586999997</v>
      </c>
    </row>
    <row r="352" spans="6:57">
      <c r="F352" s="9"/>
      <c r="G352" s="22">
        <v>0.12786900000000001</v>
      </c>
      <c r="H352" s="22">
        <v>58.092399999999998</v>
      </c>
      <c r="I352" s="22">
        <v>-1.7340100000000001E-2</v>
      </c>
      <c r="J352" s="22">
        <v>342</v>
      </c>
      <c r="K352" s="22">
        <v>0.127411</v>
      </c>
      <c r="L352">
        <f t="shared" si="60"/>
        <v>17.3401</v>
      </c>
      <c r="M352">
        <f t="shared" si="61"/>
        <v>2.2172612469000001</v>
      </c>
      <c r="N352" s="9"/>
      <c r="O352" s="22">
        <v>1.62216</v>
      </c>
      <c r="P352" s="22">
        <v>113.488</v>
      </c>
      <c r="Q352" s="22">
        <v>-1.28418E-2</v>
      </c>
      <c r="R352" s="22">
        <v>342</v>
      </c>
      <c r="S352" s="22">
        <v>1.6214</v>
      </c>
      <c r="T352">
        <f t="shared" si="62"/>
        <v>12.841800000000001</v>
      </c>
      <c r="U352">
        <f t="shared" si="63"/>
        <v>20.831454288000003</v>
      </c>
      <c r="X352" s="9"/>
      <c r="Y352" s="22">
        <v>0.12786900000000001</v>
      </c>
      <c r="Z352" s="22">
        <v>175.44499999999999</v>
      </c>
      <c r="AA352" s="22">
        <v>-1.7184399999999999E-2</v>
      </c>
      <c r="AB352" s="22">
        <v>342</v>
      </c>
      <c r="AC352" s="22">
        <v>0.12734999999999999</v>
      </c>
      <c r="AD352">
        <f t="shared" si="64"/>
        <v>17.1844</v>
      </c>
      <c r="AE352">
        <f t="shared" si="65"/>
        <v>2.1973520436</v>
      </c>
      <c r="AF352" s="9"/>
      <c r="AG352" s="22">
        <v>1.62216</v>
      </c>
      <c r="AH352" s="22">
        <v>254.97800000000001</v>
      </c>
      <c r="AI352" s="22">
        <v>-1.2594599999999999E-2</v>
      </c>
      <c r="AJ352" s="22">
        <v>342</v>
      </c>
      <c r="AK352" s="22">
        <v>1.6216999999999999</v>
      </c>
      <c r="AL352">
        <f t="shared" si="66"/>
        <v>12.5946</v>
      </c>
      <c r="AM352">
        <f t="shared" si="67"/>
        <v>20.430456335999999</v>
      </c>
      <c r="AP352" s="9"/>
      <c r="AQ352" s="22">
        <v>0.12786900000000001</v>
      </c>
      <c r="AR352" s="22">
        <v>307.39400000000001</v>
      </c>
      <c r="AS352" s="22">
        <v>-1.6924999999999999E-2</v>
      </c>
      <c r="AT352" s="22">
        <v>342</v>
      </c>
      <c r="AU352" s="22">
        <v>0.12728900000000001</v>
      </c>
      <c r="AV352">
        <f t="shared" si="68"/>
        <v>16.925000000000001</v>
      </c>
      <c r="AW352">
        <f t="shared" si="69"/>
        <v>2.1641828250000001</v>
      </c>
      <c r="AX352" s="9"/>
      <c r="AY352" s="22">
        <v>1.62216</v>
      </c>
      <c r="AZ352" s="22">
        <v>386.625</v>
      </c>
      <c r="BA352" s="22">
        <v>-1.24817E-2</v>
      </c>
      <c r="BB352" s="22">
        <v>342</v>
      </c>
      <c r="BC352" s="22">
        <v>1.62201</v>
      </c>
      <c r="BD352">
        <f t="shared" si="70"/>
        <v>12.4817</v>
      </c>
      <c r="BE352">
        <f t="shared" si="71"/>
        <v>20.247314471999999</v>
      </c>
    </row>
    <row r="353" spans="6:57">
      <c r="F353" s="9"/>
      <c r="G353" s="22">
        <v>0.122833</v>
      </c>
      <c r="H353" s="22">
        <v>58.193100000000001</v>
      </c>
      <c r="I353" s="22">
        <v>-1.73004E-2</v>
      </c>
      <c r="J353" s="22">
        <v>343</v>
      </c>
      <c r="K353" s="22">
        <v>0.12216200000000001</v>
      </c>
      <c r="L353">
        <f t="shared" si="60"/>
        <v>17.3004</v>
      </c>
      <c r="M353">
        <f t="shared" si="61"/>
        <v>2.1250600332</v>
      </c>
      <c r="N353" s="9"/>
      <c r="O353" s="22">
        <v>1.6272</v>
      </c>
      <c r="P353" s="22">
        <v>113.589</v>
      </c>
      <c r="Q353" s="22">
        <v>-1.27197E-2</v>
      </c>
      <c r="R353" s="22">
        <v>343</v>
      </c>
      <c r="S353" s="22">
        <v>1.62598</v>
      </c>
      <c r="T353">
        <f t="shared" si="62"/>
        <v>12.7197</v>
      </c>
      <c r="U353">
        <f t="shared" si="63"/>
        <v>20.697495839999998</v>
      </c>
      <c r="X353" s="9"/>
      <c r="Y353" s="22">
        <v>0.122833</v>
      </c>
      <c r="Z353" s="22">
        <v>175.54599999999999</v>
      </c>
      <c r="AA353" s="22">
        <v>-1.7196699999999999E-2</v>
      </c>
      <c r="AB353" s="22">
        <v>343</v>
      </c>
      <c r="AC353" s="22">
        <v>0.122223</v>
      </c>
      <c r="AD353">
        <f t="shared" si="64"/>
        <v>17.1967</v>
      </c>
      <c r="AE353">
        <f t="shared" si="65"/>
        <v>2.1123222511000002</v>
      </c>
      <c r="AF353" s="9"/>
      <c r="AG353" s="22">
        <v>1.6272</v>
      </c>
      <c r="AH353" s="22">
        <v>255.078</v>
      </c>
      <c r="AI353" s="22">
        <v>-1.2472499999999999E-2</v>
      </c>
      <c r="AJ353" s="22">
        <v>343</v>
      </c>
      <c r="AK353" s="22">
        <v>1.6262799999999999</v>
      </c>
      <c r="AL353">
        <f t="shared" si="66"/>
        <v>12.472499999999998</v>
      </c>
      <c r="AM353">
        <f t="shared" si="67"/>
        <v>20.295251999999998</v>
      </c>
      <c r="AP353" s="9"/>
      <c r="AQ353" s="22">
        <v>0.122833</v>
      </c>
      <c r="AR353" s="22">
        <v>307.495</v>
      </c>
      <c r="AS353" s="22">
        <v>-1.6964699999999999E-2</v>
      </c>
      <c r="AT353" s="22">
        <v>343</v>
      </c>
      <c r="AU353" s="22">
        <v>0.122253</v>
      </c>
      <c r="AV353">
        <f t="shared" si="68"/>
        <v>16.964700000000001</v>
      </c>
      <c r="AW353">
        <f t="shared" si="69"/>
        <v>2.0838249951000001</v>
      </c>
      <c r="AX353" s="9"/>
      <c r="AY353" s="22">
        <v>1.6272</v>
      </c>
      <c r="AZ353" s="22">
        <v>386.72500000000002</v>
      </c>
      <c r="BA353" s="22">
        <v>-1.23169E-2</v>
      </c>
      <c r="BB353" s="22">
        <v>343</v>
      </c>
      <c r="BC353" s="22">
        <v>1.62598</v>
      </c>
      <c r="BD353">
        <f t="shared" si="70"/>
        <v>12.3169</v>
      </c>
      <c r="BE353">
        <f t="shared" si="71"/>
        <v>20.042059680000001</v>
      </c>
    </row>
    <row r="354" spans="6:57">
      <c r="F354" s="9"/>
      <c r="G354" s="22">
        <v>0.117798</v>
      </c>
      <c r="H354" s="22">
        <v>58.293900000000001</v>
      </c>
      <c r="I354" s="22">
        <v>-1.7272900000000001E-2</v>
      </c>
      <c r="J354" s="22">
        <v>344</v>
      </c>
      <c r="K354" s="22">
        <v>0.11727899999999999</v>
      </c>
      <c r="L354">
        <f t="shared" si="60"/>
        <v>17.2729</v>
      </c>
      <c r="M354">
        <f t="shared" si="61"/>
        <v>2.0347130741999999</v>
      </c>
      <c r="N354" s="9"/>
      <c r="O354" s="22">
        <v>1.6322300000000001</v>
      </c>
      <c r="P354" s="22">
        <v>113.69</v>
      </c>
      <c r="Q354" s="22">
        <v>-1.2545799999999999E-2</v>
      </c>
      <c r="R354" s="22">
        <v>344</v>
      </c>
      <c r="S354" s="22">
        <v>1.6317699999999999</v>
      </c>
      <c r="T354">
        <f t="shared" si="62"/>
        <v>12.5458</v>
      </c>
      <c r="U354">
        <f t="shared" si="63"/>
        <v>20.477631133999999</v>
      </c>
      <c r="X354" s="9"/>
      <c r="Y354" s="22">
        <v>0.117798</v>
      </c>
      <c r="Z354" s="22">
        <v>175.64699999999999</v>
      </c>
      <c r="AA354" s="22">
        <v>-1.7239399999999998E-2</v>
      </c>
      <c r="AB354" s="22">
        <v>344</v>
      </c>
      <c r="AC354" s="22">
        <v>0.11727899999999999</v>
      </c>
      <c r="AD354">
        <f t="shared" si="64"/>
        <v>17.2394</v>
      </c>
      <c r="AE354">
        <f t="shared" si="65"/>
        <v>2.0307668412000002</v>
      </c>
      <c r="AF354" s="9"/>
      <c r="AG354" s="22">
        <v>1.6322300000000001</v>
      </c>
      <c r="AH354" s="22">
        <v>255.179</v>
      </c>
      <c r="AI354" s="22">
        <v>-1.2289400000000001E-2</v>
      </c>
      <c r="AJ354" s="22">
        <v>344</v>
      </c>
      <c r="AK354" s="22">
        <v>1.63147</v>
      </c>
      <c r="AL354">
        <f t="shared" si="66"/>
        <v>12.289400000000001</v>
      </c>
      <c r="AM354">
        <f t="shared" si="67"/>
        <v>20.059127362000002</v>
      </c>
      <c r="AP354" s="9"/>
      <c r="AQ354" s="22">
        <v>0.117798</v>
      </c>
      <c r="AR354" s="22">
        <v>307.596</v>
      </c>
      <c r="AS354" s="22">
        <v>-1.6937299999999999E-2</v>
      </c>
      <c r="AT354" s="22">
        <v>344</v>
      </c>
      <c r="AU354" s="22">
        <v>0.117218</v>
      </c>
      <c r="AV354">
        <f t="shared" si="68"/>
        <v>16.9373</v>
      </c>
      <c r="AW354">
        <f t="shared" si="69"/>
        <v>1.9951800654</v>
      </c>
      <c r="AX354" s="9"/>
      <c r="AY354" s="22">
        <v>1.6322300000000001</v>
      </c>
      <c r="AZ354" s="22">
        <v>386.82600000000002</v>
      </c>
      <c r="BA354" s="22">
        <v>-1.2185700000000001E-2</v>
      </c>
      <c r="BB354" s="22">
        <v>344</v>
      </c>
      <c r="BC354" s="22">
        <v>1.63147</v>
      </c>
      <c r="BD354">
        <f t="shared" si="70"/>
        <v>12.185700000000001</v>
      </c>
      <c r="BE354">
        <f t="shared" si="71"/>
        <v>19.889865111000002</v>
      </c>
    </row>
    <row r="355" spans="6:57">
      <c r="F355" s="9"/>
      <c r="G355" s="22">
        <v>0.112762</v>
      </c>
      <c r="H355" s="22">
        <v>58.394599999999997</v>
      </c>
      <c r="I355" s="22">
        <v>-1.7321799999999998E-2</v>
      </c>
      <c r="J355" s="22">
        <v>345</v>
      </c>
      <c r="K355" s="22">
        <v>0.11236599999999999</v>
      </c>
      <c r="L355">
        <f t="shared" si="60"/>
        <v>17.3218</v>
      </c>
      <c r="M355">
        <f t="shared" si="61"/>
        <v>1.9532408116</v>
      </c>
      <c r="N355" s="9"/>
      <c r="O355" s="22">
        <v>1.63727</v>
      </c>
      <c r="P355" s="22">
        <v>113.79</v>
      </c>
      <c r="Q355" s="22">
        <v>-1.2377900000000001E-2</v>
      </c>
      <c r="R355" s="22">
        <v>345</v>
      </c>
      <c r="S355" s="22">
        <v>1.63635</v>
      </c>
      <c r="T355">
        <f t="shared" si="62"/>
        <v>12.3779</v>
      </c>
      <c r="U355">
        <f t="shared" si="63"/>
        <v>20.265964332999999</v>
      </c>
      <c r="X355" s="9"/>
      <c r="Y355" s="22">
        <v>0.112762</v>
      </c>
      <c r="Z355" s="22">
        <v>175.74700000000001</v>
      </c>
      <c r="AA355" s="22">
        <v>-1.71906E-2</v>
      </c>
      <c r="AB355" s="22">
        <v>345</v>
      </c>
      <c r="AC355" s="22">
        <v>0.112122</v>
      </c>
      <c r="AD355">
        <f t="shared" si="64"/>
        <v>17.1906</v>
      </c>
      <c r="AE355">
        <f t="shared" si="65"/>
        <v>1.9384464372000001</v>
      </c>
      <c r="AF355" s="9"/>
      <c r="AG355" s="22">
        <v>1.63727</v>
      </c>
      <c r="AH355" s="22">
        <v>255.28</v>
      </c>
      <c r="AI355" s="22">
        <v>-1.2103300000000001E-2</v>
      </c>
      <c r="AJ355" s="22">
        <v>345</v>
      </c>
      <c r="AK355" s="22">
        <v>1.63635</v>
      </c>
      <c r="AL355">
        <f t="shared" si="66"/>
        <v>12.103300000000001</v>
      </c>
      <c r="AM355">
        <f t="shared" si="67"/>
        <v>19.816369991000002</v>
      </c>
      <c r="AP355" s="9"/>
      <c r="AQ355" s="22">
        <v>0.112762</v>
      </c>
      <c r="AR355" s="22">
        <v>307.69600000000003</v>
      </c>
      <c r="AS355" s="22">
        <v>-1.6943400000000001E-2</v>
      </c>
      <c r="AT355" s="22">
        <v>345</v>
      </c>
      <c r="AU355" s="22">
        <v>0.112244</v>
      </c>
      <c r="AV355">
        <f t="shared" si="68"/>
        <v>16.9434</v>
      </c>
      <c r="AW355">
        <f t="shared" si="69"/>
        <v>1.9105716708</v>
      </c>
      <c r="AX355" s="9"/>
      <c r="AY355" s="22">
        <v>1.63727</v>
      </c>
      <c r="AZ355" s="22">
        <v>386.92700000000002</v>
      </c>
      <c r="BA355" s="22">
        <v>-1.20026E-2</v>
      </c>
      <c r="BB355" s="22">
        <v>345</v>
      </c>
      <c r="BC355" s="22">
        <v>1.63666</v>
      </c>
      <c r="BD355">
        <f t="shared" si="70"/>
        <v>12.002600000000001</v>
      </c>
      <c r="BE355">
        <f t="shared" si="71"/>
        <v>19.651496902000002</v>
      </c>
    </row>
    <row r="356" spans="6:57">
      <c r="F356" s="9"/>
      <c r="G356" s="22">
        <v>0.107727</v>
      </c>
      <c r="H356" s="22">
        <v>58.4953</v>
      </c>
      <c r="I356" s="22">
        <v>-1.7340100000000001E-2</v>
      </c>
      <c r="J356" s="22">
        <v>346</v>
      </c>
      <c r="K356" s="22">
        <v>0.107239</v>
      </c>
      <c r="L356">
        <f t="shared" si="60"/>
        <v>17.3401</v>
      </c>
      <c r="M356">
        <f t="shared" si="61"/>
        <v>1.8679969527</v>
      </c>
      <c r="N356" s="9"/>
      <c r="O356" s="22">
        <v>1.6423000000000001</v>
      </c>
      <c r="P356" s="22">
        <v>113.89100000000001</v>
      </c>
      <c r="Q356" s="22">
        <v>-1.2185700000000001E-2</v>
      </c>
      <c r="R356" s="22">
        <v>346</v>
      </c>
      <c r="S356" s="22">
        <v>1.64124</v>
      </c>
      <c r="T356">
        <f t="shared" si="62"/>
        <v>12.185700000000001</v>
      </c>
      <c r="U356">
        <f t="shared" si="63"/>
        <v>20.012575110000004</v>
      </c>
      <c r="X356" s="9"/>
      <c r="Y356" s="22">
        <v>0.107727</v>
      </c>
      <c r="Z356" s="22">
        <v>175.84800000000001</v>
      </c>
      <c r="AA356" s="22">
        <v>-1.72058E-2</v>
      </c>
      <c r="AB356" s="22">
        <v>346</v>
      </c>
      <c r="AC356" s="22">
        <v>0.10714700000000001</v>
      </c>
      <c r="AD356">
        <f t="shared" si="64"/>
        <v>17.2058</v>
      </c>
      <c r="AE356">
        <f t="shared" si="65"/>
        <v>1.8535292166000001</v>
      </c>
      <c r="AF356" s="9"/>
      <c r="AG356" s="22">
        <v>1.6423000000000001</v>
      </c>
      <c r="AH356" s="22">
        <v>255.38</v>
      </c>
      <c r="AI356" s="22">
        <v>-1.19171E-2</v>
      </c>
      <c r="AJ356" s="22">
        <v>346</v>
      </c>
      <c r="AK356" s="22">
        <v>1.64124</v>
      </c>
      <c r="AL356">
        <f t="shared" si="66"/>
        <v>11.9171</v>
      </c>
      <c r="AM356">
        <f t="shared" si="67"/>
        <v>19.571453330000001</v>
      </c>
      <c r="AP356" s="9"/>
      <c r="AQ356" s="22">
        <v>0.107727</v>
      </c>
      <c r="AR356" s="22">
        <v>307.79700000000003</v>
      </c>
      <c r="AS356" s="22">
        <v>-1.6943400000000001E-2</v>
      </c>
      <c r="AT356" s="22">
        <v>346</v>
      </c>
      <c r="AU356" s="22">
        <v>0.10714700000000001</v>
      </c>
      <c r="AV356">
        <f t="shared" si="68"/>
        <v>16.9434</v>
      </c>
      <c r="AW356">
        <f t="shared" si="69"/>
        <v>1.8252616518</v>
      </c>
      <c r="AX356" s="9"/>
      <c r="AY356" s="22">
        <v>1.6423000000000001</v>
      </c>
      <c r="AZ356" s="22">
        <v>387.02699999999999</v>
      </c>
      <c r="BA356" s="22">
        <v>-1.18469E-2</v>
      </c>
      <c r="BB356" s="22">
        <v>346</v>
      </c>
      <c r="BC356" s="22">
        <v>1.64154</v>
      </c>
      <c r="BD356">
        <f t="shared" si="70"/>
        <v>11.8469</v>
      </c>
      <c r="BE356">
        <f t="shared" si="71"/>
        <v>19.456163870000001</v>
      </c>
    </row>
    <row r="357" spans="6:57">
      <c r="F357" s="9"/>
      <c r="G357" s="22">
        <v>0.10269200000000001</v>
      </c>
      <c r="H357" s="22">
        <v>58.595999999999997</v>
      </c>
      <c r="I357" s="22">
        <v>-1.73584E-2</v>
      </c>
      <c r="J357" s="22">
        <v>347</v>
      </c>
      <c r="K357" s="22">
        <v>0.102203</v>
      </c>
      <c r="L357">
        <f t="shared" si="60"/>
        <v>17.3584</v>
      </c>
      <c r="M357">
        <f t="shared" si="61"/>
        <v>1.7825688128000001</v>
      </c>
      <c r="N357" s="9"/>
      <c r="O357" s="22">
        <v>1.64734</v>
      </c>
      <c r="P357" s="22">
        <v>113.992</v>
      </c>
      <c r="Q357" s="22">
        <v>-1.20392E-2</v>
      </c>
      <c r="R357" s="22">
        <v>347</v>
      </c>
      <c r="S357" s="22">
        <v>1.64612</v>
      </c>
      <c r="T357">
        <f t="shared" si="62"/>
        <v>12.039199999999999</v>
      </c>
      <c r="U357">
        <f t="shared" si="63"/>
        <v>19.832655727999999</v>
      </c>
      <c r="X357" s="9"/>
      <c r="Y357" s="22">
        <v>0.10269200000000001</v>
      </c>
      <c r="Z357" s="22">
        <v>175.94900000000001</v>
      </c>
      <c r="AA357" s="22">
        <v>-1.7215000000000001E-2</v>
      </c>
      <c r="AB357" s="22">
        <v>347</v>
      </c>
      <c r="AC357" s="22">
        <v>0.102173</v>
      </c>
      <c r="AD357">
        <f t="shared" si="64"/>
        <v>17.215</v>
      </c>
      <c r="AE357">
        <f t="shared" si="65"/>
        <v>1.7678427800000001</v>
      </c>
      <c r="AF357" s="9"/>
      <c r="AG357" s="22">
        <v>1.64734</v>
      </c>
      <c r="AH357" s="22">
        <v>255.48099999999999</v>
      </c>
      <c r="AI357" s="22">
        <v>-1.17737E-2</v>
      </c>
      <c r="AJ357" s="22">
        <v>347</v>
      </c>
      <c r="AK357" s="22">
        <v>1.64642</v>
      </c>
      <c r="AL357">
        <f t="shared" si="66"/>
        <v>11.7737</v>
      </c>
      <c r="AM357">
        <f t="shared" si="67"/>
        <v>19.395286958</v>
      </c>
      <c r="AP357" s="9"/>
      <c r="AQ357" s="22">
        <v>0.10269200000000001</v>
      </c>
      <c r="AR357" s="22">
        <v>307.89800000000002</v>
      </c>
      <c r="AS357" s="22">
        <v>-1.6986100000000001E-2</v>
      </c>
      <c r="AT357" s="22">
        <v>347</v>
      </c>
      <c r="AU357" s="22">
        <v>0.102142</v>
      </c>
      <c r="AV357">
        <f t="shared" si="68"/>
        <v>16.9861</v>
      </c>
      <c r="AW357">
        <f t="shared" si="69"/>
        <v>1.7443365812000002</v>
      </c>
      <c r="AX357" s="9"/>
      <c r="AY357" s="22">
        <v>1.64734</v>
      </c>
      <c r="AZ357" s="22">
        <v>387.12799999999999</v>
      </c>
      <c r="BA357" s="22">
        <v>-1.1709600000000001E-2</v>
      </c>
      <c r="BB357" s="22">
        <v>347</v>
      </c>
      <c r="BC357" s="22">
        <v>1.64642</v>
      </c>
      <c r="BD357">
        <f t="shared" si="70"/>
        <v>11.7096</v>
      </c>
      <c r="BE357">
        <f t="shared" si="71"/>
        <v>19.289692464000002</v>
      </c>
    </row>
    <row r="358" spans="6:57">
      <c r="F358" s="9"/>
      <c r="G358" s="22">
        <v>9.7656300000000001E-2</v>
      </c>
      <c r="H358" s="22">
        <v>58.6967</v>
      </c>
      <c r="I358" s="22">
        <v>-1.7355300000000001E-2</v>
      </c>
      <c r="J358" s="22">
        <v>348</v>
      </c>
      <c r="K358" s="22">
        <v>9.7137500000000002E-2</v>
      </c>
      <c r="L358">
        <f t="shared" si="60"/>
        <v>17.3553</v>
      </c>
      <c r="M358">
        <f t="shared" si="61"/>
        <v>1.6948543833900001</v>
      </c>
      <c r="N358" s="9"/>
      <c r="O358" s="22">
        <v>1.6523699999999999</v>
      </c>
      <c r="P358" s="22">
        <v>114.093</v>
      </c>
      <c r="Q358" s="22">
        <v>-1.18469E-2</v>
      </c>
      <c r="R358" s="22">
        <v>348</v>
      </c>
      <c r="S358" s="22">
        <v>1.65222</v>
      </c>
      <c r="T358">
        <f t="shared" si="62"/>
        <v>11.8469</v>
      </c>
      <c r="U358">
        <f t="shared" si="63"/>
        <v>19.575462152999997</v>
      </c>
      <c r="X358" s="9"/>
      <c r="Y358" s="22">
        <v>9.7656300000000001E-2</v>
      </c>
      <c r="Z358" s="22">
        <v>176.04900000000001</v>
      </c>
      <c r="AA358" s="22">
        <v>-1.7202800000000001E-2</v>
      </c>
      <c r="AB358" s="22">
        <v>348</v>
      </c>
      <c r="AC358" s="22">
        <v>9.7137500000000002E-2</v>
      </c>
      <c r="AD358">
        <f t="shared" si="64"/>
        <v>17.2028</v>
      </c>
      <c r="AE358">
        <f t="shared" si="65"/>
        <v>1.6799617976400001</v>
      </c>
      <c r="AF358" s="9"/>
      <c r="AG358" s="22">
        <v>1.6523699999999999</v>
      </c>
      <c r="AH358" s="22">
        <v>255.58199999999999</v>
      </c>
      <c r="AI358" s="22">
        <v>-1.15814E-2</v>
      </c>
      <c r="AJ358" s="22">
        <v>348</v>
      </c>
      <c r="AK358" s="22">
        <v>1.65222</v>
      </c>
      <c r="AL358">
        <f t="shared" si="66"/>
        <v>11.5814</v>
      </c>
      <c r="AM358">
        <f t="shared" si="67"/>
        <v>19.136757918000001</v>
      </c>
      <c r="AP358" s="9"/>
      <c r="AQ358" s="22">
        <v>9.7656300000000001E-2</v>
      </c>
      <c r="AR358" s="22">
        <v>307.99900000000002</v>
      </c>
      <c r="AS358" s="22">
        <v>-1.6992199999999999E-2</v>
      </c>
      <c r="AT358" s="22">
        <v>348</v>
      </c>
      <c r="AU358" s="22">
        <v>9.7045900000000004E-2</v>
      </c>
      <c r="AV358">
        <f t="shared" si="68"/>
        <v>16.9922</v>
      </c>
      <c r="AW358">
        <f t="shared" si="69"/>
        <v>1.6593953808600002</v>
      </c>
      <c r="AX358" s="9"/>
      <c r="AY358" s="22">
        <v>1.6523699999999999</v>
      </c>
      <c r="AZ358" s="22">
        <v>387.22899999999998</v>
      </c>
      <c r="BA358" s="22">
        <v>-1.15265E-2</v>
      </c>
      <c r="BB358" s="22">
        <v>348</v>
      </c>
      <c r="BC358" s="22">
        <v>1.6519200000000001</v>
      </c>
      <c r="BD358">
        <f t="shared" si="70"/>
        <v>11.5265</v>
      </c>
      <c r="BE358">
        <f t="shared" si="71"/>
        <v>19.046042804999999</v>
      </c>
    </row>
    <row r="359" spans="6:57">
      <c r="F359" s="9"/>
      <c r="G359" s="22">
        <v>9.2620800000000003E-2</v>
      </c>
      <c r="H359" s="22">
        <v>58.797400000000003</v>
      </c>
      <c r="I359" s="22">
        <v>-1.7364500000000001E-2</v>
      </c>
      <c r="J359" s="22">
        <v>349</v>
      </c>
      <c r="K359" s="22">
        <v>9.2132599999999995E-2</v>
      </c>
      <c r="L359">
        <f t="shared" si="60"/>
        <v>17.364500000000003</v>
      </c>
      <c r="M359">
        <f t="shared" si="61"/>
        <v>1.6083138816000004</v>
      </c>
      <c r="N359" s="9"/>
      <c r="O359" s="22">
        <v>1.65741</v>
      </c>
      <c r="P359" s="22">
        <v>114.193</v>
      </c>
      <c r="Q359" s="22">
        <v>-1.1615E-2</v>
      </c>
      <c r="R359" s="22">
        <v>349</v>
      </c>
      <c r="S359" s="22">
        <v>1.6561900000000001</v>
      </c>
      <c r="T359">
        <f t="shared" si="62"/>
        <v>11.615</v>
      </c>
      <c r="U359">
        <f t="shared" si="63"/>
        <v>19.25081715</v>
      </c>
      <c r="X359" s="9"/>
      <c r="Y359" s="22">
        <v>9.2620800000000003E-2</v>
      </c>
      <c r="Z359" s="22">
        <v>176.15</v>
      </c>
      <c r="AA359" s="22">
        <v>-1.72211E-2</v>
      </c>
      <c r="AB359" s="22">
        <v>349</v>
      </c>
      <c r="AC359" s="22">
        <v>9.2132599999999995E-2</v>
      </c>
      <c r="AD359">
        <f t="shared" si="64"/>
        <v>17.2211</v>
      </c>
      <c r="AE359">
        <f t="shared" si="65"/>
        <v>1.59503205888</v>
      </c>
      <c r="AF359" s="9"/>
      <c r="AG359" s="22">
        <v>1.65741</v>
      </c>
      <c r="AH359" s="22">
        <v>255.68299999999999</v>
      </c>
      <c r="AI359" s="22">
        <v>-1.13861E-2</v>
      </c>
      <c r="AJ359" s="22">
        <v>349</v>
      </c>
      <c r="AK359" s="22">
        <v>1.65649</v>
      </c>
      <c r="AL359">
        <f t="shared" si="66"/>
        <v>11.386099999999999</v>
      </c>
      <c r="AM359">
        <f t="shared" si="67"/>
        <v>18.871436000999999</v>
      </c>
      <c r="AP359" s="9"/>
      <c r="AQ359" s="22">
        <v>9.2620800000000003E-2</v>
      </c>
      <c r="AR359" s="22">
        <v>308.09899999999999</v>
      </c>
      <c r="AS359" s="22">
        <v>-1.6992199999999999E-2</v>
      </c>
      <c r="AT359" s="22">
        <v>349</v>
      </c>
      <c r="AU359" s="22">
        <v>9.2193600000000001E-2</v>
      </c>
      <c r="AV359">
        <f t="shared" si="68"/>
        <v>16.9922</v>
      </c>
      <c r="AW359">
        <f t="shared" si="69"/>
        <v>1.5738311577600002</v>
      </c>
      <c r="AX359" s="9"/>
      <c r="AY359" s="22">
        <v>1.65741</v>
      </c>
      <c r="AZ359" s="22">
        <v>387.33</v>
      </c>
      <c r="BA359" s="22">
        <v>-1.1318999999999999E-2</v>
      </c>
      <c r="BB359" s="22">
        <v>349</v>
      </c>
      <c r="BC359" s="22">
        <v>1.6561900000000001</v>
      </c>
      <c r="BD359">
        <f t="shared" si="70"/>
        <v>11.318999999999999</v>
      </c>
      <c r="BE359">
        <f t="shared" si="71"/>
        <v>18.760223789999998</v>
      </c>
    </row>
    <row r="360" spans="6:57">
      <c r="F360" s="9"/>
      <c r="G360" s="22">
        <v>8.7585399999999994E-2</v>
      </c>
      <c r="H360" s="22">
        <v>58.898099999999999</v>
      </c>
      <c r="I360" s="22">
        <v>-1.73431E-2</v>
      </c>
      <c r="J360" s="22">
        <v>350</v>
      </c>
      <c r="K360" s="22">
        <v>8.7036100000000005E-2</v>
      </c>
      <c r="L360">
        <f t="shared" si="60"/>
        <v>17.3431</v>
      </c>
      <c r="M360">
        <f t="shared" si="61"/>
        <v>1.5190023507399999</v>
      </c>
      <c r="N360" s="9"/>
      <c r="O360" s="22">
        <v>1.66245</v>
      </c>
      <c r="P360" s="22">
        <v>114.294</v>
      </c>
      <c r="Q360" s="22">
        <v>-1.1395300000000001E-2</v>
      </c>
      <c r="R360" s="22">
        <v>350</v>
      </c>
      <c r="S360" s="22">
        <v>1.6619900000000001</v>
      </c>
      <c r="T360">
        <f t="shared" si="62"/>
        <v>11.395300000000001</v>
      </c>
      <c r="U360">
        <f t="shared" si="63"/>
        <v>18.944116485000002</v>
      </c>
      <c r="X360" s="9"/>
      <c r="Y360" s="22">
        <v>8.7585399999999994E-2</v>
      </c>
      <c r="Z360" s="22">
        <v>176.251</v>
      </c>
      <c r="AA360" s="22">
        <v>-1.7184399999999999E-2</v>
      </c>
      <c r="AB360" s="22">
        <v>350</v>
      </c>
      <c r="AC360" s="22">
        <v>8.7066699999999997E-2</v>
      </c>
      <c r="AD360">
        <f t="shared" si="64"/>
        <v>17.1844</v>
      </c>
      <c r="AE360">
        <f t="shared" si="65"/>
        <v>1.50510254776</v>
      </c>
      <c r="AF360" s="9"/>
      <c r="AG360" s="22">
        <v>1.66245</v>
      </c>
      <c r="AH360" s="22">
        <v>255.78299999999999</v>
      </c>
      <c r="AI360" s="22">
        <v>-1.1190800000000001E-2</v>
      </c>
      <c r="AJ360" s="22">
        <v>350</v>
      </c>
      <c r="AK360" s="22">
        <v>1.66168</v>
      </c>
      <c r="AL360">
        <f t="shared" si="66"/>
        <v>11.190800000000001</v>
      </c>
      <c r="AM360">
        <f t="shared" si="67"/>
        <v>18.604145460000002</v>
      </c>
      <c r="AP360" s="9"/>
      <c r="AQ360" s="22">
        <v>8.7585399999999994E-2</v>
      </c>
      <c r="AR360" s="22">
        <v>308.2</v>
      </c>
      <c r="AS360" s="22">
        <v>-1.6964699999999999E-2</v>
      </c>
      <c r="AT360" s="22">
        <v>350</v>
      </c>
      <c r="AU360" s="22">
        <v>8.7158200000000005E-2</v>
      </c>
      <c r="AV360">
        <f t="shared" si="68"/>
        <v>16.964700000000001</v>
      </c>
      <c r="AW360">
        <f t="shared" si="69"/>
        <v>1.48586003538</v>
      </c>
      <c r="AX360" s="9"/>
      <c r="AY360" s="22">
        <v>1.66245</v>
      </c>
      <c r="AZ360" s="22">
        <v>387.43</v>
      </c>
      <c r="BA360" s="22">
        <v>-1.1145E-2</v>
      </c>
      <c r="BB360" s="22">
        <v>350</v>
      </c>
      <c r="BC360" s="22">
        <v>1.6613800000000001</v>
      </c>
      <c r="BD360">
        <f t="shared" si="70"/>
        <v>11.145</v>
      </c>
      <c r="BE360">
        <f t="shared" si="71"/>
        <v>18.52800525</v>
      </c>
    </row>
    <row r="361" spans="6:57">
      <c r="F361" s="9"/>
      <c r="G361" s="22">
        <v>8.2549999999999998E-2</v>
      </c>
      <c r="H361" s="22">
        <v>58.998800000000003</v>
      </c>
      <c r="I361" s="22">
        <v>-1.7376699999999998E-2</v>
      </c>
      <c r="J361" s="22">
        <v>351</v>
      </c>
      <c r="K361" s="22">
        <v>8.2061800000000004E-2</v>
      </c>
      <c r="L361">
        <f t="shared" si="60"/>
        <v>17.3767</v>
      </c>
      <c r="M361">
        <f t="shared" si="61"/>
        <v>1.4344465849999999</v>
      </c>
      <c r="N361" s="9"/>
      <c r="O361" s="22">
        <v>1.6674800000000001</v>
      </c>
      <c r="P361" s="22">
        <v>114.395</v>
      </c>
      <c r="Q361" s="22">
        <v>-1.12E-2</v>
      </c>
      <c r="R361" s="22">
        <v>351</v>
      </c>
      <c r="S361" s="22">
        <v>1.6662600000000001</v>
      </c>
      <c r="T361">
        <f t="shared" si="62"/>
        <v>11.2</v>
      </c>
      <c r="U361">
        <f t="shared" si="63"/>
        <v>18.675775999999999</v>
      </c>
      <c r="X361" s="9"/>
      <c r="Y361" s="22">
        <v>8.2549999999999998E-2</v>
      </c>
      <c r="Z361" s="22">
        <v>176.352</v>
      </c>
      <c r="AA361" s="22">
        <v>-1.71936E-2</v>
      </c>
      <c r="AB361" s="22">
        <v>351</v>
      </c>
      <c r="AC361" s="22">
        <v>8.2000699999999996E-2</v>
      </c>
      <c r="AD361">
        <f t="shared" si="64"/>
        <v>17.1936</v>
      </c>
      <c r="AE361">
        <f t="shared" si="65"/>
        <v>1.41933168</v>
      </c>
      <c r="AF361" s="9"/>
      <c r="AG361" s="22">
        <v>1.6674800000000001</v>
      </c>
      <c r="AH361" s="22">
        <v>255.88399999999999</v>
      </c>
      <c r="AI361" s="22">
        <v>-1.0980200000000001E-2</v>
      </c>
      <c r="AJ361" s="22">
        <v>351</v>
      </c>
      <c r="AK361" s="22">
        <v>1.6668700000000001</v>
      </c>
      <c r="AL361">
        <f t="shared" si="66"/>
        <v>10.9802</v>
      </c>
      <c r="AM361">
        <f t="shared" si="67"/>
        <v>18.309263896000001</v>
      </c>
      <c r="AP361" s="9"/>
      <c r="AQ361" s="22">
        <v>8.2549999999999998E-2</v>
      </c>
      <c r="AR361" s="22">
        <v>308.30099999999999</v>
      </c>
      <c r="AS361" s="22">
        <v>-1.69464E-2</v>
      </c>
      <c r="AT361" s="22">
        <v>351</v>
      </c>
      <c r="AU361" s="22">
        <v>8.2122799999999996E-2</v>
      </c>
      <c r="AV361">
        <f t="shared" si="68"/>
        <v>16.946400000000001</v>
      </c>
      <c r="AW361">
        <f t="shared" si="69"/>
        <v>1.39892532</v>
      </c>
      <c r="AX361" s="9"/>
      <c r="AY361" s="22">
        <v>1.6674800000000001</v>
      </c>
      <c r="AZ361" s="22">
        <v>387.53100000000001</v>
      </c>
      <c r="BA361" s="22">
        <v>-1.09222E-2</v>
      </c>
      <c r="BB361" s="22">
        <v>351</v>
      </c>
      <c r="BC361" s="22">
        <v>1.6668700000000001</v>
      </c>
      <c r="BD361">
        <f t="shared" si="70"/>
        <v>10.9222</v>
      </c>
      <c r="BE361">
        <f t="shared" si="71"/>
        <v>18.212550056000001</v>
      </c>
    </row>
    <row r="362" spans="6:57">
      <c r="F362" s="9"/>
      <c r="G362" s="22">
        <v>7.7514600000000003E-2</v>
      </c>
      <c r="H362" s="22">
        <v>59.099499999999999</v>
      </c>
      <c r="I362" s="22">
        <v>-1.7379800000000001E-2</v>
      </c>
      <c r="J362" s="22">
        <v>352</v>
      </c>
      <c r="K362" s="22">
        <v>7.69653E-2</v>
      </c>
      <c r="L362">
        <f t="shared" si="60"/>
        <v>17.379799999999999</v>
      </c>
      <c r="M362">
        <f t="shared" si="61"/>
        <v>1.3471882450799999</v>
      </c>
      <c r="N362" s="9"/>
      <c r="O362" s="22">
        <v>1.67252</v>
      </c>
      <c r="P362" s="22">
        <v>114.495</v>
      </c>
      <c r="Q362" s="22">
        <v>-1.0986299999999999E-2</v>
      </c>
      <c r="R362" s="22">
        <v>352</v>
      </c>
      <c r="S362" s="22">
        <v>1.6720600000000001</v>
      </c>
      <c r="T362">
        <f t="shared" si="62"/>
        <v>10.9863</v>
      </c>
      <c r="U362">
        <f t="shared" si="63"/>
        <v>18.374806476</v>
      </c>
      <c r="X362" s="9"/>
      <c r="Y362" s="22">
        <v>7.7514600000000003E-2</v>
      </c>
      <c r="Z362" s="22">
        <v>176.452</v>
      </c>
      <c r="AA362" s="22">
        <v>-1.7199699999999998E-2</v>
      </c>
      <c r="AB362" s="22">
        <v>352</v>
      </c>
      <c r="AC362" s="22">
        <v>7.6995800000000003E-2</v>
      </c>
      <c r="AD362">
        <f t="shared" si="64"/>
        <v>17.1997</v>
      </c>
      <c r="AE362">
        <f t="shared" si="65"/>
        <v>1.3332278656200001</v>
      </c>
      <c r="AF362" s="9"/>
      <c r="AG362" s="22">
        <v>1.67252</v>
      </c>
      <c r="AH362" s="22">
        <v>255.98500000000001</v>
      </c>
      <c r="AI362" s="22">
        <v>-1.0732999999999999E-2</v>
      </c>
      <c r="AJ362" s="22">
        <v>352</v>
      </c>
      <c r="AK362" s="22">
        <v>1.6717500000000001</v>
      </c>
      <c r="AL362">
        <f t="shared" si="66"/>
        <v>10.732999999999999</v>
      </c>
      <c r="AM362">
        <f t="shared" si="67"/>
        <v>17.951157159999998</v>
      </c>
      <c r="AP362" s="9"/>
      <c r="AQ362" s="22">
        <v>7.7514600000000003E-2</v>
      </c>
      <c r="AR362" s="22">
        <v>308.40100000000001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387.63200000000001</v>
      </c>
      <c r="BA362" s="22">
        <v>-1.06842E-2</v>
      </c>
      <c r="BB362" s="22">
        <v>352</v>
      </c>
      <c r="BC362" s="22">
        <v>1.6717500000000001</v>
      </c>
      <c r="BD362">
        <f t="shared" si="70"/>
        <v>10.684199999999999</v>
      </c>
      <c r="BE362">
        <f t="shared" si="71"/>
        <v>17.869538184</v>
      </c>
    </row>
    <row r="363" spans="6:57">
      <c r="F363" s="9"/>
      <c r="G363" s="22">
        <v>7.2479199999999994E-2</v>
      </c>
      <c r="H363" s="22">
        <v>59.200200000000002</v>
      </c>
      <c r="I363" s="22">
        <v>-1.7337000000000002E-2</v>
      </c>
      <c r="J363" s="22">
        <v>353</v>
      </c>
      <c r="K363" s="22">
        <v>7.1899400000000002E-2</v>
      </c>
      <c r="L363">
        <f t="shared" si="60"/>
        <v>17.337000000000003</v>
      </c>
      <c r="M363">
        <f t="shared" si="61"/>
        <v>1.2565718904000001</v>
      </c>
      <c r="N363" s="9"/>
      <c r="O363" s="22">
        <v>1.6775500000000001</v>
      </c>
      <c r="P363" s="22">
        <v>114.596</v>
      </c>
      <c r="Q363" s="22">
        <v>-1.0714700000000001E-2</v>
      </c>
      <c r="R363" s="22">
        <v>353</v>
      </c>
      <c r="S363" s="22">
        <v>1.6766399999999999</v>
      </c>
      <c r="T363">
        <f t="shared" si="62"/>
        <v>10.714700000000001</v>
      </c>
      <c r="U363">
        <f t="shared" si="63"/>
        <v>17.974444985000002</v>
      </c>
      <c r="X363" s="9"/>
      <c r="Y363" s="22">
        <v>7.2479199999999994E-2</v>
      </c>
      <c r="Z363" s="22">
        <v>176.553</v>
      </c>
      <c r="AA363" s="22">
        <v>-1.7202800000000001E-2</v>
      </c>
      <c r="AB363" s="22">
        <v>353</v>
      </c>
      <c r="AC363" s="22">
        <v>7.1960399999999994E-2</v>
      </c>
      <c r="AD363">
        <f t="shared" si="64"/>
        <v>17.2028</v>
      </c>
      <c r="AE363">
        <f t="shared" si="65"/>
        <v>1.2468451817599999</v>
      </c>
      <c r="AF363" s="9"/>
      <c r="AG363" s="22">
        <v>1.6775500000000001</v>
      </c>
      <c r="AH363" s="22">
        <v>256.08499999999998</v>
      </c>
      <c r="AI363" s="22">
        <v>-1.05042E-2</v>
      </c>
      <c r="AJ363" s="22">
        <v>353</v>
      </c>
      <c r="AK363" s="22">
        <v>1.6766399999999999</v>
      </c>
      <c r="AL363">
        <f t="shared" si="66"/>
        <v>10.504200000000001</v>
      </c>
      <c r="AM363">
        <f t="shared" si="67"/>
        <v>17.621320710000003</v>
      </c>
      <c r="AP363" s="9"/>
      <c r="AQ363" s="22">
        <v>7.2479199999999994E-2</v>
      </c>
      <c r="AR363" s="22">
        <v>308.50200000000001</v>
      </c>
      <c r="AS363" s="22">
        <v>-1.6955600000000001E-2</v>
      </c>
      <c r="AT363" s="22">
        <v>353</v>
      </c>
      <c r="AU363" s="22">
        <v>7.1929900000000005E-2</v>
      </c>
      <c r="AV363">
        <f t="shared" si="68"/>
        <v>16.9556</v>
      </c>
      <c r="AW363">
        <f t="shared" si="69"/>
        <v>1.2289283235199999</v>
      </c>
      <c r="AX363" s="9"/>
      <c r="AY363" s="22">
        <v>1.6775500000000001</v>
      </c>
      <c r="AZ363" s="22">
        <v>387.73200000000003</v>
      </c>
      <c r="BA363" s="22">
        <v>-1.0461399999999999E-2</v>
      </c>
      <c r="BB363" s="22">
        <v>353</v>
      </c>
      <c r="BC363" s="22">
        <v>1.6769400000000001</v>
      </c>
      <c r="BD363">
        <f t="shared" si="70"/>
        <v>10.461399999999999</v>
      </c>
      <c r="BE363">
        <f t="shared" si="71"/>
        <v>17.54952157</v>
      </c>
    </row>
    <row r="364" spans="6:57">
      <c r="F364" s="9"/>
      <c r="G364" s="22">
        <v>6.7443799999999998E-2</v>
      </c>
      <c r="H364" s="22">
        <v>59.300899999999999</v>
      </c>
      <c r="I364" s="22">
        <v>-1.7352300000000001E-2</v>
      </c>
      <c r="J364" s="22">
        <v>354</v>
      </c>
      <c r="K364" s="22">
        <v>6.6894499999999996E-2</v>
      </c>
      <c r="L364">
        <f t="shared" si="60"/>
        <v>17.3523</v>
      </c>
      <c r="M364">
        <f t="shared" si="61"/>
        <v>1.1703050507399999</v>
      </c>
      <c r="N364" s="9"/>
      <c r="O364" s="22">
        <v>1.68259</v>
      </c>
      <c r="P364" s="22">
        <v>114.697</v>
      </c>
      <c r="Q364" s="22">
        <v>-1.04797E-2</v>
      </c>
      <c r="R364" s="22">
        <v>354</v>
      </c>
      <c r="S364" s="22">
        <v>1.6821299999999999</v>
      </c>
      <c r="T364">
        <f t="shared" si="62"/>
        <v>10.479699999999999</v>
      </c>
      <c r="U364">
        <f t="shared" si="63"/>
        <v>17.633038422999999</v>
      </c>
      <c r="X364" s="9"/>
      <c r="Y364" s="22">
        <v>6.7443799999999998E-2</v>
      </c>
      <c r="Z364" s="22">
        <v>176.654</v>
      </c>
      <c r="AA364" s="22">
        <v>-1.7175300000000001E-2</v>
      </c>
      <c r="AB364" s="22">
        <v>354</v>
      </c>
      <c r="AC364" s="22">
        <v>6.6924999999999998E-2</v>
      </c>
      <c r="AD364">
        <f t="shared" si="64"/>
        <v>17.1753</v>
      </c>
      <c r="AE364">
        <f t="shared" si="65"/>
        <v>1.1583674981400001</v>
      </c>
      <c r="AF364" s="9"/>
      <c r="AG364" s="22">
        <v>1.68259</v>
      </c>
      <c r="AH364" s="22">
        <v>256.18599999999998</v>
      </c>
      <c r="AI364" s="22">
        <v>-1.02203E-2</v>
      </c>
      <c r="AJ364" s="22">
        <v>354</v>
      </c>
      <c r="AK364" s="22">
        <v>1.6818200000000001</v>
      </c>
      <c r="AL364">
        <f t="shared" si="66"/>
        <v>10.2203</v>
      </c>
      <c r="AM364">
        <f t="shared" si="67"/>
        <v>17.196574577</v>
      </c>
      <c r="AP364" s="9"/>
      <c r="AQ364" s="22">
        <v>6.7443799999999998E-2</v>
      </c>
      <c r="AR364" s="22">
        <v>308.60300000000001</v>
      </c>
      <c r="AS364" s="22">
        <v>-1.6955600000000001E-2</v>
      </c>
      <c r="AT364" s="22">
        <v>354</v>
      </c>
      <c r="AU364" s="22">
        <v>6.6833500000000004E-2</v>
      </c>
      <c r="AV364">
        <f t="shared" si="68"/>
        <v>16.9556</v>
      </c>
      <c r="AW364">
        <f t="shared" si="69"/>
        <v>1.14355009528</v>
      </c>
      <c r="AX364" s="9"/>
      <c r="AY364" s="22">
        <v>1.68259</v>
      </c>
      <c r="AZ364" s="22">
        <v>387.83300000000003</v>
      </c>
      <c r="BA364" s="22">
        <v>-1.02203E-2</v>
      </c>
      <c r="BB364" s="22">
        <v>354</v>
      </c>
      <c r="BC364" s="22">
        <v>1.6815199999999999</v>
      </c>
      <c r="BD364">
        <f t="shared" si="70"/>
        <v>10.2203</v>
      </c>
      <c r="BE364">
        <f t="shared" si="71"/>
        <v>17.196574577</v>
      </c>
    </row>
    <row r="365" spans="6:57">
      <c r="F365" s="9"/>
      <c r="G365" s="22">
        <v>6.2408400000000003E-2</v>
      </c>
      <c r="H365" s="22">
        <v>59.401600000000002</v>
      </c>
      <c r="I365" s="22">
        <v>-1.7361499999999998E-2</v>
      </c>
      <c r="J365" s="22">
        <v>355</v>
      </c>
      <c r="K365" s="22">
        <v>6.18591E-2</v>
      </c>
      <c r="L365">
        <f t="shared" si="60"/>
        <v>17.361499999999999</v>
      </c>
      <c r="M365">
        <f t="shared" si="61"/>
        <v>1.0835034366</v>
      </c>
      <c r="N365" s="9"/>
      <c r="O365" s="22">
        <v>1.6876199999999999</v>
      </c>
      <c r="P365" s="22">
        <v>114.797</v>
      </c>
      <c r="Q365" s="22">
        <v>-1.0235599999999999E-2</v>
      </c>
      <c r="R365" s="22">
        <v>355</v>
      </c>
      <c r="S365" s="22">
        <v>1.6870099999999999</v>
      </c>
      <c r="T365">
        <f t="shared" si="62"/>
        <v>10.2356</v>
      </c>
      <c r="U365">
        <f t="shared" si="63"/>
        <v>17.273803271999999</v>
      </c>
      <c r="X365" s="9"/>
      <c r="Y365" s="22">
        <v>6.2408400000000003E-2</v>
      </c>
      <c r="Z365" s="22">
        <v>176.75399999999999</v>
      </c>
      <c r="AA365" s="22">
        <v>-1.7202800000000001E-2</v>
      </c>
      <c r="AB365" s="22">
        <v>355</v>
      </c>
      <c r="AC365" s="22">
        <v>6.1889600000000003E-2</v>
      </c>
      <c r="AD365">
        <f t="shared" si="64"/>
        <v>17.2028</v>
      </c>
      <c r="AE365">
        <f t="shared" si="65"/>
        <v>1.07359922352</v>
      </c>
      <c r="AF365" s="9"/>
      <c r="AG365" s="22">
        <v>1.6876199999999999</v>
      </c>
      <c r="AH365" s="22">
        <v>256.28699999999998</v>
      </c>
      <c r="AI365" s="22">
        <v>-9.9792500000000003E-3</v>
      </c>
      <c r="AJ365" s="22">
        <v>355</v>
      </c>
      <c r="AK365" s="22">
        <v>1.6870099999999999</v>
      </c>
      <c r="AL365">
        <f t="shared" si="66"/>
        <v>9.9792500000000004</v>
      </c>
      <c r="AM365">
        <f t="shared" si="67"/>
        <v>16.841181885000001</v>
      </c>
      <c r="AP365" s="9"/>
      <c r="AQ365" s="22">
        <v>6.2408400000000003E-2</v>
      </c>
      <c r="AR365" s="22">
        <v>308.70400000000001</v>
      </c>
      <c r="AS365" s="22">
        <v>-1.69342E-2</v>
      </c>
      <c r="AT365" s="22">
        <v>355</v>
      </c>
      <c r="AU365" s="22">
        <v>6.1950699999999997E-2</v>
      </c>
      <c r="AV365">
        <f t="shared" si="68"/>
        <v>16.934200000000001</v>
      </c>
      <c r="AW365">
        <f t="shared" si="69"/>
        <v>1.0568363272800001</v>
      </c>
      <c r="AX365" s="9"/>
      <c r="AY365" s="22">
        <v>1.6876199999999999</v>
      </c>
      <c r="AZ365" s="22">
        <v>387.93400000000003</v>
      </c>
      <c r="BA365" s="22">
        <v>-9.9639900000000007E-3</v>
      </c>
      <c r="BB365" s="22">
        <v>355</v>
      </c>
      <c r="BC365" s="22">
        <v>1.6870099999999999</v>
      </c>
      <c r="BD365">
        <f t="shared" si="70"/>
        <v>9.9639900000000008</v>
      </c>
      <c r="BE365">
        <f t="shared" si="71"/>
        <v>16.8154288038</v>
      </c>
    </row>
    <row r="366" spans="6:57">
      <c r="F366" s="9"/>
      <c r="G366" s="22">
        <v>5.7373E-2</v>
      </c>
      <c r="H366" s="22">
        <v>59.502299999999998</v>
      </c>
      <c r="I366" s="22">
        <v>-1.7352300000000001E-2</v>
      </c>
      <c r="J366" s="22">
        <v>356</v>
      </c>
      <c r="K366" s="22">
        <v>5.6854200000000001E-2</v>
      </c>
      <c r="L366">
        <f t="shared" si="60"/>
        <v>17.3523</v>
      </c>
      <c r="M366">
        <f t="shared" si="61"/>
        <v>0.99555350789999997</v>
      </c>
      <c r="N366" s="9"/>
      <c r="O366" s="22">
        <v>1.6926600000000001</v>
      </c>
      <c r="P366" s="22">
        <v>114.898</v>
      </c>
      <c r="Q366" s="22">
        <v>-9.9273699999999996E-3</v>
      </c>
      <c r="R366" s="22">
        <v>356</v>
      </c>
      <c r="S366" s="22">
        <v>1.6918899999999999</v>
      </c>
      <c r="T366">
        <f t="shared" si="62"/>
        <v>9.9273699999999998</v>
      </c>
      <c r="U366">
        <f t="shared" si="63"/>
        <v>16.803662104200001</v>
      </c>
      <c r="X366" s="9"/>
      <c r="Y366" s="22">
        <v>5.7373E-2</v>
      </c>
      <c r="Z366" s="22">
        <v>176.85499999999999</v>
      </c>
      <c r="AA366" s="22">
        <v>-1.7227200000000002E-2</v>
      </c>
      <c r="AB366" s="22">
        <v>356</v>
      </c>
      <c r="AC366" s="22">
        <v>5.6762699999999999E-2</v>
      </c>
      <c r="AD366">
        <f t="shared" si="64"/>
        <v>17.2272</v>
      </c>
      <c r="AE366">
        <f t="shared" si="65"/>
        <v>0.98837614559999998</v>
      </c>
      <c r="AF366" s="9"/>
      <c r="AG366" s="22">
        <v>1.6926600000000001</v>
      </c>
      <c r="AH366" s="22">
        <v>256.387</v>
      </c>
      <c r="AI366" s="22">
        <v>-9.7045900000000008E-3</v>
      </c>
      <c r="AJ366" s="22">
        <v>356</v>
      </c>
      <c r="AK366" s="22">
        <v>1.6918899999999999</v>
      </c>
      <c r="AL366">
        <f t="shared" si="66"/>
        <v>9.7045900000000014</v>
      </c>
      <c r="AM366">
        <f t="shared" si="67"/>
        <v>16.426571309400003</v>
      </c>
      <c r="AP366" s="9"/>
      <c r="AQ366" s="22">
        <v>5.7373E-2</v>
      </c>
      <c r="AR366" s="22">
        <v>308.80399999999997</v>
      </c>
      <c r="AS366" s="22">
        <v>-1.6958600000000001E-2</v>
      </c>
      <c r="AT366" s="22">
        <v>356</v>
      </c>
      <c r="AU366" s="22">
        <v>5.6915300000000002E-2</v>
      </c>
      <c r="AV366">
        <f t="shared" si="68"/>
        <v>16.958600000000001</v>
      </c>
      <c r="AW366">
        <f t="shared" si="69"/>
        <v>0.97296575780000005</v>
      </c>
      <c r="AX366" s="9"/>
      <c r="AY366" s="22">
        <v>1.6926600000000001</v>
      </c>
      <c r="AZ366" s="22">
        <v>388.03500000000003</v>
      </c>
      <c r="BA366" s="22">
        <v>-9.6832299999999993E-3</v>
      </c>
      <c r="BB366" s="22">
        <v>356</v>
      </c>
      <c r="BC366" s="22">
        <v>1.6915899999999999</v>
      </c>
      <c r="BD366">
        <f t="shared" si="70"/>
        <v>9.68323</v>
      </c>
      <c r="BE366">
        <f t="shared" si="71"/>
        <v>16.390416091799999</v>
      </c>
    </row>
    <row r="367" spans="6:57">
      <c r="F367" s="9"/>
      <c r="G367" s="22">
        <v>5.2337599999999998E-2</v>
      </c>
      <c r="H367" s="22">
        <v>59.603099999999998</v>
      </c>
      <c r="I367" s="22">
        <v>-1.7355300000000001E-2</v>
      </c>
      <c r="J367" s="22">
        <v>357</v>
      </c>
      <c r="K367" s="22">
        <v>5.1818799999999998E-2</v>
      </c>
      <c r="L367">
        <f t="shared" si="60"/>
        <v>17.3553</v>
      </c>
      <c r="M367">
        <f t="shared" si="61"/>
        <v>0.90833474927999991</v>
      </c>
      <c r="N367" s="9"/>
      <c r="O367" s="22">
        <v>1.6976899999999999</v>
      </c>
      <c r="P367" s="22">
        <v>114.999</v>
      </c>
      <c r="Q367" s="22">
        <v>-9.61914E-3</v>
      </c>
      <c r="R367" s="22">
        <v>357</v>
      </c>
      <c r="S367" s="22">
        <v>1.6970799999999999</v>
      </c>
      <c r="T367">
        <f t="shared" si="62"/>
        <v>9.6191399999999998</v>
      </c>
      <c r="U367">
        <f t="shared" si="63"/>
        <v>16.330317786599998</v>
      </c>
      <c r="X367" s="9"/>
      <c r="Y367" s="22">
        <v>5.2337599999999998E-2</v>
      </c>
      <c r="Z367" s="22">
        <v>176.95599999999999</v>
      </c>
      <c r="AA367" s="22">
        <v>-1.7208899999999999E-2</v>
      </c>
      <c r="AB367" s="22">
        <v>357</v>
      </c>
      <c r="AC367" s="22">
        <v>5.1910400000000002E-2</v>
      </c>
      <c r="AD367">
        <f t="shared" si="64"/>
        <v>17.2089</v>
      </c>
      <c r="AE367">
        <f t="shared" si="65"/>
        <v>0.90067252463999992</v>
      </c>
      <c r="AF367" s="9"/>
      <c r="AG367" s="22">
        <v>1.6976899999999999</v>
      </c>
      <c r="AH367" s="22">
        <v>256.488</v>
      </c>
      <c r="AI367" s="22">
        <v>-9.4024699999999996E-3</v>
      </c>
      <c r="AJ367" s="22">
        <v>357</v>
      </c>
      <c r="AK367" s="22">
        <v>1.69739</v>
      </c>
      <c r="AL367">
        <f t="shared" si="66"/>
        <v>9.4024699999999992</v>
      </c>
      <c r="AM367">
        <f t="shared" si="67"/>
        <v>15.962479294299998</v>
      </c>
      <c r="AP367" s="9"/>
      <c r="AQ367" s="22">
        <v>5.2337599999999998E-2</v>
      </c>
      <c r="AR367" s="22">
        <v>308.90499999999997</v>
      </c>
      <c r="AS367" s="22">
        <v>-1.69342E-2</v>
      </c>
      <c r="AT367" s="22">
        <v>357</v>
      </c>
      <c r="AU367" s="22">
        <v>5.1788300000000002E-2</v>
      </c>
      <c r="AV367">
        <f t="shared" si="68"/>
        <v>16.934200000000001</v>
      </c>
      <c r="AW367">
        <f t="shared" si="69"/>
        <v>0.88629538592000001</v>
      </c>
      <c r="AX367" s="9"/>
      <c r="AY367" s="22">
        <v>1.6976899999999999</v>
      </c>
      <c r="AZ367" s="22">
        <v>388.13499999999999</v>
      </c>
      <c r="BA367" s="22">
        <v>-9.38721E-3</v>
      </c>
      <c r="BB367" s="22">
        <v>357</v>
      </c>
      <c r="BC367" s="22">
        <v>1.69678</v>
      </c>
      <c r="BD367">
        <f t="shared" si="70"/>
        <v>9.3872099999999996</v>
      </c>
      <c r="BE367">
        <f t="shared" si="71"/>
        <v>15.936572544899999</v>
      </c>
    </row>
    <row r="368" spans="6:57">
      <c r="F368" s="9"/>
      <c r="G368" s="22">
        <v>4.7302200000000003E-2</v>
      </c>
      <c r="H368" s="22">
        <v>59.703800000000001</v>
      </c>
      <c r="I368" s="22">
        <v>-1.7337000000000002E-2</v>
      </c>
      <c r="J368" s="22">
        <v>358</v>
      </c>
      <c r="K368" s="22">
        <v>4.7274799999999999E-2</v>
      </c>
      <c r="L368">
        <f t="shared" si="60"/>
        <v>17.337000000000003</v>
      </c>
      <c r="M368">
        <f t="shared" si="61"/>
        <v>0.82007824140000019</v>
      </c>
      <c r="N368" s="9"/>
      <c r="O368" s="22">
        <v>1.7027300000000001</v>
      </c>
      <c r="P368" s="22">
        <v>115.1</v>
      </c>
      <c r="Q368" s="22">
        <v>-9.3292199999999992E-3</v>
      </c>
      <c r="R368" s="22">
        <v>358</v>
      </c>
      <c r="S368" s="22">
        <v>1.70166</v>
      </c>
      <c r="T368">
        <f t="shared" si="62"/>
        <v>9.3292199999999994</v>
      </c>
      <c r="U368">
        <f t="shared" si="63"/>
        <v>15.8851427706</v>
      </c>
      <c r="X368" s="9"/>
      <c r="Y368" s="22">
        <v>4.7302200000000003E-2</v>
      </c>
      <c r="Z368" s="22">
        <v>177.05699999999999</v>
      </c>
      <c r="AA368" s="22">
        <v>-1.7196699999999999E-2</v>
      </c>
      <c r="AB368" s="22">
        <v>358</v>
      </c>
      <c r="AC368" s="22">
        <v>4.7265599999999998E-2</v>
      </c>
      <c r="AD368">
        <f t="shared" si="64"/>
        <v>17.1967</v>
      </c>
      <c r="AE368">
        <f t="shared" si="65"/>
        <v>0.81344174274000003</v>
      </c>
      <c r="AF368" s="9"/>
      <c r="AG368" s="22">
        <v>1.7027300000000001</v>
      </c>
      <c r="AH368" s="22">
        <v>256.589</v>
      </c>
      <c r="AI368" s="22">
        <v>-9.0820299999999996E-3</v>
      </c>
      <c r="AJ368" s="22">
        <v>358</v>
      </c>
      <c r="AK368" s="22">
        <v>1.7022699999999999</v>
      </c>
      <c r="AL368">
        <f t="shared" si="66"/>
        <v>9.0820299999999996</v>
      </c>
      <c r="AM368">
        <f t="shared" si="67"/>
        <v>15.464244941900001</v>
      </c>
      <c r="AP368" s="9"/>
      <c r="AQ368" s="22">
        <v>4.7302200000000003E-2</v>
      </c>
      <c r="AR368" s="22">
        <v>309.00599999999997</v>
      </c>
      <c r="AS368" s="22">
        <v>-1.6992199999999999E-2</v>
      </c>
      <c r="AT368" s="22">
        <v>358</v>
      </c>
      <c r="AU368" s="22">
        <v>4.7247299999999999E-2</v>
      </c>
      <c r="AV368">
        <f t="shared" si="68"/>
        <v>16.9922</v>
      </c>
      <c r="AW368">
        <f t="shared" si="69"/>
        <v>0.80376844284000004</v>
      </c>
      <c r="AX368" s="9"/>
      <c r="AY368" s="22">
        <v>1.7027300000000001</v>
      </c>
      <c r="AZ368" s="22">
        <v>388.23599999999999</v>
      </c>
      <c r="BA368" s="22">
        <v>-9.1033899999999994E-3</v>
      </c>
      <c r="BB368" s="22">
        <v>358</v>
      </c>
      <c r="BC368" s="22">
        <v>1.70197</v>
      </c>
      <c r="BD368">
        <f t="shared" si="70"/>
        <v>9.1033899999999992</v>
      </c>
      <c r="BE368">
        <f t="shared" si="71"/>
        <v>15.5006152547</v>
      </c>
    </row>
    <row r="369" spans="6:57">
      <c r="F369" s="9"/>
      <c r="G369" s="22">
        <v>4.22668E-2</v>
      </c>
      <c r="H369" s="22">
        <v>59.804499999999997</v>
      </c>
      <c r="I369" s="22">
        <v>-1.7306499999999999E-2</v>
      </c>
      <c r="J369" s="22">
        <v>359</v>
      </c>
      <c r="K369" s="22">
        <v>4.2257700000000002E-2</v>
      </c>
      <c r="L369">
        <f t="shared" si="60"/>
        <v>17.3065</v>
      </c>
      <c r="M369">
        <f t="shared" si="61"/>
        <v>0.73149037419999996</v>
      </c>
      <c r="N369" s="9"/>
      <c r="O369" s="22">
        <v>1.7077599999999999</v>
      </c>
      <c r="P369" s="22">
        <v>115.2</v>
      </c>
      <c r="Q369" s="22">
        <v>-9.0209999999999995E-3</v>
      </c>
      <c r="R369" s="22">
        <v>359</v>
      </c>
      <c r="S369" s="22">
        <v>1.70746</v>
      </c>
      <c r="T369">
        <f t="shared" si="62"/>
        <v>9.020999999999999</v>
      </c>
      <c r="U369">
        <f t="shared" si="63"/>
        <v>15.405702959999998</v>
      </c>
      <c r="X369" s="9"/>
      <c r="Y369" s="22">
        <v>4.22668E-2</v>
      </c>
      <c r="Z369" s="22">
        <v>177.15700000000001</v>
      </c>
      <c r="AA369" s="22">
        <v>-1.7202800000000001E-2</v>
      </c>
      <c r="AB369" s="22">
        <v>359</v>
      </c>
      <c r="AC369" s="22">
        <v>4.2239400000000003E-2</v>
      </c>
      <c r="AD369">
        <f t="shared" si="64"/>
        <v>17.2028</v>
      </c>
      <c r="AE369">
        <f t="shared" si="65"/>
        <v>0.72710730704000004</v>
      </c>
      <c r="AF369" s="9"/>
      <c r="AG369" s="22">
        <v>1.7077599999999999</v>
      </c>
      <c r="AH369" s="22">
        <v>256.69</v>
      </c>
      <c r="AI369" s="22">
        <v>-8.7341299999999997E-3</v>
      </c>
      <c r="AJ369" s="22">
        <v>359</v>
      </c>
      <c r="AK369" s="22">
        <v>1.70746</v>
      </c>
      <c r="AL369">
        <f t="shared" si="66"/>
        <v>8.7341300000000004</v>
      </c>
      <c r="AM369">
        <f t="shared" si="67"/>
        <v>14.9157978488</v>
      </c>
      <c r="AP369" s="9"/>
      <c r="AQ369" s="22">
        <v>4.22668E-2</v>
      </c>
      <c r="AR369" s="22">
        <v>309.10599999999999</v>
      </c>
      <c r="AS369" s="22">
        <v>-1.7025800000000001E-2</v>
      </c>
      <c r="AT369" s="22">
        <v>359</v>
      </c>
      <c r="AU369" s="22">
        <v>4.2349199999999997E-2</v>
      </c>
      <c r="AV369">
        <f t="shared" si="68"/>
        <v>17.0258</v>
      </c>
      <c r="AW369">
        <f t="shared" si="69"/>
        <v>0.71962608344000001</v>
      </c>
      <c r="AX369" s="9"/>
      <c r="AY369" s="22">
        <v>1.7077599999999999</v>
      </c>
      <c r="AZ369" s="22">
        <v>388.33699999999999</v>
      </c>
      <c r="BA369" s="22">
        <v>-8.7860100000000003E-3</v>
      </c>
      <c r="BB369" s="22">
        <v>359</v>
      </c>
      <c r="BC369" s="22">
        <v>1.70685</v>
      </c>
      <c r="BD369">
        <f t="shared" si="70"/>
        <v>8.786010000000001</v>
      </c>
      <c r="BE369">
        <f t="shared" si="71"/>
        <v>15.004396437600001</v>
      </c>
    </row>
    <row r="370" spans="6:57">
      <c r="F370" s="9"/>
      <c r="G370" s="22">
        <v>3.7231399999999998E-2</v>
      </c>
      <c r="H370" s="22">
        <v>59.905200000000001</v>
      </c>
      <c r="I370" s="22">
        <v>-1.7349199999999999E-2</v>
      </c>
      <c r="J370" s="22">
        <v>360</v>
      </c>
      <c r="K370" s="22">
        <v>3.7185700000000002E-2</v>
      </c>
      <c r="L370">
        <f t="shared" si="60"/>
        <v>17.3492</v>
      </c>
      <c r="M370">
        <f t="shared" si="61"/>
        <v>0.64593500488</v>
      </c>
      <c r="N370" s="9"/>
      <c r="O370" s="22">
        <v>1.7128000000000001</v>
      </c>
      <c r="P370" s="22">
        <v>115.301</v>
      </c>
      <c r="Q370" s="22">
        <v>-8.6517299999999998E-3</v>
      </c>
      <c r="R370" s="22">
        <v>360</v>
      </c>
      <c r="S370" s="22">
        <v>1.71204</v>
      </c>
      <c r="T370">
        <f t="shared" si="62"/>
        <v>8.6517300000000006</v>
      </c>
      <c r="U370">
        <f t="shared" si="63"/>
        <v>14.818683144000001</v>
      </c>
      <c r="X370" s="9"/>
      <c r="Y370" s="22">
        <v>3.7231399999999998E-2</v>
      </c>
      <c r="Z370" s="22">
        <v>177.25800000000001</v>
      </c>
      <c r="AA370" s="22">
        <v>-1.72333E-2</v>
      </c>
      <c r="AB370" s="22">
        <v>360</v>
      </c>
      <c r="AC370" s="22">
        <v>3.7185700000000002E-2</v>
      </c>
      <c r="AD370">
        <f t="shared" si="64"/>
        <v>17.2333</v>
      </c>
      <c r="AE370">
        <f t="shared" si="65"/>
        <v>0.64161988561999994</v>
      </c>
      <c r="AF370" s="9"/>
      <c r="AG370" s="22">
        <v>1.7128000000000001</v>
      </c>
      <c r="AH370" s="22">
        <v>256.79000000000002</v>
      </c>
      <c r="AI370" s="22">
        <v>-8.4014899999999993E-3</v>
      </c>
      <c r="AJ370" s="22">
        <v>360</v>
      </c>
      <c r="AK370" s="22">
        <v>1.71204</v>
      </c>
      <c r="AL370">
        <f t="shared" si="66"/>
        <v>8.401489999999999</v>
      </c>
      <c r="AM370">
        <f t="shared" si="67"/>
        <v>14.390072071999999</v>
      </c>
      <c r="AP370" s="9"/>
      <c r="AQ370" s="22">
        <v>3.7231399999999998E-2</v>
      </c>
      <c r="AR370" s="22">
        <v>309.20699999999999</v>
      </c>
      <c r="AS370" s="22">
        <v>-1.70288E-2</v>
      </c>
      <c r="AT370" s="22">
        <v>360</v>
      </c>
      <c r="AU370" s="22">
        <v>3.7265E-2</v>
      </c>
      <c r="AV370">
        <f t="shared" si="68"/>
        <v>17.0288</v>
      </c>
      <c r="AW370">
        <f t="shared" si="69"/>
        <v>0.63400606431999995</v>
      </c>
      <c r="AX370" s="9"/>
      <c r="AY370" s="22">
        <v>1.7128000000000001</v>
      </c>
      <c r="AZ370" s="22">
        <v>388.43700000000001</v>
      </c>
      <c r="BA370" s="22">
        <v>-8.4594700000000002E-3</v>
      </c>
      <c r="BB370" s="22">
        <v>360</v>
      </c>
      <c r="BC370" s="22">
        <v>1.71204</v>
      </c>
      <c r="BD370">
        <f t="shared" si="70"/>
        <v>8.4594699999999996</v>
      </c>
      <c r="BE370">
        <f t="shared" si="71"/>
        <v>14.489380216000001</v>
      </c>
    </row>
    <row r="371" spans="6:57">
      <c r="F371" s="9"/>
      <c r="G371" s="22">
        <v>3.2196000000000002E-2</v>
      </c>
      <c r="H371" s="22">
        <v>60.005899999999997</v>
      </c>
      <c r="I371" s="22">
        <v>-1.7373699999999999E-2</v>
      </c>
      <c r="J371" s="22">
        <v>361</v>
      </c>
      <c r="K371" s="22">
        <v>3.2141099999999999E-2</v>
      </c>
      <c r="L371">
        <f t="shared" si="60"/>
        <v>17.373699999999999</v>
      </c>
      <c r="M371">
        <f t="shared" si="61"/>
        <v>0.55936364520000004</v>
      </c>
      <c r="N371" s="9"/>
      <c r="O371" s="22">
        <v>1.71783</v>
      </c>
      <c r="P371" s="22">
        <v>115.402</v>
      </c>
      <c r="Q371" s="22">
        <v>-8.3038299999999999E-3</v>
      </c>
      <c r="R371" s="22">
        <v>361</v>
      </c>
      <c r="S371" s="22">
        <v>1.71692</v>
      </c>
      <c r="T371">
        <f t="shared" si="62"/>
        <v>8.3038299999999996</v>
      </c>
      <c r="U371">
        <f t="shared" si="63"/>
        <v>14.2645682889</v>
      </c>
      <c r="X371" s="9"/>
      <c r="Y371" s="22">
        <v>3.2196000000000002E-2</v>
      </c>
      <c r="Z371" s="22">
        <v>177.35900000000001</v>
      </c>
      <c r="AA371" s="22">
        <v>-1.7224099999999999E-2</v>
      </c>
      <c r="AB371" s="22">
        <v>361</v>
      </c>
      <c r="AC371" s="22">
        <v>3.2223500000000002E-2</v>
      </c>
      <c r="AD371">
        <f t="shared" si="64"/>
        <v>17.2241</v>
      </c>
      <c r="AE371">
        <f t="shared" si="65"/>
        <v>0.55454712360000002</v>
      </c>
      <c r="AF371" s="9"/>
      <c r="AG371" s="22">
        <v>1.71783</v>
      </c>
      <c r="AH371" s="22">
        <v>256.89100000000002</v>
      </c>
      <c r="AI371" s="22">
        <v>-8.0291700000000004E-3</v>
      </c>
      <c r="AJ371" s="22">
        <v>361</v>
      </c>
      <c r="AK371" s="22">
        <v>1.71661</v>
      </c>
      <c r="AL371">
        <f t="shared" si="66"/>
        <v>8.0291700000000006</v>
      </c>
      <c r="AM371">
        <f t="shared" si="67"/>
        <v>13.7927491011</v>
      </c>
      <c r="AP371" s="9"/>
      <c r="AQ371" s="22">
        <v>3.2196000000000002E-2</v>
      </c>
      <c r="AR371" s="22">
        <v>309.30799999999999</v>
      </c>
      <c r="AS371" s="22">
        <v>-1.6998300000000001E-2</v>
      </c>
      <c r="AT371" s="22">
        <v>361</v>
      </c>
      <c r="AU371" s="22">
        <v>3.2174700000000001E-2</v>
      </c>
      <c r="AV371">
        <f t="shared" si="68"/>
        <v>16.9983</v>
      </c>
      <c r="AW371">
        <f t="shared" si="69"/>
        <v>0.54727726680000011</v>
      </c>
      <c r="AX371" s="9"/>
      <c r="AY371" s="22">
        <v>1.71783</v>
      </c>
      <c r="AZ371" s="22">
        <v>388.53800000000001</v>
      </c>
      <c r="BA371" s="22">
        <v>-8.1237800000000006E-3</v>
      </c>
      <c r="BB371" s="22">
        <v>361</v>
      </c>
      <c r="BC371" s="22">
        <v>1.71661</v>
      </c>
      <c r="BD371">
        <f t="shared" si="70"/>
        <v>8.12378</v>
      </c>
      <c r="BE371">
        <f t="shared" si="71"/>
        <v>13.9552729974</v>
      </c>
    </row>
    <row r="372" spans="6:57">
      <c r="F372" s="9"/>
      <c r="G372" s="22">
        <v>2.71606E-2</v>
      </c>
      <c r="H372" s="22">
        <v>60.1066</v>
      </c>
      <c r="I372" s="22">
        <v>-1.7379800000000001E-2</v>
      </c>
      <c r="J372" s="22">
        <v>362</v>
      </c>
      <c r="K372" s="22">
        <v>2.7020300000000001E-2</v>
      </c>
      <c r="L372">
        <f t="shared" si="60"/>
        <v>17.379799999999999</v>
      </c>
      <c r="M372">
        <f t="shared" si="61"/>
        <v>0.47204579588000001</v>
      </c>
      <c r="N372" s="9"/>
      <c r="O372" s="22">
        <v>1.7228699999999999</v>
      </c>
      <c r="P372" s="22">
        <v>115.502</v>
      </c>
      <c r="Q372" s="22">
        <v>-7.9101599999999994E-3</v>
      </c>
      <c r="R372" s="22">
        <v>362</v>
      </c>
      <c r="S372" s="22">
        <v>1.72211</v>
      </c>
      <c r="T372">
        <f t="shared" si="62"/>
        <v>7.9101599999999994</v>
      </c>
      <c r="U372">
        <f t="shared" si="63"/>
        <v>13.628177359199999</v>
      </c>
      <c r="X372" s="9"/>
      <c r="Y372" s="22">
        <v>2.71606E-2</v>
      </c>
      <c r="Z372" s="22">
        <v>177.459</v>
      </c>
      <c r="AA372" s="22">
        <v>-1.7163100000000001E-2</v>
      </c>
      <c r="AB372" s="22">
        <v>362</v>
      </c>
      <c r="AC372" s="22">
        <v>2.70081E-2</v>
      </c>
      <c r="AD372">
        <f t="shared" si="64"/>
        <v>17.1631</v>
      </c>
      <c r="AE372">
        <f t="shared" si="65"/>
        <v>0.46616009386000001</v>
      </c>
      <c r="AF372" s="9"/>
      <c r="AG372" s="22">
        <v>1.7228699999999999</v>
      </c>
      <c r="AH372" s="22">
        <v>256.99200000000002</v>
      </c>
      <c r="AI372" s="22">
        <v>-7.6324499999999998E-3</v>
      </c>
      <c r="AJ372" s="22">
        <v>362</v>
      </c>
      <c r="AK372" s="22">
        <v>1.72241</v>
      </c>
      <c r="AL372">
        <f t="shared" si="66"/>
        <v>7.6324499999999995</v>
      </c>
      <c r="AM372">
        <f t="shared" si="67"/>
        <v>13.149719131499998</v>
      </c>
      <c r="AP372" s="9"/>
      <c r="AQ372" s="22">
        <v>2.71606E-2</v>
      </c>
      <c r="AR372" s="22">
        <v>309.40899999999999</v>
      </c>
      <c r="AS372" s="22">
        <v>-1.7019699999999999E-2</v>
      </c>
      <c r="AT372" s="22">
        <v>362</v>
      </c>
      <c r="AU372" s="22">
        <v>2.70905E-2</v>
      </c>
      <c r="AV372">
        <f t="shared" si="68"/>
        <v>17.0197</v>
      </c>
      <c r="AW372">
        <f t="shared" si="69"/>
        <v>0.46226526381999999</v>
      </c>
      <c r="AX372" s="9"/>
      <c r="AY372" s="22">
        <v>1.7228699999999999</v>
      </c>
      <c r="AZ372" s="22">
        <v>388.63900000000001</v>
      </c>
      <c r="BA372" s="22">
        <v>-7.7148399999999997E-3</v>
      </c>
      <c r="BB372" s="22">
        <v>362</v>
      </c>
      <c r="BC372" s="22">
        <v>1.72241</v>
      </c>
      <c r="BD372">
        <f t="shared" si="70"/>
        <v>7.7148399999999997</v>
      </c>
      <c r="BE372">
        <f t="shared" si="71"/>
        <v>13.291666390799998</v>
      </c>
    </row>
    <row r="373" spans="6:57">
      <c r="F373" s="9"/>
      <c r="G373" s="22">
        <v>2.2125200000000001E-2</v>
      </c>
      <c r="H373" s="22">
        <v>60.207299999999996</v>
      </c>
      <c r="I373" s="22">
        <v>-1.73676E-2</v>
      </c>
      <c r="J373" s="22">
        <v>363</v>
      </c>
      <c r="K373" s="22">
        <v>2.1948200000000001E-2</v>
      </c>
      <c r="L373">
        <f t="shared" si="60"/>
        <v>17.367599999999999</v>
      </c>
      <c r="M373">
        <f t="shared" si="61"/>
        <v>0.38426162351999998</v>
      </c>
      <c r="N373" s="9"/>
      <c r="O373" s="22">
        <v>1.7279100000000001</v>
      </c>
      <c r="P373" s="22">
        <v>115.60299999999999</v>
      </c>
      <c r="Q373" s="22">
        <v>-7.5439499999999998E-3</v>
      </c>
      <c r="R373" s="22">
        <v>363</v>
      </c>
      <c r="S373" s="22">
        <v>1.72729</v>
      </c>
      <c r="T373">
        <f t="shared" si="62"/>
        <v>7.5439499999999997</v>
      </c>
      <c r="U373">
        <f t="shared" si="63"/>
        <v>13.0352666445</v>
      </c>
      <c r="X373" s="9"/>
      <c r="Y373" s="22">
        <v>2.2125200000000001E-2</v>
      </c>
      <c r="Z373" s="22">
        <v>177.56</v>
      </c>
      <c r="AA373" s="22">
        <v>-1.7239399999999998E-2</v>
      </c>
      <c r="AB373" s="22">
        <v>363</v>
      </c>
      <c r="AC373" s="22">
        <v>2.2094699999999998E-2</v>
      </c>
      <c r="AD373">
        <f t="shared" si="64"/>
        <v>17.2394</v>
      </c>
      <c r="AE373">
        <f t="shared" si="65"/>
        <v>0.38142517288</v>
      </c>
      <c r="AF373" s="9"/>
      <c r="AG373" s="22">
        <v>1.7279100000000001</v>
      </c>
      <c r="AH373" s="22">
        <v>257.09199999999998</v>
      </c>
      <c r="AI373" s="22">
        <v>-7.2357200000000002E-3</v>
      </c>
      <c r="AJ373" s="22">
        <v>363</v>
      </c>
      <c r="AK373" s="22">
        <v>1.72699</v>
      </c>
      <c r="AL373">
        <f t="shared" si="66"/>
        <v>7.2357200000000006</v>
      </c>
      <c r="AM373">
        <f t="shared" si="67"/>
        <v>12.502672945200002</v>
      </c>
      <c r="AP373" s="9"/>
      <c r="AQ373" s="22">
        <v>2.2125200000000001E-2</v>
      </c>
      <c r="AR373" s="22">
        <v>309.50900000000001</v>
      </c>
      <c r="AS373" s="22">
        <v>-1.7025800000000001E-2</v>
      </c>
      <c r="AT373" s="22">
        <v>363</v>
      </c>
      <c r="AU373" s="22">
        <v>2.2048999999999999E-2</v>
      </c>
      <c r="AV373">
        <f t="shared" si="68"/>
        <v>17.0258</v>
      </c>
      <c r="AW373">
        <f t="shared" si="69"/>
        <v>0.37669923016000001</v>
      </c>
      <c r="AX373" s="9"/>
      <c r="AY373" s="22">
        <v>1.7279100000000001</v>
      </c>
      <c r="AZ373" s="22">
        <v>388.74</v>
      </c>
      <c r="BA373" s="22">
        <v>-7.3089599999999998E-3</v>
      </c>
      <c r="BB373" s="22">
        <v>363</v>
      </c>
      <c r="BC373" s="22">
        <v>1.7276</v>
      </c>
      <c r="BD373">
        <f t="shared" si="70"/>
        <v>7.3089599999999999</v>
      </c>
      <c r="BE373">
        <f t="shared" si="71"/>
        <v>12.629225073600001</v>
      </c>
    </row>
    <row r="374" spans="6:57">
      <c r="F374" s="9"/>
      <c r="G374" s="22">
        <v>1.7089799999999999E-2</v>
      </c>
      <c r="H374" s="22">
        <v>60.308</v>
      </c>
      <c r="I374" s="22">
        <v>-1.7352300000000001E-2</v>
      </c>
      <c r="J374" s="22">
        <v>364</v>
      </c>
      <c r="K374" s="22">
        <v>1.69891E-2</v>
      </c>
      <c r="L374">
        <f t="shared" si="60"/>
        <v>17.3523</v>
      </c>
      <c r="M374">
        <f t="shared" si="61"/>
        <v>0.29654733653999998</v>
      </c>
      <c r="N374" s="9"/>
      <c r="O374" s="22">
        <v>1.7329399999999999</v>
      </c>
      <c r="P374" s="22">
        <v>115.70399999999999</v>
      </c>
      <c r="Q374" s="22">
        <v>-7.1197500000000002E-3</v>
      </c>
      <c r="R374" s="22">
        <v>364</v>
      </c>
      <c r="S374" s="22">
        <v>1.7321800000000001</v>
      </c>
      <c r="T374">
        <f t="shared" si="62"/>
        <v>7.1197499999999998</v>
      </c>
      <c r="U374">
        <f t="shared" si="63"/>
        <v>12.338099564999998</v>
      </c>
      <c r="X374" s="9"/>
      <c r="Y374" s="22">
        <v>1.7089799999999999E-2</v>
      </c>
      <c r="Z374" s="22">
        <v>177.661</v>
      </c>
      <c r="AA374" s="22">
        <v>-1.72607E-2</v>
      </c>
      <c r="AB374" s="22">
        <v>364</v>
      </c>
      <c r="AC374" s="22">
        <v>1.70441E-2</v>
      </c>
      <c r="AD374">
        <f t="shared" si="64"/>
        <v>17.2607</v>
      </c>
      <c r="AE374">
        <f t="shared" si="65"/>
        <v>0.29498191085999997</v>
      </c>
      <c r="AF374" s="9"/>
      <c r="AG374" s="22">
        <v>1.7329399999999999</v>
      </c>
      <c r="AH374" s="22">
        <v>257.19299999999998</v>
      </c>
      <c r="AI374" s="22">
        <v>-6.7840599999999997E-3</v>
      </c>
      <c r="AJ374" s="22">
        <v>364</v>
      </c>
      <c r="AK374" s="22">
        <v>1.7321800000000001</v>
      </c>
      <c r="AL374">
        <f t="shared" si="66"/>
        <v>6.7840599999999993</v>
      </c>
      <c r="AM374">
        <f t="shared" si="67"/>
        <v>11.756368936399998</v>
      </c>
      <c r="AP374" s="9"/>
      <c r="AQ374" s="22">
        <v>1.7089799999999999E-2</v>
      </c>
      <c r="AR374" s="22">
        <v>309.61</v>
      </c>
      <c r="AS374" s="22">
        <v>-1.7019699999999999E-2</v>
      </c>
      <c r="AT374" s="22">
        <v>364</v>
      </c>
      <c r="AU374" s="22">
        <v>1.6998300000000001E-2</v>
      </c>
      <c r="AV374">
        <f t="shared" si="68"/>
        <v>17.0197</v>
      </c>
      <c r="AW374">
        <f t="shared" si="69"/>
        <v>0.29086326905999998</v>
      </c>
      <c r="AX374" s="9"/>
      <c r="AY374" s="22">
        <v>1.7329399999999999</v>
      </c>
      <c r="AZ374" s="22">
        <v>388.84</v>
      </c>
      <c r="BA374" s="22">
        <v>-6.8725599999999998E-3</v>
      </c>
      <c r="BB374" s="22">
        <v>364</v>
      </c>
      <c r="BC374" s="22">
        <v>1.73187</v>
      </c>
      <c r="BD374">
        <f t="shared" si="70"/>
        <v>6.87256</v>
      </c>
      <c r="BE374">
        <f t="shared" si="71"/>
        <v>11.9097341264</v>
      </c>
    </row>
    <row r="375" spans="6:57">
      <c r="F375" s="9"/>
      <c r="G375" s="22">
        <v>1.20544E-2</v>
      </c>
      <c r="H375" s="22">
        <v>60.408700000000003</v>
      </c>
      <c r="I375" s="22">
        <v>-1.7346199999999999E-2</v>
      </c>
      <c r="J375" s="22">
        <v>365</v>
      </c>
      <c r="K375" s="22">
        <v>1.19446E-2</v>
      </c>
      <c r="L375">
        <f t="shared" si="60"/>
        <v>17.3462</v>
      </c>
      <c r="M375">
        <f t="shared" si="61"/>
        <v>0.20909803327999998</v>
      </c>
      <c r="N375" s="9"/>
      <c r="O375" s="22">
        <v>1.7379800000000001</v>
      </c>
      <c r="P375" s="22">
        <v>115.80500000000001</v>
      </c>
      <c r="Q375" s="22">
        <v>-6.6650399999999997E-3</v>
      </c>
      <c r="R375" s="22">
        <v>365</v>
      </c>
      <c r="S375" s="22">
        <v>1.7373700000000001</v>
      </c>
      <c r="T375">
        <f t="shared" si="62"/>
        <v>6.6650399999999994</v>
      </c>
      <c r="U375">
        <f t="shared" si="63"/>
        <v>11.5837062192</v>
      </c>
      <c r="X375" s="9"/>
      <c r="Y375" s="22">
        <v>1.20544E-2</v>
      </c>
      <c r="Z375" s="22">
        <v>177.762</v>
      </c>
      <c r="AA375" s="22">
        <v>-1.72333E-2</v>
      </c>
      <c r="AB375" s="22">
        <v>365</v>
      </c>
      <c r="AC375" s="22">
        <v>1.18469E-2</v>
      </c>
      <c r="AD375">
        <f t="shared" si="64"/>
        <v>17.2333</v>
      </c>
      <c r="AE375">
        <f t="shared" si="65"/>
        <v>0.20773709152</v>
      </c>
      <c r="AF375" s="9"/>
      <c r="AG375" s="22">
        <v>1.7379800000000001</v>
      </c>
      <c r="AH375" s="22">
        <v>257.29399999999998</v>
      </c>
      <c r="AI375" s="22">
        <v>-6.29578E-3</v>
      </c>
      <c r="AJ375" s="22">
        <v>365</v>
      </c>
      <c r="AK375" s="22">
        <v>1.7373700000000001</v>
      </c>
      <c r="AL375">
        <f t="shared" si="66"/>
        <v>6.2957799999999997</v>
      </c>
      <c r="AM375">
        <f t="shared" si="67"/>
        <v>10.941939724399999</v>
      </c>
      <c r="AP375" s="9"/>
      <c r="AQ375" s="22">
        <v>1.20544E-2</v>
      </c>
      <c r="AR375" s="22">
        <v>309.71100000000001</v>
      </c>
      <c r="AS375" s="22">
        <v>-1.7022700000000002E-2</v>
      </c>
      <c r="AT375" s="22">
        <v>365</v>
      </c>
      <c r="AU375" s="22">
        <v>1.20178E-2</v>
      </c>
      <c r="AV375">
        <f t="shared" si="68"/>
        <v>17.0227</v>
      </c>
      <c r="AW375">
        <f t="shared" si="69"/>
        <v>0.20519843488</v>
      </c>
      <c r="AX375" s="9"/>
      <c r="AY375" s="22">
        <v>1.7379800000000001</v>
      </c>
      <c r="AZ375" s="22">
        <v>388.94099999999997</v>
      </c>
      <c r="BA375" s="22">
        <v>-6.3873300000000001E-3</v>
      </c>
      <c r="BB375" s="22">
        <v>365</v>
      </c>
      <c r="BC375" s="22">
        <v>1.7373700000000001</v>
      </c>
      <c r="BD375">
        <f t="shared" si="70"/>
        <v>6.3873300000000004</v>
      </c>
      <c r="BE375">
        <f t="shared" si="71"/>
        <v>11.101051793400002</v>
      </c>
    </row>
    <row r="376" spans="6:57">
      <c r="F376" s="9"/>
      <c r="G376" s="22">
        <v>7.0190399999999998E-3</v>
      </c>
      <c r="H376" s="22">
        <v>60.509399999999999</v>
      </c>
      <c r="I376" s="22">
        <v>-1.7361499999999998E-2</v>
      </c>
      <c r="J376" s="22">
        <v>366</v>
      </c>
      <c r="K376" s="22">
        <v>6.9549599999999996E-3</v>
      </c>
      <c r="L376">
        <f t="shared" si="60"/>
        <v>17.361499999999999</v>
      </c>
      <c r="M376">
        <f t="shared" si="61"/>
        <v>0.12186106295999999</v>
      </c>
      <c r="N376" s="9"/>
      <c r="O376" s="22">
        <v>1.7430099999999999</v>
      </c>
      <c r="P376" s="22">
        <v>115.905</v>
      </c>
      <c r="Q376" s="22">
        <v>-6.1981199999999997E-3</v>
      </c>
      <c r="R376" s="22">
        <v>366</v>
      </c>
      <c r="S376" s="22">
        <v>1.74255</v>
      </c>
      <c r="T376">
        <f t="shared" si="62"/>
        <v>6.1981199999999994</v>
      </c>
      <c r="U376">
        <f t="shared" si="63"/>
        <v>10.803385141199998</v>
      </c>
      <c r="X376" s="9"/>
      <c r="Y376" s="22">
        <v>7.0190399999999998E-3</v>
      </c>
      <c r="Z376" s="22">
        <v>177.86199999999999</v>
      </c>
      <c r="AA376" s="22">
        <v>-1.7282100000000002E-2</v>
      </c>
      <c r="AB376" s="22">
        <v>366</v>
      </c>
      <c r="AC376" s="22">
        <v>6.8725599999999998E-3</v>
      </c>
      <c r="AD376">
        <f t="shared" si="64"/>
        <v>17.282100000000003</v>
      </c>
      <c r="AE376">
        <f t="shared" si="65"/>
        <v>0.12130375118400002</v>
      </c>
      <c r="AF376" s="9"/>
      <c r="AG376" s="22">
        <v>1.7430099999999999</v>
      </c>
      <c r="AH376" s="22">
        <v>257.39499999999998</v>
      </c>
      <c r="AI376" s="22">
        <v>-5.7800300000000002E-3</v>
      </c>
      <c r="AJ376" s="22">
        <v>366</v>
      </c>
      <c r="AK376" s="22">
        <v>1.7416400000000001</v>
      </c>
      <c r="AL376">
        <f t="shared" si="66"/>
        <v>5.78003</v>
      </c>
      <c r="AM376">
        <f t="shared" si="67"/>
        <v>10.0746500903</v>
      </c>
      <c r="AP376" s="9"/>
      <c r="AQ376" s="22">
        <v>7.0190399999999998E-3</v>
      </c>
      <c r="AR376" s="22">
        <v>309.81099999999998</v>
      </c>
      <c r="AS376" s="22">
        <v>-1.7013500000000001E-2</v>
      </c>
      <c r="AT376" s="22">
        <v>366</v>
      </c>
      <c r="AU376" s="22">
        <v>6.8054200000000004E-3</v>
      </c>
      <c r="AV376">
        <f t="shared" si="68"/>
        <v>17.013500000000001</v>
      </c>
      <c r="AW376">
        <f t="shared" si="69"/>
        <v>0.11941843704000001</v>
      </c>
      <c r="AX376" s="9"/>
      <c r="AY376" s="22">
        <v>1.7430099999999999</v>
      </c>
      <c r="AZ376" s="22">
        <v>389.04199999999997</v>
      </c>
      <c r="BA376" s="22">
        <v>-5.8746299999999996E-3</v>
      </c>
      <c r="BB376" s="22">
        <v>366</v>
      </c>
      <c r="BC376" s="22">
        <v>1.7422500000000001</v>
      </c>
      <c r="BD376">
        <f t="shared" si="70"/>
        <v>5.8746299999999998</v>
      </c>
      <c r="BE376">
        <f t="shared" si="71"/>
        <v>10.2395388363</v>
      </c>
    </row>
    <row r="377" spans="6:57">
      <c r="F377" s="9"/>
      <c r="G377" s="22">
        <v>1.9836400000000001E-3</v>
      </c>
      <c r="H377" s="22">
        <v>60.610100000000003</v>
      </c>
      <c r="I377" s="22">
        <v>-1.7352300000000001E-2</v>
      </c>
      <c r="J377" s="22">
        <v>367</v>
      </c>
      <c r="K377" s="22">
        <v>1.8493699999999999E-3</v>
      </c>
      <c r="L377">
        <f t="shared" si="60"/>
        <v>17.3523</v>
      </c>
      <c r="M377">
        <f t="shared" si="61"/>
        <v>3.4420716371999997E-2</v>
      </c>
      <c r="N377" s="9"/>
      <c r="O377" s="22">
        <v>1.7480500000000001</v>
      </c>
      <c r="P377" s="22">
        <v>116.006</v>
      </c>
      <c r="Q377" s="22">
        <v>-5.6579600000000001E-3</v>
      </c>
      <c r="R377" s="22">
        <v>367</v>
      </c>
      <c r="S377" s="22">
        <v>1.7480500000000001</v>
      </c>
      <c r="T377">
        <f t="shared" si="62"/>
        <v>5.6579600000000001</v>
      </c>
      <c r="U377">
        <f t="shared" si="63"/>
        <v>9.8903969780000001</v>
      </c>
      <c r="X377" s="9"/>
      <c r="Y377" s="22">
        <v>1.9836400000000001E-3</v>
      </c>
      <c r="Z377" s="22">
        <v>177.96299999999999</v>
      </c>
      <c r="AA377" s="22">
        <v>-1.7282100000000002E-2</v>
      </c>
      <c r="AB377" s="22">
        <v>367</v>
      </c>
      <c r="AC377" s="22">
        <v>1.8493699999999999E-3</v>
      </c>
      <c r="AD377">
        <f t="shared" si="64"/>
        <v>17.282100000000003</v>
      </c>
      <c r="AE377">
        <f t="shared" si="65"/>
        <v>3.4281464844000006E-2</v>
      </c>
      <c r="AF377" s="9"/>
      <c r="AG377" s="22">
        <v>1.7480500000000001</v>
      </c>
      <c r="AH377" s="22">
        <v>257.495</v>
      </c>
      <c r="AI377" s="22">
        <v>-5.2398699999999998E-3</v>
      </c>
      <c r="AJ377" s="22">
        <v>367</v>
      </c>
      <c r="AK377" s="22">
        <v>1.7474400000000001</v>
      </c>
      <c r="AL377">
        <f t="shared" si="66"/>
        <v>5.2398699999999998</v>
      </c>
      <c r="AM377">
        <f t="shared" si="67"/>
        <v>9.1595547535000001</v>
      </c>
      <c r="AP377" s="9"/>
      <c r="AQ377" s="22">
        <v>1.9836400000000001E-3</v>
      </c>
      <c r="AR377" s="22">
        <v>309.91199999999998</v>
      </c>
      <c r="AS377" s="22">
        <v>-1.7007399999999999E-2</v>
      </c>
      <c r="AT377" s="22">
        <v>367</v>
      </c>
      <c r="AU377" s="22">
        <v>1.89514E-3</v>
      </c>
      <c r="AV377">
        <f t="shared" si="68"/>
        <v>17.007400000000001</v>
      </c>
      <c r="AW377">
        <f t="shared" si="69"/>
        <v>3.3736558936E-2</v>
      </c>
      <c r="AX377" s="9"/>
      <c r="AY377" s="22">
        <v>1.7480500000000001</v>
      </c>
      <c r="AZ377" s="22">
        <v>389.142</v>
      </c>
      <c r="BA377" s="22">
        <v>-5.3588899999999998E-3</v>
      </c>
      <c r="BB377" s="22">
        <v>367</v>
      </c>
      <c r="BC377" s="22">
        <v>1.7468300000000001</v>
      </c>
      <c r="BD377">
        <f t="shared" si="70"/>
        <v>5.3588899999999997</v>
      </c>
      <c r="BE377">
        <f t="shared" si="71"/>
        <v>9.3676076644999995</v>
      </c>
    </row>
    <row r="378" spans="6:57">
      <c r="F378" s="9"/>
      <c r="G378" s="22">
        <v>-3.0517600000000001E-3</v>
      </c>
      <c r="H378" s="22">
        <v>60.710799999999999</v>
      </c>
      <c r="I378" s="22">
        <v>-1.7364500000000001E-2</v>
      </c>
      <c r="J378" s="22">
        <v>368</v>
      </c>
      <c r="K378" s="22">
        <v>-3.2135000000000002E-3</v>
      </c>
      <c r="L378">
        <f t="shared" si="60"/>
        <v>17.364500000000003</v>
      </c>
      <c r="M378">
        <f t="shared" si="61"/>
        <v>-5.2992286520000015E-2</v>
      </c>
      <c r="N378" s="9"/>
      <c r="O378" s="22">
        <v>1.75308</v>
      </c>
      <c r="P378" s="22">
        <v>116.107</v>
      </c>
      <c r="Q378" s="22">
        <v>-5.1330600000000001E-3</v>
      </c>
      <c r="R378" s="22">
        <v>368</v>
      </c>
      <c r="S378" s="22">
        <v>1.7523200000000001</v>
      </c>
      <c r="T378">
        <f t="shared" si="62"/>
        <v>5.1330600000000004</v>
      </c>
      <c r="U378">
        <f t="shared" si="63"/>
        <v>8.9986648248000005</v>
      </c>
      <c r="X378" s="9"/>
      <c r="Y378" s="22">
        <v>-3.0517600000000001E-3</v>
      </c>
      <c r="Z378" s="22">
        <v>178.06399999999999</v>
      </c>
      <c r="AA378" s="22">
        <v>-1.72455E-2</v>
      </c>
      <c r="AB378" s="22">
        <v>368</v>
      </c>
      <c r="AC378" s="22">
        <v>-3.23486E-3</v>
      </c>
      <c r="AD378">
        <f t="shared" si="64"/>
        <v>17.2455</v>
      </c>
      <c r="AE378">
        <f t="shared" si="65"/>
        <v>-5.2629127080000004E-2</v>
      </c>
      <c r="AF378" s="9"/>
      <c r="AG378" s="22">
        <v>1.75308</v>
      </c>
      <c r="AH378" s="22">
        <v>257.596</v>
      </c>
      <c r="AI378" s="22">
        <v>-4.6700999999999999E-3</v>
      </c>
      <c r="AJ378" s="22">
        <v>368</v>
      </c>
      <c r="AK378" s="22">
        <v>1.7526200000000001</v>
      </c>
      <c r="AL378">
        <f t="shared" si="66"/>
        <v>4.6700999999999997</v>
      </c>
      <c r="AM378">
        <f t="shared" si="67"/>
        <v>8.1870589079999991</v>
      </c>
      <c r="AP378" s="9"/>
      <c r="AQ378" s="22">
        <v>-3.0517600000000001E-3</v>
      </c>
      <c r="AR378" s="22">
        <v>310.01299999999998</v>
      </c>
      <c r="AS378" s="22">
        <v>-1.69891E-2</v>
      </c>
      <c r="AT378" s="22">
        <v>368</v>
      </c>
      <c r="AU378" s="22">
        <v>-3.2470699999999999E-3</v>
      </c>
      <c r="AV378">
        <f t="shared" si="68"/>
        <v>16.989100000000001</v>
      </c>
      <c r="AW378">
        <f t="shared" si="69"/>
        <v>-5.1846655816000002E-2</v>
      </c>
      <c r="AX378" s="9"/>
      <c r="AY378" s="22">
        <v>1.75308</v>
      </c>
      <c r="AZ378" s="22">
        <v>389.24299999999999</v>
      </c>
      <c r="BA378" s="22">
        <v>-4.7894299999999999E-3</v>
      </c>
      <c r="BB378" s="22">
        <v>368</v>
      </c>
      <c r="BC378" s="22">
        <v>1.7523200000000001</v>
      </c>
      <c r="BD378">
        <f t="shared" si="70"/>
        <v>4.7894300000000003</v>
      </c>
      <c r="BE378">
        <f t="shared" si="71"/>
        <v>8.3962539443999997</v>
      </c>
    </row>
    <row r="379" spans="6:57">
      <c r="F379" s="9"/>
      <c r="G379" s="22">
        <v>-8.0871599999999995E-3</v>
      </c>
      <c r="H379" s="22">
        <v>60.811599999999999</v>
      </c>
      <c r="I379" s="22">
        <v>-1.7364500000000001E-2</v>
      </c>
      <c r="J379" s="22">
        <v>369</v>
      </c>
      <c r="K379" s="22">
        <v>-8.2061800000000004E-3</v>
      </c>
      <c r="L379">
        <f t="shared" si="60"/>
        <v>17.364500000000003</v>
      </c>
      <c r="M379">
        <f t="shared" si="61"/>
        <v>-0.14042948982</v>
      </c>
      <c r="N379" s="9"/>
      <c r="O379" s="22">
        <v>1.7581199999999999</v>
      </c>
      <c r="P379" s="22">
        <v>116.20699999999999</v>
      </c>
      <c r="Q379" s="22">
        <v>-4.5568800000000001E-3</v>
      </c>
      <c r="R379" s="22">
        <v>369</v>
      </c>
      <c r="S379" s="22">
        <v>1.7575099999999999</v>
      </c>
      <c r="T379">
        <f t="shared" si="62"/>
        <v>4.5568800000000005</v>
      </c>
      <c r="U379">
        <f t="shared" si="63"/>
        <v>8.0115418655999999</v>
      </c>
      <c r="X379" s="9"/>
      <c r="Y379" s="22">
        <v>-8.0871599999999995E-3</v>
      </c>
      <c r="Z379" s="22">
        <v>178.16399999999999</v>
      </c>
      <c r="AA379" s="22">
        <v>-1.72058E-2</v>
      </c>
      <c r="AB379" s="22">
        <v>369</v>
      </c>
      <c r="AC379" s="22">
        <v>-8.2641599999999996E-3</v>
      </c>
      <c r="AD379">
        <f t="shared" si="64"/>
        <v>17.2058</v>
      </c>
      <c r="AE379">
        <f t="shared" si="65"/>
        <v>-0.13914605752799999</v>
      </c>
      <c r="AF379" s="9"/>
      <c r="AG379" s="22">
        <v>1.7581199999999999</v>
      </c>
      <c r="AH379" s="22">
        <v>257.697</v>
      </c>
      <c r="AI379" s="22">
        <v>-4.0362499999999999E-3</v>
      </c>
      <c r="AJ379" s="22">
        <v>369</v>
      </c>
      <c r="AK379" s="22">
        <v>1.7575099999999999</v>
      </c>
      <c r="AL379">
        <f t="shared" si="66"/>
        <v>4.0362499999999999</v>
      </c>
      <c r="AM379">
        <f t="shared" si="67"/>
        <v>7.0962118499999995</v>
      </c>
      <c r="AP379" s="9"/>
      <c r="AQ379" s="22">
        <v>-8.0871599999999995E-3</v>
      </c>
      <c r="AR379" s="22">
        <v>310.113</v>
      </c>
      <c r="AS379" s="22">
        <v>-1.7004399999999999E-2</v>
      </c>
      <c r="AT379" s="22">
        <v>369</v>
      </c>
      <c r="AU379" s="22">
        <v>-8.2824700000000001E-3</v>
      </c>
      <c r="AV379">
        <f t="shared" si="68"/>
        <v>17.0044</v>
      </c>
      <c r="AW379">
        <f t="shared" si="69"/>
        <v>-0.13751730350399999</v>
      </c>
      <c r="AX379" s="9"/>
      <c r="AY379" s="22">
        <v>1.7581199999999999</v>
      </c>
      <c r="AZ379" s="22">
        <v>389.34399999999999</v>
      </c>
      <c r="BA379" s="22">
        <v>-4.1641200000000003E-3</v>
      </c>
      <c r="BB379" s="22">
        <v>369</v>
      </c>
      <c r="BC379" s="22">
        <v>1.7575099999999999</v>
      </c>
      <c r="BD379">
        <f t="shared" si="70"/>
        <v>4.1641200000000005</v>
      </c>
      <c r="BE379">
        <f t="shared" si="71"/>
        <v>7.3210226544000001</v>
      </c>
    </row>
    <row r="380" spans="6:57">
      <c r="F380" s="9"/>
      <c r="G380" s="22">
        <v>-1.31226E-2</v>
      </c>
      <c r="H380" s="22">
        <v>60.912300000000002</v>
      </c>
      <c r="I380" s="22">
        <v>-1.7373699999999999E-2</v>
      </c>
      <c r="J380" s="22">
        <v>370</v>
      </c>
      <c r="K380" s="22">
        <v>-1.3296499999999999E-2</v>
      </c>
      <c r="L380">
        <f t="shared" si="60"/>
        <v>17.373699999999999</v>
      </c>
      <c r="M380">
        <f t="shared" si="61"/>
        <v>-0.22798811561999999</v>
      </c>
      <c r="N380" s="9"/>
      <c r="O380" s="22">
        <v>1.76315</v>
      </c>
      <c r="P380" s="22">
        <v>116.30800000000001</v>
      </c>
      <c r="Q380" s="22">
        <v>-3.9474499999999999E-3</v>
      </c>
      <c r="R380" s="22">
        <v>370</v>
      </c>
      <c r="S380" s="22">
        <v>1.7623899999999999</v>
      </c>
      <c r="T380">
        <f t="shared" si="62"/>
        <v>3.9474499999999999</v>
      </c>
      <c r="U380">
        <f t="shared" si="63"/>
        <v>6.9599464675</v>
      </c>
      <c r="X380" s="9"/>
      <c r="Y380" s="22">
        <v>-1.31226E-2</v>
      </c>
      <c r="Z380" s="22">
        <v>178.26499999999999</v>
      </c>
      <c r="AA380" s="22">
        <v>-1.7211899999999999E-2</v>
      </c>
      <c r="AB380" s="22">
        <v>370</v>
      </c>
      <c r="AC380" s="22">
        <v>-1.33484E-2</v>
      </c>
      <c r="AD380">
        <f t="shared" si="64"/>
        <v>17.2119</v>
      </c>
      <c r="AE380">
        <f t="shared" si="65"/>
        <v>-0.22586487893999999</v>
      </c>
      <c r="AF380" s="9"/>
      <c r="AG380" s="22">
        <v>1.76315</v>
      </c>
      <c r="AH380" s="22">
        <v>257.79700000000003</v>
      </c>
      <c r="AI380" s="22">
        <v>-3.3407599999999999E-3</v>
      </c>
      <c r="AJ380" s="22">
        <v>370</v>
      </c>
      <c r="AK380" s="22">
        <v>1.7623899999999999</v>
      </c>
      <c r="AL380">
        <f t="shared" si="66"/>
        <v>3.34076</v>
      </c>
      <c r="AM380">
        <f t="shared" si="67"/>
        <v>5.8902609940000001</v>
      </c>
      <c r="AP380" s="9"/>
      <c r="AQ380" s="22">
        <v>-1.31226E-2</v>
      </c>
      <c r="AR380" s="22">
        <v>310.214</v>
      </c>
      <c r="AS380" s="22">
        <v>-1.7025800000000001E-2</v>
      </c>
      <c r="AT380" s="22">
        <v>370</v>
      </c>
      <c r="AU380" s="22">
        <v>-1.3336199999999999E-2</v>
      </c>
      <c r="AV380">
        <f t="shared" si="68"/>
        <v>17.0258</v>
      </c>
      <c r="AW380">
        <f t="shared" si="69"/>
        <v>-0.22342276308</v>
      </c>
      <c r="AX380" s="9"/>
      <c r="AY380" s="22">
        <v>1.76315</v>
      </c>
      <c r="AZ380" s="22">
        <v>389.44400000000002</v>
      </c>
      <c r="BA380" s="22">
        <v>-3.4994499999999999E-3</v>
      </c>
      <c r="BB380" s="22">
        <v>370</v>
      </c>
      <c r="BC380" s="22">
        <v>1.7623899999999999</v>
      </c>
      <c r="BD380">
        <f t="shared" si="70"/>
        <v>3.4994499999999999</v>
      </c>
      <c r="BE380">
        <f t="shared" si="71"/>
        <v>6.1700552674999996</v>
      </c>
    </row>
    <row r="381" spans="6:57">
      <c r="F381" s="9"/>
      <c r="G381" s="22">
        <v>-1.8158000000000001E-2</v>
      </c>
      <c r="H381" s="22">
        <v>61.012999999999998</v>
      </c>
      <c r="I381" s="22">
        <v>-1.73706E-2</v>
      </c>
      <c r="J381" s="22">
        <v>371</v>
      </c>
      <c r="K381" s="22">
        <v>-1.8353299999999999E-2</v>
      </c>
      <c r="L381">
        <f t="shared" si="60"/>
        <v>17.3706</v>
      </c>
      <c r="M381">
        <f t="shared" si="61"/>
        <v>-0.31541535479999999</v>
      </c>
      <c r="N381" s="9"/>
      <c r="O381" s="22">
        <v>1.7681899999999999</v>
      </c>
      <c r="P381" s="22">
        <v>116.40900000000001</v>
      </c>
      <c r="Q381" s="22">
        <v>-3.2556199999999999E-3</v>
      </c>
      <c r="R381" s="22">
        <v>371</v>
      </c>
      <c r="S381" s="22">
        <v>1.7672699999999999</v>
      </c>
      <c r="T381">
        <f t="shared" si="62"/>
        <v>3.25562</v>
      </c>
      <c r="U381">
        <f t="shared" si="63"/>
        <v>5.7565547277999993</v>
      </c>
      <c r="X381" s="9"/>
      <c r="Y381" s="22">
        <v>-1.8158000000000001E-2</v>
      </c>
      <c r="Z381" s="22">
        <v>178.36600000000001</v>
      </c>
      <c r="AA381" s="22">
        <v>-1.7196699999999999E-2</v>
      </c>
      <c r="AB381" s="22">
        <v>371</v>
      </c>
      <c r="AC381" s="22">
        <v>-1.8347200000000001E-2</v>
      </c>
      <c r="AD381">
        <f t="shared" si="64"/>
        <v>17.1967</v>
      </c>
      <c r="AE381">
        <f t="shared" si="65"/>
        <v>-0.31225767860000003</v>
      </c>
      <c r="AF381" s="9"/>
      <c r="AG381" s="22">
        <v>1.7681899999999999</v>
      </c>
      <c r="AH381" s="22">
        <v>257.89800000000002</v>
      </c>
      <c r="AI381" s="22">
        <v>-2.63153E-3</v>
      </c>
      <c r="AJ381" s="22">
        <v>371</v>
      </c>
      <c r="AK381" s="22">
        <v>1.7675799999999999</v>
      </c>
      <c r="AL381">
        <f t="shared" si="66"/>
        <v>2.6315300000000001</v>
      </c>
      <c r="AM381">
        <f t="shared" si="67"/>
        <v>4.6530450307000004</v>
      </c>
      <c r="AP381" s="9"/>
      <c r="AQ381" s="22">
        <v>-1.8158000000000001E-2</v>
      </c>
      <c r="AR381" s="22">
        <v>310.315</v>
      </c>
      <c r="AS381" s="22">
        <v>-1.7019699999999999E-2</v>
      </c>
      <c r="AT381" s="22">
        <v>371</v>
      </c>
      <c r="AU381" s="22">
        <v>-1.83655E-2</v>
      </c>
      <c r="AV381">
        <f t="shared" si="68"/>
        <v>17.0197</v>
      </c>
      <c r="AW381">
        <f t="shared" si="69"/>
        <v>-0.30904371260000002</v>
      </c>
      <c r="AX381" s="9"/>
      <c r="AY381" s="22">
        <v>1.7681899999999999</v>
      </c>
      <c r="AZ381" s="22">
        <v>389.54500000000002</v>
      </c>
      <c r="BA381" s="22">
        <v>-2.7737399999999998E-3</v>
      </c>
      <c r="BB381" s="22">
        <v>371</v>
      </c>
      <c r="BC381" s="22">
        <v>1.7675799999999999</v>
      </c>
      <c r="BD381">
        <f t="shared" si="70"/>
        <v>2.7737399999999997</v>
      </c>
      <c r="BE381">
        <f t="shared" si="71"/>
        <v>4.9044993305999993</v>
      </c>
    </row>
    <row r="382" spans="6:57">
      <c r="F382" s="9"/>
      <c r="G382" s="22">
        <v>-2.3193399999999999E-2</v>
      </c>
      <c r="H382" s="22">
        <v>61.113700000000001</v>
      </c>
      <c r="I382" s="22">
        <v>-1.7373699999999999E-2</v>
      </c>
      <c r="J382" s="22">
        <v>372</v>
      </c>
      <c r="K382" s="22">
        <v>-2.3446700000000001E-2</v>
      </c>
      <c r="L382">
        <f t="shared" si="60"/>
        <v>17.373699999999999</v>
      </c>
      <c r="M382">
        <f t="shared" si="61"/>
        <v>-0.40295517357999999</v>
      </c>
      <c r="N382" s="9"/>
      <c r="O382" s="22">
        <v>1.77322</v>
      </c>
      <c r="P382" s="22">
        <v>116.51</v>
      </c>
      <c r="Q382" s="22">
        <v>-2.5622599999999998E-3</v>
      </c>
      <c r="R382" s="22">
        <v>372</v>
      </c>
      <c r="S382" s="22">
        <v>1.77277</v>
      </c>
      <c r="T382">
        <f t="shared" si="62"/>
        <v>2.5622599999999998</v>
      </c>
      <c r="U382">
        <f t="shared" si="63"/>
        <v>4.5434506772000001</v>
      </c>
      <c r="X382" s="9"/>
      <c r="Y382" s="22">
        <v>-2.3193399999999999E-2</v>
      </c>
      <c r="Z382" s="22">
        <v>178.46600000000001</v>
      </c>
      <c r="AA382" s="22">
        <v>-1.72211E-2</v>
      </c>
      <c r="AB382" s="22">
        <v>372</v>
      </c>
      <c r="AC382" s="22">
        <v>-2.3440599999999999E-2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257.99900000000002</v>
      </c>
      <c r="AI382" s="22">
        <v>-1.8359400000000001E-3</v>
      </c>
      <c r="AJ382" s="22">
        <v>372</v>
      </c>
      <c r="AK382" s="22">
        <v>1.77277</v>
      </c>
      <c r="AL382">
        <f t="shared" si="66"/>
        <v>1.8359400000000001</v>
      </c>
      <c r="AM382">
        <f t="shared" si="67"/>
        <v>3.2555255268000001</v>
      </c>
      <c r="AP382" s="9"/>
      <c r="AQ382" s="22">
        <v>-2.3193399999999999E-2</v>
      </c>
      <c r="AR382" s="22">
        <v>310.416</v>
      </c>
      <c r="AS382" s="22">
        <v>-1.7047099999999999E-2</v>
      </c>
      <c r="AT382" s="22">
        <v>372</v>
      </c>
      <c r="AU382" s="22">
        <v>-2.3422200000000001E-2</v>
      </c>
      <c r="AV382">
        <f t="shared" si="68"/>
        <v>17.0471</v>
      </c>
      <c r="AW382">
        <f t="shared" si="69"/>
        <v>-0.39538020913999999</v>
      </c>
      <c r="AX382" s="9"/>
      <c r="AY382" s="22">
        <v>1.77322</v>
      </c>
      <c r="AZ382" s="22">
        <v>389.64600000000002</v>
      </c>
      <c r="BA382" s="22">
        <v>-2.0031699999999999E-3</v>
      </c>
      <c r="BB382" s="22">
        <v>372</v>
      </c>
      <c r="BC382" s="22">
        <v>1.77216</v>
      </c>
      <c r="BD382">
        <f t="shared" si="70"/>
        <v>2.0031699999999999</v>
      </c>
      <c r="BE382">
        <f t="shared" si="71"/>
        <v>3.5520611073999997</v>
      </c>
    </row>
    <row r="383" spans="6:57">
      <c r="F383" s="9"/>
      <c r="G383" s="22">
        <v>-2.8228799999999998E-2</v>
      </c>
      <c r="H383" s="22">
        <v>61.214399999999998</v>
      </c>
      <c r="I383" s="22">
        <v>-1.7349199999999999E-2</v>
      </c>
      <c r="J383" s="22">
        <v>373</v>
      </c>
      <c r="K383" s="22">
        <v>-2.8436300000000001E-2</v>
      </c>
      <c r="L383">
        <f t="shared" si="60"/>
        <v>17.3492</v>
      </c>
      <c r="M383">
        <f t="shared" si="61"/>
        <v>-0.48974709695999996</v>
      </c>
      <c r="N383" s="9"/>
      <c r="O383" s="22">
        <v>1.77826</v>
      </c>
      <c r="P383" s="22">
        <v>116.61</v>
      </c>
      <c r="Q383" s="22">
        <v>-1.7901600000000001E-3</v>
      </c>
      <c r="R383" s="22">
        <v>373</v>
      </c>
      <c r="S383" s="22">
        <v>1.77704</v>
      </c>
      <c r="T383">
        <f t="shared" si="62"/>
        <v>1.79016</v>
      </c>
      <c r="U383">
        <f t="shared" si="63"/>
        <v>3.1833699215999998</v>
      </c>
      <c r="X383" s="9"/>
      <c r="Y383" s="22">
        <v>-2.8228799999999998E-2</v>
      </c>
      <c r="Z383" s="22">
        <v>178.56700000000001</v>
      </c>
      <c r="AA383" s="22">
        <v>-1.7199699999999998E-2</v>
      </c>
      <c r="AB383" s="22">
        <v>373</v>
      </c>
      <c r="AC383" s="22">
        <v>-2.84821E-2</v>
      </c>
      <c r="AD383">
        <f t="shared" si="64"/>
        <v>17.1997</v>
      </c>
      <c r="AE383">
        <f t="shared" si="65"/>
        <v>-0.48552689135999999</v>
      </c>
      <c r="AF383" s="9"/>
      <c r="AG383" s="22">
        <v>1.77826</v>
      </c>
      <c r="AH383" s="22">
        <v>258.10000000000002</v>
      </c>
      <c r="AI383" s="22">
        <v>-9.8571800000000001E-4</v>
      </c>
      <c r="AJ383" s="22">
        <v>373</v>
      </c>
      <c r="AK383" s="22">
        <v>1.7773399999999999</v>
      </c>
      <c r="AL383">
        <f t="shared" si="66"/>
        <v>0.98571799999999998</v>
      </c>
      <c r="AM383">
        <f t="shared" si="67"/>
        <v>1.7528628906799999</v>
      </c>
      <c r="AP383" s="9"/>
      <c r="AQ383" s="22">
        <v>-2.8228799999999998E-2</v>
      </c>
      <c r="AR383" s="22">
        <v>310.51600000000002</v>
      </c>
      <c r="AS383" s="22">
        <v>-1.7053200000000001E-2</v>
      </c>
      <c r="AT383" s="22">
        <v>373</v>
      </c>
      <c r="AU383" s="22">
        <v>-2.8463700000000001E-2</v>
      </c>
      <c r="AV383">
        <f t="shared" si="68"/>
        <v>17.0532</v>
      </c>
      <c r="AW383">
        <f t="shared" si="69"/>
        <v>-0.48139137216</v>
      </c>
      <c r="AX383" s="9"/>
      <c r="AY383" s="22">
        <v>1.77826</v>
      </c>
      <c r="AZ383" s="22">
        <v>389.74700000000001</v>
      </c>
      <c r="BA383" s="22">
        <v>-1.1865199999999999E-3</v>
      </c>
      <c r="BB383" s="22">
        <v>373</v>
      </c>
      <c r="BC383" s="22">
        <v>1.77765</v>
      </c>
      <c r="BD383">
        <f t="shared" si="70"/>
        <v>1.18652</v>
      </c>
      <c r="BE383">
        <f t="shared" si="71"/>
        <v>2.1099410552000002</v>
      </c>
    </row>
    <row r="384" spans="6:57">
      <c r="F384" s="9"/>
      <c r="G384" s="22">
        <v>-3.3264200000000001E-2</v>
      </c>
      <c r="H384" s="22">
        <v>61.315100000000001</v>
      </c>
      <c r="I384" s="22">
        <v>-1.7352300000000001E-2</v>
      </c>
      <c r="J384" s="22">
        <v>374</v>
      </c>
      <c r="K384" s="22">
        <v>-3.3621199999999997E-2</v>
      </c>
      <c r="L384">
        <f t="shared" si="60"/>
        <v>17.3523</v>
      </c>
      <c r="M384">
        <f t="shared" si="61"/>
        <v>-0.57721037766000005</v>
      </c>
      <c r="N384" s="9"/>
      <c r="O384" s="22">
        <v>1.78329</v>
      </c>
      <c r="P384" s="22">
        <v>116.711</v>
      </c>
      <c r="Q384" s="22">
        <v>-9.80835E-4</v>
      </c>
      <c r="R384" s="22">
        <v>374</v>
      </c>
      <c r="S384" s="22">
        <v>1.78284</v>
      </c>
      <c r="T384">
        <f t="shared" si="62"/>
        <v>0.98083500000000001</v>
      </c>
      <c r="U384">
        <f t="shared" si="63"/>
        <v>1.7491132471500002</v>
      </c>
      <c r="X384" s="9"/>
      <c r="Y384" s="22">
        <v>-3.3264200000000001E-2</v>
      </c>
      <c r="Z384" s="22">
        <v>178.66800000000001</v>
      </c>
      <c r="AA384" s="22">
        <v>-1.7208899999999999E-2</v>
      </c>
      <c r="AB384" s="22">
        <v>374</v>
      </c>
      <c r="AC384" s="22">
        <v>-3.3422899999999998E-2</v>
      </c>
      <c r="AD384">
        <f t="shared" si="64"/>
        <v>17.2089</v>
      </c>
      <c r="AE384">
        <f t="shared" si="65"/>
        <v>-0.57244029137999997</v>
      </c>
      <c r="AF384" s="9"/>
      <c r="AG384" s="22">
        <v>1.78329</v>
      </c>
      <c r="AH384" s="22">
        <v>258.2</v>
      </c>
      <c r="AI384" s="25">
        <v>-8.2305900000000001E-5</v>
      </c>
      <c r="AJ384" s="22">
        <v>374</v>
      </c>
      <c r="AK384" s="22">
        <v>1.78284</v>
      </c>
      <c r="AL384">
        <f t="shared" si="66"/>
        <v>8.2305900000000001E-2</v>
      </c>
      <c r="AM384">
        <f t="shared" si="67"/>
        <v>0.14677528841100002</v>
      </c>
      <c r="AP384" s="9"/>
      <c r="AQ384" s="22">
        <v>-3.3264200000000001E-2</v>
      </c>
      <c r="AR384" s="22">
        <v>310.61700000000002</v>
      </c>
      <c r="AS384" s="22">
        <v>-1.70288E-2</v>
      </c>
      <c r="AT384" s="22">
        <v>374</v>
      </c>
      <c r="AU384" s="22">
        <v>-3.35663E-2</v>
      </c>
      <c r="AV384">
        <f t="shared" si="68"/>
        <v>17.0288</v>
      </c>
      <c r="AW384">
        <f t="shared" si="69"/>
        <v>-0.56644940896000007</v>
      </c>
      <c r="AX384" s="9"/>
      <c r="AY384" s="22">
        <v>1.78329</v>
      </c>
      <c r="AZ384" s="22">
        <v>389.84699999999998</v>
      </c>
      <c r="BA384" s="22">
        <v>-3.0035400000000002E-4</v>
      </c>
      <c r="BB384" s="22">
        <v>374</v>
      </c>
      <c r="BC384" s="22">
        <v>1.78284</v>
      </c>
      <c r="BD384">
        <f t="shared" si="70"/>
        <v>0.30035400000000001</v>
      </c>
      <c r="BE384">
        <f t="shared" si="71"/>
        <v>0.53561828466000005</v>
      </c>
    </row>
    <row r="385" spans="6:57">
      <c r="F385" s="9"/>
      <c r="G385" s="22">
        <v>-3.8299600000000003E-2</v>
      </c>
      <c r="H385" s="22">
        <v>61.415799999999997</v>
      </c>
      <c r="I385" s="22">
        <v>-1.7388899999999999E-2</v>
      </c>
      <c r="J385" s="22">
        <v>375</v>
      </c>
      <c r="K385" s="22">
        <v>-3.8561999999999999E-2</v>
      </c>
      <c r="L385">
        <f t="shared" si="60"/>
        <v>17.3889</v>
      </c>
      <c r="M385">
        <f t="shared" si="61"/>
        <v>-0.66598791444000005</v>
      </c>
      <c r="N385" s="9"/>
      <c r="O385" s="22">
        <v>1.78833</v>
      </c>
      <c r="P385" s="22">
        <v>116.812</v>
      </c>
      <c r="Q385" s="22">
        <v>-1.18347E-4</v>
      </c>
      <c r="R385" s="22">
        <v>375</v>
      </c>
      <c r="S385" s="22">
        <v>1.7880199999999999</v>
      </c>
      <c r="T385">
        <f t="shared" si="62"/>
        <v>0.11834699999999999</v>
      </c>
      <c r="U385">
        <f t="shared" si="63"/>
        <v>0.21164349050999998</v>
      </c>
      <c r="X385" s="9"/>
      <c r="Y385" s="22">
        <v>-3.8299600000000003E-2</v>
      </c>
      <c r="Z385" s="22">
        <v>178.76900000000001</v>
      </c>
      <c r="AA385" s="22">
        <v>-1.72058E-2</v>
      </c>
      <c r="AB385" s="22">
        <v>375</v>
      </c>
      <c r="AC385" s="22">
        <v>-3.85437E-2</v>
      </c>
      <c r="AD385">
        <f t="shared" si="64"/>
        <v>17.2058</v>
      </c>
      <c r="AE385">
        <f t="shared" si="65"/>
        <v>-0.65897525768000009</v>
      </c>
      <c r="AF385" s="9"/>
      <c r="AG385" s="22">
        <v>1.78833</v>
      </c>
      <c r="AH385" s="22">
        <v>258.30099999999999</v>
      </c>
      <c r="AI385" s="22">
        <v>8.9294400000000001E-4</v>
      </c>
      <c r="AJ385" s="22">
        <v>375</v>
      </c>
      <c r="AK385" s="22">
        <v>1.7874099999999999</v>
      </c>
      <c r="AL385">
        <f t="shared" si="66"/>
        <v>-0.89294399999999996</v>
      </c>
      <c r="AM385">
        <f t="shared" si="67"/>
        <v>-1.5968785435199999</v>
      </c>
      <c r="AP385" s="9"/>
      <c r="AQ385" s="22">
        <v>-3.8299600000000003E-2</v>
      </c>
      <c r="AR385" s="22">
        <v>310.71800000000002</v>
      </c>
      <c r="AS385" s="22">
        <v>-1.7065400000000001E-2</v>
      </c>
      <c r="AT385" s="22">
        <v>375</v>
      </c>
      <c r="AU385" s="22">
        <v>-3.8616900000000003E-2</v>
      </c>
      <c r="AV385">
        <f t="shared" si="68"/>
        <v>17.0654</v>
      </c>
      <c r="AW385">
        <f t="shared" si="69"/>
        <v>-0.65359799384000006</v>
      </c>
      <c r="AX385" s="9"/>
      <c r="AY385" s="22">
        <v>1.78833</v>
      </c>
      <c r="AZ385" s="22">
        <v>389.94799999999998</v>
      </c>
      <c r="BA385" s="22">
        <v>6.5673800000000003E-4</v>
      </c>
      <c r="BB385" s="22">
        <v>375</v>
      </c>
      <c r="BC385" s="22">
        <v>1.7867999999999999</v>
      </c>
      <c r="BD385">
        <f t="shared" si="70"/>
        <v>-0.65673800000000004</v>
      </c>
      <c r="BE385">
        <f t="shared" si="71"/>
        <v>-1.1744642675400001</v>
      </c>
    </row>
    <row r="386" spans="6:57">
      <c r="F386" s="9"/>
      <c r="G386" s="22">
        <v>-4.3334999999999999E-2</v>
      </c>
      <c r="H386" s="22">
        <v>61.516500000000001</v>
      </c>
      <c r="I386" s="22">
        <v>-1.7395000000000001E-2</v>
      </c>
      <c r="J386" s="22">
        <v>376</v>
      </c>
      <c r="K386" s="22">
        <v>-4.3603500000000003E-2</v>
      </c>
      <c r="L386">
        <f t="shared" si="60"/>
        <v>17.395</v>
      </c>
      <c r="M386">
        <f t="shared" si="61"/>
        <v>-0.75381232499999995</v>
      </c>
      <c r="N386" s="9"/>
      <c r="O386" s="22">
        <v>1.7933699999999999</v>
      </c>
      <c r="P386" s="22">
        <v>116.91200000000001</v>
      </c>
      <c r="Q386" s="22">
        <v>7.9894999999999999E-4</v>
      </c>
      <c r="R386" s="22">
        <v>376</v>
      </c>
      <c r="S386" s="22">
        <v>1.79352</v>
      </c>
      <c r="T386">
        <f t="shared" si="62"/>
        <v>-0.79894999999999994</v>
      </c>
      <c r="U386">
        <f t="shared" si="63"/>
        <v>-1.4328129614999998</v>
      </c>
      <c r="X386" s="9"/>
      <c r="Y386" s="22">
        <v>-4.3334999999999999E-2</v>
      </c>
      <c r="Z386" s="22">
        <v>178.869</v>
      </c>
      <c r="AA386" s="22">
        <v>-1.7184399999999999E-2</v>
      </c>
      <c r="AB386" s="22">
        <v>376</v>
      </c>
      <c r="AC386" s="22">
        <v>-4.3646200000000003E-2</v>
      </c>
      <c r="AD386">
        <f t="shared" si="64"/>
        <v>17.1844</v>
      </c>
      <c r="AE386">
        <f t="shared" si="65"/>
        <v>-0.74468597400000003</v>
      </c>
      <c r="AF386" s="9"/>
      <c r="AG386" s="22">
        <v>1.7933699999999999</v>
      </c>
      <c r="AH386" s="22">
        <v>258.40199999999999</v>
      </c>
      <c r="AI386" s="22">
        <v>1.9192499999999999E-3</v>
      </c>
      <c r="AJ386" s="22">
        <v>376</v>
      </c>
      <c r="AK386" s="22">
        <v>1.7923</v>
      </c>
      <c r="AL386">
        <f t="shared" si="66"/>
        <v>-1.9192499999999999</v>
      </c>
      <c r="AM386">
        <f t="shared" si="67"/>
        <v>-3.4419253724999996</v>
      </c>
      <c r="AP386" s="9"/>
      <c r="AQ386" s="22">
        <v>-4.3334999999999999E-2</v>
      </c>
      <c r="AR386" s="22">
        <v>310.81799999999998</v>
      </c>
      <c r="AS386" s="22">
        <v>-1.70563E-2</v>
      </c>
      <c r="AT386" s="22">
        <v>376</v>
      </c>
      <c r="AU386" s="22">
        <v>-4.3612699999999997E-2</v>
      </c>
      <c r="AV386">
        <f t="shared" si="68"/>
        <v>17.0563</v>
      </c>
      <c r="AW386">
        <f t="shared" si="69"/>
        <v>-0.73913476049999993</v>
      </c>
      <c r="AX386" s="9"/>
      <c r="AY386" s="22">
        <v>1.7933699999999999</v>
      </c>
      <c r="AZ386" s="22">
        <v>390.04899999999998</v>
      </c>
      <c r="BA386" s="22">
        <v>1.6732800000000001E-3</v>
      </c>
      <c r="BB386" s="22">
        <v>376</v>
      </c>
      <c r="BC386" s="22">
        <v>1.79321</v>
      </c>
      <c r="BD386">
        <f t="shared" si="70"/>
        <v>-1.6732800000000001</v>
      </c>
      <c r="BE386">
        <f t="shared" si="71"/>
        <v>-3.0008101535999998</v>
      </c>
    </row>
    <row r="387" spans="6:57">
      <c r="F387" s="9"/>
      <c r="G387" s="22">
        <v>-4.8370400000000001E-2</v>
      </c>
      <c r="H387" s="22">
        <v>61.617199999999997</v>
      </c>
      <c r="I387" s="22">
        <v>-1.7392000000000001E-2</v>
      </c>
      <c r="J387" s="22">
        <v>377</v>
      </c>
      <c r="K387" s="22">
        <v>-4.8657199999999998E-2</v>
      </c>
      <c r="L387">
        <f t="shared" si="60"/>
        <v>17.391999999999999</v>
      </c>
      <c r="M387">
        <f t="shared" si="61"/>
        <v>-0.84125799680000002</v>
      </c>
      <c r="N387" s="9"/>
      <c r="O387" s="22">
        <v>1.7984</v>
      </c>
      <c r="P387" s="22">
        <v>117.01300000000001</v>
      </c>
      <c r="Q387" s="22">
        <v>1.8087800000000001E-3</v>
      </c>
      <c r="R387" s="22">
        <v>377</v>
      </c>
      <c r="S387" s="22">
        <v>1.79749</v>
      </c>
      <c r="T387">
        <f t="shared" si="62"/>
        <v>-1.8087800000000001</v>
      </c>
      <c r="U387">
        <f t="shared" si="63"/>
        <v>-3.252909952</v>
      </c>
      <c r="X387" s="9"/>
      <c r="Y387" s="22">
        <v>-4.8370400000000001E-2</v>
      </c>
      <c r="Z387" s="22">
        <v>178.97</v>
      </c>
      <c r="AA387" s="22">
        <v>-1.72211E-2</v>
      </c>
      <c r="AB387" s="22">
        <v>377</v>
      </c>
      <c r="AC387" s="22">
        <v>-4.8889200000000001E-2</v>
      </c>
      <c r="AD387">
        <f t="shared" si="64"/>
        <v>17.2211</v>
      </c>
      <c r="AE387">
        <f t="shared" si="65"/>
        <v>-0.83299149544000006</v>
      </c>
      <c r="AF387" s="9"/>
      <c r="AG387" s="22">
        <v>1.7984</v>
      </c>
      <c r="AH387" s="22">
        <v>258.50200000000001</v>
      </c>
      <c r="AI387" s="22">
        <v>3.0175800000000002E-3</v>
      </c>
      <c r="AJ387" s="22">
        <v>377</v>
      </c>
      <c r="AK387" s="22">
        <v>1.7984</v>
      </c>
      <c r="AL387">
        <f t="shared" si="66"/>
        <v>-3.0175800000000002</v>
      </c>
      <c r="AM387">
        <f t="shared" si="67"/>
        <v>-5.4268158720000006</v>
      </c>
      <c r="AP387" s="9"/>
      <c r="AQ387" s="22">
        <v>-4.8370400000000001E-2</v>
      </c>
      <c r="AR387" s="22">
        <v>310.91899999999998</v>
      </c>
      <c r="AS387" s="22">
        <v>-1.7065400000000001E-2</v>
      </c>
      <c r="AT387" s="22">
        <v>377</v>
      </c>
      <c r="AU387" s="22">
        <v>-4.85504E-2</v>
      </c>
      <c r="AV387">
        <f t="shared" si="68"/>
        <v>17.0654</v>
      </c>
      <c r="AW387">
        <f t="shared" si="69"/>
        <v>-0.82546022415999998</v>
      </c>
      <c r="AX387" s="9"/>
      <c r="AY387" s="22">
        <v>1.7984</v>
      </c>
      <c r="AZ387" s="22">
        <v>390.149</v>
      </c>
      <c r="BA387" s="22">
        <v>2.7774000000000002E-3</v>
      </c>
      <c r="BB387" s="22">
        <v>377</v>
      </c>
      <c r="BC387" s="22">
        <v>1.7984</v>
      </c>
      <c r="BD387">
        <f t="shared" si="70"/>
        <v>-2.7774000000000001</v>
      </c>
      <c r="BE387">
        <f t="shared" si="71"/>
        <v>-4.9948761600000005</v>
      </c>
    </row>
    <row r="388" spans="6:57">
      <c r="F388" s="9"/>
      <c r="G388" s="22">
        <v>-5.3405800000000003E-2</v>
      </c>
      <c r="H388" s="22">
        <v>61.7179</v>
      </c>
      <c r="I388" s="22">
        <v>-1.7407200000000001E-2</v>
      </c>
      <c r="J388" s="22">
        <v>378</v>
      </c>
      <c r="K388" s="22">
        <v>-5.3893999999999997E-2</v>
      </c>
      <c r="L388">
        <f t="shared" si="60"/>
        <v>17.4072</v>
      </c>
      <c r="M388">
        <f t="shared" si="61"/>
        <v>-0.92964544176000008</v>
      </c>
      <c r="N388" s="9"/>
      <c r="O388" s="22">
        <v>1.8034399999999999</v>
      </c>
      <c r="P388" s="22">
        <v>117.114</v>
      </c>
      <c r="Q388" s="22">
        <v>2.8436300000000002E-3</v>
      </c>
      <c r="R388" s="22">
        <v>378</v>
      </c>
      <c r="S388" s="22">
        <v>1.80237</v>
      </c>
      <c r="T388">
        <f t="shared" si="62"/>
        <v>-2.8436300000000001</v>
      </c>
      <c r="U388">
        <f t="shared" si="63"/>
        <v>-5.1283160872</v>
      </c>
      <c r="X388" s="9"/>
      <c r="Y388" s="22">
        <v>-5.3405800000000003E-2</v>
      </c>
      <c r="Z388" s="22">
        <v>179.071</v>
      </c>
      <c r="AA388" s="22">
        <v>-1.7230200000000001E-2</v>
      </c>
      <c r="AB388" s="22">
        <v>378</v>
      </c>
      <c r="AC388" s="22">
        <v>-5.3924600000000003E-2</v>
      </c>
      <c r="AD388">
        <f t="shared" si="64"/>
        <v>17.2302</v>
      </c>
      <c r="AE388">
        <f t="shared" si="65"/>
        <v>-0.92019261516000006</v>
      </c>
      <c r="AF388" s="9"/>
      <c r="AG388" s="22">
        <v>1.8034399999999999</v>
      </c>
      <c r="AH388" s="22">
        <v>258.60300000000001</v>
      </c>
      <c r="AI388" s="22">
        <v>4.1931199999999998E-3</v>
      </c>
      <c r="AJ388" s="22">
        <v>378</v>
      </c>
      <c r="AK388" s="22">
        <v>1.80267</v>
      </c>
      <c r="AL388">
        <f t="shared" si="66"/>
        <v>-4.1931199999999995</v>
      </c>
      <c r="AM388">
        <f t="shared" si="67"/>
        <v>-7.5620403327999988</v>
      </c>
      <c r="AP388" s="9"/>
      <c r="AQ388" s="22">
        <v>-5.3405800000000003E-2</v>
      </c>
      <c r="AR388" s="22">
        <v>311.02</v>
      </c>
      <c r="AS388" s="22">
        <v>-1.7059299999999999E-2</v>
      </c>
      <c r="AT388" s="22">
        <v>378</v>
      </c>
      <c r="AU388" s="22">
        <v>-5.3772E-2</v>
      </c>
      <c r="AV388">
        <f t="shared" si="68"/>
        <v>17.0593</v>
      </c>
      <c r="AW388">
        <f t="shared" si="69"/>
        <v>-0.91106556394000004</v>
      </c>
      <c r="AX388" s="9"/>
      <c r="AY388" s="22">
        <v>1.8034399999999999</v>
      </c>
      <c r="AZ388" s="22">
        <v>390.25</v>
      </c>
      <c r="BA388" s="22">
        <v>3.9245599999999997E-3</v>
      </c>
      <c r="BB388" s="22">
        <v>378</v>
      </c>
      <c r="BC388" s="22">
        <v>1.80237</v>
      </c>
      <c r="BD388">
        <f t="shared" si="70"/>
        <v>-3.9245599999999996</v>
      </c>
      <c r="BE388">
        <f t="shared" si="71"/>
        <v>-7.0777084863999988</v>
      </c>
    </row>
    <row r="389" spans="6:57">
      <c r="F389" s="9"/>
      <c r="G389" s="22">
        <v>-5.8441199999999999E-2</v>
      </c>
      <c r="H389" s="22">
        <v>61.818600000000004</v>
      </c>
      <c r="I389" s="22">
        <v>-1.7401099999999999E-2</v>
      </c>
      <c r="J389" s="22">
        <v>379</v>
      </c>
      <c r="K389" s="22">
        <v>-5.8898899999999997E-2</v>
      </c>
      <c r="L389">
        <f t="shared" si="60"/>
        <v>17.4011</v>
      </c>
      <c r="M389">
        <f t="shared" si="61"/>
        <v>-1.01694116532</v>
      </c>
      <c r="N389" s="9"/>
      <c r="O389" s="22">
        <v>1.80847</v>
      </c>
      <c r="P389" s="22">
        <v>117.214</v>
      </c>
      <c r="Q389" s="22">
        <v>3.9242599999999997E-3</v>
      </c>
      <c r="R389" s="22">
        <v>379</v>
      </c>
      <c r="S389" s="22">
        <v>1.80725</v>
      </c>
      <c r="T389">
        <f t="shared" si="62"/>
        <v>-3.9242599999999999</v>
      </c>
      <c r="U389">
        <f t="shared" si="63"/>
        <v>-7.0969064821999996</v>
      </c>
      <c r="X389" s="9"/>
      <c r="Y389" s="22">
        <v>-5.8441199999999999E-2</v>
      </c>
      <c r="Z389" s="22">
        <v>179.17099999999999</v>
      </c>
      <c r="AA389" s="22">
        <v>-1.7196699999999999E-2</v>
      </c>
      <c r="AB389" s="22">
        <v>379</v>
      </c>
      <c r="AC389" s="22">
        <v>-5.89294E-2</v>
      </c>
      <c r="AD389">
        <f t="shared" si="64"/>
        <v>17.1967</v>
      </c>
      <c r="AE389">
        <f t="shared" si="65"/>
        <v>-1.0049957840399999</v>
      </c>
      <c r="AF389" s="9"/>
      <c r="AG389" s="22">
        <v>1.80847</v>
      </c>
      <c r="AH389" s="22">
        <v>258.70400000000001</v>
      </c>
      <c r="AI389" s="22">
        <v>5.4321300000000003E-3</v>
      </c>
      <c r="AJ389" s="22">
        <v>379</v>
      </c>
      <c r="AK389" s="22">
        <v>1.8081700000000001</v>
      </c>
      <c r="AL389">
        <f t="shared" si="66"/>
        <v>-5.4321299999999999</v>
      </c>
      <c r="AM389">
        <f t="shared" si="67"/>
        <v>-9.8238441411000004</v>
      </c>
      <c r="AP389" s="9"/>
      <c r="AQ389" s="22">
        <v>-5.8441199999999999E-2</v>
      </c>
      <c r="AR389" s="22">
        <v>311.12099999999998</v>
      </c>
      <c r="AS389" s="22">
        <v>-1.7074599999999999E-2</v>
      </c>
      <c r="AT389" s="22">
        <v>379</v>
      </c>
      <c r="AU389" s="22">
        <v>-5.89294E-2</v>
      </c>
      <c r="AV389">
        <f t="shared" si="68"/>
        <v>17.0746</v>
      </c>
      <c r="AW389">
        <f t="shared" si="69"/>
        <v>-0.99786011352000004</v>
      </c>
      <c r="AX389" s="9"/>
      <c r="AY389" s="22">
        <v>1.80847</v>
      </c>
      <c r="AZ389" s="22">
        <v>390.351</v>
      </c>
      <c r="BA389" s="22">
        <v>5.1788299999999997E-3</v>
      </c>
      <c r="BB389" s="22">
        <v>379</v>
      </c>
      <c r="BC389" s="22">
        <v>1.80786</v>
      </c>
      <c r="BD389">
        <f t="shared" si="70"/>
        <v>-5.1788299999999996</v>
      </c>
      <c r="BE389">
        <f t="shared" si="71"/>
        <v>-9.3657586900999998</v>
      </c>
    </row>
    <row r="390" spans="6:57">
      <c r="F390" s="9"/>
      <c r="G390" s="22">
        <v>-6.3476599999999994E-2</v>
      </c>
      <c r="H390" s="22">
        <v>61.9193</v>
      </c>
      <c r="I390" s="22">
        <v>-1.74103E-2</v>
      </c>
      <c r="J390" s="22">
        <v>380</v>
      </c>
      <c r="K390" s="22">
        <v>-6.3995399999999994E-2</v>
      </c>
      <c r="L390">
        <f t="shared" si="60"/>
        <v>17.410299999999999</v>
      </c>
      <c r="M390">
        <f t="shared" si="61"/>
        <v>-1.1051466489799999</v>
      </c>
      <c r="N390" s="9"/>
      <c r="O390" s="22">
        <v>1.81351</v>
      </c>
      <c r="P390" s="22">
        <v>117.315</v>
      </c>
      <c r="Q390" s="22">
        <v>5.1177999999999996E-3</v>
      </c>
      <c r="R390" s="22">
        <v>380</v>
      </c>
      <c r="S390" s="22">
        <v>1.81274</v>
      </c>
      <c r="T390">
        <f t="shared" si="62"/>
        <v>-5.1177999999999999</v>
      </c>
      <c r="U390">
        <f t="shared" si="63"/>
        <v>-9.2811814779999988</v>
      </c>
      <c r="X390" s="9"/>
      <c r="Y390" s="22">
        <v>-6.3476599999999994E-2</v>
      </c>
      <c r="Z390" s="22">
        <v>179.27199999999999</v>
      </c>
      <c r="AA390" s="22">
        <v>-1.72333E-2</v>
      </c>
      <c r="AB390" s="22">
        <v>380</v>
      </c>
      <c r="AC390" s="22">
        <v>-6.4025899999999997E-2</v>
      </c>
      <c r="AD390">
        <f t="shared" si="64"/>
        <v>17.2333</v>
      </c>
      <c r="AE390">
        <f t="shared" si="65"/>
        <v>-1.0939112907799999</v>
      </c>
      <c r="AF390" s="9"/>
      <c r="AG390" s="22">
        <v>1.81351</v>
      </c>
      <c r="AH390" s="22">
        <v>258.80399999999997</v>
      </c>
      <c r="AI390" s="22">
        <v>6.7596399999999999E-3</v>
      </c>
      <c r="AJ390" s="22">
        <v>380</v>
      </c>
      <c r="AK390" s="22">
        <v>1.81274</v>
      </c>
      <c r="AL390">
        <f t="shared" si="66"/>
        <v>-6.7596400000000001</v>
      </c>
      <c r="AM390">
        <f t="shared" si="67"/>
        <v>-12.2586747364</v>
      </c>
      <c r="AP390" s="9"/>
      <c r="AQ390" s="22">
        <v>-6.3476599999999994E-2</v>
      </c>
      <c r="AR390" s="22">
        <v>311.221</v>
      </c>
      <c r="AS390" s="22">
        <v>-1.7038000000000001E-2</v>
      </c>
      <c r="AT390" s="22">
        <v>380</v>
      </c>
      <c r="AU390" s="22">
        <v>-6.3995399999999994E-2</v>
      </c>
      <c r="AV390">
        <f t="shared" si="68"/>
        <v>17.038</v>
      </c>
      <c r="AW390">
        <f t="shared" si="69"/>
        <v>-1.0815143107999998</v>
      </c>
      <c r="AX390" s="9"/>
      <c r="AY390" s="22">
        <v>1.81351</v>
      </c>
      <c r="AZ390" s="22">
        <v>390.452</v>
      </c>
      <c r="BA390" s="22">
        <v>6.4849900000000004E-3</v>
      </c>
      <c r="BB390" s="22">
        <v>380</v>
      </c>
      <c r="BC390" s="22">
        <v>1.81274</v>
      </c>
      <c r="BD390">
        <f t="shared" si="70"/>
        <v>-6.4849900000000007</v>
      </c>
      <c r="BE390">
        <f t="shared" si="71"/>
        <v>-11.760594214900001</v>
      </c>
    </row>
    <row r="391" spans="6:57">
      <c r="F391" s="9"/>
      <c r="G391" s="22">
        <v>-6.8512000000000003E-2</v>
      </c>
      <c r="H391" s="22">
        <v>62.02</v>
      </c>
      <c r="I391" s="22">
        <v>-1.74255E-2</v>
      </c>
      <c r="J391" s="22">
        <v>381</v>
      </c>
      <c r="K391" s="22">
        <v>-6.9000199999999998E-2</v>
      </c>
      <c r="L391">
        <f t="shared" si="60"/>
        <v>17.4255</v>
      </c>
      <c r="M391">
        <f t="shared" si="61"/>
        <v>-1.1938558560000001</v>
      </c>
      <c r="N391" s="9"/>
      <c r="O391" s="22">
        <v>1.81854</v>
      </c>
      <c r="P391" s="22">
        <v>117.416</v>
      </c>
      <c r="Q391" s="22">
        <v>6.35376E-3</v>
      </c>
      <c r="R391" s="22">
        <v>381</v>
      </c>
      <c r="S391" s="22">
        <v>1.81793</v>
      </c>
      <c r="T391">
        <f t="shared" si="62"/>
        <v>-6.3537600000000003</v>
      </c>
      <c r="U391">
        <f t="shared" si="63"/>
        <v>-11.554566710400001</v>
      </c>
      <c r="X391" s="9"/>
      <c r="Y391" s="22">
        <v>-6.8512000000000003E-2</v>
      </c>
      <c r="Z391" s="22">
        <v>179.37299999999999</v>
      </c>
      <c r="AA391" s="22">
        <v>-1.72363E-2</v>
      </c>
      <c r="AB391" s="22">
        <v>381</v>
      </c>
      <c r="AC391" s="22">
        <v>-6.9000199999999998E-2</v>
      </c>
      <c r="AD391">
        <f t="shared" si="64"/>
        <v>17.2363</v>
      </c>
      <c r="AE391">
        <f t="shared" si="65"/>
        <v>-1.1808933856000001</v>
      </c>
      <c r="AF391" s="9"/>
      <c r="AG391" s="22">
        <v>1.81854</v>
      </c>
      <c r="AH391" s="22">
        <v>258.90499999999997</v>
      </c>
      <c r="AI391" s="22">
        <v>8.1695599999999993E-3</v>
      </c>
      <c r="AJ391" s="22">
        <v>381</v>
      </c>
      <c r="AK391" s="22">
        <v>1.81793</v>
      </c>
      <c r="AL391">
        <f t="shared" si="66"/>
        <v>-8.1695599999999988</v>
      </c>
      <c r="AM391">
        <f t="shared" si="67"/>
        <v>-14.856671642399998</v>
      </c>
      <c r="AP391" s="9"/>
      <c r="AQ391" s="22">
        <v>-6.8512000000000003E-2</v>
      </c>
      <c r="AR391" s="22">
        <v>311.322</v>
      </c>
      <c r="AS391" s="22">
        <v>-1.7013500000000001E-2</v>
      </c>
      <c r="AT391" s="22">
        <v>381</v>
      </c>
      <c r="AU391" s="22">
        <v>-6.9030800000000003E-2</v>
      </c>
      <c r="AV391">
        <f t="shared" si="68"/>
        <v>17.013500000000001</v>
      </c>
      <c r="AW391">
        <f t="shared" si="69"/>
        <v>-1.1656289120000001</v>
      </c>
      <c r="AX391" s="9"/>
      <c r="AY391" s="22">
        <v>1.81854</v>
      </c>
      <c r="AZ391" s="22">
        <v>390.55200000000002</v>
      </c>
      <c r="BA391" s="22">
        <v>7.9162599999999996E-3</v>
      </c>
      <c r="BB391" s="22">
        <v>381</v>
      </c>
      <c r="BC391" s="22">
        <v>1.8182400000000001</v>
      </c>
      <c r="BD391">
        <f t="shared" si="70"/>
        <v>-7.9162599999999994</v>
      </c>
      <c r="BE391">
        <f t="shared" si="71"/>
        <v>-14.396035460399998</v>
      </c>
    </row>
    <row r="392" spans="6:57">
      <c r="F392" s="9"/>
      <c r="G392" s="22">
        <v>-7.3547399999999999E-2</v>
      </c>
      <c r="H392" s="22">
        <v>62.120800000000003</v>
      </c>
      <c r="I392" s="22">
        <v>-1.745E-2</v>
      </c>
      <c r="J392" s="22">
        <v>382</v>
      </c>
      <c r="K392" s="22">
        <v>-7.3944099999999999E-2</v>
      </c>
      <c r="L392">
        <f t="shared" si="60"/>
        <v>17.45</v>
      </c>
      <c r="M392">
        <f t="shared" si="61"/>
        <v>-1.28340213</v>
      </c>
      <c r="N392" s="9"/>
      <c r="O392" s="22">
        <v>1.82358</v>
      </c>
      <c r="P392" s="22">
        <v>117.517</v>
      </c>
      <c r="Q392" s="22">
        <v>7.6568599999999997E-3</v>
      </c>
      <c r="R392" s="22">
        <v>382</v>
      </c>
      <c r="S392" s="22">
        <v>1.8231200000000001</v>
      </c>
      <c r="T392">
        <f t="shared" si="62"/>
        <v>-7.65686</v>
      </c>
      <c r="U392">
        <f t="shared" si="63"/>
        <v>-13.962896758799999</v>
      </c>
      <c r="X392" s="9"/>
      <c r="Y392" s="22">
        <v>-7.3547399999999999E-2</v>
      </c>
      <c r="Z392" s="22">
        <v>179.47399999999999</v>
      </c>
      <c r="AA392" s="22">
        <v>-1.7251599999999999E-2</v>
      </c>
      <c r="AB392" s="22">
        <v>382</v>
      </c>
      <c r="AC392" s="22">
        <v>-7.3974600000000001E-2</v>
      </c>
      <c r="AD392">
        <f t="shared" si="64"/>
        <v>17.2516</v>
      </c>
      <c r="AE392">
        <f t="shared" si="65"/>
        <v>-1.2688103258399999</v>
      </c>
      <c r="AF392" s="9"/>
      <c r="AG392" s="22">
        <v>1.82358</v>
      </c>
      <c r="AH392" s="22">
        <v>259.00599999999997</v>
      </c>
      <c r="AI392" s="22">
        <v>9.6832299999999993E-3</v>
      </c>
      <c r="AJ392" s="22">
        <v>382</v>
      </c>
      <c r="AK392" s="22">
        <v>1.8234300000000001</v>
      </c>
      <c r="AL392">
        <f t="shared" si="66"/>
        <v>-9.68323</v>
      </c>
      <c r="AM392">
        <f t="shared" si="67"/>
        <v>-17.6581445634</v>
      </c>
      <c r="AP392" s="9"/>
      <c r="AQ392" s="22">
        <v>-7.3547399999999999E-2</v>
      </c>
      <c r="AR392" s="22">
        <v>311.423</v>
      </c>
      <c r="AS392" s="22">
        <v>-1.70013E-2</v>
      </c>
      <c r="AT392" s="22">
        <v>382</v>
      </c>
      <c r="AU392" s="22">
        <v>-7.4066199999999999E-2</v>
      </c>
      <c r="AV392">
        <f t="shared" si="68"/>
        <v>17.001300000000001</v>
      </c>
      <c r="AW392">
        <f t="shared" si="69"/>
        <v>-1.25040141162</v>
      </c>
      <c r="AX392" s="9"/>
      <c r="AY392" s="22">
        <v>1.82358</v>
      </c>
      <c r="AZ392" s="22">
        <v>390.65300000000002</v>
      </c>
      <c r="BA392" s="22">
        <v>9.4329800000000005E-3</v>
      </c>
      <c r="BB392" s="22">
        <v>382</v>
      </c>
      <c r="BC392" s="22">
        <v>1.8234300000000001</v>
      </c>
      <c r="BD392">
        <f t="shared" si="70"/>
        <v>-9.4329800000000006</v>
      </c>
      <c r="BE392">
        <f t="shared" si="71"/>
        <v>-17.201793668400001</v>
      </c>
    </row>
    <row r="393" spans="6:57">
      <c r="F393" s="9"/>
      <c r="G393" s="22">
        <v>-7.8582799999999994E-2</v>
      </c>
      <c r="H393" s="22">
        <v>62.221499999999999</v>
      </c>
      <c r="I393" s="22">
        <v>-1.7395000000000001E-2</v>
      </c>
      <c r="J393" s="22">
        <v>383</v>
      </c>
      <c r="K393" s="22">
        <v>-7.9071000000000002E-2</v>
      </c>
      <c r="L393">
        <f t="shared" si="60"/>
        <v>17.395</v>
      </c>
      <c r="M393">
        <f t="shared" si="61"/>
        <v>-1.3669478059999998</v>
      </c>
      <c r="N393" s="9"/>
      <c r="O393" s="22">
        <v>1.8286100000000001</v>
      </c>
      <c r="P393" s="22">
        <v>117.617</v>
      </c>
      <c r="Q393" s="22">
        <v>9.0606699999999998E-3</v>
      </c>
      <c r="R393" s="22">
        <v>383</v>
      </c>
      <c r="S393" s="22">
        <v>1.8283100000000001</v>
      </c>
      <c r="T393">
        <f t="shared" si="62"/>
        <v>-9.06067</v>
      </c>
      <c r="U393">
        <f t="shared" si="63"/>
        <v>-16.568431768700002</v>
      </c>
      <c r="X393" s="9"/>
      <c r="Y393" s="22">
        <v>-7.8582799999999994E-2</v>
      </c>
      <c r="Z393" s="22">
        <v>179.57400000000001</v>
      </c>
      <c r="AA393" s="22">
        <v>-1.7242400000000001E-2</v>
      </c>
      <c r="AB393" s="22">
        <v>383</v>
      </c>
      <c r="AC393" s="22">
        <v>-7.9101599999999994E-2</v>
      </c>
      <c r="AD393">
        <f t="shared" si="64"/>
        <v>17.2424</v>
      </c>
      <c r="AE393">
        <f t="shared" si="65"/>
        <v>-1.3549560707199999</v>
      </c>
      <c r="AF393" s="9"/>
      <c r="AG393" s="22">
        <v>1.8286100000000001</v>
      </c>
      <c r="AH393" s="22">
        <v>259.10700000000003</v>
      </c>
      <c r="AI393" s="22">
        <v>1.12823E-2</v>
      </c>
      <c r="AJ393" s="22">
        <v>383</v>
      </c>
      <c r="AK393" s="22">
        <v>1.8280000000000001</v>
      </c>
      <c r="AL393">
        <f t="shared" si="66"/>
        <v>-11.282300000000001</v>
      </c>
      <c r="AM393">
        <f t="shared" si="67"/>
        <v>-20.630926603000002</v>
      </c>
      <c r="AP393" s="9"/>
      <c r="AQ393" s="22">
        <v>-7.8582799999999994E-2</v>
      </c>
      <c r="AR393" s="22">
        <v>311.52300000000002</v>
      </c>
      <c r="AS393" s="22">
        <v>-1.6983000000000002E-2</v>
      </c>
      <c r="AT393" s="22">
        <v>383</v>
      </c>
      <c r="AU393" s="22">
        <v>-7.9132099999999997E-2</v>
      </c>
      <c r="AV393">
        <f t="shared" si="68"/>
        <v>16.983000000000001</v>
      </c>
      <c r="AW393">
        <f t="shared" si="69"/>
        <v>-1.3345716924</v>
      </c>
      <c r="AX393" s="9"/>
      <c r="AY393" s="22">
        <v>1.8286100000000001</v>
      </c>
      <c r="AZ393" s="22">
        <v>390.75400000000002</v>
      </c>
      <c r="BA393" s="22">
        <v>1.10352E-2</v>
      </c>
      <c r="BB393" s="22">
        <v>383</v>
      </c>
      <c r="BC393" s="22">
        <v>1.8273900000000001</v>
      </c>
      <c r="BD393">
        <f t="shared" si="70"/>
        <v>-11.0352</v>
      </c>
      <c r="BE393">
        <f t="shared" si="71"/>
        <v>-20.179077072000002</v>
      </c>
    </row>
    <row r="394" spans="6:57">
      <c r="F394" s="9"/>
      <c r="G394" s="22">
        <v>-8.3618200000000004E-2</v>
      </c>
      <c r="H394" s="22">
        <v>62.322200000000002</v>
      </c>
      <c r="I394" s="22">
        <v>-1.7416399999999999E-2</v>
      </c>
      <c r="J394" s="22">
        <v>384</v>
      </c>
      <c r="K394" s="22">
        <v>-8.4137000000000003E-2</v>
      </c>
      <c r="L394">
        <f t="shared" si="60"/>
        <v>17.416399999999999</v>
      </c>
      <c r="M394">
        <f t="shared" si="61"/>
        <v>-1.45632801848</v>
      </c>
      <c r="N394" s="9"/>
      <c r="O394" s="22">
        <v>1.83365</v>
      </c>
      <c r="P394" s="22">
        <v>117.718</v>
      </c>
      <c r="Q394" s="22">
        <v>1.0534699999999999E-2</v>
      </c>
      <c r="R394" s="22">
        <v>384</v>
      </c>
      <c r="S394" s="22">
        <v>1.8328899999999999</v>
      </c>
      <c r="T394">
        <f t="shared" si="62"/>
        <v>-10.534699999999999</v>
      </c>
      <c r="U394">
        <f t="shared" si="63"/>
        <v>-19.316952654999998</v>
      </c>
      <c r="X394" s="9"/>
      <c r="Y394" s="22">
        <v>-8.3618200000000004E-2</v>
      </c>
      <c r="Z394" s="22">
        <v>179.67500000000001</v>
      </c>
      <c r="AA394" s="22">
        <v>-1.7215000000000001E-2</v>
      </c>
      <c r="AB394" s="22">
        <v>384</v>
      </c>
      <c r="AC394" s="22">
        <v>-8.4137000000000003E-2</v>
      </c>
      <c r="AD394">
        <f t="shared" si="64"/>
        <v>17.215</v>
      </c>
      <c r="AE394">
        <f t="shared" si="65"/>
        <v>-1.4394873130000001</v>
      </c>
      <c r="AF394" s="9"/>
      <c r="AG394" s="22">
        <v>1.83365</v>
      </c>
      <c r="AH394" s="22">
        <v>259.20699999999999</v>
      </c>
      <c r="AI394" s="22">
        <v>1.30341E-2</v>
      </c>
      <c r="AJ394" s="22">
        <v>384</v>
      </c>
      <c r="AK394" s="22">
        <v>1.8331900000000001</v>
      </c>
      <c r="AL394">
        <f t="shared" si="66"/>
        <v>-13.0341</v>
      </c>
      <c r="AM394">
        <f t="shared" si="67"/>
        <v>-23.899977464999999</v>
      </c>
      <c r="AP394" s="9"/>
      <c r="AQ394" s="22">
        <v>-8.3618200000000004E-2</v>
      </c>
      <c r="AR394" s="22">
        <v>311.62400000000002</v>
      </c>
      <c r="AS394" s="22">
        <v>-1.6995199999999999E-2</v>
      </c>
      <c r="AT394" s="22">
        <v>384</v>
      </c>
      <c r="AU394" s="22">
        <v>-8.4167500000000006E-2</v>
      </c>
      <c r="AV394">
        <f t="shared" si="68"/>
        <v>16.995199999999997</v>
      </c>
      <c r="AW394">
        <f t="shared" si="69"/>
        <v>-1.4211080326399999</v>
      </c>
      <c r="AX394" s="9"/>
      <c r="AY394" s="22">
        <v>1.83365</v>
      </c>
      <c r="AZ394" s="22">
        <v>390.85399999999998</v>
      </c>
      <c r="BA394" s="22">
        <v>1.2731900000000001E-2</v>
      </c>
      <c r="BB394" s="22">
        <v>384</v>
      </c>
      <c r="BC394" s="22">
        <v>1.8328899999999999</v>
      </c>
      <c r="BD394">
        <f t="shared" si="70"/>
        <v>-12.731900000000001</v>
      </c>
      <c r="BE394">
        <f t="shared" si="71"/>
        <v>-23.345848435000004</v>
      </c>
    </row>
    <row r="395" spans="6:57">
      <c r="F395" s="9"/>
      <c r="G395" s="22">
        <v>-8.8653599999999999E-2</v>
      </c>
      <c r="H395" s="22">
        <v>62.422899999999998</v>
      </c>
      <c r="I395" s="22">
        <v>-1.7456099999999999E-2</v>
      </c>
      <c r="J395" s="22">
        <v>385</v>
      </c>
      <c r="K395" s="22">
        <v>-8.9141799999999993E-2</v>
      </c>
      <c r="L395">
        <f t="shared" si="60"/>
        <v>17.456099999999999</v>
      </c>
      <c r="M395">
        <f t="shared" si="61"/>
        <v>-1.5475461069599998</v>
      </c>
      <c r="N395" s="9"/>
      <c r="O395" s="22">
        <v>1.8386800000000001</v>
      </c>
      <c r="P395" s="22">
        <v>117.819</v>
      </c>
      <c r="Q395" s="22">
        <v>1.21155E-2</v>
      </c>
      <c r="R395" s="22">
        <v>385</v>
      </c>
      <c r="S395" s="22">
        <v>1.8377699999999999</v>
      </c>
      <c r="T395">
        <f t="shared" si="62"/>
        <v>-12.115499999999999</v>
      </c>
      <c r="U395">
        <f t="shared" si="63"/>
        <v>-22.27652754</v>
      </c>
      <c r="X395" s="9"/>
      <c r="Y395" s="22">
        <v>-8.8653599999999999E-2</v>
      </c>
      <c r="Z395" s="22">
        <v>179.77600000000001</v>
      </c>
      <c r="AA395" s="22">
        <v>-1.72333E-2</v>
      </c>
      <c r="AB395" s="22">
        <v>385</v>
      </c>
      <c r="AC395" s="22">
        <v>-8.9141799999999993E-2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259.30799999999999</v>
      </c>
      <c r="AI395" s="22">
        <v>1.48956E-2</v>
      </c>
      <c r="AJ395" s="22">
        <v>385</v>
      </c>
      <c r="AK395" s="22">
        <v>1.8377699999999999</v>
      </c>
      <c r="AL395">
        <f t="shared" si="66"/>
        <v>-14.8956</v>
      </c>
      <c r="AM395">
        <f t="shared" si="67"/>
        <v>-27.388241808</v>
      </c>
      <c r="AP395" s="9"/>
      <c r="AQ395" s="22">
        <v>-8.8653599999999999E-2</v>
      </c>
      <c r="AR395" s="22">
        <v>311.72500000000002</v>
      </c>
      <c r="AS395" s="22">
        <v>-1.7007399999999999E-2</v>
      </c>
      <c r="AT395" s="22">
        <v>385</v>
      </c>
      <c r="AU395" s="22">
        <v>-8.9141799999999993E-2</v>
      </c>
      <c r="AV395">
        <f t="shared" si="68"/>
        <v>17.007400000000001</v>
      </c>
      <c r="AW395">
        <f t="shared" si="69"/>
        <v>-1.5077672366400001</v>
      </c>
      <c r="AX395" s="9"/>
      <c r="AY395" s="22">
        <v>1.8386800000000001</v>
      </c>
      <c r="AZ395" s="22">
        <v>390.95499999999998</v>
      </c>
      <c r="BA395" s="22">
        <v>1.45874E-2</v>
      </c>
      <c r="BB395" s="22">
        <v>385</v>
      </c>
      <c r="BC395" s="22">
        <v>1.8377699999999999</v>
      </c>
      <c r="BD395">
        <f t="shared" si="70"/>
        <v>-14.587400000000001</v>
      </c>
      <c r="BE395">
        <f t="shared" si="71"/>
        <v>-26.821560632000004</v>
      </c>
    </row>
    <row r="396" spans="6:57">
      <c r="F396" s="9"/>
      <c r="G396" s="22">
        <v>-9.3688999999999995E-2</v>
      </c>
      <c r="H396" s="22">
        <v>62.523600000000002</v>
      </c>
      <c r="I396" s="22">
        <v>-1.74377E-2</v>
      </c>
      <c r="J396" s="22">
        <v>386</v>
      </c>
      <c r="K396" s="22">
        <v>-9.41467E-2</v>
      </c>
      <c r="L396">
        <f t="shared" ref="L396:L398" si="72">-I396/$F$2*1000</f>
        <v>17.4377</v>
      </c>
      <c r="M396">
        <f t="shared" ref="M396:M398" si="73">L396*G396</f>
        <v>-1.6337206752999998</v>
      </c>
      <c r="N396" s="9"/>
      <c r="O396" s="22">
        <v>1.84372</v>
      </c>
      <c r="P396" s="22">
        <v>117.919</v>
      </c>
      <c r="Q396" s="22">
        <v>1.3806199999999999E-2</v>
      </c>
      <c r="R396" s="22">
        <v>386</v>
      </c>
      <c r="S396" s="22">
        <v>1.8426499999999999</v>
      </c>
      <c r="T396">
        <f t="shared" ref="T396:T398" si="74">-Q396/$F$2*1000</f>
        <v>-13.806199999999999</v>
      </c>
      <c r="U396">
        <f t="shared" ref="U396:U398" si="75">T396*O396</f>
        <v>-25.454767063999999</v>
      </c>
      <c r="X396" s="9"/>
      <c r="Y396" s="22">
        <v>-9.3688999999999995E-2</v>
      </c>
      <c r="Z396" s="22">
        <v>179.876</v>
      </c>
      <c r="AA396" s="22">
        <v>-1.7227200000000002E-2</v>
      </c>
      <c r="AB396" s="22">
        <v>386</v>
      </c>
      <c r="AC396" s="22">
        <v>-9.4085699999999994E-2</v>
      </c>
      <c r="AD396">
        <f t="shared" ref="AD396:AD398" si="76">-AA396/$F$2*1000</f>
        <v>17.2272</v>
      </c>
      <c r="AE396">
        <f t="shared" ref="AE396:AE398" si="77">AD396*Y396</f>
        <v>-1.6139991407999998</v>
      </c>
      <c r="AF396" s="9"/>
      <c r="AG396" s="22">
        <v>1.84372</v>
      </c>
      <c r="AH396" s="22">
        <v>259.40899999999999</v>
      </c>
      <c r="AI396" s="22">
        <v>1.6876200000000001E-2</v>
      </c>
      <c r="AJ396" s="22">
        <v>386</v>
      </c>
      <c r="AK396" s="22">
        <v>1.8435699999999999</v>
      </c>
      <c r="AL396">
        <f t="shared" ref="AL396:AL398" si="78">-AI396/$F$2*1000</f>
        <v>-16.876200000000001</v>
      </c>
      <c r="AM396">
        <f t="shared" ref="AM396:AM398" si="79">AL396*AG396</f>
        <v>-31.114987464000002</v>
      </c>
      <c r="AP396" s="9"/>
      <c r="AQ396" s="22">
        <v>-9.3688999999999995E-2</v>
      </c>
      <c r="AR396" s="22">
        <v>311.82600000000002</v>
      </c>
      <c r="AS396" s="22">
        <v>-1.6983000000000002E-2</v>
      </c>
      <c r="AT396" s="22">
        <v>386</v>
      </c>
      <c r="AU396" s="22">
        <v>-9.4116199999999997E-2</v>
      </c>
      <c r="AV396">
        <f t="shared" ref="AV396:AV398" si="80">-AS396/$F$2*1000</f>
        <v>16.983000000000001</v>
      </c>
      <c r="AW396">
        <f t="shared" ref="AW396:AW398" si="81">AV396*AQ396</f>
        <v>-1.5911202869999999</v>
      </c>
      <c r="AX396" s="9"/>
      <c r="AY396" s="22">
        <v>1.84372</v>
      </c>
      <c r="AZ396" s="22">
        <v>391.05599999999998</v>
      </c>
      <c r="BA396" s="22">
        <v>1.6546600000000002E-2</v>
      </c>
      <c r="BB396" s="22">
        <v>386</v>
      </c>
      <c r="BC396" s="22">
        <v>1.8432599999999999</v>
      </c>
      <c r="BD396">
        <f t="shared" ref="BD396:BD398" si="82">-BA396/$F$2*1000</f>
        <v>-16.546600000000002</v>
      </c>
      <c r="BE396">
        <f t="shared" ref="BE396:BE398" si="83">BD396*AY396</f>
        <v>-30.507297352000002</v>
      </c>
    </row>
    <row r="397" spans="6:57">
      <c r="F397" s="9"/>
      <c r="G397" s="22">
        <v>-9.8724400000000004E-2</v>
      </c>
      <c r="H397" s="22">
        <v>62.624299999999998</v>
      </c>
      <c r="I397" s="22">
        <v>-1.7459100000000002E-2</v>
      </c>
      <c r="J397" s="22">
        <v>387</v>
      </c>
      <c r="K397" s="22">
        <v>-9.9151600000000006E-2</v>
      </c>
      <c r="L397">
        <f t="shared" si="72"/>
        <v>17.459100000000003</v>
      </c>
      <c r="M397">
        <f t="shared" si="73"/>
        <v>-1.7236391720400004</v>
      </c>
      <c r="N397" s="9"/>
      <c r="O397" s="22">
        <v>1.8487499999999999</v>
      </c>
      <c r="P397" s="22">
        <v>118.02</v>
      </c>
      <c r="Q397" s="22">
        <v>1.56372E-2</v>
      </c>
      <c r="R397" s="22">
        <v>387</v>
      </c>
      <c r="S397" s="22">
        <v>1.8487499999999999</v>
      </c>
      <c r="T397">
        <f t="shared" si="74"/>
        <v>-15.6372</v>
      </c>
      <c r="U397">
        <f t="shared" si="75"/>
        <v>-28.909273499999998</v>
      </c>
      <c r="X397" s="9"/>
      <c r="Y397" s="22">
        <v>-9.8724400000000004E-2</v>
      </c>
      <c r="Z397" s="22">
        <v>179.977</v>
      </c>
      <c r="AA397" s="22">
        <v>-1.7254599999999998E-2</v>
      </c>
      <c r="AB397" s="22">
        <v>387</v>
      </c>
      <c r="AC397" s="22">
        <v>-9.9212599999999998E-2</v>
      </c>
      <c r="AD397">
        <f t="shared" si="76"/>
        <v>17.2546</v>
      </c>
      <c r="AE397">
        <f t="shared" si="77"/>
        <v>-1.7034500322400001</v>
      </c>
      <c r="AF397" s="9"/>
      <c r="AG397" s="22">
        <v>1.8487499999999999</v>
      </c>
      <c r="AH397" s="22">
        <v>259.50900000000001</v>
      </c>
      <c r="AI397" s="22">
        <v>1.90216E-2</v>
      </c>
      <c r="AJ397" s="22">
        <v>387</v>
      </c>
      <c r="AK397" s="22">
        <v>1.8481399999999999</v>
      </c>
      <c r="AL397">
        <f t="shared" si="78"/>
        <v>-19.021599999999999</v>
      </c>
      <c r="AM397">
        <f t="shared" si="79"/>
        <v>-35.166182999999997</v>
      </c>
      <c r="AP397" s="9"/>
      <c r="AQ397" s="22">
        <v>-9.8724400000000004E-2</v>
      </c>
      <c r="AR397" s="22">
        <v>311.92599999999999</v>
      </c>
      <c r="AS397" s="22">
        <v>-1.7041000000000001E-2</v>
      </c>
      <c r="AT397" s="22">
        <v>387</v>
      </c>
      <c r="AU397" s="22">
        <v>-9.9212599999999998E-2</v>
      </c>
      <c r="AV397">
        <f t="shared" si="80"/>
        <v>17.041</v>
      </c>
      <c r="AW397">
        <f t="shared" si="81"/>
        <v>-1.6823625004</v>
      </c>
      <c r="AX397" s="9"/>
      <c r="AY397" s="22">
        <v>1.8487499999999999</v>
      </c>
      <c r="AZ397" s="22">
        <v>391.15699999999998</v>
      </c>
      <c r="BA397" s="22">
        <v>1.8649300000000001E-2</v>
      </c>
      <c r="BB397" s="22">
        <v>387</v>
      </c>
      <c r="BC397" s="22">
        <v>1.8478399999999999</v>
      </c>
      <c r="BD397">
        <f t="shared" si="82"/>
        <v>-18.6493</v>
      </c>
      <c r="BE397">
        <f t="shared" si="83"/>
        <v>-34.477893375000001</v>
      </c>
    </row>
    <row r="398" spans="6:57">
      <c r="F398" s="9"/>
      <c r="G398" s="22">
        <v>-0.10376000000000001</v>
      </c>
      <c r="H398" s="22">
        <v>62.725000000000001</v>
      </c>
      <c r="I398" s="22">
        <v>-1.7462200000000001E-2</v>
      </c>
      <c r="J398" s="22">
        <v>388</v>
      </c>
      <c r="K398" s="22">
        <v>-0.10421800000000001</v>
      </c>
      <c r="L398">
        <f t="shared" si="72"/>
        <v>17.462199999999999</v>
      </c>
      <c r="M398">
        <f t="shared" si="73"/>
        <v>-1.8118778719999999</v>
      </c>
      <c r="N398" s="9"/>
      <c r="O398" s="22">
        <v>1.85379</v>
      </c>
      <c r="P398" s="22">
        <v>118.121</v>
      </c>
      <c r="Q398" s="22">
        <v>1.75903E-2</v>
      </c>
      <c r="R398" s="22">
        <v>388</v>
      </c>
      <c r="S398" s="22">
        <v>1.85364</v>
      </c>
      <c r="T398">
        <f t="shared" si="74"/>
        <v>-17.590299999999999</v>
      </c>
      <c r="U398">
        <f t="shared" si="75"/>
        <v>-32.608722237000002</v>
      </c>
      <c r="X398" s="9"/>
      <c r="Y398" s="22">
        <v>-0.10376000000000001</v>
      </c>
      <c r="Z398" s="22">
        <v>180.078</v>
      </c>
      <c r="AA398" s="22">
        <v>-1.72485E-2</v>
      </c>
      <c r="AB398" s="22">
        <v>388</v>
      </c>
      <c r="AC398" s="22">
        <v>-0.104156</v>
      </c>
      <c r="AD398">
        <f t="shared" si="76"/>
        <v>17.2485</v>
      </c>
      <c r="AE398">
        <f t="shared" si="77"/>
        <v>-1.78970436</v>
      </c>
      <c r="AF398" s="9"/>
      <c r="AG398" s="22">
        <v>1.85379</v>
      </c>
      <c r="AH398" s="22">
        <v>259.61</v>
      </c>
      <c r="AI398" s="22">
        <v>2.1270799999999999E-2</v>
      </c>
      <c r="AJ398" s="22">
        <v>388</v>
      </c>
      <c r="AK398" s="22">
        <v>1.8533299999999999</v>
      </c>
      <c r="AL398">
        <f t="shared" si="78"/>
        <v>-21.270799999999998</v>
      </c>
      <c r="AM398">
        <f t="shared" si="79"/>
        <v>-39.431596331999998</v>
      </c>
      <c r="AP398" s="9"/>
      <c r="AQ398" s="22">
        <v>-0.10376000000000001</v>
      </c>
      <c r="AR398" s="22">
        <v>312.02699999999999</v>
      </c>
      <c r="AS398" s="22">
        <v>-1.7025800000000001E-2</v>
      </c>
      <c r="AT398" s="22">
        <v>388</v>
      </c>
      <c r="AU398" s="22">
        <v>-0.10424799999999999</v>
      </c>
      <c r="AV398">
        <f t="shared" si="80"/>
        <v>17.0258</v>
      </c>
      <c r="AW398">
        <f t="shared" si="81"/>
        <v>-1.7665970080000002</v>
      </c>
      <c r="AX398" s="9"/>
      <c r="AY398" s="22">
        <v>1.85379</v>
      </c>
      <c r="AZ398" s="22">
        <v>391.25700000000001</v>
      </c>
      <c r="BA398" s="22">
        <v>2.08893E-2</v>
      </c>
      <c r="BB398" s="22">
        <v>388</v>
      </c>
      <c r="BC398" s="22">
        <v>1.8533299999999999</v>
      </c>
      <c r="BD398">
        <f t="shared" si="82"/>
        <v>-20.889299999999999</v>
      </c>
      <c r="BE398">
        <f t="shared" si="83"/>
        <v>-38.724375447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R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163.85718954248506</v>
      </c>
      <c r="H2" s="2"/>
      <c r="I2" s="6" t="s">
        <v>12</v>
      </c>
      <c r="J2" s="2"/>
      <c r="K2" s="7" t="s">
        <v>13</v>
      </c>
      <c r="L2" s="3">
        <f>L4*I6*L9/100*100</f>
        <v>10.927332308599999</v>
      </c>
      <c r="M2" s="8" t="s">
        <v>14</v>
      </c>
      <c r="N2" s="9"/>
      <c r="O2" s="2">
        <f>ABS(S7-S6)/ABS(T7-T6)*1000</f>
        <v>151.58892857141322</v>
      </c>
      <c r="P2" s="2"/>
      <c r="Q2" s="6" t="s">
        <v>15</v>
      </c>
      <c r="R2" s="2"/>
      <c r="S2" s="7" t="s">
        <v>13</v>
      </c>
      <c r="T2" s="3">
        <f>T4*Q6*T9/100*100</f>
        <v>9.8930640938000014</v>
      </c>
      <c r="U2" s="8" t="s">
        <v>14</v>
      </c>
      <c r="X2" s="9"/>
      <c r="Y2" s="2">
        <f>ABS(AC7-AC6)/ABS(AD7-AD6)*1000</f>
        <v>276.15901639344287</v>
      </c>
      <c r="Z2" s="2"/>
      <c r="AA2" s="6" t="s">
        <v>12</v>
      </c>
      <c r="AB2" s="2"/>
      <c r="AC2" s="7" t="s">
        <v>13</v>
      </c>
      <c r="AD2" s="3">
        <f>AD4*AA6*AD9/100*100</f>
        <v>11.1255752208</v>
      </c>
      <c r="AE2" s="8" t="s">
        <v>14</v>
      </c>
      <c r="AF2" s="9"/>
      <c r="AG2" s="2">
        <f>ABS(AK7-AK6)/ABS(AL7-AL6)*1000</f>
        <v>187.67200729925725</v>
      </c>
      <c r="AH2" s="2"/>
      <c r="AI2" s="6" t="s">
        <v>15</v>
      </c>
      <c r="AJ2" s="2"/>
      <c r="AK2" s="7" t="s">
        <v>13</v>
      </c>
      <c r="AL2" s="3">
        <f>AL4*AI6*AL9/100*100</f>
        <v>9.457565305000001</v>
      </c>
      <c r="AM2" s="8" t="s">
        <v>14</v>
      </c>
      <c r="AP2" s="9"/>
      <c r="AQ2" s="2">
        <f>ABS(AU7-AU6)/ABS(AV7-AV6)*1000</f>
        <v>184.88722627737164</v>
      </c>
      <c r="AR2" s="2"/>
      <c r="AS2" s="6" t="s">
        <v>12</v>
      </c>
      <c r="AT2" s="2"/>
      <c r="AU2" s="7" t="s">
        <v>13</v>
      </c>
      <c r="AV2" s="3">
        <f>AV4*AS6*AV9/100*100</f>
        <v>10.7291736341</v>
      </c>
      <c r="AW2" s="8" t="s">
        <v>14</v>
      </c>
      <c r="AX2" s="9"/>
      <c r="AY2" s="2">
        <f>ABS(BC7-BC6)/ABS(BD7-BD6)*1000</f>
        <v>151.13023880596177</v>
      </c>
      <c r="AZ2" s="2"/>
      <c r="BA2" s="6" t="s">
        <v>15</v>
      </c>
      <c r="BB2" s="2"/>
      <c r="BC2" s="7" t="s">
        <v>13</v>
      </c>
      <c r="BD2" s="3">
        <f>BD4*BA6*BD9/100*100</f>
        <v>9.2610990843999978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-2.4993900000000003E-2</v>
      </c>
      <c r="L3" s="33" t="s">
        <v>16</v>
      </c>
      <c r="M3" s="11">
        <f>M9</f>
        <v>10.9273323086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3.0029300000000002E-2</v>
      </c>
      <c r="T3" s="33" t="s">
        <v>16</v>
      </c>
      <c r="U3" s="11">
        <f>U9</f>
        <v>9.8930640937999996</v>
      </c>
      <c r="X3" s="9"/>
      <c r="Y3" s="2" t="s">
        <v>44</v>
      </c>
      <c r="Z3" s="2"/>
      <c r="AA3" s="2">
        <f>INDEX(AC11:AC856,MATCH(0,AD11:AD856,1))</f>
        <v>1.77399</v>
      </c>
      <c r="AB3" s="2"/>
      <c r="AC3" s="10">
        <f>INDEX(AD11:AD1056,MATCH(AA3,AC11:AC1056,0))</f>
        <v>-1.40381E-2</v>
      </c>
      <c r="AD3" s="33" t="s">
        <v>16</v>
      </c>
      <c r="AE3" s="11">
        <f>AE9</f>
        <v>11.1255752208</v>
      </c>
      <c r="AF3" s="9"/>
      <c r="AG3" s="2" t="s">
        <v>44</v>
      </c>
      <c r="AH3" s="2"/>
      <c r="AI3" s="2">
        <f>INDEX(AK11:AK1056,MATCH(0,AL11:AL1056,-1))</f>
        <v>1.7672699999999999</v>
      </c>
      <c r="AJ3" s="2"/>
      <c r="AK3" s="10">
        <f>INDEX(AL11:AL1056,MATCH(AI3,AK11:AK1056,0))</f>
        <v>9.887700000000001E-3</v>
      </c>
      <c r="AL3" s="33" t="s">
        <v>16</v>
      </c>
      <c r="AM3" s="11">
        <f>AM9</f>
        <v>9.457565305000001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-5.8807400000000003E-2</v>
      </c>
      <c r="AV3" s="33" t="s">
        <v>16</v>
      </c>
      <c r="AW3" s="11">
        <f>AW9</f>
        <v>10.729173634099999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3.8147000000000003E-3</v>
      </c>
      <c r="BD3" s="33" t="s">
        <v>16</v>
      </c>
      <c r="BE3" s="11">
        <f>BE9</f>
        <v>9.2610990843999978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40.380770809336525</v>
      </c>
      <c r="H4" s="2"/>
      <c r="I4" s="2">
        <f>INDEX(K11:K1000,1+MATCH(0,L11:L856,1))</f>
        <v>1.7742899999999999</v>
      </c>
      <c r="J4" s="2"/>
      <c r="K4" s="10">
        <f>INDEX(L11:L1056,MATCH(I4,K11:K1056,0))</f>
        <v>9.5855700000000002E-2</v>
      </c>
      <c r="L4" s="32">
        <f>M3/(I6*L9)</f>
        <v>0.39545992472174502</v>
      </c>
      <c r="M4" s="8" t="s">
        <v>17</v>
      </c>
      <c r="N4" s="9"/>
      <c r="O4" s="2">
        <f>ABS(Q3-Q4)/ABS(S3-S4)*1000</f>
        <v>39.745076123102372</v>
      </c>
      <c r="P4" s="2"/>
      <c r="Q4" s="2">
        <f>INDEX(S11:S856,1+MATCH(0,T11:T856,-1))</f>
        <v>1.7724599999999999</v>
      </c>
      <c r="R4" s="2"/>
      <c r="S4" s="10">
        <f>INDEX(T11:T856,MATCH(Q4,S11:S856,0))</f>
        <v>-8.5205100000000006E-2</v>
      </c>
      <c r="T4" s="32">
        <f>U3/(Q6*T9)</f>
        <v>0.33933337652814083</v>
      </c>
      <c r="U4" s="8" t="s">
        <v>17</v>
      </c>
      <c r="X4" s="9"/>
      <c r="Y4" s="2">
        <f>ABS(AA3-AA4)/ABS(AC3-AC4)*1000</f>
        <v>35.328847546766589</v>
      </c>
      <c r="Z4" s="2"/>
      <c r="AA4" s="2">
        <f>INDEX(AC11:AC1000,1+MATCH(0,AD11:AD856,1))</f>
        <v>1.7694099999999999</v>
      </c>
      <c r="AB4" s="2"/>
      <c r="AC4" s="10">
        <f>INDEX(AD11:AD1056,MATCH(AA4,AC11:AC1056,0))</f>
        <v>0.11560100000000001</v>
      </c>
      <c r="AD4" s="32">
        <f>AE3/(AA6*AD9)</f>
        <v>0.40270998973337763</v>
      </c>
      <c r="AE4" s="8" t="s">
        <v>17</v>
      </c>
      <c r="AF4" s="9"/>
      <c r="AG4" s="2">
        <f>ABS(AI3-AI4)/ABS(AK3-AK4)*1000</f>
        <v>49.174450386109385</v>
      </c>
      <c r="AH4" s="2"/>
      <c r="AI4" s="2">
        <f>INDEX(AK11:AK856,1+MATCH(0,AL11:AL856,-1))</f>
        <v>1.77277</v>
      </c>
      <c r="AJ4" s="2"/>
      <c r="AK4" s="10">
        <f>INDEX(AL11:AL856,MATCH(AI4,AK11:AK856,0))</f>
        <v>-0.10195900000000001</v>
      </c>
      <c r="AL4" s="32">
        <f>AM3/(AI6*AL9)</f>
        <v>0.33590810611029187</v>
      </c>
      <c r="AM4" s="8" t="s">
        <v>17</v>
      </c>
      <c r="AP4" s="9"/>
      <c r="AQ4" s="2">
        <f>ABS(AS3-AS4)/ABS(AU3-AU4)*1000</f>
        <v>36.163224054071343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6.7840600000000001E-2</v>
      </c>
      <c r="AV4" s="32">
        <f>AW3/(AS6*AV9)</f>
        <v>0.39053619919463467</v>
      </c>
      <c r="AW4" s="8" t="s">
        <v>17</v>
      </c>
      <c r="AX4" s="9"/>
      <c r="AY4" s="2">
        <f>ABS(BA3-BA4)/ABS(BC3-BC4)*1000</f>
        <v>41.457831139900527</v>
      </c>
      <c r="AZ4" s="2"/>
      <c r="BA4" s="2">
        <f>INDEX(BC11:BC856,1+MATCH(0,BD11:BD856,-1))</f>
        <v>1.77216</v>
      </c>
      <c r="BB4" s="2"/>
      <c r="BC4" s="10">
        <f>INDEX(BD11:BD856,MATCH(BA4,BC11:BC856,0))</f>
        <v>-0.10665899999999999</v>
      </c>
      <c r="BD4" s="32">
        <f>BE3/(BA6*BD9)</f>
        <v>0.33313084835021228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9.255980000000001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8.8439899999999998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9.3048099999999998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8.4167500000000004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9.0881299999999996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8.0261199999999988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1.7781607270524684</v>
      </c>
      <c r="J6" s="32"/>
      <c r="K6" s="13">
        <f>INDEX(K11:K1056,MATCH(L6,L11:L1056,0))</f>
        <v>2.0202599999999999E-3</v>
      </c>
      <c r="L6" s="10">
        <f>INDEX(L11:L1056,MATCH(0,K11:K1056,-1))</f>
        <v>15.5273</v>
      </c>
      <c r="M6" s="8" t="s">
        <v>22</v>
      </c>
      <c r="N6" s="9"/>
      <c r="O6" s="2"/>
      <c r="P6" s="2"/>
      <c r="Q6" s="36">
        <f>(Q3-Q4)/(S3-S4)*(-S4)+Q4</f>
        <v>1.7690735168144234</v>
      </c>
      <c r="R6" s="36"/>
      <c r="S6" s="13">
        <f>INDEX(S11:S1056,MATCH(T6,T11:T1056,0))</f>
        <v>-4.5410199999999998E-3</v>
      </c>
      <c r="T6" s="10">
        <f>INDEX(T11:T1056,MATCH(0,S11:S1056,1))</f>
        <v>16.510000000000002</v>
      </c>
      <c r="U6" s="8" t="s">
        <v>22</v>
      </c>
      <c r="X6" s="9"/>
      <c r="Y6" s="2"/>
      <c r="Z6" s="2"/>
      <c r="AA6" s="32">
        <f>(AA3-AA4)/(AC3-AC4)*(-AC4)+AA4</f>
        <v>1.7734940501052536</v>
      </c>
      <c r="AB6" s="32"/>
      <c r="AC6" s="13">
        <f>INDEX(AC11:AC1056,MATCH(AD6,AD11:AD1056,0))</f>
        <v>2.06909E-3</v>
      </c>
      <c r="AD6" s="10">
        <f>INDEX(AD11:AD1056,MATCH(0,AC11:AC1056,-1))</f>
        <v>15.5701</v>
      </c>
      <c r="AE6" s="8" t="s">
        <v>22</v>
      </c>
      <c r="AF6" s="9"/>
      <c r="AG6" s="2"/>
      <c r="AH6" s="2"/>
      <c r="AI6" s="36">
        <f>(AI3-AI4)/(AK3-AK4)*(-AK4)+AI4</f>
        <v>1.7677562222130827</v>
      </c>
      <c r="AJ6" s="36"/>
      <c r="AK6" s="13">
        <f>INDEX(AK11:AK1056,MATCH(AL6,AL11:AL1056,0))</f>
        <v>-4.5806900000000001E-3</v>
      </c>
      <c r="AL6" s="10">
        <f>INDEX(AL11:AL1056,MATCH(0,AK11:AK1056,1))</f>
        <v>15.951500000000001</v>
      </c>
      <c r="AM6" s="8" t="s">
        <v>22</v>
      </c>
      <c r="AP6" s="9"/>
      <c r="AQ6" s="2"/>
      <c r="AR6" s="2"/>
      <c r="AS6" s="32">
        <f>(AS3-AS4)/(AU3-AU4)*(-AU4)+AS4</f>
        <v>1.7718633348177626</v>
      </c>
      <c r="AT6" s="32"/>
      <c r="AU6" s="13">
        <f>INDEX(AU11:AU1056,MATCH(AV6,AV11:AV1056,0))</f>
        <v>2.0904500000000002E-3</v>
      </c>
      <c r="AV6" s="10">
        <f>INDEX(AV11:AV1056,MATCH(0,AU11:AU1056,-1))</f>
        <v>15.4938</v>
      </c>
      <c r="AW6" s="8" t="s">
        <v>22</v>
      </c>
      <c r="AX6" s="9"/>
      <c r="AY6" s="2"/>
      <c r="AZ6" s="2"/>
      <c r="BA6" s="36">
        <f>(BA3-BA4)/(BC3-BC4)*(-BC4)+BA4</f>
        <v>1.7677381491884494</v>
      </c>
      <c r="BB6" s="36"/>
      <c r="BC6" s="13">
        <f>INDEX(BC11:BC1056,MATCH(BD6,BD11:BD1056,0))</f>
        <v>-4.5013400000000004E-3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-2.9937700000000002E-3</v>
      </c>
      <c r="L7" s="10">
        <f>INDEX(L11:L856,1+MATCH(0,K11:K856,-1))</f>
        <v>15.5579</v>
      </c>
      <c r="M7" s="12">
        <f>INDEX(K11:K1056,MATCH(M9,M11:M1056,0))</f>
        <v>1.1795</v>
      </c>
      <c r="N7" s="9"/>
      <c r="O7" s="2"/>
      <c r="P7" s="2"/>
      <c r="Q7" s="2"/>
      <c r="R7" s="2"/>
      <c r="S7" s="13">
        <f>INDEX(S11:S1056,MATCH(T7,T11:T1056,0))</f>
        <v>5.5236800000000002E-4</v>
      </c>
      <c r="T7" s="10">
        <f>INDEX(T11:T1056,1+MATCH(0,S11:S1056,1))</f>
        <v>16.476399999999998</v>
      </c>
      <c r="U7" s="12">
        <f>INDEX(S11:S1056,MATCH(U9,U11:U1056,0))</f>
        <v>1.1178600000000001</v>
      </c>
      <c r="X7" s="9"/>
      <c r="Y7" s="2"/>
      <c r="Z7" s="2"/>
      <c r="AA7" s="2"/>
      <c r="AB7" s="2"/>
      <c r="AC7" s="13">
        <f>INDEX(AC11:AC856,MATCH(AD7,AD11:AD856,1))</f>
        <v>-2.9846199999999999E-3</v>
      </c>
      <c r="AD7" s="10">
        <f>INDEX(AD11:AD856,1+MATCH(0,AC11:AC856,-1))</f>
        <v>15.5884</v>
      </c>
      <c r="AE7" s="12">
        <f>INDEX(AC11:AC1056,MATCH(AE9,AE11:AE1056,0))</f>
        <v>1.19415</v>
      </c>
      <c r="AF7" s="9"/>
      <c r="AG7" s="2"/>
      <c r="AH7" s="2"/>
      <c r="AI7" s="2"/>
      <c r="AJ7" s="2"/>
      <c r="AK7" s="13">
        <f>INDEX(AK11:AK1056,MATCH(AL7,AL11:AL1056,0))</f>
        <v>5.6152299999999997E-4</v>
      </c>
      <c r="AL7" s="10">
        <f>INDEX(AL11:AL1056,1+MATCH(0,AK11:AK1056,1))</f>
        <v>15.924099999999999</v>
      </c>
      <c r="AM7" s="12">
        <f>INDEX(AK11:AK1056,MATCH(AM9,AM11:AM1056,0))</f>
        <v>1.1221300000000001</v>
      </c>
      <c r="AP7" s="9"/>
      <c r="AQ7" s="2"/>
      <c r="AR7" s="2"/>
      <c r="AS7" s="2"/>
      <c r="AT7" s="2"/>
      <c r="AU7" s="13">
        <f>INDEX(AU11:AU856,MATCH(AV7,AV11:AV856,1))</f>
        <v>-2.9754600000000001E-3</v>
      </c>
      <c r="AV7" s="10">
        <f>INDEX(AV11:AV856,1+MATCH(0,AU11:AU856,-1))</f>
        <v>15.5212</v>
      </c>
      <c r="AW7" s="12">
        <f>INDEX(AU11:AU1056,MATCH(AW9,AW11:AW1056,0))</f>
        <v>1.1795</v>
      </c>
      <c r="AX7" s="9"/>
      <c r="AY7" s="2"/>
      <c r="AZ7" s="2"/>
      <c r="BA7" s="2"/>
      <c r="BB7" s="2"/>
      <c r="BC7" s="13">
        <f>INDEX(BC11:BC1056,MATCH(BD7,BD11:BD1056,0))</f>
        <v>5.6152299999999997E-4</v>
      </c>
      <c r="BD7" s="10">
        <f>INDEX(BD11:BD1056,1+MATCH(0,BC11:BC1056,1))</f>
        <v>15.7227</v>
      </c>
      <c r="BE7" s="12">
        <f>INDEX(BC11:BC1056,MATCH(BE9,BE11:BE1056,0))</f>
        <v>1.1529499999999999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9.4649653327190428</v>
      </c>
      <c r="J9" s="2"/>
      <c r="K9" s="2"/>
      <c r="L9" s="3">
        <f>(L6-L7)/(K6-K7)*(-K7)+L7</f>
        <v>15.53962939491786</v>
      </c>
      <c r="M9" s="16">
        <f>MAX(M11:M1056)</f>
        <v>10.9273323086</v>
      </c>
      <c r="N9" s="9"/>
      <c r="O9" s="2"/>
      <c r="P9" s="2"/>
      <c r="Q9" s="2"/>
      <c r="R9" s="2"/>
      <c r="S9" s="2"/>
      <c r="T9" s="3">
        <f>(T6-T7)/(S6-S7)*(-S7)+T7</f>
        <v>16.48004385450313</v>
      </c>
      <c r="U9" s="16">
        <f>MAX(U11:U1056)</f>
        <v>9.8930640937999996</v>
      </c>
      <c r="X9" s="9"/>
      <c r="Y9" s="2"/>
      <c r="Z9" s="2"/>
      <c r="AA9" s="15">
        <f>(MAX(AD2,AL2)-MIN(AD2,AL2))/MAX(AD2,AL2)%</f>
        <v>14.992572363193805</v>
      </c>
      <c r="AB9" s="2"/>
      <c r="AC9" s="2"/>
      <c r="AD9" s="3">
        <f>(AD6-AD7)/(AC6-AC7)*(-AC7)+AD7</f>
        <v>15.577592386187574</v>
      </c>
      <c r="AE9" s="16">
        <f>MAX(AE11:AE1056)</f>
        <v>11.1255752208</v>
      </c>
      <c r="AF9" s="9"/>
      <c r="AG9" s="2"/>
      <c r="AH9" s="2"/>
      <c r="AI9" s="2"/>
      <c r="AJ9" s="2"/>
      <c r="AK9" s="2"/>
      <c r="AL9" s="3">
        <f>(AL6-AL7)/(AK6-AK7)*(-AK7)+AL7</f>
        <v>15.927092044514685</v>
      </c>
      <c r="AM9" s="16">
        <f>MAX(AM11:AM1056)</f>
        <v>9.457565305000001</v>
      </c>
      <c r="AP9" s="9"/>
      <c r="AQ9" s="2"/>
      <c r="AR9" s="2"/>
      <c r="AS9" s="15">
        <f>(MAX(AV2,BD2)-MIN(AV2,BD2))/MAX(AV2,BD2)%</f>
        <v>13.683016043603713</v>
      </c>
      <c r="AT9" s="2"/>
      <c r="AU9" s="2"/>
      <c r="AV9" s="3">
        <f>(AV6-AV7)/(AU6-AU7)*(-AU7)+AV7</f>
        <v>15.50510662210738</v>
      </c>
      <c r="AW9" s="16">
        <f>MAX(AW11:AW1056)</f>
        <v>10.729173634099999</v>
      </c>
      <c r="AX9" s="9"/>
      <c r="AY9" s="2"/>
      <c r="AZ9" s="2"/>
      <c r="BA9" s="2"/>
      <c r="BB9" s="2"/>
      <c r="BC9" s="2"/>
      <c r="BD9" s="3">
        <f>(BD6-BD7)/(BC6-BC7)*(-BC7)+BD7</f>
        <v>15.726415490721356</v>
      </c>
      <c r="BE9" s="16">
        <f>MAX(BE11:BE1056)</f>
        <v>9.2610990843999978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1.7781607270524684</v>
      </c>
      <c r="B11" s="19">
        <f>IFERROR(L9,0)</f>
        <v>15.53962939491786</v>
      </c>
      <c r="C11" s="20">
        <f>IFERROR(L4,0)</f>
        <v>0.39545992472174502</v>
      </c>
      <c r="D11" s="21">
        <f>IFERROR(L2,0)</f>
        <v>10.927332308599999</v>
      </c>
      <c r="E11" s="21">
        <f>IFERROR(I9,0)</f>
        <v>9.4649653327190428</v>
      </c>
      <c r="F11" s="9"/>
      <c r="G11" s="22">
        <v>1.7948900000000001</v>
      </c>
      <c r="H11" s="22">
        <v>6.7274200000000004</v>
      </c>
      <c r="I11" s="22">
        <v>4.0368700000000001E-4</v>
      </c>
      <c r="J11" s="22">
        <v>1</v>
      </c>
      <c r="K11" s="22">
        <v>1.79382</v>
      </c>
      <c r="L11">
        <f>-I11/$F$2*1000</f>
        <v>-0.40368700000000002</v>
      </c>
      <c r="M11">
        <f>L11*G11</f>
        <v>-0.72457375943000002</v>
      </c>
      <c r="N11" s="9"/>
      <c r="O11" s="22">
        <v>-9.49097E-2</v>
      </c>
      <c r="P11" s="22">
        <v>46.2027</v>
      </c>
      <c r="Q11" s="22">
        <v>-1.6940299999999998E-2</v>
      </c>
      <c r="R11" s="22">
        <v>1</v>
      </c>
      <c r="S11" s="22">
        <v>-9.5367400000000005E-2</v>
      </c>
      <c r="T11">
        <f>-Q11/$F$2*1000</f>
        <v>16.940299999999997</v>
      </c>
      <c r="U11">
        <f>T11*O11</f>
        <v>-1.6077987909099998</v>
      </c>
      <c r="V11" s="23"/>
      <c r="W11" s="24"/>
      <c r="X11" s="9"/>
      <c r="Y11" s="22">
        <v>1.7948900000000001</v>
      </c>
      <c r="Z11" s="22">
        <v>54.014299999999999</v>
      </c>
      <c r="AA11" s="22">
        <v>5.44434E-4</v>
      </c>
      <c r="AB11" s="22">
        <v>1</v>
      </c>
      <c r="AC11" s="22">
        <v>1.79413</v>
      </c>
      <c r="AD11">
        <f>-AA11/$F$2*1000</f>
        <v>-0.54443399999999997</v>
      </c>
      <c r="AE11">
        <f>AD11*Y11</f>
        <v>-0.97719914226000004</v>
      </c>
      <c r="AF11" s="9"/>
      <c r="AG11" s="22">
        <v>-9.49097E-2</v>
      </c>
      <c r="AH11" s="22">
        <v>59.558900000000001</v>
      </c>
      <c r="AI11" s="22">
        <v>-1.67694E-2</v>
      </c>
      <c r="AJ11" s="22">
        <v>1</v>
      </c>
      <c r="AK11" s="22">
        <v>-9.5489500000000005E-2</v>
      </c>
      <c r="AL11">
        <f>-AI11/$F$2*1000</f>
        <v>16.769400000000001</v>
      </c>
      <c r="AM11">
        <f>AL11*AG11</f>
        <v>-1.59157872318</v>
      </c>
      <c r="AP11" s="9"/>
      <c r="AQ11" s="22">
        <v>1.7948900000000001</v>
      </c>
      <c r="AR11" s="22">
        <v>66.558599999999998</v>
      </c>
      <c r="AS11" s="22">
        <v>5.7464599999999995E-4</v>
      </c>
      <c r="AT11" s="22">
        <v>1</v>
      </c>
      <c r="AU11" s="22">
        <v>1.79443</v>
      </c>
      <c r="AV11">
        <f>-AS11/$F$2*1000</f>
        <v>-0.57464599999999999</v>
      </c>
      <c r="AW11">
        <f>AV11*AQ11</f>
        <v>-1.0314263589400001</v>
      </c>
      <c r="AX11" s="9"/>
      <c r="AY11" s="22">
        <v>-9.49097E-2</v>
      </c>
      <c r="AZ11" s="22">
        <v>71.8352</v>
      </c>
      <c r="BA11" s="22">
        <v>-1.6668700000000002E-2</v>
      </c>
      <c r="BB11" s="22">
        <v>1</v>
      </c>
      <c r="BC11" s="22">
        <v>-9.5397899999999994E-2</v>
      </c>
      <c r="BD11">
        <f>-BA11/$F$2*1000</f>
        <v>16.668700000000001</v>
      </c>
      <c r="BE11">
        <f>BD11*AY11</f>
        <v>-1.5820213163900001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1.7690735168144234</v>
      </c>
      <c r="B12" s="19">
        <f>IFERROR(T9,0)</f>
        <v>16.48004385450313</v>
      </c>
      <c r="C12" s="20">
        <f>IFERROR(T4,0)</f>
        <v>0.33933337652814083</v>
      </c>
      <c r="D12" s="21">
        <f>IFERROR(T2,0)</f>
        <v>9.8930640938000014</v>
      </c>
      <c r="E12" s="21"/>
      <c r="F12" s="9"/>
      <c r="G12" s="22">
        <v>1.78986</v>
      </c>
      <c r="H12" s="22">
        <v>6.7374900000000002</v>
      </c>
      <c r="I12" s="22">
        <v>2.7523800000000002E-4</v>
      </c>
      <c r="J12" s="22">
        <v>2</v>
      </c>
      <c r="K12" s="22">
        <v>1.78864</v>
      </c>
      <c r="L12">
        <f t="shared" ref="L12:L75" si="0">-I12/$F$2*1000</f>
        <v>-0.27523800000000004</v>
      </c>
      <c r="M12">
        <f t="shared" ref="M12:M75" si="1">L12*G12</f>
        <v>-0.49263748668000007</v>
      </c>
      <c r="N12" s="9"/>
      <c r="O12" s="22">
        <v>-8.9874300000000004E-2</v>
      </c>
      <c r="P12" s="22">
        <v>46.212699999999998</v>
      </c>
      <c r="Q12" s="22">
        <v>-1.6928100000000001E-2</v>
      </c>
      <c r="R12" s="22">
        <v>2</v>
      </c>
      <c r="S12" s="22">
        <v>-9.0576199999999996E-2</v>
      </c>
      <c r="T12">
        <f t="shared" ref="T12:T75" si="2">-Q12/$F$2*1000</f>
        <v>16.928100000000001</v>
      </c>
      <c r="U12">
        <f t="shared" ref="U12:U75" si="3">T12*O12</f>
        <v>-1.5214011378300001</v>
      </c>
      <c r="V12" s="23"/>
      <c r="W12" s="24"/>
      <c r="X12" s="9"/>
      <c r="Y12" s="22">
        <v>1.78986</v>
      </c>
      <c r="Z12" s="22">
        <v>54.0244</v>
      </c>
      <c r="AA12" s="22">
        <v>4.09515E-4</v>
      </c>
      <c r="AB12" s="22">
        <v>2</v>
      </c>
      <c r="AC12" s="22">
        <v>1.78925</v>
      </c>
      <c r="AD12">
        <f t="shared" ref="AD12:AD75" si="4">-AA12/$F$2*1000</f>
        <v>-0.40951500000000002</v>
      </c>
      <c r="AE12">
        <f t="shared" ref="AE12:AE75" si="5">AD12*Y12</f>
        <v>-0.73297451790000001</v>
      </c>
      <c r="AF12" s="9"/>
      <c r="AG12" s="22">
        <v>-8.9874300000000004E-2</v>
      </c>
      <c r="AH12" s="22">
        <v>59.569000000000003</v>
      </c>
      <c r="AI12" s="22">
        <v>-1.67023E-2</v>
      </c>
      <c r="AJ12" s="22">
        <v>2</v>
      </c>
      <c r="AK12" s="22">
        <v>-9.0515100000000001E-2</v>
      </c>
      <c r="AL12">
        <f t="shared" ref="AL12:AL75" si="6">-AI12/$F$2*1000</f>
        <v>16.702300000000001</v>
      </c>
      <c r="AM12">
        <f t="shared" ref="AM12:AM75" si="7">AL12*AG12</f>
        <v>-1.5011075208900002</v>
      </c>
      <c r="AP12" s="9"/>
      <c r="AQ12" s="22">
        <v>1.78986</v>
      </c>
      <c r="AR12" s="22">
        <v>66.568600000000004</v>
      </c>
      <c r="AS12" s="22">
        <v>4.4445800000000001E-4</v>
      </c>
      <c r="AT12" s="22">
        <v>2</v>
      </c>
      <c r="AU12" s="22">
        <v>1.78925</v>
      </c>
      <c r="AV12">
        <f t="shared" ref="AV12:AV75" si="8">-AS12/$F$2*1000</f>
        <v>-0.44445800000000002</v>
      </c>
      <c r="AW12">
        <f t="shared" ref="AW12:AW75" si="9">AV12*AQ12</f>
        <v>-0.79551759588000004</v>
      </c>
      <c r="AX12" s="9"/>
      <c r="AY12" s="22">
        <v>-8.9874300000000004E-2</v>
      </c>
      <c r="AZ12" s="22">
        <v>71.845299999999995</v>
      </c>
      <c r="BA12" s="22">
        <v>-1.6586299999999998E-2</v>
      </c>
      <c r="BB12" s="22">
        <v>2</v>
      </c>
      <c r="BC12" s="22">
        <v>-9.0484599999999998E-2</v>
      </c>
      <c r="BD12">
        <f t="shared" ref="BD12:BD75" si="10">-BA12/$F$2*1000</f>
        <v>16.586299999999998</v>
      </c>
      <c r="BE12">
        <f t="shared" ref="BE12:BE75" si="11">BD12*AY12</f>
        <v>-1.4906821020899998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1.7734940501052536</v>
      </c>
      <c r="B13" s="19">
        <f>IFERROR(AD9,0)</f>
        <v>15.577592386187574</v>
      </c>
      <c r="C13" s="20">
        <f>IFERROR(AD4,0)</f>
        <v>0.40270998973337763</v>
      </c>
      <c r="D13" s="21">
        <f>IFERROR(AD2,0)</f>
        <v>11.1255752208</v>
      </c>
      <c r="E13" s="21">
        <f>IFERROR(AA9,0)</f>
        <v>14.992572363193805</v>
      </c>
      <c r="F13" s="9"/>
      <c r="G13" s="22">
        <v>1.7848200000000001</v>
      </c>
      <c r="H13" s="22">
        <v>6.7475699999999996</v>
      </c>
      <c r="I13" s="22">
        <v>1.4798E-4</v>
      </c>
      <c r="J13" s="22">
        <v>3</v>
      </c>
      <c r="K13" s="22">
        <v>1.78406</v>
      </c>
      <c r="L13">
        <f t="shared" si="0"/>
        <v>-0.14798</v>
      </c>
      <c r="M13">
        <f t="shared" si="1"/>
        <v>-0.2641176636</v>
      </c>
      <c r="N13" s="9"/>
      <c r="O13" s="22">
        <v>-8.4838899999999995E-2</v>
      </c>
      <c r="P13" s="22">
        <v>46.222799999999999</v>
      </c>
      <c r="Q13" s="22">
        <v>-1.6915900000000001E-2</v>
      </c>
      <c r="R13" s="22">
        <v>3</v>
      </c>
      <c r="S13" s="22">
        <v>-8.5510299999999997E-2</v>
      </c>
      <c r="T13">
        <f t="shared" si="2"/>
        <v>16.915900000000001</v>
      </c>
      <c r="U13">
        <f t="shared" si="3"/>
        <v>-1.4351263485099999</v>
      </c>
      <c r="V13" s="23"/>
      <c r="W13" s="24"/>
      <c r="X13" s="9"/>
      <c r="Y13" s="22">
        <v>1.7848200000000001</v>
      </c>
      <c r="Z13" s="22">
        <v>54.034500000000001</v>
      </c>
      <c r="AA13" s="22">
        <v>2.7722199999999998E-4</v>
      </c>
      <c r="AB13" s="22">
        <v>3</v>
      </c>
      <c r="AC13" s="22">
        <v>1.78345</v>
      </c>
      <c r="AD13">
        <f t="shared" si="4"/>
        <v>-0.27722199999999997</v>
      </c>
      <c r="AE13">
        <f t="shared" si="5"/>
        <v>-0.49479137003999996</v>
      </c>
      <c r="AF13" s="9"/>
      <c r="AG13" s="22">
        <v>-8.4838899999999995E-2</v>
      </c>
      <c r="AH13" s="22">
        <v>59.579099999999997</v>
      </c>
      <c r="AI13" s="22">
        <v>-1.6641199999999998E-2</v>
      </c>
      <c r="AJ13" s="22">
        <v>3</v>
      </c>
      <c r="AK13" s="22">
        <v>-8.5357699999999995E-2</v>
      </c>
      <c r="AL13">
        <f t="shared" si="6"/>
        <v>16.641199999999998</v>
      </c>
      <c r="AM13">
        <f t="shared" si="7"/>
        <v>-1.4118211026799998</v>
      </c>
      <c r="AP13" s="9"/>
      <c r="AQ13" s="22">
        <v>1.7848200000000001</v>
      </c>
      <c r="AR13" s="22">
        <v>66.578699999999998</v>
      </c>
      <c r="AS13" s="22">
        <v>3.14514E-4</v>
      </c>
      <c r="AT13" s="22">
        <v>3</v>
      </c>
      <c r="AU13" s="22">
        <v>1.7837499999999999</v>
      </c>
      <c r="AV13">
        <f t="shared" si="8"/>
        <v>-0.31451400000000002</v>
      </c>
      <c r="AW13">
        <f t="shared" si="9"/>
        <v>-0.56135087748000001</v>
      </c>
      <c r="AX13" s="9"/>
      <c r="AY13" s="22">
        <v>-8.4838899999999995E-2</v>
      </c>
      <c r="AZ13" s="22">
        <v>71.8553</v>
      </c>
      <c r="BA13" s="22">
        <v>-1.651E-2</v>
      </c>
      <c r="BB13" s="22">
        <v>3</v>
      </c>
      <c r="BC13" s="22">
        <v>-8.5388199999999997E-2</v>
      </c>
      <c r="BD13">
        <f t="shared" si="10"/>
        <v>16.510000000000002</v>
      </c>
      <c r="BE13">
        <f t="shared" si="11"/>
        <v>-1.400690239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1.7677562222130827</v>
      </c>
      <c r="B14" s="19">
        <f>IFERROR(AL9,0)</f>
        <v>15.927092044514685</v>
      </c>
      <c r="C14" s="20">
        <f>IFERROR(AL4,0)</f>
        <v>0.33590810611029187</v>
      </c>
      <c r="D14" s="21">
        <f>IFERROR(AL2,0)</f>
        <v>9.457565305000001</v>
      </c>
      <c r="E14" s="21"/>
      <c r="F14" s="9"/>
      <c r="G14" s="22">
        <v>1.77979</v>
      </c>
      <c r="H14" s="22">
        <v>6.7576400000000003</v>
      </c>
      <c r="I14" s="25">
        <v>2.4993900000000001E-5</v>
      </c>
      <c r="J14" s="22">
        <v>4</v>
      </c>
      <c r="K14" s="22">
        <v>1.7791699999999999</v>
      </c>
      <c r="L14">
        <f t="shared" si="0"/>
        <v>-2.4993900000000003E-2</v>
      </c>
      <c r="M14">
        <f t="shared" si="1"/>
        <v>-4.4483893281000005E-2</v>
      </c>
      <c r="N14" s="9"/>
      <c r="O14" s="22">
        <v>-7.9803499999999999E-2</v>
      </c>
      <c r="P14" s="22">
        <v>46.232900000000001</v>
      </c>
      <c r="Q14" s="22">
        <v>-1.6900600000000002E-2</v>
      </c>
      <c r="R14" s="22">
        <v>4</v>
      </c>
      <c r="S14" s="22">
        <v>-8.0444299999999996E-2</v>
      </c>
      <c r="T14">
        <f t="shared" si="2"/>
        <v>16.900600000000001</v>
      </c>
      <c r="U14">
        <f t="shared" si="3"/>
        <v>-1.3487270321</v>
      </c>
      <c r="V14" s="23"/>
      <c r="W14" s="24"/>
      <c r="X14" s="9"/>
      <c r="Y14" s="22">
        <v>1.77979</v>
      </c>
      <c r="Z14" s="22">
        <v>54.044499999999999</v>
      </c>
      <c r="AA14" s="22">
        <v>1.4489700000000001E-4</v>
      </c>
      <c r="AB14" s="22">
        <v>4</v>
      </c>
      <c r="AC14" s="22">
        <v>1.7791699999999999</v>
      </c>
      <c r="AD14">
        <f t="shared" si="4"/>
        <v>-0.144897</v>
      </c>
      <c r="AE14">
        <f t="shared" si="5"/>
        <v>-0.25788623163000002</v>
      </c>
      <c r="AF14" s="9"/>
      <c r="AG14" s="22">
        <v>-7.9803499999999999E-2</v>
      </c>
      <c r="AH14" s="22">
        <v>59.589100000000002</v>
      </c>
      <c r="AI14" s="22">
        <v>-1.6583299999999999E-2</v>
      </c>
      <c r="AJ14" s="22">
        <v>4</v>
      </c>
      <c r="AK14" s="22">
        <v>-8.0322299999999999E-2</v>
      </c>
      <c r="AL14">
        <f t="shared" si="6"/>
        <v>16.583299999999998</v>
      </c>
      <c r="AM14">
        <f t="shared" si="7"/>
        <v>-1.3234053815499998</v>
      </c>
      <c r="AP14" s="9"/>
      <c r="AQ14" s="22">
        <v>1.77979</v>
      </c>
      <c r="AR14" s="22">
        <v>66.588800000000006</v>
      </c>
      <c r="AS14" s="22">
        <v>1.8609599999999999E-4</v>
      </c>
      <c r="AT14" s="22">
        <v>4</v>
      </c>
      <c r="AU14" s="22">
        <v>1.77948</v>
      </c>
      <c r="AV14">
        <f t="shared" si="8"/>
        <v>-0.18609599999999998</v>
      </c>
      <c r="AW14">
        <f t="shared" si="9"/>
        <v>-0.33121179983999999</v>
      </c>
      <c r="AX14" s="9"/>
      <c r="AY14" s="22">
        <v>-7.9803499999999999E-2</v>
      </c>
      <c r="AZ14" s="22">
        <v>71.865399999999994</v>
      </c>
      <c r="BA14" s="22">
        <v>-1.6433699999999999E-2</v>
      </c>
      <c r="BB14" s="22">
        <v>4</v>
      </c>
      <c r="BC14" s="22">
        <v>-8.0352800000000002E-2</v>
      </c>
      <c r="BD14">
        <f t="shared" si="10"/>
        <v>16.433699999999998</v>
      </c>
      <c r="BE14">
        <f t="shared" si="11"/>
        <v>-1.3114667779499998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1.7718633348177626</v>
      </c>
      <c r="B15" s="19">
        <f>IFERROR(AV9,0)</f>
        <v>15.50510662210738</v>
      </c>
      <c r="C15" s="20">
        <f>IFERROR(AV4,0)</f>
        <v>0.39053619919463467</v>
      </c>
      <c r="D15" s="21">
        <f>IFERROR(AV2,0)</f>
        <v>10.7291736341</v>
      </c>
      <c r="E15" s="21">
        <f>IFERROR(AS9,0)</f>
        <v>13.683016043603713</v>
      </c>
      <c r="F15" s="9"/>
      <c r="G15" s="22">
        <v>1.77475</v>
      </c>
      <c r="H15" s="22">
        <v>6.7677100000000001</v>
      </c>
      <c r="I15" s="25">
        <v>-9.5855700000000005E-5</v>
      </c>
      <c r="J15" s="22">
        <v>5</v>
      </c>
      <c r="K15" s="22">
        <v>1.7742899999999999</v>
      </c>
      <c r="L15">
        <f t="shared" si="0"/>
        <v>9.5855700000000002E-2</v>
      </c>
      <c r="M15">
        <f t="shared" si="1"/>
        <v>0.17011990357500001</v>
      </c>
      <c r="N15" s="9"/>
      <c r="O15" s="22">
        <v>-7.4768100000000004E-2</v>
      </c>
      <c r="P15" s="22">
        <v>46.242899999999999</v>
      </c>
      <c r="Q15" s="22">
        <v>-1.6885399999999998E-2</v>
      </c>
      <c r="R15" s="22">
        <v>5</v>
      </c>
      <c r="S15" s="22">
        <v>-7.5256299999999998E-2</v>
      </c>
      <c r="T15">
        <f t="shared" si="2"/>
        <v>16.885399999999997</v>
      </c>
      <c r="U15">
        <f t="shared" si="3"/>
        <v>-1.2624892757399999</v>
      </c>
      <c r="V15" s="23"/>
      <c r="W15" s="24"/>
      <c r="X15" s="9"/>
      <c r="Y15" s="22">
        <v>1.77475</v>
      </c>
      <c r="Z15" s="22">
        <v>54.054600000000001</v>
      </c>
      <c r="AA15" s="25">
        <v>1.40381E-5</v>
      </c>
      <c r="AB15" s="22">
        <v>5</v>
      </c>
      <c r="AC15" s="22">
        <v>1.77399</v>
      </c>
      <c r="AD15">
        <f t="shared" si="4"/>
        <v>-1.40381E-2</v>
      </c>
      <c r="AE15">
        <f t="shared" si="5"/>
        <v>-2.4914117975E-2</v>
      </c>
      <c r="AF15" s="9"/>
      <c r="AG15" s="22">
        <v>-7.4768100000000004E-2</v>
      </c>
      <c r="AH15" s="22">
        <v>59.599200000000003</v>
      </c>
      <c r="AI15" s="22">
        <v>-1.65253E-2</v>
      </c>
      <c r="AJ15" s="22">
        <v>5</v>
      </c>
      <c r="AK15" s="22">
        <v>-7.5286900000000004E-2</v>
      </c>
      <c r="AL15">
        <f t="shared" si="6"/>
        <v>16.525300000000001</v>
      </c>
      <c r="AM15">
        <f t="shared" si="7"/>
        <v>-1.2355652829300001</v>
      </c>
      <c r="AP15" s="9"/>
      <c r="AQ15" s="22">
        <v>1.77475</v>
      </c>
      <c r="AR15" s="22">
        <v>66.598799999999997</v>
      </c>
      <c r="AS15" s="25">
        <v>5.8807400000000002E-5</v>
      </c>
      <c r="AT15" s="22">
        <v>5</v>
      </c>
      <c r="AU15" s="22">
        <v>1.77399</v>
      </c>
      <c r="AV15">
        <f t="shared" si="8"/>
        <v>-5.8807400000000003E-2</v>
      </c>
      <c r="AW15">
        <f t="shared" si="9"/>
        <v>-0.10436843315000001</v>
      </c>
      <c r="AX15" s="9"/>
      <c r="AY15" s="22">
        <v>-7.4768100000000004E-2</v>
      </c>
      <c r="AZ15" s="22">
        <v>71.875500000000002</v>
      </c>
      <c r="BA15" s="22">
        <v>-1.6378799999999999E-2</v>
      </c>
      <c r="BB15" s="22">
        <v>5</v>
      </c>
      <c r="BC15" s="22">
        <v>-7.5286900000000004E-2</v>
      </c>
      <c r="BD15">
        <f t="shared" si="10"/>
        <v>16.378799999999998</v>
      </c>
      <c r="BE15">
        <f t="shared" si="11"/>
        <v>-1.2246117562799999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1.7677381491884494</v>
      </c>
      <c r="B16" s="19">
        <f>IFERROR(BD9,0)</f>
        <v>15.726415490721356</v>
      </c>
      <c r="C16" s="20">
        <f>IFERROR(BD4,0)</f>
        <v>0.33313084835021228</v>
      </c>
      <c r="D16" s="21">
        <f>IFERROR(BD2,0)</f>
        <v>9.2610990843999978</v>
      </c>
      <c r="E16" s="21"/>
      <c r="F16" s="9"/>
      <c r="G16" s="22">
        <v>1.7697099999999999</v>
      </c>
      <c r="H16" s="22">
        <v>6.7777799999999999</v>
      </c>
      <c r="I16" s="22">
        <v>-2.1896400000000001E-4</v>
      </c>
      <c r="J16" s="22">
        <v>6</v>
      </c>
      <c r="K16" s="22">
        <v>1.7684899999999999</v>
      </c>
      <c r="L16">
        <f t="shared" si="0"/>
        <v>0.21896400000000002</v>
      </c>
      <c r="M16">
        <f t="shared" si="1"/>
        <v>0.38750278044000003</v>
      </c>
      <c r="N16" s="9"/>
      <c r="O16" s="22">
        <v>-6.9732699999999995E-2</v>
      </c>
      <c r="P16" s="22">
        <v>46.253</v>
      </c>
      <c r="Q16" s="22">
        <v>-1.6867099999999999E-2</v>
      </c>
      <c r="R16" s="22">
        <v>6</v>
      </c>
      <c r="S16" s="22">
        <v>-7.0343000000000003E-2</v>
      </c>
      <c r="T16">
        <f t="shared" si="2"/>
        <v>16.867100000000001</v>
      </c>
      <c r="U16">
        <f t="shared" si="3"/>
        <v>-1.17618842417</v>
      </c>
      <c r="V16" s="23"/>
      <c r="W16" s="24"/>
      <c r="X16" s="9"/>
      <c r="Y16" s="22">
        <v>1.7697099999999999</v>
      </c>
      <c r="Z16" s="22">
        <v>54.064700000000002</v>
      </c>
      <c r="AA16" s="22">
        <v>-1.1560100000000001E-4</v>
      </c>
      <c r="AB16" s="22">
        <v>6</v>
      </c>
      <c r="AC16" s="22">
        <v>1.7694099999999999</v>
      </c>
      <c r="AD16">
        <f t="shared" si="4"/>
        <v>0.11560100000000001</v>
      </c>
      <c r="AE16">
        <f t="shared" si="5"/>
        <v>0.20458024571</v>
      </c>
      <c r="AF16" s="9"/>
      <c r="AG16" s="22">
        <v>-6.9732699999999995E-2</v>
      </c>
      <c r="AH16" s="22">
        <v>59.609299999999998</v>
      </c>
      <c r="AI16" s="22">
        <v>-1.6467300000000001E-2</v>
      </c>
      <c r="AJ16" s="22">
        <v>6</v>
      </c>
      <c r="AK16" s="22">
        <v>-7.03125E-2</v>
      </c>
      <c r="AL16">
        <f t="shared" si="6"/>
        <v>16.467300000000002</v>
      </c>
      <c r="AM16">
        <f t="shared" si="7"/>
        <v>-1.1483092907100001</v>
      </c>
      <c r="AP16" s="9"/>
      <c r="AQ16" s="22">
        <v>1.7697099999999999</v>
      </c>
      <c r="AR16" s="22">
        <v>66.608900000000006</v>
      </c>
      <c r="AS16" s="25">
        <v>-6.7840600000000002E-5</v>
      </c>
      <c r="AT16" s="22">
        <v>6</v>
      </c>
      <c r="AU16" s="22">
        <v>1.7694099999999999</v>
      </c>
      <c r="AV16">
        <f t="shared" si="8"/>
        <v>6.7840600000000001E-2</v>
      </c>
      <c r="AW16">
        <f t="shared" si="9"/>
        <v>0.12005818822599999</v>
      </c>
      <c r="AX16" s="9"/>
      <c r="AY16" s="22">
        <v>-6.9732699999999995E-2</v>
      </c>
      <c r="AZ16" s="22">
        <v>71.885499999999993</v>
      </c>
      <c r="BA16" s="22">
        <v>-1.6323899999999999E-2</v>
      </c>
      <c r="BB16" s="22">
        <v>6</v>
      </c>
      <c r="BC16" s="22">
        <v>-7.03125E-2</v>
      </c>
      <c r="BD16">
        <f t="shared" si="10"/>
        <v>16.323899999999998</v>
      </c>
      <c r="BE16">
        <f t="shared" si="11"/>
        <v>-1.1383096215299997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6.7878499999999997</v>
      </c>
      <c r="I17" s="22">
        <v>-3.41644E-4</v>
      </c>
      <c r="J17" s="22">
        <v>7</v>
      </c>
      <c r="K17" s="22">
        <v>1.7639199999999999</v>
      </c>
      <c r="L17">
        <f t="shared" si="0"/>
        <v>0.341644</v>
      </c>
      <c r="M17">
        <f t="shared" si="1"/>
        <v>0.60289233391999997</v>
      </c>
      <c r="N17" s="9"/>
      <c r="O17" s="22">
        <v>-6.4697299999999999E-2</v>
      </c>
      <c r="P17" s="22">
        <v>46.263100000000001</v>
      </c>
      <c r="Q17" s="22">
        <v>-1.6848800000000001E-2</v>
      </c>
      <c r="R17" s="22">
        <v>7</v>
      </c>
      <c r="S17" s="22">
        <v>-6.5155000000000005E-2</v>
      </c>
      <c r="T17">
        <f t="shared" si="2"/>
        <v>16.848800000000001</v>
      </c>
      <c r="U17">
        <f t="shared" si="3"/>
        <v>-1.0900718682400001</v>
      </c>
      <c r="V17" s="23"/>
      <c r="W17" s="24"/>
      <c r="X17" s="9"/>
      <c r="Y17" s="22">
        <v>1.76468</v>
      </c>
      <c r="Z17" s="22">
        <v>54.0747</v>
      </c>
      <c r="AA17" s="22">
        <v>-2.4481200000000001E-4</v>
      </c>
      <c r="AB17" s="22">
        <v>7</v>
      </c>
      <c r="AC17" s="22">
        <v>1.7636099999999999</v>
      </c>
      <c r="AD17">
        <f t="shared" si="4"/>
        <v>0.244812</v>
      </c>
      <c r="AE17">
        <f t="shared" si="5"/>
        <v>0.43201484016000002</v>
      </c>
      <c r="AF17" s="9"/>
      <c r="AG17" s="22">
        <v>-6.4697299999999999E-2</v>
      </c>
      <c r="AH17" s="22">
        <v>59.619399999999999</v>
      </c>
      <c r="AI17" s="22">
        <v>-1.64154E-2</v>
      </c>
      <c r="AJ17" s="22">
        <v>7</v>
      </c>
      <c r="AK17" s="22">
        <v>-6.5277100000000005E-2</v>
      </c>
      <c r="AL17">
        <f t="shared" si="6"/>
        <v>16.415400000000002</v>
      </c>
      <c r="AM17">
        <f t="shared" si="7"/>
        <v>-1.06203205842</v>
      </c>
      <c r="AP17" s="9"/>
      <c r="AQ17" s="22">
        <v>1.76468</v>
      </c>
      <c r="AR17" s="22">
        <v>66.619</v>
      </c>
      <c r="AS17" s="22">
        <v>-1.93542E-4</v>
      </c>
      <c r="AT17" s="22">
        <v>7</v>
      </c>
      <c r="AU17" s="22">
        <v>1.7642199999999999</v>
      </c>
      <c r="AV17">
        <f t="shared" si="8"/>
        <v>0.19354199999999999</v>
      </c>
      <c r="AW17">
        <f t="shared" si="9"/>
        <v>0.34153969655999999</v>
      </c>
      <c r="AX17" s="9"/>
      <c r="AY17" s="22">
        <v>-6.4697299999999999E-2</v>
      </c>
      <c r="AZ17" s="22">
        <v>71.895600000000002</v>
      </c>
      <c r="BA17" s="22">
        <v>-1.62659E-2</v>
      </c>
      <c r="BB17" s="22">
        <v>7</v>
      </c>
      <c r="BC17" s="22">
        <v>-6.5185499999999993E-2</v>
      </c>
      <c r="BD17">
        <f t="shared" si="10"/>
        <v>16.265899999999998</v>
      </c>
      <c r="BE17">
        <f t="shared" si="11"/>
        <v>-1.05235981207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6.7979200000000004</v>
      </c>
      <c r="I18" s="22">
        <v>-4.6429400000000002E-4</v>
      </c>
      <c r="J18" s="22">
        <v>8</v>
      </c>
      <c r="K18" s="22">
        <v>1.7590300000000001</v>
      </c>
      <c r="L18">
        <f t="shared" si="0"/>
        <v>0.46429400000000004</v>
      </c>
      <c r="M18">
        <f t="shared" si="1"/>
        <v>0.81699029416000013</v>
      </c>
      <c r="N18" s="9"/>
      <c r="O18" s="22">
        <v>-5.9661899999999997E-2</v>
      </c>
      <c r="P18" s="22">
        <v>46.273200000000003</v>
      </c>
      <c r="Q18" s="22">
        <v>-1.6827399999999999E-2</v>
      </c>
      <c r="R18" s="22">
        <v>8</v>
      </c>
      <c r="S18" s="22">
        <v>-6.0180699999999997E-2</v>
      </c>
      <c r="T18">
        <f t="shared" si="2"/>
        <v>16.827400000000001</v>
      </c>
      <c r="U18">
        <f t="shared" si="3"/>
        <v>-1.0039546560599999</v>
      </c>
      <c r="V18" s="23"/>
      <c r="W18" s="24"/>
      <c r="X18" s="9"/>
      <c r="Y18" s="22">
        <v>1.7596400000000001</v>
      </c>
      <c r="Z18" s="22">
        <v>54.084800000000001</v>
      </c>
      <c r="AA18" s="22">
        <v>-3.7289400000000002E-4</v>
      </c>
      <c r="AB18" s="22">
        <v>8</v>
      </c>
      <c r="AC18" s="22">
        <v>1.7587299999999999</v>
      </c>
      <c r="AD18">
        <f t="shared" si="4"/>
        <v>0.372894</v>
      </c>
      <c r="AE18">
        <f t="shared" si="5"/>
        <v>0.65615919816000001</v>
      </c>
      <c r="AF18" s="9"/>
      <c r="AG18" s="22">
        <v>-5.9661899999999997E-2</v>
      </c>
      <c r="AH18" s="22">
        <v>59.629399999999997</v>
      </c>
      <c r="AI18" s="22">
        <v>-1.63635E-2</v>
      </c>
      <c r="AJ18" s="22">
        <v>8</v>
      </c>
      <c r="AK18" s="22">
        <v>-6.0150099999999998E-2</v>
      </c>
      <c r="AL18">
        <f t="shared" si="6"/>
        <v>16.363499999999998</v>
      </c>
      <c r="AM18">
        <f t="shared" si="7"/>
        <v>-0.97627750064999985</v>
      </c>
      <c r="AP18" s="9"/>
      <c r="AQ18" s="22">
        <v>1.7596400000000001</v>
      </c>
      <c r="AR18" s="22">
        <v>66.629099999999994</v>
      </c>
      <c r="AS18" s="22">
        <v>-3.1869500000000002E-4</v>
      </c>
      <c r="AT18" s="22">
        <v>8</v>
      </c>
      <c r="AU18" s="22">
        <v>1.7590300000000001</v>
      </c>
      <c r="AV18">
        <f t="shared" si="8"/>
        <v>0.31869500000000001</v>
      </c>
      <c r="AW18">
        <f t="shared" si="9"/>
        <v>0.56078846980000008</v>
      </c>
      <c r="AX18" s="9"/>
      <c r="AY18" s="22">
        <v>-5.9661899999999997E-2</v>
      </c>
      <c r="AZ18" s="22">
        <v>71.905699999999996</v>
      </c>
      <c r="BA18" s="22">
        <v>-1.62109E-2</v>
      </c>
      <c r="BB18" s="22">
        <v>8</v>
      </c>
      <c r="BC18" s="22">
        <v>-6.0211199999999999E-2</v>
      </c>
      <c r="BD18">
        <f t="shared" si="10"/>
        <v>16.210899999999999</v>
      </c>
      <c r="BE18">
        <f t="shared" si="11"/>
        <v>-0.9671730947099999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6.8079900000000002</v>
      </c>
      <c r="I19" s="22">
        <v>-5.8593800000000004E-4</v>
      </c>
      <c r="J19" s="22">
        <v>9</v>
      </c>
      <c r="K19" s="22">
        <v>1.7541500000000001</v>
      </c>
      <c r="L19">
        <f t="shared" si="0"/>
        <v>0.58593800000000007</v>
      </c>
      <c r="M19">
        <f t="shared" si="1"/>
        <v>1.0280926741800001</v>
      </c>
      <c r="N19" s="9"/>
      <c r="O19" s="22">
        <v>-5.4626500000000001E-2</v>
      </c>
      <c r="P19" s="22">
        <v>46.283200000000001</v>
      </c>
      <c r="Q19" s="22">
        <v>-1.6815199999999999E-2</v>
      </c>
      <c r="R19" s="22">
        <v>9</v>
      </c>
      <c r="S19" s="22">
        <v>-5.5236800000000003E-2</v>
      </c>
      <c r="T19">
        <f t="shared" si="2"/>
        <v>16.815199999999997</v>
      </c>
      <c r="U19">
        <f t="shared" si="3"/>
        <v>-0.91855552279999986</v>
      </c>
      <c r="V19" s="23"/>
      <c r="W19" s="24"/>
      <c r="X19" s="9"/>
      <c r="Y19" s="22">
        <v>1.75461</v>
      </c>
      <c r="Z19" s="22">
        <v>54.094900000000003</v>
      </c>
      <c r="AA19" s="22">
        <v>-5.00488E-4</v>
      </c>
      <c r="AB19" s="22">
        <v>9</v>
      </c>
      <c r="AC19" s="22">
        <v>1.7532300000000001</v>
      </c>
      <c r="AD19">
        <f t="shared" si="4"/>
        <v>0.50048800000000004</v>
      </c>
      <c r="AE19">
        <f t="shared" si="5"/>
        <v>0.87816124968000009</v>
      </c>
      <c r="AF19" s="9"/>
      <c r="AG19" s="22">
        <v>-5.4626500000000001E-2</v>
      </c>
      <c r="AH19" s="22">
        <v>59.639499999999998</v>
      </c>
      <c r="AI19" s="22">
        <v>-1.6308599999999999E-2</v>
      </c>
      <c r="AJ19" s="22">
        <v>9</v>
      </c>
      <c r="AK19" s="22">
        <v>-5.5175799999999997E-2</v>
      </c>
      <c r="AL19">
        <f t="shared" si="6"/>
        <v>16.308599999999998</v>
      </c>
      <c r="AM19">
        <f t="shared" si="7"/>
        <v>-0.89088173789999991</v>
      </c>
      <c r="AP19" s="9"/>
      <c r="AQ19" s="22">
        <v>1.75461</v>
      </c>
      <c r="AR19" s="22">
        <v>66.639099999999999</v>
      </c>
      <c r="AS19" s="22">
        <v>-4.4366499999999999E-4</v>
      </c>
      <c r="AT19" s="22">
        <v>9</v>
      </c>
      <c r="AU19" s="22">
        <v>1.7544599999999999</v>
      </c>
      <c r="AV19">
        <f t="shared" si="8"/>
        <v>0.44366499999999998</v>
      </c>
      <c r="AW19">
        <f t="shared" si="9"/>
        <v>0.77845904565000001</v>
      </c>
      <c r="AX19" s="9"/>
      <c r="AY19" s="22">
        <v>-5.4626500000000001E-2</v>
      </c>
      <c r="AZ19" s="22">
        <v>71.915700000000001</v>
      </c>
      <c r="BA19" s="22">
        <v>-1.6162099999999999E-2</v>
      </c>
      <c r="BB19" s="22">
        <v>9</v>
      </c>
      <c r="BC19" s="22">
        <v>-5.5145300000000001E-2</v>
      </c>
      <c r="BD19">
        <f t="shared" si="10"/>
        <v>16.162099999999999</v>
      </c>
      <c r="BE19">
        <f t="shared" si="11"/>
        <v>-0.88287895564999996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6.81806</v>
      </c>
      <c r="I20" s="22">
        <v>-7.0922900000000002E-4</v>
      </c>
      <c r="J20" s="22">
        <v>10</v>
      </c>
      <c r="K20" s="22">
        <v>1.7486600000000001</v>
      </c>
      <c r="L20">
        <f t="shared" si="0"/>
        <v>0.709229</v>
      </c>
      <c r="M20">
        <f t="shared" si="1"/>
        <v>1.24084578153</v>
      </c>
      <c r="N20" s="9"/>
      <c r="O20" s="22">
        <v>-4.9591099999999999E-2</v>
      </c>
      <c r="P20" s="22">
        <v>46.293300000000002</v>
      </c>
      <c r="Q20" s="22">
        <v>-1.6793800000000001E-2</v>
      </c>
      <c r="R20" s="22">
        <v>10</v>
      </c>
      <c r="S20" s="22">
        <v>-5.02014E-2</v>
      </c>
      <c r="T20">
        <f t="shared" si="2"/>
        <v>16.793800000000001</v>
      </c>
      <c r="U20">
        <f t="shared" si="3"/>
        <v>-0.83282301518000001</v>
      </c>
      <c r="V20" s="23"/>
      <c r="W20" s="24"/>
      <c r="X20" s="9"/>
      <c r="Y20" s="22">
        <v>1.7495700000000001</v>
      </c>
      <c r="Z20" s="22">
        <v>54.104900000000001</v>
      </c>
      <c r="AA20" s="22">
        <v>-6.2866199999999999E-4</v>
      </c>
      <c r="AB20" s="22">
        <v>10</v>
      </c>
      <c r="AC20" s="22">
        <v>1.7486600000000001</v>
      </c>
      <c r="AD20">
        <f t="shared" si="4"/>
        <v>0.62866199999999994</v>
      </c>
      <c r="AE20">
        <f t="shared" si="5"/>
        <v>1.0998881753400001</v>
      </c>
      <c r="AF20" s="9"/>
      <c r="AG20" s="22">
        <v>-4.9591099999999999E-2</v>
      </c>
      <c r="AH20" s="22">
        <v>59.6496</v>
      </c>
      <c r="AI20" s="22">
        <v>-1.6268899999999999E-2</v>
      </c>
      <c r="AJ20" s="22">
        <v>10</v>
      </c>
      <c r="AK20" s="22">
        <v>-5.0140400000000002E-2</v>
      </c>
      <c r="AL20">
        <f t="shared" si="6"/>
        <v>16.268899999999999</v>
      </c>
      <c r="AM20">
        <f t="shared" si="7"/>
        <v>-0.80679264678999996</v>
      </c>
      <c r="AP20" s="9"/>
      <c r="AQ20" s="22">
        <v>1.7495700000000001</v>
      </c>
      <c r="AR20" s="22">
        <v>66.649199999999993</v>
      </c>
      <c r="AS20" s="22">
        <v>-5.6671100000000002E-4</v>
      </c>
      <c r="AT20" s="22">
        <v>10</v>
      </c>
      <c r="AU20" s="22">
        <v>1.7486600000000001</v>
      </c>
      <c r="AV20">
        <f t="shared" si="8"/>
        <v>0.56671099999999996</v>
      </c>
      <c r="AW20">
        <f t="shared" si="9"/>
        <v>0.99150056427</v>
      </c>
      <c r="AX20" s="9"/>
      <c r="AY20" s="22">
        <v>-4.9591099999999999E-2</v>
      </c>
      <c r="AZ20" s="22">
        <v>71.925799999999995</v>
      </c>
      <c r="BA20" s="22">
        <v>-1.6113300000000001E-2</v>
      </c>
      <c r="BB20" s="22">
        <v>10</v>
      </c>
      <c r="BC20" s="22">
        <v>-5.0170899999999997E-2</v>
      </c>
      <c r="BD20">
        <f t="shared" si="10"/>
        <v>16.113299999999999</v>
      </c>
      <c r="BE20">
        <f t="shared" si="11"/>
        <v>-0.79907627162999995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6.8281299999999998</v>
      </c>
      <c r="I21" s="22">
        <v>-8.2916299999999995E-4</v>
      </c>
      <c r="J21" s="22">
        <v>11</v>
      </c>
      <c r="K21" s="22">
        <v>1.7440800000000001</v>
      </c>
      <c r="L21">
        <f t="shared" si="0"/>
        <v>0.82916299999999998</v>
      </c>
      <c r="M21">
        <f t="shared" si="1"/>
        <v>1.44650802002</v>
      </c>
      <c r="N21" s="9"/>
      <c r="O21" s="22">
        <v>-4.4555699999999997E-2</v>
      </c>
      <c r="P21" s="22">
        <v>46.303400000000003</v>
      </c>
      <c r="Q21" s="22">
        <v>-1.67694E-2</v>
      </c>
      <c r="R21" s="22">
        <v>11</v>
      </c>
      <c r="S21" s="22">
        <v>-4.4888299999999999E-2</v>
      </c>
      <c r="T21">
        <f t="shared" si="2"/>
        <v>16.769400000000001</v>
      </c>
      <c r="U21">
        <f t="shared" si="3"/>
        <v>-0.74717235557999995</v>
      </c>
      <c r="V21" s="23"/>
      <c r="W21" s="24"/>
      <c r="X21" s="9"/>
      <c r="Y21" s="22">
        <v>1.74454</v>
      </c>
      <c r="Z21" s="22">
        <v>54.115000000000002</v>
      </c>
      <c r="AA21" s="22">
        <v>-7.5653099999999996E-4</v>
      </c>
      <c r="AB21" s="22">
        <v>11</v>
      </c>
      <c r="AC21" s="22">
        <v>1.74316</v>
      </c>
      <c r="AD21">
        <f t="shared" si="4"/>
        <v>0.75653099999999995</v>
      </c>
      <c r="AE21">
        <f t="shared" si="5"/>
        <v>1.3197985907399998</v>
      </c>
      <c r="AF21" s="9"/>
      <c r="AG21" s="22">
        <v>-4.4555699999999997E-2</v>
      </c>
      <c r="AH21" s="22">
        <v>59.659599999999998</v>
      </c>
      <c r="AI21" s="22">
        <v>-1.6232300000000002E-2</v>
      </c>
      <c r="AJ21" s="22">
        <v>11</v>
      </c>
      <c r="AK21" s="22">
        <v>-4.4946300000000002E-2</v>
      </c>
      <c r="AL21">
        <f t="shared" si="6"/>
        <v>16.232300000000002</v>
      </c>
      <c r="AM21">
        <f t="shared" si="7"/>
        <v>-0.72324148911000008</v>
      </c>
      <c r="AP21" s="9"/>
      <c r="AQ21" s="22">
        <v>1.74454</v>
      </c>
      <c r="AR21" s="22">
        <v>66.659300000000002</v>
      </c>
      <c r="AS21" s="22">
        <v>-6.9030800000000005E-4</v>
      </c>
      <c r="AT21" s="22">
        <v>11</v>
      </c>
      <c r="AU21" s="22">
        <v>1.74377</v>
      </c>
      <c r="AV21">
        <f t="shared" si="8"/>
        <v>0.69030800000000003</v>
      </c>
      <c r="AW21">
        <f t="shared" si="9"/>
        <v>1.2042699183200001</v>
      </c>
      <c r="AX21" s="9"/>
      <c r="AY21" s="22">
        <v>-4.4555699999999997E-2</v>
      </c>
      <c r="AZ21" s="22">
        <v>71.935900000000004</v>
      </c>
      <c r="BA21" s="22">
        <v>-1.6076699999999999E-2</v>
      </c>
      <c r="BB21" s="22">
        <v>11</v>
      </c>
      <c r="BC21" s="22">
        <v>-4.4915799999999999E-2</v>
      </c>
      <c r="BD21">
        <f t="shared" si="10"/>
        <v>16.076699999999999</v>
      </c>
      <c r="BE21">
        <f t="shared" si="11"/>
        <v>-0.71630862218999991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6.8381999999999996</v>
      </c>
      <c r="I22" s="22">
        <v>-9.5153800000000004E-4</v>
      </c>
      <c r="J22" s="22">
        <v>12</v>
      </c>
      <c r="K22" s="22">
        <v>1.7385900000000001</v>
      </c>
      <c r="L22">
        <f t="shared" si="0"/>
        <v>0.95153799999999999</v>
      </c>
      <c r="M22">
        <f t="shared" si="1"/>
        <v>1.655200351</v>
      </c>
      <c r="N22" s="9"/>
      <c r="O22" s="22">
        <v>-3.9520300000000001E-2</v>
      </c>
      <c r="P22" s="22">
        <v>46.313400000000001</v>
      </c>
      <c r="Q22" s="22">
        <v>-1.6744999999999999E-2</v>
      </c>
      <c r="R22" s="22">
        <v>12</v>
      </c>
      <c r="S22" s="22">
        <v>-3.9858999999999999E-2</v>
      </c>
      <c r="T22">
        <f t="shared" si="2"/>
        <v>16.745000000000001</v>
      </c>
      <c r="U22">
        <f t="shared" si="3"/>
        <v>-0.66176742350000006</v>
      </c>
      <c r="V22" s="23"/>
      <c r="W22" s="24"/>
      <c r="X22" s="9"/>
      <c r="Y22" s="22">
        <v>1.7395</v>
      </c>
      <c r="Z22" s="22">
        <v>54.125100000000003</v>
      </c>
      <c r="AA22" s="22">
        <v>-8.8378899999999995E-4</v>
      </c>
      <c r="AB22" s="22">
        <v>12</v>
      </c>
      <c r="AC22" s="22">
        <v>1.7392000000000001</v>
      </c>
      <c r="AD22">
        <f t="shared" si="4"/>
        <v>0.88378899999999994</v>
      </c>
      <c r="AE22">
        <f t="shared" si="5"/>
        <v>1.5373509654999999</v>
      </c>
      <c r="AF22" s="9"/>
      <c r="AG22" s="22">
        <v>-3.9520300000000001E-2</v>
      </c>
      <c r="AH22" s="22">
        <v>59.669699999999999</v>
      </c>
      <c r="AI22" s="22">
        <v>-1.61957E-2</v>
      </c>
      <c r="AJ22" s="22">
        <v>12</v>
      </c>
      <c r="AK22" s="22">
        <v>-3.9856000000000003E-2</v>
      </c>
      <c r="AL22">
        <f t="shared" si="6"/>
        <v>16.195699999999999</v>
      </c>
      <c r="AM22">
        <f t="shared" si="7"/>
        <v>-0.64005892270999998</v>
      </c>
      <c r="AP22" s="9"/>
      <c r="AQ22" s="22">
        <v>1.7395</v>
      </c>
      <c r="AR22" s="22">
        <v>66.669300000000007</v>
      </c>
      <c r="AS22" s="22">
        <v>-8.1268300000000003E-4</v>
      </c>
      <c r="AT22" s="22">
        <v>12</v>
      </c>
      <c r="AU22" s="22">
        <v>1.7385900000000001</v>
      </c>
      <c r="AV22">
        <f t="shared" si="8"/>
        <v>0.81268300000000004</v>
      </c>
      <c r="AW22">
        <f t="shared" si="9"/>
        <v>1.4136620785</v>
      </c>
      <c r="AX22" s="9"/>
      <c r="AY22" s="22">
        <v>-3.9520300000000001E-2</v>
      </c>
      <c r="AZ22" s="22">
        <v>71.945999999999998</v>
      </c>
      <c r="BA22" s="22">
        <v>-1.6036999999999999E-2</v>
      </c>
      <c r="BB22" s="22">
        <v>12</v>
      </c>
      <c r="BC22" s="22">
        <v>-3.9874300000000001E-2</v>
      </c>
      <c r="BD22">
        <f t="shared" si="10"/>
        <v>16.036999999999999</v>
      </c>
      <c r="BE22">
        <f t="shared" si="11"/>
        <v>-0.6337870511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6.8482799999999999</v>
      </c>
      <c r="I23" s="22">
        <v>-1.073E-3</v>
      </c>
      <c r="J23" s="22">
        <v>13</v>
      </c>
      <c r="K23" s="22">
        <v>1.73431</v>
      </c>
      <c r="L23">
        <f t="shared" si="0"/>
        <v>1.073</v>
      </c>
      <c r="M23">
        <f t="shared" si="1"/>
        <v>1.8610863099999999</v>
      </c>
      <c r="N23" s="9"/>
      <c r="O23" s="22">
        <v>-3.4484899999999999E-2</v>
      </c>
      <c r="P23" s="22">
        <v>46.323500000000003</v>
      </c>
      <c r="Q23" s="22">
        <v>-1.67175E-2</v>
      </c>
      <c r="R23" s="22">
        <v>13</v>
      </c>
      <c r="S23" s="22">
        <v>-3.4747300000000002E-2</v>
      </c>
      <c r="T23">
        <f t="shared" si="2"/>
        <v>16.717500000000001</v>
      </c>
      <c r="U23">
        <f t="shared" si="3"/>
        <v>-0.57650131574999997</v>
      </c>
      <c r="V23" s="23"/>
      <c r="W23" s="24"/>
      <c r="X23" s="9"/>
      <c r="Y23" s="22">
        <v>1.73447</v>
      </c>
      <c r="Z23" s="22">
        <v>54.135199999999998</v>
      </c>
      <c r="AA23" s="22">
        <v>-1.00983E-3</v>
      </c>
      <c r="AB23" s="22">
        <v>13</v>
      </c>
      <c r="AC23" s="22">
        <v>1.7337</v>
      </c>
      <c r="AD23">
        <f t="shared" si="4"/>
        <v>1.00983</v>
      </c>
      <c r="AE23">
        <f t="shared" si="5"/>
        <v>1.7515198401000001</v>
      </c>
      <c r="AF23" s="9"/>
      <c r="AG23" s="22">
        <v>-3.4484899999999999E-2</v>
      </c>
      <c r="AH23" s="22">
        <v>59.6798</v>
      </c>
      <c r="AI23" s="22">
        <v>-1.6159099999999999E-2</v>
      </c>
      <c r="AJ23" s="22">
        <v>13</v>
      </c>
      <c r="AK23" s="22">
        <v>-3.4802199999999998E-2</v>
      </c>
      <c r="AL23">
        <f t="shared" si="6"/>
        <v>16.159099999999999</v>
      </c>
      <c r="AM23">
        <f t="shared" si="7"/>
        <v>-0.55724494758999998</v>
      </c>
      <c r="AP23" s="9"/>
      <c r="AQ23" s="22">
        <v>1.73447</v>
      </c>
      <c r="AR23" s="22">
        <v>66.679400000000001</v>
      </c>
      <c r="AS23" s="22">
        <v>-9.3536400000000005E-4</v>
      </c>
      <c r="AT23" s="22">
        <v>13</v>
      </c>
      <c r="AU23" s="22">
        <v>1.7334000000000001</v>
      </c>
      <c r="AV23">
        <f t="shared" si="8"/>
        <v>0.93536400000000008</v>
      </c>
      <c r="AW23">
        <f t="shared" si="9"/>
        <v>1.62236079708</v>
      </c>
      <c r="AX23" s="9"/>
      <c r="AY23" s="22">
        <v>-3.4484899999999999E-2</v>
      </c>
      <c r="AZ23" s="22">
        <v>71.956000000000003</v>
      </c>
      <c r="BA23" s="22">
        <v>-1.5988200000000001E-2</v>
      </c>
      <c r="BB23" s="22">
        <v>13</v>
      </c>
      <c r="BC23" s="22">
        <v>-3.4750400000000001E-2</v>
      </c>
      <c r="BD23">
        <f t="shared" si="10"/>
        <v>15.988200000000001</v>
      </c>
      <c r="BE23">
        <f t="shared" si="11"/>
        <v>-0.55135147817999997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6.8583499999999997</v>
      </c>
      <c r="I24" s="22">
        <v>-1.1932399999999999E-3</v>
      </c>
      <c r="J24" s="22">
        <v>14</v>
      </c>
      <c r="K24" s="22">
        <v>1.7291300000000001</v>
      </c>
      <c r="L24">
        <f t="shared" si="0"/>
        <v>1.1932399999999999</v>
      </c>
      <c r="M24">
        <f t="shared" si="1"/>
        <v>2.0636250531999996</v>
      </c>
      <c r="N24" s="9"/>
      <c r="O24" s="22">
        <v>-2.94495E-2</v>
      </c>
      <c r="P24" s="22">
        <v>46.333599999999997</v>
      </c>
      <c r="Q24" s="22">
        <v>-1.6687E-2</v>
      </c>
      <c r="R24" s="22">
        <v>14</v>
      </c>
      <c r="S24" s="22">
        <v>-2.9772900000000001E-2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1.72943</v>
      </c>
      <c r="Z24" s="22">
        <v>54.145200000000003</v>
      </c>
      <c r="AA24" s="22">
        <v>-1.13586E-3</v>
      </c>
      <c r="AB24" s="22">
        <v>14</v>
      </c>
      <c r="AC24" s="22">
        <v>1.72882</v>
      </c>
      <c r="AD24">
        <f t="shared" si="4"/>
        <v>1.1358600000000001</v>
      </c>
      <c r="AE24">
        <f t="shared" si="5"/>
        <v>1.9643903598000001</v>
      </c>
      <c r="AF24" s="9"/>
      <c r="AG24" s="22">
        <v>-2.94495E-2</v>
      </c>
      <c r="AH24" s="22">
        <v>59.689900000000002</v>
      </c>
      <c r="AI24" s="22">
        <v>-1.61285E-2</v>
      </c>
      <c r="AJ24" s="22">
        <v>14</v>
      </c>
      <c r="AK24" s="22">
        <v>-2.9788200000000001E-2</v>
      </c>
      <c r="AL24">
        <f t="shared" si="6"/>
        <v>16.128499999999999</v>
      </c>
      <c r="AM24">
        <f t="shared" si="7"/>
        <v>-0.47497626074999999</v>
      </c>
      <c r="AP24" s="9"/>
      <c r="AQ24" s="22">
        <v>1.72943</v>
      </c>
      <c r="AR24" s="22">
        <v>66.689499999999995</v>
      </c>
      <c r="AS24" s="22">
        <v>-1.05591E-3</v>
      </c>
      <c r="AT24" s="22">
        <v>14</v>
      </c>
      <c r="AU24" s="22">
        <v>1.7285200000000001</v>
      </c>
      <c r="AV24">
        <f t="shared" si="8"/>
        <v>1.0559099999999999</v>
      </c>
      <c r="AW24">
        <f t="shared" si="9"/>
        <v>1.8261224313</v>
      </c>
      <c r="AX24" s="9"/>
      <c r="AY24" s="22">
        <v>-2.94495E-2</v>
      </c>
      <c r="AZ24" s="22">
        <v>71.966099999999997</v>
      </c>
      <c r="BA24" s="22">
        <v>-1.5948500000000001E-2</v>
      </c>
      <c r="BB24" s="22">
        <v>14</v>
      </c>
      <c r="BC24" s="22">
        <v>-2.9760700000000001E-2</v>
      </c>
      <c r="BD24">
        <f t="shared" si="10"/>
        <v>15.948500000000001</v>
      </c>
      <c r="BE24">
        <f t="shared" si="11"/>
        <v>-0.46967535075000005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6.8684200000000004</v>
      </c>
      <c r="I25" s="22">
        <v>-1.3125599999999999E-3</v>
      </c>
      <c r="J25" s="22">
        <v>15</v>
      </c>
      <c r="K25" s="22">
        <v>1.72272</v>
      </c>
      <c r="L25">
        <f t="shared" si="0"/>
        <v>1.3125599999999999</v>
      </c>
      <c r="M25">
        <f t="shared" si="1"/>
        <v>2.2633784639999996</v>
      </c>
      <c r="N25" s="9"/>
      <c r="O25" s="22">
        <v>-2.4414100000000001E-2</v>
      </c>
      <c r="P25" s="22">
        <v>46.343699999999998</v>
      </c>
      <c r="Q25" s="22">
        <v>-1.66473E-2</v>
      </c>
      <c r="R25" s="22">
        <v>15</v>
      </c>
      <c r="S25" s="22">
        <v>-2.4725299999999999E-2</v>
      </c>
      <c r="T25">
        <f t="shared" si="2"/>
        <v>16.647300000000001</v>
      </c>
      <c r="U25">
        <f t="shared" si="3"/>
        <v>-0.40642884693000003</v>
      </c>
      <c r="V25" s="23"/>
      <c r="W25" s="24"/>
      <c r="X25" s="9"/>
      <c r="Y25" s="22">
        <v>1.7243999999999999</v>
      </c>
      <c r="Z25" s="22">
        <v>54.155299999999997</v>
      </c>
      <c r="AA25" s="22">
        <v>-1.2622099999999999E-3</v>
      </c>
      <c r="AB25" s="22">
        <v>15</v>
      </c>
      <c r="AC25" s="22">
        <v>1.72363</v>
      </c>
      <c r="AD25">
        <f t="shared" si="4"/>
        <v>1.2622099999999998</v>
      </c>
      <c r="AE25">
        <f t="shared" si="5"/>
        <v>2.1765549239999995</v>
      </c>
      <c r="AF25" s="9"/>
      <c r="AG25" s="22">
        <v>-2.4414100000000001E-2</v>
      </c>
      <c r="AH25" s="22">
        <v>59.6999</v>
      </c>
      <c r="AI25" s="22">
        <v>-1.6091899999999999E-2</v>
      </c>
      <c r="AJ25" s="22">
        <v>15</v>
      </c>
      <c r="AK25" s="22">
        <v>-2.4768100000000001E-2</v>
      </c>
      <c r="AL25">
        <f t="shared" si="6"/>
        <v>16.091899999999999</v>
      </c>
      <c r="AM25">
        <f t="shared" si="7"/>
        <v>-0.39286925578999998</v>
      </c>
      <c r="AP25" s="9"/>
      <c r="AQ25" s="22">
        <v>1.7243999999999999</v>
      </c>
      <c r="AR25" s="22">
        <v>66.699600000000004</v>
      </c>
      <c r="AS25" s="22">
        <v>-1.17706E-3</v>
      </c>
      <c r="AT25" s="22">
        <v>15</v>
      </c>
      <c r="AU25" s="22">
        <v>1.72302</v>
      </c>
      <c r="AV25">
        <f t="shared" si="8"/>
        <v>1.17706</v>
      </c>
      <c r="AW25">
        <f t="shared" si="9"/>
        <v>2.0297222640000001</v>
      </c>
      <c r="AX25" s="9"/>
      <c r="AY25" s="22">
        <v>-2.4414100000000001E-2</v>
      </c>
      <c r="AZ25" s="22">
        <v>71.976200000000006</v>
      </c>
      <c r="BA25" s="22">
        <v>-1.59119E-2</v>
      </c>
      <c r="BB25" s="22">
        <v>15</v>
      </c>
      <c r="BC25" s="22">
        <v>-2.4737499999999999E-2</v>
      </c>
      <c r="BD25">
        <f t="shared" si="10"/>
        <v>15.911899999999999</v>
      </c>
      <c r="BE25">
        <f t="shared" si="11"/>
        <v>-0.38847471778999998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6.8784900000000002</v>
      </c>
      <c r="I26" s="22">
        <v>-1.4312699999999999E-3</v>
      </c>
      <c r="J26" s="22">
        <v>16</v>
      </c>
      <c r="K26" s="22">
        <v>1.71875</v>
      </c>
      <c r="L26">
        <f t="shared" si="0"/>
        <v>1.4312699999999998</v>
      </c>
      <c r="M26">
        <f t="shared" si="1"/>
        <v>2.4608683871999997</v>
      </c>
      <c r="N26" s="9"/>
      <c r="O26" s="22">
        <v>-1.9378699999999999E-2</v>
      </c>
      <c r="P26" s="22">
        <v>46.353700000000003</v>
      </c>
      <c r="Q26" s="22">
        <v>-1.6610699999999999E-2</v>
      </c>
      <c r="R26" s="22">
        <v>16</v>
      </c>
      <c r="S26" s="22">
        <v>-1.9692999999999999E-2</v>
      </c>
      <c r="T26">
        <f t="shared" si="2"/>
        <v>16.610699999999998</v>
      </c>
      <c r="U26">
        <f t="shared" si="3"/>
        <v>-0.32189377208999992</v>
      </c>
      <c r="V26" s="23"/>
      <c r="W26" s="24"/>
      <c r="X26" s="9"/>
      <c r="Y26" s="22">
        <v>1.71936</v>
      </c>
      <c r="Z26" s="22">
        <v>54.165399999999998</v>
      </c>
      <c r="AA26" s="22">
        <v>-1.38733E-3</v>
      </c>
      <c r="AB26" s="22">
        <v>16</v>
      </c>
      <c r="AC26" s="22">
        <v>1.71844</v>
      </c>
      <c r="AD26">
        <f t="shared" si="4"/>
        <v>1.38733</v>
      </c>
      <c r="AE26">
        <f t="shared" si="5"/>
        <v>2.3853197088</v>
      </c>
      <c r="AF26" s="9"/>
      <c r="AG26" s="22">
        <v>-1.9378699999999999E-2</v>
      </c>
      <c r="AH26" s="22">
        <v>59.71</v>
      </c>
      <c r="AI26" s="22">
        <v>-1.6055300000000002E-2</v>
      </c>
      <c r="AJ26" s="22">
        <v>16</v>
      </c>
      <c r="AK26" s="22">
        <v>-1.9696000000000002E-2</v>
      </c>
      <c r="AL26">
        <f t="shared" si="6"/>
        <v>16.055300000000003</v>
      </c>
      <c r="AM26">
        <f t="shared" si="7"/>
        <v>-0.31113084211000003</v>
      </c>
      <c r="AP26" s="9"/>
      <c r="AQ26" s="22">
        <v>1.71936</v>
      </c>
      <c r="AR26" s="22">
        <v>66.709599999999995</v>
      </c>
      <c r="AS26" s="22">
        <v>-1.2966900000000001E-3</v>
      </c>
      <c r="AT26" s="22">
        <v>16</v>
      </c>
      <c r="AU26" s="22">
        <v>1.71906</v>
      </c>
      <c r="AV26">
        <f t="shared" si="8"/>
        <v>1.2966900000000001</v>
      </c>
      <c r="AW26">
        <f t="shared" si="9"/>
        <v>2.2294769184000001</v>
      </c>
      <c r="AX26" s="9"/>
      <c r="AY26" s="22">
        <v>-1.9378699999999999E-2</v>
      </c>
      <c r="AZ26" s="22">
        <v>71.986199999999997</v>
      </c>
      <c r="BA26" s="22">
        <v>-1.5866100000000001E-2</v>
      </c>
      <c r="BB26" s="22">
        <v>16</v>
      </c>
      <c r="BC26" s="22">
        <v>-1.9692999999999999E-2</v>
      </c>
      <c r="BD26">
        <f t="shared" si="10"/>
        <v>15.866100000000001</v>
      </c>
      <c r="BE26">
        <f t="shared" si="11"/>
        <v>-0.30746439206999998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6.88856</v>
      </c>
      <c r="I27" s="22">
        <v>-1.5496799999999999E-3</v>
      </c>
      <c r="J27" s="22">
        <v>17</v>
      </c>
      <c r="K27" s="22">
        <v>1.71387</v>
      </c>
      <c r="L27">
        <f t="shared" si="0"/>
        <v>1.5496799999999999</v>
      </c>
      <c r="M27">
        <f t="shared" si="1"/>
        <v>2.6566474175999999</v>
      </c>
      <c r="N27" s="9"/>
      <c r="O27" s="22">
        <v>-1.43433E-2</v>
      </c>
      <c r="P27" s="22">
        <v>46.363799999999998</v>
      </c>
      <c r="Q27" s="22">
        <v>-1.6577100000000001E-2</v>
      </c>
      <c r="R27" s="22">
        <v>17</v>
      </c>
      <c r="S27" s="22">
        <v>-1.4715600000000001E-2</v>
      </c>
      <c r="T27">
        <f t="shared" si="2"/>
        <v>16.577100000000002</v>
      </c>
      <c r="U27">
        <f t="shared" si="3"/>
        <v>-0.23777031843000002</v>
      </c>
      <c r="X27" s="9"/>
      <c r="Y27" s="22">
        <v>1.7143200000000001</v>
      </c>
      <c r="Z27" s="22">
        <v>54.175400000000003</v>
      </c>
      <c r="AA27" s="22">
        <v>-1.51184E-3</v>
      </c>
      <c r="AB27" s="22">
        <v>17</v>
      </c>
      <c r="AC27" s="22">
        <v>1.71417</v>
      </c>
      <c r="AD27">
        <f t="shared" si="4"/>
        <v>1.5118400000000001</v>
      </c>
      <c r="AE27">
        <f t="shared" si="5"/>
        <v>2.5917775488000001</v>
      </c>
      <c r="AF27" s="9"/>
      <c r="AG27" s="22">
        <v>-1.43433E-2</v>
      </c>
      <c r="AH27" s="22">
        <v>59.720100000000002</v>
      </c>
      <c r="AI27" s="22">
        <v>-1.6015600000000001E-2</v>
      </c>
      <c r="AJ27" s="22">
        <v>17</v>
      </c>
      <c r="AK27" s="22">
        <v>-1.46362E-2</v>
      </c>
      <c r="AL27">
        <f t="shared" si="6"/>
        <v>16.015600000000003</v>
      </c>
      <c r="AM27">
        <f t="shared" si="7"/>
        <v>-0.22971655548000003</v>
      </c>
      <c r="AP27" s="9"/>
      <c r="AQ27" s="22">
        <v>1.7143200000000001</v>
      </c>
      <c r="AR27" s="22">
        <v>66.719700000000003</v>
      </c>
      <c r="AS27" s="22">
        <v>-1.4166300000000001E-3</v>
      </c>
      <c r="AT27" s="22">
        <v>17</v>
      </c>
      <c r="AU27" s="22">
        <v>1.71295</v>
      </c>
      <c r="AV27">
        <f t="shared" si="8"/>
        <v>1.4166300000000001</v>
      </c>
      <c r="AW27">
        <f t="shared" si="9"/>
        <v>2.4285571416000002</v>
      </c>
      <c r="AX27" s="9"/>
      <c r="AY27" s="22">
        <v>-1.43433E-2</v>
      </c>
      <c r="AZ27" s="22">
        <v>71.996300000000005</v>
      </c>
      <c r="BA27" s="22">
        <v>-1.5832499999999999E-2</v>
      </c>
      <c r="BB27" s="22">
        <v>17</v>
      </c>
      <c r="BC27" s="22">
        <v>-1.4624E-2</v>
      </c>
      <c r="BD27">
        <f t="shared" si="10"/>
        <v>15.8325</v>
      </c>
      <c r="BE27">
        <f t="shared" si="11"/>
        <v>-0.22709029724999999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6.8986299999999998</v>
      </c>
      <c r="I28" s="22">
        <v>-1.6671800000000001E-3</v>
      </c>
      <c r="J28" s="22">
        <v>18</v>
      </c>
      <c r="K28" s="22">
        <v>1.7083699999999999</v>
      </c>
      <c r="L28">
        <f t="shared" si="0"/>
        <v>1.6671800000000001</v>
      </c>
      <c r="M28">
        <f t="shared" si="1"/>
        <v>2.8496941022</v>
      </c>
      <c r="N28" s="9"/>
      <c r="O28" s="22">
        <v>-9.3078599999999994E-3</v>
      </c>
      <c r="P28" s="22">
        <v>46.373899999999999</v>
      </c>
      <c r="Q28" s="22">
        <v>-1.65405E-2</v>
      </c>
      <c r="R28" s="22">
        <v>18</v>
      </c>
      <c r="S28" s="22">
        <v>-9.6160900000000007E-3</v>
      </c>
      <c r="T28">
        <f t="shared" si="2"/>
        <v>16.540499999999998</v>
      </c>
      <c r="U28">
        <f t="shared" si="3"/>
        <v>-0.15395665832999997</v>
      </c>
      <c r="X28" s="9"/>
      <c r="Y28" s="22">
        <v>1.70929</v>
      </c>
      <c r="Z28" s="22">
        <v>54.185499999999998</v>
      </c>
      <c r="AA28" s="22">
        <v>-1.6354399999999999E-3</v>
      </c>
      <c r="AB28" s="22">
        <v>18</v>
      </c>
      <c r="AC28" s="22">
        <v>1.7083699999999999</v>
      </c>
      <c r="AD28">
        <f t="shared" si="4"/>
        <v>1.63544</v>
      </c>
      <c r="AE28">
        <f t="shared" si="5"/>
        <v>2.7954412376</v>
      </c>
      <c r="AF28" s="9"/>
      <c r="AG28" s="22">
        <v>-9.3078599999999994E-3</v>
      </c>
      <c r="AH28" s="22">
        <v>59.7301</v>
      </c>
      <c r="AI28" s="22">
        <v>-1.5979E-2</v>
      </c>
      <c r="AJ28" s="22">
        <v>18</v>
      </c>
      <c r="AK28" s="22">
        <v>-9.5764200000000004E-3</v>
      </c>
      <c r="AL28">
        <f t="shared" si="6"/>
        <v>15.979000000000001</v>
      </c>
      <c r="AM28">
        <f t="shared" si="7"/>
        <v>-0.14873029494000001</v>
      </c>
      <c r="AP28" s="9"/>
      <c r="AQ28" s="22">
        <v>1.70929</v>
      </c>
      <c r="AR28" s="22">
        <v>66.729799999999997</v>
      </c>
      <c r="AS28" s="22">
        <v>-1.53564E-3</v>
      </c>
      <c r="AT28" s="22">
        <v>18</v>
      </c>
      <c r="AU28" s="22">
        <v>1.7083699999999999</v>
      </c>
      <c r="AV28">
        <f t="shared" si="8"/>
        <v>1.5356400000000001</v>
      </c>
      <c r="AW28">
        <f t="shared" si="9"/>
        <v>2.6248540956000004</v>
      </c>
      <c r="AX28" s="9"/>
      <c r="AY28" s="22">
        <v>-9.3078599999999994E-3</v>
      </c>
      <c r="AZ28" s="22">
        <v>72.006399999999999</v>
      </c>
      <c r="BA28" s="22">
        <v>-1.5792799999999999E-2</v>
      </c>
      <c r="BB28" s="22">
        <v>18</v>
      </c>
      <c r="BC28" s="22">
        <v>-9.5336899999999992E-3</v>
      </c>
      <c r="BD28">
        <f t="shared" si="10"/>
        <v>15.7928</v>
      </c>
      <c r="BE28">
        <f t="shared" si="11"/>
        <v>-0.14699717140799998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6.9086999999999996</v>
      </c>
      <c r="I29" s="22">
        <v>-1.7846699999999999E-3</v>
      </c>
      <c r="J29" s="22">
        <v>19</v>
      </c>
      <c r="K29" s="22">
        <v>1.70319</v>
      </c>
      <c r="L29">
        <f t="shared" si="0"/>
        <v>1.78467</v>
      </c>
      <c r="M29">
        <f t="shared" si="1"/>
        <v>3.0415238475000002</v>
      </c>
      <c r="N29" s="9"/>
      <c r="O29" s="22">
        <v>-4.2724599999999996E-3</v>
      </c>
      <c r="P29" s="22">
        <v>46.383899999999997</v>
      </c>
      <c r="Q29" s="22">
        <v>-1.651E-2</v>
      </c>
      <c r="R29" s="22">
        <v>19</v>
      </c>
      <c r="S29" s="22">
        <v>-4.5410199999999998E-3</v>
      </c>
      <c r="T29">
        <f t="shared" si="2"/>
        <v>16.510000000000002</v>
      </c>
      <c r="U29">
        <f t="shared" si="3"/>
        <v>-7.0538314599999999E-2</v>
      </c>
      <c r="X29" s="9"/>
      <c r="Y29" s="22">
        <v>1.70425</v>
      </c>
      <c r="Z29" s="22">
        <v>54.195599999999999</v>
      </c>
      <c r="AA29" s="22">
        <v>-1.7569E-3</v>
      </c>
      <c r="AB29" s="22">
        <v>19</v>
      </c>
      <c r="AC29" s="22">
        <v>1.7038</v>
      </c>
      <c r="AD29">
        <f t="shared" si="4"/>
        <v>1.7569000000000001</v>
      </c>
      <c r="AE29">
        <f t="shared" si="5"/>
        <v>2.9941968250000004</v>
      </c>
      <c r="AF29" s="9"/>
      <c r="AG29" s="22">
        <v>-4.2724599999999996E-3</v>
      </c>
      <c r="AH29" s="22">
        <v>59.740200000000002</v>
      </c>
      <c r="AI29" s="22">
        <v>-1.59515E-2</v>
      </c>
      <c r="AJ29" s="22">
        <v>19</v>
      </c>
      <c r="AK29" s="22">
        <v>-4.5806900000000001E-3</v>
      </c>
      <c r="AL29">
        <f t="shared" si="6"/>
        <v>15.951500000000001</v>
      </c>
      <c r="AM29">
        <f t="shared" si="7"/>
        <v>-6.8152145689999999E-2</v>
      </c>
      <c r="AP29" s="9"/>
      <c r="AQ29" s="22">
        <v>1.70425</v>
      </c>
      <c r="AR29" s="22">
        <v>66.739800000000002</v>
      </c>
      <c r="AS29" s="22">
        <v>-1.65497E-3</v>
      </c>
      <c r="AT29" s="22">
        <v>19</v>
      </c>
      <c r="AU29" s="22">
        <v>1.70319</v>
      </c>
      <c r="AV29">
        <f t="shared" si="8"/>
        <v>1.6549700000000001</v>
      </c>
      <c r="AW29">
        <f t="shared" si="9"/>
        <v>2.8204826225000001</v>
      </c>
      <c r="AX29" s="9"/>
      <c r="AY29" s="22">
        <v>-4.2724599999999996E-3</v>
      </c>
      <c r="AZ29" s="22">
        <v>72.016499999999994</v>
      </c>
      <c r="BA29" s="22">
        <v>-1.5756200000000001E-2</v>
      </c>
      <c r="BB29" s="22">
        <v>19</v>
      </c>
      <c r="BC29" s="22">
        <v>-4.5013400000000004E-3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6.9187700000000003</v>
      </c>
      <c r="I30" s="22">
        <v>-1.9009400000000001E-3</v>
      </c>
      <c r="J30" s="22">
        <v>20</v>
      </c>
      <c r="K30" s="22">
        <v>1.6989099999999999</v>
      </c>
      <c r="L30">
        <f t="shared" si="0"/>
        <v>1.9009400000000001</v>
      </c>
      <c r="M30">
        <f t="shared" si="1"/>
        <v>3.2301152667999999</v>
      </c>
      <c r="N30" s="9"/>
      <c r="O30" s="22">
        <v>7.6293900000000002E-4</v>
      </c>
      <c r="P30" s="22">
        <v>46.393999999999998</v>
      </c>
      <c r="Q30" s="22">
        <v>-1.6476399999999999E-2</v>
      </c>
      <c r="R30" s="22">
        <v>20</v>
      </c>
      <c r="S30" s="22">
        <v>5.5236800000000002E-4</v>
      </c>
      <c r="T30">
        <f t="shared" si="2"/>
        <v>16.476399999999998</v>
      </c>
      <c r="U30">
        <f t="shared" si="3"/>
        <v>1.2570488139599999E-2</v>
      </c>
      <c r="X30" s="9"/>
      <c r="Y30" s="22">
        <v>1.69922</v>
      </c>
      <c r="Z30" s="22">
        <v>54.2057</v>
      </c>
      <c r="AA30" s="22">
        <v>-1.87805E-3</v>
      </c>
      <c r="AB30" s="22">
        <v>20</v>
      </c>
      <c r="AC30" s="22">
        <v>1.6982999999999999</v>
      </c>
      <c r="AD30">
        <f t="shared" si="4"/>
        <v>1.87805</v>
      </c>
      <c r="AE30">
        <f t="shared" si="5"/>
        <v>3.1912201209999997</v>
      </c>
      <c r="AF30" s="9"/>
      <c r="AG30" s="22">
        <v>7.6293900000000002E-4</v>
      </c>
      <c r="AH30" s="22">
        <v>59.750300000000003</v>
      </c>
      <c r="AI30" s="22">
        <v>-1.59241E-2</v>
      </c>
      <c r="AJ30" s="22">
        <v>20</v>
      </c>
      <c r="AK30" s="22">
        <v>5.6152299999999997E-4</v>
      </c>
      <c r="AL30">
        <f t="shared" si="6"/>
        <v>15.924099999999999</v>
      </c>
      <c r="AM30">
        <f t="shared" si="7"/>
        <v>1.21491169299E-2</v>
      </c>
      <c r="AP30" s="9"/>
      <c r="AQ30" s="22">
        <v>1.69922</v>
      </c>
      <c r="AR30" s="22">
        <v>66.749899999999997</v>
      </c>
      <c r="AS30" s="22">
        <v>-1.7727699999999999E-3</v>
      </c>
      <c r="AT30" s="22">
        <v>20</v>
      </c>
      <c r="AU30" s="22">
        <v>1.6982999999999999</v>
      </c>
      <c r="AV30">
        <f t="shared" si="8"/>
        <v>1.77277</v>
      </c>
      <c r="AW30">
        <f t="shared" si="9"/>
        <v>3.0123262393999997</v>
      </c>
      <c r="AX30" s="9"/>
      <c r="AY30" s="22">
        <v>7.6293900000000002E-4</v>
      </c>
      <c r="AZ30" s="22">
        <v>72.026499999999999</v>
      </c>
      <c r="BA30" s="22">
        <v>-1.5722699999999999E-2</v>
      </c>
      <c r="BB30" s="22">
        <v>20</v>
      </c>
      <c r="BC30" s="22">
        <v>5.6152299999999997E-4</v>
      </c>
      <c r="BD30">
        <f t="shared" si="10"/>
        <v>15.7227</v>
      </c>
      <c r="BE30">
        <f t="shared" si="11"/>
        <v>1.19954610153E-2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6.9288400000000001</v>
      </c>
      <c r="I31" s="22">
        <v>-2.01447E-3</v>
      </c>
      <c r="J31" s="22">
        <v>21</v>
      </c>
      <c r="K31" s="22">
        <v>1.6934199999999999</v>
      </c>
      <c r="L31">
        <f t="shared" si="0"/>
        <v>2.0144699999999998</v>
      </c>
      <c r="M31">
        <f t="shared" si="1"/>
        <v>3.4128747845999996</v>
      </c>
      <c r="N31" s="9"/>
      <c r="O31" s="22">
        <v>5.7983399999999999E-3</v>
      </c>
      <c r="P31" s="22">
        <v>46.4041</v>
      </c>
      <c r="Q31" s="22">
        <v>-1.64429E-2</v>
      </c>
      <c r="R31" s="22">
        <v>21</v>
      </c>
      <c r="S31" s="22">
        <v>5.6243899999999999E-3</v>
      </c>
      <c r="T31">
        <f t="shared" si="2"/>
        <v>16.442900000000002</v>
      </c>
      <c r="U31">
        <f t="shared" si="3"/>
        <v>9.5341524786000012E-2</v>
      </c>
      <c r="X31" s="9"/>
      <c r="Y31" s="22">
        <v>1.69418</v>
      </c>
      <c r="Z31" s="22">
        <v>54.215699999999998</v>
      </c>
      <c r="AA31" s="22">
        <v>-1.9979899999999998E-3</v>
      </c>
      <c r="AB31" s="22">
        <v>21</v>
      </c>
      <c r="AC31" s="22">
        <v>1.69312</v>
      </c>
      <c r="AD31">
        <f t="shared" si="4"/>
        <v>1.9979899999999999</v>
      </c>
      <c r="AE31">
        <f t="shared" si="5"/>
        <v>3.3849546982000001</v>
      </c>
      <c r="AF31" s="9"/>
      <c r="AG31" s="22">
        <v>5.7983399999999999E-3</v>
      </c>
      <c r="AH31" s="22">
        <v>59.760399999999997</v>
      </c>
      <c r="AI31" s="22">
        <v>-1.5893600000000001E-2</v>
      </c>
      <c r="AJ31" s="22">
        <v>21</v>
      </c>
      <c r="AK31" s="22">
        <v>5.5877699999999997E-3</v>
      </c>
      <c r="AL31">
        <f t="shared" si="6"/>
        <v>15.893600000000001</v>
      </c>
      <c r="AM31">
        <f t="shared" si="7"/>
        <v>9.2156496624000009E-2</v>
      </c>
      <c r="AP31" s="9"/>
      <c r="AQ31" s="22">
        <v>1.69418</v>
      </c>
      <c r="AR31" s="22">
        <v>66.760000000000005</v>
      </c>
      <c r="AS31" s="22">
        <v>-1.8881200000000001E-3</v>
      </c>
      <c r="AT31" s="22">
        <v>21</v>
      </c>
      <c r="AU31" s="22">
        <v>1.69373</v>
      </c>
      <c r="AV31">
        <f t="shared" si="8"/>
        <v>1.88812</v>
      </c>
      <c r="AW31">
        <f t="shared" si="9"/>
        <v>3.1988151415999999</v>
      </c>
      <c r="AX31" s="9"/>
      <c r="AY31" s="22">
        <v>5.7983399999999999E-3</v>
      </c>
      <c r="AZ31" s="22">
        <v>72.036600000000007</v>
      </c>
      <c r="BA31" s="22">
        <v>-1.5698199999999999E-2</v>
      </c>
      <c r="BB31" s="22">
        <v>21</v>
      </c>
      <c r="BC31" s="22">
        <v>5.5328399999999998E-3</v>
      </c>
      <c r="BD31">
        <f t="shared" si="10"/>
        <v>15.698199999999998</v>
      </c>
      <c r="BE31">
        <f t="shared" si="11"/>
        <v>9.1023500987999995E-2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6.9389099999999999</v>
      </c>
      <c r="I32" s="22">
        <v>-2.13013E-3</v>
      </c>
      <c r="J32" s="22">
        <v>22</v>
      </c>
      <c r="K32" s="22">
        <v>1.6885399999999999</v>
      </c>
      <c r="L32">
        <f t="shared" si="0"/>
        <v>2.1301299999999999</v>
      </c>
      <c r="M32">
        <f t="shared" si="1"/>
        <v>3.5981090894999994</v>
      </c>
      <c r="N32" s="9"/>
      <c r="O32" s="22">
        <v>1.08337E-2</v>
      </c>
      <c r="P32" s="22">
        <v>46.414200000000001</v>
      </c>
      <c r="Q32" s="22">
        <v>-1.6406299999999999E-2</v>
      </c>
      <c r="R32" s="22">
        <v>22</v>
      </c>
      <c r="S32" s="22">
        <v>1.0623199999999999E-2</v>
      </c>
      <c r="T32">
        <f t="shared" si="2"/>
        <v>16.406299999999998</v>
      </c>
      <c r="U32">
        <f t="shared" si="3"/>
        <v>0.17774093230999999</v>
      </c>
      <c r="X32" s="9"/>
      <c r="Y32" s="22">
        <v>1.6891499999999999</v>
      </c>
      <c r="Z32" s="22">
        <v>54.2258</v>
      </c>
      <c r="AA32" s="22">
        <v>-2.1176099999999998E-3</v>
      </c>
      <c r="AB32" s="22">
        <v>22</v>
      </c>
      <c r="AC32" s="22">
        <v>1.6876199999999999</v>
      </c>
      <c r="AD32">
        <f t="shared" si="4"/>
        <v>2.11761</v>
      </c>
      <c r="AE32">
        <f t="shared" si="5"/>
        <v>3.5769609314999999</v>
      </c>
      <c r="AF32" s="9"/>
      <c r="AG32" s="22">
        <v>1.08337E-2</v>
      </c>
      <c r="AH32" s="22">
        <v>59.770400000000002</v>
      </c>
      <c r="AI32" s="22">
        <v>-1.5853900000000001E-2</v>
      </c>
      <c r="AJ32" s="22">
        <v>22</v>
      </c>
      <c r="AK32" s="22">
        <v>1.06079E-2</v>
      </c>
      <c r="AL32">
        <f t="shared" si="6"/>
        <v>15.853900000000001</v>
      </c>
      <c r="AM32">
        <f t="shared" si="7"/>
        <v>0.17175639643000001</v>
      </c>
      <c r="AP32" s="9"/>
      <c r="AQ32" s="22">
        <v>1.6891499999999999</v>
      </c>
      <c r="AR32" s="22">
        <v>66.770099999999999</v>
      </c>
      <c r="AS32" s="22">
        <v>-2.0046999999999999E-3</v>
      </c>
      <c r="AT32" s="22">
        <v>22</v>
      </c>
      <c r="AU32" s="22">
        <v>1.6885399999999999</v>
      </c>
      <c r="AV32">
        <f t="shared" si="8"/>
        <v>2.0046999999999997</v>
      </c>
      <c r="AW32">
        <f t="shared" si="9"/>
        <v>3.3862390049999993</v>
      </c>
      <c r="AX32" s="9"/>
      <c r="AY32" s="22">
        <v>1.08337E-2</v>
      </c>
      <c r="AZ32" s="22">
        <v>72.046700000000001</v>
      </c>
      <c r="BA32" s="22">
        <v>-1.5676900000000001E-2</v>
      </c>
      <c r="BB32" s="22">
        <v>22</v>
      </c>
      <c r="BC32" s="22">
        <v>1.06201E-2</v>
      </c>
      <c r="BD32">
        <f t="shared" si="10"/>
        <v>15.6769</v>
      </c>
      <c r="BE32">
        <f t="shared" si="11"/>
        <v>0.16983883152999998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6.9489900000000002</v>
      </c>
      <c r="I33" s="22">
        <v>-2.2442600000000001E-3</v>
      </c>
      <c r="J33" s="22">
        <v>23</v>
      </c>
      <c r="K33" s="22">
        <v>1.6836500000000001</v>
      </c>
      <c r="L33">
        <f t="shared" si="0"/>
        <v>2.2442600000000001</v>
      </c>
      <c r="M33">
        <f t="shared" si="1"/>
        <v>3.7795807086000002</v>
      </c>
      <c r="N33" s="9"/>
      <c r="O33" s="22">
        <v>1.5869100000000001E-2</v>
      </c>
      <c r="P33" s="22">
        <v>46.424199999999999</v>
      </c>
      <c r="Q33" s="22">
        <v>-1.63635E-2</v>
      </c>
      <c r="R33" s="22">
        <v>23</v>
      </c>
      <c r="S33" s="22">
        <v>1.5695199999999999E-2</v>
      </c>
      <c r="T33">
        <f t="shared" si="2"/>
        <v>16.363499999999998</v>
      </c>
      <c r="U33">
        <f t="shared" si="3"/>
        <v>0.25967401784999999</v>
      </c>
      <c r="X33" s="9"/>
      <c r="Y33" s="22">
        <v>1.68411</v>
      </c>
      <c r="Z33" s="22">
        <v>54.235900000000001</v>
      </c>
      <c r="AA33" s="22">
        <v>-2.2347999999999999E-3</v>
      </c>
      <c r="AB33" s="22">
        <v>23</v>
      </c>
      <c r="AC33" s="22">
        <v>1.6836500000000001</v>
      </c>
      <c r="AD33">
        <f t="shared" si="4"/>
        <v>2.2347999999999999</v>
      </c>
      <c r="AE33">
        <f t="shared" si="5"/>
        <v>3.7636490279999997</v>
      </c>
      <c r="AF33" s="9"/>
      <c r="AG33" s="22">
        <v>1.5869100000000001E-2</v>
      </c>
      <c r="AH33" s="22">
        <v>59.780500000000004</v>
      </c>
      <c r="AI33" s="22">
        <v>-1.5820299999999999E-2</v>
      </c>
      <c r="AJ33" s="22">
        <v>23</v>
      </c>
      <c r="AK33" s="22">
        <v>1.5673800000000002E-2</v>
      </c>
      <c r="AL33">
        <f t="shared" si="6"/>
        <v>15.8203</v>
      </c>
      <c r="AM33">
        <f t="shared" si="7"/>
        <v>0.25105392272999999</v>
      </c>
      <c r="AP33" s="9"/>
      <c r="AQ33" s="22">
        <v>1.68411</v>
      </c>
      <c r="AR33" s="22">
        <v>66.780100000000004</v>
      </c>
      <c r="AS33" s="22">
        <v>-2.11853E-3</v>
      </c>
      <c r="AT33" s="22">
        <v>23</v>
      </c>
      <c r="AU33" s="22">
        <v>1.6833499999999999</v>
      </c>
      <c r="AV33">
        <f t="shared" si="8"/>
        <v>2.1185299999999998</v>
      </c>
      <c r="AW33">
        <f t="shared" si="9"/>
        <v>3.5678375582999995</v>
      </c>
      <c r="AX33" s="9"/>
      <c r="AY33" s="22">
        <v>1.5869100000000001E-2</v>
      </c>
      <c r="AZ33" s="22">
        <v>72.056700000000006</v>
      </c>
      <c r="BA33" s="22">
        <v>-1.56372E-2</v>
      </c>
      <c r="BB33" s="22">
        <v>23</v>
      </c>
      <c r="BC33" s="22">
        <v>1.5695199999999999E-2</v>
      </c>
      <c r="BD33">
        <f t="shared" si="10"/>
        <v>15.6372</v>
      </c>
      <c r="BE33">
        <f t="shared" si="11"/>
        <v>0.24814829052000001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6.95906</v>
      </c>
      <c r="I34" s="22">
        <v>-2.3580900000000002E-3</v>
      </c>
      <c r="J34" s="22">
        <v>24</v>
      </c>
      <c r="K34" s="22">
        <v>1.6784699999999999</v>
      </c>
      <c r="L34">
        <f t="shared" si="0"/>
        <v>2.3580900000000002</v>
      </c>
      <c r="M34">
        <f t="shared" si="1"/>
        <v>3.9594217572000003</v>
      </c>
      <c r="N34" s="9"/>
      <c r="O34" s="22">
        <v>2.0904499999999999E-2</v>
      </c>
      <c r="P34" s="22">
        <v>46.4343</v>
      </c>
      <c r="Q34" s="22">
        <v>-1.6333E-2</v>
      </c>
      <c r="R34" s="22">
        <v>24</v>
      </c>
      <c r="S34" s="22">
        <v>2.07367E-2</v>
      </c>
      <c r="T34">
        <f t="shared" si="2"/>
        <v>16.333000000000002</v>
      </c>
      <c r="U34">
        <f t="shared" si="3"/>
        <v>0.34143319850000003</v>
      </c>
      <c r="X34" s="9"/>
      <c r="Y34" s="22">
        <v>1.6790799999999999</v>
      </c>
      <c r="Z34" s="22">
        <v>54.245899999999999</v>
      </c>
      <c r="AA34" s="22">
        <v>-2.35199E-3</v>
      </c>
      <c r="AB34" s="22">
        <v>24</v>
      </c>
      <c r="AC34" s="22">
        <v>1.6781600000000001</v>
      </c>
      <c r="AD34">
        <f t="shared" si="4"/>
        <v>2.3519899999999998</v>
      </c>
      <c r="AE34">
        <f t="shared" si="5"/>
        <v>3.9491793691999995</v>
      </c>
      <c r="AF34" s="9"/>
      <c r="AG34" s="22">
        <v>2.0904499999999999E-2</v>
      </c>
      <c r="AH34" s="22">
        <v>59.790599999999998</v>
      </c>
      <c r="AI34" s="22">
        <v>-1.5792799999999999E-2</v>
      </c>
      <c r="AJ34" s="22">
        <v>24</v>
      </c>
      <c r="AK34" s="22">
        <v>2.07367E-2</v>
      </c>
      <c r="AL34">
        <f t="shared" si="6"/>
        <v>15.7928</v>
      </c>
      <c r="AM34">
        <f t="shared" si="7"/>
        <v>0.33014058759999998</v>
      </c>
      <c r="AP34" s="9"/>
      <c r="AQ34" s="22">
        <v>1.6790799999999999</v>
      </c>
      <c r="AR34" s="22">
        <v>66.790199999999999</v>
      </c>
      <c r="AS34" s="22">
        <v>-2.2317499999999998E-3</v>
      </c>
      <c r="AT34" s="22">
        <v>24</v>
      </c>
      <c r="AU34" s="22">
        <v>1.6787700000000001</v>
      </c>
      <c r="AV34">
        <f t="shared" si="8"/>
        <v>2.2317499999999999</v>
      </c>
      <c r="AW34">
        <f t="shared" si="9"/>
        <v>3.7472867899999995</v>
      </c>
      <c r="AX34" s="9"/>
      <c r="AY34" s="22">
        <v>2.0904499999999999E-2</v>
      </c>
      <c r="AZ34" s="22">
        <v>72.066800000000001</v>
      </c>
      <c r="BA34" s="22">
        <v>-1.55975E-2</v>
      </c>
      <c r="BB34" s="22">
        <v>24</v>
      </c>
      <c r="BC34" s="22">
        <v>2.0715299999999999E-2</v>
      </c>
      <c r="BD34">
        <f t="shared" si="10"/>
        <v>15.5975</v>
      </c>
      <c r="BE34">
        <f t="shared" si="11"/>
        <v>0.32605793875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6.9691299999999998</v>
      </c>
      <c r="I35" s="22">
        <v>-2.46948E-3</v>
      </c>
      <c r="J35" s="22">
        <v>25</v>
      </c>
      <c r="K35" s="22">
        <v>1.6729700000000001</v>
      </c>
      <c r="L35">
        <f t="shared" si="0"/>
        <v>2.4694799999999999</v>
      </c>
      <c r="M35">
        <f t="shared" si="1"/>
        <v>4.1340082991999996</v>
      </c>
      <c r="N35" s="9"/>
      <c r="O35" s="22">
        <v>2.5939899999999998E-2</v>
      </c>
      <c r="P35" s="22">
        <v>46.444400000000002</v>
      </c>
      <c r="Q35" s="22">
        <v>-1.6305500000000001E-2</v>
      </c>
      <c r="R35" s="22">
        <v>25</v>
      </c>
      <c r="S35" s="22">
        <v>2.5805700000000001E-2</v>
      </c>
      <c r="T35">
        <f t="shared" si="2"/>
        <v>16.305500000000002</v>
      </c>
      <c r="U35">
        <f t="shared" si="3"/>
        <v>0.42296303945000002</v>
      </c>
      <c r="X35" s="9"/>
      <c r="Y35" s="22">
        <v>1.67404</v>
      </c>
      <c r="Z35" s="22">
        <v>54.256</v>
      </c>
      <c r="AA35" s="22">
        <v>-2.4679599999999999E-3</v>
      </c>
      <c r="AB35" s="22">
        <v>25</v>
      </c>
      <c r="AC35" s="22">
        <v>1.6732800000000001</v>
      </c>
      <c r="AD35">
        <f t="shared" si="4"/>
        <v>2.4679600000000002</v>
      </c>
      <c r="AE35">
        <f t="shared" si="5"/>
        <v>4.1314637583999998</v>
      </c>
      <c r="AF35" s="9"/>
      <c r="AG35" s="22">
        <v>2.5939899999999998E-2</v>
      </c>
      <c r="AH35" s="22">
        <v>59.800600000000003</v>
      </c>
      <c r="AI35" s="22">
        <v>-1.5765399999999999E-2</v>
      </c>
      <c r="AJ35" s="22">
        <v>25</v>
      </c>
      <c r="AK35" s="22">
        <v>2.5790400000000002E-2</v>
      </c>
      <c r="AL35">
        <f t="shared" si="6"/>
        <v>15.7654</v>
      </c>
      <c r="AM35">
        <f t="shared" si="7"/>
        <v>0.40895289945999996</v>
      </c>
      <c r="AP35" s="9"/>
      <c r="AQ35" s="22">
        <v>1.67404</v>
      </c>
      <c r="AR35" s="22">
        <v>66.800299999999993</v>
      </c>
      <c r="AS35" s="22">
        <v>-2.3458900000000002E-3</v>
      </c>
      <c r="AT35" s="22">
        <v>25</v>
      </c>
      <c r="AU35" s="22">
        <v>1.6729700000000001</v>
      </c>
      <c r="AV35">
        <f t="shared" si="8"/>
        <v>2.3458900000000003</v>
      </c>
      <c r="AW35">
        <f t="shared" si="9"/>
        <v>3.9271136956000006</v>
      </c>
      <c r="AX35" s="9"/>
      <c r="AY35" s="22">
        <v>2.5939899999999998E-2</v>
      </c>
      <c r="AZ35" s="22">
        <v>72.076899999999995</v>
      </c>
      <c r="BA35" s="22">
        <v>-1.5560900000000001E-2</v>
      </c>
      <c r="BB35" s="22">
        <v>25</v>
      </c>
      <c r="BC35" s="22">
        <v>2.57538E-2</v>
      </c>
      <c r="BD35">
        <f t="shared" si="10"/>
        <v>15.5609</v>
      </c>
      <c r="BE35">
        <f t="shared" si="11"/>
        <v>0.40364818990999995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6.9791999999999996</v>
      </c>
      <c r="I36" s="22">
        <v>-2.5787399999999999E-3</v>
      </c>
      <c r="J36" s="22">
        <v>26</v>
      </c>
      <c r="K36" s="22">
        <v>1.6680900000000001</v>
      </c>
      <c r="L36">
        <f t="shared" si="0"/>
        <v>2.5787399999999998</v>
      </c>
      <c r="M36">
        <f t="shared" si="1"/>
        <v>4.3039428474000001</v>
      </c>
      <c r="N36" s="9"/>
      <c r="O36" s="22">
        <v>3.0975300000000001E-2</v>
      </c>
      <c r="P36" s="22">
        <v>46.4544</v>
      </c>
      <c r="Q36" s="22">
        <v>-1.6271999999999998E-2</v>
      </c>
      <c r="R36" s="22">
        <v>26</v>
      </c>
      <c r="S36" s="22">
        <v>3.0844099999999999E-2</v>
      </c>
      <c r="T36">
        <f t="shared" si="2"/>
        <v>16.271999999999998</v>
      </c>
      <c r="U36">
        <f t="shared" si="3"/>
        <v>0.50403008159999996</v>
      </c>
      <c r="X36" s="9"/>
      <c r="Y36" s="22">
        <v>1.6690100000000001</v>
      </c>
      <c r="Z36" s="22">
        <v>54.266100000000002</v>
      </c>
      <c r="AA36" s="22">
        <v>-2.58362E-3</v>
      </c>
      <c r="AB36" s="22">
        <v>26</v>
      </c>
      <c r="AC36" s="22">
        <v>1.6684000000000001</v>
      </c>
      <c r="AD36">
        <f t="shared" si="4"/>
        <v>2.5836199999999998</v>
      </c>
      <c r="AE36">
        <f t="shared" si="5"/>
        <v>4.3120876162000004</v>
      </c>
      <c r="AF36" s="9"/>
      <c r="AG36" s="22">
        <v>3.0975300000000001E-2</v>
      </c>
      <c r="AH36" s="22">
        <v>59.810699999999997</v>
      </c>
      <c r="AI36" s="22">
        <v>-1.5728800000000001E-2</v>
      </c>
      <c r="AJ36" s="22">
        <v>26</v>
      </c>
      <c r="AK36" s="22">
        <v>3.0859399999999999E-2</v>
      </c>
      <c r="AL36">
        <f t="shared" si="6"/>
        <v>15.728800000000001</v>
      </c>
      <c r="AM36">
        <f t="shared" si="7"/>
        <v>0.48720429864000003</v>
      </c>
      <c r="AP36" s="9"/>
      <c r="AQ36" s="22">
        <v>1.6690100000000001</v>
      </c>
      <c r="AR36" s="22">
        <v>66.810299999999998</v>
      </c>
      <c r="AS36" s="22">
        <v>-2.4588000000000001E-3</v>
      </c>
      <c r="AT36" s="22">
        <v>26</v>
      </c>
      <c r="AU36" s="22">
        <v>1.6680900000000001</v>
      </c>
      <c r="AV36">
        <f t="shared" si="8"/>
        <v>2.4588000000000001</v>
      </c>
      <c r="AW36">
        <f t="shared" si="9"/>
        <v>4.1037617880000008</v>
      </c>
      <c r="AX36" s="9"/>
      <c r="AY36" s="22">
        <v>3.0975300000000001E-2</v>
      </c>
      <c r="AZ36" s="22">
        <v>72.087000000000003</v>
      </c>
      <c r="BA36" s="22">
        <v>-1.55304E-2</v>
      </c>
      <c r="BB36" s="22">
        <v>26</v>
      </c>
      <c r="BC36" s="22">
        <v>3.08411E-2</v>
      </c>
      <c r="BD36">
        <f t="shared" si="10"/>
        <v>15.5304</v>
      </c>
      <c r="BE36">
        <f t="shared" si="11"/>
        <v>0.48105879911999999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6.9892700000000003</v>
      </c>
      <c r="I37" s="22">
        <v>-2.6873800000000001E-3</v>
      </c>
      <c r="J37" s="22">
        <v>27</v>
      </c>
      <c r="K37" s="22">
        <v>1.6629</v>
      </c>
      <c r="L37">
        <f t="shared" si="0"/>
        <v>2.6873800000000001</v>
      </c>
      <c r="M37">
        <f t="shared" si="1"/>
        <v>4.4717196986000003</v>
      </c>
      <c r="N37" s="9"/>
      <c r="O37" s="22">
        <v>3.60107E-2</v>
      </c>
      <c r="P37" s="22">
        <v>46.464500000000001</v>
      </c>
      <c r="Q37" s="22">
        <v>-1.6244499999999999E-2</v>
      </c>
      <c r="R37" s="22">
        <v>27</v>
      </c>
      <c r="S37" s="22">
        <v>3.5913100000000003E-2</v>
      </c>
      <c r="T37">
        <f t="shared" si="2"/>
        <v>16.244499999999999</v>
      </c>
      <c r="U37">
        <f t="shared" si="3"/>
        <v>0.58497581614999994</v>
      </c>
      <c r="X37" s="9"/>
      <c r="Y37" s="22">
        <v>1.6639699999999999</v>
      </c>
      <c r="Z37" s="22">
        <v>54.276200000000003</v>
      </c>
      <c r="AA37" s="22">
        <v>-2.6977500000000001E-3</v>
      </c>
      <c r="AB37" s="22">
        <v>27</v>
      </c>
      <c r="AC37" s="22">
        <v>1.6632100000000001</v>
      </c>
      <c r="AD37">
        <f t="shared" si="4"/>
        <v>2.6977500000000001</v>
      </c>
      <c r="AE37">
        <f t="shared" si="5"/>
        <v>4.4889750675000002</v>
      </c>
      <c r="AF37" s="9"/>
      <c r="AG37" s="22">
        <v>3.60107E-2</v>
      </c>
      <c r="AH37" s="22">
        <v>59.820799999999998</v>
      </c>
      <c r="AI37" s="22">
        <v>-1.5695199999999999E-2</v>
      </c>
      <c r="AJ37" s="22">
        <v>27</v>
      </c>
      <c r="AK37" s="22">
        <v>3.5882600000000001E-2</v>
      </c>
      <c r="AL37">
        <f t="shared" si="6"/>
        <v>15.6952</v>
      </c>
      <c r="AM37">
        <f t="shared" si="7"/>
        <v>0.56519513864000004</v>
      </c>
      <c r="AP37" s="9"/>
      <c r="AQ37" s="22">
        <v>1.6639699999999999</v>
      </c>
      <c r="AR37" s="22">
        <v>66.820400000000006</v>
      </c>
      <c r="AS37" s="22">
        <v>-2.5695800000000001E-3</v>
      </c>
      <c r="AT37" s="22">
        <v>27</v>
      </c>
      <c r="AU37" s="22">
        <v>1.66229</v>
      </c>
      <c r="AV37">
        <f t="shared" si="8"/>
        <v>2.5695800000000002</v>
      </c>
      <c r="AW37">
        <f t="shared" si="9"/>
        <v>4.2757040326000002</v>
      </c>
      <c r="AX37" s="9"/>
      <c r="AY37" s="22">
        <v>3.60107E-2</v>
      </c>
      <c r="AZ37" s="22">
        <v>72.096999999999994</v>
      </c>
      <c r="BA37" s="22">
        <v>-1.55029E-2</v>
      </c>
      <c r="BB37" s="22">
        <v>27</v>
      </c>
      <c r="BC37" s="22">
        <v>3.5891699999999999E-2</v>
      </c>
      <c r="BD37">
        <f t="shared" si="10"/>
        <v>15.5029</v>
      </c>
      <c r="BE37">
        <f t="shared" si="11"/>
        <v>0.55827028102999998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6.9993400000000001</v>
      </c>
      <c r="I38" s="22">
        <v>-2.7944900000000002E-3</v>
      </c>
      <c r="J38" s="22">
        <v>28</v>
      </c>
      <c r="K38" s="22">
        <v>1.65771</v>
      </c>
      <c r="L38">
        <f t="shared" si="0"/>
        <v>2.7944900000000001</v>
      </c>
      <c r="M38">
        <f t="shared" si="1"/>
        <v>4.6358912406000004</v>
      </c>
      <c r="N38" s="9"/>
      <c r="O38" s="22">
        <v>4.1046100000000002E-2</v>
      </c>
      <c r="P38" s="22">
        <v>46.474600000000002</v>
      </c>
      <c r="Q38" s="22">
        <v>-1.6216999999999999E-2</v>
      </c>
      <c r="R38" s="22">
        <v>28</v>
      </c>
      <c r="S38" s="22">
        <v>4.0969800000000001E-2</v>
      </c>
      <c r="T38">
        <f t="shared" si="2"/>
        <v>16.216999999999999</v>
      </c>
      <c r="U38">
        <f t="shared" si="3"/>
        <v>0.6656446037</v>
      </c>
      <c r="X38" s="9"/>
      <c r="Y38" s="22">
        <v>1.6589400000000001</v>
      </c>
      <c r="Z38" s="22">
        <v>54.286200000000001</v>
      </c>
      <c r="AA38" s="22">
        <v>-2.8115800000000002E-3</v>
      </c>
      <c r="AB38" s="22">
        <v>28</v>
      </c>
      <c r="AC38" s="22">
        <v>1.6583300000000001</v>
      </c>
      <c r="AD38">
        <f t="shared" si="4"/>
        <v>2.8115800000000002</v>
      </c>
      <c r="AE38">
        <f t="shared" si="5"/>
        <v>4.6642425252000006</v>
      </c>
      <c r="AF38" s="9"/>
      <c r="AG38" s="22">
        <v>4.1046100000000002E-2</v>
      </c>
      <c r="AH38" s="22">
        <v>59.830800000000004</v>
      </c>
      <c r="AI38" s="22">
        <v>-1.5670799999999999E-2</v>
      </c>
      <c r="AJ38" s="22">
        <v>28</v>
      </c>
      <c r="AK38" s="22">
        <v>4.0920999999999999E-2</v>
      </c>
      <c r="AL38">
        <f t="shared" si="6"/>
        <v>15.670799999999998</v>
      </c>
      <c r="AM38">
        <f t="shared" si="7"/>
        <v>0.64322522387999992</v>
      </c>
      <c r="AP38" s="9"/>
      <c r="AQ38" s="22">
        <v>1.6589400000000001</v>
      </c>
      <c r="AR38" s="22">
        <v>66.830500000000001</v>
      </c>
      <c r="AS38" s="22">
        <v>-2.6800499999999998E-3</v>
      </c>
      <c r="AT38" s="22">
        <v>28</v>
      </c>
      <c r="AU38" s="22">
        <v>1.65802</v>
      </c>
      <c r="AV38">
        <f t="shared" si="8"/>
        <v>2.6800499999999996</v>
      </c>
      <c r="AW38">
        <f t="shared" si="9"/>
        <v>4.4460421469999991</v>
      </c>
      <c r="AX38" s="9"/>
      <c r="AY38" s="22">
        <v>4.1046100000000002E-2</v>
      </c>
      <c r="AZ38" s="22">
        <v>72.107100000000003</v>
      </c>
      <c r="BA38" s="22">
        <v>-1.5472400000000001E-2</v>
      </c>
      <c r="BB38" s="22">
        <v>28</v>
      </c>
      <c r="BC38" s="22">
        <v>4.0927100000000001E-2</v>
      </c>
      <c r="BD38">
        <f t="shared" si="10"/>
        <v>15.4724</v>
      </c>
      <c r="BE38">
        <f t="shared" si="11"/>
        <v>0.63508167764000001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7.0094099999999999</v>
      </c>
      <c r="I39" s="22">
        <v>-2.9013099999999998E-3</v>
      </c>
      <c r="J39" s="22">
        <v>29</v>
      </c>
      <c r="K39" s="22">
        <v>1.6531400000000001</v>
      </c>
      <c r="L39">
        <f t="shared" si="0"/>
        <v>2.9013099999999996</v>
      </c>
      <c r="M39">
        <f t="shared" si="1"/>
        <v>4.7984766089999988</v>
      </c>
      <c r="N39" s="9"/>
      <c r="O39" s="22">
        <v>4.6081499999999997E-2</v>
      </c>
      <c r="P39" s="22">
        <v>46.484699999999997</v>
      </c>
      <c r="Q39" s="22">
        <v>-1.61957E-2</v>
      </c>
      <c r="R39" s="22">
        <v>29</v>
      </c>
      <c r="S39" s="22">
        <v>4.5953399999999998E-2</v>
      </c>
      <c r="T39">
        <f t="shared" si="2"/>
        <v>16.195699999999999</v>
      </c>
      <c r="U39">
        <f t="shared" si="3"/>
        <v>0.74632214954999987</v>
      </c>
      <c r="X39" s="9"/>
      <c r="Y39" s="22">
        <v>1.6538999999999999</v>
      </c>
      <c r="Z39" s="22">
        <v>54.296300000000002</v>
      </c>
      <c r="AA39" s="22">
        <v>-2.92267E-3</v>
      </c>
      <c r="AB39" s="22">
        <v>29</v>
      </c>
      <c r="AC39" s="22">
        <v>1.65283</v>
      </c>
      <c r="AD39">
        <f t="shared" si="4"/>
        <v>2.9226700000000001</v>
      </c>
      <c r="AE39">
        <f t="shared" si="5"/>
        <v>4.8338039129999997</v>
      </c>
      <c r="AF39" s="9"/>
      <c r="AG39" s="22">
        <v>4.6081499999999997E-2</v>
      </c>
      <c r="AH39" s="22">
        <v>59.840899999999998</v>
      </c>
      <c r="AI39" s="22">
        <v>-1.5649400000000001E-2</v>
      </c>
      <c r="AJ39" s="22">
        <v>29</v>
      </c>
      <c r="AK39" s="22">
        <v>4.5962500000000003E-2</v>
      </c>
      <c r="AL39">
        <f t="shared" si="6"/>
        <v>15.6494</v>
      </c>
      <c r="AM39">
        <f t="shared" si="7"/>
        <v>0.72114782609999994</v>
      </c>
      <c r="AP39" s="9"/>
      <c r="AQ39" s="22">
        <v>1.6538999999999999</v>
      </c>
      <c r="AR39" s="22">
        <v>66.840500000000006</v>
      </c>
      <c r="AS39" s="22">
        <v>-2.7889999999999998E-3</v>
      </c>
      <c r="AT39" s="22">
        <v>29</v>
      </c>
      <c r="AU39" s="22">
        <v>1.6531400000000001</v>
      </c>
      <c r="AV39">
        <f t="shared" si="8"/>
        <v>2.7889999999999997</v>
      </c>
      <c r="AW39">
        <f t="shared" si="9"/>
        <v>4.612727099999999</v>
      </c>
      <c r="AX39" s="9"/>
      <c r="AY39" s="22">
        <v>4.6081499999999997E-2</v>
      </c>
      <c r="AZ39" s="22">
        <v>72.117199999999997</v>
      </c>
      <c r="BA39" s="22">
        <v>-1.5450999999999999E-2</v>
      </c>
      <c r="BB39" s="22">
        <v>29</v>
      </c>
      <c r="BC39" s="22">
        <v>4.59595E-2</v>
      </c>
      <c r="BD39">
        <f t="shared" si="10"/>
        <v>15.450999999999999</v>
      </c>
      <c r="BE39">
        <f t="shared" si="11"/>
        <v>0.71200525649999991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7.0194799999999997</v>
      </c>
      <c r="I40" s="22">
        <v>-3.0096400000000001E-3</v>
      </c>
      <c r="J40" s="22">
        <v>30</v>
      </c>
      <c r="K40" s="22">
        <v>1.64795</v>
      </c>
      <c r="L40">
        <f t="shared" si="0"/>
        <v>3.0096400000000001</v>
      </c>
      <c r="M40">
        <f t="shared" si="1"/>
        <v>4.9624750104000004</v>
      </c>
      <c r="N40" s="9"/>
      <c r="O40" s="22">
        <v>5.11169E-2</v>
      </c>
      <c r="P40" s="22">
        <v>46.494700000000002</v>
      </c>
      <c r="Q40" s="22">
        <v>-1.6153000000000001E-2</v>
      </c>
      <c r="R40" s="22">
        <v>30</v>
      </c>
      <c r="S40" s="22">
        <v>5.1092499999999999E-2</v>
      </c>
      <c r="T40">
        <f t="shared" si="2"/>
        <v>16.153000000000002</v>
      </c>
      <c r="U40">
        <f t="shared" si="3"/>
        <v>0.82569128570000017</v>
      </c>
      <c r="X40" s="9"/>
      <c r="Y40" s="22">
        <v>1.64886</v>
      </c>
      <c r="Z40" s="22">
        <v>54.306399999999996</v>
      </c>
      <c r="AA40" s="22">
        <v>-3.03375E-3</v>
      </c>
      <c r="AB40" s="22">
        <v>30</v>
      </c>
      <c r="AC40" s="22">
        <v>1.64795</v>
      </c>
      <c r="AD40">
        <f t="shared" si="4"/>
        <v>3.0337499999999999</v>
      </c>
      <c r="AE40">
        <f t="shared" si="5"/>
        <v>5.0022290250000001</v>
      </c>
      <c r="AF40" s="9"/>
      <c r="AG40" s="22">
        <v>5.11169E-2</v>
      </c>
      <c r="AH40" s="22">
        <v>59.850999999999999</v>
      </c>
      <c r="AI40" s="22">
        <v>-1.5625E-2</v>
      </c>
      <c r="AJ40" s="22">
        <v>30</v>
      </c>
      <c r="AK40" s="22">
        <v>5.0991799999999997E-2</v>
      </c>
      <c r="AL40">
        <f t="shared" si="6"/>
        <v>15.625</v>
      </c>
      <c r="AM40">
        <f t="shared" si="7"/>
        <v>0.79870156250000002</v>
      </c>
      <c r="AP40" s="9"/>
      <c r="AQ40" s="22">
        <v>1.64886</v>
      </c>
      <c r="AR40" s="22">
        <v>66.8506</v>
      </c>
      <c r="AS40" s="22">
        <v>-2.8979499999999998E-3</v>
      </c>
      <c r="AT40" s="22">
        <v>30</v>
      </c>
      <c r="AU40" s="22">
        <v>1.64764</v>
      </c>
      <c r="AV40">
        <f t="shared" si="8"/>
        <v>2.8979499999999998</v>
      </c>
      <c r="AW40">
        <f t="shared" si="9"/>
        <v>4.7783138369999998</v>
      </c>
      <c r="AX40" s="9"/>
      <c r="AY40" s="22">
        <v>5.11169E-2</v>
      </c>
      <c r="AZ40" s="22">
        <v>72.127200000000002</v>
      </c>
      <c r="BA40" s="22">
        <v>-1.54205E-2</v>
      </c>
      <c r="BB40" s="22">
        <v>30</v>
      </c>
      <c r="BC40" s="22">
        <v>5.0991799999999997E-2</v>
      </c>
      <c r="BD40">
        <f t="shared" si="10"/>
        <v>15.420500000000001</v>
      </c>
      <c r="BE40">
        <f t="shared" si="11"/>
        <v>0.78824815645000001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7.0295500000000004</v>
      </c>
      <c r="I41" s="22">
        <v>-3.1149300000000001E-3</v>
      </c>
      <c r="J41" s="22">
        <v>31</v>
      </c>
      <c r="K41" s="22">
        <v>1.64307</v>
      </c>
      <c r="L41">
        <f t="shared" si="0"/>
        <v>3.1149300000000002</v>
      </c>
      <c r="M41">
        <f t="shared" si="1"/>
        <v>5.1204153819</v>
      </c>
      <c r="N41" s="9"/>
      <c r="O41" s="22">
        <v>5.6152300000000002E-2</v>
      </c>
      <c r="P41" s="22">
        <v>46.504800000000003</v>
      </c>
      <c r="Q41" s="22">
        <v>-1.6113300000000001E-2</v>
      </c>
      <c r="R41" s="22">
        <v>31</v>
      </c>
      <c r="S41" s="22">
        <v>5.5572499999999997E-2</v>
      </c>
      <c r="T41">
        <f t="shared" si="2"/>
        <v>16.113299999999999</v>
      </c>
      <c r="U41">
        <f t="shared" si="3"/>
        <v>0.90479885558999995</v>
      </c>
      <c r="X41" s="9"/>
      <c r="Y41" s="22">
        <v>1.6438299999999999</v>
      </c>
      <c r="Z41" s="22">
        <v>54.316400000000002</v>
      </c>
      <c r="AA41" s="22">
        <v>-3.14087E-3</v>
      </c>
      <c r="AB41" s="22">
        <v>31</v>
      </c>
      <c r="AC41" s="22">
        <v>1.64276</v>
      </c>
      <c r="AD41">
        <f t="shared" si="4"/>
        <v>3.1408700000000001</v>
      </c>
      <c r="AE41">
        <f t="shared" si="5"/>
        <v>5.1630563321</v>
      </c>
      <c r="AF41" s="9"/>
      <c r="AG41" s="22">
        <v>5.6152300000000002E-2</v>
      </c>
      <c r="AH41" s="22">
        <v>59.8611</v>
      </c>
      <c r="AI41" s="22">
        <v>-1.55914E-2</v>
      </c>
      <c r="AJ41" s="22">
        <v>31</v>
      </c>
      <c r="AK41" s="22">
        <v>5.5542000000000001E-2</v>
      </c>
      <c r="AL41">
        <f t="shared" si="6"/>
        <v>15.5914</v>
      </c>
      <c r="AM41">
        <f t="shared" si="7"/>
        <v>0.87549297022000006</v>
      </c>
      <c r="AP41" s="9"/>
      <c r="AQ41" s="22">
        <v>1.6438299999999999</v>
      </c>
      <c r="AR41" s="22">
        <v>66.860699999999994</v>
      </c>
      <c r="AS41" s="22">
        <v>-3.00476E-3</v>
      </c>
      <c r="AT41" s="22">
        <v>31</v>
      </c>
      <c r="AU41" s="22">
        <v>1.64307</v>
      </c>
      <c r="AV41">
        <f t="shared" si="8"/>
        <v>3.0047600000000001</v>
      </c>
      <c r="AW41">
        <f t="shared" si="9"/>
        <v>4.9393146308000002</v>
      </c>
      <c r="AX41" s="9"/>
      <c r="AY41" s="22">
        <v>5.6152300000000002E-2</v>
      </c>
      <c r="AZ41" s="22">
        <v>72.137299999999996</v>
      </c>
      <c r="BA41" s="22">
        <v>-1.5396099999999999E-2</v>
      </c>
      <c r="BB41" s="22">
        <v>31</v>
      </c>
      <c r="BC41" s="22">
        <v>5.5542000000000001E-2</v>
      </c>
      <c r="BD41">
        <f t="shared" si="10"/>
        <v>15.396099999999999</v>
      </c>
      <c r="BE41">
        <f t="shared" si="11"/>
        <v>0.86452642602999996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7.0396200000000002</v>
      </c>
      <c r="I42" s="22">
        <v>-3.2202099999999998E-3</v>
      </c>
      <c r="J42" s="22">
        <v>32</v>
      </c>
      <c r="K42" s="22">
        <v>1.63727</v>
      </c>
      <c r="L42">
        <f t="shared" si="0"/>
        <v>3.2202099999999998</v>
      </c>
      <c r="M42">
        <f t="shared" si="1"/>
        <v>5.2772479458999992</v>
      </c>
      <c r="N42" s="9"/>
      <c r="O42" s="22">
        <v>6.1187699999999998E-2</v>
      </c>
      <c r="P42" s="22">
        <v>46.514899999999997</v>
      </c>
      <c r="Q42" s="22">
        <v>-1.6079699999999999E-2</v>
      </c>
      <c r="R42" s="22">
        <v>32</v>
      </c>
      <c r="S42" s="22">
        <v>6.0607899999999999E-2</v>
      </c>
      <c r="T42">
        <f t="shared" si="2"/>
        <v>16.079699999999999</v>
      </c>
      <c r="U42">
        <f t="shared" si="3"/>
        <v>0.98387985968999991</v>
      </c>
      <c r="X42" s="9"/>
      <c r="Y42" s="22">
        <v>1.63879</v>
      </c>
      <c r="Z42" s="22">
        <v>54.326500000000003</v>
      </c>
      <c r="AA42" s="22">
        <v>-3.2485999999999999E-3</v>
      </c>
      <c r="AB42" s="22">
        <v>32</v>
      </c>
      <c r="AC42" s="22">
        <v>1.63818</v>
      </c>
      <c r="AD42">
        <f t="shared" si="4"/>
        <v>3.2485999999999997</v>
      </c>
      <c r="AE42">
        <f t="shared" si="5"/>
        <v>5.3237731939999993</v>
      </c>
      <c r="AF42" s="9"/>
      <c r="AG42" s="22">
        <v>6.1187699999999998E-2</v>
      </c>
      <c r="AH42" s="22">
        <v>59.871099999999998</v>
      </c>
      <c r="AI42" s="22">
        <v>-1.5554800000000001E-2</v>
      </c>
      <c r="AJ42" s="22">
        <v>32</v>
      </c>
      <c r="AK42" s="22">
        <v>6.0607899999999999E-2</v>
      </c>
      <c r="AL42">
        <f t="shared" si="6"/>
        <v>15.5548</v>
      </c>
      <c r="AM42">
        <f t="shared" si="7"/>
        <v>0.95176243595999999</v>
      </c>
      <c r="AP42" s="9"/>
      <c r="AQ42" s="22">
        <v>1.63879</v>
      </c>
      <c r="AR42" s="22">
        <v>66.870800000000003</v>
      </c>
      <c r="AS42" s="22">
        <v>-3.1100500000000001E-3</v>
      </c>
      <c r="AT42" s="22">
        <v>32</v>
      </c>
      <c r="AU42" s="22">
        <v>1.63818</v>
      </c>
      <c r="AV42">
        <f t="shared" si="8"/>
        <v>3.1100500000000002</v>
      </c>
      <c r="AW42">
        <f t="shared" si="9"/>
        <v>5.0967188395000003</v>
      </c>
      <c r="AX42" s="9"/>
      <c r="AY42" s="22">
        <v>6.1187699999999998E-2</v>
      </c>
      <c r="AZ42" s="22">
        <v>72.147400000000005</v>
      </c>
      <c r="BA42" s="22">
        <v>-1.53595E-2</v>
      </c>
      <c r="BB42" s="22">
        <v>32</v>
      </c>
      <c r="BC42" s="22">
        <v>6.0577400000000003E-2</v>
      </c>
      <c r="BD42">
        <f t="shared" si="10"/>
        <v>15.359500000000001</v>
      </c>
      <c r="BE42">
        <f t="shared" si="11"/>
        <v>0.93981247815000002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7.0496999999999996</v>
      </c>
      <c r="I43" s="22">
        <v>-3.3230600000000001E-3</v>
      </c>
      <c r="J43" s="22">
        <v>33</v>
      </c>
      <c r="K43" s="22">
        <v>1.6333</v>
      </c>
      <c r="L43">
        <f t="shared" si="0"/>
        <v>3.3230599999999999</v>
      </c>
      <c r="M43">
        <f t="shared" si="1"/>
        <v>5.4290825056000003</v>
      </c>
      <c r="N43" s="9"/>
      <c r="O43" s="22">
        <v>6.6223099999999993E-2</v>
      </c>
      <c r="P43" s="22">
        <v>46.524900000000002</v>
      </c>
      <c r="Q43" s="22">
        <v>-1.60492E-2</v>
      </c>
      <c r="R43" s="22">
        <v>33</v>
      </c>
      <c r="S43" s="22">
        <v>6.5704299999999993E-2</v>
      </c>
      <c r="T43">
        <f t="shared" si="2"/>
        <v>16.049199999999999</v>
      </c>
      <c r="U43">
        <f t="shared" si="3"/>
        <v>1.0628277765199998</v>
      </c>
      <c r="X43" s="9"/>
      <c r="Y43" s="22">
        <v>1.6337600000000001</v>
      </c>
      <c r="Z43" s="22">
        <v>54.336599999999997</v>
      </c>
      <c r="AA43" s="22">
        <v>-3.3544899999999999E-3</v>
      </c>
      <c r="AB43" s="22">
        <v>33</v>
      </c>
      <c r="AC43" s="22">
        <v>1.6333</v>
      </c>
      <c r="AD43">
        <f t="shared" si="4"/>
        <v>3.3544899999999997</v>
      </c>
      <c r="AE43">
        <f t="shared" si="5"/>
        <v>5.4804315823999996</v>
      </c>
      <c r="AF43" s="9"/>
      <c r="AG43" s="22">
        <v>6.6223099999999993E-2</v>
      </c>
      <c r="AH43" s="22">
        <v>59.8812</v>
      </c>
      <c r="AI43" s="22">
        <v>-1.5521200000000001E-2</v>
      </c>
      <c r="AJ43" s="22">
        <v>33</v>
      </c>
      <c r="AK43" s="22">
        <v>6.5643300000000002E-2</v>
      </c>
      <c r="AL43">
        <f t="shared" si="6"/>
        <v>15.5212</v>
      </c>
      <c r="AM43">
        <f t="shared" si="7"/>
        <v>1.0278619797199999</v>
      </c>
      <c r="AP43" s="9"/>
      <c r="AQ43" s="22">
        <v>1.6337600000000001</v>
      </c>
      <c r="AR43" s="22">
        <v>66.880799999999994</v>
      </c>
      <c r="AS43" s="22">
        <v>-3.2150299999999998E-3</v>
      </c>
      <c r="AT43" s="22">
        <v>33</v>
      </c>
      <c r="AU43" s="22">
        <v>1.633</v>
      </c>
      <c r="AV43">
        <f t="shared" si="8"/>
        <v>3.2150299999999996</v>
      </c>
      <c r="AW43">
        <f t="shared" si="9"/>
        <v>5.2525874127999996</v>
      </c>
      <c r="AX43" s="9"/>
      <c r="AY43" s="22">
        <v>6.6223099999999993E-2</v>
      </c>
      <c r="AZ43" s="22">
        <v>72.157499999999999</v>
      </c>
      <c r="BA43" s="22">
        <v>-1.5329000000000001E-2</v>
      </c>
      <c r="BB43" s="22">
        <v>33</v>
      </c>
      <c r="BC43" s="22">
        <v>6.5704299999999993E-2</v>
      </c>
      <c r="BD43">
        <f t="shared" si="10"/>
        <v>15.329000000000001</v>
      </c>
      <c r="BE43">
        <f t="shared" si="11"/>
        <v>1.0151338998999999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7.0597700000000003</v>
      </c>
      <c r="I44" s="22">
        <v>-3.4246799999999998E-3</v>
      </c>
      <c r="J44" s="22">
        <v>34</v>
      </c>
      <c r="K44" s="22">
        <v>1.6274999999999999</v>
      </c>
      <c r="L44">
        <f t="shared" si="0"/>
        <v>3.4246799999999999</v>
      </c>
      <c r="M44">
        <f t="shared" si="1"/>
        <v>5.5778448095999993</v>
      </c>
      <c r="N44" s="9"/>
      <c r="O44" s="22">
        <v>7.1258500000000002E-2</v>
      </c>
      <c r="P44" s="22">
        <v>46.534999999999997</v>
      </c>
      <c r="Q44" s="22">
        <v>-1.60217E-2</v>
      </c>
      <c r="R44" s="22">
        <v>34</v>
      </c>
      <c r="S44" s="22">
        <v>7.0648199999999994E-2</v>
      </c>
      <c r="T44">
        <f t="shared" si="2"/>
        <v>16.021699999999999</v>
      </c>
      <c r="U44">
        <f t="shared" si="3"/>
        <v>1.1416823094499999</v>
      </c>
      <c r="X44" s="9"/>
      <c r="Y44" s="22">
        <v>1.6287199999999999</v>
      </c>
      <c r="Z44" s="22">
        <v>54.346699999999998</v>
      </c>
      <c r="AA44" s="22">
        <v>-3.4588599999999998E-3</v>
      </c>
      <c r="AB44" s="22">
        <v>34</v>
      </c>
      <c r="AC44" s="22">
        <v>1.62781</v>
      </c>
      <c r="AD44">
        <f t="shared" si="4"/>
        <v>3.4588599999999996</v>
      </c>
      <c r="AE44">
        <f t="shared" si="5"/>
        <v>5.6335144591999988</v>
      </c>
      <c r="AF44" s="9"/>
      <c r="AG44" s="22">
        <v>7.1258500000000002E-2</v>
      </c>
      <c r="AH44" s="22">
        <v>59.891300000000001</v>
      </c>
      <c r="AI44" s="22">
        <v>-1.54877E-2</v>
      </c>
      <c r="AJ44" s="22">
        <v>34</v>
      </c>
      <c r="AK44" s="22">
        <v>7.0648199999999994E-2</v>
      </c>
      <c r="AL44">
        <f t="shared" si="6"/>
        <v>15.4877</v>
      </c>
      <c r="AM44">
        <f t="shared" si="7"/>
        <v>1.1036302704500001</v>
      </c>
      <c r="AP44" s="9"/>
      <c r="AQ44" s="22">
        <v>1.6287199999999999</v>
      </c>
      <c r="AR44" s="22">
        <v>66.890900000000002</v>
      </c>
      <c r="AS44" s="22">
        <v>-3.3187899999999998E-3</v>
      </c>
      <c r="AT44" s="22">
        <v>34</v>
      </c>
      <c r="AU44" s="22">
        <v>1.62781</v>
      </c>
      <c r="AV44">
        <f t="shared" si="8"/>
        <v>3.3187899999999999</v>
      </c>
      <c r="AW44">
        <f t="shared" si="9"/>
        <v>5.4053796487999994</v>
      </c>
      <c r="AX44" s="9"/>
      <c r="AY44" s="22">
        <v>7.1258500000000002E-2</v>
      </c>
      <c r="AZ44" s="22">
        <v>72.167500000000004</v>
      </c>
      <c r="BA44" s="22">
        <v>-1.5301500000000001E-2</v>
      </c>
      <c r="BB44" s="22">
        <v>34</v>
      </c>
      <c r="BC44" s="22">
        <v>7.07092E-2</v>
      </c>
      <c r="BD44">
        <f t="shared" si="10"/>
        <v>15.301500000000001</v>
      </c>
      <c r="BE44">
        <f t="shared" si="11"/>
        <v>1.09036193775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7.0698400000000001</v>
      </c>
      <c r="I45" s="22">
        <v>-3.5257000000000001E-3</v>
      </c>
      <c r="J45" s="22">
        <v>35</v>
      </c>
      <c r="K45" s="22">
        <v>1.62262</v>
      </c>
      <c r="L45">
        <f t="shared" si="0"/>
        <v>3.5257000000000001</v>
      </c>
      <c r="M45">
        <f t="shared" si="1"/>
        <v>5.724643833</v>
      </c>
      <c r="N45" s="9"/>
      <c r="O45" s="22">
        <v>7.6293899999999998E-2</v>
      </c>
      <c r="P45" s="22">
        <v>46.545099999999998</v>
      </c>
      <c r="Q45" s="22">
        <v>-1.5988200000000001E-2</v>
      </c>
      <c r="R45" s="22">
        <v>35</v>
      </c>
      <c r="S45" s="22">
        <v>7.5683600000000004E-2</v>
      </c>
      <c r="T45">
        <f t="shared" si="2"/>
        <v>15.988200000000001</v>
      </c>
      <c r="U45">
        <f t="shared" si="3"/>
        <v>1.2198021319800001</v>
      </c>
      <c r="X45" s="9"/>
      <c r="Y45" s="22">
        <v>1.6236900000000001</v>
      </c>
      <c r="Z45" s="22">
        <v>54.356699999999996</v>
      </c>
      <c r="AA45" s="22">
        <v>-3.5632300000000001E-3</v>
      </c>
      <c r="AB45" s="22">
        <v>35</v>
      </c>
      <c r="AC45" s="22">
        <v>1.6229199999999999</v>
      </c>
      <c r="AD45">
        <f t="shared" si="4"/>
        <v>3.5632300000000003</v>
      </c>
      <c r="AE45">
        <f t="shared" si="5"/>
        <v>5.7855809187000009</v>
      </c>
      <c r="AF45" s="9"/>
      <c r="AG45" s="22">
        <v>7.6293899999999998E-2</v>
      </c>
      <c r="AH45" s="22">
        <v>59.901299999999999</v>
      </c>
      <c r="AI45" s="22">
        <v>-1.5448E-2</v>
      </c>
      <c r="AJ45" s="22">
        <v>35</v>
      </c>
      <c r="AK45" s="22">
        <v>7.5744599999999995E-2</v>
      </c>
      <c r="AL45">
        <f t="shared" si="6"/>
        <v>15.448</v>
      </c>
      <c r="AM45">
        <f t="shared" si="7"/>
        <v>1.1785881672</v>
      </c>
      <c r="AP45" s="9"/>
      <c r="AQ45" s="22">
        <v>1.6236900000000001</v>
      </c>
      <c r="AR45" s="22">
        <v>66.900999999999996</v>
      </c>
      <c r="AS45" s="22">
        <v>-3.4207199999999999E-3</v>
      </c>
      <c r="AT45" s="22">
        <v>35</v>
      </c>
      <c r="AU45" s="22">
        <v>1.62354</v>
      </c>
      <c r="AV45">
        <f t="shared" si="8"/>
        <v>3.4207199999999998</v>
      </c>
      <c r="AW45">
        <f t="shared" si="9"/>
        <v>5.5541888567999997</v>
      </c>
      <c r="AX45" s="9"/>
      <c r="AY45" s="22">
        <v>7.6293899999999998E-2</v>
      </c>
      <c r="AZ45" s="22">
        <v>72.177599999999998</v>
      </c>
      <c r="BA45" s="22">
        <v>-1.5267899999999999E-2</v>
      </c>
      <c r="BB45" s="22">
        <v>35</v>
      </c>
      <c r="BC45" s="22">
        <v>7.5744599999999995E-2</v>
      </c>
      <c r="BD45">
        <f t="shared" si="10"/>
        <v>15.267899999999999</v>
      </c>
      <c r="BE45">
        <f t="shared" si="11"/>
        <v>1.1648476358099999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7.0799099999999999</v>
      </c>
      <c r="I46" s="22">
        <v>-3.62518E-3</v>
      </c>
      <c r="J46" s="22">
        <v>36</v>
      </c>
      <c r="K46" s="22">
        <v>1.6174299999999999</v>
      </c>
      <c r="L46">
        <f t="shared" si="0"/>
        <v>3.6251799999999998</v>
      </c>
      <c r="M46">
        <f t="shared" si="1"/>
        <v>5.8678976069999997</v>
      </c>
      <c r="N46" s="9"/>
      <c r="O46" s="22">
        <v>8.1329299999999993E-2</v>
      </c>
      <c r="P46" s="22">
        <v>46.555199999999999</v>
      </c>
      <c r="Q46" s="22">
        <v>-1.5960700000000001E-2</v>
      </c>
      <c r="R46" s="22">
        <v>36</v>
      </c>
      <c r="S46" s="22">
        <v>8.0871600000000002E-2</v>
      </c>
      <c r="T46">
        <f t="shared" si="2"/>
        <v>15.960700000000001</v>
      </c>
      <c r="U46">
        <f t="shared" si="3"/>
        <v>1.2980725585099999</v>
      </c>
      <c r="X46" s="9"/>
      <c r="Y46" s="22">
        <v>1.6186499999999999</v>
      </c>
      <c r="Z46" s="22">
        <v>54.366799999999998</v>
      </c>
      <c r="AA46" s="22">
        <v>-3.6663799999999999E-3</v>
      </c>
      <c r="AB46" s="22">
        <v>36</v>
      </c>
      <c r="AC46" s="22">
        <v>1.6180399999999999</v>
      </c>
      <c r="AD46">
        <f t="shared" si="4"/>
        <v>3.6663799999999998</v>
      </c>
      <c r="AE46">
        <f t="shared" si="5"/>
        <v>5.9345859869999993</v>
      </c>
      <c r="AF46" s="9"/>
      <c r="AG46" s="22">
        <v>8.1329299999999993E-2</v>
      </c>
      <c r="AH46" s="22">
        <v>59.9114</v>
      </c>
      <c r="AI46" s="22">
        <v>-1.5417500000000001E-2</v>
      </c>
      <c r="AJ46" s="22">
        <v>36</v>
      </c>
      <c r="AK46" s="22">
        <v>8.0780000000000005E-2</v>
      </c>
      <c r="AL46">
        <f t="shared" si="6"/>
        <v>15.4175</v>
      </c>
      <c r="AM46">
        <f t="shared" si="7"/>
        <v>1.25389448275</v>
      </c>
      <c r="AP46" s="9"/>
      <c r="AQ46" s="22">
        <v>1.6186499999999999</v>
      </c>
      <c r="AR46" s="22">
        <v>66.911000000000001</v>
      </c>
      <c r="AS46" s="22">
        <v>-3.5201999999999998E-3</v>
      </c>
      <c r="AT46" s="22">
        <v>36</v>
      </c>
      <c r="AU46" s="22">
        <v>1.61835</v>
      </c>
      <c r="AV46">
        <f t="shared" si="8"/>
        <v>3.5202</v>
      </c>
      <c r="AW46">
        <f t="shared" si="9"/>
        <v>5.6979717299999999</v>
      </c>
      <c r="AX46" s="9"/>
      <c r="AY46" s="22">
        <v>8.1329299999999993E-2</v>
      </c>
      <c r="AZ46" s="22">
        <v>72.187700000000007</v>
      </c>
      <c r="BA46" s="22">
        <v>-1.5240500000000001E-2</v>
      </c>
      <c r="BB46" s="22">
        <v>36</v>
      </c>
      <c r="BC46" s="22">
        <v>8.0749500000000002E-2</v>
      </c>
      <c r="BD46">
        <f t="shared" si="10"/>
        <v>15.240500000000001</v>
      </c>
      <c r="BE46">
        <f t="shared" si="11"/>
        <v>1.23949919665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7.0899799999999997</v>
      </c>
      <c r="I47" s="22">
        <v>-3.7228399999999998E-3</v>
      </c>
      <c r="J47" s="22">
        <v>37</v>
      </c>
      <c r="K47" s="22">
        <v>1.6125499999999999</v>
      </c>
      <c r="L47">
        <f t="shared" si="0"/>
        <v>3.7228399999999997</v>
      </c>
      <c r="M47">
        <f t="shared" si="1"/>
        <v>6.0072490807999994</v>
      </c>
      <c r="N47" s="9"/>
      <c r="O47" s="22">
        <v>8.6364700000000003E-2</v>
      </c>
      <c r="P47" s="22">
        <v>46.565199999999997</v>
      </c>
      <c r="Q47" s="22">
        <v>-1.59271E-2</v>
      </c>
      <c r="R47" s="22">
        <v>37</v>
      </c>
      <c r="S47" s="22">
        <v>8.5845900000000003E-2</v>
      </c>
      <c r="T47">
        <f t="shared" si="2"/>
        <v>15.927099999999999</v>
      </c>
      <c r="U47">
        <f t="shared" si="3"/>
        <v>1.37553921337</v>
      </c>
      <c r="X47" s="9"/>
      <c r="Y47" s="22">
        <v>1.6136200000000001</v>
      </c>
      <c r="Z47" s="22">
        <v>54.376899999999999</v>
      </c>
      <c r="AA47" s="22">
        <v>-3.7701399999999999E-3</v>
      </c>
      <c r="AB47" s="22">
        <v>37</v>
      </c>
      <c r="AC47" s="22">
        <v>1.6134599999999999</v>
      </c>
      <c r="AD47">
        <f t="shared" si="4"/>
        <v>3.77014</v>
      </c>
      <c r="AE47">
        <f t="shared" si="5"/>
        <v>6.0835733068</v>
      </c>
      <c r="AF47" s="9"/>
      <c r="AG47" s="22">
        <v>8.6364700000000003E-2</v>
      </c>
      <c r="AH47" s="22">
        <v>59.921500000000002</v>
      </c>
      <c r="AI47" s="22">
        <v>-1.5383900000000001E-2</v>
      </c>
      <c r="AJ47" s="22">
        <v>37</v>
      </c>
      <c r="AK47" s="22">
        <v>8.5784899999999997E-2</v>
      </c>
      <c r="AL47">
        <f t="shared" si="6"/>
        <v>15.383900000000001</v>
      </c>
      <c r="AM47">
        <f t="shared" si="7"/>
        <v>1.32862590833</v>
      </c>
      <c r="AP47" s="9"/>
      <c r="AQ47" s="22">
        <v>1.6136200000000001</v>
      </c>
      <c r="AR47" s="22">
        <v>66.921099999999996</v>
      </c>
      <c r="AS47" s="22">
        <v>-3.62E-3</v>
      </c>
      <c r="AT47" s="22">
        <v>37</v>
      </c>
      <c r="AU47" s="22">
        <v>1.6128499999999999</v>
      </c>
      <c r="AV47">
        <f t="shared" si="8"/>
        <v>3.62</v>
      </c>
      <c r="AW47">
        <f t="shared" si="9"/>
        <v>5.8413044000000003</v>
      </c>
      <c r="AX47" s="9"/>
      <c r="AY47" s="22">
        <v>8.6364700000000003E-2</v>
      </c>
      <c r="AZ47" s="22">
        <v>72.197699999999998</v>
      </c>
      <c r="BA47" s="22">
        <v>-1.5206900000000001E-2</v>
      </c>
      <c r="BB47" s="22">
        <v>37</v>
      </c>
      <c r="BC47" s="22">
        <v>8.5723900000000006E-2</v>
      </c>
      <c r="BD47">
        <f t="shared" si="10"/>
        <v>15.206900000000001</v>
      </c>
      <c r="BE47">
        <f t="shared" si="11"/>
        <v>1.3133393564300002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7.1000500000000004</v>
      </c>
      <c r="I48" s="22">
        <v>-3.8217199999999998E-3</v>
      </c>
      <c r="J48" s="22">
        <v>38</v>
      </c>
      <c r="K48" s="22">
        <v>1.6079699999999999</v>
      </c>
      <c r="L48">
        <f t="shared" si="0"/>
        <v>3.82172</v>
      </c>
      <c r="M48">
        <f t="shared" si="1"/>
        <v>6.1475423575999999</v>
      </c>
      <c r="N48" s="9"/>
      <c r="O48" s="22">
        <v>9.1400099999999998E-2</v>
      </c>
      <c r="P48" s="22">
        <v>46.575299999999999</v>
      </c>
      <c r="Q48" s="22">
        <v>-1.5902699999999999E-2</v>
      </c>
      <c r="R48" s="22">
        <v>38</v>
      </c>
      <c r="S48" s="22">
        <v>9.0820300000000007E-2</v>
      </c>
      <c r="T48">
        <f t="shared" si="2"/>
        <v>15.902699999999999</v>
      </c>
      <c r="U48">
        <f t="shared" si="3"/>
        <v>1.45350837027</v>
      </c>
      <c r="X48" s="9"/>
      <c r="Y48" s="22">
        <v>1.6085799999999999</v>
      </c>
      <c r="Z48" s="22">
        <v>54.386899999999997</v>
      </c>
      <c r="AA48" s="22">
        <v>-3.8732900000000002E-3</v>
      </c>
      <c r="AB48" s="22">
        <v>38</v>
      </c>
      <c r="AC48" s="22">
        <v>1.6076699999999999</v>
      </c>
      <c r="AD48">
        <f t="shared" si="4"/>
        <v>3.8732900000000003</v>
      </c>
      <c r="AE48">
        <f t="shared" si="5"/>
        <v>6.2304968281999997</v>
      </c>
      <c r="AF48" s="9"/>
      <c r="AG48" s="22">
        <v>9.1400099999999998E-2</v>
      </c>
      <c r="AH48" s="22">
        <v>59.931600000000003</v>
      </c>
      <c r="AI48" s="22">
        <v>-1.5347299999999999E-2</v>
      </c>
      <c r="AJ48" s="22">
        <v>38</v>
      </c>
      <c r="AK48" s="22">
        <v>9.0850799999999995E-2</v>
      </c>
      <c r="AL48">
        <f t="shared" si="6"/>
        <v>15.347299999999999</v>
      </c>
      <c r="AM48">
        <f t="shared" si="7"/>
        <v>1.4027447547299998</v>
      </c>
      <c r="AP48" s="9"/>
      <c r="AQ48" s="22">
        <v>1.6085799999999999</v>
      </c>
      <c r="AR48" s="22">
        <v>66.931200000000004</v>
      </c>
      <c r="AS48" s="22">
        <v>-3.7176499999999999E-3</v>
      </c>
      <c r="AT48" s="22">
        <v>38</v>
      </c>
      <c r="AU48" s="22">
        <v>1.6079699999999999</v>
      </c>
      <c r="AV48">
        <f t="shared" si="8"/>
        <v>3.7176499999999999</v>
      </c>
      <c r="AW48">
        <f t="shared" si="9"/>
        <v>5.9801374369999998</v>
      </c>
      <c r="AX48" s="9"/>
      <c r="AY48" s="22">
        <v>9.1400099999999998E-2</v>
      </c>
      <c r="AZ48" s="22">
        <v>72.207800000000006</v>
      </c>
      <c r="BA48" s="22">
        <v>-1.5170299999999999E-2</v>
      </c>
      <c r="BB48" s="22">
        <v>38</v>
      </c>
      <c r="BC48" s="22">
        <v>9.0911900000000004E-2</v>
      </c>
      <c r="BD48">
        <f t="shared" si="10"/>
        <v>15.170299999999999</v>
      </c>
      <c r="BE48">
        <f t="shared" si="11"/>
        <v>1.38656693703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7.1101200000000002</v>
      </c>
      <c r="I49" s="22">
        <v>-3.9193700000000001E-3</v>
      </c>
      <c r="J49" s="22">
        <v>39</v>
      </c>
      <c r="K49" s="22">
        <v>1.6033900000000001</v>
      </c>
      <c r="L49">
        <f t="shared" si="0"/>
        <v>3.9193700000000002</v>
      </c>
      <c r="M49">
        <f t="shared" si="1"/>
        <v>6.2849057635000003</v>
      </c>
      <c r="N49" s="9"/>
      <c r="O49" s="22">
        <v>9.6435499999999993E-2</v>
      </c>
      <c r="P49" s="22">
        <v>46.5854</v>
      </c>
      <c r="Q49" s="22">
        <v>-1.5862999999999999E-2</v>
      </c>
      <c r="R49" s="22">
        <v>39</v>
      </c>
      <c r="S49" s="22">
        <v>9.5825199999999999E-2</v>
      </c>
      <c r="T49">
        <f t="shared" si="2"/>
        <v>15.862999999999998</v>
      </c>
      <c r="U49">
        <f t="shared" si="3"/>
        <v>1.5297563364999998</v>
      </c>
      <c r="X49" s="9"/>
      <c r="Y49" s="22">
        <v>1.60355</v>
      </c>
      <c r="Z49" s="22">
        <v>54.396999999999998</v>
      </c>
      <c r="AA49" s="22">
        <v>-3.9733900000000003E-3</v>
      </c>
      <c r="AB49" s="22">
        <v>39</v>
      </c>
      <c r="AC49" s="22">
        <v>1.6033900000000001</v>
      </c>
      <c r="AD49">
        <f t="shared" si="4"/>
        <v>3.9733900000000002</v>
      </c>
      <c r="AE49">
        <f t="shared" si="5"/>
        <v>6.3715295345000005</v>
      </c>
      <c r="AF49" s="9"/>
      <c r="AG49" s="22">
        <v>9.6435499999999993E-2</v>
      </c>
      <c r="AH49" s="22">
        <v>59.941600000000001</v>
      </c>
      <c r="AI49" s="22">
        <v>-1.53259E-2</v>
      </c>
      <c r="AJ49" s="22">
        <v>39</v>
      </c>
      <c r="AK49" s="22">
        <v>9.5855700000000002E-2</v>
      </c>
      <c r="AL49">
        <f t="shared" si="6"/>
        <v>15.325900000000001</v>
      </c>
      <c r="AM49">
        <f t="shared" si="7"/>
        <v>1.47796082945</v>
      </c>
      <c r="AP49" s="9"/>
      <c r="AQ49" s="22">
        <v>1.60355</v>
      </c>
      <c r="AR49" s="22">
        <v>66.941299999999998</v>
      </c>
      <c r="AS49" s="22">
        <v>-3.81592E-3</v>
      </c>
      <c r="AT49" s="22">
        <v>39</v>
      </c>
      <c r="AU49" s="22">
        <v>1.6027800000000001</v>
      </c>
      <c r="AV49">
        <f t="shared" si="8"/>
        <v>3.8159200000000002</v>
      </c>
      <c r="AW49">
        <f t="shared" si="9"/>
        <v>6.1190185160000006</v>
      </c>
      <c r="AX49" s="9"/>
      <c r="AY49" s="22">
        <v>9.6435499999999993E-2</v>
      </c>
      <c r="AZ49" s="22">
        <v>72.2179</v>
      </c>
      <c r="BA49" s="22">
        <v>-1.51398E-2</v>
      </c>
      <c r="BB49" s="22">
        <v>39</v>
      </c>
      <c r="BC49" s="22">
        <v>9.5886200000000005E-2</v>
      </c>
      <c r="BD49">
        <f t="shared" si="10"/>
        <v>15.139799999999999</v>
      </c>
      <c r="BE49">
        <f t="shared" si="11"/>
        <v>1.4600141828999997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7.12019</v>
      </c>
      <c r="I50" s="22">
        <v>-4.0133699999999996E-3</v>
      </c>
      <c r="J50" s="22">
        <v>40</v>
      </c>
      <c r="K50" s="22">
        <v>1.5975999999999999</v>
      </c>
      <c r="L50">
        <f t="shared" si="0"/>
        <v>4.0133699999999992</v>
      </c>
      <c r="M50">
        <f t="shared" si="1"/>
        <v>6.4154120786999993</v>
      </c>
      <c r="N50" s="9"/>
      <c r="O50" s="22">
        <v>0.10147100000000001</v>
      </c>
      <c r="P50" s="22">
        <v>46.595399999999998</v>
      </c>
      <c r="Q50" s="22">
        <v>-1.5823400000000001E-2</v>
      </c>
      <c r="R50" s="22">
        <v>40</v>
      </c>
      <c r="S50" s="22">
        <v>0.10089099999999999</v>
      </c>
      <c r="T50">
        <f t="shared" si="2"/>
        <v>15.823400000000001</v>
      </c>
      <c r="U50">
        <f t="shared" si="3"/>
        <v>1.6056162214000003</v>
      </c>
      <c r="X50" s="9"/>
      <c r="Y50" s="22">
        <v>1.5985100000000001</v>
      </c>
      <c r="Z50" s="22">
        <v>54.4071</v>
      </c>
      <c r="AA50" s="22">
        <v>-4.0734899999999999E-3</v>
      </c>
      <c r="AB50" s="22">
        <v>40</v>
      </c>
      <c r="AC50" s="22">
        <v>1.5972900000000001</v>
      </c>
      <c r="AD50">
        <f t="shared" si="4"/>
        <v>4.0734899999999996</v>
      </c>
      <c r="AE50">
        <f t="shared" si="5"/>
        <v>6.5115144998999996</v>
      </c>
      <c r="AF50" s="9"/>
      <c r="AG50" s="22">
        <v>0.10147100000000001</v>
      </c>
      <c r="AH50" s="22">
        <v>59.951700000000002</v>
      </c>
      <c r="AI50" s="22">
        <v>-1.5307599999999999E-2</v>
      </c>
      <c r="AJ50" s="22">
        <v>40</v>
      </c>
      <c r="AK50" s="22">
        <v>0.10089099999999999</v>
      </c>
      <c r="AL50">
        <f t="shared" si="6"/>
        <v>15.307599999999999</v>
      </c>
      <c r="AM50">
        <f t="shared" si="7"/>
        <v>1.5532774796</v>
      </c>
      <c r="AP50" s="9"/>
      <c r="AQ50" s="22">
        <v>1.5985100000000001</v>
      </c>
      <c r="AR50" s="22">
        <v>66.951300000000003</v>
      </c>
      <c r="AS50" s="22">
        <v>-3.9141799999999997E-3</v>
      </c>
      <c r="AT50" s="22">
        <v>40</v>
      </c>
      <c r="AU50" s="22">
        <v>1.5979000000000001</v>
      </c>
      <c r="AV50">
        <f t="shared" si="8"/>
        <v>3.9141799999999995</v>
      </c>
      <c r="AW50">
        <f t="shared" si="9"/>
        <v>6.2568558718</v>
      </c>
      <c r="AX50" s="9"/>
      <c r="AY50" s="22">
        <v>0.10147100000000001</v>
      </c>
      <c r="AZ50" s="22">
        <v>72.227900000000005</v>
      </c>
      <c r="BA50" s="22">
        <v>-1.5109300000000001E-2</v>
      </c>
      <c r="BB50" s="22">
        <v>40</v>
      </c>
      <c r="BC50" s="22">
        <v>0.100922</v>
      </c>
      <c r="BD50">
        <f t="shared" si="10"/>
        <v>15.109300000000001</v>
      </c>
      <c r="BE50">
        <f t="shared" si="11"/>
        <v>1.5331557803000002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7.1302599999999998</v>
      </c>
      <c r="I51" s="22">
        <v>-4.1070600000000001E-3</v>
      </c>
      <c r="J51" s="22">
        <v>41</v>
      </c>
      <c r="K51" s="22">
        <v>1.5927100000000001</v>
      </c>
      <c r="L51">
        <f t="shared" si="0"/>
        <v>4.1070599999999997</v>
      </c>
      <c r="M51">
        <f t="shared" si="1"/>
        <v>6.5445179687999993</v>
      </c>
      <c r="N51" s="9"/>
      <c r="O51" s="22">
        <v>0.106506</v>
      </c>
      <c r="P51" s="22">
        <v>46.605499999999999</v>
      </c>
      <c r="Q51" s="22">
        <v>-1.57898E-2</v>
      </c>
      <c r="R51" s="22">
        <v>41</v>
      </c>
      <c r="S51" s="22">
        <v>0.105865</v>
      </c>
      <c r="T51">
        <f t="shared" si="2"/>
        <v>15.7898</v>
      </c>
      <c r="U51">
        <f t="shared" si="3"/>
        <v>1.6817084388000001</v>
      </c>
      <c r="X51" s="9"/>
      <c r="Y51" s="22">
        <v>1.59348</v>
      </c>
      <c r="Z51" s="22">
        <v>54.417099999999998</v>
      </c>
      <c r="AA51" s="22">
        <v>-4.1726699999999999E-3</v>
      </c>
      <c r="AB51" s="22">
        <v>41</v>
      </c>
      <c r="AC51" s="22">
        <v>1.5927100000000001</v>
      </c>
      <c r="AD51">
        <f t="shared" si="4"/>
        <v>4.1726700000000001</v>
      </c>
      <c r="AE51">
        <f t="shared" si="5"/>
        <v>6.6490661916000002</v>
      </c>
      <c r="AF51" s="9"/>
      <c r="AG51" s="22">
        <v>0.106506</v>
      </c>
      <c r="AH51" s="22">
        <v>59.961799999999997</v>
      </c>
      <c r="AI51" s="22">
        <v>-1.5286299999999999E-2</v>
      </c>
      <c r="AJ51" s="22">
        <v>41</v>
      </c>
      <c r="AK51" s="22">
        <v>0.105896</v>
      </c>
      <c r="AL51">
        <f t="shared" si="6"/>
        <v>15.286299999999999</v>
      </c>
      <c r="AM51">
        <f t="shared" si="7"/>
        <v>1.6280826678</v>
      </c>
      <c r="AP51" s="9"/>
      <c r="AQ51" s="22">
        <v>1.59348</v>
      </c>
      <c r="AR51" s="22">
        <v>66.961399999999998</v>
      </c>
      <c r="AS51" s="22">
        <v>-4.0103099999999996E-3</v>
      </c>
      <c r="AT51" s="22">
        <v>41</v>
      </c>
      <c r="AU51" s="22">
        <v>1.5930200000000001</v>
      </c>
      <c r="AV51">
        <f t="shared" si="8"/>
        <v>4.0103099999999996</v>
      </c>
      <c r="AW51">
        <f t="shared" si="9"/>
        <v>6.3903487787999991</v>
      </c>
      <c r="AX51" s="9"/>
      <c r="AY51" s="22">
        <v>0.106506</v>
      </c>
      <c r="AZ51" s="22">
        <v>72.238</v>
      </c>
      <c r="BA51" s="22">
        <v>-1.5081799999999999E-2</v>
      </c>
      <c r="BB51" s="22">
        <v>41</v>
      </c>
      <c r="BC51" s="22">
        <v>0.105988</v>
      </c>
      <c r="BD51">
        <f t="shared" si="10"/>
        <v>15.081799999999999</v>
      </c>
      <c r="BE51">
        <f t="shared" si="11"/>
        <v>1.6063021907999999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7.1403299999999996</v>
      </c>
      <c r="I52" s="22">
        <v>-4.2019700000000002E-3</v>
      </c>
      <c r="J52" s="22">
        <v>42</v>
      </c>
      <c r="K52" s="22">
        <v>1.5878300000000001</v>
      </c>
      <c r="L52">
        <f t="shared" si="0"/>
        <v>4.2019700000000002</v>
      </c>
      <c r="M52">
        <f t="shared" si="1"/>
        <v>6.6745772268000003</v>
      </c>
      <c r="N52" s="9"/>
      <c r="O52" s="22">
        <v>0.111542</v>
      </c>
      <c r="P52" s="22">
        <v>46.615600000000001</v>
      </c>
      <c r="Q52" s="22">
        <v>-1.5753199999999998E-2</v>
      </c>
      <c r="R52" s="22">
        <v>42</v>
      </c>
      <c r="S52" s="22">
        <v>0.110931</v>
      </c>
      <c r="T52">
        <f t="shared" si="2"/>
        <v>15.753199999999998</v>
      </c>
      <c r="U52">
        <f t="shared" si="3"/>
        <v>1.7571434343999999</v>
      </c>
      <c r="X52" s="9"/>
      <c r="Y52" s="22">
        <v>1.5884400000000001</v>
      </c>
      <c r="Z52" s="22">
        <v>54.427199999999999</v>
      </c>
      <c r="AA52" s="22">
        <v>-4.2721599999999997E-3</v>
      </c>
      <c r="AB52" s="22">
        <v>42</v>
      </c>
      <c r="AC52" s="22">
        <v>1.5878300000000001</v>
      </c>
      <c r="AD52">
        <f t="shared" si="4"/>
        <v>4.2721599999999995</v>
      </c>
      <c r="AE52">
        <f t="shared" si="5"/>
        <v>6.7860698303999998</v>
      </c>
      <c r="AF52" s="9"/>
      <c r="AG52" s="22">
        <v>0.111542</v>
      </c>
      <c r="AH52" s="22">
        <v>59.971800000000002</v>
      </c>
      <c r="AI52" s="22">
        <v>-1.5258799999999999E-2</v>
      </c>
      <c r="AJ52" s="22">
        <v>42</v>
      </c>
      <c r="AK52" s="22">
        <v>0.110931</v>
      </c>
      <c r="AL52">
        <f t="shared" si="6"/>
        <v>15.258799999999999</v>
      </c>
      <c r="AM52">
        <f t="shared" si="7"/>
        <v>1.7019970696</v>
      </c>
      <c r="AP52" s="9"/>
      <c r="AQ52" s="22">
        <v>1.5884400000000001</v>
      </c>
      <c r="AR52" s="22">
        <v>66.971500000000006</v>
      </c>
      <c r="AS52" s="22">
        <v>-4.1055299999999996E-3</v>
      </c>
      <c r="AT52" s="22">
        <v>42</v>
      </c>
      <c r="AU52" s="22">
        <v>1.58752</v>
      </c>
      <c r="AV52">
        <f t="shared" si="8"/>
        <v>4.1055299999999999</v>
      </c>
      <c r="AW52">
        <f t="shared" si="9"/>
        <v>6.5213880731999998</v>
      </c>
      <c r="AX52" s="9"/>
      <c r="AY52" s="22">
        <v>0.111542</v>
      </c>
      <c r="AZ52" s="22">
        <v>72.248099999999994</v>
      </c>
      <c r="BA52" s="22">
        <v>-1.50513E-2</v>
      </c>
      <c r="BB52" s="22">
        <v>42</v>
      </c>
      <c r="BC52" s="22">
        <v>0.110931</v>
      </c>
      <c r="BD52">
        <f t="shared" si="10"/>
        <v>15.051299999999999</v>
      </c>
      <c r="BE52">
        <f t="shared" si="11"/>
        <v>1.6788521046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7.1504099999999999</v>
      </c>
      <c r="I53" s="22">
        <v>-4.2956499999999998E-3</v>
      </c>
      <c r="J53" s="22">
        <v>43</v>
      </c>
      <c r="K53" s="22">
        <v>1.58264</v>
      </c>
      <c r="L53">
        <f t="shared" si="0"/>
        <v>4.2956500000000002</v>
      </c>
      <c r="M53">
        <f t="shared" si="1"/>
        <v>6.8017322099999999</v>
      </c>
      <c r="N53" s="9"/>
      <c r="O53" s="22">
        <v>0.116577</v>
      </c>
      <c r="P53" s="22">
        <v>46.625599999999999</v>
      </c>
      <c r="Q53" s="22">
        <v>-1.5713499999999998E-2</v>
      </c>
      <c r="R53" s="22">
        <v>43</v>
      </c>
      <c r="S53" s="22">
        <v>0.115906</v>
      </c>
      <c r="T53">
        <f t="shared" si="2"/>
        <v>15.713499999999998</v>
      </c>
      <c r="U53">
        <f t="shared" si="3"/>
        <v>1.8318326894999997</v>
      </c>
      <c r="X53" s="9"/>
      <c r="Y53" s="22">
        <v>1.5833999999999999</v>
      </c>
      <c r="Z53" s="22">
        <v>54.4373</v>
      </c>
      <c r="AA53" s="22">
        <v>-4.3689000000000002E-3</v>
      </c>
      <c r="AB53" s="22">
        <v>43</v>
      </c>
      <c r="AC53" s="22">
        <v>1.58203</v>
      </c>
      <c r="AD53">
        <f t="shared" si="4"/>
        <v>4.3689</v>
      </c>
      <c r="AE53">
        <f t="shared" si="5"/>
        <v>6.9177162599999997</v>
      </c>
      <c r="AF53" s="9"/>
      <c r="AG53" s="22">
        <v>0.116577</v>
      </c>
      <c r="AH53" s="22">
        <v>59.981900000000003</v>
      </c>
      <c r="AI53" s="22">
        <v>-1.5225199999999999E-2</v>
      </c>
      <c r="AJ53" s="22">
        <v>43</v>
      </c>
      <c r="AK53" s="22">
        <v>0.115967</v>
      </c>
      <c r="AL53">
        <f t="shared" si="6"/>
        <v>15.225199999999999</v>
      </c>
      <c r="AM53">
        <f t="shared" si="7"/>
        <v>1.7749081404</v>
      </c>
      <c r="AP53" s="9"/>
      <c r="AQ53" s="22">
        <v>1.5833999999999999</v>
      </c>
      <c r="AR53" s="22">
        <v>66.981499999999997</v>
      </c>
      <c r="AS53" s="22">
        <v>-4.1998299999999999E-3</v>
      </c>
      <c r="AT53" s="22">
        <v>43</v>
      </c>
      <c r="AU53" s="22">
        <v>1.5829500000000001</v>
      </c>
      <c r="AV53">
        <f t="shared" si="8"/>
        <v>4.1998299999999995</v>
      </c>
      <c r="AW53">
        <f t="shared" si="9"/>
        <v>6.6500108219999987</v>
      </c>
      <c r="AX53" s="9"/>
      <c r="AY53" s="22">
        <v>0.116577</v>
      </c>
      <c r="AZ53" s="22">
        <v>72.258200000000002</v>
      </c>
      <c r="BA53" s="22">
        <v>-1.5020800000000001E-2</v>
      </c>
      <c r="BB53" s="22">
        <v>43</v>
      </c>
      <c r="BC53" s="22">
        <v>0.11602800000000001</v>
      </c>
      <c r="BD53">
        <f t="shared" si="10"/>
        <v>15.020800000000001</v>
      </c>
      <c r="BE53">
        <f t="shared" si="11"/>
        <v>1.7510798016000002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7.1604799999999997</v>
      </c>
      <c r="I54" s="22">
        <v>-4.3899500000000001E-3</v>
      </c>
      <c r="J54" s="22">
        <v>44</v>
      </c>
      <c r="K54" s="22">
        <v>1.5777600000000001</v>
      </c>
      <c r="L54">
        <f t="shared" si="0"/>
        <v>4.3899499999999998</v>
      </c>
      <c r="M54">
        <f t="shared" si="1"/>
        <v>6.9289653815000003</v>
      </c>
      <c r="N54" s="9"/>
      <c r="O54" s="22">
        <v>0.121613</v>
      </c>
      <c r="P54" s="22">
        <v>46.6357</v>
      </c>
      <c r="Q54" s="22">
        <v>-1.5682999999999999E-2</v>
      </c>
      <c r="R54" s="22">
        <v>44</v>
      </c>
      <c r="S54" s="22">
        <v>0.121063</v>
      </c>
      <c r="T54">
        <f t="shared" si="2"/>
        <v>15.683</v>
      </c>
      <c r="U54">
        <f t="shared" si="3"/>
        <v>1.9072566790000001</v>
      </c>
      <c r="X54" s="9"/>
      <c r="Y54" s="22">
        <v>1.5783700000000001</v>
      </c>
      <c r="Z54" s="22">
        <v>54.447400000000002</v>
      </c>
      <c r="AA54" s="22">
        <v>-4.4647200000000001E-3</v>
      </c>
      <c r="AB54" s="22">
        <v>44</v>
      </c>
      <c r="AC54" s="22">
        <v>1.57745</v>
      </c>
      <c r="AD54">
        <f t="shared" si="4"/>
        <v>4.4647199999999998</v>
      </c>
      <c r="AE54">
        <f t="shared" si="5"/>
        <v>7.0469801063999995</v>
      </c>
      <c r="AF54" s="9"/>
      <c r="AG54" s="22">
        <v>0.121613</v>
      </c>
      <c r="AH54" s="22">
        <v>59.991999999999997</v>
      </c>
      <c r="AI54" s="22">
        <v>-1.5191700000000001E-2</v>
      </c>
      <c r="AJ54" s="22">
        <v>44</v>
      </c>
      <c r="AK54" s="22">
        <v>0.121033</v>
      </c>
      <c r="AL54">
        <f t="shared" si="6"/>
        <v>15.191700000000001</v>
      </c>
      <c r="AM54">
        <f t="shared" si="7"/>
        <v>1.8475082121000002</v>
      </c>
      <c r="AP54" s="9"/>
      <c r="AQ54" s="22">
        <v>1.5783700000000001</v>
      </c>
      <c r="AR54" s="22">
        <v>66.991600000000005</v>
      </c>
      <c r="AS54" s="22">
        <v>-4.2938200000000003E-3</v>
      </c>
      <c r="AT54" s="22">
        <v>44</v>
      </c>
      <c r="AU54" s="22">
        <v>1.5777600000000001</v>
      </c>
      <c r="AV54">
        <f t="shared" si="8"/>
        <v>4.2938200000000002</v>
      </c>
      <c r="AW54">
        <f t="shared" si="9"/>
        <v>6.7772366734000009</v>
      </c>
      <c r="AX54" s="9"/>
      <c r="AY54" s="22">
        <v>0.121613</v>
      </c>
      <c r="AZ54" s="22">
        <v>72.268199999999993</v>
      </c>
      <c r="BA54" s="22">
        <v>-1.49902E-2</v>
      </c>
      <c r="BB54" s="22">
        <v>44</v>
      </c>
      <c r="BC54" s="22">
        <v>0.12109399999999999</v>
      </c>
      <c r="BD54">
        <f t="shared" si="10"/>
        <v>14.9902</v>
      </c>
      <c r="BE54">
        <f t="shared" si="11"/>
        <v>1.8230031925999999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7.1705500000000004</v>
      </c>
      <c r="I55" s="22">
        <v>-4.4830299999999998E-3</v>
      </c>
      <c r="J55" s="22">
        <v>45</v>
      </c>
      <c r="K55" s="22">
        <v>1.5728800000000001</v>
      </c>
      <c r="L55">
        <f t="shared" si="0"/>
        <v>4.4830299999999994</v>
      </c>
      <c r="M55">
        <f t="shared" si="1"/>
        <v>7.0532855898999989</v>
      </c>
      <c r="N55" s="9"/>
      <c r="O55" s="22">
        <v>0.12664800000000001</v>
      </c>
      <c r="P55" s="22">
        <v>46.645800000000001</v>
      </c>
      <c r="Q55" s="22">
        <v>-1.56525E-2</v>
      </c>
      <c r="R55" s="22">
        <v>45</v>
      </c>
      <c r="S55" s="22">
        <v>0.12597700000000001</v>
      </c>
      <c r="T55">
        <f t="shared" si="2"/>
        <v>15.6525</v>
      </c>
      <c r="U55">
        <f t="shared" si="3"/>
        <v>1.98235782</v>
      </c>
      <c r="X55" s="9"/>
      <c r="Y55" s="22">
        <v>1.5733299999999999</v>
      </c>
      <c r="Z55" s="22">
        <v>54.4574</v>
      </c>
      <c r="AA55" s="22">
        <v>-4.56055E-3</v>
      </c>
      <c r="AB55" s="22">
        <v>45</v>
      </c>
      <c r="AC55" s="22">
        <v>1.5722700000000001</v>
      </c>
      <c r="AD55">
        <f t="shared" si="4"/>
        <v>4.5605500000000001</v>
      </c>
      <c r="AE55">
        <f t="shared" si="5"/>
        <v>7.1752501314999995</v>
      </c>
      <c r="AF55" s="9"/>
      <c r="AG55" s="22">
        <v>0.12664800000000001</v>
      </c>
      <c r="AH55" s="22">
        <v>60.002099999999999</v>
      </c>
      <c r="AI55" s="22">
        <v>-1.5158100000000001E-2</v>
      </c>
      <c r="AJ55" s="22">
        <v>45</v>
      </c>
      <c r="AK55" s="22">
        <v>0.12606800000000001</v>
      </c>
      <c r="AL55">
        <f t="shared" si="6"/>
        <v>15.158100000000001</v>
      </c>
      <c r="AM55">
        <f t="shared" si="7"/>
        <v>1.9197430488000002</v>
      </c>
      <c r="AP55" s="9"/>
      <c r="AQ55" s="22">
        <v>1.5733299999999999</v>
      </c>
      <c r="AR55" s="22">
        <v>67.0017</v>
      </c>
      <c r="AS55" s="22">
        <v>-4.3872099999999999E-3</v>
      </c>
      <c r="AT55" s="22">
        <v>45</v>
      </c>
      <c r="AU55" s="22">
        <v>1.57257</v>
      </c>
      <c r="AV55">
        <f t="shared" si="8"/>
        <v>4.3872099999999996</v>
      </c>
      <c r="AW55">
        <f t="shared" si="9"/>
        <v>6.9025291092999987</v>
      </c>
      <c r="AX55" s="9"/>
      <c r="AY55" s="22">
        <v>0.12664800000000001</v>
      </c>
      <c r="AZ55" s="22">
        <v>72.278300000000002</v>
      </c>
      <c r="BA55" s="22">
        <v>-1.49628E-2</v>
      </c>
      <c r="BB55" s="22">
        <v>45</v>
      </c>
      <c r="BC55" s="22">
        <v>0.12606800000000001</v>
      </c>
      <c r="BD55">
        <f t="shared" si="10"/>
        <v>14.9628</v>
      </c>
      <c r="BE55">
        <f t="shared" si="11"/>
        <v>1.8950086944000002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7.1806200000000002</v>
      </c>
      <c r="I56" s="22">
        <v>-4.5739700000000001E-3</v>
      </c>
      <c r="J56" s="22">
        <v>46</v>
      </c>
      <c r="K56" s="22">
        <v>1.56708</v>
      </c>
      <c r="L56">
        <f t="shared" si="0"/>
        <v>4.5739700000000001</v>
      </c>
      <c r="M56">
        <f t="shared" si="1"/>
        <v>7.1733571510000003</v>
      </c>
      <c r="N56" s="9"/>
      <c r="O56" s="22">
        <v>0.13168299999999999</v>
      </c>
      <c r="P56" s="22">
        <v>46.655900000000003</v>
      </c>
      <c r="Q56" s="22">
        <v>-1.56189E-2</v>
      </c>
      <c r="R56" s="22">
        <v>46</v>
      </c>
      <c r="S56" s="22">
        <v>0.131165</v>
      </c>
      <c r="T56">
        <f t="shared" si="2"/>
        <v>15.6189</v>
      </c>
      <c r="U56">
        <f t="shared" si="3"/>
        <v>2.0567436086999997</v>
      </c>
      <c r="X56" s="9"/>
      <c r="Y56" s="22">
        <v>1.5683</v>
      </c>
      <c r="Z56" s="22">
        <v>54.467500000000001</v>
      </c>
      <c r="AA56" s="22">
        <v>-4.6530199999999999E-3</v>
      </c>
      <c r="AB56" s="22">
        <v>46</v>
      </c>
      <c r="AC56" s="22">
        <v>1.56708</v>
      </c>
      <c r="AD56">
        <f t="shared" si="4"/>
        <v>4.6530199999999997</v>
      </c>
      <c r="AE56">
        <f t="shared" si="5"/>
        <v>7.2973312659999996</v>
      </c>
      <c r="AF56" s="9"/>
      <c r="AG56" s="22">
        <v>0.13168299999999999</v>
      </c>
      <c r="AH56" s="22">
        <v>60.012099999999997</v>
      </c>
      <c r="AI56" s="22">
        <v>-1.51276E-2</v>
      </c>
      <c r="AJ56" s="22">
        <v>46</v>
      </c>
      <c r="AK56" s="22">
        <v>0.131134</v>
      </c>
      <c r="AL56">
        <f t="shared" si="6"/>
        <v>15.127599999999999</v>
      </c>
      <c r="AM56">
        <f t="shared" si="7"/>
        <v>1.9920477507999999</v>
      </c>
      <c r="AP56" s="9"/>
      <c r="AQ56" s="22">
        <v>1.5683</v>
      </c>
      <c r="AR56" s="22">
        <v>67.011799999999994</v>
      </c>
      <c r="AS56" s="22">
        <v>-4.4772299999999996E-3</v>
      </c>
      <c r="AT56" s="22">
        <v>46</v>
      </c>
      <c r="AU56" s="22">
        <v>1.56769</v>
      </c>
      <c r="AV56">
        <f t="shared" si="8"/>
        <v>4.4772299999999996</v>
      </c>
      <c r="AW56">
        <f t="shared" si="9"/>
        <v>7.0216398089999998</v>
      </c>
      <c r="AX56" s="9"/>
      <c r="AY56" s="22">
        <v>0.13168299999999999</v>
      </c>
      <c r="AZ56" s="22">
        <v>72.288399999999996</v>
      </c>
      <c r="BA56" s="22">
        <v>-1.49353E-2</v>
      </c>
      <c r="BB56" s="22">
        <v>46</v>
      </c>
      <c r="BC56" s="22">
        <v>0.131134</v>
      </c>
      <c r="BD56">
        <f t="shared" si="10"/>
        <v>14.9353</v>
      </c>
      <c r="BE56">
        <f t="shared" si="11"/>
        <v>1.9667251098999998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7.19069</v>
      </c>
      <c r="I57" s="22">
        <v>-4.6630899999999999E-3</v>
      </c>
      <c r="J57" s="22">
        <v>47</v>
      </c>
      <c r="K57" s="22">
        <v>1.56219</v>
      </c>
      <c r="L57">
        <f t="shared" si="0"/>
        <v>4.6630899999999995</v>
      </c>
      <c r="M57">
        <f t="shared" si="1"/>
        <v>7.2896220733999995</v>
      </c>
      <c r="N57" s="9"/>
      <c r="O57" s="22">
        <v>0.13671900000000001</v>
      </c>
      <c r="P57" s="22">
        <v>46.665900000000001</v>
      </c>
      <c r="Q57" s="22">
        <v>-1.55823E-2</v>
      </c>
      <c r="R57" s="22">
        <v>47</v>
      </c>
      <c r="S57" s="22">
        <v>0.13616900000000001</v>
      </c>
      <c r="T57">
        <f t="shared" si="2"/>
        <v>15.5823</v>
      </c>
      <c r="U57">
        <f t="shared" si="3"/>
        <v>2.1303964737000003</v>
      </c>
      <c r="X57" s="9"/>
      <c r="Y57" s="22">
        <v>1.5632600000000001</v>
      </c>
      <c r="Z57" s="22">
        <v>54.477600000000002</v>
      </c>
      <c r="AA57" s="22">
        <v>-4.7463999999999996E-3</v>
      </c>
      <c r="AB57" s="22">
        <v>47</v>
      </c>
      <c r="AC57" s="22">
        <v>1.56189</v>
      </c>
      <c r="AD57">
        <f t="shared" si="4"/>
        <v>4.7463999999999995</v>
      </c>
      <c r="AE57">
        <f t="shared" si="5"/>
        <v>7.419857264</v>
      </c>
      <c r="AF57" s="9"/>
      <c r="AG57" s="22">
        <v>0.13671900000000001</v>
      </c>
      <c r="AH57" s="22">
        <v>60.022199999999998</v>
      </c>
      <c r="AI57" s="22">
        <v>-1.5084800000000001E-2</v>
      </c>
      <c r="AJ57" s="22">
        <v>47</v>
      </c>
      <c r="AK57" s="22">
        <v>0.13610800000000001</v>
      </c>
      <c r="AL57">
        <f t="shared" si="6"/>
        <v>15.084800000000001</v>
      </c>
      <c r="AM57">
        <f t="shared" si="7"/>
        <v>2.0623787712000001</v>
      </c>
      <c r="AP57" s="9"/>
      <c r="AQ57" s="22">
        <v>1.5632600000000001</v>
      </c>
      <c r="AR57" s="22">
        <v>67.021799999999999</v>
      </c>
      <c r="AS57" s="22">
        <v>-4.5657299999999996E-3</v>
      </c>
      <c r="AT57" s="22">
        <v>47</v>
      </c>
      <c r="AU57" s="22">
        <v>1.5625</v>
      </c>
      <c r="AV57">
        <f t="shared" si="8"/>
        <v>4.5657299999999994</v>
      </c>
      <c r="AW57">
        <f t="shared" si="9"/>
        <v>7.1374230797999996</v>
      </c>
      <c r="AX57" s="9"/>
      <c r="AY57" s="22">
        <v>0.13671900000000001</v>
      </c>
      <c r="AZ57" s="22">
        <v>72.298400000000001</v>
      </c>
      <c r="BA57" s="22">
        <v>-1.49109E-2</v>
      </c>
      <c r="BB57" s="22">
        <v>47</v>
      </c>
      <c r="BC57" s="22">
        <v>0.13616900000000001</v>
      </c>
      <c r="BD57">
        <f t="shared" si="10"/>
        <v>14.9109</v>
      </c>
      <c r="BE57">
        <f t="shared" si="11"/>
        <v>2.0386033371000001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7.2007599999999998</v>
      </c>
      <c r="I58" s="22">
        <v>-4.7521999999999998E-3</v>
      </c>
      <c r="J58" s="22">
        <v>48</v>
      </c>
      <c r="K58" s="22">
        <v>1.55762</v>
      </c>
      <c r="L58">
        <f t="shared" si="0"/>
        <v>4.7522000000000002</v>
      </c>
      <c r="M58">
        <f t="shared" si="1"/>
        <v>7.4050206059999999</v>
      </c>
      <c r="N58" s="9"/>
      <c r="O58" s="22">
        <v>0.14175399999999999</v>
      </c>
      <c r="P58" s="22">
        <v>46.676000000000002</v>
      </c>
      <c r="Q58" s="22">
        <v>-1.55487E-2</v>
      </c>
      <c r="R58" s="22">
        <v>48</v>
      </c>
      <c r="S58" s="22">
        <v>0.141205</v>
      </c>
      <c r="T58">
        <f t="shared" si="2"/>
        <v>15.5487</v>
      </c>
      <c r="U58">
        <f t="shared" si="3"/>
        <v>2.2040904198</v>
      </c>
      <c r="X58" s="9"/>
      <c r="Y58" s="22">
        <v>1.55823</v>
      </c>
      <c r="Z58" s="22">
        <v>54.4876</v>
      </c>
      <c r="AA58" s="22">
        <v>-4.8382599999999996E-3</v>
      </c>
      <c r="AB58" s="22">
        <v>48</v>
      </c>
      <c r="AC58" s="22">
        <v>1.55731</v>
      </c>
      <c r="AD58">
        <f t="shared" si="4"/>
        <v>4.83826</v>
      </c>
      <c r="AE58">
        <f t="shared" si="5"/>
        <v>7.5391218797999997</v>
      </c>
      <c r="AF58" s="9"/>
      <c r="AG58" s="22">
        <v>0.14175399999999999</v>
      </c>
      <c r="AH58" s="22">
        <v>60.032299999999999</v>
      </c>
      <c r="AI58" s="22">
        <v>-1.5036000000000001E-2</v>
      </c>
      <c r="AJ58" s="22">
        <v>48</v>
      </c>
      <c r="AK58" s="22">
        <v>0.14114399999999999</v>
      </c>
      <c r="AL58">
        <f t="shared" si="6"/>
        <v>15.036000000000001</v>
      </c>
      <c r="AM58">
        <f t="shared" si="7"/>
        <v>2.1314131440000001</v>
      </c>
      <c r="AP58" s="9"/>
      <c r="AQ58" s="22">
        <v>1.55823</v>
      </c>
      <c r="AR58" s="22">
        <v>67.031899999999993</v>
      </c>
      <c r="AS58" s="22">
        <v>-4.6533199999999999E-3</v>
      </c>
      <c r="AT58" s="22">
        <v>48</v>
      </c>
      <c r="AU58" s="22">
        <v>1.55701</v>
      </c>
      <c r="AV58">
        <f t="shared" si="8"/>
        <v>4.6533199999999999</v>
      </c>
      <c r="AW58">
        <f t="shared" si="9"/>
        <v>7.2509428236</v>
      </c>
      <c r="AX58" s="9"/>
      <c r="AY58" s="22">
        <v>0.14175399999999999</v>
      </c>
      <c r="AZ58" s="22">
        <v>72.308499999999995</v>
      </c>
      <c r="BA58" s="22">
        <v>-1.48895E-2</v>
      </c>
      <c r="BB58" s="22">
        <v>48</v>
      </c>
      <c r="BC58" s="22">
        <v>0.141235</v>
      </c>
      <c r="BD58">
        <f t="shared" si="10"/>
        <v>14.8895</v>
      </c>
      <c r="BE58">
        <f t="shared" si="11"/>
        <v>2.1106461830000001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7.2108299999999996</v>
      </c>
      <c r="I59" s="22">
        <v>-4.84039E-3</v>
      </c>
      <c r="J59" s="22">
        <v>49</v>
      </c>
      <c r="K59" s="22">
        <v>1.5521199999999999</v>
      </c>
      <c r="L59">
        <f t="shared" si="0"/>
        <v>4.8403900000000002</v>
      </c>
      <c r="M59">
        <f t="shared" si="1"/>
        <v>7.5180453441000008</v>
      </c>
      <c r="N59" s="9"/>
      <c r="O59" s="22">
        <v>0.14679</v>
      </c>
      <c r="P59" s="22">
        <v>46.686100000000003</v>
      </c>
      <c r="Q59" s="22">
        <v>-1.5512099999999999E-2</v>
      </c>
      <c r="R59" s="22">
        <v>49</v>
      </c>
      <c r="S59" s="22">
        <v>0.14621000000000001</v>
      </c>
      <c r="T59">
        <f t="shared" si="2"/>
        <v>15.512099999999998</v>
      </c>
      <c r="U59">
        <f t="shared" si="3"/>
        <v>2.2770211589999998</v>
      </c>
      <c r="X59" s="9"/>
      <c r="Y59" s="22">
        <v>1.5531900000000001</v>
      </c>
      <c r="Z59" s="22">
        <v>54.497700000000002</v>
      </c>
      <c r="AA59" s="22">
        <v>-4.9307300000000004E-3</v>
      </c>
      <c r="AB59" s="22">
        <v>49</v>
      </c>
      <c r="AC59" s="22">
        <v>1.5527299999999999</v>
      </c>
      <c r="AD59">
        <f t="shared" si="4"/>
        <v>4.9307300000000005</v>
      </c>
      <c r="AE59">
        <f t="shared" si="5"/>
        <v>7.6583605287000012</v>
      </c>
      <c r="AF59" s="9"/>
      <c r="AG59" s="22">
        <v>0.14679</v>
      </c>
      <c r="AH59" s="22">
        <v>60.042299999999997</v>
      </c>
      <c r="AI59" s="22">
        <v>-1.5002400000000001E-2</v>
      </c>
      <c r="AJ59" s="22">
        <v>49</v>
      </c>
      <c r="AK59" s="22">
        <v>0.146179</v>
      </c>
      <c r="AL59">
        <f t="shared" si="6"/>
        <v>15.002400000000002</v>
      </c>
      <c r="AM59">
        <f t="shared" si="7"/>
        <v>2.2022022960000003</v>
      </c>
      <c r="AP59" s="9"/>
      <c r="AQ59" s="22">
        <v>1.5531900000000001</v>
      </c>
      <c r="AR59" s="22">
        <v>67.042000000000002</v>
      </c>
      <c r="AS59" s="22">
        <v>-4.7415199999999999E-3</v>
      </c>
      <c r="AT59" s="22">
        <v>49</v>
      </c>
      <c r="AU59" s="22">
        <v>1.55243</v>
      </c>
      <c r="AV59">
        <f t="shared" si="8"/>
        <v>4.7415199999999995</v>
      </c>
      <c r="AW59">
        <f t="shared" si="9"/>
        <v>7.3644814487999994</v>
      </c>
      <c r="AX59" s="9"/>
      <c r="AY59" s="22">
        <v>0.14679</v>
      </c>
      <c r="AZ59" s="22">
        <v>72.318600000000004</v>
      </c>
      <c r="BA59" s="22">
        <v>-1.48529E-2</v>
      </c>
      <c r="BB59" s="22">
        <v>49</v>
      </c>
      <c r="BC59" s="22">
        <v>0.14624000000000001</v>
      </c>
      <c r="BD59">
        <f t="shared" si="10"/>
        <v>14.8529</v>
      </c>
      <c r="BE59">
        <f t="shared" si="11"/>
        <v>2.1802571909999999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7.2209000000000003</v>
      </c>
      <c r="I60" s="22">
        <v>-4.92554E-3</v>
      </c>
      <c r="J60" s="22">
        <v>50</v>
      </c>
      <c r="K60" s="22">
        <v>1.54694</v>
      </c>
      <c r="L60">
        <f t="shared" si="0"/>
        <v>4.9255399999999998</v>
      </c>
      <c r="M60">
        <f t="shared" si="1"/>
        <v>7.6255240063999992</v>
      </c>
      <c r="N60" s="9"/>
      <c r="O60" s="22">
        <v>0.15182499999999999</v>
      </c>
      <c r="P60" s="22">
        <v>46.696100000000001</v>
      </c>
      <c r="Q60" s="22">
        <v>-1.5478499999999999E-2</v>
      </c>
      <c r="R60" s="22">
        <v>50</v>
      </c>
      <c r="S60" s="22">
        <v>0.15121499999999999</v>
      </c>
      <c r="T60">
        <f t="shared" si="2"/>
        <v>15.478499999999999</v>
      </c>
      <c r="U60">
        <f t="shared" si="3"/>
        <v>2.3500232624999997</v>
      </c>
      <c r="X60" s="9"/>
      <c r="Y60" s="22">
        <v>1.54816</v>
      </c>
      <c r="Z60" s="22">
        <v>54.507800000000003</v>
      </c>
      <c r="AA60" s="22">
        <v>-5.0201400000000002E-3</v>
      </c>
      <c r="AB60" s="22">
        <v>50</v>
      </c>
      <c r="AC60" s="22">
        <v>1.5478499999999999</v>
      </c>
      <c r="AD60">
        <f t="shared" si="4"/>
        <v>5.0201400000000005</v>
      </c>
      <c r="AE60">
        <f t="shared" si="5"/>
        <v>7.7719799424000007</v>
      </c>
      <c r="AF60" s="9"/>
      <c r="AG60" s="22">
        <v>0.15182499999999999</v>
      </c>
      <c r="AH60" s="22">
        <v>60.052399999999999</v>
      </c>
      <c r="AI60" s="22">
        <v>-1.49689E-2</v>
      </c>
      <c r="AJ60" s="22">
        <v>50</v>
      </c>
      <c r="AK60" s="22">
        <v>0.15118400000000001</v>
      </c>
      <c r="AL60">
        <f t="shared" si="6"/>
        <v>14.9689</v>
      </c>
      <c r="AM60">
        <f t="shared" si="7"/>
        <v>2.2726532424999997</v>
      </c>
      <c r="AP60" s="9"/>
      <c r="AQ60" s="22">
        <v>1.54816</v>
      </c>
      <c r="AR60" s="22">
        <v>67.052000000000007</v>
      </c>
      <c r="AS60" s="22">
        <v>-4.8284900000000004E-3</v>
      </c>
      <c r="AT60" s="22">
        <v>50</v>
      </c>
      <c r="AU60" s="22">
        <v>1.54755</v>
      </c>
      <c r="AV60">
        <f t="shared" si="8"/>
        <v>4.8284900000000004</v>
      </c>
      <c r="AW60">
        <f t="shared" si="9"/>
        <v>7.4752750784000002</v>
      </c>
      <c r="AX60" s="9"/>
      <c r="AY60" s="22">
        <v>0.15182499999999999</v>
      </c>
      <c r="AZ60" s="22">
        <v>72.328699999999998</v>
      </c>
      <c r="BA60" s="22">
        <v>-1.4822399999999999E-2</v>
      </c>
      <c r="BB60" s="22">
        <v>50</v>
      </c>
      <c r="BC60" s="22">
        <v>0.15121499999999999</v>
      </c>
      <c r="BD60">
        <f t="shared" si="10"/>
        <v>14.8224</v>
      </c>
      <c r="BE60">
        <f t="shared" si="11"/>
        <v>2.25041088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7.2309700000000001</v>
      </c>
      <c r="I61" s="22">
        <v>-5.0048799999999997E-3</v>
      </c>
      <c r="J61" s="22">
        <v>51</v>
      </c>
      <c r="K61" s="22">
        <v>1.54236</v>
      </c>
      <c r="L61">
        <f t="shared" si="0"/>
        <v>5.00488</v>
      </c>
      <c r="M61">
        <f t="shared" si="1"/>
        <v>7.7231304256</v>
      </c>
      <c r="N61" s="9"/>
      <c r="O61" s="22">
        <v>0.15686</v>
      </c>
      <c r="P61" s="22">
        <v>46.706200000000003</v>
      </c>
      <c r="Q61" s="22">
        <v>-1.5438800000000001E-2</v>
      </c>
      <c r="R61" s="22">
        <v>51</v>
      </c>
      <c r="S61" s="22">
        <v>0.15625</v>
      </c>
      <c r="T61">
        <f t="shared" si="2"/>
        <v>15.438800000000001</v>
      </c>
      <c r="U61">
        <f t="shared" si="3"/>
        <v>2.4217301680000003</v>
      </c>
      <c r="X61" s="9"/>
      <c r="Y61" s="22">
        <v>1.54312</v>
      </c>
      <c r="Z61" s="22">
        <v>54.517899999999997</v>
      </c>
      <c r="AA61" s="22">
        <v>-5.1055900000000001E-3</v>
      </c>
      <c r="AB61" s="22">
        <v>51</v>
      </c>
      <c r="AC61" s="22">
        <v>1.54236</v>
      </c>
      <c r="AD61">
        <f t="shared" si="4"/>
        <v>5.1055900000000003</v>
      </c>
      <c r="AE61">
        <f t="shared" si="5"/>
        <v>7.8785380408000005</v>
      </c>
      <c r="AF61" s="9"/>
      <c r="AG61" s="22">
        <v>0.15686</v>
      </c>
      <c r="AH61" s="22">
        <v>60.0625</v>
      </c>
      <c r="AI61" s="22">
        <v>-1.4947500000000001E-2</v>
      </c>
      <c r="AJ61" s="22">
        <v>51</v>
      </c>
      <c r="AK61" s="22">
        <v>0.156281</v>
      </c>
      <c r="AL61">
        <f t="shared" si="6"/>
        <v>14.947500000000002</v>
      </c>
      <c r="AM61">
        <f t="shared" si="7"/>
        <v>2.34466485</v>
      </c>
      <c r="AP61" s="9"/>
      <c r="AQ61" s="22">
        <v>1.54312</v>
      </c>
      <c r="AR61" s="22">
        <v>67.062100000000001</v>
      </c>
      <c r="AS61" s="22">
        <v>-4.9154699999999999E-3</v>
      </c>
      <c r="AT61" s="22">
        <v>51</v>
      </c>
      <c r="AU61" s="22">
        <v>1.54175</v>
      </c>
      <c r="AV61">
        <f t="shared" si="8"/>
        <v>4.91547</v>
      </c>
      <c r="AW61">
        <f t="shared" si="9"/>
        <v>7.5851600664000003</v>
      </c>
      <c r="AX61" s="9"/>
      <c r="AY61" s="22">
        <v>0.15686</v>
      </c>
      <c r="AZ61" s="22">
        <v>72.338700000000003</v>
      </c>
      <c r="BA61" s="22">
        <v>-1.47858E-2</v>
      </c>
      <c r="BB61" s="22">
        <v>51</v>
      </c>
      <c r="BC61" s="22">
        <v>0.15631100000000001</v>
      </c>
      <c r="BD61">
        <f t="shared" si="10"/>
        <v>14.7858</v>
      </c>
      <c r="BE61">
        <f t="shared" si="11"/>
        <v>2.3193005879999999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7.2410399999999999</v>
      </c>
      <c r="I62" s="22">
        <v>-5.0903299999999997E-3</v>
      </c>
      <c r="J62" s="22">
        <v>52</v>
      </c>
      <c r="K62" s="22">
        <v>1.53748</v>
      </c>
      <c r="L62">
        <f t="shared" si="0"/>
        <v>5.0903299999999998</v>
      </c>
      <c r="M62">
        <f t="shared" si="1"/>
        <v>7.8293856696999997</v>
      </c>
      <c r="N62" s="9"/>
      <c r="O62" s="22">
        <v>0.16189600000000001</v>
      </c>
      <c r="P62" s="22">
        <v>46.716299999999997</v>
      </c>
      <c r="Q62" s="22">
        <v>-1.53992E-2</v>
      </c>
      <c r="R62" s="22">
        <v>52</v>
      </c>
      <c r="S62" s="22">
        <v>0.16131599999999999</v>
      </c>
      <c r="T62">
        <f t="shared" si="2"/>
        <v>15.3992</v>
      </c>
      <c r="U62">
        <f t="shared" si="3"/>
        <v>2.4930688832000003</v>
      </c>
      <c r="X62" s="9"/>
      <c r="Y62" s="22">
        <v>1.53809</v>
      </c>
      <c r="Z62" s="22">
        <v>54.527900000000002</v>
      </c>
      <c r="AA62" s="22">
        <v>-5.1910400000000001E-3</v>
      </c>
      <c r="AB62" s="22">
        <v>52</v>
      </c>
      <c r="AC62" s="22">
        <v>1.53748</v>
      </c>
      <c r="AD62">
        <f t="shared" si="4"/>
        <v>5.1910400000000001</v>
      </c>
      <c r="AE62">
        <f t="shared" si="5"/>
        <v>7.9842867135999995</v>
      </c>
      <c r="AF62" s="9"/>
      <c r="AG62" s="22">
        <v>0.16189600000000001</v>
      </c>
      <c r="AH62" s="22">
        <v>60.072600000000001</v>
      </c>
      <c r="AI62" s="22">
        <v>-1.4919999999999999E-2</v>
      </c>
      <c r="AJ62" s="22">
        <v>52</v>
      </c>
      <c r="AK62" s="22">
        <v>0.16134599999999999</v>
      </c>
      <c r="AL62">
        <f t="shared" si="6"/>
        <v>14.92</v>
      </c>
      <c r="AM62">
        <f t="shared" si="7"/>
        <v>2.4154883200000001</v>
      </c>
      <c r="AP62" s="9"/>
      <c r="AQ62" s="22">
        <v>1.53809</v>
      </c>
      <c r="AR62" s="22">
        <v>67.072199999999995</v>
      </c>
      <c r="AS62" s="22">
        <v>-5.0018299999999996E-3</v>
      </c>
      <c r="AT62" s="22">
        <v>52</v>
      </c>
      <c r="AU62" s="22">
        <v>1.5371699999999999</v>
      </c>
      <c r="AV62">
        <f t="shared" si="8"/>
        <v>5.00183</v>
      </c>
      <c r="AW62">
        <f t="shared" si="9"/>
        <v>7.6932647046999998</v>
      </c>
      <c r="AX62" s="9"/>
      <c r="AY62" s="22">
        <v>0.16189600000000001</v>
      </c>
      <c r="AZ62" s="22">
        <v>72.348799999999997</v>
      </c>
      <c r="BA62" s="22">
        <v>-1.47522E-2</v>
      </c>
      <c r="BB62" s="22">
        <v>52</v>
      </c>
      <c r="BC62" s="22">
        <v>0.16128500000000001</v>
      </c>
      <c r="BD62">
        <f t="shared" si="10"/>
        <v>14.7522</v>
      </c>
      <c r="BE62">
        <f t="shared" si="11"/>
        <v>2.3883221712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7.2511200000000002</v>
      </c>
      <c r="I63" s="22">
        <v>-5.1757799999999996E-3</v>
      </c>
      <c r="J63" s="22">
        <v>53</v>
      </c>
      <c r="K63" s="22">
        <v>1.5319799999999999</v>
      </c>
      <c r="L63">
        <f t="shared" si="0"/>
        <v>5.1757799999999996</v>
      </c>
      <c r="M63">
        <f t="shared" si="1"/>
        <v>7.9347295289999993</v>
      </c>
      <c r="N63" s="9"/>
      <c r="O63" s="22">
        <v>0.166931</v>
      </c>
      <c r="P63" s="22">
        <v>46.726399999999998</v>
      </c>
      <c r="Q63" s="22">
        <v>-1.5368700000000001E-2</v>
      </c>
      <c r="R63" s="22">
        <v>53</v>
      </c>
      <c r="S63" s="22">
        <v>0.166321</v>
      </c>
      <c r="T63">
        <f t="shared" si="2"/>
        <v>15.3687</v>
      </c>
      <c r="U63">
        <f t="shared" si="3"/>
        <v>2.5655124596999999</v>
      </c>
      <c r="X63" s="9"/>
      <c r="Y63" s="22">
        <v>1.53305</v>
      </c>
      <c r="Z63" s="22">
        <v>54.537999999999997</v>
      </c>
      <c r="AA63" s="22">
        <v>-5.2795400000000001E-3</v>
      </c>
      <c r="AB63" s="22">
        <v>53</v>
      </c>
      <c r="AC63" s="22">
        <v>1.5319799999999999</v>
      </c>
      <c r="AD63">
        <f t="shared" si="4"/>
        <v>5.2795399999999999</v>
      </c>
      <c r="AE63">
        <f t="shared" si="5"/>
        <v>8.0937987969999998</v>
      </c>
      <c r="AF63" s="9"/>
      <c r="AG63" s="22">
        <v>0.166931</v>
      </c>
      <c r="AH63" s="22">
        <v>60.082599999999999</v>
      </c>
      <c r="AI63" s="22">
        <v>-1.48865E-2</v>
      </c>
      <c r="AJ63" s="22">
        <v>53</v>
      </c>
      <c r="AK63" s="22">
        <v>0.166321</v>
      </c>
      <c r="AL63">
        <f t="shared" si="6"/>
        <v>14.8865</v>
      </c>
      <c r="AM63">
        <f t="shared" si="7"/>
        <v>2.4850183315000001</v>
      </c>
      <c r="AP63" s="9"/>
      <c r="AQ63" s="22">
        <v>1.53305</v>
      </c>
      <c r="AR63" s="22">
        <v>67.082300000000004</v>
      </c>
      <c r="AS63" s="22">
        <v>-5.0842300000000003E-3</v>
      </c>
      <c r="AT63" s="22">
        <v>53</v>
      </c>
      <c r="AU63" s="22">
        <v>1.5322899999999999</v>
      </c>
      <c r="AV63">
        <f t="shared" si="8"/>
        <v>5.0842300000000007</v>
      </c>
      <c r="AW63">
        <f t="shared" si="9"/>
        <v>7.7943788015000015</v>
      </c>
      <c r="AX63" s="9"/>
      <c r="AY63" s="22">
        <v>0.166931</v>
      </c>
      <c r="AZ63" s="22">
        <v>72.358900000000006</v>
      </c>
      <c r="BA63" s="22">
        <v>-1.47186E-2</v>
      </c>
      <c r="BB63" s="22">
        <v>53</v>
      </c>
      <c r="BC63" s="22">
        <v>0.166321</v>
      </c>
      <c r="BD63">
        <f t="shared" si="10"/>
        <v>14.7186</v>
      </c>
      <c r="BE63">
        <f t="shared" si="11"/>
        <v>2.4569906166000002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7.26119</v>
      </c>
      <c r="I64" s="22">
        <v>-5.2581800000000003E-3</v>
      </c>
      <c r="J64" s="22">
        <v>54</v>
      </c>
      <c r="K64" s="22">
        <v>1.5270999999999999</v>
      </c>
      <c r="L64">
        <f t="shared" si="0"/>
        <v>5.2581800000000003</v>
      </c>
      <c r="M64">
        <f t="shared" si="1"/>
        <v>8.0346042036000007</v>
      </c>
      <c r="N64" s="9"/>
      <c r="O64" s="22">
        <v>0.17196700000000001</v>
      </c>
      <c r="P64" s="22">
        <v>46.736400000000003</v>
      </c>
      <c r="Q64" s="22">
        <v>-1.5344200000000001E-2</v>
      </c>
      <c r="R64" s="22">
        <v>54</v>
      </c>
      <c r="S64" s="22">
        <v>0.17135600000000001</v>
      </c>
      <c r="T64">
        <f t="shared" si="2"/>
        <v>15.344200000000001</v>
      </c>
      <c r="U64">
        <f t="shared" si="3"/>
        <v>2.6386960414000002</v>
      </c>
      <c r="X64" s="9"/>
      <c r="Y64" s="22">
        <v>1.5280199999999999</v>
      </c>
      <c r="Z64" s="22">
        <v>54.548099999999998</v>
      </c>
      <c r="AA64" s="22">
        <v>-5.3619399999999999E-3</v>
      </c>
      <c r="AB64" s="22">
        <v>54</v>
      </c>
      <c r="AC64" s="22">
        <v>1.5274000000000001</v>
      </c>
      <c r="AD64">
        <f t="shared" si="4"/>
        <v>5.3619399999999997</v>
      </c>
      <c r="AE64">
        <f t="shared" si="5"/>
        <v>8.1931515587999986</v>
      </c>
      <c r="AF64" s="9"/>
      <c r="AG64" s="22">
        <v>0.17196700000000001</v>
      </c>
      <c r="AH64" s="22">
        <v>60.092700000000001</v>
      </c>
      <c r="AI64" s="22">
        <v>-1.4849899999999999E-2</v>
      </c>
      <c r="AJ64" s="22">
        <v>54</v>
      </c>
      <c r="AK64" s="22">
        <v>0.17138700000000001</v>
      </c>
      <c r="AL64">
        <f t="shared" si="6"/>
        <v>14.8499</v>
      </c>
      <c r="AM64">
        <f t="shared" si="7"/>
        <v>2.5536927533</v>
      </c>
      <c r="AP64" s="9"/>
      <c r="AQ64" s="22">
        <v>1.5280199999999999</v>
      </c>
      <c r="AR64" s="22">
        <v>67.092299999999994</v>
      </c>
      <c r="AS64" s="22">
        <v>-5.1666300000000002E-3</v>
      </c>
      <c r="AT64" s="22">
        <v>54</v>
      </c>
      <c r="AU64" s="22">
        <v>1.5267900000000001</v>
      </c>
      <c r="AV64">
        <f t="shared" si="8"/>
        <v>5.1666300000000005</v>
      </c>
      <c r="AW64">
        <f t="shared" si="9"/>
        <v>7.8947139726000009</v>
      </c>
      <c r="AX64" s="9"/>
      <c r="AY64" s="22">
        <v>0.17196700000000001</v>
      </c>
      <c r="AZ64" s="22">
        <v>72.368899999999996</v>
      </c>
      <c r="BA64" s="22">
        <v>-1.4688100000000001E-2</v>
      </c>
      <c r="BB64" s="22">
        <v>54</v>
      </c>
      <c r="BC64" s="22">
        <v>0.17141700000000001</v>
      </c>
      <c r="BD64">
        <f t="shared" si="10"/>
        <v>14.6881</v>
      </c>
      <c r="BE64">
        <f t="shared" si="11"/>
        <v>2.5258684927000004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7.2712599999999998</v>
      </c>
      <c r="I65" s="22">
        <v>-5.3405800000000002E-3</v>
      </c>
      <c r="J65" s="22">
        <v>55</v>
      </c>
      <c r="K65" s="22">
        <v>1.5222199999999999</v>
      </c>
      <c r="L65">
        <f t="shared" si="0"/>
        <v>5.3405800000000001</v>
      </c>
      <c r="M65">
        <f t="shared" si="1"/>
        <v>8.1335965284</v>
      </c>
      <c r="N65" s="9"/>
      <c r="O65" s="22">
        <v>0.17700199999999999</v>
      </c>
      <c r="P65" s="22">
        <v>46.746499999999997</v>
      </c>
      <c r="Q65" s="22">
        <v>-1.53137E-2</v>
      </c>
      <c r="R65" s="22">
        <v>55</v>
      </c>
      <c r="S65" s="22">
        <v>0.17639199999999999</v>
      </c>
      <c r="T65">
        <f t="shared" si="2"/>
        <v>15.313699999999999</v>
      </c>
      <c r="U65">
        <f t="shared" si="3"/>
        <v>2.7105555273999995</v>
      </c>
      <c r="X65" s="9"/>
      <c r="Y65" s="22">
        <v>1.52298</v>
      </c>
      <c r="Z65" s="22">
        <v>54.558100000000003</v>
      </c>
      <c r="AA65" s="22">
        <v>-5.4473899999999999E-3</v>
      </c>
      <c r="AB65" s="22">
        <v>55</v>
      </c>
      <c r="AC65" s="22">
        <v>1.5222199999999999</v>
      </c>
      <c r="AD65">
        <f t="shared" si="4"/>
        <v>5.4473899999999995</v>
      </c>
      <c r="AE65">
        <f t="shared" si="5"/>
        <v>8.2962660221999993</v>
      </c>
      <c r="AF65" s="9"/>
      <c r="AG65" s="22">
        <v>0.17700199999999999</v>
      </c>
      <c r="AH65" s="22">
        <v>60.102800000000002</v>
      </c>
      <c r="AI65" s="22">
        <v>-1.48132E-2</v>
      </c>
      <c r="AJ65" s="22">
        <v>55</v>
      </c>
      <c r="AK65" s="22">
        <v>0.176422</v>
      </c>
      <c r="AL65">
        <f t="shared" si="6"/>
        <v>14.8132</v>
      </c>
      <c r="AM65">
        <f t="shared" si="7"/>
        <v>2.6219660264</v>
      </c>
      <c r="AP65" s="9"/>
      <c r="AQ65" s="22">
        <v>1.52298</v>
      </c>
      <c r="AR65" s="22">
        <v>67.102400000000003</v>
      </c>
      <c r="AS65" s="22">
        <v>-5.24597E-3</v>
      </c>
      <c r="AT65" s="22">
        <v>55</v>
      </c>
      <c r="AU65" s="22">
        <v>1.5225200000000001</v>
      </c>
      <c r="AV65">
        <f t="shared" si="8"/>
        <v>5.2459699999999998</v>
      </c>
      <c r="AW65">
        <f t="shared" si="9"/>
        <v>7.9895073906</v>
      </c>
      <c r="AX65" s="9"/>
      <c r="AY65" s="22">
        <v>0.17700199999999999</v>
      </c>
      <c r="AZ65" s="22">
        <v>72.379000000000005</v>
      </c>
      <c r="BA65" s="22">
        <v>-1.46637E-2</v>
      </c>
      <c r="BB65" s="22">
        <v>55</v>
      </c>
      <c r="BC65" s="22">
        <v>0.176422</v>
      </c>
      <c r="BD65">
        <f t="shared" si="10"/>
        <v>14.6637</v>
      </c>
      <c r="BE65">
        <f t="shared" si="11"/>
        <v>2.5955042273999998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7.2813299999999996</v>
      </c>
      <c r="I66" s="22">
        <v>-5.42297E-3</v>
      </c>
      <c r="J66" s="22">
        <v>56</v>
      </c>
      <c r="K66" s="22">
        <v>1.5167200000000001</v>
      </c>
      <c r="L66">
        <f t="shared" si="0"/>
        <v>5.4229700000000003</v>
      </c>
      <c r="M66">
        <f t="shared" si="1"/>
        <v>8.2317430818000012</v>
      </c>
      <c r="N66" s="9"/>
      <c r="O66" s="22">
        <v>0.182037</v>
      </c>
      <c r="P66" s="22">
        <v>46.756599999999999</v>
      </c>
      <c r="Q66" s="22">
        <v>-1.5286299999999999E-2</v>
      </c>
      <c r="R66" s="22">
        <v>56</v>
      </c>
      <c r="S66" s="22">
        <v>0.18145800000000001</v>
      </c>
      <c r="T66">
        <f t="shared" si="2"/>
        <v>15.286299999999999</v>
      </c>
      <c r="U66">
        <f t="shared" si="3"/>
        <v>2.7826721930999998</v>
      </c>
      <c r="X66" s="9"/>
      <c r="Y66" s="22">
        <v>1.5179400000000001</v>
      </c>
      <c r="Z66" s="22">
        <v>54.568199999999997</v>
      </c>
      <c r="AA66" s="22">
        <v>-5.5297899999999997E-3</v>
      </c>
      <c r="AB66" s="22">
        <v>56</v>
      </c>
      <c r="AC66" s="22">
        <v>1.5173300000000001</v>
      </c>
      <c r="AD66">
        <f t="shared" si="4"/>
        <v>5.5297899999999993</v>
      </c>
      <c r="AE66">
        <f t="shared" si="5"/>
        <v>8.3938894326</v>
      </c>
      <c r="AF66" s="9"/>
      <c r="AG66" s="22">
        <v>0.182037</v>
      </c>
      <c r="AH66" s="22">
        <v>60.1128</v>
      </c>
      <c r="AI66" s="22">
        <v>-1.47797E-2</v>
      </c>
      <c r="AJ66" s="22">
        <v>56</v>
      </c>
      <c r="AK66" s="22">
        <v>0.181427</v>
      </c>
      <c r="AL66">
        <f t="shared" si="6"/>
        <v>14.7797</v>
      </c>
      <c r="AM66">
        <f t="shared" si="7"/>
        <v>2.6904522489000002</v>
      </c>
      <c r="AP66" s="9"/>
      <c r="AQ66" s="22">
        <v>1.5179400000000001</v>
      </c>
      <c r="AR66" s="22">
        <v>67.112499999999997</v>
      </c>
      <c r="AS66" s="22">
        <v>-5.3253199999999997E-3</v>
      </c>
      <c r="AT66" s="22">
        <v>56</v>
      </c>
      <c r="AU66" s="22">
        <v>1.5167200000000001</v>
      </c>
      <c r="AV66">
        <f t="shared" si="8"/>
        <v>5.3253199999999996</v>
      </c>
      <c r="AW66">
        <f t="shared" si="9"/>
        <v>8.0835162407999999</v>
      </c>
      <c r="AX66" s="9"/>
      <c r="AY66" s="22">
        <v>0.182037</v>
      </c>
      <c r="AZ66" s="22">
        <v>72.389099999999999</v>
      </c>
      <c r="BA66" s="22">
        <v>-1.4624E-2</v>
      </c>
      <c r="BB66" s="22">
        <v>56</v>
      </c>
      <c r="BC66" s="22">
        <v>0.181366</v>
      </c>
      <c r="BD66">
        <f t="shared" si="10"/>
        <v>14.624000000000001</v>
      </c>
      <c r="BE66">
        <f t="shared" si="11"/>
        <v>2.6621090880000002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7.2914000000000003</v>
      </c>
      <c r="I67" s="22">
        <v>-5.5023199999999998E-3</v>
      </c>
      <c r="J67" s="22">
        <v>57</v>
      </c>
      <c r="K67" s="22">
        <v>1.5124500000000001</v>
      </c>
      <c r="L67">
        <f t="shared" si="0"/>
        <v>5.5023200000000001</v>
      </c>
      <c r="M67">
        <f t="shared" si="1"/>
        <v>8.3245149511999994</v>
      </c>
      <c r="N67" s="9"/>
      <c r="O67" s="22">
        <v>0.18707299999999999</v>
      </c>
      <c r="P67" s="22">
        <v>46.766599999999997</v>
      </c>
      <c r="Q67" s="22">
        <v>-1.52496E-2</v>
      </c>
      <c r="R67" s="22">
        <v>57</v>
      </c>
      <c r="S67" s="22">
        <v>0.18652299999999999</v>
      </c>
      <c r="T67">
        <f t="shared" si="2"/>
        <v>15.249600000000001</v>
      </c>
      <c r="U67">
        <f t="shared" si="3"/>
        <v>2.8527884208000001</v>
      </c>
      <c r="X67" s="9"/>
      <c r="Y67" s="22">
        <v>1.51291</v>
      </c>
      <c r="Z67" s="22">
        <v>54.578299999999999</v>
      </c>
      <c r="AA67" s="22">
        <v>-5.6152299999999997E-3</v>
      </c>
      <c r="AB67" s="22">
        <v>57</v>
      </c>
      <c r="AC67" s="22">
        <v>1.5121500000000001</v>
      </c>
      <c r="AD67">
        <f t="shared" si="4"/>
        <v>5.6152299999999995</v>
      </c>
      <c r="AE67">
        <f t="shared" si="5"/>
        <v>8.495337619299999</v>
      </c>
      <c r="AF67" s="9"/>
      <c r="AG67" s="22">
        <v>0.18707299999999999</v>
      </c>
      <c r="AH67" s="22">
        <v>60.122900000000001</v>
      </c>
      <c r="AI67" s="22">
        <v>-1.4749099999999999E-2</v>
      </c>
      <c r="AJ67" s="22">
        <v>57</v>
      </c>
      <c r="AK67" s="22">
        <v>0.18643199999999999</v>
      </c>
      <c r="AL67">
        <f t="shared" si="6"/>
        <v>14.749099999999999</v>
      </c>
      <c r="AM67">
        <f t="shared" si="7"/>
        <v>2.7591583842999996</v>
      </c>
      <c r="AP67" s="9"/>
      <c r="AQ67" s="22">
        <v>1.51291</v>
      </c>
      <c r="AR67" s="22">
        <v>67.122500000000002</v>
      </c>
      <c r="AS67" s="22">
        <v>-5.4046600000000004E-3</v>
      </c>
      <c r="AT67" s="22">
        <v>57</v>
      </c>
      <c r="AU67" s="22">
        <v>1.5121500000000001</v>
      </c>
      <c r="AV67">
        <f t="shared" si="8"/>
        <v>5.4046600000000007</v>
      </c>
      <c r="AW67">
        <f t="shared" si="9"/>
        <v>8.1767641606000012</v>
      </c>
      <c r="AX67" s="9"/>
      <c r="AY67" s="22">
        <v>0.18707299999999999</v>
      </c>
      <c r="AZ67" s="22">
        <v>72.399199999999993</v>
      </c>
      <c r="BA67" s="22">
        <v>-1.4590499999999999E-2</v>
      </c>
      <c r="BB67" s="22">
        <v>57</v>
      </c>
      <c r="BC67" s="22">
        <v>0.18649299999999999</v>
      </c>
      <c r="BD67">
        <f t="shared" si="10"/>
        <v>14.590499999999999</v>
      </c>
      <c r="BE67">
        <f t="shared" si="11"/>
        <v>2.7294886064999995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7.3014700000000001</v>
      </c>
      <c r="I68" s="22">
        <v>-5.5816700000000004E-3</v>
      </c>
      <c r="J68" s="22">
        <v>58</v>
      </c>
      <c r="K68" s="22">
        <v>1.5069600000000001</v>
      </c>
      <c r="L68">
        <f t="shared" si="0"/>
        <v>5.5816700000000008</v>
      </c>
      <c r="M68">
        <f t="shared" si="1"/>
        <v>8.4164327429000014</v>
      </c>
      <c r="N68" s="9"/>
      <c r="O68" s="22">
        <v>0.192108</v>
      </c>
      <c r="P68" s="22">
        <v>46.776699999999998</v>
      </c>
      <c r="Q68" s="22">
        <v>-1.5206900000000001E-2</v>
      </c>
      <c r="R68" s="22">
        <v>58</v>
      </c>
      <c r="S68" s="22">
        <v>0.191437</v>
      </c>
      <c r="T68">
        <f t="shared" si="2"/>
        <v>15.206900000000001</v>
      </c>
      <c r="U68">
        <f t="shared" si="3"/>
        <v>2.9213671452000001</v>
      </c>
      <c r="X68" s="9"/>
      <c r="Y68" s="22">
        <v>1.50787</v>
      </c>
      <c r="Z68" s="22">
        <v>54.5884</v>
      </c>
      <c r="AA68" s="22">
        <v>-5.6976300000000004E-3</v>
      </c>
      <c r="AB68" s="22">
        <v>58</v>
      </c>
      <c r="AC68" s="22">
        <v>1.50726</v>
      </c>
      <c r="AD68">
        <f t="shared" si="4"/>
        <v>5.6976300000000002</v>
      </c>
      <c r="AE68">
        <f t="shared" si="5"/>
        <v>8.5912853481000013</v>
      </c>
      <c r="AF68" s="9"/>
      <c r="AG68" s="22">
        <v>0.192108</v>
      </c>
      <c r="AH68" s="22">
        <v>60.133000000000003</v>
      </c>
      <c r="AI68" s="22">
        <v>-1.47308E-2</v>
      </c>
      <c r="AJ68" s="22">
        <v>58</v>
      </c>
      <c r="AK68" s="22">
        <v>0.191498</v>
      </c>
      <c r="AL68">
        <f t="shared" si="6"/>
        <v>14.7308</v>
      </c>
      <c r="AM68">
        <f t="shared" si="7"/>
        <v>2.8299045264</v>
      </c>
      <c r="AP68" s="9"/>
      <c r="AQ68" s="22">
        <v>1.50787</v>
      </c>
      <c r="AR68" s="22">
        <v>67.132599999999996</v>
      </c>
      <c r="AS68" s="22">
        <v>-5.4840100000000001E-3</v>
      </c>
      <c r="AT68" s="22">
        <v>58</v>
      </c>
      <c r="AU68" s="22">
        <v>1.50726</v>
      </c>
      <c r="AV68">
        <f t="shared" si="8"/>
        <v>5.4840100000000005</v>
      </c>
      <c r="AW68">
        <f t="shared" si="9"/>
        <v>8.2691741587000003</v>
      </c>
      <c r="AX68" s="9"/>
      <c r="AY68" s="22">
        <v>0.192108</v>
      </c>
      <c r="AZ68" s="22">
        <v>72.409199999999998</v>
      </c>
      <c r="BA68" s="22">
        <v>-1.4563E-2</v>
      </c>
      <c r="BB68" s="22">
        <v>58</v>
      </c>
      <c r="BC68" s="22">
        <v>0.191528</v>
      </c>
      <c r="BD68">
        <f t="shared" si="10"/>
        <v>14.562999999999999</v>
      </c>
      <c r="BE68">
        <f t="shared" si="11"/>
        <v>2.7976688039999997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7.3115399999999999</v>
      </c>
      <c r="I69" s="22">
        <v>-5.6579600000000001E-3</v>
      </c>
      <c r="J69" s="22">
        <v>59</v>
      </c>
      <c r="K69" s="22">
        <v>1.5020800000000001</v>
      </c>
      <c r="L69">
        <f t="shared" si="0"/>
        <v>5.6579600000000001</v>
      </c>
      <c r="M69">
        <f t="shared" si="1"/>
        <v>8.5030086063999999</v>
      </c>
      <c r="N69" s="9"/>
      <c r="O69" s="22">
        <v>0.19714400000000001</v>
      </c>
      <c r="P69" s="22">
        <v>46.786799999999999</v>
      </c>
      <c r="Q69" s="22">
        <v>-1.5173300000000001E-2</v>
      </c>
      <c r="R69" s="22">
        <v>59</v>
      </c>
      <c r="S69" s="22">
        <v>0.19650300000000001</v>
      </c>
      <c r="T69">
        <f t="shared" si="2"/>
        <v>15.173300000000001</v>
      </c>
      <c r="U69">
        <f t="shared" si="3"/>
        <v>2.9913250552000004</v>
      </c>
      <c r="X69" s="9"/>
      <c r="Y69" s="22">
        <v>1.50284</v>
      </c>
      <c r="Z69" s="22">
        <v>54.598399999999998</v>
      </c>
      <c r="AA69" s="22">
        <v>-5.7769800000000001E-3</v>
      </c>
      <c r="AB69" s="22">
        <v>59</v>
      </c>
      <c r="AC69" s="22">
        <v>1.5020800000000001</v>
      </c>
      <c r="AD69">
        <f t="shared" si="4"/>
        <v>5.77698</v>
      </c>
      <c r="AE69">
        <f t="shared" si="5"/>
        <v>8.6818766231999991</v>
      </c>
      <c r="AF69" s="9"/>
      <c r="AG69" s="22">
        <v>0.19714400000000001</v>
      </c>
      <c r="AH69" s="22">
        <v>60.143099999999997</v>
      </c>
      <c r="AI69" s="22">
        <v>-1.4715600000000001E-2</v>
      </c>
      <c r="AJ69" s="22">
        <v>59</v>
      </c>
      <c r="AK69" s="22">
        <v>0.19653300000000001</v>
      </c>
      <c r="AL69">
        <f t="shared" si="6"/>
        <v>14.7156</v>
      </c>
      <c r="AM69">
        <f t="shared" si="7"/>
        <v>2.9010922464000002</v>
      </c>
      <c r="AP69" s="9"/>
      <c r="AQ69" s="22">
        <v>1.50284</v>
      </c>
      <c r="AR69" s="22">
        <v>67.142700000000005</v>
      </c>
      <c r="AS69" s="22">
        <v>-5.5602999999999998E-3</v>
      </c>
      <c r="AT69" s="22">
        <v>59</v>
      </c>
      <c r="AU69" s="22">
        <v>1.50238</v>
      </c>
      <c r="AV69">
        <f t="shared" si="8"/>
        <v>5.5602999999999998</v>
      </c>
      <c r="AW69">
        <f t="shared" si="9"/>
        <v>8.3562412520000002</v>
      </c>
      <c r="AX69" s="9"/>
      <c r="AY69" s="22">
        <v>0.19714400000000001</v>
      </c>
      <c r="AZ69" s="22">
        <v>72.419300000000007</v>
      </c>
      <c r="BA69" s="22">
        <v>-1.45355E-2</v>
      </c>
      <c r="BB69" s="22">
        <v>59</v>
      </c>
      <c r="BC69" s="22">
        <v>0.19659399999999999</v>
      </c>
      <c r="BD69">
        <f t="shared" si="10"/>
        <v>14.535499999999999</v>
      </c>
      <c r="BE69">
        <f t="shared" si="11"/>
        <v>2.865586612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7.3216099999999997</v>
      </c>
      <c r="I70" s="22">
        <v>-5.7342499999999998E-3</v>
      </c>
      <c r="J70" s="22">
        <v>60</v>
      </c>
      <c r="K70" s="22">
        <v>1.4968900000000001</v>
      </c>
      <c r="L70">
        <f t="shared" si="0"/>
        <v>5.7342499999999994</v>
      </c>
      <c r="M70">
        <f t="shared" si="1"/>
        <v>8.5887596500000001</v>
      </c>
      <c r="N70" s="9"/>
      <c r="O70" s="22">
        <v>0.202179</v>
      </c>
      <c r="P70" s="22">
        <v>46.796900000000001</v>
      </c>
      <c r="Q70" s="22">
        <v>-1.51459E-2</v>
      </c>
      <c r="R70" s="22">
        <v>60</v>
      </c>
      <c r="S70" s="22">
        <v>0.20166000000000001</v>
      </c>
      <c r="T70">
        <f t="shared" si="2"/>
        <v>15.145900000000001</v>
      </c>
      <c r="U70">
        <f t="shared" si="3"/>
        <v>3.0621829161000003</v>
      </c>
      <c r="X70" s="9"/>
      <c r="Y70" s="22">
        <v>1.4978</v>
      </c>
      <c r="Z70" s="22">
        <v>54.608499999999999</v>
      </c>
      <c r="AA70" s="22">
        <v>-5.8532699999999998E-3</v>
      </c>
      <c r="AB70" s="22">
        <v>60</v>
      </c>
      <c r="AC70" s="22">
        <v>1.4968900000000001</v>
      </c>
      <c r="AD70">
        <f t="shared" si="4"/>
        <v>5.8532700000000002</v>
      </c>
      <c r="AE70">
        <f t="shared" si="5"/>
        <v>8.7670278059999998</v>
      </c>
      <c r="AF70" s="9"/>
      <c r="AG70" s="22">
        <v>0.202179</v>
      </c>
      <c r="AH70" s="22">
        <v>60.153100000000002</v>
      </c>
      <c r="AI70" s="22">
        <v>-1.4688100000000001E-2</v>
      </c>
      <c r="AJ70" s="22">
        <v>60</v>
      </c>
      <c r="AK70" s="22">
        <v>0.201569</v>
      </c>
      <c r="AL70">
        <f t="shared" si="6"/>
        <v>14.6881</v>
      </c>
      <c r="AM70">
        <f t="shared" si="7"/>
        <v>2.9696253699000001</v>
      </c>
      <c r="AP70" s="9"/>
      <c r="AQ70" s="22">
        <v>1.4978</v>
      </c>
      <c r="AR70" s="22">
        <v>67.152699999999996</v>
      </c>
      <c r="AS70" s="22">
        <v>-5.6396500000000004E-3</v>
      </c>
      <c r="AT70" s="22">
        <v>60</v>
      </c>
      <c r="AU70" s="22">
        <v>1.4968900000000001</v>
      </c>
      <c r="AV70">
        <f t="shared" si="8"/>
        <v>5.6396500000000005</v>
      </c>
      <c r="AW70">
        <f t="shared" si="9"/>
        <v>8.4470677700000003</v>
      </c>
      <c r="AX70" s="9"/>
      <c r="AY70" s="22">
        <v>0.202179</v>
      </c>
      <c r="AZ70" s="22">
        <v>72.429400000000001</v>
      </c>
      <c r="BA70" s="22">
        <v>-1.4501999999999999E-2</v>
      </c>
      <c r="BB70" s="22">
        <v>60</v>
      </c>
      <c r="BC70" s="22">
        <v>0.20163</v>
      </c>
      <c r="BD70">
        <f t="shared" si="10"/>
        <v>14.501999999999999</v>
      </c>
      <c r="BE70">
        <f t="shared" si="11"/>
        <v>2.9319998579999997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7.3316800000000004</v>
      </c>
      <c r="I71" s="22">
        <v>-5.8166499999999996E-3</v>
      </c>
      <c r="J71" s="22">
        <v>61</v>
      </c>
      <c r="K71" s="22">
        <v>1.492</v>
      </c>
      <c r="L71">
        <f t="shared" si="0"/>
        <v>5.8166499999999992</v>
      </c>
      <c r="M71">
        <f t="shared" si="1"/>
        <v>8.6829206204999991</v>
      </c>
      <c r="N71" s="9"/>
      <c r="O71" s="22">
        <v>0.20721400000000001</v>
      </c>
      <c r="P71" s="22">
        <v>46.806899999999999</v>
      </c>
      <c r="Q71" s="22">
        <v>-1.51123E-2</v>
      </c>
      <c r="R71" s="22">
        <v>61</v>
      </c>
      <c r="S71" s="22">
        <v>0.206543</v>
      </c>
      <c r="T71">
        <f t="shared" si="2"/>
        <v>15.112300000000001</v>
      </c>
      <c r="U71">
        <f t="shared" si="3"/>
        <v>3.1314801322000005</v>
      </c>
      <c r="X71" s="9"/>
      <c r="Y71" s="22">
        <v>1.4927699999999999</v>
      </c>
      <c r="Z71" s="22">
        <v>54.618600000000001</v>
      </c>
      <c r="AA71" s="22">
        <v>-5.9326200000000004E-3</v>
      </c>
      <c r="AB71" s="22">
        <v>61</v>
      </c>
      <c r="AC71" s="22">
        <v>1.492</v>
      </c>
      <c r="AD71">
        <f t="shared" si="4"/>
        <v>5.93262</v>
      </c>
      <c r="AE71">
        <f t="shared" si="5"/>
        <v>8.8560371573999994</v>
      </c>
      <c r="AF71" s="9"/>
      <c r="AG71" s="22">
        <v>0.20721400000000001</v>
      </c>
      <c r="AH71" s="22">
        <v>60.163200000000003</v>
      </c>
      <c r="AI71" s="22">
        <v>-1.46576E-2</v>
      </c>
      <c r="AJ71" s="22">
        <v>61</v>
      </c>
      <c r="AK71" s="22">
        <v>0.20666499999999999</v>
      </c>
      <c r="AL71">
        <f t="shared" si="6"/>
        <v>14.6576</v>
      </c>
      <c r="AM71">
        <f t="shared" si="7"/>
        <v>3.0372599264000004</v>
      </c>
      <c r="AP71" s="9"/>
      <c r="AQ71" s="22">
        <v>1.4927699999999999</v>
      </c>
      <c r="AR71" s="22">
        <v>67.162800000000004</v>
      </c>
      <c r="AS71" s="22">
        <v>-5.7189900000000002E-3</v>
      </c>
      <c r="AT71" s="22">
        <v>61</v>
      </c>
      <c r="AU71" s="22">
        <v>1.4917</v>
      </c>
      <c r="AV71">
        <f t="shared" si="8"/>
        <v>5.7189899999999998</v>
      </c>
      <c r="AW71">
        <f t="shared" si="9"/>
        <v>8.5371367022999998</v>
      </c>
      <c r="AX71" s="9"/>
      <c r="AY71" s="22">
        <v>0.20721400000000001</v>
      </c>
      <c r="AZ71" s="22">
        <v>72.439400000000006</v>
      </c>
      <c r="BA71" s="22">
        <v>-1.4471400000000001E-2</v>
      </c>
      <c r="BB71" s="22">
        <v>61</v>
      </c>
      <c r="BC71" s="22">
        <v>0.20666499999999999</v>
      </c>
      <c r="BD71">
        <f t="shared" si="10"/>
        <v>14.471400000000001</v>
      </c>
      <c r="BE71">
        <f t="shared" si="11"/>
        <v>2.9986766796000004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7.3417500000000002</v>
      </c>
      <c r="I72" s="22">
        <v>-5.8929400000000002E-3</v>
      </c>
      <c r="J72" s="22">
        <v>62</v>
      </c>
      <c r="K72" s="22">
        <v>1.48651</v>
      </c>
      <c r="L72">
        <f t="shared" si="0"/>
        <v>5.8929400000000003</v>
      </c>
      <c r="M72">
        <f t="shared" si="1"/>
        <v>8.7671036262000008</v>
      </c>
      <c r="N72" s="9"/>
      <c r="O72" s="22">
        <v>0.21224999999999999</v>
      </c>
      <c r="P72" s="22">
        <v>46.817</v>
      </c>
      <c r="Q72" s="22">
        <v>-1.50879E-2</v>
      </c>
      <c r="R72" s="22">
        <v>62</v>
      </c>
      <c r="S72" s="22">
        <v>0.21167</v>
      </c>
      <c r="T72">
        <f t="shared" si="2"/>
        <v>15.087899999999999</v>
      </c>
      <c r="U72">
        <f t="shared" si="3"/>
        <v>3.2024067749999996</v>
      </c>
      <c r="X72" s="9"/>
      <c r="Y72" s="22">
        <v>1.48773</v>
      </c>
      <c r="Z72" s="22">
        <v>54.628599999999999</v>
      </c>
      <c r="AA72" s="22">
        <v>-6.0119600000000002E-3</v>
      </c>
      <c r="AB72" s="22">
        <v>62</v>
      </c>
      <c r="AC72" s="22">
        <v>1.48712</v>
      </c>
      <c r="AD72">
        <f t="shared" si="4"/>
        <v>6.0119600000000002</v>
      </c>
      <c r="AE72">
        <f t="shared" si="5"/>
        <v>8.9441732508000005</v>
      </c>
      <c r="AF72" s="9"/>
      <c r="AG72" s="22">
        <v>0.21224999999999999</v>
      </c>
      <c r="AH72" s="22">
        <v>60.173299999999998</v>
      </c>
      <c r="AI72" s="22">
        <v>-1.4621E-2</v>
      </c>
      <c r="AJ72" s="22">
        <v>62</v>
      </c>
      <c r="AK72" s="22">
        <v>0.21163899999999999</v>
      </c>
      <c r="AL72">
        <f t="shared" si="6"/>
        <v>14.621</v>
      </c>
      <c r="AM72">
        <f t="shared" si="7"/>
        <v>3.1033072499999999</v>
      </c>
      <c r="AP72" s="9"/>
      <c r="AQ72" s="22">
        <v>1.48773</v>
      </c>
      <c r="AR72" s="22">
        <v>67.172899999999998</v>
      </c>
      <c r="AS72" s="22">
        <v>-5.7922399999999997E-3</v>
      </c>
      <c r="AT72" s="22">
        <v>62</v>
      </c>
      <c r="AU72" s="22">
        <v>1.48682</v>
      </c>
      <c r="AV72">
        <f t="shared" si="8"/>
        <v>5.7922399999999996</v>
      </c>
      <c r="AW72">
        <f t="shared" si="9"/>
        <v>8.6172892151999996</v>
      </c>
      <c r="AX72" s="9"/>
      <c r="AY72" s="22">
        <v>0.21224999999999999</v>
      </c>
      <c r="AZ72" s="22">
        <v>72.4495</v>
      </c>
      <c r="BA72" s="22">
        <v>-1.44409E-2</v>
      </c>
      <c r="BB72" s="22">
        <v>62</v>
      </c>
      <c r="BC72" s="22">
        <v>0.21160899999999999</v>
      </c>
      <c r="BD72">
        <f t="shared" si="10"/>
        <v>14.440899999999999</v>
      </c>
      <c r="BE72">
        <f t="shared" si="11"/>
        <v>3.0650810249999996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7.3518299999999996</v>
      </c>
      <c r="I73" s="22">
        <v>-5.9692399999999998E-3</v>
      </c>
      <c r="J73" s="22">
        <v>63</v>
      </c>
      <c r="K73" s="22">
        <v>1.48193</v>
      </c>
      <c r="L73">
        <f t="shared" si="0"/>
        <v>5.9692400000000001</v>
      </c>
      <c r="M73">
        <f t="shared" si="1"/>
        <v>8.8505921479999987</v>
      </c>
      <c r="N73" s="9"/>
      <c r="O73" s="22">
        <v>0.21728500000000001</v>
      </c>
      <c r="P73" s="22">
        <v>46.827100000000002</v>
      </c>
      <c r="Q73" s="22">
        <v>-1.50574E-2</v>
      </c>
      <c r="R73" s="22">
        <v>63</v>
      </c>
      <c r="S73" s="22">
        <v>0.216644</v>
      </c>
      <c r="T73">
        <f t="shared" si="2"/>
        <v>15.057399999999999</v>
      </c>
      <c r="U73">
        <f t="shared" si="3"/>
        <v>3.2717471589999998</v>
      </c>
      <c r="X73" s="9"/>
      <c r="Y73" s="22">
        <v>1.4826999999999999</v>
      </c>
      <c r="Z73" s="22">
        <v>54.6387</v>
      </c>
      <c r="AA73" s="22">
        <v>-6.0882599999999999E-3</v>
      </c>
      <c r="AB73" s="22">
        <v>63</v>
      </c>
      <c r="AC73" s="22">
        <v>1.48224</v>
      </c>
      <c r="AD73">
        <f t="shared" si="4"/>
        <v>6.08826</v>
      </c>
      <c r="AE73">
        <f t="shared" si="5"/>
        <v>9.0270631019999996</v>
      </c>
      <c r="AF73" s="9"/>
      <c r="AG73" s="22">
        <v>0.21728500000000001</v>
      </c>
      <c r="AH73" s="22">
        <v>60.183300000000003</v>
      </c>
      <c r="AI73" s="22">
        <v>-1.45874E-2</v>
      </c>
      <c r="AJ73" s="22">
        <v>63</v>
      </c>
      <c r="AK73" s="22">
        <v>0.21670500000000001</v>
      </c>
      <c r="AL73">
        <f t="shared" si="6"/>
        <v>14.587400000000001</v>
      </c>
      <c r="AM73">
        <f t="shared" si="7"/>
        <v>3.1696232090000001</v>
      </c>
      <c r="AP73" s="9"/>
      <c r="AQ73" s="22">
        <v>1.4826999999999999</v>
      </c>
      <c r="AR73" s="22">
        <v>67.183000000000007</v>
      </c>
      <c r="AS73" s="22">
        <v>-5.8685300000000003E-3</v>
      </c>
      <c r="AT73" s="22">
        <v>63</v>
      </c>
      <c r="AU73" s="22">
        <v>1.48163</v>
      </c>
      <c r="AV73">
        <f t="shared" si="8"/>
        <v>5.8685300000000007</v>
      </c>
      <c r="AW73">
        <f t="shared" si="9"/>
        <v>8.7012694310000001</v>
      </c>
      <c r="AX73" s="9"/>
      <c r="AY73" s="22">
        <v>0.21728500000000001</v>
      </c>
      <c r="AZ73" s="22">
        <v>72.459599999999995</v>
      </c>
      <c r="BA73" s="22">
        <v>-1.44073E-2</v>
      </c>
      <c r="BB73" s="22">
        <v>63</v>
      </c>
      <c r="BC73" s="22">
        <v>0.21667500000000001</v>
      </c>
      <c r="BD73">
        <f t="shared" si="10"/>
        <v>14.407299999999999</v>
      </c>
      <c r="BE73">
        <f t="shared" si="11"/>
        <v>3.1304901804999998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7.3619000000000003</v>
      </c>
      <c r="I74" s="22">
        <v>-6.0424800000000002E-3</v>
      </c>
      <c r="J74" s="22">
        <v>64</v>
      </c>
      <c r="K74" s="22">
        <v>1.47675</v>
      </c>
      <c r="L74">
        <f t="shared" si="0"/>
        <v>6.0424800000000003</v>
      </c>
      <c r="M74">
        <f t="shared" si="1"/>
        <v>8.9287309968000006</v>
      </c>
      <c r="N74" s="9"/>
      <c r="O74" s="22">
        <v>0.22232099999999999</v>
      </c>
      <c r="P74" s="22">
        <v>46.8371</v>
      </c>
      <c r="Q74" s="22">
        <v>-1.5026899999999999E-2</v>
      </c>
      <c r="R74" s="22">
        <v>64</v>
      </c>
      <c r="S74" s="22">
        <v>0.221771</v>
      </c>
      <c r="T74">
        <f t="shared" si="2"/>
        <v>15.026899999999999</v>
      </c>
      <c r="U74">
        <f t="shared" si="3"/>
        <v>3.3407954348999995</v>
      </c>
      <c r="X74" s="9"/>
      <c r="Y74" s="22">
        <v>1.47766</v>
      </c>
      <c r="Z74" s="22">
        <v>54.648800000000001</v>
      </c>
      <c r="AA74" s="22">
        <v>-6.1645500000000004E-3</v>
      </c>
      <c r="AB74" s="22">
        <v>64</v>
      </c>
      <c r="AC74" s="22">
        <v>1.47675</v>
      </c>
      <c r="AD74">
        <f t="shared" si="4"/>
        <v>6.1645500000000002</v>
      </c>
      <c r="AE74">
        <f t="shared" si="5"/>
        <v>9.1091089529999998</v>
      </c>
      <c r="AF74" s="9"/>
      <c r="AG74" s="22">
        <v>0.22232099999999999</v>
      </c>
      <c r="AH74" s="22">
        <v>60.193399999999997</v>
      </c>
      <c r="AI74" s="22">
        <v>-1.4550799999999999E-2</v>
      </c>
      <c r="AJ74" s="22">
        <v>64</v>
      </c>
      <c r="AK74" s="22">
        <v>0.221771</v>
      </c>
      <c r="AL74">
        <f t="shared" si="6"/>
        <v>14.550799999999999</v>
      </c>
      <c r="AM74">
        <f t="shared" si="7"/>
        <v>3.2349484067999996</v>
      </c>
      <c r="AP74" s="9"/>
      <c r="AQ74" s="22">
        <v>1.47766</v>
      </c>
      <c r="AR74" s="22">
        <v>67.192999999999998</v>
      </c>
      <c r="AS74" s="22">
        <v>-5.9417699999999999E-3</v>
      </c>
      <c r="AT74" s="22">
        <v>64</v>
      </c>
      <c r="AU74" s="22">
        <v>1.47675</v>
      </c>
      <c r="AV74">
        <f t="shared" si="8"/>
        <v>5.94177</v>
      </c>
      <c r="AW74">
        <f t="shared" si="9"/>
        <v>8.779915858199999</v>
      </c>
      <c r="AX74" s="9"/>
      <c r="AY74" s="22">
        <v>0.22232099999999999</v>
      </c>
      <c r="AZ74" s="22">
        <v>72.469700000000003</v>
      </c>
      <c r="BA74" s="22">
        <v>-1.4379899999999999E-2</v>
      </c>
      <c r="BB74" s="22">
        <v>64</v>
      </c>
      <c r="BC74" s="22">
        <v>0.22174099999999999</v>
      </c>
      <c r="BD74">
        <f t="shared" si="10"/>
        <v>14.379899999999999</v>
      </c>
      <c r="BE74">
        <f t="shared" si="11"/>
        <v>3.1969537478999999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7.3719700000000001</v>
      </c>
      <c r="I75" s="22">
        <v>-6.1187699999999999E-3</v>
      </c>
      <c r="J75" s="22">
        <v>65</v>
      </c>
      <c r="K75" s="22">
        <v>1.47217</v>
      </c>
      <c r="L75">
        <f t="shared" si="0"/>
        <v>6.1187699999999996</v>
      </c>
      <c r="M75">
        <f t="shared" si="1"/>
        <v>9.0106842651000001</v>
      </c>
      <c r="N75" s="9"/>
      <c r="O75" s="22">
        <v>0.227356</v>
      </c>
      <c r="P75" s="22">
        <v>46.847200000000001</v>
      </c>
      <c r="Q75" s="22">
        <v>-1.49902E-2</v>
      </c>
      <c r="R75" s="22">
        <v>65</v>
      </c>
      <c r="S75" s="22">
        <v>0.226746</v>
      </c>
      <c r="T75">
        <f t="shared" si="2"/>
        <v>14.9902</v>
      </c>
      <c r="U75">
        <f t="shared" si="3"/>
        <v>3.4081119111999998</v>
      </c>
      <c r="X75" s="9"/>
      <c r="Y75" s="22">
        <v>1.4726300000000001</v>
      </c>
      <c r="Z75" s="22">
        <v>54.658900000000003</v>
      </c>
      <c r="AA75" s="22">
        <v>-6.2439000000000001E-3</v>
      </c>
      <c r="AB75" s="22">
        <v>65</v>
      </c>
      <c r="AC75" s="22">
        <v>1.47156</v>
      </c>
      <c r="AD75">
        <f t="shared" si="4"/>
        <v>6.2439</v>
      </c>
      <c r="AE75">
        <f t="shared" si="5"/>
        <v>9.1949544570000015</v>
      </c>
      <c r="AF75" s="9"/>
      <c r="AG75" s="22">
        <v>0.227356</v>
      </c>
      <c r="AH75" s="22">
        <v>60.203499999999998</v>
      </c>
      <c r="AI75" s="22">
        <v>-1.45203E-2</v>
      </c>
      <c r="AJ75" s="22">
        <v>65</v>
      </c>
      <c r="AK75" s="22">
        <v>0.22677600000000001</v>
      </c>
      <c r="AL75">
        <f t="shared" si="6"/>
        <v>14.520300000000001</v>
      </c>
      <c r="AM75">
        <f t="shared" si="7"/>
        <v>3.3012773268000002</v>
      </c>
      <c r="AP75" s="9"/>
      <c r="AQ75" s="22">
        <v>1.4726300000000001</v>
      </c>
      <c r="AR75" s="22">
        <v>67.203100000000006</v>
      </c>
      <c r="AS75" s="22">
        <v>-6.0150100000000003E-3</v>
      </c>
      <c r="AT75" s="22">
        <v>65</v>
      </c>
      <c r="AU75" s="22">
        <v>1.47217</v>
      </c>
      <c r="AV75">
        <f t="shared" si="8"/>
        <v>6.0150100000000002</v>
      </c>
      <c r="AW75">
        <f t="shared" si="9"/>
        <v>8.8578841763000007</v>
      </c>
      <c r="AX75" s="9"/>
      <c r="AY75" s="22">
        <v>0.227356</v>
      </c>
      <c r="AZ75" s="22">
        <v>72.479699999999994</v>
      </c>
      <c r="BA75" s="22">
        <v>-1.43524E-2</v>
      </c>
      <c r="BB75" s="22">
        <v>65</v>
      </c>
      <c r="BC75" s="22">
        <v>0.226715</v>
      </c>
      <c r="BD75">
        <f t="shared" si="10"/>
        <v>14.352399999999999</v>
      </c>
      <c r="BE75">
        <f t="shared" si="11"/>
        <v>3.2631042544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7.3820399999999999</v>
      </c>
      <c r="I76" s="22">
        <v>-6.1920200000000003E-3</v>
      </c>
      <c r="J76" s="22">
        <v>66</v>
      </c>
      <c r="K76" s="22">
        <v>1.4666699999999999</v>
      </c>
      <c r="L76">
        <f t="shared" ref="L76:L139" si="12">-I76/$F$2*1000</f>
        <v>6.1920200000000003</v>
      </c>
      <c r="M76">
        <f t="shared" ref="M76:M139" si="13">L76*G76</f>
        <v>9.0873466318000009</v>
      </c>
      <c r="N76" s="9"/>
      <c r="O76" s="22">
        <v>0.23239099999999999</v>
      </c>
      <c r="P76" s="22">
        <v>46.857300000000002</v>
      </c>
      <c r="Q76" s="22">
        <v>-1.4953599999999999E-2</v>
      </c>
      <c r="R76" s="22">
        <v>66</v>
      </c>
      <c r="S76" s="22">
        <v>0.23184199999999999</v>
      </c>
      <c r="T76">
        <f t="shared" ref="T76:T139" si="14">-Q76/$F$2*1000</f>
        <v>14.9536</v>
      </c>
      <c r="U76">
        <f t="shared" ref="U76:U139" si="15">T76*O76</f>
        <v>3.4750820575999999</v>
      </c>
      <c r="X76" s="9"/>
      <c r="Y76" s="22">
        <v>1.46759</v>
      </c>
      <c r="Z76" s="22">
        <v>54.668900000000001</v>
      </c>
      <c r="AA76" s="22">
        <v>-6.3171399999999997E-3</v>
      </c>
      <c r="AB76" s="22">
        <v>66</v>
      </c>
      <c r="AC76" s="22">
        <v>1.46637</v>
      </c>
      <c r="AD76">
        <f t="shared" ref="AD76:AD139" si="16">-AA76/$F$2*1000</f>
        <v>6.3171399999999993</v>
      </c>
      <c r="AE76">
        <f t="shared" ref="AE76:AE139" si="17">AD76*Y76</f>
        <v>9.2709714925999993</v>
      </c>
      <c r="AF76" s="9"/>
      <c r="AG76" s="22">
        <v>0.23239099999999999</v>
      </c>
      <c r="AH76" s="22">
        <v>60.213500000000003</v>
      </c>
      <c r="AI76" s="22">
        <v>-1.44928E-2</v>
      </c>
      <c r="AJ76" s="22">
        <v>66</v>
      </c>
      <c r="AK76" s="22">
        <v>0.23175000000000001</v>
      </c>
      <c r="AL76">
        <f t="shared" ref="AL76:AL139" si="18">-AI76/$F$2*1000</f>
        <v>14.492800000000001</v>
      </c>
      <c r="AM76">
        <f t="shared" ref="AM76:AM139" si="19">AL76*AG76</f>
        <v>3.3679962847999998</v>
      </c>
      <c r="AP76" s="9"/>
      <c r="AQ76" s="22">
        <v>1.46759</v>
      </c>
      <c r="AR76" s="22">
        <v>67.213200000000001</v>
      </c>
      <c r="AS76" s="22">
        <v>-6.0882599999999999E-3</v>
      </c>
      <c r="AT76" s="22">
        <v>66</v>
      </c>
      <c r="AU76" s="22">
        <v>1.46698</v>
      </c>
      <c r="AV76">
        <f t="shared" ref="AV76:AV139" si="20">-AS76/$F$2*1000</f>
        <v>6.08826</v>
      </c>
      <c r="AW76">
        <f t="shared" ref="AW76:AW139" si="21">AV76*AQ76</f>
        <v>8.9350694934000003</v>
      </c>
      <c r="AX76" s="9"/>
      <c r="AY76" s="22">
        <v>0.23239099999999999</v>
      </c>
      <c r="AZ76" s="22">
        <v>72.489800000000002</v>
      </c>
      <c r="BA76" s="22">
        <v>-1.43158E-2</v>
      </c>
      <c r="BB76" s="22">
        <v>66</v>
      </c>
      <c r="BC76" s="22">
        <v>0.23175000000000001</v>
      </c>
      <c r="BD76">
        <f t="shared" ref="BD76:BD139" si="22">-BA76/$F$2*1000</f>
        <v>14.315799999999999</v>
      </c>
      <c r="BE76">
        <f t="shared" ref="BE76:BE139" si="23">BD76*AY76</f>
        <v>3.3268630777999997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7.3921099999999997</v>
      </c>
      <c r="I77" s="22">
        <v>-6.2622099999999998E-3</v>
      </c>
      <c r="J77" s="22">
        <v>67</v>
      </c>
      <c r="K77" s="22">
        <v>1.4621</v>
      </c>
      <c r="L77">
        <f t="shared" si="12"/>
        <v>6.2622099999999996</v>
      </c>
      <c r="M77">
        <f t="shared" si="13"/>
        <v>9.1587952354999995</v>
      </c>
      <c r="N77" s="9"/>
      <c r="O77" s="22">
        <v>0.237427</v>
      </c>
      <c r="P77" s="22">
        <v>46.867400000000004</v>
      </c>
      <c r="Q77" s="22">
        <v>-1.4919999999999999E-2</v>
      </c>
      <c r="R77" s="22">
        <v>67</v>
      </c>
      <c r="S77" s="22">
        <v>0.236877</v>
      </c>
      <c r="T77">
        <f t="shared" si="14"/>
        <v>14.92</v>
      </c>
      <c r="U77">
        <f t="shared" si="15"/>
        <v>3.5424108400000001</v>
      </c>
      <c r="X77" s="9"/>
      <c r="Y77" s="22">
        <v>1.46255</v>
      </c>
      <c r="Z77" s="22">
        <v>54.679000000000002</v>
      </c>
      <c r="AA77" s="22">
        <v>-6.3903800000000002E-3</v>
      </c>
      <c r="AB77" s="22">
        <v>67</v>
      </c>
      <c r="AC77" s="22">
        <v>1.4621</v>
      </c>
      <c r="AD77">
        <f t="shared" si="16"/>
        <v>6.3903800000000004</v>
      </c>
      <c r="AE77">
        <f t="shared" si="17"/>
        <v>9.3462502690000004</v>
      </c>
      <c r="AF77" s="9"/>
      <c r="AG77" s="22">
        <v>0.237427</v>
      </c>
      <c r="AH77" s="22">
        <v>60.223599999999998</v>
      </c>
      <c r="AI77" s="22">
        <v>-1.4471400000000001E-2</v>
      </c>
      <c r="AJ77" s="22">
        <v>67</v>
      </c>
      <c r="AK77" s="22">
        <v>0.236877</v>
      </c>
      <c r="AL77">
        <f t="shared" si="18"/>
        <v>14.471400000000001</v>
      </c>
      <c r="AM77">
        <f t="shared" si="19"/>
        <v>3.4359010878</v>
      </c>
      <c r="AP77" s="9"/>
      <c r="AQ77" s="22">
        <v>1.46255</v>
      </c>
      <c r="AR77" s="22">
        <v>67.223200000000006</v>
      </c>
      <c r="AS77" s="22">
        <v>-6.1615000000000003E-3</v>
      </c>
      <c r="AT77" s="22">
        <v>67</v>
      </c>
      <c r="AU77" s="22">
        <v>1.4617899999999999</v>
      </c>
      <c r="AV77">
        <f t="shared" si="20"/>
        <v>6.1615000000000002</v>
      </c>
      <c r="AW77">
        <f t="shared" si="21"/>
        <v>9.0115018249999999</v>
      </c>
      <c r="AX77" s="9"/>
      <c r="AY77" s="22">
        <v>0.237427</v>
      </c>
      <c r="AZ77" s="22">
        <v>72.499899999999997</v>
      </c>
      <c r="BA77" s="22">
        <v>-1.4279200000000001E-2</v>
      </c>
      <c r="BB77" s="22">
        <v>67</v>
      </c>
      <c r="BC77" s="22">
        <v>0.236816</v>
      </c>
      <c r="BD77">
        <f t="shared" si="22"/>
        <v>14.279200000000001</v>
      </c>
      <c r="BE77">
        <f t="shared" si="23"/>
        <v>3.3902676184000002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7.4021800000000004</v>
      </c>
      <c r="I78" s="22">
        <v>-6.3324000000000002E-3</v>
      </c>
      <c r="J78" s="22">
        <v>68</v>
      </c>
      <c r="K78" s="22">
        <v>1.4562999999999999</v>
      </c>
      <c r="L78">
        <f t="shared" si="12"/>
        <v>6.3323999999999998</v>
      </c>
      <c r="M78">
        <f t="shared" si="13"/>
        <v>9.2295996479999989</v>
      </c>
      <c r="N78" s="9"/>
      <c r="O78" s="22">
        <v>0.24246200000000001</v>
      </c>
      <c r="P78" s="22">
        <v>46.877400000000002</v>
      </c>
      <c r="Q78" s="22">
        <v>-1.48895E-2</v>
      </c>
      <c r="R78" s="22">
        <v>68</v>
      </c>
      <c r="S78" s="22">
        <v>0.24173</v>
      </c>
      <c r="T78">
        <f t="shared" si="14"/>
        <v>14.8895</v>
      </c>
      <c r="U78">
        <f t="shared" si="15"/>
        <v>3.6101379490000003</v>
      </c>
      <c r="X78" s="9"/>
      <c r="Y78" s="22">
        <v>1.4575199999999999</v>
      </c>
      <c r="Z78" s="22">
        <v>54.689100000000003</v>
      </c>
      <c r="AA78" s="22">
        <v>-6.4575199999999996E-3</v>
      </c>
      <c r="AB78" s="22">
        <v>68</v>
      </c>
      <c r="AC78" s="22">
        <v>1.4569099999999999</v>
      </c>
      <c r="AD78">
        <f t="shared" si="16"/>
        <v>6.4575199999999997</v>
      </c>
      <c r="AE78">
        <f t="shared" si="17"/>
        <v>9.4119645503999987</v>
      </c>
      <c r="AF78" s="9"/>
      <c r="AG78" s="22">
        <v>0.24246200000000001</v>
      </c>
      <c r="AH78" s="22">
        <v>60.233699999999999</v>
      </c>
      <c r="AI78" s="22">
        <v>-1.4444E-2</v>
      </c>
      <c r="AJ78" s="22">
        <v>68</v>
      </c>
      <c r="AK78" s="22">
        <v>0.24179100000000001</v>
      </c>
      <c r="AL78">
        <f t="shared" si="18"/>
        <v>14.444000000000001</v>
      </c>
      <c r="AM78">
        <f t="shared" si="19"/>
        <v>3.5021211280000002</v>
      </c>
      <c r="AP78" s="9"/>
      <c r="AQ78" s="22">
        <v>1.4575199999999999</v>
      </c>
      <c r="AR78" s="22">
        <v>67.2333</v>
      </c>
      <c r="AS78" s="22">
        <v>-6.2316899999999998E-3</v>
      </c>
      <c r="AT78" s="22">
        <v>68</v>
      </c>
      <c r="AU78" s="22">
        <v>1.4565999999999999</v>
      </c>
      <c r="AV78">
        <f t="shared" si="20"/>
        <v>6.2316899999999995</v>
      </c>
      <c r="AW78">
        <f t="shared" si="21"/>
        <v>9.0828128087999982</v>
      </c>
      <c r="AX78" s="9"/>
      <c r="AY78" s="22">
        <v>0.24246200000000001</v>
      </c>
      <c r="AZ78" s="22">
        <v>72.509900000000002</v>
      </c>
      <c r="BA78" s="22">
        <v>-1.4242599999999999E-2</v>
      </c>
      <c r="BB78" s="22">
        <v>68</v>
      </c>
      <c r="BC78" s="22">
        <v>0.24185200000000001</v>
      </c>
      <c r="BD78">
        <f t="shared" si="22"/>
        <v>14.242599999999999</v>
      </c>
      <c r="BE78">
        <f t="shared" si="23"/>
        <v>3.4532892812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7.4122500000000002</v>
      </c>
      <c r="I79" s="22">
        <v>-6.4025899999999997E-3</v>
      </c>
      <c r="J79" s="22">
        <v>69</v>
      </c>
      <c r="K79" s="22">
        <v>1.4517199999999999</v>
      </c>
      <c r="L79">
        <f t="shared" si="12"/>
        <v>6.40259</v>
      </c>
      <c r="M79">
        <f t="shared" si="13"/>
        <v>9.2996339232</v>
      </c>
      <c r="N79" s="9"/>
      <c r="O79" s="22">
        <v>0.247498</v>
      </c>
      <c r="P79" s="22">
        <v>46.887500000000003</v>
      </c>
      <c r="Q79" s="22">
        <v>-1.48468E-2</v>
      </c>
      <c r="R79" s="22">
        <v>69</v>
      </c>
      <c r="S79" s="22">
        <v>0.246948</v>
      </c>
      <c r="T79">
        <f t="shared" si="14"/>
        <v>14.8468</v>
      </c>
      <c r="U79">
        <f t="shared" si="15"/>
        <v>3.6745533064</v>
      </c>
      <c r="X79" s="9"/>
      <c r="Y79" s="22">
        <v>1.45248</v>
      </c>
      <c r="Z79" s="22">
        <v>54.699100000000001</v>
      </c>
      <c r="AA79" s="22">
        <v>-6.5277099999999999E-3</v>
      </c>
      <c r="AB79" s="22">
        <v>69</v>
      </c>
      <c r="AC79" s="22">
        <v>1.4517199999999999</v>
      </c>
      <c r="AD79">
        <f t="shared" si="16"/>
        <v>6.5277099999999999</v>
      </c>
      <c r="AE79">
        <f t="shared" si="17"/>
        <v>9.4813682208000003</v>
      </c>
      <c r="AF79" s="9"/>
      <c r="AG79" s="22">
        <v>0.247498</v>
      </c>
      <c r="AH79" s="22">
        <v>60.2438</v>
      </c>
      <c r="AI79" s="22">
        <v>-1.44073E-2</v>
      </c>
      <c r="AJ79" s="22">
        <v>69</v>
      </c>
      <c r="AK79" s="22">
        <v>0.246979</v>
      </c>
      <c r="AL79">
        <f t="shared" si="18"/>
        <v>14.407299999999999</v>
      </c>
      <c r="AM79">
        <f t="shared" si="19"/>
        <v>3.5657779353999999</v>
      </c>
      <c r="AP79" s="9"/>
      <c r="AQ79" s="22">
        <v>1.45248</v>
      </c>
      <c r="AR79" s="22">
        <v>67.243399999999994</v>
      </c>
      <c r="AS79" s="22">
        <v>-6.3018800000000002E-3</v>
      </c>
      <c r="AT79" s="22">
        <v>69</v>
      </c>
      <c r="AU79" s="22">
        <v>1.4514199999999999</v>
      </c>
      <c r="AV79">
        <f t="shared" si="20"/>
        <v>6.3018800000000006</v>
      </c>
      <c r="AW79">
        <f t="shared" si="21"/>
        <v>9.1533546624</v>
      </c>
      <c r="AX79" s="9"/>
      <c r="AY79" s="22">
        <v>0.247498</v>
      </c>
      <c r="AZ79" s="22">
        <v>72.52</v>
      </c>
      <c r="BA79" s="22">
        <v>-1.42151E-2</v>
      </c>
      <c r="BB79" s="22">
        <v>69</v>
      </c>
      <c r="BC79" s="22">
        <v>0.246887</v>
      </c>
      <c r="BD79">
        <f t="shared" si="22"/>
        <v>14.2151</v>
      </c>
      <c r="BE79">
        <f t="shared" si="23"/>
        <v>3.5182088197999999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7.42232</v>
      </c>
      <c r="I80" s="22">
        <v>-6.4697299999999999E-3</v>
      </c>
      <c r="J80" s="22">
        <v>70</v>
      </c>
      <c r="K80" s="22">
        <v>1.4468399999999999</v>
      </c>
      <c r="L80">
        <f t="shared" si="12"/>
        <v>6.4697300000000002</v>
      </c>
      <c r="M80">
        <f t="shared" si="13"/>
        <v>9.3646106884999991</v>
      </c>
      <c r="N80" s="9"/>
      <c r="O80" s="22">
        <v>0.25253300000000001</v>
      </c>
      <c r="P80" s="22">
        <v>46.897599999999997</v>
      </c>
      <c r="Q80" s="22">
        <v>-1.4819300000000001E-2</v>
      </c>
      <c r="R80" s="22">
        <v>70</v>
      </c>
      <c r="S80" s="22">
        <v>0.25192300000000001</v>
      </c>
      <c r="T80">
        <f t="shared" si="14"/>
        <v>14.8193</v>
      </c>
      <c r="U80">
        <f t="shared" si="15"/>
        <v>3.7423622869000002</v>
      </c>
      <c r="X80" s="9"/>
      <c r="Y80" s="22">
        <v>1.4474499999999999</v>
      </c>
      <c r="Z80" s="22">
        <v>54.709200000000003</v>
      </c>
      <c r="AA80" s="22">
        <v>-6.5979000000000003E-3</v>
      </c>
      <c r="AB80" s="22">
        <v>70</v>
      </c>
      <c r="AC80" s="22">
        <v>1.4465300000000001</v>
      </c>
      <c r="AD80">
        <f t="shared" si="16"/>
        <v>6.5979000000000001</v>
      </c>
      <c r="AE80">
        <f t="shared" si="17"/>
        <v>9.5501303550000003</v>
      </c>
      <c r="AF80" s="9"/>
      <c r="AG80" s="22">
        <v>0.25253300000000001</v>
      </c>
      <c r="AH80" s="22">
        <v>60.253799999999998</v>
      </c>
      <c r="AI80" s="22">
        <v>-1.4379899999999999E-2</v>
      </c>
      <c r="AJ80" s="22">
        <v>70</v>
      </c>
      <c r="AK80" s="22">
        <v>0.251892</v>
      </c>
      <c r="AL80">
        <f t="shared" si="18"/>
        <v>14.379899999999999</v>
      </c>
      <c r="AM80">
        <f t="shared" si="19"/>
        <v>3.6313992866999998</v>
      </c>
      <c r="AP80" s="9"/>
      <c r="AQ80" s="22">
        <v>1.4474499999999999</v>
      </c>
      <c r="AR80" s="22">
        <v>67.253500000000003</v>
      </c>
      <c r="AS80" s="22">
        <v>-6.3720699999999996E-3</v>
      </c>
      <c r="AT80" s="22">
        <v>70</v>
      </c>
      <c r="AU80" s="22">
        <v>1.4462299999999999</v>
      </c>
      <c r="AV80">
        <f t="shared" si="20"/>
        <v>6.3720699999999999</v>
      </c>
      <c r="AW80">
        <f t="shared" si="21"/>
        <v>9.2232527214999998</v>
      </c>
      <c r="AX80" s="9"/>
      <c r="AY80" s="22">
        <v>0.25253300000000001</v>
      </c>
      <c r="AZ80" s="22">
        <v>72.530100000000004</v>
      </c>
      <c r="BA80" s="22">
        <v>-1.4190700000000001E-2</v>
      </c>
      <c r="BB80" s="22">
        <v>70</v>
      </c>
      <c r="BC80" s="22">
        <v>0.25192300000000001</v>
      </c>
      <c r="BD80">
        <f t="shared" si="22"/>
        <v>14.1907</v>
      </c>
      <c r="BE80">
        <f t="shared" si="23"/>
        <v>3.5836200430999998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7.4323899999999998</v>
      </c>
      <c r="I81" s="22">
        <v>-6.5399200000000003E-3</v>
      </c>
      <c r="J81" s="22">
        <v>71</v>
      </c>
      <c r="K81" s="22">
        <v>1.4413499999999999</v>
      </c>
      <c r="L81">
        <f t="shared" si="12"/>
        <v>6.5399200000000004</v>
      </c>
      <c r="M81">
        <f t="shared" si="13"/>
        <v>9.4332460072000011</v>
      </c>
      <c r="N81" s="9"/>
      <c r="O81" s="22">
        <v>0.25756800000000002</v>
      </c>
      <c r="P81" s="22">
        <v>46.907600000000002</v>
      </c>
      <c r="Q81" s="22">
        <v>-1.47919E-2</v>
      </c>
      <c r="R81" s="22">
        <v>71</v>
      </c>
      <c r="S81" s="22">
        <v>0.25689699999999999</v>
      </c>
      <c r="T81">
        <f t="shared" si="14"/>
        <v>14.7919</v>
      </c>
      <c r="U81">
        <f t="shared" si="15"/>
        <v>3.8099200992000002</v>
      </c>
      <c r="X81" s="9"/>
      <c r="Y81" s="22">
        <v>1.44241</v>
      </c>
      <c r="Z81" s="22">
        <v>54.719299999999997</v>
      </c>
      <c r="AA81" s="22">
        <v>-6.6680899999999998E-3</v>
      </c>
      <c r="AB81" s="22">
        <v>71</v>
      </c>
      <c r="AC81" s="22">
        <v>1.4416500000000001</v>
      </c>
      <c r="AD81">
        <f t="shared" si="16"/>
        <v>6.6680899999999994</v>
      </c>
      <c r="AE81">
        <f t="shared" si="17"/>
        <v>9.6181196968999991</v>
      </c>
      <c r="AF81" s="9"/>
      <c r="AG81" s="22">
        <v>0.25756800000000002</v>
      </c>
      <c r="AH81" s="22">
        <v>60.2639</v>
      </c>
      <c r="AI81" s="22">
        <v>-1.43494E-2</v>
      </c>
      <c r="AJ81" s="22">
        <v>71</v>
      </c>
      <c r="AK81" s="22">
        <v>0.25692700000000002</v>
      </c>
      <c r="AL81">
        <f t="shared" si="18"/>
        <v>14.349399999999999</v>
      </c>
      <c r="AM81">
        <f t="shared" si="19"/>
        <v>3.6959462592000003</v>
      </c>
      <c r="AP81" s="9"/>
      <c r="AQ81" s="22">
        <v>1.44241</v>
      </c>
      <c r="AR81" s="22">
        <v>67.263499999999993</v>
      </c>
      <c r="AS81" s="22">
        <v>-6.44226E-3</v>
      </c>
      <c r="AT81" s="22">
        <v>71</v>
      </c>
      <c r="AU81" s="22">
        <v>1.4413499999999999</v>
      </c>
      <c r="AV81">
        <f t="shared" si="20"/>
        <v>6.4422600000000001</v>
      </c>
      <c r="AW81">
        <f t="shared" si="21"/>
        <v>9.2923802466000005</v>
      </c>
      <c r="AX81" s="9"/>
      <c r="AY81" s="22">
        <v>0.25756800000000002</v>
      </c>
      <c r="AZ81" s="22">
        <v>72.540099999999995</v>
      </c>
      <c r="BA81" s="22">
        <v>-1.4154099999999999E-2</v>
      </c>
      <c r="BB81" s="22">
        <v>71</v>
      </c>
      <c r="BC81" s="22">
        <v>0.25692700000000002</v>
      </c>
      <c r="BD81">
        <f t="shared" si="22"/>
        <v>14.1541</v>
      </c>
      <c r="BE81">
        <f t="shared" si="23"/>
        <v>3.6456432288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7.4424599999999996</v>
      </c>
      <c r="I82" s="22">
        <v>-6.6101099999999998E-3</v>
      </c>
      <c r="J82" s="22">
        <v>72</v>
      </c>
      <c r="K82" s="22">
        <v>1.4361600000000001</v>
      </c>
      <c r="L82">
        <f t="shared" si="12"/>
        <v>6.6101099999999997</v>
      </c>
      <c r="M82">
        <f t="shared" si="13"/>
        <v>9.5012399118000008</v>
      </c>
      <c r="N82" s="9"/>
      <c r="O82" s="22">
        <v>0.262604</v>
      </c>
      <c r="P82" s="22">
        <v>46.917700000000004</v>
      </c>
      <c r="Q82" s="22">
        <v>-1.47583E-2</v>
      </c>
      <c r="R82" s="22">
        <v>72</v>
      </c>
      <c r="S82" s="22">
        <v>0.26187100000000002</v>
      </c>
      <c r="T82">
        <f t="shared" si="14"/>
        <v>14.7583</v>
      </c>
      <c r="U82">
        <f t="shared" si="15"/>
        <v>3.8755886132000001</v>
      </c>
      <c r="X82" s="9"/>
      <c r="Y82" s="22">
        <v>1.4373800000000001</v>
      </c>
      <c r="Z82" s="22">
        <v>54.729300000000002</v>
      </c>
      <c r="AA82" s="22">
        <v>-6.7382800000000001E-3</v>
      </c>
      <c r="AB82" s="22">
        <v>72</v>
      </c>
      <c r="AC82" s="22">
        <v>1.4364600000000001</v>
      </c>
      <c r="AD82">
        <f t="shared" si="16"/>
        <v>6.7382800000000005</v>
      </c>
      <c r="AE82">
        <f t="shared" si="17"/>
        <v>9.6854689064000006</v>
      </c>
      <c r="AF82" s="9"/>
      <c r="AG82" s="22">
        <v>0.262604</v>
      </c>
      <c r="AH82" s="22">
        <v>60.274000000000001</v>
      </c>
      <c r="AI82" s="22">
        <v>-1.4312699999999999E-2</v>
      </c>
      <c r="AJ82" s="22">
        <v>72</v>
      </c>
      <c r="AK82" s="22">
        <v>0.26199299999999998</v>
      </c>
      <c r="AL82">
        <f t="shared" si="18"/>
        <v>14.3127</v>
      </c>
      <c r="AM82">
        <f t="shared" si="19"/>
        <v>3.7585722707999998</v>
      </c>
      <c r="AP82" s="9"/>
      <c r="AQ82" s="22">
        <v>1.4373800000000001</v>
      </c>
      <c r="AR82" s="22">
        <v>67.273600000000002</v>
      </c>
      <c r="AS82" s="22">
        <v>-6.5124500000000004E-3</v>
      </c>
      <c r="AT82" s="22">
        <v>72</v>
      </c>
      <c r="AU82" s="22">
        <v>1.4364600000000001</v>
      </c>
      <c r="AV82">
        <f t="shared" si="20"/>
        <v>6.5124500000000003</v>
      </c>
      <c r="AW82">
        <f t="shared" si="21"/>
        <v>9.3608653810000018</v>
      </c>
      <c r="AX82" s="9"/>
      <c r="AY82" s="22">
        <v>0.262604</v>
      </c>
      <c r="AZ82" s="22">
        <v>72.550200000000004</v>
      </c>
      <c r="BA82" s="22">
        <v>-1.4120499999999999E-2</v>
      </c>
      <c r="BB82" s="22">
        <v>72</v>
      </c>
      <c r="BC82" s="22">
        <v>0.261932</v>
      </c>
      <c r="BD82">
        <f t="shared" si="22"/>
        <v>14.1205</v>
      </c>
      <c r="BE82">
        <f t="shared" si="23"/>
        <v>3.7080997820000001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7.4525399999999999</v>
      </c>
      <c r="I83" s="22">
        <v>-6.67725E-3</v>
      </c>
      <c r="J83" s="22">
        <v>73</v>
      </c>
      <c r="K83" s="22">
        <v>1.43188</v>
      </c>
      <c r="L83">
        <f t="shared" si="12"/>
        <v>6.6772499999999999</v>
      </c>
      <c r="M83">
        <f t="shared" si="13"/>
        <v>9.5640922649999993</v>
      </c>
      <c r="N83" s="9"/>
      <c r="O83" s="22">
        <v>0.26763900000000002</v>
      </c>
      <c r="P83" s="22">
        <v>46.927799999999998</v>
      </c>
      <c r="Q83" s="22">
        <v>-1.4721700000000001E-2</v>
      </c>
      <c r="R83" s="22">
        <v>73</v>
      </c>
      <c r="S83" s="22">
        <v>0.26702900000000002</v>
      </c>
      <c r="T83">
        <f t="shared" si="14"/>
        <v>14.7217</v>
      </c>
      <c r="U83">
        <f t="shared" si="15"/>
        <v>3.9401010663000005</v>
      </c>
      <c r="X83" s="9"/>
      <c r="Y83" s="22">
        <v>1.4323399999999999</v>
      </c>
      <c r="Z83" s="22">
        <v>54.739400000000003</v>
      </c>
      <c r="AA83" s="22">
        <v>-6.8084699999999996E-3</v>
      </c>
      <c r="AB83" s="22">
        <v>73</v>
      </c>
      <c r="AC83" s="22">
        <v>1.4321900000000001</v>
      </c>
      <c r="AD83">
        <f t="shared" si="16"/>
        <v>6.8084699999999998</v>
      </c>
      <c r="AE83">
        <f t="shared" si="17"/>
        <v>9.7520439198000002</v>
      </c>
      <c r="AF83" s="9"/>
      <c r="AG83" s="22">
        <v>0.26763900000000002</v>
      </c>
      <c r="AH83" s="22">
        <v>60.283999999999999</v>
      </c>
      <c r="AI83" s="22">
        <v>-1.4279200000000001E-2</v>
      </c>
      <c r="AJ83" s="22">
        <v>73</v>
      </c>
      <c r="AK83" s="22">
        <v>0.26705899999999999</v>
      </c>
      <c r="AL83">
        <f t="shared" si="18"/>
        <v>14.279200000000001</v>
      </c>
      <c r="AM83">
        <f t="shared" si="19"/>
        <v>3.8216708088000004</v>
      </c>
      <c r="AP83" s="9"/>
      <c r="AQ83" s="22">
        <v>1.4323399999999999</v>
      </c>
      <c r="AR83" s="22">
        <v>67.283699999999996</v>
      </c>
      <c r="AS83" s="22">
        <v>-6.5765399999999996E-3</v>
      </c>
      <c r="AT83" s="22">
        <v>73</v>
      </c>
      <c r="AU83" s="22">
        <v>1.43188</v>
      </c>
      <c r="AV83">
        <f t="shared" si="20"/>
        <v>6.5765399999999996</v>
      </c>
      <c r="AW83">
        <f t="shared" si="21"/>
        <v>9.4198413035999984</v>
      </c>
      <c r="AX83" s="9"/>
      <c r="AY83" s="22">
        <v>0.26763900000000002</v>
      </c>
      <c r="AZ83" s="22">
        <v>72.560299999999998</v>
      </c>
      <c r="BA83" s="22">
        <v>-1.40778E-2</v>
      </c>
      <c r="BB83" s="22">
        <v>73</v>
      </c>
      <c r="BC83" s="22">
        <v>0.26699800000000001</v>
      </c>
      <c r="BD83">
        <f t="shared" si="22"/>
        <v>14.0778</v>
      </c>
      <c r="BE83">
        <f t="shared" si="23"/>
        <v>3.7677683142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7.4626099999999997</v>
      </c>
      <c r="I84" s="22">
        <v>-6.7443800000000003E-3</v>
      </c>
      <c r="J84" s="22">
        <v>74</v>
      </c>
      <c r="K84" s="22">
        <v>1.42639</v>
      </c>
      <c r="L84">
        <f t="shared" si="12"/>
        <v>6.7443800000000005</v>
      </c>
      <c r="M84">
        <f t="shared" si="13"/>
        <v>9.6263210178000005</v>
      </c>
      <c r="N84" s="9"/>
      <c r="O84" s="22">
        <v>0.272675</v>
      </c>
      <c r="P84" s="22">
        <v>46.937800000000003</v>
      </c>
      <c r="Q84" s="22">
        <v>-1.4678999999999999E-2</v>
      </c>
      <c r="R84" s="22">
        <v>74</v>
      </c>
      <c r="S84" s="22">
        <v>0.27200299999999999</v>
      </c>
      <c r="T84">
        <f t="shared" si="14"/>
        <v>14.678999999999998</v>
      </c>
      <c r="U84">
        <f t="shared" si="15"/>
        <v>4.0025963249999998</v>
      </c>
      <c r="X84" s="9"/>
      <c r="Y84" s="22">
        <v>1.4273100000000001</v>
      </c>
      <c r="Z84" s="22">
        <v>54.749499999999998</v>
      </c>
      <c r="AA84" s="22">
        <v>-6.87866E-3</v>
      </c>
      <c r="AB84" s="22">
        <v>74</v>
      </c>
      <c r="AC84" s="22">
        <v>1.4267000000000001</v>
      </c>
      <c r="AD84">
        <f t="shared" si="16"/>
        <v>6.87866</v>
      </c>
      <c r="AE84">
        <f t="shared" si="17"/>
        <v>9.8179802046000013</v>
      </c>
      <c r="AF84" s="9"/>
      <c r="AG84" s="22">
        <v>0.272675</v>
      </c>
      <c r="AH84" s="22">
        <v>60.2941</v>
      </c>
      <c r="AI84" s="22">
        <v>-1.42487E-2</v>
      </c>
      <c r="AJ84" s="22">
        <v>74</v>
      </c>
      <c r="AK84" s="22">
        <v>0.27197300000000002</v>
      </c>
      <c r="AL84">
        <f t="shared" si="18"/>
        <v>14.248699999999999</v>
      </c>
      <c r="AM84">
        <f t="shared" si="19"/>
        <v>3.8852642724999997</v>
      </c>
      <c r="AP84" s="9"/>
      <c r="AQ84" s="22">
        <v>1.4273100000000001</v>
      </c>
      <c r="AR84" s="22">
        <v>67.293700000000001</v>
      </c>
      <c r="AS84" s="22">
        <v>-6.6406299999999998E-3</v>
      </c>
      <c r="AT84" s="22">
        <v>74</v>
      </c>
      <c r="AU84" s="22">
        <v>1.4260900000000001</v>
      </c>
      <c r="AV84">
        <f t="shared" si="20"/>
        <v>6.6406299999999998</v>
      </c>
      <c r="AW84">
        <f t="shared" si="21"/>
        <v>9.4782376053000004</v>
      </c>
      <c r="AX84" s="9"/>
      <c r="AY84" s="22">
        <v>0.272675</v>
      </c>
      <c r="AZ84" s="22">
        <v>72.570400000000006</v>
      </c>
      <c r="BA84" s="22">
        <v>-1.4041100000000001E-2</v>
      </c>
      <c r="BB84" s="22">
        <v>74</v>
      </c>
      <c r="BC84" s="22">
        <v>0.27209499999999998</v>
      </c>
      <c r="BD84">
        <f t="shared" si="22"/>
        <v>14.0411</v>
      </c>
      <c r="BE84">
        <f t="shared" si="23"/>
        <v>3.8286569424999999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7.4726800000000004</v>
      </c>
      <c r="I85" s="22">
        <v>-6.8145799999999998E-3</v>
      </c>
      <c r="J85" s="22">
        <v>75</v>
      </c>
      <c r="K85" s="22">
        <v>1.4212</v>
      </c>
      <c r="L85">
        <f t="shared" si="12"/>
        <v>6.8145799999999994</v>
      </c>
      <c r="M85">
        <f t="shared" si="13"/>
        <v>9.6921726965999984</v>
      </c>
      <c r="N85" s="9"/>
      <c r="O85" s="22">
        <v>0.27771000000000001</v>
      </c>
      <c r="P85" s="22">
        <v>46.947899999999997</v>
      </c>
      <c r="Q85" s="22">
        <v>-1.4633200000000001E-2</v>
      </c>
      <c r="R85" s="22">
        <v>75</v>
      </c>
      <c r="S85" s="22">
        <v>0.27712999999999999</v>
      </c>
      <c r="T85">
        <f t="shared" si="14"/>
        <v>14.6332</v>
      </c>
      <c r="U85">
        <f t="shared" si="15"/>
        <v>4.0637859720000007</v>
      </c>
      <c r="X85" s="9"/>
      <c r="Y85" s="22">
        <v>1.4222699999999999</v>
      </c>
      <c r="Z85" s="22">
        <v>54.759599999999999</v>
      </c>
      <c r="AA85" s="22">
        <v>-6.9488500000000003E-3</v>
      </c>
      <c r="AB85" s="22">
        <v>75</v>
      </c>
      <c r="AC85" s="22">
        <v>1.42181</v>
      </c>
      <c r="AD85">
        <f t="shared" si="16"/>
        <v>6.9488500000000002</v>
      </c>
      <c r="AE85">
        <f t="shared" si="17"/>
        <v>9.8831408894999999</v>
      </c>
      <c r="AF85" s="9"/>
      <c r="AG85" s="22">
        <v>0.27771000000000001</v>
      </c>
      <c r="AH85" s="22">
        <v>60.304200000000002</v>
      </c>
      <c r="AI85" s="22">
        <v>-1.42273E-2</v>
      </c>
      <c r="AJ85" s="22">
        <v>75</v>
      </c>
      <c r="AK85" s="22">
        <v>0.27700799999999998</v>
      </c>
      <c r="AL85">
        <f t="shared" si="18"/>
        <v>14.2273</v>
      </c>
      <c r="AM85">
        <f t="shared" si="19"/>
        <v>3.951063483</v>
      </c>
      <c r="AP85" s="9"/>
      <c r="AQ85" s="22">
        <v>1.4222699999999999</v>
      </c>
      <c r="AR85" s="22">
        <v>67.303799999999995</v>
      </c>
      <c r="AS85" s="22">
        <v>-6.70471E-3</v>
      </c>
      <c r="AT85" s="22">
        <v>75</v>
      </c>
      <c r="AU85" s="22">
        <v>1.4215100000000001</v>
      </c>
      <c r="AV85">
        <f t="shared" si="20"/>
        <v>6.7047100000000004</v>
      </c>
      <c r="AW85">
        <f t="shared" si="21"/>
        <v>9.5359078917000009</v>
      </c>
      <c r="AX85" s="9"/>
      <c r="AY85" s="22">
        <v>0.27771000000000001</v>
      </c>
      <c r="AZ85" s="22">
        <v>72.580399999999997</v>
      </c>
      <c r="BA85" s="22">
        <v>-1.40045E-2</v>
      </c>
      <c r="BB85" s="22">
        <v>75</v>
      </c>
      <c r="BC85" s="22">
        <v>0.27706900000000001</v>
      </c>
      <c r="BD85">
        <f t="shared" si="22"/>
        <v>14.0045</v>
      </c>
      <c r="BE85">
        <f t="shared" si="23"/>
        <v>3.8891896950000002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7.4827500000000002</v>
      </c>
      <c r="I86" s="22">
        <v>-6.8817100000000001E-3</v>
      </c>
      <c r="J86" s="22">
        <v>76</v>
      </c>
      <c r="K86" s="22">
        <v>1.41632</v>
      </c>
      <c r="L86">
        <f t="shared" si="12"/>
        <v>6.88171</v>
      </c>
      <c r="M86">
        <f t="shared" si="13"/>
        <v>9.7530346804000008</v>
      </c>
      <c r="N86" s="9"/>
      <c r="O86" s="22">
        <v>0.28274500000000002</v>
      </c>
      <c r="P86" s="22">
        <v>46.957999999999998</v>
      </c>
      <c r="Q86" s="22">
        <v>-1.45966E-2</v>
      </c>
      <c r="R86" s="22">
        <v>76</v>
      </c>
      <c r="S86" s="22">
        <v>0.28204299999999999</v>
      </c>
      <c r="T86">
        <f t="shared" si="14"/>
        <v>14.596599999999999</v>
      </c>
      <c r="U86">
        <f t="shared" si="15"/>
        <v>4.127115667</v>
      </c>
      <c r="X86" s="9"/>
      <c r="Y86" s="22">
        <v>1.4172400000000001</v>
      </c>
      <c r="Z86" s="22">
        <v>54.769599999999997</v>
      </c>
      <c r="AA86" s="22">
        <v>-7.0159899999999997E-3</v>
      </c>
      <c r="AB86" s="22">
        <v>76</v>
      </c>
      <c r="AC86" s="22">
        <v>1.4166300000000001</v>
      </c>
      <c r="AD86">
        <f t="shared" si="16"/>
        <v>7.0159899999999995</v>
      </c>
      <c r="AE86">
        <f t="shared" si="17"/>
        <v>9.9433416676000004</v>
      </c>
      <c r="AF86" s="9"/>
      <c r="AG86" s="22">
        <v>0.28274500000000002</v>
      </c>
      <c r="AH86" s="22">
        <v>60.314300000000003</v>
      </c>
      <c r="AI86" s="22">
        <v>-1.4196800000000001E-2</v>
      </c>
      <c r="AJ86" s="22">
        <v>76</v>
      </c>
      <c r="AK86" s="22">
        <v>0.28213500000000002</v>
      </c>
      <c r="AL86">
        <f t="shared" si="18"/>
        <v>14.196800000000001</v>
      </c>
      <c r="AM86">
        <f t="shared" si="19"/>
        <v>4.0140742160000009</v>
      </c>
      <c r="AP86" s="9"/>
      <c r="AQ86" s="22">
        <v>1.4172400000000001</v>
      </c>
      <c r="AR86" s="22">
        <v>67.313900000000004</v>
      </c>
      <c r="AS86" s="22">
        <v>-6.7688000000000002E-3</v>
      </c>
      <c r="AT86" s="22">
        <v>76</v>
      </c>
      <c r="AU86" s="22">
        <v>1.4166300000000001</v>
      </c>
      <c r="AV86">
        <f t="shared" si="20"/>
        <v>6.7688000000000006</v>
      </c>
      <c r="AW86">
        <f t="shared" si="21"/>
        <v>9.5930141120000005</v>
      </c>
      <c r="AX86" s="9"/>
      <c r="AY86" s="22">
        <v>0.28274500000000002</v>
      </c>
      <c r="AZ86" s="22">
        <v>72.590500000000006</v>
      </c>
      <c r="BA86" s="22">
        <v>-1.39709E-2</v>
      </c>
      <c r="BB86" s="22">
        <v>76</v>
      </c>
      <c r="BC86" s="22">
        <v>0.28213500000000002</v>
      </c>
      <c r="BD86">
        <f t="shared" si="22"/>
        <v>13.9709</v>
      </c>
      <c r="BE86">
        <f t="shared" si="23"/>
        <v>3.9502021205000006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7.49282</v>
      </c>
      <c r="I87" s="22">
        <v>-6.9458000000000002E-3</v>
      </c>
      <c r="J87" s="22">
        <v>77</v>
      </c>
      <c r="K87" s="22">
        <v>1.41174</v>
      </c>
      <c r="L87">
        <f t="shared" si="12"/>
        <v>6.9458000000000002</v>
      </c>
      <c r="M87">
        <f t="shared" si="13"/>
        <v>9.8088587599999997</v>
      </c>
      <c r="N87" s="9"/>
      <c r="O87" s="22">
        <v>0.28778100000000001</v>
      </c>
      <c r="P87" s="22">
        <v>46.9681</v>
      </c>
      <c r="Q87" s="22">
        <v>-1.45691E-2</v>
      </c>
      <c r="R87" s="22">
        <v>77</v>
      </c>
      <c r="S87" s="22">
        <v>0.28716999999999998</v>
      </c>
      <c r="T87">
        <f t="shared" si="14"/>
        <v>14.569100000000001</v>
      </c>
      <c r="U87">
        <f t="shared" si="15"/>
        <v>4.1927101671000004</v>
      </c>
      <c r="X87" s="9"/>
      <c r="Y87" s="22">
        <v>1.4121999999999999</v>
      </c>
      <c r="Z87" s="22">
        <v>54.779699999999998</v>
      </c>
      <c r="AA87" s="22">
        <v>-7.0770299999999998E-3</v>
      </c>
      <c r="AB87" s="22">
        <v>77</v>
      </c>
      <c r="AC87" s="22">
        <v>1.41144</v>
      </c>
      <c r="AD87">
        <f t="shared" si="16"/>
        <v>7.0770299999999997</v>
      </c>
      <c r="AE87">
        <f t="shared" si="17"/>
        <v>9.9941817659999987</v>
      </c>
      <c r="AF87" s="9"/>
      <c r="AG87" s="22">
        <v>0.28778100000000001</v>
      </c>
      <c r="AH87" s="22">
        <v>60.324300000000001</v>
      </c>
      <c r="AI87" s="22">
        <v>-1.4157100000000001E-2</v>
      </c>
      <c r="AJ87" s="22">
        <v>77</v>
      </c>
      <c r="AK87" s="22">
        <v>0.28714000000000001</v>
      </c>
      <c r="AL87">
        <f t="shared" si="18"/>
        <v>14.1571</v>
      </c>
      <c r="AM87">
        <f t="shared" si="19"/>
        <v>4.0741443951000003</v>
      </c>
      <c r="AP87" s="9"/>
      <c r="AQ87" s="22">
        <v>1.4121999999999999</v>
      </c>
      <c r="AR87" s="22">
        <v>67.323999999999998</v>
      </c>
      <c r="AS87" s="22">
        <v>-6.8298300000000003E-3</v>
      </c>
      <c r="AT87" s="22">
        <v>77</v>
      </c>
      <c r="AU87" s="22">
        <v>1.41144</v>
      </c>
      <c r="AV87">
        <f t="shared" si="20"/>
        <v>6.8298300000000003</v>
      </c>
      <c r="AW87">
        <f t="shared" si="21"/>
        <v>9.6450859260000001</v>
      </c>
      <c r="AX87" s="9"/>
      <c r="AY87" s="22">
        <v>0.28778100000000001</v>
      </c>
      <c r="AZ87" s="22">
        <v>72.6006</v>
      </c>
      <c r="BA87" s="22">
        <v>-1.39404E-2</v>
      </c>
      <c r="BB87" s="22">
        <v>77</v>
      </c>
      <c r="BC87" s="22">
        <v>0.28716999999999998</v>
      </c>
      <c r="BD87">
        <f t="shared" si="22"/>
        <v>13.9404</v>
      </c>
      <c r="BE87">
        <f t="shared" si="23"/>
        <v>4.0117822524000006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7.5028899999999998</v>
      </c>
      <c r="I88" s="22">
        <v>-7.0068400000000003E-3</v>
      </c>
      <c r="J88" s="22">
        <v>78</v>
      </c>
      <c r="K88" s="22">
        <v>1.40625</v>
      </c>
      <c r="L88">
        <f t="shared" si="12"/>
        <v>7.0068400000000004</v>
      </c>
      <c r="M88">
        <f t="shared" si="13"/>
        <v>9.8598150428000011</v>
      </c>
      <c r="N88" s="9"/>
      <c r="O88" s="22">
        <v>0.29281600000000002</v>
      </c>
      <c r="P88" s="22">
        <v>46.978099999999998</v>
      </c>
      <c r="Q88" s="22">
        <v>-1.45477E-2</v>
      </c>
      <c r="R88" s="22">
        <v>78</v>
      </c>
      <c r="S88" s="22">
        <v>0.29214499999999999</v>
      </c>
      <c r="T88">
        <f t="shared" si="14"/>
        <v>14.547700000000001</v>
      </c>
      <c r="U88">
        <f t="shared" si="15"/>
        <v>4.2597993232000002</v>
      </c>
      <c r="X88" s="9"/>
      <c r="Y88" s="22">
        <v>1.40717</v>
      </c>
      <c r="Z88" s="22">
        <v>54.7898</v>
      </c>
      <c r="AA88" s="22">
        <v>-7.14111E-3</v>
      </c>
      <c r="AB88" s="22">
        <v>78</v>
      </c>
      <c r="AC88" s="22">
        <v>1.40656</v>
      </c>
      <c r="AD88">
        <f t="shared" si="16"/>
        <v>7.1411100000000003</v>
      </c>
      <c r="AE88">
        <f t="shared" si="17"/>
        <v>10.0487557587</v>
      </c>
      <c r="AF88" s="9"/>
      <c r="AG88" s="22">
        <v>0.29281600000000002</v>
      </c>
      <c r="AH88" s="22">
        <v>60.334400000000002</v>
      </c>
      <c r="AI88" s="22">
        <v>-1.4114399999999999E-2</v>
      </c>
      <c r="AJ88" s="22">
        <v>78</v>
      </c>
      <c r="AK88" s="22">
        <v>0.29217500000000002</v>
      </c>
      <c r="AL88">
        <f t="shared" si="18"/>
        <v>14.1144</v>
      </c>
      <c r="AM88">
        <f t="shared" si="19"/>
        <v>4.1329221504000007</v>
      </c>
      <c r="AP88" s="9"/>
      <c r="AQ88" s="22">
        <v>1.40717</v>
      </c>
      <c r="AR88" s="22">
        <v>67.334000000000003</v>
      </c>
      <c r="AS88" s="22">
        <v>-6.8908700000000003E-3</v>
      </c>
      <c r="AT88" s="22">
        <v>78</v>
      </c>
      <c r="AU88" s="22">
        <v>1.40594</v>
      </c>
      <c r="AV88">
        <f t="shared" si="20"/>
        <v>6.8908700000000005</v>
      </c>
      <c r="AW88">
        <f t="shared" si="21"/>
        <v>9.696625537900001</v>
      </c>
      <c r="AX88" s="9"/>
      <c r="AY88" s="22">
        <v>0.29281600000000002</v>
      </c>
      <c r="AZ88" s="22">
        <v>72.610600000000005</v>
      </c>
      <c r="BA88" s="22">
        <v>-1.3916E-2</v>
      </c>
      <c r="BB88" s="22">
        <v>78</v>
      </c>
      <c r="BC88" s="22">
        <v>0.292236</v>
      </c>
      <c r="BD88">
        <f t="shared" si="22"/>
        <v>13.916</v>
      </c>
      <c r="BE88">
        <f t="shared" si="23"/>
        <v>4.0748274560000004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7.5129599999999996</v>
      </c>
      <c r="I89" s="22">
        <v>-7.0678700000000004E-3</v>
      </c>
      <c r="J89" s="22">
        <v>79</v>
      </c>
      <c r="K89" s="22">
        <v>1.40106</v>
      </c>
      <c r="L89">
        <f t="shared" si="12"/>
        <v>7.0678700000000001</v>
      </c>
      <c r="M89">
        <f t="shared" si="13"/>
        <v>9.9100725631</v>
      </c>
      <c r="N89" s="9"/>
      <c r="O89" s="22">
        <v>0.29785200000000001</v>
      </c>
      <c r="P89" s="22">
        <v>46.988199999999999</v>
      </c>
      <c r="Q89" s="22">
        <v>-1.45142E-2</v>
      </c>
      <c r="R89" s="22">
        <v>79</v>
      </c>
      <c r="S89" s="22">
        <v>0.29718</v>
      </c>
      <c r="T89">
        <f t="shared" si="14"/>
        <v>14.514199999999999</v>
      </c>
      <c r="U89">
        <f t="shared" si="15"/>
        <v>4.3230834983999999</v>
      </c>
      <c r="X89" s="9"/>
      <c r="Y89" s="22">
        <v>1.4021300000000001</v>
      </c>
      <c r="Z89" s="22">
        <v>54.799799999999998</v>
      </c>
      <c r="AA89" s="22">
        <v>-7.20215E-3</v>
      </c>
      <c r="AB89" s="22">
        <v>79</v>
      </c>
      <c r="AC89" s="22">
        <v>1.40167</v>
      </c>
      <c r="AD89">
        <f t="shared" si="16"/>
        <v>7.2021499999999996</v>
      </c>
      <c r="AE89">
        <f t="shared" si="17"/>
        <v>10.0983505795</v>
      </c>
      <c r="AF89" s="9"/>
      <c r="AG89" s="22">
        <v>0.29785200000000001</v>
      </c>
      <c r="AH89" s="22">
        <v>60.344499999999996</v>
      </c>
      <c r="AI89" s="22">
        <v>-1.4074700000000001E-2</v>
      </c>
      <c r="AJ89" s="22">
        <v>79</v>
      </c>
      <c r="AK89" s="22">
        <v>0.297211</v>
      </c>
      <c r="AL89">
        <f t="shared" si="18"/>
        <v>14.0747</v>
      </c>
      <c r="AM89">
        <f t="shared" si="19"/>
        <v>4.1921775443999998</v>
      </c>
      <c r="AP89" s="9"/>
      <c r="AQ89" s="22">
        <v>1.4021300000000001</v>
      </c>
      <c r="AR89" s="22">
        <v>67.344099999999997</v>
      </c>
      <c r="AS89" s="22">
        <v>-6.9518999999999996E-3</v>
      </c>
      <c r="AT89" s="22">
        <v>79</v>
      </c>
      <c r="AU89" s="22">
        <v>1.40137</v>
      </c>
      <c r="AV89">
        <f t="shared" si="20"/>
        <v>6.9518999999999993</v>
      </c>
      <c r="AW89">
        <f t="shared" si="21"/>
        <v>9.7474675469999994</v>
      </c>
      <c r="AX89" s="9"/>
      <c r="AY89" s="22">
        <v>0.29785200000000001</v>
      </c>
      <c r="AZ89" s="22">
        <v>72.620699999999999</v>
      </c>
      <c r="BA89" s="22">
        <v>-1.38855E-2</v>
      </c>
      <c r="BB89" s="22">
        <v>79</v>
      </c>
      <c r="BC89" s="22">
        <v>0.29724099999999998</v>
      </c>
      <c r="BD89">
        <f t="shared" si="22"/>
        <v>13.8855</v>
      </c>
      <c r="BE89">
        <f t="shared" si="23"/>
        <v>4.1358239460000004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7.5230300000000003</v>
      </c>
      <c r="I90" s="22">
        <v>-7.1319599999999997E-3</v>
      </c>
      <c r="J90" s="22">
        <v>80</v>
      </c>
      <c r="K90" s="22">
        <v>1.3958699999999999</v>
      </c>
      <c r="L90">
        <f t="shared" si="12"/>
        <v>7.1319599999999994</v>
      </c>
      <c r="M90">
        <f t="shared" si="13"/>
        <v>9.9639899963999987</v>
      </c>
      <c r="N90" s="9"/>
      <c r="O90" s="22">
        <v>0.30288700000000002</v>
      </c>
      <c r="P90" s="22">
        <v>46.9983</v>
      </c>
      <c r="Q90" s="22">
        <v>-1.4483599999999999E-2</v>
      </c>
      <c r="R90" s="22">
        <v>80</v>
      </c>
      <c r="S90" s="22">
        <v>0.30218499999999998</v>
      </c>
      <c r="T90">
        <f t="shared" si="14"/>
        <v>14.483599999999999</v>
      </c>
      <c r="U90">
        <f t="shared" si="15"/>
        <v>4.3868941532000001</v>
      </c>
      <c r="X90" s="9"/>
      <c r="Y90" s="22">
        <v>1.3970899999999999</v>
      </c>
      <c r="Z90" s="22">
        <v>54.809899999999999</v>
      </c>
      <c r="AA90" s="22">
        <v>-7.2662400000000002E-3</v>
      </c>
      <c r="AB90" s="22">
        <v>80</v>
      </c>
      <c r="AC90" s="22">
        <v>1.3958699999999999</v>
      </c>
      <c r="AD90">
        <f t="shared" si="16"/>
        <v>7.2662399999999998</v>
      </c>
      <c r="AE90">
        <f t="shared" si="17"/>
        <v>10.151591241599998</v>
      </c>
      <c r="AF90" s="9"/>
      <c r="AG90" s="22">
        <v>0.30288700000000002</v>
      </c>
      <c r="AH90" s="22">
        <v>60.354500000000002</v>
      </c>
      <c r="AI90" s="22">
        <v>-1.4035000000000001E-2</v>
      </c>
      <c r="AJ90" s="22">
        <v>80</v>
      </c>
      <c r="AK90" s="22">
        <v>0.30218499999999998</v>
      </c>
      <c r="AL90">
        <f t="shared" si="18"/>
        <v>14.035</v>
      </c>
      <c r="AM90">
        <f t="shared" si="19"/>
        <v>4.2510190450000005</v>
      </c>
      <c r="AP90" s="9"/>
      <c r="AQ90" s="22">
        <v>1.3970899999999999</v>
      </c>
      <c r="AR90" s="22">
        <v>67.354200000000006</v>
      </c>
      <c r="AS90" s="22">
        <v>-7.0159899999999997E-3</v>
      </c>
      <c r="AT90" s="22">
        <v>80</v>
      </c>
      <c r="AU90" s="22">
        <v>1.3964799999999999</v>
      </c>
      <c r="AV90">
        <f t="shared" si="20"/>
        <v>7.0159899999999995</v>
      </c>
      <c r="AW90">
        <f t="shared" si="21"/>
        <v>9.8019694690999994</v>
      </c>
      <c r="AX90" s="9"/>
      <c r="AY90" s="22">
        <v>0.30288700000000002</v>
      </c>
      <c r="AZ90" s="22">
        <v>72.630799999999994</v>
      </c>
      <c r="BA90" s="22">
        <v>-1.3854999999999999E-2</v>
      </c>
      <c r="BB90" s="22">
        <v>80</v>
      </c>
      <c r="BC90" s="22">
        <v>0.30227700000000002</v>
      </c>
      <c r="BD90">
        <f t="shared" si="22"/>
        <v>13.854999999999999</v>
      </c>
      <c r="BE90">
        <f t="shared" si="23"/>
        <v>4.1964993850000001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7.5331000000000001</v>
      </c>
      <c r="I91" s="22">
        <v>-7.1960399999999999E-3</v>
      </c>
      <c r="J91" s="22">
        <v>81</v>
      </c>
      <c r="K91" s="22">
        <v>1.3909899999999999</v>
      </c>
      <c r="L91">
        <f t="shared" si="12"/>
        <v>7.19604</v>
      </c>
      <c r="M91">
        <f t="shared" si="13"/>
        <v>10.0173194424</v>
      </c>
      <c r="N91" s="9"/>
      <c r="O91" s="22">
        <v>0.30792199999999997</v>
      </c>
      <c r="P91" s="22">
        <v>47.008299999999998</v>
      </c>
      <c r="Q91" s="22">
        <v>-1.4447E-2</v>
      </c>
      <c r="R91" s="22">
        <v>81</v>
      </c>
      <c r="S91" s="22">
        <v>0.30728100000000003</v>
      </c>
      <c r="T91">
        <f t="shared" si="14"/>
        <v>14.446999999999999</v>
      </c>
      <c r="U91">
        <f t="shared" si="15"/>
        <v>4.4485491339999994</v>
      </c>
      <c r="X91" s="9"/>
      <c r="Y91" s="22">
        <v>1.3920600000000001</v>
      </c>
      <c r="Z91" s="22">
        <v>54.82</v>
      </c>
      <c r="AA91" s="22">
        <v>-7.3303200000000004E-3</v>
      </c>
      <c r="AB91" s="22">
        <v>81</v>
      </c>
      <c r="AC91" s="22">
        <v>1.3915999999999999</v>
      </c>
      <c r="AD91">
        <f t="shared" si="16"/>
        <v>7.3303200000000004</v>
      </c>
      <c r="AE91">
        <f t="shared" si="17"/>
        <v>10.2042452592</v>
      </c>
      <c r="AF91" s="9"/>
      <c r="AG91" s="22">
        <v>0.30792199999999997</v>
      </c>
      <c r="AH91" s="22">
        <v>60.364600000000003</v>
      </c>
      <c r="AI91" s="22">
        <v>-1.39954E-2</v>
      </c>
      <c r="AJ91" s="22">
        <v>81</v>
      </c>
      <c r="AK91" s="22">
        <v>0.30728100000000003</v>
      </c>
      <c r="AL91">
        <f t="shared" si="18"/>
        <v>13.9954</v>
      </c>
      <c r="AM91">
        <f t="shared" si="19"/>
        <v>4.3094915587999996</v>
      </c>
      <c r="AP91" s="9"/>
      <c r="AQ91" s="22">
        <v>1.3920600000000001</v>
      </c>
      <c r="AR91" s="22">
        <v>67.364199999999997</v>
      </c>
      <c r="AS91" s="22">
        <v>-7.0770299999999998E-3</v>
      </c>
      <c r="AT91" s="22">
        <v>81</v>
      </c>
      <c r="AU91" s="22">
        <v>1.39069</v>
      </c>
      <c r="AV91">
        <f t="shared" si="20"/>
        <v>7.0770299999999997</v>
      </c>
      <c r="AW91">
        <f t="shared" si="21"/>
        <v>9.8516503818000007</v>
      </c>
      <c r="AX91" s="9"/>
      <c r="AY91" s="22">
        <v>0.30792199999999997</v>
      </c>
      <c r="AZ91" s="22">
        <v>72.640900000000002</v>
      </c>
      <c r="BA91" s="22">
        <v>-1.3815300000000001E-2</v>
      </c>
      <c r="BB91" s="22">
        <v>81</v>
      </c>
      <c r="BC91" s="22">
        <v>0.30728100000000003</v>
      </c>
      <c r="BD91">
        <f t="shared" si="22"/>
        <v>13.815300000000001</v>
      </c>
      <c r="BE91">
        <f t="shared" si="23"/>
        <v>4.2540348066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7.5431699999999999</v>
      </c>
      <c r="I92" s="22">
        <v>-7.2540299999999999E-3</v>
      </c>
      <c r="J92" s="22">
        <v>82</v>
      </c>
      <c r="K92" s="22">
        <v>1.38672</v>
      </c>
      <c r="L92">
        <f t="shared" si="12"/>
        <v>7.2540300000000002</v>
      </c>
      <c r="M92">
        <f t="shared" si="13"/>
        <v>10.0614846906</v>
      </c>
      <c r="N92" s="9"/>
      <c r="O92" s="22">
        <v>0.31295800000000001</v>
      </c>
      <c r="P92" s="22">
        <v>47.0184</v>
      </c>
      <c r="Q92" s="22">
        <v>-1.44165E-2</v>
      </c>
      <c r="R92" s="22">
        <v>82</v>
      </c>
      <c r="S92" s="22">
        <v>0.31225599999999998</v>
      </c>
      <c r="T92">
        <f t="shared" si="14"/>
        <v>14.416500000000001</v>
      </c>
      <c r="U92">
        <f t="shared" si="15"/>
        <v>4.5117590070000002</v>
      </c>
      <c r="X92" s="9"/>
      <c r="Y92" s="22">
        <v>1.3870199999999999</v>
      </c>
      <c r="Z92" s="22">
        <v>54.830100000000002</v>
      </c>
      <c r="AA92" s="22">
        <v>-7.3883100000000004E-3</v>
      </c>
      <c r="AB92" s="22">
        <v>82</v>
      </c>
      <c r="AC92" s="22">
        <v>1.38611</v>
      </c>
      <c r="AD92">
        <f t="shared" si="16"/>
        <v>7.3883100000000006</v>
      </c>
      <c r="AE92">
        <f t="shared" si="17"/>
        <v>10.247733736200001</v>
      </c>
      <c r="AF92" s="9"/>
      <c r="AG92" s="22">
        <v>0.31295800000000001</v>
      </c>
      <c r="AH92" s="22">
        <v>60.374699999999997</v>
      </c>
      <c r="AI92" s="22">
        <v>-1.39557E-2</v>
      </c>
      <c r="AJ92" s="22">
        <v>82</v>
      </c>
      <c r="AK92" s="22">
        <v>0.31231700000000001</v>
      </c>
      <c r="AL92">
        <f t="shared" si="18"/>
        <v>13.9557</v>
      </c>
      <c r="AM92">
        <f t="shared" si="19"/>
        <v>4.3675479606000005</v>
      </c>
      <c r="AP92" s="9"/>
      <c r="AQ92" s="22">
        <v>1.3870199999999999</v>
      </c>
      <c r="AR92" s="22">
        <v>67.374300000000005</v>
      </c>
      <c r="AS92" s="22">
        <v>-7.1380599999999999E-3</v>
      </c>
      <c r="AT92" s="22">
        <v>82</v>
      </c>
      <c r="AU92" s="22">
        <v>1.3857999999999999</v>
      </c>
      <c r="AV92">
        <f t="shared" si="20"/>
        <v>7.1380600000000003</v>
      </c>
      <c r="AW92">
        <f t="shared" si="21"/>
        <v>9.9006319812000001</v>
      </c>
      <c r="AX92" s="9"/>
      <c r="AY92" s="22">
        <v>0.31295800000000001</v>
      </c>
      <c r="AZ92" s="22">
        <v>72.650899999999993</v>
      </c>
      <c r="BA92" s="22">
        <v>-1.3775600000000001E-2</v>
      </c>
      <c r="BB92" s="22">
        <v>82</v>
      </c>
      <c r="BC92" s="22">
        <v>0.31234699999999999</v>
      </c>
      <c r="BD92">
        <f t="shared" si="22"/>
        <v>13.775600000000001</v>
      </c>
      <c r="BE92">
        <f t="shared" si="23"/>
        <v>4.3111842248000007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7.5532500000000002</v>
      </c>
      <c r="I93" s="22">
        <v>-7.3120099999999999E-3</v>
      </c>
      <c r="J93" s="22">
        <v>83</v>
      </c>
      <c r="K93" s="22">
        <v>1.3815299999999999</v>
      </c>
      <c r="L93">
        <f t="shared" si="12"/>
        <v>7.3120099999999999</v>
      </c>
      <c r="M93">
        <f t="shared" si="13"/>
        <v>10.105124699900001</v>
      </c>
      <c r="N93" s="9"/>
      <c r="O93" s="22">
        <v>0.31799300000000003</v>
      </c>
      <c r="P93" s="22">
        <v>47.028500000000001</v>
      </c>
      <c r="Q93" s="22">
        <v>-1.43921E-2</v>
      </c>
      <c r="R93" s="22">
        <v>83</v>
      </c>
      <c r="S93" s="22">
        <v>0.31735200000000002</v>
      </c>
      <c r="T93">
        <f t="shared" si="14"/>
        <v>14.392099999999999</v>
      </c>
      <c r="U93">
        <f t="shared" si="15"/>
        <v>4.5765870553000001</v>
      </c>
      <c r="X93" s="9"/>
      <c r="Y93" s="22">
        <v>1.3819900000000001</v>
      </c>
      <c r="Z93" s="22">
        <v>54.8401</v>
      </c>
      <c r="AA93" s="22">
        <v>-7.4493399999999996E-3</v>
      </c>
      <c r="AB93" s="22">
        <v>83</v>
      </c>
      <c r="AC93" s="22">
        <v>1.3815299999999999</v>
      </c>
      <c r="AD93">
        <f t="shared" si="16"/>
        <v>7.4493399999999994</v>
      </c>
      <c r="AE93">
        <f t="shared" si="17"/>
        <v>10.294913386599999</v>
      </c>
      <c r="AF93" s="9"/>
      <c r="AG93" s="22">
        <v>0.31799300000000003</v>
      </c>
      <c r="AH93" s="22">
        <v>60.384799999999998</v>
      </c>
      <c r="AI93" s="22">
        <v>-1.3916E-2</v>
      </c>
      <c r="AJ93" s="22">
        <v>83</v>
      </c>
      <c r="AK93" s="22">
        <v>0.31738300000000003</v>
      </c>
      <c r="AL93">
        <f t="shared" si="18"/>
        <v>13.916</v>
      </c>
      <c r="AM93">
        <f t="shared" si="19"/>
        <v>4.4251905880000004</v>
      </c>
      <c r="AP93" s="9"/>
      <c r="AQ93" s="22">
        <v>1.3819900000000001</v>
      </c>
      <c r="AR93" s="22">
        <v>67.384399999999999</v>
      </c>
      <c r="AS93" s="22">
        <v>-7.1990999999999999E-3</v>
      </c>
      <c r="AT93" s="22">
        <v>83</v>
      </c>
      <c r="AU93" s="22">
        <v>1.38123</v>
      </c>
      <c r="AV93">
        <f t="shared" si="20"/>
        <v>7.1990999999999996</v>
      </c>
      <c r="AW93">
        <f t="shared" si="21"/>
        <v>9.9490842090000005</v>
      </c>
      <c r="AX93" s="9"/>
      <c r="AY93" s="22">
        <v>0.31799300000000003</v>
      </c>
      <c r="AZ93" s="22">
        <v>72.661000000000001</v>
      </c>
      <c r="BA93" s="22">
        <v>-1.37512E-2</v>
      </c>
      <c r="BB93" s="22">
        <v>83</v>
      </c>
      <c r="BC93" s="22">
        <v>0.31732199999999999</v>
      </c>
      <c r="BD93">
        <f t="shared" si="22"/>
        <v>13.751200000000001</v>
      </c>
      <c r="BE93">
        <f t="shared" si="23"/>
        <v>4.3727853416000002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7.56332</v>
      </c>
      <c r="I94" s="22">
        <v>-7.3730499999999999E-3</v>
      </c>
      <c r="J94" s="22">
        <v>84</v>
      </c>
      <c r="K94" s="22">
        <v>1.3760399999999999</v>
      </c>
      <c r="L94">
        <f t="shared" si="12"/>
        <v>7.3730500000000001</v>
      </c>
      <c r="M94">
        <f t="shared" si="13"/>
        <v>10.152321197499999</v>
      </c>
      <c r="N94" s="9"/>
      <c r="O94" s="22">
        <v>0.32302900000000001</v>
      </c>
      <c r="P94" s="22">
        <v>47.038600000000002</v>
      </c>
      <c r="Q94" s="22">
        <v>-1.43646E-2</v>
      </c>
      <c r="R94" s="22">
        <v>84</v>
      </c>
      <c r="S94" s="22">
        <v>0.32241799999999998</v>
      </c>
      <c r="T94">
        <f t="shared" si="14"/>
        <v>14.364599999999999</v>
      </c>
      <c r="U94">
        <f t="shared" si="15"/>
        <v>4.6401823734000001</v>
      </c>
      <c r="X94" s="9"/>
      <c r="Y94" s="22">
        <v>1.3769499999999999</v>
      </c>
      <c r="Z94" s="22">
        <v>54.850200000000001</v>
      </c>
      <c r="AA94" s="22">
        <v>-7.5103799999999997E-3</v>
      </c>
      <c r="AB94" s="22">
        <v>84</v>
      </c>
      <c r="AC94" s="22">
        <v>1.3760399999999999</v>
      </c>
      <c r="AD94">
        <f t="shared" si="16"/>
        <v>7.5103799999999996</v>
      </c>
      <c r="AE94">
        <f t="shared" si="17"/>
        <v>10.341417740999999</v>
      </c>
      <c r="AF94" s="9"/>
      <c r="AG94" s="22">
        <v>0.32302900000000001</v>
      </c>
      <c r="AH94" s="22">
        <v>60.394799999999996</v>
      </c>
      <c r="AI94" s="22">
        <v>-1.38855E-2</v>
      </c>
      <c r="AJ94" s="22">
        <v>84</v>
      </c>
      <c r="AK94" s="22">
        <v>0.322357</v>
      </c>
      <c r="AL94">
        <f t="shared" si="18"/>
        <v>13.8855</v>
      </c>
      <c r="AM94">
        <f t="shared" si="19"/>
        <v>4.4854191795</v>
      </c>
      <c r="AP94" s="9"/>
      <c r="AQ94" s="22">
        <v>1.3769499999999999</v>
      </c>
      <c r="AR94" s="22">
        <v>67.394499999999994</v>
      </c>
      <c r="AS94" s="22">
        <v>-7.25708E-3</v>
      </c>
      <c r="AT94" s="22">
        <v>84</v>
      </c>
      <c r="AU94" s="22">
        <v>1.3760399999999999</v>
      </c>
      <c r="AV94">
        <f t="shared" si="20"/>
        <v>7.2570800000000002</v>
      </c>
      <c r="AW94">
        <f t="shared" si="21"/>
        <v>9.9926363059999996</v>
      </c>
      <c r="AX94" s="9"/>
      <c r="AY94" s="22">
        <v>0.32302900000000001</v>
      </c>
      <c r="AZ94" s="22">
        <v>72.671099999999996</v>
      </c>
      <c r="BA94" s="22">
        <v>-1.37146E-2</v>
      </c>
      <c r="BB94" s="22">
        <v>84</v>
      </c>
      <c r="BC94" s="22">
        <v>0.32244899999999999</v>
      </c>
      <c r="BD94">
        <f t="shared" si="22"/>
        <v>13.714600000000001</v>
      </c>
      <c r="BE94">
        <f t="shared" si="23"/>
        <v>4.4302135234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7.5733899999999998</v>
      </c>
      <c r="I95" s="22">
        <v>-7.4279799999999998E-3</v>
      </c>
      <c r="J95" s="22">
        <v>85</v>
      </c>
      <c r="K95" s="22">
        <v>1.3711500000000001</v>
      </c>
      <c r="L95">
        <f t="shared" si="12"/>
        <v>7.4279799999999998</v>
      </c>
      <c r="M95">
        <f t="shared" si="13"/>
        <v>10.190594321600001</v>
      </c>
      <c r="N95" s="9"/>
      <c r="O95" s="22">
        <v>0.32806400000000002</v>
      </c>
      <c r="P95" s="22">
        <v>47.0486</v>
      </c>
      <c r="Q95" s="22">
        <v>-1.4331099999999999E-2</v>
      </c>
      <c r="R95" s="22">
        <v>85</v>
      </c>
      <c r="S95" s="22">
        <v>0.327484</v>
      </c>
      <c r="T95">
        <f t="shared" si="14"/>
        <v>14.331099999999999</v>
      </c>
      <c r="U95">
        <f t="shared" si="15"/>
        <v>4.7015179904000002</v>
      </c>
      <c r="X95" s="9"/>
      <c r="Y95" s="22">
        <v>1.37192</v>
      </c>
      <c r="Z95" s="22">
        <v>54.860300000000002</v>
      </c>
      <c r="AA95" s="22">
        <v>-7.5714099999999998E-3</v>
      </c>
      <c r="AB95" s="22">
        <v>85</v>
      </c>
      <c r="AC95" s="22">
        <v>1.3711500000000001</v>
      </c>
      <c r="AD95">
        <f t="shared" si="16"/>
        <v>7.5714100000000002</v>
      </c>
      <c r="AE95">
        <f t="shared" si="17"/>
        <v>10.3873688072</v>
      </c>
      <c r="AF95" s="9"/>
      <c r="AG95" s="22">
        <v>0.32806400000000002</v>
      </c>
      <c r="AH95" s="22">
        <v>60.404899999999998</v>
      </c>
      <c r="AI95" s="22">
        <v>-1.3854999999999999E-2</v>
      </c>
      <c r="AJ95" s="22">
        <v>85</v>
      </c>
      <c r="AK95" s="22">
        <v>0.32745400000000002</v>
      </c>
      <c r="AL95">
        <f t="shared" si="18"/>
        <v>13.854999999999999</v>
      </c>
      <c r="AM95">
        <f t="shared" si="19"/>
        <v>4.5453267200000003</v>
      </c>
      <c r="AP95" s="9"/>
      <c r="AQ95" s="22">
        <v>1.37192</v>
      </c>
      <c r="AR95" s="22">
        <v>67.404499999999999</v>
      </c>
      <c r="AS95" s="22">
        <v>-7.3120099999999999E-3</v>
      </c>
      <c r="AT95" s="22">
        <v>85</v>
      </c>
      <c r="AU95" s="22">
        <v>1.3708499999999999</v>
      </c>
      <c r="AV95">
        <f t="shared" si="20"/>
        <v>7.3120099999999999</v>
      </c>
      <c r="AW95">
        <f t="shared" si="21"/>
        <v>10.031492759200001</v>
      </c>
      <c r="AX95" s="9"/>
      <c r="AY95" s="22">
        <v>0.32806400000000002</v>
      </c>
      <c r="AZ95" s="22">
        <v>72.681100000000001</v>
      </c>
      <c r="BA95" s="22">
        <v>-1.36749E-2</v>
      </c>
      <c r="BB95" s="22">
        <v>85</v>
      </c>
      <c r="BC95" s="22">
        <v>0.32745400000000002</v>
      </c>
      <c r="BD95">
        <f t="shared" si="22"/>
        <v>13.674900000000001</v>
      </c>
      <c r="BE95">
        <f t="shared" si="23"/>
        <v>4.4862423936000004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7.5834599999999996</v>
      </c>
      <c r="I96" s="22">
        <v>-7.4859599999999998E-3</v>
      </c>
      <c r="J96" s="22">
        <v>86</v>
      </c>
      <c r="K96" s="22">
        <v>1.3659699999999999</v>
      </c>
      <c r="L96">
        <f t="shared" si="12"/>
        <v>7.4859599999999995</v>
      </c>
      <c r="M96">
        <f t="shared" si="13"/>
        <v>10.232409004799999</v>
      </c>
      <c r="N96" s="9"/>
      <c r="O96" s="22">
        <v>0.33309899999999998</v>
      </c>
      <c r="P96" s="22">
        <v>47.058700000000002</v>
      </c>
      <c r="Q96" s="22">
        <v>-1.4294400000000001E-2</v>
      </c>
      <c r="R96" s="22">
        <v>86</v>
      </c>
      <c r="S96" s="22">
        <v>0.33245799999999998</v>
      </c>
      <c r="T96">
        <f t="shared" si="14"/>
        <v>14.294400000000001</v>
      </c>
      <c r="U96">
        <f t="shared" si="15"/>
        <v>4.7614503456000001</v>
      </c>
      <c r="X96" s="9"/>
      <c r="Y96" s="22">
        <v>1.3668800000000001</v>
      </c>
      <c r="Z96" s="22">
        <v>54.8703</v>
      </c>
      <c r="AA96" s="22">
        <v>-7.6324499999999998E-3</v>
      </c>
      <c r="AB96" s="22">
        <v>86</v>
      </c>
      <c r="AC96" s="22">
        <v>1.3659699999999999</v>
      </c>
      <c r="AD96">
        <f t="shared" si="16"/>
        <v>7.6324499999999995</v>
      </c>
      <c r="AE96">
        <f t="shared" si="17"/>
        <v>10.432643256</v>
      </c>
      <c r="AF96" s="9"/>
      <c r="AG96" s="22">
        <v>0.33309899999999998</v>
      </c>
      <c r="AH96" s="22">
        <v>60.414999999999999</v>
      </c>
      <c r="AI96" s="22">
        <v>-1.3815300000000001E-2</v>
      </c>
      <c r="AJ96" s="22">
        <v>86</v>
      </c>
      <c r="AK96" s="22">
        <v>0.33245799999999998</v>
      </c>
      <c r="AL96">
        <f t="shared" si="18"/>
        <v>13.815300000000001</v>
      </c>
      <c r="AM96">
        <f t="shared" si="19"/>
        <v>4.6018626146999999</v>
      </c>
      <c r="AP96" s="9"/>
      <c r="AQ96" s="22">
        <v>1.3668800000000001</v>
      </c>
      <c r="AR96" s="22">
        <v>67.414599999999993</v>
      </c>
      <c r="AS96" s="22">
        <v>-7.3669399999999998E-3</v>
      </c>
      <c r="AT96" s="22">
        <v>86</v>
      </c>
      <c r="AU96" s="22">
        <v>1.3662700000000001</v>
      </c>
      <c r="AV96">
        <f t="shared" si="20"/>
        <v>7.3669399999999996</v>
      </c>
      <c r="AW96">
        <f t="shared" si="21"/>
        <v>10.069722947200001</v>
      </c>
      <c r="AX96" s="9"/>
      <c r="AY96" s="22">
        <v>0.33309899999999998</v>
      </c>
      <c r="AZ96" s="22">
        <v>72.691199999999995</v>
      </c>
      <c r="BA96" s="22">
        <v>-1.3638300000000001E-2</v>
      </c>
      <c r="BB96" s="22">
        <v>86</v>
      </c>
      <c r="BC96" s="22">
        <v>0.33251999999999998</v>
      </c>
      <c r="BD96">
        <f t="shared" si="22"/>
        <v>13.638300000000001</v>
      </c>
      <c r="BE96">
        <f t="shared" si="23"/>
        <v>4.5429040916999996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7.5935300000000003</v>
      </c>
      <c r="I97" s="22">
        <v>-7.5408899999999997E-3</v>
      </c>
      <c r="J97" s="22">
        <v>87</v>
      </c>
      <c r="K97" s="22">
        <v>1.3610800000000001</v>
      </c>
      <c r="L97">
        <f t="shared" si="12"/>
        <v>7.5408900000000001</v>
      </c>
      <c r="M97">
        <f t="shared" si="13"/>
        <v>10.2695610465</v>
      </c>
      <c r="N97" s="9"/>
      <c r="O97" s="22">
        <v>0.33813500000000002</v>
      </c>
      <c r="P97" s="22">
        <v>47.068800000000003</v>
      </c>
      <c r="Q97" s="22">
        <v>-1.42609E-2</v>
      </c>
      <c r="R97" s="22">
        <v>87</v>
      </c>
      <c r="S97" s="22">
        <v>0.33746300000000001</v>
      </c>
      <c r="T97">
        <f t="shared" si="14"/>
        <v>14.260899999999999</v>
      </c>
      <c r="U97">
        <f t="shared" si="15"/>
        <v>4.8221094215000004</v>
      </c>
      <c r="X97" s="9"/>
      <c r="Y97" s="22">
        <v>1.36185</v>
      </c>
      <c r="Z97" s="22">
        <v>54.880400000000002</v>
      </c>
      <c r="AA97" s="22">
        <v>-7.6904299999999998E-3</v>
      </c>
      <c r="AB97" s="22">
        <v>87</v>
      </c>
      <c r="AC97" s="22">
        <v>1.3610800000000001</v>
      </c>
      <c r="AD97">
        <f t="shared" si="16"/>
        <v>7.6904300000000001</v>
      </c>
      <c r="AE97">
        <f t="shared" si="17"/>
        <v>10.473212095500001</v>
      </c>
      <c r="AF97" s="9"/>
      <c r="AG97" s="22">
        <v>0.33813500000000002</v>
      </c>
      <c r="AH97" s="22">
        <v>60.424999999999997</v>
      </c>
      <c r="AI97" s="22">
        <v>-1.37787E-2</v>
      </c>
      <c r="AJ97" s="22">
        <v>87</v>
      </c>
      <c r="AK97" s="22">
        <v>0.33755499999999999</v>
      </c>
      <c r="AL97">
        <f t="shared" si="18"/>
        <v>13.778699999999999</v>
      </c>
      <c r="AM97">
        <f t="shared" si="19"/>
        <v>4.6590607244999998</v>
      </c>
      <c r="AP97" s="9"/>
      <c r="AQ97" s="22">
        <v>1.36185</v>
      </c>
      <c r="AR97" s="22">
        <v>67.424700000000001</v>
      </c>
      <c r="AS97" s="22">
        <v>-7.4218799999999996E-3</v>
      </c>
      <c r="AT97" s="22">
        <v>87</v>
      </c>
      <c r="AU97" s="22">
        <v>1.3607800000000001</v>
      </c>
      <c r="AV97">
        <f t="shared" si="20"/>
        <v>7.4218799999999998</v>
      </c>
      <c r="AW97">
        <f t="shared" si="21"/>
        <v>10.107487277999999</v>
      </c>
      <c r="AX97" s="9"/>
      <c r="AY97" s="22">
        <v>0.33813500000000002</v>
      </c>
      <c r="AZ97" s="22">
        <v>72.701300000000003</v>
      </c>
      <c r="BA97" s="22">
        <v>-1.35925E-2</v>
      </c>
      <c r="BB97" s="22">
        <v>87</v>
      </c>
      <c r="BC97" s="22">
        <v>0.33746300000000001</v>
      </c>
      <c r="BD97">
        <f t="shared" si="22"/>
        <v>13.592500000000001</v>
      </c>
      <c r="BE97">
        <f t="shared" si="23"/>
        <v>4.5960999875000006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7.6036000000000001</v>
      </c>
      <c r="I98" s="22">
        <v>-7.5988799999999997E-3</v>
      </c>
      <c r="J98" s="22">
        <v>88</v>
      </c>
      <c r="K98" s="22">
        <v>1.3559000000000001</v>
      </c>
      <c r="L98">
        <f t="shared" si="12"/>
        <v>7.5988799999999994</v>
      </c>
      <c r="M98">
        <f t="shared" si="13"/>
        <v>10.3102363728</v>
      </c>
      <c r="N98" s="9"/>
      <c r="O98" s="22">
        <v>0.34316999999999998</v>
      </c>
      <c r="P98" s="22">
        <v>47.078800000000001</v>
      </c>
      <c r="Q98" s="22">
        <v>-1.42212E-2</v>
      </c>
      <c r="R98" s="22">
        <v>88</v>
      </c>
      <c r="S98" s="22">
        <v>0.342499</v>
      </c>
      <c r="T98">
        <f t="shared" si="14"/>
        <v>14.2212</v>
      </c>
      <c r="U98">
        <f t="shared" si="15"/>
        <v>4.8802892039999994</v>
      </c>
      <c r="X98" s="9"/>
      <c r="Y98" s="22">
        <v>1.3568100000000001</v>
      </c>
      <c r="Z98" s="22">
        <v>54.890500000000003</v>
      </c>
      <c r="AA98" s="22">
        <v>-7.7484099999999998E-3</v>
      </c>
      <c r="AB98" s="22">
        <v>88</v>
      </c>
      <c r="AC98" s="22">
        <v>1.3559000000000001</v>
      </c>
      <c r="AD98">
        <f t="shared" si="16"/>
        <v>7.7484099999999998</v>
      </c>
      <c r="AE98">
        <f t="shared" si="17"/>
        <v>10.513120172100001</v>
      </c>
      <c r="AF98" s="9"/>
      <c r="AG98" s="22">
        <v>0.34316999999999998</v>
      </c>
      <c r="AH98" s="22">
        <v>60.435099999999998</v>
      </c>
      <c r="AI98" s="22">
        <v>-1.37451E-2</v>
      </c>
      <c r="AJ98" s="22">
        <v>88</v>
      </c>
      <c r="AK98" s="22">
        <v>0.34246799999999999</v>
      </c>
      <c r="AL98">
        <f t="shared" si="18"/>
        <v>13.745099999999999</v>
      </c>
      <c r="AM98">
        <f t="shared" si="19"/>
        <v>4.7169059669999989</v>
      </c>
      <c r="AP98" s="9"/>
      <c r="AQ98" s="22">
        <v>1.3568100000000001</v>
      </c>
      <c r="AR98" s="22">
        <v>67.434700000000007</v>
      </c>
      <c r="AS98" s="22">
        <v>-7.4737500000000004E-3</v>
      </c>
      <c r="AT98" s="22">
        <v>88</v>
      </c>
      <c r="AU98" s="22">
        <v>1.3559000000000001</v>
      </c>
      <c r="AV98">
        <f t="shared" si="20"/>
        <v>7.4737500000000008</v>
      </c>
      <c r="AW98">
        <f t="shared" si="21"/>
        <v>10.140458737500001</v>
      </c>
      <c r="AX98" s="9"/>
      <c r="AY98" s="22">
        <v>0.34316999999999998</v>
      </c>
      <c r="AZ98" s="22">
        <v>72.711399999999998</v>
      </c>
      <c r="BA98" s="22">
        <v>-1.3546799999999999E-2</v>
      </c>
      <c r="BB98" s="22">
        <v>88</v>
      </c>
      <c r="BC98" s="22">
        <v>0.342499</v>
      </c>
      <c r="BD98">
        <f t="shared" si="22"/>
        <v>13.546799999999999</v>
      </c>
      <c r="BE98">
        <f t="shared" si="23"/>
        <v>4.6488553559999994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7.6136699999999999</v>
      </c>
      <c r="I99" s="22">
        <v>-7.6538099999999996E-3</v>
      </c>
      <c r="J99" s="22">
        <v>89</v>
      </c>
      <c r="K99" s="22">
        <v>1.35101</v>
      </c>
      <c r="L99">
        <f t="shared" si="12"/>
        <v>7.65381</v>
      </c>
      <c r="M99">
        <f t="shared" si="13"/>
        <v>10.346267281799999</v>
      </c>
      <c r="N99" s="9"/>
      <c r="O99" s="22">
        <v>0.34820600000000002</v>
      </c>
      <c r="P99" s="22">
        <v>47.088900000000002</v>
      </c>
      <c r="Q99" s="22">
        <v>-1.41815E-2</v>
      </c>
      <c r="R99" s="22">
        <v>89</v>
      </c>
      <c r="S99" s="22">
        <v>0.34756500000000001</v>
      </c>
      <c r="T99">
        <f t="shared" si="14"/>
        <v>14.1815</v>
      </c>
      <c r="U99">
        <f t="shared" si="15"/>
        <v>4.938083389</v>
      </c>
      <c r="X99" s="9"/>
      <c r="Y99" s="22">
        <v>1.35178</v>
      </c>
      <c r="Z99" s="22">
        <v>54.900599999999997</v>
      </c>
      <c r="AA99" s="22">
        <v>-7.8033399999999998E-3</v>
      </c>
      <c r="AB99" s="22">
        <v>89</v>
      </c>
      <c r="AC99" s="22">
        <v>1.3507100000000001</v>
      </c>
      <c r="AD99">
        <f t="shared" si="16"/>
        <v>7.8033399999999995</v>
      </c>
      <c r="AE99">
        <f t="shared" si="17"/>
        <v>10.548398945199999</v>
      </c>
      <c r="AF99" s="9"/>
      <c r="AG99" s="22">
        <v>0.34820600000000002</v>
      </c>
      <c r="AH99" s="22">
        <v>60.4452</v>
      </c>
      <c r="AI99" s="22">
        <v>-1.37115E-2</v>
      </c>
      <c r="AJ99" s="22">
        <v>89</v>
      </c>
      <c r="AK99" s="22">
        <v>0.34759499999999999</v>
      </c>
      <c r="AL99">
        <f t="shared" si="18"/>
        <v>13.711499999999999</v>
      </c>
      <c r="AM99">
        <f t="shared" si="19"/>
        <v>4.7744265690000001</v>
      </c>
      <c r="AP99" s="9"/>
      <c r="AQ99" s="22">
        <v>1.35178</v>
      </c>
      <c r="AR99" s="22">
        <v>67.444800000000001</v>
      </c>
      <c r="AS99" s="22">
        <v>-7.5256300000000002E-3</v>
      </c>
      <c r="AT99" s="22">
        <v>89</v>
      </c>
      <c r="AU99" s="22">
        <v>1.3507100000000001</v>
      </c>
      <c r="AV99">
        <f t="shared" si="20"/>
        <v>7.5256300000000005</v>
      </c>
      <c r="AW99">
        <f t="shared" si="21"/>
        <v>10.172996121400001</v>
      </c>
      <c r="AX99" s="9"/>
      <c r="AY99" s="22">
        <v>0.34820600000000002</v>
      </c>
      <c r="AZ99" s="22">
        <v>72.721400000000003</v>
      </c>
      <c r="BA99" s="22">
        <v>-1.35132E-2</v>
      </c>
      <c r="BB99" s="22">
        <v>89</v>
      </c>
      <c r="BC99" s="22">
        <v>0.34759499999999999</v>
      </c>
      <c r="BD99">
        <f t="shared" si="22"/>
        <v>13.513199999999999</v>
      </c>
      <c r="BE99">
        <f t="shared" si="23"/>
        <v>4.7053773192000001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7.6237399999999997</v>
      </c>
      <c r="I100" s="22">
        <v>-7.7117899999999996E-3</v>
      </c>
      <c r="J100" s="22">
        <v>90</v>
      </c>
      <c r="K100" s="22">
        <v>1.34552</v>
      </c>
      <c r="L100">
        <f t="shared" si="12"/>
        <v>7.7117899999999997</v>
      </c>
      <c r="M100">
        <f t="shared" si="13"/>
        <v>10.3857760646</v>
      </c>
      <c r="N100" s="9"/>
      <c r="O100" s="22">
        <v>0.35324100000000003</v>
      </c>
      <c r="P100" s="22">
        <v>47.098999999999997</v>
      </c>
      <c r="Q100" s="22">
        <v>-1.4135699999999999E-2</v>
      </c>
      <c r="R100" s="22">
        <v>90</v>
      </c>
      <c r="S100" s="22">
        <v>0.35263100000000003</v>
      </c>
      <c r="T100">
        <f t="shared" si="14"/>
        <v>14.1357</v>
      </c>
      <c r="U100">
        <f t="shared" si="15"/>
        <v>4.9933088037000006</v>
      </c>
      <c r="X100" s="9"/>
      <c r="Y100" s="22">
        <v>1.34674</v>
      </c>
      <c r="Z100" s="22">
        <v>54.910600000000002</v>
      </c>
      <c r="AA100" s="22">
        <v>-7.8613299999999997E-3</v>
      </c>
      <c r="AB100" s="22">
        <v>90</v>
      </c>
      <c r="AC100" s="22">
        <v>1.3458300000000001</v>
      </c>
      <c r="AD100">
        <f t="shared" si="16"/>
        <v>7.8613299999999997</v>
      </c>
      <c r="AE100">
        <f t="shared" si="17"/>
        <v>10.5871675642</v>
      </c>
      <c r="AF100" s="9"/>
      <c r="AG100" s="22">
        <v>0.35324100000000003</v>
      </c>
      <c r="AH100" s="22">
        <v>60.455300000000001</v>
      </c>
      <c r="AI100" s="22">
        <v>-1.3684099999999999E-2</v>
      </c>
      <c r="AJ100" s="22">
        <v>90</v>
      </c>
      <c r="AK100" s="22">
        <v>0.35253899999999999</v>
      </c>
      <c r="AL100">
        <f t="shared" si="18"/>
        <v>13.684099999999999</v>
      </c>
      <c r="AM100">
        <f t="shared" si="19"/>
        <v>4.8337851681000004</v>
      </c>
      <c r="AP100" s="9"/>
      <c r="AQ100" s="22">
        <v>1.34674</v>
      </c>
      <c r="AR100" s="22">
        <v>67.454899999999995</v>
      </c>
      <c r="AS100" s="22">
        <v>-7.58057E-3</v>
      </c>
      <c r="AT100" s="22">
        <v>90</v>
      </c>
      <c r="AU100" s="22">
        <v>1.3464400000000001</v>
      </c>
      <c r="AV100">
        <f t="shared" si="20"/>
        <v>7.5805699999999998</v>
      </c>
      <c r="AW100">
        <f t="shared" si="21"/>
        <v>10.209056841800001</v>
      </c>
      <c r="AX100" s="9"/>
      <c r="AY100" s="22">
        <v>0.35324100000000003</v>
      </c>
      <c r="AZ100" s="22">
        <v>72.731499999999997</v>
      </c>
      <c r="BA100" s="22">
        <v>-1.34796E-2</v>
      </c>
      <c r="BB100" s="22">
        <v>90</v>
      </c>
      <c r="BC100" s="22">
        <v>0.35260000000000002</v>
      </c>
      <c r="BD100">
        <f t="shared" si="22"/>
        <v>13.4796</v>
      </c>
      <c r="BE100">
        <f t="shared" si="23"/>
        <v>4.7615473836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7.6338100000000004</v>
      </c>
      <c r="I101" s="22">
        <v>-7.7667200000000004E-3</v>
      </c>
      <c r="J101" s="22">
        <v>91</v>
      </c>
      <c r="K101" s="22">
        <v>1.3406400000000001</v>
      </c>
      <c r="L101">
        <f t="shared" si="12"/>
        <v>7.7667200000000003</v>
      </c>
      <c r="M101">
        <f t="shared" si="13"/>
        <v>10.4206858912</v>
      </c>
      <c r="N101" s="9"/>
      <c r="O101" s="22">
        <v>0.35827599999999998</v>
      </c>
      <c r="P101" s="22">
        <v>47.109099999999998</v>
      </c>
      <c r="Q101" s="22">
        <v>-1.41052E-2</v>
      </c>
      <c r="R101" s="22">
        <v>91</v>
      </c>
      <c r="S101" s="22">
        <v>0.35763499999999998</v>
      </c>
      <c r="T101">
        <f t="shared" si="14"/>
        <v>14.1052</v>
      </c>
      <c r="U101">
        <f t="shared" si="15"/>
        <v>5.0535546351999994</v>
      </c>
      <c r="X101" s="9"/>
      <c r="Y101" s="22">
        <v>1.34171</v>
      </c>
      <c r="Z101" s="22">
        <v>54.920699999999997</v>
      </c>
      <c r="AA101" s="22">
        <v>-7.9162599999999996E-3</v>
      </c>
      <c r="AB101" s="22">
        <v>91</v>
      </c>
      <c r="AC101" s="22">
        <v>1.3406400000000001</v>
      </c>
      <c r="AD101">
        <f t="shared" si="16"/>
        <v>7.9162599999999994</v>
      </c>
      <c r="AE101">
        <f t="shared" si="17"/>
        <v>10.6213252046</v>
      </c>
      <c r="AF101" s="9"/>
      <c r="AG101" s="22">
        <v>0.35827599999999998</v>
      </c>
      <c r="AH101" s="22">
        <v>60.465299999999999</v>
      </c>
      <c r="AI101" s="22">
        <v>-1.3650499999999999E-2</v>
      </c>
      <c r="AJ101" s="22">
        <v>91</v>
      </c>
      <c r="AK101" s="22">
        <v>0.35766599999999998</v>
      </c>
      <c r="AL101">
        <f t="shared" si="18"/>
        <v>13.650499999999999</v>
      </c>
      <c r="AM101">
        <f t="shared" si="19"/>
        <v>4.8906465379999995</v>
      </c>
      <c r="AP101" s="9"/>
      <c r="AQ101" s="22">
        <v>1.34171</v>
      </c>
      <c r="AR101" s="22">
        <v>67.465000000000003</v>
      </c>
      <c r="AS101" s="22">
        <v>-7.6324499999999998E-3</v>
      </c>
      <c r="AT101" s="22">
        <v>91</v>
      </c>
      <c r="AU101" s="22">
        <v>1.3406400000000001</v>
      </c>
      <c r="AV101">
        <f t="shared" si="20"/>
        <v>7.6324499999999995</v>
      </c>
      <c r="AW101">
        <f t="shared" si="21"/>
        <v>10.2405344895</v>
      </c>
      <c r="AX101" s="9"/>
      <c r="AY101" s="22">
        <v>0.35827599999999998</v>
      </c>
      <c r="AZ101" s="22">
        <v>72.741600000000005</v>
      </c>
      <c r="BA101" s="22">
        <v>-1.34491E-2</v>
      </c>
      <c r="BB101" s="22">
        <v>91</v>
      </c>
      <c r="BC101" s="22">
        <v>0.357574</v>
      </c>
      <c r="BD101">
        <f t="shared" si="22"/>
        <v>13.4491</v>
      </c>
      <c r="BE101">
        <f t="shared" si="23"/>
        <v>4.8184897515999996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7.6438800000000002</v>
      </c>
      <c r="I102" s="22">
        <v>-7.8247100000000003E-3</v>
      </c>
      <c r="J102" s="22">
        <v>92</v>
      </c>
      <c r="K102" s="22">
        <v>1.33575</v>
      </c>
      <c r="L102">
        <f t="shared" si="12"/>
        <v>7.8247100000000005</v>
      </c>
      <c r="M102">
        <f t="shared" si="13"/>
        <v>10.4590551157</v>
      </c>
      <c r="N102" s="9"/>
      <c r="O102" s="22">
        <v>0.36331200000000002</v>
      </c>
      <c r="P102" s="22">
        <v>47.119100000000003</v>
      </c>
      <c r="Q102" s="22">
        <v>-1.4071699999999999E-2</v>
      </c>
      <c r="R102" s="22">
        <v>92</v>
      </c>
      <c r="S102" s="22">
        <v>0.36264000000000002</v>
      </c>
      <c r="T102">
        <f t="shared" si="14"/>
        <v>14.0717</v>
      </c>
      <c r="U102">
        <f t="shared" si="15"/>
        <v>5.1124174704000005</v>
      </c>
      <c r="X102" s="9"/>
      <c r="Y102" s="22">
        <v>1.33667</v>
      </c>
      <c r="Z102" s="22">
        <v>54.930799999999998</v>
      </c>
      <c r="AA102" s="22">
        <v>-7.9711899999999995E-3</v>
      </c>
      <c r="AB102" s="22">
        <v>92</v>
      </c>
      <c r="AC102" s="22">
        <v>1.33606</v>
      </c>
      <c r="AD102">
        <f t="shared" si="16"/>
        <v>7.9711899999999991</v>
      </c>
      <c r="AE102">
        <f t="shared" si="17"/>
        <v>10.6548505373</v>
      </c>
      <c r="AF102" s="9"/>
      <c r="AG102" s="22">
        <v>0.36331200000000002</v>
      </c>
      <c r="AH102" s="22">
        <v>60.4754</v>
      </c>
      <c r="AI102" s="22">
        <v>-1.3616899999999999E-2</v>
      </c>
      <c r="AJ102" s="22">
        <v>92</v>
      </c>
      <c r="AK102" s="22">
        <v>0.36267100000000002</v>
      </c>
      <c r="AL102">
        <f t="shared" si="18"/>
        <v>13.616899999999999</v>
      </c>
      <c r="AM102">
        <f t="shared" si="19"/>
        <v>4.9471831728</v>
      </c>
      <c r="AP102" s="9"/>
      <c r="AQ102" s="22">
        <v>1.33667</v>
      </c>
      <c r="AR102" s="22">
        <v>67.474999999999994</v>
      </c>
      <c r="AS102" s="22">
        <v>-7.6873799999999997E-3</v>
      </c>
      <c r="AT102" s="22">
        <v>92</v>
      </c>
      <c r="AU102" s="22">
        <v>1.33575</v>
      </c>
      <c r="AV102">
        <f t="shared" si="20"/>
        <v>7.6873800000000001</v>
      </c>
      <c r="AW102">
        <f t="shared" si="21"/>
        <v>10.2754902246</v>
      </c>
      <c r="AX102" s="9"/>
      <c r="AY102" s="22">
        <v>0.36331200000000002</v>
      </c>
      <c r="AZ102" s="22">
        <v>72.751599999999996</v>
      </c>
      <c r="BA102" s="22">
        <v>-1.3424699999999999E-2</v>
      </c>
      <c r="BB102" s="22">
        <v>92</v>
      </c>
      <c r="BC102" s="22">
        <v>0.36267100000000002</v>
      </c>
      <c r="BD102">
        <f t="shared" si="22"/>
        <v>13.4247</v>
      </c>
      <c r="BE102">
        <f t="shared" si="23"/>
        <v>4.8773546064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7.6539599999999997</v>
      </c>
      <c r="I103" s="22">
        <v>-7.8796400000000003E-3</v>
      </c>
      <c r="J103" s="22">
        <v>93</v>
      </c>
      <c r="K103" s="22">
        <v>1.33118</v>
      </c>
      <c r="L103">
        <f t="shared" si="12"/>
        <v>7.8796400000000002</v>
      </c>
      <c r="M103">
        <f t="shared" si="13"/>
        <v>10.492765013200001</v>
      </c>
      <c r="N103" s="9"/>
      <c r="O103" s="22">
        <v>0.36834699999999998</v>
      </c>
      <c r="P103" s="22">
        <v>47.129199999999997</v>
      </c>
      <c r="Q103" s="22">
        <v>-1.4041100000000001E-2</v>
      </c>
      <c r="R103" s="22">
        <v>93</v>
      </c>
      <c r="S103" s="22">
        <v>0.367676</v>
      </c>
      <c r="T103">
        <f t="shared" si="14"/>
        <v>14.0411</v>
      </c>
      <c r="U103">
        <f t="shared" si="15"/>
        <v>5.1719970617</v>
      </c>
      <c r="X103" s="9"/>
      <c r="Y103" s="22">
        <v>1.3316300000000001</v>
      </c>
      <c r="Z103" s="22">
        <v>54.940800000000003</v>
      </c>
      <c r="AA103" s="22">
        <v>-8.0261199999999994E-3</v>
      </c>
      <c r="AB103" s="22">
        <v>93</v>
      </c>
      <c r="AC103" s="22">
        <v>1.33057</v>
      </c>
      <c r="AD103">
        <f t="shared" si="16"/>
        <v>8.0261199999999988</v>
      </c>
      <c r="AE103">
        <f t="shared" si="17"/>
        <v>10.687822175599999</v>
      </c>
      <c r="AF103" s="9"/>
      <c r="AG103" s="22">
        <v>0.36834699999999998</v>
      </c>
      <c r="AH103" s="22">
        <v>60.485500000000002</v>
      </c>
      <c r="AI103" s="22">
        <v>-1.3583400000000001E-2</v>
      </c>
      <c r="AJ103" s="22">
        <v>93</v>
      </c>
      <c r="AK103" s="22">
        <v>0.36773699999999998</v>
      </c>
      <c r="AL103">
        <f t="shared" si="18"/>
        <v>13.583400000000001</v>
      </c>
      <c r="AM103">
        <f t="shared" si="19"/>
        <v>5.0034046398000003</v>
      </c>
      <c r="AP103" s="9"/>
      <c r="AQ103" s="22">
        <v>1.3316300000000001</v>
      </c>
      <c r="AR103" s="22">
        <v>67.485100000000003</v>
      </c>
      <c r="AS103" s="22">
        <v>-7.7392600000000004E-3</v>
      </c>
      <c r="AT103" s="22">
        <v>93</v>
      </c>
      <c r="AU103" s="22">
        <v>1.33057</v>
      </c>
      <c r="AV103">
        <f t="shared" si="20"/>
        <v>7.7392600000000007</v>
      </c>
      <c r="AW103">
        <f t="shared" si="21"/>
        <v>10.305830793800002</v>
      </c>
      <c r="AX103" s="9"/>
      <c r="AY103" s="22">
        <v>0.36834699999999998</v>
      </c>
      <c r="AZ103" s="22">
        <v>72.761700000000005</v>
      </c>
      <c r="BA103" s="22">
        <v>-1.33972E-2</v>
      </c>
      <c r="BB103" s="22">
        <v>93</v>
      </c>
      <c r="BC103" s="22">
        <v>0.36773699999999998</v>
      </c>
      <c r="BD103">
        <f t="shared" si="22"/>
        <v>13.3972</v>
      </c>
      <c r="BE103">
        <f t="shared" si="23"/>
        <v>4.9348184283999998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7.6640300000000003</v>
      </c>
      <c r="I104" s="22">
        <v>-7.9315199999999992E-3</v>
      </c>
      <c r="J104" s="22">
        <v>94</v>
      </c>
      <c r="K104" s="22">
        <v>1.32568</v>
      </c>
      <c r="L104">
        <f t="shared" si="12"/>
        <v>7.931519999999999</v>
      </c>
      <c r="M104">
        <f t="shared" si="13"/>
        <v>10.521954431999999</v>
      </c>
      <c r="N104" s="9"/>
      <c r="O104" s="22">
        <v>0.37338300000000002</v>
      </c>
      <c r="P104" s="22">
        <v>47.139299999999999</v>
      </c>
      <c r="Q104" s="22">
        <v>-1.40106E-2</v>
      </c>
      <c r="R104" s="22">
        <v>94</v>
      </c>
      <c r="S104" s="22">
        <v>0.37274200000000002</v>
      </c>
      <c r="T104">
        <f t="shared" si="14"/>
        <v>14.0106</v>
      </c>
      <c r="U104">
        <f t="shared" si="15"/>
        <v>5.2313198598000001</v>
      </c>
      <c r="X104" s="9"/>
      <c r="Y104" s="22">
        <v>1.3266</v>
      </c>
      <c r="Z104" s="22">
        <v>54.950899999999997</v>
      </c>
      <c r="AA104" s="22">
        <v>-8.0841100000000003E-3</v>
      </c>
      <c r="AB104" s="22">
        <v>94</v>
      </c>
      <c r="AC104" s="22">
        <v>1.32568</v>
      </c>
      <c r="AD104">
        <f t="shared" si="16"/>
        <v>8.0841100000000008</v>
      </c>
      <c r="AE104">
        <f t="shared" si="17"/>
        <v>10.724380326</v>
      </c>
      <c r="AF104" s="9"/>
      <c r="AG104" s="22">
        <v>0.37338300000000002</v>
      </c>
      <c r="AH104" s="22">
        <v>60.4955</v>
      </c>
      <c r="AI104" s="22">
        <v>-1.3549800000000001E-2</v>
      </c>
      <c r="AJ104" s="22">
        <v>94</v>
      </c>
      <c r="AK104" s="22">
        <v>0.372803</v>
      </c>
      <c r="AL104">
        <f t="shared" si="18"/>
        <v>13.549800000000001</v>
      </c>
      <c r="AM104">
        <f t="shared" si="19"/>
        <v>5.0592649734000004</v>
      </c>
      <c r="AP104" s="9"/>
      <c r="AQ104" s="22">
        <v>1.3266</v>
      </c>
      <c r="AR104" s="22">
        <v>67.495199999999997</v>
      </c>
      <c r="AS104" s="22">
        <v>-7.7911400000000002E-3</v>
      </c>
      <c r="AT104" s="22">
        <v>94</v>
      </c>
      <c r="AU104" s="22">
        <v>1.32538</v>
      </c>
      <c r="AV104">
        <f t="shared" si="20"/>
        <v>7.7911400000000004</v>
      </c>
      <c r="AW104">
        <f t="shared" si="21"/>
        <v>10.335726324000001</v>
      </c>
      <c r="AX104" s="9"/>
      <c r="AY104" s="22">
        <v>0.37338300000000002</v>
      </c>
      <c r="AZ104" s="22">
        <v>72.771799999999999</v>
      </c>
      <c r="BA104" s="22">
        <v>-1.3369799999999999E-2</v>
      </c>
      <c r="BB104" s="22">
        <v>94</v>
      </c>
      <c r="BC104" s="22">
        <v>0.37274200000000002</v>
      </c>
      <c r="BD104">
        <f t="shared" si="22"/>
        <v>13.3698</v>
      </c>
      <c r="BE104">
        <f t="shared" si="23"/>
        <v>4.9920560333999999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7.6741000000000001</v>
      </c>
      <c r="I105" s="22">
        <v>-7.9864500000000008E-3</v>
      </c>
      <c r="J105" s="22">
        <v>95</v>
      </c>
      <c r="K105" s="22">
        <v>1.3208</v>
      </c>
      <c r="L105">
        <f t="shared" si="12"/>
        <v>7.9864500000000005</v>
      </c>
      <c r="M105">
        <f t="shared" si="13"/>
        <v>10.554572862000001</v>
      </c>
      <c r="N105" s="9"/>
      <c r="O105" s="22">
        <v>0.37841799999999998</v>
      </c>
      <c r="P105" s="22">
        <v>47.149299999999997</v>
      </c>
      <c r="Q105" s="22">
        <v>-1.39709E-2</v>
      </c>
      <c r="R105" s="22">
        <v>95</v>
      </c>
      <c r="S105" s="22">
        <v>0.377747</v>
      </c>
      <c r="T105">
        <f t="shared" si="14"/>
        <v>13.9709</v>
      </c>
      <c r="U105">
        <f t="shared" si="15"/>
        <v>5.2868400362000001</v>
      </c>
      <c r="X105" s="9"/>
      <c r="Y105" s="22">
        <v>1.3215600000000001</v>
      </c>
      <c r="Z105" s="22">
        <v>54.960999999999999</v>
      </c>
      <c r="AA105" s="22">
        <v>-8.1390400000000002E-3</v>
      </c>
      <c r="AB105" s="22">
        <v>95</v>
      </c>
      <c r="AC105" s="22">
        <v>1.3208</v>
      </c>
      <c r="AD105">
        <f t="shared" si="16"/>
        <v>8.1390399999999996</v>
      </c>
      <c r="AE105">
        <f t="shared" si="17"/>
        <v>10.756229702400001</v>
      </c>
      <c r="AF105" s="9"/>
      <c r="AG105" s="22">
        <v>0.37841799999999998</v>
      </c>
      <c r="AH105" s="22">
        <v>60.505600000000001</v>
      </c>
      <c r="AI105" s="22">
        <v>-1.3516200000000001E-2</v>
      </c>
      <c r="AJ105" s="22">
        <v>95</v>
      </c>
      <c r="AK105" s="22">
        <v>0.37777699999999997</v>
      </c>
      <c r="AL105">
        <f t="shared" si="18"/>
        <v>13.516200000000001</v>
      </c>
      <c r="AM105">
        <f t="shared" si="19"/>
        <v>5.1147733716000001</v>
      </c>
      <c r="AP105" s="9"/>
      <c r="AQ105" s="22">
        <v>1.3215600000000001</v>
      </c>
      <c r="AR105" s="22">
        <v>67.505200000000002</v>
      </c>
      <c r="AS105" s="22">
        <v>-7.8430199999999992E-3</v>
      </c>
      <c r="AT105" s="22">
        <v>95</v>
      </c>
      <c r="AU105" s="22">
        <v>1.32111</v>
      </c>
      <c r="AV105">
        <f t="shared" si="20"/>
        <v>7.8430199999999992</v>
      </c>
      <c r="AW105">
        <f t="shared" si="21"/>
        <v>10.3650215112</v>
      </c>
      <c r="AX105" s="9"/>
      <c r="AY105" s="22">
        <v>0.37841799999999998</v>
      </c>
      <c r="AZ105" s="22">
        <v>72.781899999999993</v>
      </c>
      <c r="BA105" s="22">
        <v>-1.3339200000000001E-2</v>
      </c>
      <c r="BB105" s="22">
        <v>95</v>
      </c>
      <c r="BC105" s="22">
        <v>0.37780799999999998</v>
      </c>
      <c r="BD105">
        <f t="shared" si="22"/>
        <v>13.3392</v>
      </c>
      <c r="BE105">
        <f t="shared" si="23"/>
        <v>5.0477933855999995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7.6841699999999999</v>
      </c>
      <c r="I106" s="22">
        <v>-8.0383299999999998E-3</v>
      </c>
      <c r="J106" s="22">
        <v>96</v>
      </c>
      <c r="K106" s="22">
        <v>1.31531</v>
      </c>
      <c r="L106">
        <f t="shared" si="12"/>
        <v>8.0383300000000002</v>
      </c>
      <c r="M106">
        <f t="shared" si="13"/>
        <v>10.582702594900001</v>
      </c>
      <c r="N106" s="9"/>
      <c r="O106" s="22">
        <v>0.38345299999999999</v>
      </c>
      <c r="P106" s="22">
        <v>47.159399999999998</v>
      </c>
      <c r="Q106" s="22">
        <v>-1.39343E-2</v>
      </c>
      <c r="R106" s="22">
        <v>96</v>
      </c>
      <c r="S106" s="22">
        <v>0.38284299999999999</v>
      </c>
      <c r="T106">
        <f t="shared" si="14"/>
        <v>13.9343</v>
      </c>
      <c r="U106">
        <f t="shared" si="15"/>
        <v>5.3431491379000002</v>
      </c>
      <c r="X106" s="9"/>
      <c r="Y106" s="22">
        <v>1.31653</v>
      </c>
      <c r="Z106" s="22">
        <v>54.9711</v>
      </c>
      <c r="AA106" s="22">
        <v>-8.1939700000000001E-3</v>
      </c>
      <c r="AB106" s="22">
        <v>96</v>
      </c>
      <c r="AC106" s="22">
        <v>1.31592</v>
      </c>
      <c r="AD106">
        <f t="shared" si="16"/>
        <v>8.1939700000000002</v>
      </c>
      <c r="AE106">
        <f t="shared" si="17"/>
        <v>10.7876073241</v>
      </c>
      <c r="AF106" s="9"/>
      <c r="AG106" s="22">
        <v>0.38345299999999999</v>
      </c>
      <c r="AH106" s="22">
        <v>60.515700000000002</v>
      </c>
      <c r="AI106" s="22">
        <v>-1.34796E-2</v>
      </c>
      <c r="AJ106" s="22">
        <v>96</v>
      </c>
      <c r="AK106" s="22">
        <v>0.38287399999999999</v>
      </c>
      <c r="AL106">
        <f t="shared" si="18"/>
        <v>13.4796</v>
      </c>
      <c r="AM106">
        <f t="shared" si="19"/>
        <v>5.1687930587999995</v>
      </c>
      <c r="AP106" s="9"/>
      <c r="AQ106" s="22">
        <v>1.31653</v>
      </c>
      <c r="AR106" s="22">
        <v>67.515299999999996</v>
      </c>
      <c r="AS106" s="22">
        <v>-7.8918500000000006E-3</v>
      </c>
      <c r="AT106" s="22">
        <v>96</v>
      </c>
      <c r="AU106" s="22">
        <v>1.31531</v>
      </c>
      <c r="AV106">
        <f t="shared" si="20"/>
        <v>7.8918500000000007</v>
      </c>
      <c r="AW106">
        <f t="shared" si="21"/>
        <v>10.389857280500001</v>
      </c>
      <c r="AX106" s="9"/>
      <c r="AY106" s="22">
        <v>0.38345299999999999</v>
      </c>
      <c r="AZ106" s="22">
        <v>72.791899999999998</v>
      </c>
      <c r="BA106" s="22">
        <v>-1.33087E-2</v>
      </c>
      <c r="BB106" s="22">
        <v>96</v>
      </c>
      <c r="BC106" s="22">
        <v>0.38278200000000001</v>
      </c>
      <c r="BD106">
        <f t="shared" si="22"/>
        <v>13.3087</v>
      </c>
      <c r="BE106">
        <f t="shared" si="23"/>
        <v>5.1032609410999994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7.6942399999999997</v>
      </c>
      <c r="I107" s="22">
        <v>-8.0902100000000005E-3</v>
      </c>
      <c r="J107" s="22">
        <v>97</v>
      </c>
      <c r="K107" s="22">
        <v>1.31073</v>
      </c>
      <c r="L107">
        <f t="shared" si="12"/>
        <v>8.0902100000000008</v>
      </c>
      <c r="M107">
        <f t="shared" si="13"/>
        <v>10.610229512900002</v>
      </c>
      <c r="N107" s="9"/>
      <c r="O107" s="22">
        <v>0.38848899999999997</v>
      </c>
      <c r="P107" s="22">
        <v>47.169499999999999</v>
      </c>
      <c r="Q107" s="22">
        <v>-1.3894699999999999E-2</v>
      </c>
      <c r="R107" s="22">
        <v>97</v>
      </c>
      <c r="S107" s="22">
        <v>0.387909</v>
      </c>
      <c r="T107">
        <f t="shared" si="14"/>
        <v>13.8947</v>
      </c>
      <c r="U107">
        <f t="shared" si="15"/>
        <v>5.3979381083</v>
      </c>
      <c r="X107" s="9"/>
      <c r="Y107" s="22">
        <v>1.31149</v>
      </c>
      <c r="Z107" s="22">
        <v>54.981099999999998</v>
      </c>
      <c r="AA107" s="22">
        <v>-8.2458500000000007E-3</v>
      </c>
      <c r="AB107" s="22">
        <v>97</v>
      </c>
      <c r="AC107" s="22">
        <v>1.31104</v>
      </c>
      <c r="AD107">
        <f t="shared" si="16"/>
        <v>8.2458500000000008</v>
      </c>
      <c r="AE107">
        <f t="shared" si="17"/>
        <v>10.814349816500002</v>
      </c>
      <c r="AF107" s="9"/>
      <c r="AG107" s="22">
        <v>0.38848899999999997</v>
      </c>
      <c r="AH107" s="22">
        <v>60.525700000000001</v>
      </c>
      <c r="AI107" s="22">
        <v>-1.3439899999999999E-2</v>
      </c>
      <c r="AJ107" s="22">
        <v>97</v>
      </c>
      <c r="AK107" s="22">
        <v>0.387909</v>
      </c>
      <c r="AL107">
        <f t="shared" si="18"/>
        <v>13.4399</v>
      </c>
      <c r="AM107">
        <f t="shared" si="19"/>
        <v>5.2212533110999999</v>
      </c>
      <c r="AP107" s="9"/>
      <c r="AQ107" s="22">
        <v>1.31149</v>
      </c>
      <c r="AR107" s="22">
        <v>67.525400000000005</v>
      </c>
      <c r="AS107" s="22">
        <v>-7.9437299999999995E-3</v>
      </c>
      <c r="AT107" s="22">
        <v>97</v>
      </c>
      <c r="AU107" s="22">
        <v>1.3104199999999999</v>
      </c>
      <c r="AV107">
        <f t="shared" si="20"/>
        <v>7.9437299999999995</v>
      </c>
      <c r="AW107">
        <f t="shared" si="21"/>
        <v>10.418122457699999</v>
      </c>
      <c r="AX107" s="9"/>
      <c r="AY107" s="22">
        <v>0.38848899999999997</v>
      </c>
      <c r="AZ107" s="22">
        <v>72.802000000000007</v>
      </c>
      <c r="BA107" s="22">
        <v>-1.32721E-2</v>
      </c>
      <c r="BB107" s="22">
        <v>97</v>
      </c>
      <c r="BC107" s="22">
        <v>0.387878</v>
      </c>
      <c r="BD107">
        <f t="shared" si="22"/>
        <v>13.2721</v>
      </c>
      <c r="BE107">
        <f t="shared" si="23"/>
        <v>5.1560648568999996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7.7043100000000004</v>
      </c>
      <c r="I108" s="22">
        <v>-8.1420899999999994E-3</v>
      </c>
      <c r="J108" s="22">
        <v>98</v>
      </c>
      <c r="K108" s="22">
        <v>1.3061499999999999</v>
      </c>
      <c r="L108">
        <f t="shared" si="12"/>
        <v>8.1420899999999996</v>
      </c>
      <c r="M108">
        <f t="shared" si="13"/>
        <v>10.6373149014</v>
      </c>
      <c r="N108" s="9"/>
      <c r="O108" s="22">
        <v>0.39352399999999998</v>
      </c>
      <c r="P108" s="22">
        <v>47.179600000000001</v>
      </c>
      <c r="Q108" s="22">
        <v>-1.3864100000000001E-2</v>
      </c>
      <c r="R108" s="22">
        <v>98</v>
      </c>
      <c r="S108" s="22">
        <v>0.39294400000000002</v>
      </c>
      <c r="T108">
        <f t="shared" si="14"/>
        <v>13.864100000000001</v>
      </c>
      <c r="U108">
        <f t="shared" si="15"/>
        <v>5.4558560884</v>
      </c>
      <c r="X108" s="9"/>
      <c r="Y108" s="22">
        <v>1.30646</v>
      </c>
      <c r="Z108" s="22">
        <v>54.991199999999999</v>
      </c>
      <c r="AA108" s="22">
        <v>-8.3007800000000007E-3</v>
      </c>
      <c r="AB108" s="22">
        <v>98</v>
      </c>
      <c r="AC108" s="22">
        <v>1.30524</v>
      </c>
      <c r="AD108">
        <f t="shared" si="16"/>
        <v>8.3007800000000014</v>
      </c>
      <c r="AE108">
        <f t="shared" si="17"/>
        <v>10.844637038800002</v>
      </c>
      <c r="AF108" s="9"/>
      <c r="AG108" s="22">
        <v>0.39352399999999998</v>
      </c>
      <c r="AH108" s="22">
        <v>60.535800000000002</v>
      </c>
      <c r="AI108" s="22">
        <v>-1.34033E-2</v>
      </c>
      <c r="AJ108" s="22">
        <v>98</v>
      </c>
      <c r="AK108" s="22">
        <v>0.39291399999999999</v>
      </c>
      <c r="AL108">
        <f t="shared" si="18"/>
        <v>13.4033</v>
      </c>
      <c r="AM108">
        <f t="shared" si="19"/>
        <v>5.2745202291999993</v>
      </c>
      <c r="AP108" s="9"/>
      <c r="AQ108" s="22">
        <v>1.30646</v>
      </c>
      <c r="AR108" s="22">
        <v>67.535399999999996</v>
      </c>
      <c r="AS108" s="22">
        <v>-7.9925499999999993E-3</v>
      </c>
      <c r="AT108" s="22">
        <v>98</v>
      </c>
      <c r="AU108" s="22">
        <v>1.30524</v>
      </c>
      <c r="AV108">
        <f t="shared" si="20"/>
        <v>7.9925499999999996</v>
      </c>
      <c r="AW108">
        <f t="shared" si="21"/>
        <v>10.441946872999999</v>
      </c>
      <c r="AX108" s="9"/>
      <c r="AY108" s="22">
        <v>0.39352399999999998</v>
      </c>
      <c r="AZ108" s="22">
        <v>72.812100000000001</v>
      </c>
      <c r="BA108" s="22">
        <v>-1.32385E-2</v>
      </c>
      <c r="BB108" s="22">
        <v>98</v>
      </c>
      <c r="BC108" s="22">
        <v>0.39285300000000001</v>
      </c>
      <c r="BD108">
        <f t="shared" si="22"/>
        <v>13.2385</v>
      </c>
      <c r="BE108">
        <f t="shared" si="23"/>
        <v>5.2096674739999997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7.7143800000000002</v>
      </c>
      <c r="I109" s="22">
        <v>-8.1939700000000001E-3</v>
      </c>
      <c r="J109" s="22">
        <v>99</v>
      </c>
      <c r="K109" s="22">
        <v>1.3006599999999999</v>
      </c>
      <c r="L109">
        <f t="shared" si="12"/>
        <v>8.1939700000000002</v>
      </c>
      <c r="M109">
        <f t="shared" si="13"/>
        <v>10.6637964374</v>
      </c>
      <c r="N109" s="9"/>
      <c r="O109" s="22">
        <v>0.39856000000000003</v>
      </c>
      <c r="P109" s="22">
        <v>47.189599999999999</v>
      </c>
      <c r="Q109" s="22">
        <v>-1.38367E-2</v>
      </c>
      <c r="R109" s="22">
        <v>99</v>
      </c>
      <c r="S109" s="22">
        <v>0.39788800000000002</v>
      </c>
      <c r="T109">
        <f t="shared" si="14"/>
        <v>13.8367</v>
      </c>
      <c r="U109">
        <f t="shared" si="15"/>
        <v>5.5147551520000002</v>
      </c>
      <c r="X109" s="9"/>
      <c r="Y109" s="22">
        <v>1.30142</v>
      </c>
      <c r="Z109" s="22">
        <v>55.001300000000001</v>
      </c>
      <c r="AA109" s="22">
        <v>-8.3496100000000004E-3</v>
      </c>
      <c r="AB109" s="22">
        <v>99</v>
      </c>
      <c r="AC109" s="22">
        <v>1.3006599999999999</v>
      </c>
      <c r="AD109">
        <f t="shared" si="16"/>
        <v>8.3496100000000002</v>
      </c>
      <c r="AE109">
        <f t="shared" si="17"/>
        <v>10.866349446200001</v>
      </c>
      <c r="AF109" s="9"/>
      <c r="AG109" s="22">
        <v>0.39856000000000003</v>
      </c>
      <c r="AH109" s="22">
        <v>60.545900000000003</v>
      </c>
      <c r="AI109" s="22">
        <v>-1.33759E-2</v>
      </c>
      <c r="AJ109" s="22">
        <v>99</v>
      </c>
      <c r="AK109" s="22">
        <v>0.39785799999999999</v>
      </c>
      <c r="AL109">
        <f t="shared" si="18"/>
        <v>13.3759</v>
      </c>
      <c r="AM109">
        <f t="shared" si="19"/>
        <v>5.3310987040000004</v>
      </c>
      <c r="AP109" s="9"/>
      <c r="AQ109" s="22">
        <v>1.30142</v>
      </c>
      <c r="AR109" s="22">
        <v>67.545500000000004</v>
      </c>
      <c r="AS109" s="22">
        <v>-8.04443E-3</v>
      </c>
      <c r="AT109" s="22">
        <v>99</v>
      </c>
      <c r="AU109" s="22">
        <v>1.3009599999999999</v>
      </c>
      <c r="AV109">
        <f t="shared" si="20"/>
        <v>8.0444300000000002</v>
      </c>
      <c r="AW109">
        <f t="shared" si="21"/>
        <v>10.4691820906</v>
      </c>
      <c r="AX109" s="9"/>
      <c r="AY109" s="22">
        <v>0.39856000000000003</v>
      </c>
      <c r="AZ109" s="22">
        <v>72.822100000000006</v>
      </c>
      <c r="BA109" s="22">
        <v>-1.3195800000000001E-2</v>
      </c>
      <c r="BB109" s="22">
        <v>99</v>
      </c>
      <c r="BC109" s="22">
        <v>0.39785799999999999</v>
      </c>
      <c r="BD109">
        <f t="shared" si="22"/>
        <v>13.1958</v>
      </c>
      <c r="BE109">
        <f t="shared" si="23"/>
        <v>5.2593180480000008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7.72445</v>
      </c>
      <c r="I110" s="22">
        <v>-8.2458500000000007E-3</v>
      </c>
      <c r="J110" s="22">
        <v>100</v>
      </c>
      <c r="K110" s="22">
        <v>1.2954699999999999</v>
      </c>
      <c r="L110">
        <f t="shared" si="12"/>
        <v>8.2458500000000008</v>
      </c>
      <c r="M110">
        <f t="shared" si="13"/>
        <v>10.6898374815</v>
      </c>
      <c r="N110" s="9"/>
      <c r="O110" s="22">
        <v>0.40359499999999998</v>
      </c>
      <c r="P110" s="22">
        <v>47.1997</v>
      </c>
      <c r="Q110" s="22">
        <v>-1.38031E-2</v>
      </c>
      <c r="R110" s="22">
        <v>100</v>
      </c>
      <c r="S110" s="22">
        <v>0.40298499999999998</v>
      </c>
      <c r="T110">
        <f t="shared" si="14"/>
        <v>13.803100000000001</v>
      </c>
      <c r="U110">
        <f t="shared" si="15"/>
        <v>5.5708621445000004</v>
      </c>
      <c r="X110" s="9"/>
      <c r="Y110" s="22">
        <v>1.2963899999999999</v>
      </c>
      <c r="Z110" s="22">
        <v>55.011299999999999</v>
      </c>
      <c r="AA110" s="22">
        <v>-8.4014899999999993E-3</v>
      </c>
      <c r="AB110" s="22">
        <v>100</v>
      </c>
      <c r="AC110" s="22">
        <v>1.2957799999999999</v>
      </c>
      <c r="AD110">
        <f t="shared" si="16"/>
        <v>8.401489999999999</v>
      </c>
      <c r="AE110">
        <f t="shared" si="17"/>
        <v>10.891607621099999</v>
      </c>
      <c r="AF110" s="9"/>
      <c r="AG110" s="22">
        <v>0.40359499999999998</v>
      </c>
      <c r="AH110" s="22">
        <v>60.555999999999997</v>
      </c>
      <c r="AI110" s="22">
        <v>-1.3339200000000001E-2</v>
      </c>
      <c r="AJ110" s="22">
        <v>100</v>
      </c>
      <c r="AK110" s="22">
        <v>0.40301500000000001</v>
      </c>
      <c r="AL110">
        <f t="shared" si="18"/>
        <v>13.3392</v>
      </c>
      <c r="AM110">
        <f t="shared" si="19"/>
        <v>5.3836344239999994</v>
      </c>
      <c r="AP110" s="9"/>
      <c r="AQ110" s="22">
        <v>1.2963899999999999</v>
      </c>
      <c r="AR110" s="22">
        <v>67.555599999999998</v>
      </c>
      <c r="AS110" s="22">
        <v>-8.0963100000000007E-3</v>
      </c>
      <c r="AT110" s="22">
        <v>100</v>
      </c>
      <c r="AU110" s="22">
        <v>1.2954699999999999</v>
      </c>
      <c r="AV110">
        <f t="shared" si="20"/>
        <v>8.0963100000000008</v>
      </c>
      <c r="AW110">
        <f t="shared" si="21"/>
        <v>10.495975320900001</v>
      </c>
      <c r="AX110" s="9"/>
      <c r="AY110" s="22">
        <v>0.40359499999999998</v>
      </c>
      <c r="AZ110" s="22">
        <v>72.8322</v>
      </c>
      <c r="BA110" s="22">
        <v>-1.31561E-2</v>
      </c>
      <c r="BB110" s="22">
        <v>100</v>
      </c>
      <c r="BC110" s="22">
        <v>0.40301500000000001</v>
      </c>
      <c r="BD110">
        <f t="shared" si="22"/>
        <v>13.1561</v>
      </c>
      <c r="BE110">
        <f t="shared" si="23"/>
        <v>5.3097361794999998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7.7345199999999998</v>
      </c>
      <c r="I111" s="22">
        <v>-8.2946800000000005E-3</v>
      </c>
      <c r="J111" s="22">
        <v>101</v>
      </c>
      <c r="K111" s="22">
        <v>1.2905899999999999</v>
      </c>
      <c r="L111">
        <f t="shared" si="12"/>
        <v>8.2946799999999996</v>
      </c>
      <c r="M111">
        <f t="shared" si="13"/>
        <v>10.711335018</v>
      </c>
      <c r="N111" s="9"/>
      <c r="O111" s="22">
        <v>0.40862999999999999</v>
      </c>
      <c r="P111" s="22">
        <v>47.209800000000001</v>
      </c>
      <c r="Q111" s="22">
        <v>-1.3766499999999999E-2</v>
      </c>
      <c r="R111" s="22">
        <v>101</v>
      </c>
      <c r="S111" s="22">
        <v>0.40792800000000001</v>
      </c>
      <c r="T111">
        <f t="shared" si="14"/>
        <v>13.766499999999999</v>
      </c>
      <c r="U111">
        <f t="shared" si="15"/>
        <v>5.6254048949999991</v>
      </c>
      <c r="X111" s="9"/>
      <c r="Y111" s="22">
        <v>1.29135</v>
      </c>
      <c r="Z111" s="22">
        <v>55.0214</v>
      </c>
      <c r="AA111" s="22">
        <v>-8.4503200000000007E-3</v>
      </c>
      <c r="AB111" s="22">
        <v>101</v>
      </c>
      <c r="AC111" s="22">
        <v>1.2908900000000001</v>
      </c>
      <c r="AD111">
        <f t="shared" si="16"/>
        <v>8.4503200000000014</v>
      </c>
      <c r="AE111">
        <f t="shared" si="17"/>
        <v>10.912320732000001</v>
      </c>
      <c r="AF111" s="9"/>
      <c r="AG111" s="22">
        <v>0.40862999999999999</v>
      </c>
      <c r="AH111" s="22">
        <v>60.566000000000003</v>
      </c>
      <c r="AI111" s="22">
        <v>-1.33118E-2</v>
      </c>
      <c r="AJ111" s="22">
        <v>101</v>
      </c>
      <c r="AK111" s="22">
        <v>0.40801999999999999</v>
      </c>
      <c r="AL111">
        <f t="shared" si="18"/>
        <v>13.3118</v>
      </c>
      <c r="AM111">
        <f t="shared" si="19"/>
        <v>5.4396008340000002</v>
      </c>
      <c r="AP111" s="9"/>
      <c r="AQ111" s="22">
        <v>1.29135</v>
      </c>
      <c r="AR111" s="22">
        <v>67.565700000000007</v>
      </c>
      <c r="AS111" s="22">
        <v>-8.1451400000000004E-3</v>
      </c>
      <c r="AT111" s="22">
        <v>101</v>
      </c>
      <c r="AU111" s="22">
        <v>1.2908900000000001</v>
      </c>
      <c r="AV111">
        <f t="shared" si="20"/>
        <v>8.1451399999999996</v>
      </c>
      <c r="AW111">
        <f t="shared" si="21"/>
        <v>10.518226538999999</v>
      </c>
      <c r="AX111" s="9"/>
      <c r="AY111" s="22">
        <v>0.40862999999999999</v>
      </c>
      <c r="AZ111" s="22">
        <v>72.842299999999994</v>
      </c>
      <c r="BA111" s="22">
        <v>-1.31226E-2</v>
      </c>
      <c r="BB111" s="22">
        <v>101</v>
      </c>
      <c r="BC111" s="22">
        <v>0.40799000000000002</v>
      </c>
      <c r="BD111">
        <f t="shared" si="22"/>
        <v>13.1226</v>
      </c>
      <c r="BE111">
        <f t="shared" si="23"/>
        <v>5.362288038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7.7445899999999996</v>
      </c>
      <c r="I112" s="22">
        <v>-8.3465599999999994E-3</v>
      </c>
      <c r="J112" s="22">
        <v>102</v>
      </c>
      <c r="K112" s="22">
        <v>1.2857099999999999</v>
      </c>
      <c r="L112">
        <f t="shared" si="12"/>
        <v>8.3465600000000002</v>
      </c>
      <c r="M112">
        <f t="shared" si="13"/>
        <v>10.7363470592</v>
      </c>
      <c r="N112" s="9"/>
      <c r="O112" s="22">
        <v>0.41366599999999998</v>
      </c>
      <c r="P112" s="22">
        <v>47.219799999999999</v>
      </c>
      <c r="Q112" s="22">
        <v>-1.37299E-2</v>
      </c>
      <c r="R112" s="22">
        <v>102</v>
      </c>
      <c r="S112" s="22">
        <v>0.41302499999999998</v>
      </c>
      <c r="T112">
        <f t="shared" si="14"/>
        <v>13.729899999999999</v>
      </c>
      <c r="U112">
        <f t="shared" si="15"/>
        <v>5.6795928133999993</v>
      </c>
      <c r="X112" s="9"/>
      <c r="Y112" s="22">
        <v>1.2863199999999999</v>
      </c>
      <c r="Z112" s="22">
        <v>55.031500000000001</v>
      </c>
      <c r="AA112" s="22">
        <v>-8.5021999999999997E-3</v>
      </c>
      <c r="AB112" s="22">
        <v>102</v>
      </c>
      <c r="AC112" s="22">
        <v>1.2857099999999999</v>
      </c>
      <c r="AD112">
        <f t="shared" si="16"/>
        <v>8.5022000000000002</v>
      </c>
      <c r="AE112">
        <f t="shared" si="17"/>
        <v>10.936549904</v>
      </c>
      <c r="AF112" s="9"/>
      <c r="AG112" s="22">
        <v>0.41366599999999998</v>
      </c>
      <c r="AH112" s="22">
        <v>60.576099999999997</v>
      </c>
      <c r="AI112" s="22">
        <v>-1.3281299999999999E-2</v>
      </c>
      <c r="AJ112" s="22">
        <v>102</v>
      </c>
      <c r="AK112" s="22">
        <v>0.41305500000000001</v>
      </c>
      <c r="AL112">
        <f t="shared" si="18"/>
        <v>13.2813</v>
      </c>
      <c r="AM112">
        <f t="shared" si="19"/>
        <v>5.4940222458000001</v>
      </c>
      <c r="AP112" s="9"/>
      <c r="AQ112" s="22">
        <v>1.2863199999999999</v>
      </c>
      <c r="AR112" s="22">
        <v>67.575699999999998</v>
      </c>
      <c r="AS112" s="22">
        <v>-8.1909200000000008E-3</v>
      </c>
      <c r="AT112" s="22">
        <v>102</v>
      </c>
      <c r="AU112" s="22">
        <v>1.2850999999999999</v>
      </c>
      <c r="AV112">
        <f t="shared" si="20"/>
        <v>8.1909200000000002</v>
      </c>
      <c r="AW112">
        <f t="shared" si="21"/>
        <v>10.5361442144</v>
      </c>
      <c r="AX112" s="9"/>
      <c r="AY112" s="22">
        <v>0.41366599999999998</v>
      </c>
      <c r="AZ112" s="22">
        <v>72.852400000000003</v>
      </c>
      <c r="BA112" s="22">
        <v>-1.3085899999999999E-2</v>
      </c>
      <c r="BB112" s="22">
        <v>102</v>
      </c>
      <c r="BC112" s="22">
        <v>0.41305500000000001</v>
      </c>
      <c r="BD112">
        <f t="shared" si="22"/>
        <v>13.085899999999999</v>
      </c>
      <c r="BE112">
        <f t="shared" si="23"/>
        <v>5.4131919093999992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7.75467</v>
      </c>
      <c r="I113" s="22">
        <v>-8.3953900000000008E-3</v>
      </c>
      <c r="J113" s="22">
        <v>103</v>
      </c>
      <c r="K113" s="22">
        <v>1.2808200000000001</v>
      </c>
      <c r="L113">
        <f t="shared" si="12"/>
        <v>8.3953900000000008</v>
      </c>
      <c r="M113">
        <f t="shared" si="13"/>
        <v>10.7568452992</v>
      </c>
      <c r="N113" s="9"/>
      <c r="O113" s="22">
        <v>0.41870099999999999</v>
      </c>
      <c r="P113" s="22">
        <v>47.229900000000001</v>
      </c>
      <c r="Q113" s="22">
        <v>-1.3687100000000001E-2</v>
      </c>
      <c r="R113" s="22">
        <v>103</v>
      </c>
      <c r="S113" s="22">
        <v>0.41812100000000002</v>
      </c>
      <c r="T113">
        <f t="shared" si="14"/>
        <v>13.687100000000001</v>
      </c>
      <c r="U113">
        <f t="shared" si="15"/>
        <v>5.7308024571000002</v>
      </c>
      <c r="X113" s="9"/>
      <c r="Y113" s="22">
        <v>1.28128</v>
      </c>
      <c r="Z113" s="22">
        <v>55.041600000000003</v>
      </c>
      <c r="AA113" s="22">
        <v>-8.5510299999999994E-3</v>
      </c>
      <c r="AB113" s="22">
        <v>103</v>
      </c>
      <c r="AC113" s="22">
        <v>1.2805200000000001</v>
      </c>
      <c r="AD113">
        <f t="shared" si="16"/>
        <v>8.551029999999999</v>
      </c>
      <c r="AE113">
        <f t="shared" si="17"/>
        <v>10.956263718399999</v>
      </c>
      <c r="AF113" s="9"/>
      <c r="AG113" s="22">
        <v>0.41870099999999999</v>
      </c>
      <c r="AH113" s="22">
        <v>60.586199999999998</v>
      </c>
      <c r="AI113" s="22">
        <v>-1.32446E-2</v>
      </c>
      <c r="AJ113" s="22">
        <v>103</v>
      </c>
      <c r="AK113" s="22">
        <v>0.41799900000000001</v>
      </c>
      <c r="AL113">
        <f t="shared" si="18"/>
        <v>13.2446</v>
      </c>
      <c r="AM113">
        <f t="shared" si="19"/>
        <v>5.5455272645999996</v>
      </c>
      <c r="AP113" s="9"/>
      <c r="AQ113" s="22">
        <v>1.28128</v>
      </c>
      <c r="AR113" s="22">
        <v>67.585800000000006</v>
      </c>
      <c r="AS113" s="22">
        <v>-8.2397500000000005E-3</v>
      </c>
      <c r="AT113" s="22">
        <v>103</v>
      </c>
      <c r="AU113" s="22">
        <v>1.2805200000000001</v>
      </c>
      <c r="AV113">
        <f t="shared" si="20"/>
        <v>8.2397500000000008</v>
      </c>
      <c r="AW113">
        <f t="shared" si="21"/>
        <v>10.557426880000001</v>
      </c>
      <c r="AX113" s="9"/>
      <c r="AY113" s="22">
        <v>0.41870099999999999</v>
      </c>
      <c r="AZ113" s="22">
        <v>72.862399999999994</v>
      </c>
      <c r="BA113" s="22">
        <v>-1.30615E-2</v>
      </c>
      <c r="BB113" s="22">
        <v>103</v>
      </c>
      <c r="BC113" s="22">
        <v>0.41805999999999999</v>
      </c>
      <c r="BD113">
        <f t="shared" si="22"/>
        <v>13.061500000000001</v>
      </c>
      <c r="BE113">
        <f t="shared" si="23"/>
        <v>5.4688631115000002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7.7647399999999998</v>
      </c>
      <c r="I114" s="22">
        <v>-8.4442100000000006E-3</v>
      </c>
      <c r="J114" s="22">
        <v>104</v>
      </c>
      <c r="K114" s="22">
        <v>1.2753300000000001</v>
      </c>
      <c r="L114">
        <f t="shared" si="12"/>
        <v>8.44421</v>
      </c>
      <c r="M114">
        <f t="shared" si="13"/>
        <v>10.776923012500001</v>
      </c>
      <c r="N114" s="9"/>
      <c r="O114" s="22">
        <v>0.42373699999999997</v>
      </c>
      <c r="P114" s="22">
        <v>47.24</v>
      </c>
      <c r="Q114" s="22">
        <v>-1.36475E-2</v>
      </c>
      <c r="R114" s="22">
        <v>104</v>
      </c>
      <c r="S114" s="22">
        <v>0.42309600000000003</v>
      </c>
      <c r="T114">
        <f t="shared" si="14"/>
        <v>13.647499999999999</v>
      </c>
      <c r="U114">
        <f t="shared" si="15"/>
        <v>5.7829507074999995</v>
      </c>
      <c r="X114" s="9"/>
      <c r="Y114" s="22">
        <v>1.2762500000000001</v>
      </c>
      <c r="Z114" s="22">
        <v>55.051600000000001</v>
      </c>
      <c r="AA114" s="22">
        <v>-8.5967999999999999E-3</v>
      </c>
      <c r="AB114" s="22">
        <v>104</v>
      </c>
      <c r="AC114" s="22">
        <v>1.2747200000000001</v>
      </c>
      <c r="AD114">
        <f t="shared" si="16"/>
        <v>8.5968</v>
      </c>
      <c r="AE114">
        <f t="shared" si="17"/>
        <v>10.971666000000001</v>
      </c>
      <c r="AF114" s="9"/>
      <c r="AG114" s="22">
        <v>0.42373699999999997</v>
      </c>
      <c r="AH114" s="22">
        <v>60.596200000000003</v>
      </c>
      <c r="AI114" s="22">
        <v>-1.3207999999999999E-2</v>
      </c>
      <c r="AJ114" s="22">
        <v>104</v>
      </c>
      <c r="AK114" s="22">
        <v>0.423126</v>
      </c>
      <c r="AL114">
        <f t="shared" si="18"/>
        <v>13.207999999999998</v>
      </c>
      <c r="AM114">
        <f t="shared" si="19"/>
        <v>5.5967182959999988</v>
      </c>
      <c r="AP114" s="9"/>
      <c r="AQ114" s="22">
        <v>1.2762500000000001</v>
      </c>
      <c r="AR114" s="22">
        <v>67.5959</v>
      </c>
      <c r="AS114" s="22">
        <v>-8.2885700000000003E-3</v>
      </c>
      <c r="AT114" s="22">
        <v>104</v>
      </c>
      <c r="AU114" s="22">
        <v>1.27563</v>
      </c>
      <c r="AV114">
        <f t="shared" si="20"/>
        <v>8.28857</v>
      </c>
      <c r="AW114">
        <f t="shared" si="21"/>
        <v>10.578287462500001</v>
      </c>
      <c r="AX114" s="9"/>
      <c r="AY114" s="22">
        <v>0.42373699999999997</v>
      </c>
      <c r="AZ114" s="22">
        <v>72.872500000000002</v>
      </c>
      <c r="BA114" s="22">
        <v>-1.3030999999999999E-2</v>
      </c>
      <c r="BB114" s="22">
        <v>104</v>
      </c>
      <c r="BC114" s="22">
        <v>0.423126</v>
      </c>
      <c r="BD114">
        <f t="shared" si="22"/>
        <v>13.030999999999999</v>
      </c>
      <c r="BE114">
        <f t="shared" si="23"/>
        <v>5.5217168469999995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7.7748100000000004</v>
      </c>
      <c r="I115" s="22">
        <v>-8.4869400000000001E-3</v>
      </c>
      <c r="J115" s="22">
        <v>105</v>
      </c>
      <c r="K115" s="22">
        <v>1.2698400000000001</v>
      </c>
      <c r="L115">
        <f t="shared" si="12"/>
        <v>8.4869400000000006</v>
      </c>
      <c r="M115">
        <f t="shared" si="13"/>
        <v>10.7886829974</v>
      </c>
      <c r="N115" s="9"/>
      <c r="O115" s="22">
        <v>0.42877199999999999</v>
      </c>
      <c r="P115" s="22">
        <v>47.25</v>
      </c>
      <c r="Q115" s="22">
        <v>-1.36078E-2</v>
      </c>
      <c r="R115" s="22">
        <v>105</v>
      </c>
      <c r="S115" s="22">
        <v>0.42810100000000001</v>
      </c>
      <c r="T115">
        <f t="shared" si="14"/>
        <v>13.607799999999999</v>
      </c>
      <c r="U115">
        <f t="shared" si="15"/>
        <v>5.8346436215999997</v>
      </c>
      <c r="X115" s="9"/>
      <c r="Y115" s="22">
        <v>1.27121</v>
      </c>
      <c r="Z115" s="22">
        <v>55.061700000000002</v>
      </c>
      <c r="AA115" s="22">
        <v>-8.6456299999999996E-3</v>
      </c>
      <c r="AB115" s="22">
        <v>105</v>
      </c>
      <c r="AC115" s="22">
        <v>1.27014</v>
      </c>
      <c r="AD115">
        <f t="shared" si="16"/>
        <v>8.6456299999999988</v>
      </c>
      <c r="AE115">
        <f t="shared" si="17"/>
        <v>10.990411312299997</v>
      </c>
      <c r="AF115" s="9"/>
      <c r="AG115" s="22">
        <v>0.42877199999999999</v>
      </c>
      <c r="AH115" s="22">
        <v>60.606299999999997</v>
      </c>
      <c r="AI115" s="22">
        <v>-1.31775E-2</v>
      </c>
      <c r="AJ115" s="22">
        <v>105</v>
      </c>
      <c r="AK115" s="22">
        <v>0.42813099999999998</v>
      </c>
      <c r="AL115">
        <f t="shared" si="18"/>
        <v>13.1775</v>
      </c>
      <c r="AM115">
        <f t="shared" si="19"/>
        <v>5.6501430299999997</v>
      </c>
      <c r="AP115" s="9"/>
      <c r="AQ115" s="22">
        <v>1.27121</v>
      </c>
      <c r="AR115" s="22">
        <v>67.605900000000005</v>
      </c>
      <c r="AS115" s="22">
        <v>-8.3312999999999998E-3</v>
      </c>
      <c r="AT115" s="22">
        <v>105</v>
      </c>
      <c r="AU115" s="22">
        <v>1.27014</v>
      </c>
      <c r="AV115">
        <f t="shared" si="20"/>
        <v>8.3313000000000006</v>
      </c>
      <c r="AW115">
        <f t="shared" si="21"/>
        <v>10.590831873000001</v>
      </c>
      <c r="AX115" s="9"/>
      <c r="AY115" s="22">
        <v>0.42877199999999999</v>
      </c>
      <c r="AZ115" s="22">
        <v>72.882599999999996</v>
      </c>
      <c r="BA115" s="22">
        <v>-1.30066E-2</v>
      </c>
      <c r="BB115" s="22">
        <v>105</v>
      </c>
      <c r="BC115" s="22">
        <v>0.42813099999999998</v>
      </c>
      <c r="BD115">
        <f t="shared" si="22"/>
        <v>13.006600000000001</v>
      </c>
      <c r="BE115">
        <f t="shared" si="23"/>
        <v>5.5768658952000001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7.7848800000000002</v>
      </c>
      <c r="I116" s="22">
        <v>-8.5327100000000006E-3</v>
      </c>
      <c r="J116" s="22">
        <v>106</v>
      </c>
      <c r="K116" s="22">
        <v>1.2646500000000001</v>
      </c>
      <c r="L116">
        <f t="shared" si="12"/>
        <v>8.5327099999999998</v>
      </c>
      <c r="M116">
        <f t="shared" si="13"/>
        <v>10.803861420700001</v>
      </c>
      <c r="N116" s="9"/>
      <c r="O116" s="22">
        <v>0.433807</v>
      </c>
      <c r="P116" s="22">
        <v>47.260100000000001</v>
      </c>
      <c r="Q116" s="22">
        <v>-1.35742E-2</v>
      </c>
      <c r="R116" s="22">
        <v>106</v>
      </c>
      <c r="S116" s="22">
        <v>0.43316700000000002</v>
      </c>
      <c r="T116">
        <f t="shared" si="14"/>
        <v>13.574199999999999</v>
      </c>
      <c r="U116">
        <f t="shared" si="15"/>
        <v>5.8885829793999998</v>
      </c>
      <c r="X116" s="9"/>
      <c r="Y116" s="22">
        <v>1.26617</v>
      </c>
      <c r="Z116" s="22">
        <v>55.071800000000003</v>
      </c>
      <c r="AA116" s="22">
        <v>-8.6944599999999993E-3</v>
      </c>
      <c r="AB116" s="22">
        <v>106</v>
      </c>
      <c r="AC116" s="22">
        <v>1.2652600000000001</v>
      </c>
      <c r="AD116">
        <f t="shared" si="16"/>
        <v>8.6944599999999994</v>
      </c>
      <c r="AE116">
        <f t="shared" si="17"/>
        <v>11.008664418199999</v>
      </c>
      <c r="AF116" s="9"/>
      <c r="AG116" s="22">
        <v>0.433807</v>
      </c>
      <c r="AH116" s="22">
        <v>60.616399999999999</v>
      </c>
      <c r="AI116" s="22">
        <v>-1.31439E-2</v>
      </c>
      <c r="AJ116" s="22">
        <v>106</v>
      </c>
      <c r="AK116" s="22">
        <v>0.433228</v>
      </c>
      <c r="AL116">
        <f t="shared" si="18"/>
        <v>13.1439</v>
      </c>
      <c r="AM116">
        <f t="shared" si="19"/>
        <v>5.7019158273000006</v>
      </c>
      <c r="AP116" s="9"/>
      <c r="AQ116" s="22">
        <v>1.26617</v>
      </c>
      <c r="AR116" s="22">
        <v>67.616</v>
      </c>
      <c r="AS116" s="22">
        <v>-8.3770800000000003E-3</v>
      </c>
      <c r="AT116" s="22">
        <v>106</v>
      </c>
      <c r="AU116" s="22">
        <v>1.2652600000000001</v>
      </c>
      <c r="AV116">
        <f t="shared" si="20"/>
        <v>8.3770799999999994</v>
      </c>
      <c r="AW116">
        <f t="shared" si="21"/>
        <v>10.6068073836</v>
      </c>
      <c r="AX116" s="9"/>
      <c r="AY116" s="22">
        <v>0.433807</v>
      </c>
      <c r="AZ116" s="22">
        <v>72.892600000000002</v>
      </c>
      <c r="BA116" s="22">
        <v>-1.2973E-2</v>
      </c>
      <c r="BB116" s="22">
        <v>106</v>
      </c>
      <c r="BC116" s="22">
        <v>0.43313600000000002</v>
      </c>
      <c r="BD116">
        <f t="shared" si="22"/>
        <v>12.973000000000001</v>
      </c>
      <c r="BE116">
        <f t="shared" si="23"/>
        <v>5.6277782109999999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7.79495</v>
      </c>
      <c r="I117" s="22">
        <v>-8.5815400000000003E-3</v>
      </c>
      <c r="J117" s="22">
        <v>107</v>
      </c>
      <c r="K117" s="22">
        <v>1.26068</v>
      </c>
      <c r="L117">
        <f t="shared" si="12"/>
        <v>8.5815400000000004</v>
      </c>
      <c r="M117">
        <f t="shared" si="13"/>
        <v>10.8225233556</v>
      </c>
      <c r="N117" s="9"/>
      <c r="O117" s="22">
        <v>0.43884299999999998</v>
      </c>
      <c r="P117" s="22">
        <v>47.270200000000003</v>
      </c>
      <c r="Q117" s="22">
        <v>-1.35376E-2</v>
      </c>
      <c r="R117" s="22">
        <v>107</v>
      </c>
      <c r="S117" s="22">
        <v>0.43823200000000001</v>
      </c>
      <c r="T117">
        <f t="shared" si="14"/>
        <v>13.537600000000001</v>
      </c>
      <c r="U117">
        <f t="shared" si="15"/>
        <v>5.9408809968000007</v>
      </c>
      <c r="X117" s="9"/>
      <c r="Y117" s="22">
        <v>1.2611399999999999</v>
      </c>
      <c r="Z117" s="22">
        <v>55.081800000000001</v>
      </c>
      <c r="AA117" s="22">
        <v>-8.7402299999999999E-3</v>
      </c>
      <c r="AB117" s="22">
        <v>107</v>
      </c>
      <c r="AC117" s="22">
        <v>1.26007</v>
      </c>
      <c r="AD117">
        <f t="shared" si="16"/>
        <v>8.7402300000000004</v>
      </c>
      <c r="AE117">
        <f t="shared" si="17"/>
        <v>11.0226536622</v>
      </c>
      <c r="AF117" s="9"/>
      <c r="AG117" s="22">
        <v>0.43884299999999998</v>
      </c>
      <c r="AH117" s="22">
        <v>60.6265</v>
      </c>
      <c r="AI117" s="22">
        <v>-1.3107300000000001E-2</v>
      </c>
      <c r="AJ117" s="22">
        <v>107</v>
      </c>
      <c r="AK117" s="22">
        <v>0.43823200000000001</v>
      </c>
      <c r="AL117">
        <f t="shared" si="18"/>
        <v>13.1073</v>
      </c>
      <c r="AM117">
        <f t="shared" si="19"/>
        <v>5.7520468538999996</v>
      </c>
      <c r="AP117" s="9"/>
      <c r="AQ117" s="22">
        <v>1.2611399999999999</v>
      </c>
      <c r="AR117" s="22">
        <v>67.626099999999994</v>
      </c>
      <c r="AS117" s="22">
        <v>-8.4197999999999999E-3</v>
      </c>
      <c r="AT117" s="22">
        <v>107</v>
      </c>
      <c r="AU117" s="22">
        <v>1.2603800000000001</v>
      </c>
      <c r="AV117">
        <f t="shared" si="20"/>
        <v>8.4198000000000004</v>
      </c>
      <c r="AW117">
        <f t="shared" si="21"/>
        <v>10.618546572</v>
      </c>
      <c r="AX117" s="9"/>
      <c r="AY117" s="22">
        <v>0.43884299999999998</v>
      </c>
      <c r="AZ117" s="22">
        <v>72.902699999999996</v>
      </c>
      <c r="BA117" s="22">
        <v>-1.2936400000000001E-2</v>
      </c>
      <c r="BB117" s="22">
        <v>107</v>
      </c>
      <c r="BC117" s="22">
        <v>0.43820199999999998</v>
      </c>
      <c r="BD117">
        <f t="shared" si="22"/>
        <v>12.936400000000001</v>
      </c>
      <c r="BE117">
        <f t="shared" si="23"/>
        <v>5.6770485852000006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7.8050199999999998</v>
      </c>
      <c r="I118" s="22">
        <v>-8.6242699999999999E-3</v>
      </c>
      <c r="J118" s="22">
        <v>108</v>
      </c>
      <c r="K118" s="22">
        <v>1.25519</v>
      </c>
      <c r="L118">
        <f t="shared" si="12"/>
        <v>8.6242699999999992</v>
      </c>
      <c r="M118">
        <f t="shared" si="13"/>
        <v>10.832945547</v>
      </c>
      <c r="N118" s="9"/>
      <c r="O118" s="22">
        <v>0.44387799999999999</v>
      </c>
      <c r="P118" s="22">
        <v>47.280299999999997</v>
      </c>
      <c r="Q118" s="22">
        <v>-1.3504E-2</v>
      </c>
      <c r="R118" s="22">
        <v>108</v>
      </c>
      <c r="S118" s="22">
        <v>0.44323699999999999</v>
      </c>
      <c r="T118">
        <f t="shared" si="14"/>
        <v>13.504</v>
      </c>
      <c r="U118">
        <f t="shared" si="15"/>
        <v>5.9941285119999996</v>
      </c>
      <c r="X118" s="9"/>
      <c r="Y118" s="22">
        <v>1.2561</v>
      </c>
      <c r="Z118" s="22">
        <v>55.091900000000003</v>
      </c>
      <c r="AA118" s="22">
        <v>-8.7860100000000003E-3</v>
      </c>
      <c r="AB118" s="22">
        <v>108</v>
      </c>
      <c r="AC118" s="22">
        <v>1.25549</v>
      </c>
      <c r="AD118">
        <f t="shared" si="16"/>
        <v>8.786010000000001</v>
      </c>
      <c r="AE118">
        <f t="shared" si="17"/>
        <v>11.036107161</v>
      </c>
      <c r="AF118" s="9"/>
      <c r="AG118" s="22">
        <v>0.44387799999999999</v>
      </c>
      <c r="AH118" s="22">
        <v>60.636499999999998</v>
      </c>
      <c r="AI118" s="22">
        <v>-1.30768E-2</v>
      </c>
      <c r="AJ118" s="22">
        <v>108</v>
      </c>
      <c r="AK118" s="22">
        <v>0.443268</v>
      </c>
      <c r="AL118">
        <f t="shared" si="18"/>
        <v>13.076799999999999</v>
      </c>
      <c r="AM118">
        <f t="shared" si="19"/>
        <v>5.804503830399999</v>
      </c>
      <c r="AP118" s="9"/>
      <c r="AQ118" s="22">
        <v>1.2561</v>
      </c>
      <c r="AR118" s="22">
        <v>67.636200000000002</v>
      </c>
      <c r="AS118" s="22">
        <v>-8.4625199999999994E-3</v>
      </c>
      <c r="AT118" s="22">
        <v>108</v>
      </c>
      <c r="AU118" s="22">
        <v>1.25519</v>
      </c>
      <c r="AV118">
        <f t="shared" si="20"/>
        <v>8.4625199999999996</v>
      </c>
      <c r="AW118">
        <f t="shared" si="21"/>
        <v>10.629771371999999</v>
      </c>
      <c r="AX118" s="9"/>
      <c r="AY118" s="22">
        <v>0.44387799999999999</v>
      </c>
      <c r="AZ118" s="22">
        <v>72.912800000000004</v>
      </c>
      <c r="BA118" s="22">
        <v>-1.2899799999999999E-2</v>
      </c>
      <c r="BB118" s="22">
        <v>108</v>
      </c>
      <c r="BC118" s="22">
        <v>0.44329800000000003</v>
      </c>
      <c r="BD118">
        <f t="shared" si="22"/>
        <v>12.899799999999999</v>
      </c>
      <c r="BE118">
        <f t="shared" si="23"/>
        <v>5.7259374243999996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7.8150899999999996</v>
      </c>
      <c r="I119" s="22">
        <v>-8.6700400000000004E-3</v>
      </c>
      <c r="J119" s="22">
        <v>109</v>
      </c>
      <c r="K119" s="22">
        <v>1.25031</v>
      </c>
      <c r="L119">
        <f t="shared" si="12"/>
        <v>8.6700400000000002</v>
      </c>
      <c r="M119">
        <f t="shared" si="13"/>
        <v>10.8468269428</v>
      </c>
      <c r="N119" s="9"/>
      <c r="O119" s="22">
        <v>0.44891399999999998</v>
      </c>
      <c r="P119" s="22">
        <v>47.290300000000002</v>
      </c>
      <c r="Q119" s="22">
        <v>-1.3461300000000001E-2</v>
      </c>
      <c r="R119" s="22">
        <v>109</v>
      </c>
      <c r="S119" s="22">
        <v>0.44824199999999997</v>
      </c>
      <c r="T119">
        <f t="shared" si="14"/>
        <v>13.461300000000001</v>
      </c>
      <c r="U119">
        <f t="shared" si="15"/>
        <v>6.0429660282000004</v>
      </c>
      <c r="X119" s="9"/>
      <c r="Y119" s="22">
        <v>1.2510699999999999</v>
      </c>
      <c r="Z119" s="22">
        <v>55.101999999999997</v>
      </c>
      <c r="AA119" s="22">
        <v>-8.8256800000000007E-3</v>
      </c>
      <c r="AB119" s="22">
        <v>109</v>
      </c>
      <c r="AC119" s="22">
        <v>1.25061</v>
      </c>
      <c r="AD119">
        <f t="shared" si="16"/>
        <v>8.8256800000000002</v>
      </c>
      <c r="AE119">
        <f t="shared" si="17"/>
        <v>11.041543477599999</v>
      </c>
      <c r="AF119" s="9"/>
      <c r="AG119" s="22">
        <v>0.44891399999999998</v>
      </c>
      <c r="AH119" s="22">
        <v>60.646599999999999</v>
      </c>
      <c r="AI119" s="22">
        <v>-1.30493E-2</v>
      </c>
      <c r="AJ119" s="22">
        <v>109</v>
      </c>
      <c r="AK119" s="22">
        <v>0.44830300000000001</v>
      </c>
      <c r="AL119">
        <f t="shared" si="18"/>
        <v>13.049300000000001</v>
      </c>
      <c r="AM119">
        <f t="shared" si="19"/>
        <v>5.8580134601999996</v>
      </c>
      <c r="AP119" s="9"/>
      <c r="AQ119" s="22">
        <v>1.2510699999999999</v>
      </c>
      <c r="AR119" s="22">
        <v>67.646199999999993</v>
      </c>
      <c r="AS119" s="22">
        <v>-8.5113500000000009E-3</v>
      </c>
      <c r="AT119" s="22">
        <v>109</v>
      </c>
      <c r="AU119" s="22">
        <v>1.25061</v>
      </c>
      <c r="AV119">
        <f t="shared" si="20"/>
        <v>8.5113500000000002</v>
      </c>
      <c r="AW119">
        <f t="shared" si="21"/>
        <v>10.6482946445</v>
      </c>
      <c r="AX119" s="9"/>
      <c r="AY119" s="22">
        <v>0.44891399999999998</v>
      </c>
      <c r="AZ119" s="22">
        <v>72.922799999999995</v>
      </c>
      <c r="BA119" s="22">
        <v>-1.2860099999999999E-2</v>
      </c>
      <c r="BB119" s="22">
        <v>109</v>
      </c>
      <c r="BC119" s="22">
        <v>0.44830300000000001</v>
      </c>
      <c r="BD119">
        <f t="shared" si="22"/>
        <v>12.860099999999999</v>
      </c>
      <c r="BE119">
        <f t="shared" si="23"/>
        <v>5.7730789313999997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7.8251600000000003</v>
      </c>
      <c r="I120" s="22">
        <v>-8.7158200000000009E-3</v>
      </c>
      <c r="J120" s="22">
        <v>110</v>
      </c>
      <c r="K120" s="22">
        <v>1.24542</v>
      </c>
      <c r="L120">
        <f t="shared" si="12"/>
        <v>8.7158200000000008</v>
      </c>
      <c r="M120">
        <f t="shared" si="13"/>
        <v>10.860173194600002</v>
      </c>
      <c r="N120" s="9"/>
      <c r="O120" s="22">
        <v>0.45394899999999999</v>
      </c>
      <c r="P120" s="22">
        <v>47.300400000000003</v>
      </c>
      <c r="Q120" s="22">
        <v>-1.3427700000000001E-2</v>
      </c>
      <c r="R120" s="22">
        <v>110</v>
      </c>
      <c r="S120" s="22">
        <v>0.45330799999999999</v>
      </c>
      <c r="T120">
        <f t="shared" si="14"/>
        <v>13.427700000000002</v>
      </c>
      <c r="U120">
        <f t="shared" si="15"/>
        <v>6.0954909873000007</v>
      </c>
      <c r="X120" s="9"/>
      <c r="Y120" s="22">
        <v>1.24603</v>
      </c>
      <c r="Z120" s="22">
        <v>55.112000000000002</v>
      </c>
      <c r="AA120" s="22">
        <v>-8.8684100000000002E-3</v>
      </c>
      <c r="AB120" s="22">
        <v>110</v>
      </c>
      <c r="AC120" s="22">
        <v>1.24512</v>
      </c>
      <c r="AD120">
        <f t="shared" si="16"/>
        <v>8.8684100000000008</v>
      </c>
      <c r="AE120">
        <f t="shared" si="17"/>
        <v>11.050304912300001</v>
      </c>
      <c r="AF120" s="9"/>
      <c r="AG120" s="22">
        <v>0.45394899999999999</v>
      </c>
      <c r="AH120" s="22">
        <v>60.656700000000001</v>
      </c>
      <c r="AI120" s="22">
        <v>-1.30157E-2</v>
      </c>
      <c r="AJ120" s="22">
        <v>110</v>
      </c>
      <c r="AK120" s="22">
        <v>0.45333899999999999</v>
      </c>
      <c r="AL120">
        <f t="shared" si="18"/>
        <v>13.015700000000001</v>
      </c>
      <c r="AM120">
        <f t="shared" si="19"/>
        <v>5.9084639993000003</v>
      </c>
      <c r="AP120" s="9"/>
      <c r="AQ120" s="22">
        <v>1.24603</v>
      </c>
      <c r="AR120" s="22">
        <v>67.656300000000002</v>
      </c>
      <c r="AS120" s="22">
        <v>-8.5540800000000004E-3</v>
      </c>
      <c r="AT120" s="22">
        <v>110</v>
      </c>
      <c r="AU120" s="22">
        <v>1.24512</v>
      </c>
      <c r="AV120">
        <f t="shared" si="20"/>
        <v>8.5540800000000008</v>
      </c>
      <c r="AW120">
        <f t="shared" si="21"/>
        <v>10.6586403024</v>
      </c>
      <c r="AX120" s="9"/>
      <c r="AY120" s="22">
        <v>0.45394899999999999</v>
      </c>
      <c r="AZ120" s="22">
        <v>72.932900000000004</v>
      </c>
      <c r="BA120" s="22">
        <v>-1.28174E-2</v>
      </c>
      <c r="BB120" s="22">
        <v>110</v>
      </c>
      <c r="BC120" s="22">
        <v>0.45330799999999999</v>
      </c>
      <c r="BD120">
        <f t="shared" si="22"/>
        <v>12.817399999999999</v>
      </c>
      <c r="BE120">
        <f t="shared" si="23"/>
        <v>5.8184459125999997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7.8352300000000001</v>
      </c>
      <c r="I121" s="22">
        <v>-8.7585400000000004E-3</v>
      </c>
      <c r="J121" s="22">
        <v>111</v>
      </c>
      <c r="K121" s="22">
        <v>1.23993</v>
      </c>
      <c r="L121">
        <f t="shared" si="12"/>
        <v>8.75854</v>
      </c>
      <c r="M121">
        <f t="shared" si="13"/>
        <v>10.869348140000001</v>
      </c>
      <c r="N121" s="9"/>
      <c r="O121" s="22">
        <v>0.458984</v>
      </c>
      <c r="P121" s="22">
        <v>47.310499999999998</v>
      </c>
      <c r="Q121" s="22">
        <v>-1.33942E-2</v>
      </c>
      <c r="R121" s="22">
        <v>111</v>
      </c>
      <c r="S121" s="22">
        <v>0.45834399999999997</v>
      </c>
      <c r="T121">
        <f t="shared" si="14"/>
        <v>13.3942</v>
      </c>
      <c r="U121">
        <f t="shared" si="15"/>
        <v>6.1477234928</v>
      </c>
      <c r="X121" s="9"/>
      <c r="Y121" s="22">
        <v>1.2410000000000001</v>
      </c>
      <c r="Z121" s="22">
        <v>55.122100000000003</v>
      </c>
      <c r="AA121" s="22">
        <v>-8.9141800000000007E-3</v>
      </c>
      <c r="AB121" s="22">
        <v>111</v>
      </c>
      <c r="AC121" s="22">
        <v>1.2402299999999999</v>
      </c>
      <c r="AD121">
        <f t="shared" si="16"/>
        <v>8.91418</v>
      </c>
      <c r="AE121">
        <f t="shared" si="17"/>
        <v>11.062497380000002</v>
      </c>
      <c r="AF121" s="9"/>
      <c r="AG121" s="22">
        <v>0.458984</v>
      </c>
      <c r="AH121" s="22">
        <v>60.666699999999999</v>
      </c>
      <c r="AI121" s="22">
        <v>-1.2976100000000001E-2</v>
      </c>
      <c r="AJ121" s="22">
        <v>111</v>
      </c>
      <c r="AK121" s="22">
        <v>0.45834399999999997</v>
      </c>
      <c r="AL121">
        <f t="shared" si="18"/>
        <v>12.976100000000001</v>
      </c>
      <c r="AM121">
        <f t="shared" si="19"/>
        <v>5.9558222824000007</v>
      </c>
      <c r="AP121" s="9"/>
      <c r="AQ121" s="22">
        <v>1.2410000000000001</v>
      </c>
      <c r="AR121" s="22">
        <v>67.666399999999996</v>
      </c>
      <c r="AS121" s="22">
        <v>-8.5937500000000007E-3</v>
      </c>
      <c r="AT121" s="22">
        <v>111</v>
      </c>
      <c r="AU121" s="22">
        <v>1.2402299999999999</v>
      </c>
      <c r="AV121">
        <f t="shared" si="20"/>
        <v>8.59375</v>
      </c>
      <c r="AW121">
        <f t="shared" si="21"/>
        <v>10.664843750000001</v>
      </c>
      <c r="AX121" s="9"/>
      <c r="AY121" s="22">
        <v>0.458984</v>
      </c>
      <c r="AZ121" s="22">
        <v>72.942999999999998</v>
      </c>
      <c r="BA121" s="22">
        <v>-1.2777699999999999E-2</v>
      </c>
      <c r="BB121" s="22">
        <v>111</v>
      </c>
      <c r="BC121" s="22">
        <v>0.45831300000000003</v>
      </c>
      <c r="BD121">
        <f t="shared" si="22"/>
        <v>12.777699999999999</v>
      </c>
      <c r="BE121">
        <f t="shared" si="23"/>
        <v>5.8647598568000001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7.8452999999999999</v>
      </c>
      <c r="I122" s="22">
        <v>-8.8012699999999999E-3</v>
      </c>
      <c r="J122" s="22">
        <v>112</v>
      </c>
      <c r="K122" s="22">
        <v>1.23505</v>
      </c>
      <c r="L122">
        <f t="shared" si="12"/>
        <v>8.8012700000000006</v>
      </c>
      <c r="M122">
        <f t="shared" si="13"/>
        <v>10.8780176692</v>
      </c>
      <c r="N122" s="9"/>
      <c r="O122" s="22">
        <v>0.46401999999999999</v>
      </c>
      <c r="P122" s="22">
        <v>47.320500000000003</v>
      </c>
      <c r="Q122" s="22">
        <v>-1.33636E-2</v>
      </c>
      <c r="R122" s="22">
        <v>112</v>
      </c>
      <c r="S122" s="22">
        <v>0.46340900000000002</v>
      </c>
      <c r="T122">
        <f t="shared" si="14"/>
        <v>13.3636</v>
      </c>
      <c r="U122">
        <f t="shared" si="15"/>
        <v>6.2009776719999996</v>
      </c>
      <c r="X122" s="9"/>
      <c r="Y122" s="22">
        <v>1.2359599999999999</v>
      </c>
      <c r="Z122" s="22">
        <v>55.132199999999997</v>
      </c>
      <c r="AA122" s="22">
        <v>-8.9599599999999995E-3</v>
      </c>
      <c r="AB122" s="22">
        <v>112</v>
      </c>
      <c r="AC122" s="22">
        <v>1.2347399999999999</v>
      </c>
      <c r="AD122">
        <f t="shared" si="16"/>
        <v>8.9599599999999988</v>
      </c>
      <c r="AE122">
        <f t="shared" si="17"/>
        <v>11.074152161599999</v>
      </c>
      <c r="AF122" s="9"/>
      <c r="AG122" s="22">
        <v>0.46401999999999999</v>
      </c>
      <c r="AH122" s="22">
        <v>60.6768</v>
      </c>
      <c r="AI122" s="22">
        <v>-1.29333E-2</v>
      </c>
      <c r="AJ122" s="22">
        <v>112</v>
      </c>
      <c r="AK122" s="22">
        <v>0.46344000000000002</v>
      </c>
      <c r="AL122">
        <f t="shared" si="18"/>
        <v>12.933299999999999</v>
      </c>
      <c r="AM122">
        <f t="shared" si="19"/>
        <v>6.0013098659999997</v>
      </c>
      <c r="AP122" s="9"/>
      <c r="AQ122" s="22">
        <v>1.2359599999999999</v>
      </c>
      <c r="AR122" s="22">
        <v>67.676400000000001</v>
      </c>
      <c r="AS122" s="22">
        <v>-8.6364700000000003E-3</v>
      </c>
      <c r="AT122" s="22">
        <v>112</v>
      </c>
      <c r="AU122" s="22">
        <v>1.23505</v>
      </c>
      <c r="AV122">
        <f t="shared" si="20"/>
        <v>8.636470000000001</v>
      </c>
      <c r="AW122">
        <f t="shared" si="21"/>
        <v>10.674331461200001</v>
      </c>
      <c r="AX122" s="9"/>
      <c r="AY122" s="22">
        <v>0.46401999999999999</v>
      </c>
      <c r="AZ122" s="22">
        <v>72.953100000000006</v>
      </c>
      <c r="BA122" s="22">
        <v>-1.27411E-2</v>
      </c>
      <c r="BB122" s="22">
        <v>112</v>
      </c>
      <c r="BC122" s="22">
        <v>0.46340900000000002</v>
      </c>
      <c r="BD122">
        <f t="shared" si="22"/>
        <v>12.741099999999999</v>
      </c>
      <c r="BE122">
        <f t="shared" si="23"/>
        <v>5.9121252219999993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7.8553800000000003</v>
      </c>
      <c r="I123" s="22">
        <v>-8.8439899999999995E-3</v>
      </c>
      <c r="J123" s="22">
        <v>113</v>
      </c>
      <c r="K123" s="22">
        <v>1.22986</v>
      </c>
      <c r="L123">
        <f t="shared" si="12"/>
        <v>8.8439899999999998</v>
      </c>
      <c r="M123">
        <f t="shared" si="13"/>
        <v>10.8863326107</v>
      </c>
      <c r="N123" s="9"/>
      <c r="O123" s="22">
        <v>0.469055</v>
      </c>
      <c r="P123" s="22">
        <v>47.330599999999997</v>
      </c>
      <c r="Q123" s="22">
        <v>-1.3336199999999999E-2</v>
      </c>
      <c r="R123" s="22">
        <v>113</v>
      </c>
      <c r="S123" s="22">
        <v>0.468445</v>
      </c>
      <c r="T123">
        <f t="shared" si="14"/>
        <v>13.3362</v>
      </c>
      <c r="U123">
        <f t="shared" si="15"/>
        <v>6.2554112909999997</v>
      </c>
      <c r="X123" s="9"/>
      <c r="Y123" s="22">
        <v>1.2309300000000001</v>
      </c>
      <c r="Z123" s="22">
        <v>55.142299999999999</v>
      </c>
      <c r="AA123" s="22">
        <v>-9.0057399999999999E-3</v>
      </c>
      <c r="AB123" s="22">
        <v>113</v>
      </c>
      <c r="AC123" s="22">
        <v>1.2295499999999999</v>
      </c>
      <c r="AD123">
        <f t="shared" si="16"/>
        <v>9.0057399999999994</v>
      </c>
      <c r="AE123">
        <f t="shared" si="17"/>
        <v>11.0854355382</v>
      </c>
      <c r="AF123" s="9"/>
      <c r="AG123" s="22">
        <v>0.469055</v>
      </c>
      <c r="AH123" s="22">
        <v>60.686900000000001</v>
      </c>
      <c r="AI123" s="22">
        <v>-1.2899799999999999E-2</v>
      </c>
      <c r="AJ123" s="22">
        <v>113</v>
      </c>
      <c r="AK123" s="22">
        <v>0.468445</v>
      </c>
      <c r="AL123">
        <f t="shared" si="18"/>
        <v>12.899799999999999</v>
      </c>
      <c r="AM123">
        <f t="shared" si="19"/>
        <v>6.0507156889999996</v>
      </c>
      <c r="AP123" s="9"/>
      <c r="AQ123" s="22">
        <v>1.2309300000000001</v>
      </c>
      <c r="AR123" s="22">
        <v>67.686499999999995</v>
      </c>
      <c r="AS123" s="22">
        <v>-8.6791999999999998E-3</v>
      </c>
      <c r="AT123" s="22">
        <v>113</v>
      </c>
      <c r="AU123" s="22">
        <v>1.22986</v>
      </c>
      <c r="AV123">
        <f t="shared" si="20"/>
        <v>8.6791999999999998</v>
      </c>
      <c r="AW123">
        <f t="shared" si="21"/>
        <v>10.683487656</v>
      </c>
      <c r="AX123" s="9"/>
      <c r="AY123" s="22">
        <v>0.469055</v>
      </c>
      <c r="AZ123" s="22">
        <v>72.963099999999997</v>
      </c>
      <c r="BA123" s="22">
        <v>-1.26984E-2</v>
      </c>
      <c r="BB123" s="22">
        <v>113</v>
      </c>
      <c r="BC123" s="22">
        <v>0.468414</v>
      </c>
      <c r="BD123">
        <f t="shared" si="22"/>
        <v>12.698399999999999</v>
      </c>
      <c r="BE123">
        <f t="shared" si="23"/>
        <v>5.9562480119999996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7.8654500000000001</v>
      </c>
      <c r="I124" s="22">
        <v>-8.8867200000000007E-3</v>
      </c>
      <c r="J124" s="22">
        <v>114</v>
      </c>
      <c r="K124" s="22">
        <v>1.22498</v>
      </c>
      <c r="L124">
        <f t="shared" si="12"/>
        <v>8.8867200000000004</v>
      </c>
      <c r="M124">
        <f t="shared" si="13"/>
        <v>10.8941411808</v>
      </c>
      <c r="N124" s="9"/>
      <c r="O124" s="22">
        <v>0.47409099999999998</v>
      </c>
      <c r="P124" s="22">
        <v>47.340699999999998</v>
      </c>
      <c r="Q124" s="22">
        <v>-1.32996E-2</v>
      </c>
      <c r="R124" s="22">
        <v>114</v>
      </c>
      <c r="S124" s="22">
        <v>0.47351100000000002</v>
      </c>
      <c r="T124">
        <f t="shared" si="14"/>
        <v>13.2996</v>
      </c>
      <c r="U124">
        <f t="shared" si="15"/>
        <v>6.3052206636000001</v>
      </c>
      <c r="X124" s="9"/>
      <c r="Y124" s="22">
        <v>1.2258899999999999</v>
      </c>
      <c r="Z124" s="22">
        <v>55.152299999999997</v>
      </c>
      <c r="AA124" s="22">
        <v>-9.0484599999999995E-3</v>
      </c>
      <c r="AB124" s="22">
        <v>114</v>
      </c>
      <c r="AC124" s="22">
        <v>1.2252799999999999</v>
      </c>
      <c r="AD124">
        <f t="shared" si="16"/>
        <v>9.0484599999999986</v>
      </c>
      <c r="AE124">
        <f t="shared" si="17"/>
        <v>11.092416629399997</v>
      </c>
      <c r="AF124" s="9"/>
      <c r="AG124" s="22">
        <v>0.47409099999999998</v>
      </c>
      <c r="AH124" s="22">
        <v>60.697000000000003</v>
      </c>
      <c r="AI124" s="22">
        <v>-1.2860099999999999E-2</v>
      </c>
      <c r="AJ124" s="22">
        <v>114</v>
      </c>
      <c r="AK124" s="22">
        <v>0.47341899999999998</v>
      </c>
      <c r="AL124">
        <f t="shared" si="18"/>
        <v>12.860099999999999</v>
      </c>
      <c r="AM124">
        <f t="shared" si="19"/>
        <v>6.0968576690999994</v>
      </c>
      <c r="AP124" s="9"/>
      <c r="AQ124" s="22">
        <v>1.2258899999999999</v>
      </c>
      <c r="AR124" s="22">
        <v>67.696600000000004</v>
      </c>
      <c r="AS124" s="22">
        <v>-8.7219199999999993E-3</v>
      </c>
      <c r="AT124" s="22">
        <v>114</v>
      </c>
      <c r="AU124" s="22">
        <v>1.2252799999999999</v>
      </c>
      <c r="AV124">
        <f t="shared" si="20"/>
        <v>8.721919999999999</v>
      </c>
      <c r="AW124">
        <f t="shared" si="21"/>
        <v>10.692114508799998</v>
      </c>
      <c r="AX124" s="9"/>
      <c r="AY124" s="22">
        <v>0.47409099999999998</v>
      </c>
      <c r="AZ124" s="22">
        <v>72.973200000000006</v>
      </c>
      <c r="BA124" s="22">
        <v>-1.26587E-2</v>
      </c>
      <c r="BB124" s="22">
        <v>114</v>
      </c>
      <c r="BC124" s="22">
        <v>0.473358</v>
      </c>
      <c r="BD124">
        <f t="shared" si="22"/>
        <v>12.6587</v>
      </c>
      <c r="BE124">
        <f t="shared" si="23"/>
        <v>6.0013757416999995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7.8755199999999999</v>
      </c>
      <c r="I125" s="22">
        <v>-8.9263899999999993E-3</v>
      </c>
      <c r="J125" s="22">
        <v>115</v>
      </c>
      <c r="K125" s="22">
        <v>1.2194799999999999</v>
      </c>
      <c r="L125">
        <f t="shared" si="12"/>
        <v>8.9263899999999996</v>
      </c>
      <c r="M125">
        <f t="shared" si="13"/>
        <v>10.8978724954</v>
      </c>
      <c r="N125" s="9"/>
      <c r="O125" s="22">
        <v>0.479126</v>
      </c>
      <c r="P125" s="22">
        <v>47.3508</v>
      </c>
      <c r="Q125" s="22">
        <v>-1.3256799999999999E-2</v>
      </c>
      <c r="R125" s="22">
        <v>115</v>
      </c>
      <c r="S125" s="22">
        <v>0.47848499999999999</v>
      </c>
      <c r="T125">
        <f t="shared" si="14"/>
        <v>13.256799999999998</v>
      </c>
      <c r="U125">
        <f t="shared" si="15"/>
        <v>6.3516775567999995</v>
      </c>
      <c r="X125" s="9"/>
      <c r="Y125" s="22">
        <v>1.2208600000000001</v>
      </c>
      <c r="Z125" s="22">
        <v>55.162399999999998</v>
      </c>
      <c r="AA125" s="22">
        <v>-9.0881299999999998E-3</v>
      </c>
      <c r="AB125" s="22">
        <v>115</v>
      </c>
      <c r="AC125" s="22">
        <v>1.2203999999999999</v>
      </c>
      <c r="AD125">
        <f t="shared" si="16"/>
        <v>9.0881299999999996</v>
      </c>
      <c r="AE125">
        <f t="shared" si="17"/>
        <v>11.0953343918</v>
      </c>
      <c r="AF125" s="9"/>
      <c r="AG125" s="22">
        <v>0.479126</v>
      </c>
      <c r="AH125" s="22">
        <v>60.707000000000001</v>
      </c>
      <c r="AI125" s="22">
        <v>-1.28174E-2</v>
      </c>
      <c r="AJ125" s="22">
        <v>115</v>
      </c>
      <c r="AK125" s="22">
        <v>0.47842400000000002</v>
      </c>
      <c r="AL125">
        <f t="shared" si="18"/>
        <v>12.817399999999999</v>
      </c>
      <c r="AM125">
        <f t="shared" si="19"/>
        <v>6.1411495923999997</v>
      </c>
      <c r="AP125" s="9"/>
      <c r="AQ125" s="22">
        <v>1.2208600000000001</v>
      </c>
      <c r="AR125" s="22">
        <v>67.706699999999998</v>
      </c>
      <c r="AS125" s="22">
        <v>-8.7615999999999996E-3</v>
      </c>
      <c r="AT125" s="22">
        <v>115</v>
      </c>
      <c r="AU125" s="22">
        <v>1.2197899999999999</v>
      </c>
      <c r="AV125">
        <f t="shared" si="20"/>
        <v>8.7615999999999996</v>
      </c>
      <c r="AW125">
        <f t="shared" si="21"/>
        <v>10.696686976000001</v>
      </c>
      <c r="AX125" s="9"/>
      <c r="AY125" s="22">
        <v>0.479126</v>
      </c>
      <c r="AZ125" s="22">
        <v>72.9833</v>
      </c>
      <c r="BA125" s="22">
        <v>-1.26312E-2</v>
      </c>
      <c r="BB125" s="22">
        <v>115</v>
      </c>
      <c r="BC125" s="22">
        <v>0.478516</v>
      </c>
      <c r="BD125">
        <f t="shared" si="22"/>
        <v>12.6312</v>
      </c>
      <c r="BE125">
        <f t="shared" si="23"/>
        <v>6.0519363311999994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7.8855899999999997</v>
      </c>
      <c r="I126" s="22">
        <v>-8.9691200000000006E-3</v>
      </c>
      <c r="J126" s="22">
        <v>116</v>
      </c>
      <c r="K126" s="22">
        <v>1.2149000000000001</v>
      </c>
      <c r="L126">
        <f t="shared" si="12"/>
        <v>8.9691200000000002</v>
      </c>
      <c r="M126">
        <f t="shared" si="13"/>
        <v>10.904835478399999</v>
      </c>
      <c r="N126" s="9"/>
      <c r="O126" s="22">
        <v>0.48416100000000001</v>
      </c>
      <c r="P126" s="22">
        <v>47.360799999999998</v>
      </c>
      <c r="Q126" s="22">
        <v>-1.3214099999999999E-2</v>
      </c>
      <c r="R126" s="22">
        <v>116</v>
      </c>
      <c r="S126" s="22">
        <v>0.48355100000000001</v>
      </c>
      <c r="T126">
        <f t="shared" si="14"/>
        <v>13.2141</v>
      </c>
      <c r="U126">
        <f t="shared" si="15"/>
        <v>6.3977518701000005</v>
      </c>
      <c r="X126" s="9"/>
      <c r="Y126" s="22">
        <v>1.2158199999999999</v>
      </c>
      <c r="Z126" s="22">
        <v>55.172499999999999</v>
      </c>
      <c r="AA126" s="22">
        <v>-9.1339100000000003E-3</v>
      </c>
      <c r="AB126" s="22">
        <v>116</v>
      </c>
      <c r="AC126" s="22">
        <v>1.2145999999999999</v>
      </c>
      <c r="AD126">
        <f t="shared" si="16"/>
        <v>9.1339100000000002</v>
      </c>
      <c r="AE126">
        <f t="shared" si="17"/>
        <v>11.105190456199999</v>
      </c>
      <c r="AF126" s="9"/>
      <c r="AG126" s="22">
        <v>0.48416100000000001</v>
      </c>
      <c r="AH126" s="22">
        <v>60.717100000000002</v>
      </c>
      <c r="AI126" s="22">
        <v>-1.27747E-2</v>
      </c>
      <c r="AJ126" s="22">
        <v>116</v>
      </c>
      <c r="AK126" s="22">
        <v>0.48352099999999998</v>
      </c>
      <c r="AL126">
        <f t="shared" si="18"/>
        <v>12.774699999999999</v>
      </c>
      <c r="AM126">
        <f t="shared" si="19"/>
        <v>6.1850115266999994</v>
      </c>
      <c r="AP126" s="9"/>
      <c r="AQ126" s="22">
        <v>1.2158199999999999</v>
      </c>
      <c r="AR126" s="22">
        <v>67.716700000000003</v>
      </c>
      <c r="AS126" s="22">
        <v>-8.8043199999999992E-3</v>
      </c>
      <c r="AT126" s="22">
        <v>116</v>
      </c>
      <c r="AU126" s="22">
        <v>1.2149000000000001</v>
      </c>
      <c r="AV126">
        <f t="shared" si="20"/>
        <v>8.8043199999999988</v>
      </c>
      <c r="AW126">
        <f t="shared" si="21"/>
        <v>10.704468342399998</v>
      </c>
      <c r="AX126" s="9"/>
      <c r="AY126" s="22">
        <v>0.48416100000000001</v>
      </c>
      <c r="AZ126" s="22">
        <v>72.993300000000005</v>
      </c>
      <c r="BA126" s="22">
        <v>-1.2600699999999999E-2</v>
      </c>
      <c r="BB126" s="22">
        <v>116</v>
      </c>
      <c r="BC126" s="22">
        <v>0.48348999999999998</v>
      </c>
      <c r="BD126">
        <f t="shared" si="22"/>
        <v>12.6007</v>
      </c>
      <c r="BE126">
        <f t="shared" si="23"/>
        <v>6.1007675127000001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7.8956600000000003</v>
      </c>
      <c r="I127" s="22">
        <v>-9.0057399999999999E-3</v>
      </c>
      <c r="J127" s="22">
        <v>117</v>
      </c>
      <c r="K127" s="22">
        <v>1.2103299999999999</v>
      </c>
      <c r="L127">
        <f t="shared" si="12"/>
        <v>9.0057399999999994</v>
      </c>
      <c r="M127">
        <f t="shared" si="13"/>
        <v>10.9039698772</v>
      </c>
      <c r="N127" s="9"/>
      <c r="O127" s="22">
        <v>0.48919699999999999</v>
      </c>
      <c r="P127" s="22">
        <v>47.370899999999999</v>
      </c>
      <c r="Q127" s="22">
        <v>-1.31805E-2</v>
      </c>
      <c r="R127" s="22">
        <v>117</v>
      </c>
      <c r="S127" s="22">
        <v>0.48852499999999999</v>
      </c>
      <c r="T127">
        <f t="shared" si="14"/>
        <v>13.1805</v>
      </c>
      <c r="U127">
        <f t="shared" si="15"/>
        <v>6.4478610585</v>
      </c>
      <c r="X127" s="9"/>
      <c r="Y127" s="22">
        <v>1.21078</v>
      </c>
      <c r="Z127" s="22">
        <v>55.182499999999997</v>
      </c>
      <c r="AA127" s="22">
        <v>-9.1766399999999998E-3</v>
      </c>
      <c r="AB127" s="22">
        <v>117</v>
      </c>
      <c r="AC127" s="22">
        <v>1.2094100000000001</v>
      </c>
      <c r="AD127">
        <f t="shared" si="16"/>
        <v>9.176639999999999</v>
      </c>
      <c r="AE127">
        <f t="shared" si="17"/>
        <v>11.110892179199999</v>
      </c>
      <c r="AF127" s="9"/>
      <c r="AG127" s="22">
        <v>0.48919699999999999</v>
      </c>
      <c r="AH127" s="22">
        <v>60.727200000000003</v>
      </c>
      <c r="AI127" s="22">
        <v>-1.2737999999999999E-2</v>
      </c>
      <c r="AJ127" s="22">
        <v>117</v>
      </c>
      <c r="AK127" s="22">
        <v>0.48855599999999999</v>
      </c>
      <c r="AL127">
        <f t="shared" si="18"/>
        <v>12.738</v>
      </c>
      <c r="AM127">
        <f t="shared" si="19"/>
        <v>6.2313913859999994</v>
      </c>
      <c r="AP127" s="9"/>
      <c r="AQ127" s="22">
        <v>1.21078</v>
      </c>
      <c r="AR127" s="22">
        <v>67.726799999999997</v>
      </c>
      <c r="AS127" s="22">
        <v>-8.8470500000000004E-3</v>
      </c>
      <c r="AT127" s="22">
        <v>117</v>
      </c>
      <c r="AU127" s="22">
        <v>1.2103299999999999</v>
      </c>
      <c r="AV127">
        <f t="shared" si="20"/>
        <v>8.8470500000000012</v>
      </c>
      <c r="AW127">
        <f t="shared" si="21"/>
        <v>10.711831199000001</v>
      </c>
      <c r="AX127" s="9"/>
      <c r="AY127" s="22">
        <v>0.48919699999999999</v>
      </c>
      <c r="AZ127" s="22">
        <v>73.003399999999999</v>
      </c>
      <c r="BA127" s="22">
        <v>-1.2567099999999999E-2</v>
      </c>
      <c r="BB127" s="22">
        <v>117</v>
      </c>
      <c r="BC127" s="22">
        <v>0.48849500000000001</v>
      </c>
      <c r="BD127">
        <f t="shared" si="22"/>
        <v>12.5671</v>
      </c>
      <c r="BE127">
        <f t="shared" si="23"/>
        <v>6.1477876186999998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7.9057300000000001</v>
      </c>
      <c r="I128" s="22">
        <v>-9.0484599999999995E-3</v>
      </c>
      <c r="J128" s="22">
        <v>118</v>
      </c>
      <c r="K128" s="22">
        <v>1.2051400000000001</v>
      </c>
      <c r="L128">
        <f t="shared" si="12"/>
        <v>9.0484599999999986</v>
      </c>
      <c r="M128">
        <f t="shared" si="13"/>
        <v>10.910180644999999</v>
      </c>
      <c r="N128" s="9"/>
      <c r="O128" s="22">
        <v>0.494232</v>
      </c>
      <c r="P128" s="22">
        <v>47.381</v>
      </c>
      <c r="Q128" s="22">
        <v>-1.31561E-2</v>
      </c>
      <c r="R128" s="22">
        <v>118</v>
      </c>
      <c r="S128" s="22">
        <v>0.493591</v>
      </c>
      <c r="T128">
        <f t="shared" si="14"/>
        <v>13.1561</v>
      </c>
      <c r="U128">
        <f t="shared" si="15"/>
        <v>6.5021656152</v>
      </c>
      <c r="X128" s="9"/>
      <c r="Y128" s="22">
        <v>1.2057500000000001</v>
      </c>
      <c r="Z128" s="22">
        <v>55.192599999999999</v>
      </c>
      <c r="AA128" s="22">
        <v>-9.2193599999999994E-3</v>
      </c>
      <c r="AB128" s="22">
        <v>118</v>
      </c>
      <c r="AC128" s="22">
        <v>1.2048300000000001</v>
      </c>
      <c r="AD128">
        <f t="shared" si="16"/>
        <v>9.21936</v>
      </c>
      <c r="AE128">
        <f t="shared" si="17"/>
        <v>11.116243320000001</v>
      </c>
      <c r="AF128" s="9"/>
      <c r="AG128" s="22">
        <v>0.494232</v>
      </c>
      <c r="AH128" s="22">
        <v>60.737200000000001</v>
      </c>
      <c r="AI128" s="22">
        <v>-1.2704500000000001E-2</v>
      </c>
      <c r="AJ128" s="22">
        <v>118</v>
      </c>
      <c r="AK128" s="22">
        <v>0.49362200000000001</v>
      </c>
      <c r="AL128">
        <f t="shared" si="18"/>
        <v>12.704500000000001</v>
      </c>
      <c r="AM128">
        <f t="shared" si="19"/>
        <v>6.2789704440000005</v>
      </c>
      <c r="AP128" s="9"/>
      <c r="AQ128" s="22">
        <v>1.2057500000000001</v>
      </c>
      <c r="AR128" s="22">
        <v>67.736900000000006</v>
      </c>
      <c r="AS128" s="22">
        <v>-8.8867200000000007E-3</v>
      </c>
      <c r="AT128" s="22">
        <v>118</v>
      </c>
      <c r="AU128" s="22">
        <v>1.2051400000000001</v>
      </c>
      <c r="AV128">
        <f t="shared" si="20"/>
        <v>8.8867200000000004</v>
      </c>
      <c r="AW128">
        <f t="shared" si="21"/>
        <v>10.715162640000001</v>
      </c>
      <c r="AX128" s="9"/>
      <c r="AY128" s="22">
        <v>0.494232</v>
      </c>
      <c r="AZ128" s="22">
        <v>73.013499999999993</v>
      </c>
      <c r="BA128" s="22">
        <v>-1.25305E-2</v>
      </c>
      <c r="BB128" s="22">
        <v>118</v>
      </c>
      <c r="BC128" s="22">
        <v>0.49356100000000003</v>
      </c>
      <c r="BD128">
        <f t="shared" si="22"/>
        <v>12.5305</v>
      </c>
      <c r="BE128">
        <f t="shared" si="23"/>
        <v>6.1929740759999996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7.9157999999999999</v>
      </c>
      <c r="I129" s="22">
        <v>-9.09424E-3</v>
      </c>
      <c r="J129" s="22">
        <v>119</v>
      </c>
      <c r="K129" s="22">
        <v>1.2002600000000001</v>
      </c>
      <c r="L129">
        <f t="shared" si="12"/>
        <v>9.0942399999999992</v>
      </c>
      <c r="M129">
        <f t="shared" si="13"/>
        <v>10.919544910399999</v>
      </c>
      <c r="N129" s="9"/>
      <c r="O129" s="22">
        <v>0.49926799999999999</v>
      </c>
      <c r="P129" s="22">
        <v>47.390999999999998</v>
      </c>
      <c r="Q129" s="22">
        <v>-1.3119499999999999E-2</v>
      </c>
      <c r="R129" s="22">
        <v>119</v>
      </c>
      <c r="S129" s="22">
        <v>0.49862699999999999</v>
      </c>
      <c r="T129">
        <f t="shared" si="14"/>
        <v>13.119499999999999</v>
      </c>
      <c r="U129">
        <f t="shared" si="15"/>
        <v>6.5501465259999989</v>
      </c>
      <c r="X129" s="9"/>
      <c r="Y129" s="22">
        <v>1.2007099999999999</v>
      </c>
      <c r="Z129" s="22">
        <v>55.2027</v>
      </c>
      <c r="AA129" s="22">
        <v>-9.2651399999999998E-3</v>
      </c>
      <c r="AB129" s="22">
        <v>119</v>
      </c>
      <c r="AC129" s="22">
        <v>1.2002600000000001</v>
      </c>
      <c r="AD129">
        <f t="shared" si="16"/>
        <v>9.2651400000000006</v>
      </c>
      <c r="AE129">
        <f t="shared" si="17"/>
        <v>11.124746249399999</v>
      </c>
      <c r="AF129" s="9"/>
      <c r="AG129" s="22">
        <v>0.49926799999999999</v>
      </c>
      <c r="AH129" s="22">
        <v>60.747300000000003</v>
      </c>
      <c r="AI129" s="22">
        <v>-1.2674E-2</v>
      </c>
      <c r="AJ129" s="22">
        <v>119</v>
      </c>
      <c r="AK129" s="22">
        <v>0.49862699999999999</v>
      </c>
      <c r="AL129">
        <f t="shared" si="18"/>
        <v>12.673999999999999</v>
      </c>
      <c r="AM129">
        <f t="shared" si="19"/>
        <v>6.3277226319999995</v>
      </c>
      <c r="AP129" s="9"/>
      <c r="AQ129" s="22">
        <v>1.2007099999999999</v>
      </c>
      <c r="AR129" s="22">
        <v>67.746899999999997</v>
      </c>
      <c r="AS129" s="22">
        <v>-8.9294400000000003E-3</v>
      </c>
      <c r="AT129" s="22">
        <v>119</v>
      </c>
      <c r="AU129" s="22">
        <v>1.1999500000000001</v>
      </c>
      <c r="AV129">
        <f t="shared" si="20"/>
        <v>8.9294399999999996</v>
      </c>
      <c r="AW129">
        <f t="shared" si="21"/>
        <v>10.721667902399998</v>
      </c>
      <c r="AX129" s="9"/>
      <c r="AY129" s="22">
        <v>0.49926799999999999</v>
      </c>
      <c r="AZ129" s="22">
        <v>73.023600000000002</v>
      </c>
      <c r="BA129" s="22">
        <v>-1.24878E-2</v>
      </c>
      <c r="BB129" s="22">
        <v>119</v>
      </c>
      <c r="BC129" s="22">
        <v>0.49865700000000002</v>
      </c>
      <c r="BD129">
        <f t="shared" si="22"/>
        <v>12.4878</v>
      </c>
      <c r="BE129">
        <f t="shared" si="23"/>
        <v>6.2347589304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7.9258699999999997</v>
      </c>
      <c r="I130" s="22">
        <v>-9.1339100000000003E-3</v>
      </c>
      <c r="J130" s="22">
        <v>120</v>
      </c>
      <c r="K130" s="22">
        <v>1.19476</v>
      </c>
      <c r="L130">
        <f t="shared" si="12"/>
        <v>9.1339100000000002</v>
      </c>
      <c r="M130">
        <f t="shared" si="13"/>
        <v>10.9212335088</v>
      </c>
      <c r="N130" s="9"/>
      <c r="O130" s="22">
        <v>0.50430299999999995</v>
      </c>
      <c r="P130" s="22">
        <v>47.4011</v>
      </c>
      <c r="Q130" s="22">
        <v>-1.3085899999999999E-2</v>
      </c>
      <c r="R130" s="22">
        <v>120</v>
      </c>
      <c r="S130" s="22">
        <v>0.50357099999999999</v>
      </c>
      <c r="T130">
        <f t="shared" si="14"/>
        <v>13.085899999999999</v>
      </c>
      <c r="U130">
        <f t="shared" si="15"/>
        <v>6.5992586276999985</v>
      </c>
      <c r="X130" s="9"/>
      <c r="Y130" s="22">
        <v>1.1956800000000001</v>
      </c>
      <c r="Z130" s="22">
        <v>55.212800000000001</v>
      </c>
      <c r="AA130" s="22">
        <v>-9.3048100000000002E-3</v>
      </c>
      <c r="AB130" s="22">
        <v>120</v>
      </c>
      <c r="AC130" s="22">
        <v>1.19415</v>
      </c>
      <c r="AD130">
        <f t="shared" si="16"/>
        <v>9.3048099999999998</v>
      </c>
      <c r="AE130">
        <f t="shared" si="17"/>
        <v>11.1255752208</v>
      </c>
      <c r="AF130" s="9"/>
      <c r="AG130" s="22">
        <v>0.50430299999999995</v>
      </c>
      <c r="AH130" s="22">
        <v>60.757399999999997</v>
      </c>
      <c r="AI130" s="22">
        <v>-1.26404E-2</v>
      </c>
      <c r="AJ130" s="22">
        <v>120</v>
      </c>
      <c r="AK130" s="22">
        <v>0.50363199999999997</v>
      </c>
      <c r="AL130">
        <f t="shared" si="18"/>
        <v>12.6404</v>
      </c>
      <c r="AM130">
        <f t="shared" si="19"/>
        <v>6.3745916411999994</v>
      </c>
      <c r="AP130" s="9"/>
      <c r="AQ130" s="22">
        <v>1.1956800000000001</v>
      </c>
      <c r="AR130" s="22">
        <v>67.757000000000005</v>
      </c>
      <c r="AS130" s="22">
        <v>-8.9691200000000006E-3</v>
      </c>
      <c r="AT130" s="22">
        <v>120</v>
      </c>
      <c r="AU130" s="22">
        <v>1.19476</v>
      </c>
      <c r="AV130">
        <f t="shared" si="20"/>
        <v>8.9691200000000002</v>
      </c>
      <c r="AW130">
        <f t="shared" si="21"/>
        <v>10.724197401600001</v>
      </c>
      <c r="AX130" s="9"/>
      <c r="AY130" s="22">
        <v>0.50430299999999995</v>
      </c>
      <c r="AZ130" s="22">
        <v>73.033600000000007</v>
      </c>
      <c r="BA130" s="22">
        <v>-1.24481E-2</v>
      </c>
      <c r="BB130" s="22">
        <v>120</v>
      </c>
      <c r="BC130" s="22">
        <v>0.50363199999999997</v>
      </c>
      <c r="BD130">
        <f t="shared" si="22"/>
        <v>12.4481</v>
      </c>
      <c r="BE130">
        <f t="shared" si="23"/>
        <v>6.2776141742999991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7.9359400000000004</v>
      </c>
      <c r="I131" s="22">
        <v>-9.1735800000000006E-3</v>
      </c>
      <c r="J131" s="22">
        <v>121</v>
      </c>
      <c r="K131" s="22">
        <v>1.1895800000000001</v>
      </c>
      <c r="L131">
        <f t="shared" si="12"/>
        <v>9.1735800000000012</v>
      </c>
      <c r="M131">
        <f t="shared" si="13"/>
        <v>10.922431291200001</v>
      </c>
      <c r="N131" s="9"/>
      <c r="O131" s="22">
        <v>0.50933799999999996</v>
      </c>
      <c r="P131" s="22">
        <v>47.411200000000001</v>
      </c>
      <c r="Q131" s="22">
        <v>-1.30554E-2</v>
      </c>
      <c r="R131" s="22">
        <v>121</v>
      </c>
      <c r="S131" s="22">
        <v>0.50872799999999996</v>
      </c>
      <c r="T131">
        <f t="shared" si="14"/>
        <v>13.055400000000001</v>
      </c>
      <c r="U131">
        <f t="shared" si="15"/>
        <v>6.6496113251999995</v>
      </c>
      <c r="X131" s="9"/>
      <c r="Y131" s="22">
        <v>1.1906399999999999</v>
      </c>
      <c r="Z131" s="22">
        <v>55.222799999999999</v>
      </c>
      <c r="AA131" s="22">
        <v>-9.3414299999999995E-3</v>
      </c>
      <c r="AB131" s="22">
        <v>121</v>
      </c>
      <c r="AC131" s="22">
        <v>1.1895800000000001</v>
      </c>
      <c r="AD131">
        <f t="shared" si="16"/>
        <v>9.341429999999999</v>
      </c>
      <c r="AE131">
        <f t="shared" si="17"/>
        <v>11.122280215199998</v>
      </c>
      <c r="AF131" s="9"/>
      <c r="AG131" s="22">
        <v>0.50933799999999996</v>
      </c>
      <c r="AH131" s="22">
        <v>60.767499999999998</v>
      </c>
      <c r="AI131" s="22">
        <v>-1.26038E-2</v>
      </c>
      <c r="AJ131" s="22">
        <v>121</v>
      </c>
      <c r="AK131" s="22">
        <v>0.50866699999999998</v>
      </c>
      <c r="AL131">
        <f t="shared" si="18"/>
        <v>12.6038</v>
      </c>
      <c r="AM131">
        <f t="shared" si="19"/>
        <v>6.4195942843999996</v>
      </c>
      <c r="AP131" s="9"/>
      <c r="AQ131" s="22">
        <v>1.1906399999999999</v>
      </c>
      <c r="AR131" s="22">
        <v>67.767099999999999</v>
      </c>
      <c r="AS131" s="22">
        <v>-9.0087899999999992E-3</v>
      </c>
      <c r="AT131" s="22">
        <v>121</v>
      </c>
      <c r="AU131" s="22">
        <v>1.18896</v>
      </c>
      <c r="AV131">
        <f t="shared" si="20"/>
        <v>9.0087899999999994</v>
      </c>
      <c r="AW131">
        <f t="shared" si="21"/>
        <v>10.726225725599999</v>
      </c>
      <c r="AX131" s="9"/>
      <c r="AY131" s="22">
        <v>0.50933799999999996</v>
      </c>
      <c r="AZ131" s="22">
        <v>73.043700000000001</v>
      </c>
      <c r="BA131" s="22">
        <v>-1.24084E-2</v>
      </c>
      <c r="BB131" s="22">
        <v>121</v>
      </c>
      <c r="BC131" s="22">
        <v>0.508575</v>
      </c>
      <c r="BD131">
        <f t="shared" si="22"/>
        <v>12.4084</v>
      </c>
      <c r="BE131">
        <f t="shared" si="23"/>
        <v>6.3200696391999998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7.9460100000000002</v>
      </c>
      <c r="I132" s="22">
        <v>-9.2132599999999992E-3</v>
      </c>
      <c r="J132" s="22">
        <v>122</v>
      </c>
      <c r="K132" s="22">
        <v>1.18469</v>
      </c>
      <c r="L132">
        <f t="shared" si="12"/>
        <v>9.21326</v>
      </c>
      <c r="M132">
        <f t="shared" si="13"/>
        <v>10.923333188600001</v>
      </c>
      <c r="N132" s="9"/>
      <c r="O132" s="22">
        <v>0.514374</v>
      </c>
      <c r="P132" s="22">
        <v>47.421300000000002</v>
      </c>
      <c r="Q132" s="22">
        <v>-1.3030999999999999E-2</v>
      </c>
      <c r="R132" s="22">
        <v>122</v>
      </c>
      <c r="S132" s="22">
        <v>0.51370199999999999</v>
      </c>
      <c r="T132">
        <f t="shared" si="14"/>
        <v>13.030999999999999</v>
      </c>
      <c r="U132">
        <f t="shared" si="15"/>
        <v>6.7028075939999994</v>
      </c>
      <c r="X132" s="9"/>
      <c r="Y132" s="22">
        <v>1.1856100000000001</v>
      </c>
      <c r="Z132" s="22">
        <v>55.232900000000001</v>
      </c>
      <c r="AA132" s="22">
        <v>-9.3810999999999999E-3</v>
      </c>
      <c r="AB132" s="22">
        <v>122</v>
      </c>
      <c r="AC132" s="22">
        <v>1.18469</v>
      </c>
      <c r="AD132">
        <f t="shared" si="16"/>
        <v>9.3811</v>
      </c>
      <c r="AE132">
        <f t="shared" si="17"/>
        <v>11.122325971</v>
      </c>
      <c r="AF132" s="9"/>
      <c r="AG132" s="22">
        <v>0.514374</v>
      </c>
      <c r="AH132" s="22">
        <v>60.777500000000003</v>
      </c>
      <c r="AI132" s="22">
        <v>-1.25732E-2</v>
      </c>
      <c r="AJ132" s="22">
        <v>122</v>
      </c>
      <c r="AK132" s="22">
        <v>0.513733</v>
      </c>
      <c r="AL132">
        <f t="shared" si="18"/>
        <v>12.5732</v>
      </c>
      <c r="AM132">
        <f t="shared" si="19"/>
        <v>6.4673271767999996</v>
      </c>
      <c r="AP132" s="9"/>
      <c r="AQ132" s="22">
        <v>1.1856100000000001</v>
      </c>
      <c r="AR132" s="22">
        <v>67.777199999999993</v>
      </c>
      <c r="AS132" s="22">
        <v>-9.0484599999999995E-3</v>
      </c>
      <c r="AT132" s="22">
        <v>122</v>
      </c>
      <c r="AU132" s="22">
        <v>1.1850000000000001</v>
      </c>
      <c r="AV132">
        <f t="shared" si="20"/>
        <v>9.0484599999999986</v>
      </c>
      <c r="AW132">
        <f t="shared" si="21"/>
        <v>10.727944660599999</v>
      </c>
      <c r="AX132" s="9"/>
      <c r="AY132" s="22">
        <v>0.514374</v>
      </c>
      <c r="AZ132" s="22">
        <v>73.053799999999995</v>
      </c>
      <c r="BA132" s="22">
        <v>-1.2374899999999999E-2</v>
      </c>
      <c r="BB132" s="22">
        <v>122</v>
      </c>
      <c r="BC132" s="22">
        <v>0.51367200000000002</v>
      </c>
      <c r="BD132">
        <f t="shared" si="22"/>
        <v>12.3749</v>
      </c>
      <c r="BE132">
        <f t="shared" si="23"/>
        <v>6.3653268126000002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7.9560899999999997</v>
      </c>
      <c r="I133" s="22">
        <v>-9.2559800000000005E-3</v>
      </c>
      <c r="J133" s="22">
        <v>123</v>
      </c>
      <c r="K133" s="22">
        <v>1.1795</v>
      </c>
      <c r="L133">
        <f t="shared" si="12"/>
        <v>9.255980000000001</v>
      </c>
      <c r="M133">
        <f t="shared" si="13"/>
        <v>10.9273323086</v>
      </c>
      <c r="N133" s="9"/>
      <c r="O133" s="22">
        <v>0.51940900000000001</v>
      </c>
      <c r="P133" s="22">
        <v>47.4313</v>
      </c>
      <c r="Q133" s="22">
        <v>-1.2997399999999999E-2</v>
      </c>
      <c r="R133" s="22">
        <v>123</v>
      </c>
      <c r="S133" s="22">
        <v>0.51873800000000003</v>
      </c>
      <c r="T133">
        <f t="shared" si="14"/>
        <v>12.997399999999999</v>
      </c>
      <c r="U133">
        <f t="shared" si="15"/>
        <v>6.7509665366</v>
      </c>
      <c r="X133" s="9"/>
      <c r="Y133" s="22">
        <v>1.1805699999999999</v>
      </c>
      <c r="Z133" s="22">
        <v>55.243000000000002</v>
      </c>
      <c r="AA133" s="22">
        <v>-9.4207800000000001E-3</v>
      </c>
      <c r="AB133" s="22">
        <v>123</v>
      </c>
      <c r="AC133" s="22">
        <v>1.17981</v>
      </c>
      <c r="AD133">
        <f t="shared" si="16"/>
        <v>9.4207800000000006</v>
      </c>
      <c r="AE133">
        <f t="shared" si="17"/>
        <v>11.121890244599999</v>
      </c>
      <c r="AF133" s="9"/>
      <c r="AG133" s="22">
        <v>0.51940900000000001</v>
      </c>
      <c r="AH133" s="22">
        <v>60.787599999999998</v>
      </c>
      <c r="AI133" s="22">
        <v>-1.25305E-2</v>
      </c>
      <c r="AJ133" s="22">
        <v>123</v>
      </c>
      <c r="AK133" s="22">
        <v>0.51873800000000003</v>
      </c>
      <c r="AL133">
        <f t="shared" si="18"/>
        <v>12.5305</v>
      </c>
      <c r="AM133">
        <f t="shared" si="19"/>
        <v>6.5084544744999997</v>
      </c>
      <c r="AP133" s="9"/>
      <c r="AQ133" s="22">
        <v>1.1805699999999999</v>
      </c>
      <c r="AR133" s="22">
        <v>67.787199999999999</v>
      </c>
      <c r="AS133" s="22">
        <v>-9.0881299999999998E-3</v>
      </c>
      <c r="AT133" s="22">
        <v>123</v>
      </c>
      <c r="AU133" s="22">
        <v>1.1795</v>
      </c>
      <c r="AV133">
        <f t="shared" si="20"/>
        <v>9.0881299999999996</v>
      </c>
      <c r="AW133">
        <f t="shared" si="21"/>
        <v>10.729173634099999</v>
      </c>
      <c r="AX133" s="9"/>
      <c r="AY133" s="22">
        <v>0.51940900000000001</v>
      </c>
      <c r="AZ133" s="22">
        <v>73.063800000000001</v>
      </c>
      <c r="BA133" s="22">
        <v>-1.2341299999999999E-2</v>
      </c>
      <c r="BB133" s="22">
        <v>123</v>
      </c>
      <c r="BC133" s="22">
        <v>0.51864600000000005</v>
      </c>
      <c r="BD133">
        <f t="shared" si="22"/>
        <v>12.3413</v>
      </c>
      <c r="BE133">
        <f t="shared" si="23"/>
        <v>6.4101822917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7.9661600000000004</v>
      </c>
      <c r="I134" s="22">
        <v>-9.2895500000000006E-3</v>
      </c>
      <c r="J134" s="22">
        <v>124</v>
      </c>
      <c r="K134" s="22">
        <v>1.17493</v>
      </c>
      <c r="L134">
        <f t="shared" si="12"/>
        <v>9.2895500000000002</v>
      </c>
      <c r="M134">
        <f t="shared" si="13"/>
        <v>10.920237607000001</v>
      </c>
      <c r="N134" s="9"/>
      <c r="O134" s="22">
        <v>0.52444500000000005</v>
      </c>
      <c r="P134" s="22">
        <v>47.441400000000002</v>
      </c>
      <c r="Q134" s="22">
        <v>-1.29578E-2</v>
      </c>
      <c r="R134" s="22">
        <v>124</v>
      </c>
      <c r="S134" s="22">
        <v>0.52377300000000004</v>
      </c>
      <c r="T134">
        <f t="shared" si="14"/>
        <v>12.957800000000001</v>
      </c>
      <c r="U134">
        <f t="shared" si="15"/>
        <v>6.7956534210000008</v>
      </c>
      <c r="X134" s="9"/>
      <c r="Y134" s="22">
        <v>1.17554</v>
      </c>
      <c r="Z134" s="22">
        <v>55.253</v>
      </c>
      <c r="AA134" s="22">
        <v>-9.4604500000000005E-3</v>
      </c>
      <c r="AB134" s="22">
        <v>124</v>
      </c>
      <c r="AC134" s="22">
        <v>1.17493</v>
      </c>
      <c r="AD134">
        <f t="shared" si="16"/>
        <v>9.4604499999999998</v>
      </c>
      <c r="AE134">
        <f t="shared" si="17"/>
        <v>11.121137393</v>
      </c>
      <c r="AF134" s="9"/>
      <c r="AG134" s="22">
        <v>0.52444500000000005</v>
      </c>
      <c r="AH134" s="22">
        <v>60.797699999999999</v>
      </c>
      <c r="AI134" s="22">
        <v>-1.24878E-2</v>
      </c>
      <c r="AJ134" s="22">
        <v>124</v>
      </c>
      <c r="AK134" s="22">
        <v>0.52377300000000004</v>
      </c>
      <c r="AL134">
        <f t="shared" si="18"/>
        <v>12.4878</v>
      </c>
      <c r="AM134">
        <f t="shared" si="19"/>
        <v>6.5491642710000004</v>
      </c>
      <c r="AP134" s="9"/>
      <c r="AQ134" s="22">
        <v>1.17554</v>
      </c>
      <c r="AR134" s="22">
        <v>67.797300000000007</v>
      </c>
      <c r="AS134" s="22">
        <v>-9.1247600000000009E-3</v>
      </c>
      <c r="AT134" s="22">
        <v>124</v>
      </c>
      <c r="AU134" s="22">
        <v>1.17493</v>
      </c>
      <c r="AV134">
        <f t="shared" si="20"/>
        <v>9.1247600000000002</v>
      </c>
      <c r="AW134">
        <f t="shared" si="21"/>
        <v>10.726520370400001</v>
      </c>
      <c r="AX134" s="9"/>
      <c r="AY134" s="22">
        <v>0.52444500000000005</v>
      </c>
      <c r="AZ134" s="22">
        <v>73.073899999999995</v>
      </c>
      <c r="BA134" s="22">
        <v>-1.23077E-2</v>
      </c>
      <c r="BB134" s="22">
        <v>124</v>
      </c>
      <c r="BC134" s="22">
        <v>0.52371199999999996</v>
      </c>
      <c r="BD134">
        <f t="shared" si="22"/>
        <v>12.307699999999999</v>
      </c>
      <c r="BE134">
        <f t="shared" si="23"/>
        <v>6.4547117265000002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7.9762300000000002</v>
      </c>
      <c r="I135" s="22">
        <v>-9.3231200000000007E-3</v>
      </c>
      <c r="J135" s="22">
        <v>125</v>
      </c>
      <c r="K135" s="22">
        <v>1.16943</v>
      </c>
      <c r="L135">
        <f t="shared" si="12"/>
        <v>9.3231200000000012</v>
      </c>
      <c r="M135">
        <f t="shared" si="13"/>
        <v>10.912711960000003</v>
      </c>
      <c r="N135" s="9"/>
      <c r="O135" s="22">
        <v>0.52947999999999995</v>
      </c>
      <c r="P135" s="22">
        <v>47.451500000000003</v>
      </c>
      <c r="Q135" s="22">
        <v>-1.29242E-2</v>
      </c>
      <c r="R135" s="22">
        <v>125</v>
      </c>
      <c r="S135" s="22">
        <v>0.52877799999999997</v>
      </c>
      <c r="T135">
        <f t="shared" si="14"/>
        <v>12.924200000000001</v>
      </c>
      <c r="U135">
        <f t="shared" si="15"/>
        <v>6.8431054160000002</v>
      </c>
      <c r="X135" s="9"/>
      <c r="Y135" s="22">
        <v>1.1705000000000001</v>
      </c>
      <c r="Z135" s="22">
        <v>55.263100000000001</v>
      </c>
      <c r="AA135" s="22">
        <v>-9.4970699999999998E-3</v>
      </c>
      <c r="AB135" s="22">
        <v>125</v>
      </c>
      <c r="AC135" s="22">
        <v>1.16943</v>
      </c>
      <c r="AD135">
        <f t="shared" si="16"/>
        <v>9.497069999999999</v>
      </c>
      <c r="AE135">
        <f t="shared" si="17"/>
        <v>11.116320435</v>
      </c>
      <c r="AF135" s="9"/>
      <c r="AG135" s="22">
        <v>0.52947999999999995</v>
      </c>
      <c r="AH135" s="22">
        <v>60.807699999999997</v>
      </c>
      <c r="AI135" s="22">
        <v>-1.2442E-2</v>
      </c>
      <c r="AJ135" s="22">
        <v>125</v>
      </c>
      <c r="AK135" s="22">
        <v>0.52886999999999995</v>
      </c>
      <c r="AL135">
        <f t="shared" si="18"/>
        <v>12.442</v>
      </c>
      <c r="AM135">
        <f t="shared" si="19"/>
        <v>6.5877901599999991</v>
      </c>
      <c r="AP135" s="9"/>
      <c r="AQ135" s="22">
        <v>1.1705000000000001</v>
      </c>
      <c r="AR135" s="22">
        <v>67.807400000000001</v>
      </c>
      <c r="AS135" s="22">
        <v>-9.1613800000000002E-3</v>
      </c>
      <c r="AT135" s="22">
        <v>125</v>
      </c>
      <c r="AU135" s="22">
        <v>1.16974</v>
      </c>
      <c r="AV135">
        <f t="shared" si="20"/>
        <v>9.1613799999999994</v>
      </c>
      <c r="AW135">
        <f t="shared" si="21"/>
        <v>10.723395290000001</v>
      </c>
      <c r="AX135" s="9"/>
      <c r="AY135" s="22">
        <v>0.52947999999999995</v>
      </c>
      <c r="AZ135" s="22">
        <v>73.084000000000003</v>
      </c>
      <c r="BA135" s="22">
        <v>-1.22711E-2</v>
      </c>
      <c r="BB135" s="22">
        <v>125</v>
      </c>
      <c r="BC135" s="22">
        <v>0.52880899999999997</v>
      </c>
      <c r="BD135">
        <f t="shared" si="22"/>
        <v>12.271100000000001</v>
      </c>
      <c r="BE135">
        <f t="shared" si="23"/>
        <v>6.497302028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7.9863</v>
      </c>
      <c r="I136" s="22">
        <v>-9.3597400000000001E-3</v>
      </c>
      <c r="J136" s="22">
        <v>126</v>
      </c>
      <c r="K136" s="22">
        <v>1.16425</v>
      </c>
      <c r="L136">
        <f t="shared" si="12"/>
        <v>9.3597400000000004</v>
      </c>
      <c r="M136">
        <f t="shared" si="13"/>
        <v>10.9084961778</v>
      </c>
      <c r="N136" s="9"/>
      <c r="O136" s="22">
        <v>0.53451499999999996</v>
      </c>
      <c r="P136" s="22">
        <v>47.461500000000001</v>
      </c>
      <c r="Q136" s="22">
        <v>-1.2893699999999999E-2</v>
      </c>
      <c r="R136" s="22">
        <v>126</v>
      </c>
      <c r="S136" s="22">
        <v>0.53387499999999999</v>
      </c>
      <c r="T136">
        <f t="shared" si="14"/>
        <v>12.893699999999999</v>
      </c>
      <c r="U136">
        <f t="shared" si="15"/>
        <v>6.8918760554999992</v>
      </c>
      <c r="X136" s="9"/>
      <c r="Y136" s="22">
        <v>1.16547</v>
      </c>
      <c r="Z136" s="22">
        <v>55.273200000000003</v>
      </c>
      <c r="AA136" s="22">
        <v>-9.5336899999999992E-3</v>
      </c>
      <c r="AB136" s="22">
        <v>126</v>
      </c>
      <c r="AC136" s="22">
        <v>1.16455</v>
      </c>
      <c r="AD136">
        <f t="shared" si="16"/>
        <v>9.53369</v>
      </c>
      <c r="AE136">
        <f t="shared" si="17"/>
        <v>11.1112296843</v>
      </c>
      <c r="AF136" s="9"/>
      <c r="AG136" s="22">
        <v>0.53451499999999996</v>
      </c>
      <c r="AH136" s="22">
        <v>60.817799999999998</v>
      </c>
      <c r="AI136" s="22">
        <v>-1.24023E-2</v>
      </c>
      <c r="AJ136" s="22">
        <v>126</v>
      </c>
      <c r="AK136" s="22">
        <v>0.53381299999999998</v>
      </c>
      <c r="AL136">
        <f t="shared" si="18"/>
        <v>12.4023</v>
      </c>
      <c r="AM136">
        <f t="shared" si="19"/>
        <v>6.6292153845000001</v>
      </c>
      <c r="AP136" s="9"/>
      <c r="AQ136" s="22">
        <v>1.16547</v>
      </c>
      <c r="AR136" s="22">
        <v>67.817400000000006</v>
      </c>
      <c r="AS136" s="22">
        <v>-9.1949500000000003E-3</v>
      </c>
      <c r="AT136" s="22">
        <v>126</v>
      </c>
      <c r="AU136" s="22">
        <v>1.16455</v>
      </c>
      <c r="AV136">
        <f t="shared" si="20"/>
        <v>9.1949500000000004</v>
      </c>
      <c r="AW136">
        <f t="shared" si="21"/>
        <v>10.716438376500001</v>
      </c>
      <c r="AX136" s="9"/>
      <c r="AY136" s="22">
        <v>0.53451499999999996</v>
      </c>
      <c r="AZ136" s="22">
        <v>73.094099999999997</v>
      </c>
      <c r="BA136" s="22">
        <v>-1.22314E-2</v>
      </c>
      <c r="BB136" s="22">
        <v>126</v>
      </c>
      <c r="BC136" s="22">
        <v>0.53384399999999999</v>
      </c>
      <c r="BD136">
        <f t="shared" si="22"/>
        <v>12.231400000000001</v>
      </c>
      <c r="BE136">
        <f t="shared" si="23"/>
        <v>6.537866771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7.9963699999999998</v>
      </c>
      <c r="I137" s="22">
        <v>-9.3963599999999994E-3</v>
      </c>
      <c r="J137" s="22">
        <v>127</v>
      </c>
      <c r="K137" s="22">
        <v>1.15967</v>
      </c>
      <c r="L137">
        <f t="shared" si="12"/>
        <v>9.3963599999999996</v>
      </c>
      <c r="M137">
        <f t="shared" si="13"/>
        <v>10.9038180348</v>
      </c>
      <c r="N137" s="9"/>
      <c r="O137" s="22">
        <v>0.539551</v>
      </c>
      <c r="P137" s="22">
        <v>47.471600000000002</v>
      </c>
      <c r="Q137" s="22">
        <v>-1.2860099999999999E-2</v>
      </c>
      <c r="R137" s="22">
        <v>127</v>
      </c>
      <c r="S137" s="22">
        <v>0.53891</v>
      </c>
      <c r="T137">
        <f t="shared" si="14"/>
        <v>12.860099999999999</v>
      </c>
      <c r="U137">
        <f t="shared" si="15"/>
        <v>6.9386798150999995</v>
      </c>
      <c r="X137" s="9"/>
      <c r="Y137" s="22">
        <v>1.1604300000000001</v>
      </c>
      <c r="Z137" s="22">
        <v>55.283299999999997</v>
      </c>
      <c r="AA137" s="22">
        <v>-9.5733599999999995E-3</v>
      </c>
      <c r="AB137" s="22">
        <v>127</v>
      </c>
      <c r="AC137" s="22">
        <v>1.15967</v>
      </c>
      <c r="AD137">
        <f t="shared" si="16"/>
        <v>9.5733599999999992</v>
      </c>
      <c r="AE137">
        <f t="shared" si="17"/>
        <v>11.109214144799999</v>
      </c>
      <c r="AF137" s="9"/>
      <c r="AG137" s="22">
        <v>0.539551</v>
      </c>
      <c r="AH137" s="22">
        <v>60.8279</v>
      </c>
      <c r="AI137" s="22">
        <v>-1.2371800000000001E-2</v>
      </c>
      <c r="AJ137" s="22">
        <v>127</v>
      </c>
      <c r="AK137" s="22">
        <v>0.53884900000000002</v>
      </c>
      <c r="AL137">
        <f t="shared" si="18"/>
        <v>12.3718</v>
      </c>
      <c r="AM137">
        <f t="shared" si="19"/>
        <v>6.6752170618000006</v>
      </c>
      <c r="AP137" s="9"/>
      <c r="AQ137" s="22">
        <v>1.1604300000000001</v>
      </c>
      <c r="AR137" s="22">
        <v>67.827500000000001</v>
      </c>
      <c r="AS137" s="22">
        <v>-9.2285200000000005E-3</v>
      </c>
      <c r="AT137" s="22">
        <v>127</v>
      </c>
      <c r="AU137" s="22">
        <v>1.15967</v>
      </c>
      <c r="AV137">
        <f t="shared" si="20"/>
        <v>9.2285199999999996</v>
      </c>
      <c r="AW137">
        <f t="shared" si="21"/>
        <v>10.7090514636</v>
      </c>
      <c r="AX137" s="9"/>
      <c r="AY137" s="22">
        <v>0.539551</v>
      </c>
      <c r="AZ137" s="22">
        <v>73.104100000000003</v>
      </c>
      <c r="BA137" s="22">
        <v>-1.21948E-2</v>
      </c>
      <c r="BB137" s="22">
        <v>127</v>
      </c>
      <c r="BC137" s="22">
        <v>0.53884900000000002</v>
      </c>
      <c r="BD137">
        <f t="shared" si="22"/>
        <v>12.194800000000001</v>
      </c>
      <c r="BE137">
        <f t="shared" si="23"/>
        <v>6.5797165348000002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8.0064399999999996</v>
      </c>
      <c r="I138" s="22">
        <v>-9.4299299999999996E-3</v>
      </c>
      <c r="J138" s="22">
        <v>128</v>
      </c>
      <c r="K138" s="22">
        <v>1.1541699999999999</v>
      </c>
      <c r="L138">
        <f t="shared" si="12"/>
        <v>9.4299299999999988</v>
      </c>
      <c r="M138">
        <f t="shared" si="13"/>
        <v>10.895341121999998</v>
      </c>
      <c r="N138" s="9"/>
      <c r="O138" s="22">
        <v>0.54458600000000001</v>
      </c>
      <c r="P138" s="22">
        <v>47.481699999999996</v>
      </c>
      <c r="Q138" s="22">
        <v>-1.28296E-2</v>
      </c>
      <c r="R138" s="22">
        <v>128</v>
      </c>
      <c r="S138" s="22">
        <v>0.54391500000000004</v>
      </c>
      <c r="T138">
        <f t="shared" si="14"/>
        <v>12.829599999999999</v>
      </c>
      <c r="U138">
        <f t="shared" si="15"/>
        <v>6.9868205455999997</v>
      </c>
      <c r="X138" s="9"/>
      <c r="Y138" s="22">
        <v>1.1554</v>
      </c>
      <c r="Z138" s="22">
        <v>55.293300000000002</v>
      </c>
      <c r="AA138" s="22">
        <v>-9.6099900000000005E-3</v>
      </c>
      <c r="AB138" s="22">
        <v>128</v>
      </c>
      <c r="AC138" s="22">
        <v>1.15448</v>
      </c>
      <c r="AD138">
        <f t="shared" si="16"/>
        <v>9.6099899999999998</v>
      </c>
      <c r="AE138">
        <f t="shared" si="17"/>
        <v>11.103382445999999</v>
      </c>
      <c r="AF138" s="9"/>
      <c r="AG138" s="22">
        <v>0.54458600000000001</v>
      </c>
      <c r="AH138" s="22">
        <v>60.837899999999998</v>
      </c>
      <c r="AI138" s="22">
        <v>-1.23383E-2</v>
      </c>
      <c r="AJ138" s="22">
        <v>128</v>
      </c>
      <c r="AK138" s="22">
        <v>0.54385399999999995</v>
      </c>
      <c r="AL138">
        <f t="shared" si="18"/>
        <v>12.3383</v>
      </c>
      <c r="AM138">
        <f t="shared" si="19"/>
        <v>6.7192654438000003</v>
      </c>
      <c r="AP138" s="9"/>
      <c r="AQ138" s="22">
        <v>1.1554</v>
      </c>
      <c r="AR138" s="22">
        <v>67.837599999999995</v>
      </c>
      <c r="AS138" s="22">
        <v>-9.2651399999999998E-3</v>
      </c>
      <c r="AT138" s="22">
        <v>128</v>
      </c>
      <c r="AU138" s="22">
        <v>1.15479</v>
      </c>
      <c r="AV138">
        <f t="shared" si="20"/>
        <v>9.2651400000000006</v>
      </c>
      <c r="AW138">
        <f t="shared" si="21"/>
        <v>10.704942756000001</v>
      </c>
      <c r="AX138" s="9"/>
      <c r="AY138" s="22">
        <v>0.54458600000000001</v>
      </c>
      <c r="AZ138" s="22">
        <v>73.114199999999997</v>
      </c>
      <c r="BA138" s="22">
        <v>-1.2158199999999999E-2</v>
      </c>
      <c r="BB138" s="22">
        <v>128</v>
      </c>
      <c r="BC138" s="22">
        <v>0.54391500000000004</v>
      </c>
      <c r="BD138">
        <f t="shared" si="22"/>
        <v>12.158199999999999</v>
      </c>
      <c r="BE138">
        <f t="shared" si="23"/>
        <v>6.6211855051999997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8.0165100000000002</v>
      </c>
      <c r="I139" s="22">
        <v>-9.4695999999999999E-3</v>
      </c>
      <c r="J139" s="22">
        <v>129</v>
      </c>
      <c r="K139" s="22">
        <v>1.1496</v>
      </c>
      <c r="L139">
        <f t="shared" si="12"/>
        <v>9.4695999999999998</v>
      </c>
      <c r="M139">
        <f t="shared" si="13"/>
        <v>10.893449056</v>
      </c>
      <c r="N139" s="9"/>
      <c r="O139" s="22">
        <v>0.54962200000000005</v>
      </c>
      <c r="P139" s="22">
        <v>47.491799999999998</v>
      </c>
      <c r="Q139" s="22">
        <v>-1.2796E-2</v>
      </c>
      <c r="R139" s="22">
        <v>129</v>
      </c>
      <c r="S139" s="22">
        <v>0.54898100000000005</v>
      </c>
      <c r="T139">
        <f t="shared" si="14"/>
        <v>12.795999999999999</v>
      </c>
      <c r="U139">
        <f t="shared" si="15"/>
        <v>7.032963112</v>
      </c>
      <c r="X139" s="9"/>
      <c r="Y139" s="22">
        <v>1.15036</v>
      </c>
      <c r="Z139" s="22">
        <v>55.303400000000003</v>
      </c>
      <c r="AA139" s="22">
        <v>-9.6496599999999991E-3</v>
      </c>
      <c r="AB139" s="22">
        <v>129</v>
      </c>
      <c r="AC139" s="22">
        <v>1.1492899999999999</v>
      </c>
      <c r="AD139">
        <f t="shared" si="16"/>
        <v>9.649659999999999</v>
      </c>
      <c r="AE139">
        <f t="shared" si="17"/>
        <v>11.100582877599999</v>
      </c>
      <c r="AF139" s="9"/>
      <c r="AG139" s="22">
        <v>0.54962200000000005</v>
      </c>
      <c r="AH139" s="22">
        <v>60.847999999999999</v>
      </c>
      <c r="AI139" s="22">
        <v>-1.23047E-2</v>
      </c>
      <c r="AJ139" s="22">
        <v>129</v>
      </c>
      <c r="AK139" s="22">
        <v>0.54895000000000005</v>
      </c>
      <c r="AL139">
        <f t="shared" si="18"/>
        <v>12.3047</v>
      </c>
      <c r="AM139">
        <f t="shared" si="19"/>
        <v>6.7629338234000009</v>
      </c>
      <c r="AP139" s="9"/>
      <c r="AQ139" s="22">
        <v>1.15036</v>
      </c>
      <c r="AR139" s="22">
        <v>67.8476</v>
      </c>
      <c r="AS139" s="22">
        <v>-9.3048100000000002E-3</v>
      </c>
      <c r="AT139" s="22">
        <v>129</v>
      </c>
      <c r="AU139" s="22">
        <v>1.14899</v>
      </c>
      <c r="AV139">
        <f t="shared" si="20"/>
        <v>9.3048099999999998</v>
      </c>
      <c r="AW139">
        <f t="shared" si="21"/>
        <v>10.7038812316</v>
      </c>
      <c r="AX139" s="9"/>
      <c r="AY139" s="22">
        <v>0.54962200000000005</v>
      </c>
      <c r="AZ139" s="22">
        <v>73.124300000000005</v>
      </c>
      <c r="BA139" s="22">
        <v>-1.2124599999999999E-2</v>
      </c>
      <c r="BB139" s="22">
        <v>129</v>
      </c>
      <c r="BC139" s="22">
        <v>0.54898100000000005</v>
      </c>
      <c r="BD139">
        <f t="shared" si="22"/>
        <v>12.124599999999999</v>
      </c>
      <c r="BE139">
        <f t="shared" si="23"/>
        <v>6.6639469012000001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8.0265799999999992</v>
      </c>
      <c r="I140" s="22">
        <v>-9.5062299999999992E-3</v>
      </c>
      <c r="J140" s="22">
        <v>130</v>
      </c>
      <c r="K140" s="22">
        <v>1.1440999999999999</v>
      </c>
      <c r="L140">
        <f t="shared" ref="L140:L203" si="24">-I140/$F$2*1000</f>
        <v>9.5062299999999986</v>
      </c>
      <c r="M140">
        <f t="shared" ref="M140:M203" si="25">L140*G140</f>
        <v>10.887675343599998</v>
      </c>
      <c r="N140" s="9"/>
      <c r="O140" s="22">
        <v>0.55465699999999996</v>
      </c>
      <c r="P140" s="22">
        <v>47.501800000000003</v>
      </c>
      <c r="Q140" s="22">
        <v>-1.27625E-2</v>
      </c>
      <c r="R140" s="22">
        <v>130</v>
      </c>
      <c r="S140" s="22">
        <v>0.55398599999999998</v>
      </c>
      <c r="T140">
        <f t="shared" ref="T140:T203" si="26">-Q140/$F$2*1000</f>
        <v>12.762499999999999</v>
      </c>
      <c r="U140">
        <f t="shared" ref="U140:U203" si="27">T140*O140</f>
        <v>7.0788099624999994</v>
      </c>
      <c r="X140" s="9"/>
      <c r="Y140" s="22">
        <v>1.1453199999999999</v>
      </c>
      <c r="Z140" s="22">
        <v>55.313499999999998</v>
      </c>
      <c r="AA140" s="22">
        <v>-9.6832299999999993E-3</v>
      </c>
      <c r="AB140" s="22">
        <v>130</v>
      </c>
      <c r="AC140" s="22">
        <v>1.1447099999999999</v>
      </c>
      <c r="AD140">
        <f t="shared" ref="AD140:AD203" si="28">-AA140/$F$2*1000</f>
        <v>9.68323</v>
      </c>
      <c r="AE140">
        <f t="shared" ref="AE140:AE203" si="29">AD140*Y140</f>
        <v>11.0903969836</v>
      </c>
      <c r="AF140" s="9"/>
      <c r="AG140" s="22">
        <v>0.55465699999999996</v>
      </c>
      <c r="AH140" s="22">
        <v>60.8581</v>
      </c>
      <c r="AI140" s="22">
        <v>-1.22772E-2</v>
      </c>
      <c r="AJ140" s="22">
        <v>130</v>
      </c>
      <c r="AK140" s="22">
        <v>0.55395499999999998</v>
      </c>
      <c r="AL140">
        <f t="shared" ref="AL140:AL203" si="30">-AI140/$F$2*1000</f>
        <v>12.277200000000001</v>
      </c>
      <c r="AM140">
        <f t="shared" ref="AM140:AM203" si="31">AL140*AG140</f>
        <v>6.8096349203999997</v>
      </c>
      <c r="AP140" s="9"/>
      <c r="AQ140" s="22">
        <v>1.1453199999999999</v>
      </c>
      <c r="AR140" s="22">
        <v>67.857699999999994</v>
      </c>
      <c r="AS140" s="22">
        <v>-9.3444800000000005E-3</v>
      </c>
      <c r="AT140" s="22">
        <v>130</v>
      </c>
      <c r="AU140" s="22">
        <v>1.1447099999999999</v>
      </c>
      <c r="AV140">
        <f t="shared" ref="AV140:AV203" si="32">-AS140/$F$2*1000</f>
        <v>9.3444800000000008</v>
      </c>
      <c r="AW140">
        <f t="shared" ref="AW140:AW203" si="33">AV140*AQ140</f>
        <v>10.7024198336</v>
      </c>
      <c r="AX140" s="9"/>
      <c r="AY140" s="22">
        <v>0.55465699999999996</v>
      </c>
      <c r="AZ140" s="22">
        <v>73.134299999999996</v>
      </c>
      <c r="BA140" s="22">
        <v>-1.2097200000000001E-2</v>
      </c>
      <c r="BB140" s="22">
        <v>130</v>
      </c>
      <c r="BC140" s="22">
        <v>0.55395499999999998</v>
      </c>
      <c r="BD140">
        <f t="shared" ref="BD140:BD203" si="34">-BA140/$F$2*1000</f>
        <v>12.097200000000001</v>
      </c>
      <c r="BE140">
        <f t="shared" ref="BE140:BE203" si="35">BD140*AY140</f>
        <v>6.7097966604000003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8.0366499999999998</v>
      </c>
      <c r="I141" s="22">
        <v>-9.5489500000000005E-3</v>
      </c>
      <c r="J141" s="22">
        <v>131</v>
      </c>
      <c r="K141" s="22">
        <v>1.1392199999999999</v>
      </c>
      <c r="L141">
        <f t="shared" si="24"/>
        <v>9.5489500000000014</v>
      </c>
      <c r="M141">
        <f t="shared" si="25"/>
        <v>10.888572195500002</v>
      </c>
      <c r="N141" s="9"/>
      <c r="O141" s="22">
        <v>0.55969199999999997</v>
      </c>
      <c r="P141" s="22">
        <v>47.511899999999997</v>
      </c>
      <c r="Q141" s="22">
        <v>-1.2722799999999999E-2</v>
      </c>
      <c r="R141" s="22">
        <v>131</v>
      </c>
      <c r="S141" s="22">
        <v>0.55908199999999997</v>
      </c>
      <c r="T141">
        <f t="shared" si="26"/>
        <v>12.722799999999999</v>
      </c>
      <c r="U141">
        <f t="shared" si="27"/>
        <v>7.120849377599999</v>
      </c>
      <c r="X141" s="9"/>
      <c r="Y141" s="22">
        <v>1.14029</v>
      </c>
      <c r="Z141" s="22">
        <v>55.323500000000003</v>
      </c>
      <c r="AA141" s="22">
        <v>-9.7137500000000002E-3</v>
      </c>
      <c r="AB141" s="22">
        <v>131</v>
      </c>
      <c r="AC141" s="22">
        <v>1.1395299999999999</v>
      </c>
      <c r="AD141">
        <f t="shared" si="28"/>
        <v>9.713750000000001</v>
      </c>
      <c r="AE141">
        <f t="shared" si="29"/>
        <v>11.076491987500001</v>
      </c>
      <c r="AF141" s="9"/>
      <c r="AG141" s="22">
        <v>0.55969199999999997</v>
      </c>
      <c r="AH141" s="22">
        <v>60.868200000000002</v>
      </c>
      <c r="AI141" s="22">
        <v>-1.2246699999999999E-2</v>
      </c>
      <c r="AJ141" s="22">
        <v>131</v>
      </c>
      <c r="AK141" s="22">
        <v>0.55902099999999999</v>
      </c>
      <c r="AL141">
        <f t="shared" si="30"/>
        <v>12.246699999999999</v>
      </c>
      <c r="AM141">
        <f t="shared" si="31"/>
        <v>6.8543800163999986</v>
      </c>
      <c r="AP141" s="9"/>
      <c r="AQ141" s="22">
        <v>1.14029</v>
      </c>
      <c r="AR141" s="22">
        <v>67.867800000000003</v>
      </c>
      <c r="AS141" s="22">
        <v>-9.3841600000000008E-3</v>
      </c>
      <c r="AT141" s="22">
        <v>131</v>
      </c>
      <c r="AU141" s="22">
        <v>1.1392199999999999</v>
      </c>
      <c r="AV141">
        <f t="shared" si="32"/>
        <v>9.3841600000000014</v>
      </c>
      <c r="AW141">
        <f t="shared" si="33"/>
        <v>10.700663806400001</v>
      </c>
      <c r="AX141" s="9"/>
      <c r="AY141" s="22">
        <v>0.55969199999999997</v>
      </c>
      <c r="AZ141" s="22">
        <v>73.144400000000005</v>
      </c>
      <c r="BA141" s="22">
        <v>-1.2063600000000001E-2</v>
      </c>
      <c r="BB141" s="22">
        <v>131</v>
      </c>
      <c r="BC141" s="22">
        <v>0.55902099999999999</v>
      </c>
      <c r="BD141">
        <f t="shared" si="34"/>
        <v>12.063600000000001</v>
      </c>
      <c r="BE141">
        <f t="shared" si="35"/>
        <v>6.7519004112000003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8.0467200000000005</v>
      </c>
      <c r="I142" s="22">
        <v>-9.5886200000000008E-3</v>
      </c>
      <c r="J142" s="22">
        <v>132</v>
      </c>
      <c r="K142" s="22">
        <v>1.1346400000000001</v>
      </c>
      <c r="L142">
        <f t="shared" si="24"/>
        <v>9.5886200000000006</v>
      </c>
      <c r="M142">
        <f t="shared" si="25"/>
        <v>10.885480855000001</v>
      </c>
      <c r="N142" s="9"/>
      <c r="O142" s="22">
        <v>0.56472800000000001</v>
      </c>
      <c r="P142" s="22">
        <v>47.521999999999998</v>
      </c>
      <c r="Q142" s="22">
        <v>-1.26801E-2</v>
      </c>
      <c r="R142" s="22">
        <v>132</v>
      </c>
      <c r="S142" s="22">
        <v>0.56399500000000002</v>
      </c>
      <c r="T142">
        <f t="shared" si="26"/>
        <v>12.680099999999999</v>
      </c>
      <c r="U142">
        <f t="shared" si="27"/>
        <v>7.1608075127999999</v>
      </c>
      <c r="X142" s="9"/>
      <c r="Y142" s="22">
        <v>1.1352500000000001</v>
      </c>
      <c r="Z142" s="22">
        <v>55.333599999999997</v>
      </c>
      <c r="AA142" s="22">
        <v>-9.7473100000000003E-3</v>
      </c>
      <c r="AB142" s="22">
        <v>132</v>
      </c>
      <c r="AC142" s="22">
        <v>1.1343399999999999</v>
      </c>
      <c r="AD142">
        <f t="shared" si="28"/>
        <v>9.7473100000000006</v>
      </c>
      <c r="AE142">
        <f t="shared" si="29"/>
        <v>11.065633677500001</v>
      </c>
      <c r="AF142" s="9"/>
      <c r="AG142" s="22">
        <v>0.56472800000000001</v>
      </c>
      <c r="AH142" s="22">
        <v>60.8782</v>
      </c>
      <c r="AI142" s="22">
        <v>-1.2213099999999999E-2</v>
      </c>
      <c r="AJ142" s="22">
        <v>132</v>
      </c>
      <c r="AK142" s="22">
        <v>0.56402600000000003</v>
      </c>
      <c r="AL142">
        <f t="shared" si="30"/>
        <v>12.213099999999999</v>
      </c>
      <c r="AM142">
        <f t="shared" si="31"/>
        <v>6.8970795367999997</v>
      </c>
      <c r="AP142" s="9"/>
      <c r="AQ142" s="22">
        <v>1.1352500000000001</v>
      </c>
      <c r="AR142" s="22">
        <v>67.877899999999997</v>
      </c>
      <c r="AS142" s="22">
        <v>-9.41467E-3</v>
      </c>
      <c r="AT142" s="22">
        <v>132</v>
      </c>
      <c r="AU142" s="22">
        <v>1.1340300000000001</v>
      </c>
      <c r="AV142">
        <f t="shared" si="32"/>
        <v>9.4146699999999992</v>
      </c>
      <c r="AW142">
        <f t="shared" si="33"/>
        <v>10.6880041175</v>
      </c>
      <c r="AX142" s="9"/>
      <c r="AY142" s="22">
        <v>0.56472800000000001</v>
      </c>
      <c r="AZ142" s="22">
        <v>73.154499999999999</v>
      </c>
      <c r="BA142" s="22">
        <v>-1.2026999999999999E-2</v>
      </c>
      <c r="BB142" s="22">
        <v>132</v>
      </c>
      <c r="BC142" s="22">
        <v>0.56411699999999998</v>
      </c>
      <c r="BD142">
        <f t="shared" si="34"/>
        <v>12.026999999999999</v>
      </c>
      <c r="BE142">
        <f t="shared" si="35"/>
        <v>6.7919836559999993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8.0568000000000008</v>
      </c>
      <c r="I143" s="22">
        <v>-9.6252400000000002E-3</v>
      </c>
      <c r="J143" s="22">
        <v>133</v>
      </c>
      <c r="K143" s="22">
        <v>1.1291500000000001</v>
      </c>
      <c r="L143">
        <f t="shared" si="24"/>
        <v>9.6252399999999998</v>
      </c>
      <c r="M143">
        <f t="shared" si="25"/>
        <v>10.878638752800001</v>
      </c>
      <c r="N143" s="9"/>
      <c r="O143" s="22">
        <v>0.56976300000000002</v>
      </c>
      <c r="P143" s="22">
        <v>47.531999999999996</v>
      </c>
      <c r="Q143" s="22">
        <v>-1.26404E-2</v>
      </c>
      <c r="R143" s="22">
        <v>133</v>
      </c>
      <c r="S143" s="22">
        <v>0.56909200000000004</v>
      </c>
      <c r="T143">
        <f t="shared" si="26"/>
        <v>12.6404</v>
      </c>
      <c r="U143">
        <f t="shared" si="27"/>
        <v>7.2020322252</v>
      </c>
      <c r="X143" s="9"/>
      <c r="Y143" s="22">
        <v>1.13022</v>
      </c>
      <c r="Z143" s="22">
        <v>55.343699999999998</v>
      </c>
      <c r="AA143" s="22">
        <v>-9.7839399999999997E-3</v>
      </c>
      <c r="AB143" s="22">
        <v>133</v>
      </c>
      <c r="AC143" s="22">
        <v>1.1288499999999999</v>
      </c>
      <c r="AD143">
        <f t="shared" si="28"/>
        <v>9.7839399999999994</v>
      </c>
      <c r="AE143">
        <f t="shared" si="29"/>
        <v>11.058004666799999</v>
      </c>
      <c r="AF143" s="9"/>
      <c r="AG143" s="22">
        <v>0.56976300000000002</v>
      </c>
      <c r="AH143" s="22">
        <v>60.888300000000001</v>
      </c>
      <c r="AI143" s="22">
        <v>-1.21765E-2</v>
      </c>
      <c r="AJ143" s="22">
        <v>133</v>
      </c>
      <c r="AK143" s="22">
        <v>0.56906100000000004</v>
      </c>
      <c r="AL143">
        <f t="shared" si="30"/>
        <v>12.176499999999999</v>
      </c>
      <c r="AM143">
        <f t="shared" si="31"/>
        <v>6.9377191694999993</v>
      </c>
      <c r="AP143" s="9"/>
      <c r="AQ143" s="22">
        <v>1.13022</v>
      </c>
      <c r="AR143" s="22">
        <v>67.887900000000002</v>
      </c>
      <c r="AS143" s="22">
        <v>-9.4512899999999993E-3</v>
      </c>
      <c r="AT143" s="22">
        <v>133</v>
      </c>
      <c r="AU143" s="22">
        <v>1.1294599999999999</v>
      </c>
      <c r="AV143">
        <f t="shared" si="32"/>
        <v>9.4512900000000002</v>
      </c>
      <c r="AW143">
        <f t="shared" si="33"/>
        <v>10.6820369838</v>
      </c>
      <c r="AX143" s="9"/>
      <c r="AY143" s="22">
        <v>0.56976300000000002</v>
      </c>
      <c r="AZ143" s="22">
        <v>73.164599999999993</v>
      </c>
      <c r="BA143" s="22">
        <v>-1.1987299999999999E-2</v>
      </c>
      <c r="BB143" s="22">
        <v>133</v>
      </c>
      <c r="BC143" s="22">
        <v>0.56909200000000004</v>
      </c>
      <c r="BD143">
        <f t="shared" si="34"/>
        <v>11.987299999999999</v>
      </c>
      <c r="BE143">
        <f t="shared" si="35"/>
        <v>6.8299200098999995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8.0668699999999998</v>
      </c>
      <c r="I144" s="22">
        <v>-9.6588100000000003E-3</v>
      </c>
      <c r="J144" s="22">
        <v>134</v>
      </c>
      <c r="K144" s="22">
        <v>1.1242700000000001</v>
      </c>
      <c r="L144">
        <f t="shared" si="24"/>
        <v>9.6588100000000008</v>
      </c>
      <c r="M144">
        <f t="shared" si="25"/>
        <v>10.867899835800001</v>
      </c>
      <c r="N144" s="9"/>
      <c r="O144" s="22">
        <v>0.57479899999999995</v>
      </c>
      <c r="P144" s="22">
        <v>47.542099999999998</v>
      </c>
      <c r="Q144" s="22">
        <v>-1.2600699999999999E-2</v>
      </c>
      <c r="R144" s="22">
        <v>134</v>
      </c>
      <c r="S144" s="22">
        <v>0.57418800000000003</v>
      </c>
      <c r="T144">
        <f t="shared" si="26"/>
        <v>12.6007</v>
      </c>
      <c r="U144">
        <f t="shared" si="27"/>
        <v>7.2428697592999995</v>
      </c>
      <c r="X144" s="9"/>
      <c r="Y144" s="22">
        <v>1.1251800000000001</v>
      </c>
      <c r="Z144" s="22">
        <v>55.3538</v>
      </c>
      <c r="AA144" s="22">
        <v>-9.8174999999999998E-3</v>
      </c>
      <c r="AB144" s="22">
        <v>134</v>
      </c>
      <c r="AC144" s="22">
        <v>1.1239600000000001</v>
      </c>
      <c r="AD144">
        <f t="shared" si="28"/>
        <v>9.817499999999999</v>
      </c>
      <c r="AE144">
        <f t="shared" si="29"/>
        <v>11.046454649999999</v>
      </c>
      <c r="AF144" s="9"/>
      <c r="AG144" s="22">
        <v>0.57479899999999995</v>
      </c>
      <c r="AH144" s="22">
        <v>60.898400000000002</v>
      </c>
      <c r="AI144" s="22">
        <v>-1.21429E-2</v>
      </c>
      <c r="AJ144" s="22">
        <v>134</v>
      </c>
      <c r="AK144" s="22">
        <v>0.57409699999999997</v>
      </c>
      <c r="AL144">
        <f t="shared" si="30"/>
        <v>12.142899999999999</v>
      </c>
      <c r="AM144">
        <f t="shared" si="31"/>
        <v>6.9797267770999989</v>
      </c>
      <c r="AP144" s="9"/>
      <c r="AQ144" s="22">
        <v>1.1251800000000001</v>
      </c>
      <c r="AR144" s="22">
        <v>67.897999999999996</v>
      </c>
      <c r="AS144" s="22">
        <v>-9.4848599999999995E-3</v>
      </c>
      <c r="AT144" s="22">
        <v>134</v>
      </c>
      <c r="AU144" s="22">
        <v>1.1248800000000001</v>
      </c>
      <c r="AV144">
        <f t="shared" si="32"/>
        <v>9.4848599999999994</v>
      </c>
      <c r="AW144">
        <f t="shared" si="33"/>
        <v>10.6721747748</v>
      </c>
      <c r="AX144" s="9"/>
      <c r="AY144" s="22">
        <v>0.57479899999999995</v>
      </c>
      <c r="AZ144" s="22">
        <v>73.174599999999998</v>
      </c>
      <c r="BA144" s="22">
        <v>-1.19507E-2</v>
      </c>
      <c r="BB144" s="22">
        <v>134</v>
      </c>
      <c r="BC144" s="22">
        <v>0.57409699999999997</v>
      </c>
      <c r="BD144">
        <f t="shared" si="34"/>
        <v>11.950699999999999</v>
      </c>
      <c r="BE144">
        <f t="shared" si="35"/>
        <v>6.8692504092999993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8.0769400000000005</v>
      </c>
      <c r="I145" s="22">
        <v>-9.6923800000000004E-3</v>
      </c>
      <c r="J145" s="22">
        <v>135</v>
      </c>
      <c r="K145" s="22">
        <v>1.11877</v>
      </c>
      <c r="L145">
        <f t="shared" si="24"/>
        <v>9.69238</v>
      </c>
      <c r="M145">
        <f t="shared" si="25"/>
        <v>10.856919457</v>
      </c>
      <c r="N145" s="9"/>
      <c r="O145" s="22">
        <v>0.57983399999999996</v>
      </c>
      <c r="P145" s="22">
        <v>47.552199999999999</v>
      </c>
      <c r="Q145" s="22">
        <v>-1.25641E-2</v>
      </c>
      <c r="R145" s="22">
        <v>135</v>
      </c>
      <c r="S145" s="22">
        <v>0.57910200000000001</v>
      </c>
      <c r="T145">
        <f t="shared" si="26"/>
        <v>12.5641</v>
      </c>
      <c r="U145">
        <f t="shared" si="27"/>
        <v>7.2850923593999992</v>
      </c>
      <c r="X145" s="9"/>
      <c r="Y145" s="22">
        <v>1.12015</v>
      </c>
      <c r="Z145" s="22">
        <v>55.363799999999998</v>
      </c>
      <c r="AA145" s="22">
        <v>-9.8480200000000007E-3</v>
      </c>
      <c r="AB145" s="22">
        <v>135</v>
      </c>
      <c r="AC145" s="22">
        <v>1.1190800000000001</v>
      </c>
      <c r="AD145">
        <f t="shared" si="28"/>
        <v>9.84802</v>
      </c>
      <c r="AE145">
        <f t="shared" si="29"/>
        <v>11.031259603000001</v>
      </c>
      <c r="AF145" s="9"/>
      <c r="AG145" s="22">
        <v>0.57983399999999996</v>
      </c>
      <c r="AH145" s="22">
        <v>60.9084</v>
      </c>
      <c r="AI145" s="22">
        <v>-1.21063E-2</v>
      </c>
      <c r="AJ145" s="22">
        <v>135</v>
      </c>
      <c r="AK145" s="22">
        <v>0.57910200000000001</v>
      </c>
      <c r="AL145">
        <f t="shared" si="30"/>
        <v>12.106300000000001</v>
      </c>
      <c r="AM145">
        <f t="shared" si="31"/>
        <v>7.0196443542000004</v>
      </c>
      <c r="AP145" s="9"/>
      <c r="AQ145" s="22">
        <v>1.12015</v>
      </c>
      <c r="AR145" s="22">
        <v>67.908100000000005</v>
      </c>
      <c r="AS145" s="22">
        <v>-9.5184299999999996E-3</v>
      </c>
      <c r="AT145" s="22">
        <v>135</v>
      </c>
      <c r="AU145" s="22">
        <v>1.1190800000000001</v>
      </c>
      <c r="AV145">
        <f t="shared" si="32"/>
        <v>9.5184300000000004</v>
      </c>
      <c r="AW145">
        <f t="shared" si="33"/>
        <v>10.662069364500001</v>
      </c>
      <c r="AX145" s="9"/>
      <c r="AY145" s="22">
        <v>0.57983399999999996</v>
      </c>
      <c r="AZ145" s="22">
        <v>73.184700000000007</v>
      </c>
      <c r="BA145" s="22">
        <v>-1.19232E-2</v>
      </c>
      <c r="BB145" s="22">
        <v>135</v>
      </c>
      <c r="BC145" s="22">
        <v>0.57919299999999996</v>
      </c>
      <c r="BD145">
        <f t="shared" si="34"/>
        <v>11.9232</v>
      </c>
      <c r="BE145">
        <f t="shared" si="35"/>
        <v>6.9134767487999991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8.0870099999999994</v>
      </c>
      <c r="I146" s="22">
        <v>-9.7259500000000006E-3</v>
      </c>
      <c r="J146" s="22">
        <v>136</v>
      </c>
      <c r="K146" s="22">
        <v>1.1148100000000001</v>
      </c>
      <c r="L146">
        <f t="shared" si="24"/>
        <v>9.725950000000001</v>
      </c>
      <c r="M146">
        <f t="shared" si="25"/>
        <v>10.845504104500002</v>
      </c>
      <c r="N146" s="9"/>
      <c r="O146" s="22">
        <v>0.58486899999999997</v>
      </c>
      <c r="P146" s="22">
        <v>47.5623</v>
      </c>
      <c r="Q146" s="22">
        <v>-1.2533600000000001E-2</v>
      </c>
      <c r="R146" s="22">
        <v>136</v>
      </c>
      <c r="S146" s="22">
        <v>0.58416699999999999</v>
      </c>
      <c r="T146">
        <f t="shared" si="26"/>
        <v>12.5336</v>
      </c>
      <c r="U146">
        <f t="shared" si="27"/>
        <v>7.3305140983999992</v>
      </c>
      <c r="X146" s="9"/>
      <c r="Y146" s="22">
        <v>1.11511</v>
      </c>
      <c r="Z146" s="22">
        <v>55.373899999999999</v>
      </c>
      <c r="AA146" s="22">
        <v>-9.8785399999999999E-3</v>
      </c>
      <c r="AB146" s="22">
        <v>136</v>
      </c>
      <c r="AC146" s="22">
        <v>1.1142000000000001</v>
      </c>
      <c r="AD146">
        <f t="shared" si="28"/>
        <v>9.8785399999999992</v>
      </c>
      <c r="AE146">
        <f t="shared" si="29"/>
        <v>11.015658739399999</v>
      </c>
      <c r="AF146" s="9"/>
      <c r="AG146" s="22">
        <v>0.58486899999999997</v>
      </c>
      <c r="AH146" s="22">
        <v>60.918500000000002</v>
      </c>
      <c r="AI146" s="22">
        <v>-1.2069699999999999E-2</v>
      </c>
      <c r="AJ146" s="22">
        <v>136</v>
      </c>
      <c r="AK146" s="22">
        <v>0.584229</v>
      </c>
      <c r="AL146">
        <f t="shared" si="30"/>
        <v>12.069699999999999</v>
      </c>
      <c r="AM146">
        <f t="shared" si="31"/>
        <v>7.0591933692999991</v>
      </c>
      <c r="AP146" s="9"/>
      <c r="AQ146" s="22">
        <v>1.11511</v>
      </c>
      <c r="AR146" s="22">
        <v>67.918099999999995</v>
      </c>
      <c r="AS146" s="22">
        <v>-9.5550500000000007E-3</v>
      </c>
      <c r="AT146" s="22">
        <v>136</v>
      </c>
      <c r="AU146" s="22">
        <v>1.1142000000000001</v>
      </c>
      <c r="AV146">
        <f t="shared" si="32"/>
        <v>9.5550500000000014</v>
      </c>
      <c r="AW146">
        <f t="shared" si="33"/>
        <v>10.654931805500002</v>
      </c>
      <c r="AX146" s="9"/>
      <c r="AY146" s="22">
        <v>0.58486899999999997</v>
      </c>
      <c r="AZ146" s="22">
        <v>73.194800000000001</v>
      </c>
      <c r="BA146" s="22">
        <v>-1.18835E-2</v>
      </c>
      <c r="BB146" s="22">
        <v>136</v>
      </c>
      <c r="BC146" s="22">
        <v>0.58425899999999997</v>
      </c>
      <c r="BD146">
        <f t="shared" si="34"/>
        <v>11.8835</v>
      </c>
      <c r="BE146">
        <f t="shared" si="35"/>
        <v>6.9502907614999998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8.0970800000000001</v>
      </c>
      <c r="I147" s="22">
        <v>-9.7625699999999999E-3</v>
      </c>
      <c r="J147" s="22">
        <v>137</v>
      </c>
      <c r="K147" s="22">
        <v>1.1084000000000001</v>
      </c>
      <c r="L147">
        <f t="shared" si="24"/>
        <v>9.7625700000000002</v>
      </c>
      <c r="M147">
        <f t="shared" si="25"/>
        <v>10.837233705599999</v>
      </c>
      <c r="N147" s="9"/>
      <c r="O147" s="22">
        <v>0.58990500000000001</v>
      </c>
      <c r="P147" s="22">
        <v>47.572299999999998</v>
      </c>
      <c r="Q147" s="22">
        <v>-1.2506099999999999E-2</v>
      </c>
      <c r="R147" s="22">
        <v>137</v>
      </c>
      <c r="S147" s="22">
        <v>0.58932499999999999</v>
      </c>
      <c r="T147">
        <f t="shared" si="26"/>
        <v>12.5061</v>
      </c>
      <c r="U147">
        <f t="shared" si="27"/>
        <v>7.3774109205</v>
      </c>
      <c r="X147" s="9"/>
      <c r="Y147" s="22">
        <v>1.11008</v>
      </c>
      <c r="Z147" s="22">
        <v>55.384</v>
      </c>
      <c r="AA147" s="22">
        <v>-9.91211E-3</v>
      </c>
      <c r="AB147" s="22">
        <v>137</v>
      </c>
      <c r="AC147" s="22">
        <v>1.1096200000000001</v>
      </c>
      <c r="AD147">
        <f t="shared" si="28"/>
        <v>9.9121100000000002</v>
      </c>
      <c r="AE147">
        <f t="shared" si="29"/>
        <v>11.0032350688</v>
      </c>
      <c r="AF147" s="9"/>
      <c r="AG147" s="22">
        <v>0.58990500000000001</v>
      </c>
      <c r="AH147" s="22">
        <v>60.928600000000003</v>
      </c>
      <c r="AI147" s="22">
        <v>-1.2036099999999999E-2</v>
      </c>
      <c r="AJ147" s="22">
        <v>137</v>
      </c>
      <c r="AK147" s="22">
        <v>0.58929399999999998</v>
      </c>
      <c r="AL147">
        <f t="shared" si="30"/>
        <v>12.036099999999999</v>
      </c>
      <c r="AM147">
        <f t="shared" si="31"/>
        <v>7.1001555705000001</v>
      </c>
      <c r="AP147" s="9"/>
      <c r="AQ147" s="22">
        <v>1.11008</v>
      </c>
      <c r="AR147" s="22">
        <v>67.928200000000004</v>
      </c>
      <c r="AS147" s="22">
        <v>-9.5855699999999999E-3</v>
      </c>
      <c r="AT147" s="22">
        <v>137</v>
      </c>
      <c r="AU147" s="22">
        <v>1.10931</v>
      </c>
      <c r="AV147">
        <f t="shared" si="32"/>
        <v>9.5855700000000006</v>
      </c>
      <c r="AW147">
        <f t="shared" si="33"/>
        <v>10.6407495456</v>
      </c>
      <c r="AX147" s="9"/>
      <c r="AY147" s="22">
        <v>0.58990500000000001</v>
      </c>
      <c r="AZ147" s="22">
        <v>73.204800000000006</v>
      </c>
      <c r="BA147" s="22">
        <v>-1.1843899999999999E-2</v>
      </c>
      <c r="BB147" s="22">
        <v>137</v>
      </c>
      <c r="BC147" s="22">
        <v>0.58926400000000001</v>
      </c>
      <c r="BD147">
        <f t="shared" si="34"/>
        <v>11.8439</v>
      </c>
      <c r="BE147">
        <f t="shared" si="35"/>
        <v>6.9867758295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8.1071500000000007</v>
      </c>
      <c r="I148" s="22">
        <v>-9.7961400000000001E-3</v>
      </c>
      <c r="J148" s="22">
        <v>138</v>
      </c>
      <c r="K148" s="22">
        <v>1.1035200000000001</v>
      </c>
      <c r="L148">
        <f t="shared" si="24"/>
        <v>9.7961399999999994</v>
      </c>
      <c r="M148">
        <f t="shared" si="25"/>
        <v>10.8251265456</v>
      </c>
      <c r="N148" s="9"/>
      <c r="O148" s="22">
        <v>0.59494000000000002</v>
      </c>
      <c r="P148" s="22">
        <v>47.5824</v>
      </c>
      <c r="Q148" s="22">
        <v>-1.24756E-2</v>
      </c>
      <c r="R148" s="22">
        <v>138</v>
      </c>
      <c r="S148" s="22">
        <v>0.59426900000000005</v>
      </c>
      <c r="T148">
        <f t="shared" si="26"/>
        <v>12.4756</v>
      </c>
      <c r="U148">
        <f t="shared" si="27"/>
        <v>7.4222334640000005</v>
      </c>
      <c r="X148" s="9"/>
      <c r="Y148" s="22">
        <v>1.10504</v>
      </c>
      <c r="Z148" s="22">
        <v>55.393999999999998</v>
      </c>
      <c r="AA148" s="22">
        <v>-9.9456800000000001E-3</v>
      </c>
      <c r="AB148" s="22">
        <v>138</v>
      </c>
      <c r="AC148" s="22">
        <v>1.1041300000000001</v>
      </c>
      <c r="AD148">
        <f t="shared" si="28"/>
        <v>9.9456799999999994</v>
      </c>
      <c r="AE148">
        <f t="shared" si="29"/>
        <v>10.9903742272</v>
      </c>
      <c r="AF148" s="9"/>
      <c r="AG148" s="22">
        <v>0.59494000000000002</v>
      </c>
      <c r="AH148" s="22">
        <v>60.938699999999997</v>
      </c>
      <c r="AI148" s="22">
        <v>-1.20026E-2</v>
      </c>
      <c r="AJ148" s="22">
        <v>138</v>
      </c>
      <c r="AK148" s="22">
        <v>0.59433000000000002</v>
      </c>
      <c r="AL148">
        <f t="shared" si="30"/>
        <v>12.002600000000001</v>
      </c>
      <c r="AM148">
        <f t="shared" si="31"/>
        <v>7.1408268440000011</v>
      </c>
      <c r="AP148" s="9"/>
      <c r="AQ148" s="22">
        <v>1.10504</v>
      </c>
      <c r="AR148" s="22">
        <v>67.938299999999998</v>
      </c>
      <c r="AS148" s="22">
        <v>-9.61914E-3</v>
      </c>
      <c r="AT148" s="22">
        <v>138</v>
      </c>
      <c r="AU148" s="22">
        <v>1.1041300000000001</v>
      </c>
      <c r="AV148">
        <f t="shared" si="32"/>
        <v>9.6191399999999998</v>
      </c>
      <c r="AW148">
        <f t="shared" si="33"/>
        <v>10.629534465600001</v>
      </c>
      <c r="AX148" s="9"/>
      <c r="AY148" s="22">
        <v>0.59494000000000002</v>
      </c>
      <c r="AZ148" s="22">
        <v>73.2149</v>
      </c>
      <c r="BA148" s="22">
        <v>-1.1810299999999999E-2</v>
      </c>
      <c r="BB148" s="22">
        <v>138</v>
      </c>
      <c r="BC148" s="22">
        <v>0.59420799999999996</v>
      </c>
      <c r="BD148">
        <f t="shared" si="34"/>
        <v>11.8103</v>
      </c>
      <c r="BE148">
        <f t="shared" si="35"/>
        <v>7.0264198819999999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8.1172199999999997</v>
      </c>
      <c r="I149" s="22">
        <v>-9.8297100000000002E-3</v>
      </c>
      <c r="J149" s="22">
        <v>139</v>
      </c>
      <c r="K149" s="22">
        <v>1.09894</v>
      </c>
      <c r="L149">
        <f t="shared" si="24"/>
        <v>9.8297100000000004</v>
      </c>
      <c r="M149">
        <f t="shared" si="25"/>
        <v>10.812779297100001</v>
      </c>
      <c r="N149" s="9"/>
      <c r="O149" s="22">
        <v>0.59997599999999995</v>
      </c>
      <c r="P149" s="22">
        <v>47.592500000000001</v>
      </c>
      <c r="Q149" s="22">
        <v>-1.2442E-2</v>
      </c>
      <c r="R149" s="22">
        <v>139</v>
      </c>
      <c r="S149" s="22">
        <v>0.59936500000000004</v>
      </c>
      <c r="T149">
        <f t="shared" si="26"/>
        <v>12.442</v>
      </c>
      <c r="U149">
        <f t="shared" si="27"/>
        <v>7.4649013919999998</v>
      </c>
      <c r="X149" s="9"/>
      <c r="Y149" s="22">
        <v>1.1000099999999999</v>
      </c>
      <c r="Z149" s="22">
        <v>55.4041</v>
      </c>
      <c r="AA149" s="22">
        <v>-9.9822999999999995E-3</v>
      </c>
      <c r="AB149" s="22">
        <v>139</v>
      </c>
      <c r="AC149" s="22">
        <v>1.09924</v>
      </c>
      <c r="AD149">
        <f t="shared" si="28"/>
        <v>9.9822999999999986</v>
      </c>
      <c r="AE149">
        <f t="shared" si="29"/>
        <v>10.980629822999997</v>
      </c>
      <c r="AF149" s="9"/>
      <c r="AG149" s="22">
        <v>0.59997599999999995</v>
      </c>
      <c r="AH149" s="22">
        <v>60.948700000000002</v>
      </c>
      <c r="AI149" s="22">
        <v>-1.1969E-2</v>
      </c>
      <c r="AJ149" s="22">
        <v>139</v>
      </c>
      <c r="AK149" s="22">
        <v>0.59930399999999995</v>
      </c>
      <c r="AL149">
        <f t="shared" si="30"/>
        <v>11.969000000000001</v>
      </c>
      <c r="AM149">
        <f t="shared" si="31"/>
        <v>7.181112744</v>
      </c>
      <c r="AP149" s="9"/>
      <c r="AQ149" s="22">
        <v>1.1000099999999999</v>
      </c>
      <c r="AR149" s="22">
        <v>67.948400000000007</v>
      </c>
      <c r="AS149" s="22">
        <v>-9.6527100000000001E-3</v>
      </c>
      <c r="AT149" s="22">
        <v>139</v>
      </c>
      <c r="AU149" s="22">
        <v>1.09894</v>
      </c>
      <c r="AV149">
        <f t="shared" si="32"/>
        <v>9.6527100000000008</v>
      </c>
      <c r="AW149">
        <f t="shared" si="33"/>
        <v>10.618077527100001</v>
      </c>
      <c r="AX149" s="9"/>
      <c r="AY149" s="22">
        <v>0.59997599999999995</v>
      </c>
      <c r="AZ149" s="22">
        <v>73.224999999999994</v>
      </c>
      <c r="BA149" s="22">
        <v>-1.17737E-2</v>
      </c>
      <c r="BB149" s="22">
        <v>139</v>
      </c>
      <c r="BC149" s="22">
        <v>0.59936500000000004</v>
      </c>
      <c r="BD149">
        <f t="shared" si="34"/>
        <v>11.7737</v>
      </c>
      <c r="BE149">
        <f t="shared" si="35"/>
        <v>7.0639374311999994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8.1272900000000003</v>
      </c>
      <c r="I150" s="22">
        <v>-9.8632800000000003E-3</v>
      </c>
      <c r="J150" s="22">
        <v>140</v>
      </c>
      <c r="K150" s="22">
        <v>1.09406</v>
      </c>
      <c r="L150">
        <f t="shared" si="24"/>
        <v>9.8632799999999996</v>
      </c>
      <c r="M150">
        <f t="shared" si="25"/>
        <v>10.7999957016</v>
      </c>
      <c r="N150" s="9"/>
      <c r="O150" s="22">
        <v>0.60501099999999997</v>
      </c>
      <c r="P150" s="22">
        <v>47.602499999999999</v>
      </c>
      <c r="Q150" s="22">
        <v>-1.24084E-2</v>
      </c>
      <c r="R150" s="22">
        <v>140</v>
      </c>
      <c r="S150" s="22">
        <v>0.60430899999999999</v>
      </c>
      <c r="T150">
        <f t="shared" si="26"/>
        <v>12.4084</v>
      </c>
      <c r="U150">
        <f t="shared" si="27"/>
        <v>7.5072184923999998</v>
      </c>
      <c r="X150" s="9"/>
      <c r="Y150" s="22">
        <v>1.09497</v>
      </c>
      <c r="Z150" s="22">
        <v>55.414200000000001</v>
      </c>
      <c r="AA150" s="22">
        <v>-1.0012800000000001E-2</v>
      </c>
      <c r="AB150" s="22">
        <v>140</v>
      </c>
      <c r="AC150" s="22">
        <v>1.09436</v>
      </c>
      <c r="AD150">
        <f t="shared" si="28"/>
        <v>10.0128</v>
      </c>
      <c r="AE150">
        <f t="shared" si="29"/>
        <v>10.963715616</v>
      </c>
      <c r="AF150" s="9"/>
      <c r="AG150" s="22">
        <v>0.60501099999999997</v>
      </c>
      <c r="AH150" s="22">
        <v>60.958799999999997</v>
      </c>
      <c r="AI150" s="22">
        <v>-1.1932399999999999E-2</v>
      </c>
      <c r="AJ150" s="22">
        <v>140</v>
      </c>
      <c r="AK150" s="22">
        <v>0.60430899999999999</v>
      </c>
      <c r="AL150">
        <f t="shared" si="30"/>
        <v>11.932399999999999</v>
      </c>
      <c r="AM150">
        <f t="shared" si="31"/>
        <v>7.219233256399999</v>
      </c>
      <c r="AP150" s="9"/>
      <c r="AQ150" s="22">
        <v>1.09497</v>
      </c>
      <c r="AR150" s="22">
        <v>67.958399999999997</v>
      </c>
      <c r="AS150" s="22">
        <v>-9.6862800000000002E-3</v>
      </c>
      <c r="AT150" s="22">
        <v>140</v>
      </c>
      <c r="AU150" s="22">
        <v>1.09406</v>
      </c>
      <c r="AV150">
        <f t="shared" si="32"/>
        <v>9.68628</v>
      </c>
      <c r="AW150">
        <f t="shared" si="33"/>
        <v>10.6061860116</v>
      </c>
      <c r="AX150" s="9"/>
      <c r="AY150" s="22">
        <v>0.60501099999999997</v>
      </c>
      <c r="AZ150" s="22">
        <v>73.234999999999999</v>
      </c>
      <c r="BA150" s="22">
        <v>-1.17371E-2</v>
      </c>
      <c r="BB150" s="22">
        <v>140</v>
      </c>
      <c r="BC150" s="22">
        <v>0.60430899999999999</v>
      </c>
      <c r="BD150">
        <f t="shared" si="34"/>
        <v>11.7371</v>
      </c>
      <c r="BE150">
        <f t="shared" si="35"/>
        <v>7.1010746080999994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8.1373599999999993</v>
      </c>
      <c r="I151" s="22">
        <v>-9.8998999999999997E-3</v>
      </c>
      <c r="J151" s="22">
        <v>141</v>
      </c>
      <c r="K151" s="22">
        <v>1.08887</v>
      </c>
      <c r="L151">
        <f t="shared" si="24"/>
        <v>9.8998999999999988</v>
      </c>
      <c r="M151">
        <f t="shared" si="25"/>
        <v>10.790297005999998</v>
      </c>
      <c r="N151" s="9"/>
      <c r="O151" s="22">
        <v>0.61004599999999998</v>
      </c>
      <c r="P151" s="22">
        <v>47.6126</v>
      </c>
      <c r="Q151" s="22">
        <v>-1.2377900000000001E-2</v>
      </c>
      <c r="R151" s="22">
        <v>141</v>
      </c>
      <c r="S151" s="22">
        <v>0.609406</v>
      </c>
      <c r="T151">
        <f t="shared" si="26"/>
        <v>12.3779</v>
      </c>
      <c r="U151">
        <f t="shared" si="27"/>
        <v>7.5510883833999998</v>
      </c>
      <c r="X151" s="9"/>
      <c r="Y151" s="22">
        <v>1.0899399999999999</v>
      </c>
      <c r="Z151" s="22">
        <v>55.424199999999999</v>
      </c>
      <c r="AA151" s="22">
        <v>-1.00494E-2</v>
      </c>
      <c r="AB151" s="22">
        <v>141</v>
      </c>
      <c r="AC151" s="22">
        <v>1.08856</v>
      </c>
      <c r="AD151">
        <f t="shared" si="28"/>
        <v>10.0494</v>
      </c>
      <c r="AE151">
        <f t="shared" si="29"/>
        <v>10.953243036</v>
      </c>
      <c r="AF151" s="9"/>
      <c r="AG151" s="22">
        <v>0.61004599999999998</v>
      </c>
      <c r="AH151" s="22">
        <v>60.968899999999998</v>
      </c>
      <c r="AI151" s="22">
        <v>-1.18896E-2</v>
      </c>
      <c r="AJ151" s="22">
        <v>141</v>
      </c>
      <c r="AK151" s="22">
        <v>0.609375</v>
      </c>
      <c r="AL151">
        <f t="shared" si="30"/>
        <v>11.8896</v>
      </c>
      <c r="AM151">
        <f t="shared" si="31"/>
        <v>7.2532029215999998</v>
      </c>
      <c r="AP151" s="9"/>
      <c r="AQ151" s="22">
        <v>1.0899399999999999</v>
      </c>
      <c r="AR151" s="22">
        <v>67.968500000000006</v>
      </c>
      <c r="AS151" s="22">
        <v>-9.7198500000000004E-3</v>
      </c>
      <c r="AT151" s="22">
        <v>141</v>
      </c>
      <c r="AU151" s="22">
        <v>1.08948</v>
      </c>
      <c r="AV151">
        <f t="shared" si="32"/>
        <v>9.719850000000001</v>
      </c>
      <c r="AW151">
        <f t="shared" si="33"/>
        <v>10.594053309</v>
      </c>
      <c r="AX151" s="9"/>
      <c r="AY151" s="22">
        <v>0.61004599999999998</v>
      </c>
      <c r="AZ151" s="22">
        <v>73.245099999999994</v>
      </c>
      <c r="BA151" s="22">
        <v>-1.17126E-2</v>
      </c>
      <c r="BB151" s="22">
        <v>141</v>
      </c>
      <c r="BC151" s="22">
        <v>0.60946699999999998</v>
      </c>
      <c r="BD151">
        <f t="shared" si="34"/>
        <v>11.7126</v>
      </c>
      <c r="BE151">
        <f t="shared" si="35"/>
        <v>7.1452247795999995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8.1474299999999999</v>
      </c>
      <c r="I152" s="22">
        <v>-9.9334699999999998E-3</v>
      </c>
      <c r="J152" s="22">
        <v>142</v>
      </c>
      <c r="K152" s="22">
        <v>1.0833699999999999</v>
      </c>
      <c r="L152">
        <f t="shared" si="24"/>
        <v>9.9334699999999998</v>
      </c>
      <c r="M152">
        <f t="shared" si="25"/>
        <v>10.776821603</v>
      </c>
      <c r="N152" s="9"/>
      <c r="O152" s="22">
        <v>0.61508200000000002</v>
      </c>
      <c r="P152" s="22">
        <v>47.622700000000002</v>
      </c>
      <c r="Q152" s="22">
        <v>-1.23444E-2</v>
      </c>
      <c r="R152" s="22">
        <v>142</v>
      </c>
      <c r="S152" s="22">
        <v>0.61438000000000004</v>
      </c>
      <c r="T152">
        <f t="shared" si="26"/>
        <v>12.3444</v>
      </c>
      <c r="U152">
        <f t="shared" si="27"/>
        <v>7.5928182408000007</v>
      </c>
      <c r="X152" s="9"/>
      <c r="Y152" s="22">
        <v>1.0849</v>
      </c>
      <c r="Z152" s="22">
        <v>55.4343</v>
      </c>
      <c r="AA152" s="22">
        <v>-1.0086100000000001E-2</v>
      </c>
      <c r="AB152" s="22">
        <v>142</v>
      </c>
      <c r="AC152" s="22">
        <v>1.0839799999999999</v>
      </c>
      <c r="AD152">
        <f t="shared" si="28"/>
        <v>10.0861</v>
      </c>
      <c r="AE152">
        <f t="shared" si="29"/>
        <v>10.94240989</v>
      </c>
      <c r="AF152" s="9"/>
      <c r="AG152" s="22">
        <v>0.61508200000000002</v>
      </c>
      <c r="AH152" s="22">
        <v>60.978900000000003</v>
      </c>
      <c r="AI152" s="22">
        <v>-1.1859099999999999E-2</v>
      </c>
      <c r="AJ152" s="22">
        <v>142</v>
      </c>
      <c r="AK152" s="22">
        <v>0.61444100000000001</v>
      </c>
      <c r="AL152">
        <f t="shared" si="30"/>
        <v>11.8591</v>
      </c>
      <c r="AM152">
        <f t="shared" si="31"/>
        <v>7.2943189461999998</v>
      </c>
      <c r="AP152" s="9"/>
      <c r="AQ152" s="22">
        <v>1.0849</v>
      </c>
      <c r="AR152" s="22">
        <v>67.9786</v>
      </c>
      <c r="AS152" s="22">
        <v>-9.7534200000000005E-3</v>
      </c>
      <c r="AT152" s="22">
        <v>142</v>
      </c>
      <c r="AU152" s="22">
        <v>1.0839799999999999</v>
      </c>
      <c r="AV152">
        <f t="shared" si="32"/>
        <v>9.7534200000000002</v>
      </c>
      <c r="AW152">
        <f t="shared" si="33"/>
        <v>10.581485358</v>
      </c>
      <c r="AX152" s="9"/>
      <c r="AY152" s="22">
        <v>0.61508200000000002</v>
      </c>
      <c r="AZ152" s="22">
        <v>73.255200000000002</v>
      </c>
      <c r="BA152" s="22">
        <v>-1.16791E-2</v>
      </c>
      <c r="BB152" s="22">
        <v>142</v>
      </c>
      <c r="BC152" s="22">
        <v>0.61444100000000001</v>
      </c>
      <c r="BD152">
        <f t="shared" si="34"/>
        <v>11.6791</v>
      </c>
      <c r="BE152">
        <f t="shared" si="35"/>
        <v>7.1836041862000002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8.1575100000000003</v>
      </c>
      <c r="I153" s="22">
        <v>-9.9639900000000007E-3</v>
      </c>
      <c r="J153" s="22">
        <v>143</v>
      </c>
      <c r="K153" s="22">
        <v>1.0788</v>
      </c>
      <c r="L153">
        <f t="shared" si="24"/>
        <v>9.9639900000000008</v>
      </c>
      <c r="M153">
        <f t="shared" si="25"/>
        <v>10.759714241400001</v>
      </c>
      <c r="N153" s="9"/>
      <c r="O153" s="22">
        <v>0.62011700000000003</v>
      </c>
      <c r="P153" s="22">
        <v>47.6327</v>
      </c>
      <c r="Q153" s="22">
        <v>-1.23108E-2</v>
      </c>
      <c r="R153" s="22">
        <v>143</v>
      </c>
      <c r="S153" s="22">
        <v>0.61941500000000005</v>
      </c>
      <c r="T153">
        <f t="shared" si="26"/>
        <v>12.3108</v>
      </c>
      <c r="U153">
        <f t="shared" si="27"/>
        <v>7.6341363636000006</v>
      </c>
      <c r="X153" s="9"/>
      <c r="Y153" s="22">
        <v>1.07986</v>
      </c>
      <c r="Z153" s="22">
        <v>55.444400000000002</v>
      </c>
      <c r="AA153" s="22">
        <v>-1.0119599999999999E-2</v>
      </c>
      <c r="AB153" s="22">
        <v>143</v>
      </c>
      <c r="AC153" s="22">
        <v>1.0784899999999999</v>
      </c>
      <c r="AD153">
        <f t="shared" si="28"/>
        <v>10.1196</v>
      </c>
      <c r="AE153">
        <f t="shared" si="29"/>
        <v>10.927751256000001</v>
      </c>
      <c r="AF153" s="9"/>
      <c r="AG153" s="22">
        <v>0.62011700000000003</v>
      </c>
      <c r="AH153" s="22">
        <v>60.988999999999997</v>
      </c>
      <c r="AI153" s="22">
        <v>-1.18286E-2</v>
      </c>
      <c r="AJ153" s="22">
        <v>143</v>
      </c>
      <c r="AK153" s="22">
        <v>0.61950700000000003</v>
      </c>
      <c r="AL153">
        <f t="shared" si="30"/>
        <v>11.8286</v>
      </c>
      <c r="AM153">
        <f t="shared" si="31"/>
        <v>7.3351159462000002</v>
      </c>
      <c r="AP153" s="9"/>
      <c r="AQ153" s="22">
        <v>1.07986</v>
      </c>
      <c r="AR153" s="22">
        <v>67.988600000000005</v>
      </c>
      <c r="AS153" s="22">
        <v>-9.7869900000000006E-3</v>
      </c>
      <c r="AT153" s="22">
        <v>143</v>
      </c>
      <c r="AU153" s="22">
        <v>1.07819</v>
      </c>
      <c r="AV153">
        <f t="shared" si="32"/>
        <v>9.7869900000000012</v>
      </c>
      <c r="AW153">
        <f t="shared" si="33"/>
        <v>10.568579021400001</v>
      </c>
      <c r="AX153" s="9"/>
      <c r="AY153" s="22">
        <v>0.62011700000000003</v>
      </c>
      <c r="AZ153" s="22">
        <v>73.265299999999996</v>
      </c>
      <c r="BA153" s="22">
        <v>-1.16455E-2</v>
      </c>
      <c r="BB153" s="22">
        <v>143</v>
      </c>
      <c r="BC153" s="22">
        <v>0.61950700000000003</v>
      </c>
      <c r="BD153">
        <f t="shared" si="34"/>
        <v>11.6455</v>
      </c>
      <c r="BE153">
        <f t="shared" si="35"/>
        <v>7.2215725235000008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8.1675799999999992</v>
      </c>
      <c r="I154" s="22">
        <v>-9.9945099999999999E-3</v>
      </c>
      <c r="J154" s="22">
        <v>144</v>
      </c>
      <c r="K154" s="22">
        <v>1.0745199999999999</v>
      </c>
      <c r="L154">
        <f t="shared" si="24"/>
        <v>9.99451</v>
      </c>
      <c r="M154">
        <f t="shared" si="25"/>
        <v>10.7423991833</v>
      </c>
      <c r="N154" s="9"/>
      <c r="O154" s="22">
        <v>0.62515299999999996</v>
      </c>
      <c r="P154" s="22">
        <v>47.642800000000001</v>
      </c>
      <c r="Q154" s="22">
        <v>-1.22772E-2</v>
      </c>
      <c r="R154" s="22">
        <v>144</v>
      </c>
      <c r="S154" s="22">
        <v>0.62451199999999996</v>
      </c>
      <c r="T154">
        <f t="shared" si="26"/>
        <v>12.277200000000001</v>
      </c>
      <c r="U154">
        <f t="shared" si="27"/>
        <v>7.6751284116000003</v>
      </c>
      <c r="X154" s="9"/>
      <c r="Y154" s="22">
        <v>1.07483</v>
      </c>
      <c r="Z154" s="22">
        <v>55.454500000000003</v>
      </c>
      <c r="AA154" s="22">
        <v>-1.0153199999999999E-2</v>
      </c>
      <c r="AB154" s="22">
        <v>144</v>
      </c>
      <c r="AC154" s="22">
        <v>1.07422</v>
      </c>
      <c r="AD154">
        <f t="shared" si="28"/>
        <v>10.1532</v>
      </c>
      <c r="AE154">
        <f t="shared" si="29"/>
        <v>10.912963955999999</v>
      </c>
      <c r="AF154" s="9"/>
      <c r="AG154" s="22">
        <v>0.62515299999999996</v>
      </c>
      <c r="AH154" s="22">
        <v>60.999099999999999</v>
      </c>
      <c r="AI154" s="22">
        <v>-1.18011E-2</v>
      </c>
      <c r="AJ154" s="22">
        <v>144</v>
      </c>
      <c r="AK154" s="22">
        <v>0.62451199999999996</v>
      </c>
      <c r="AL154">
        <f t="shared" si="30"/>
        <v>11.8011</v>
      </c>
      <c r="AM154">
        <f t="shared" si="31"/>
        <v>7.3774930682999997</v>
      </c>
      <c r="AP154" s="9"/>
      <c r="AQ154" s="22">
        <v>1.07483</v>
      </c>
      <c r="AR154" s="22">
        <v>67.998699999999999</v>
      </c>
      <c r="AS154" s="22">
        <v>-9.8174999999999998E-3</v>
      </c>
      <c r="AT154" s="22">
        <v>144</v>
      </c>
      <c r="AU154" s="22">
        <v>1.07483</v>
      </c>
      <c r="AV154">
        <f t="shared" si="32"/>
        <v>9.817499999999999</v>
      </c>
      <c r="AW154">
        <f t="shared" si="33"/>
        <v>10.552143524999998</v>
      </c>
      <c r="AX154" s="9"/>
      <c r="AY154" s="22">
        <v>0.62515299999999996</v>
      </c>
      <c r="AZ154" s="22">
        <v>73.275300000000001</v>
      </c>
      <c r="BA154" s="22">
        <v>-1.16119E-2</v>
      </c>
      <c r="BB154" s="22">
        <v>144</v>
      </c>
      <c r="BC154" s="22">
        <v>0.62454200000000004</v>
      </c>
      <c r="BD154">
        <f t="shared" si="34"/>
        <v>11.6119</v>
      </c>
      <c r="BE154">
        <f t="shared" si="35"/>
        <v>7.2592141206999994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8.1776499999999999</v>
      </c>
      <c r="I155" s="22">
        <v>-1.0024999999999999E-2</v>
      </c>
      <c r="J155" s="22">
        <v>145</v>
      </c>
      <c r="K155" s="22">
        <v>1.06873</v>
      </c>
      <c r="L155">
        <f t="shared" si="24"/>
        <v>10.024999999999999</v>
      </c>
      <c r="M155">
        <f t="shared" si="25"/>
        <v>10.72464475</v>
      </c>
      <c r="N155" s="9"/>
      <c r="O155" s="22">
        <v>0.63018799999999997</v>
      </c>
      <c r="P155" s="22">
        <v>47.652900000000002</v>
      </c>
      <c r="Q155" s="22">
        <v>-1.22375E-2</v>
      </c>
      <c r="R155" s="22">
        <v>145</v>
      </c>
      <c r="S155" s="22">
        <v>0.62951699999999999</v>
      </c>
      <c r="T155">
        <f t="shared" si="26"/>
        <v>12.237500000000001</v>
      </c>
      <c r="U155">
        <f t="shared" si="27"/>
        <v>7.7119256500000004</v>
      </c>
      <c r="X155" s="9"/>
      <c r="Y155" s="22">
        <v>1.06979</v>
      </c>
      <c r="Z155" s="22">
        <v>55.464500000000001</v>
      </c>
      <c r="AA155" s="22">
        <v>-1.0186799999999999E-2</v>
      </c>
      <c r="AB155" s="22">
        <v>145</v>
      </c>
      <c r="AC155" s="22">
        <v>1.06873</v>
      </c>
      <c r="AD155">
        <f t="shared" si="28"/>
        <v>10.1868</v>
      </c>
      <c r="AE155">
        <f t="shared" si="29"/>
        <v>10.897736772</v>
      </c>
      <c r="AF155" s="9"/>
      <c r="AG155" s="22">
        <v>0.63018799999999997</v>
      </c>
      <c r="AH155" s="22">
        <v>61.0092</v>
      </c>
      <c r="AI155" s="22">
        <v>-1.1770600000000001E-2</v>
      </c>
      <c r="AJ155" s="22">
        <v>145</v>
      </c>
      <c r="AK155" s="22">
        <v>0.62948599999999999</v>
      </c>
      <c r="AL155">
        <f t="shared" si="30"/>
        <v>11.770600000000002</v>
      </c>
      <c r="AM155">
        <f t="shared" si="31"/>
        <v>7.4176908728000006</v>
      </c>
      <c r="AP155" s="9"/>
      <c r="AQ155" s="22">
        <v>1.06979</v>
      </c>
      <c r="AR155" s="22">
        <v>68.008799999999994</v>
      </c>
      <c r="AS155" s="22">
        <v>-9.85107E-3</v>
      </c>
      <c r="AT155" s="22">
        <v>145</v>
      </c>
      <c r="AU155" s="22">
        <v>1.0684199999999999</v>
      </c>
      <c r="AV155">
        <f t="shared" si="32"/>
        <v>9.85107</v>
      </c>
      <c r="AW155">
        <f t="shared" si="33"/>
        <v>10.538576175299999</v>
      </c>
      <c r="AX155" s="9"/>
      <c r="AY155" s="22">
        <v>0.63018799999999997</v>
      </c>
      <c r="AZ155" s="22">
        <v>73.285399999999996</v>
      </c>
      <c r="BA155" s="22">
        <v>-1.15814E-2</v>
      </c>
      <c r="BB155" s="22">
        <v>145</v>
      </c>
      <c r="BC155" s="22">
        <v>0.62960799999999995</v>
      </c>
      <c r="BD155">
        <f t="shared" si="34"/>
        <v>11.5814</v>
      </c>
      <c r="BE155">
        <f t="shared" si="35"/>
        <v>7.2984593031999996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8.1877200000000006</v>
      </c>
      <c r="I156" s="22">
        <v>-1.00555E-2</v>
      </c>
      <c r="J156" s="22">
        <v>146</v>
      </c>
      <c r="K156" s="22">
        <v>1.0635399999999999</v>
      </c>
      <c r="L156">
        <f t="shared" si="24"/>
        <v>10.0555</v>
      </c>
      <c r="M156">
        <f t="shared" si="25"/>
        <v>10.70669418</v>
      </c>
      <c r="N156" s="9"/>
      <c r="O156" s="22">
        <v>0.63522299999999998</v>
      </c>
      <c r="P156" s="22">
        <v>47.662999999999997</v>
      </c>
      <c r="Q156" s="22">
        <v>-1.2204E-2</v>
      </c>
      <c r="R156" s="22">
        <v>146</v>
      </c>
      <c r="S156" s="22">
        <v>0.63458300000000001</v>
      </c>
      <c r="T156">
        <f t="shared" si="26"/>
        <v>12.203999999999999</v>
      </c>
      <c r="U156">
        <f t="shared" si="27"/>
        <v>7.7522614919999988</v>
      </c>
      <c r="X156" s="9"/>
      <c r="Y156" s="22">
        <v>1.0647599999999999</v>
      </c>
      <c r="Z156" s="22">
        <v>55.474600000000002</v>
      </c>
      <c r="AA156" s="22">
        <v>-1.0223400000000001E-2</v>
      </c>
      <c r="AB156" s="22">
        <v>146</v>
      </c>
      <c r="AC156" s="22">
        <v>1.0635399999999999</v>
      </c>
      <c r="AD156">
        <f t="shared" si="28"/>
        <v>10.2234</v>
      </c>
      <c r="AE156">
        <f t="shared" si="29"/>
        <v>10.885467383999998</v>
      </c>
      <c r="AF156" s="9"/>
      <c r="AG156" s="22">
        <v>0.63522299999999998</v>
      </c>
      <c r="AH156" s="22">
        <v>61.019199999999998</v>
      </c>
      <c r="AI156" s="22">
        <v>-1.1731E-2</v>
      </c>
      <c r="AJ156" s="22">
        <v>146</v>
      </c>
      <c r="AK156" s="22">
        <v>0.634552</v>
      </c>
      <c r="AL156">
        <f t="shared" si="30"/>
        <v>11.731</v>
      </c>
      <c r="AM156">
        <f t="shared" si="31"/>
        <v>7.4518010129999999</v>
      </c>
      <c r="AP156" s="9"/>
      <c r="AQ156" s="22">
        <v>1.0647599999999999</v>
      </c>
      <c r="AR156" s="22">
        <v>68.018900000000002</v>
      </c>
      <c r="AS156" s="22">
        <v>-9.8785399999999999E-3</v>
      </c>
      <c r="AT156" s="22">
        <v>146</v>
      </c>
      <c r="AU156" s="22">
        <v>1.0635399999999999</v>
      </c>
      <c r="AV156">
        <f t="shared" si="32"/>
        <v>9.8785399999999992</v>
      </c>
      <c r="AW156">
        <f t="shared" si="33"/>
        <v>10.518274250399999</v>
      </c>
      <c r="AX156" s="9"/>
      <c r="AY156" s="22">
        <v>0.63522299999999998</v>
      </c>
      <c r="AZ156" s="22">
        <v>73.295500000000004</v>
      </c>
      <c r="BA156" s="22">
        <v>-1.1550899999999999E-2</v>
      </c>
      <c r="BB156" s="22">
        <v>146</v>
      </c>
      <c r="BC156" s="22">
        <v>0.634552</v>
      </c>
      <c r="BD156">
        <f t="shared" si="34"/>
        <v>11.550899999999999</v>
      </c>
      <c r="BE156">
        <f t="shared" si="35"/>
        <v>7.337397350699999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8.1977899999999995</v>
      </c>
      <c r="I157" s="22">
        <v>-1.0086100000000001E-2</v>
      </c>
      <c r="J157" s="22">
        <v>147</v>
      </c>
      <c r="K157" s="22">
        <v>1.0589599999999999</v>
      </c>
      <c r="L157">
        <f t="shared" si="24"/>
        <v>10.0861</v>
      </c>
      <c r="M157">
        <f t="shared" si="25"/>
        <v>10.688441892</v>
      </c>
      <c r="N157" s="9"/>
      <c r="O157" s="22">
        <v>0.64025900000000002</v>
      </c>
      <c r="P157" s="22">
        <v>47.673000000000002</v>
      </c>
      <c r="Q157" s="22">
        <v>-1.21674E-2</v>
      </c>
      <c r="R157" s="22">
        <v>147</v>
      </c>
      <c r="S157" s="22">
        <v>0.63961800000000002</v>
      </c>
      <c r="T157">
        <f t="shared" si="26"/>
        <v>12.167400000000001</v>
      </c>
      <c r="U157">
        <f t="shared" si="27"/>
        <v>7.7902873566000004</v>
      </c>
      <c r="X157" s="9"/>
      <c r="Y157" s="22">
        <v>1.05972</v>
      </c>
      <c r="Z157" s="22">
        <v>55.484699999999997</v>
      </c>
      <c r="AA157" s="22">
        <v>-1.0257E-2</v>
      </c>
      <c r="AB157" s="22">
        <v>147</v>
      </c>
      <c r="AC157" s="22">
        <v>1.0583499999999999</v>
      </c>
      <c r="AD157">
        <f t="shared" si="28"/>
        <v>10.257</v>
      </c>
      <c r="AE157">
        <f t="shared" si="29"/>
        <v>10.86954804</v>
      </c>
      <c r="AF157" s="9"/>
      <c r="AG157" s="22">
        <v>0.64025900000000002</v>
      </c>
      <c r="AH157" s="22">
        <v>61.029299999999999</v>
      </c>
      <c r="AI157" s="22">
        <v>-1.16913E-2</v>
      </c>
      <c r="AJ157" s="22">
        <v>147</v>
      </c>
      <c r="AK157" s="22">
        <v>0.63964799999999999</v>
      </c>
      <c r="AL157">
        <f t="shared" si="30"/>
        <v>11.6913</v>
      </c>
      <c r="AM157">
        <f t="shared" si="31"/>
        <v>7.4854600467000001</v>
      </c>
      <c r="AP157" s="9"/>
      <c r="AQ157" s="22">
        <v>1.05972</v>
      </c>
      <c r="AR157" s="22">
        <v>68.028899999999993</v>
      </c>
      <c r="AS157" s="22">
        <v>-9.91211E-3</v>
      </c>
      <c r="AT157" s="22">
        <v>147</v>
      </c>
      <c r="AU157" s="22">
        <v>1.0589599999999999</v>
      </c>
      <c r="AV157">
        <f t="shared" si="32"/>
        <v>9.9121100000000002</v>
      </c>
      <c r="AW157">
        <f t="shared" si="33"/>
        <v>10.5040612092</v>
      </c>
      <c r="AX157" s="9"/>
      <c r="AY157" s="22">
        <v>0.64025900000000002</v>
      </c>
      <c r="AZ157" s="22">
        <v>73.305499999999995</v>
      </c>
      <c r="BA157" s="22">
        <v>-1.15204E-2</v>
      </c>
      <c r="BB157" s="22">
        <v>147</v>
      </c>
      <c r="BC157" s="22">
        <v>0.63961800000000002</v>
      </c>
      <c r="BD157">
        <f t="shared" si="34"/>
        <v>11.5204</v>
      </c>
      <c r="BE157">
        <f t="shared" si="35"/>
        <v>7.3760397836000005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8.2078600000000002</v>
      </c>
      <c r="I158" s="22">
        <v>-1.0119599999999999E-2</v>
      </c>
      <c r="J158" s="22">
        <v>148</v>
      </c>
      <c r="K158" s="22">
        <v>1.0531600000000001</v>
      </c>
      <c r="L158">
        <f t="shared" si="24"/>
        <v>10.1196</v>
      </c>
      <c r="M158">
        <f t="shared" si="25"/>
        <v>10.673040923999999</v>
      </c>
      <c r="N158" s="9"/>
      <c r="O158" s="22">
        <v>0.64529400000000003</v>
      </c>
      <c r="P158" s="22">
        <v>47.683100000000003</v>
      </c>
      <c r="Q158" s="22">
        <v>-1.21338E-2</v>
      </c>
      <c r="R158" s="22">
        <v>148</v>
      </c>
      <c r="S158" s="22">
        <v>0.64465300000000003</v>
      </c>
      <c r="T158">
        <f t="shared" si="26"/>
        <v>12.133800000000001</v>
      </c>
      <c r="U158">
        <f t="shared" si="27"/>
        <v>7.8298683372000006</v>
      </c>
      <c r="X158" s="9"/>
      <c r="Y158" s="22">
        <v>1.0546899999999999</v>
      </c>
      <c r="Z158" s="22">
        <v>55.494700000000002</v>
      </c>
      <c r="AA158" s="22">
        <v>-1.02875E-2</v>
      </c>
      <c r="AB158" s="22">
        <v>148</v>
      </c>
      <c r="AC158" s="22">
        <v>1.0537700000000001</v>
      </c>
      <c r="AD158">
        <f t="shared" si="28"/>
        <v>10.2875</v>
      </c>
      <c r="AE158">
        <f t="shared" si="29"/>
        <v>10.850123374999999</v>
      </c>
      <c r="AF158" s="9"/>
      <c r="AG158" s="22">
        <v>0.64529400000000003</v>
      </c>
      <c r="AH158" s="22">
        <v>61.039400000000001</v>
      </c>
      <c r="AI158" s="22">
        <v>-1.16486E-2</v>
      </c>
      <c r="AJ158" s="22">
        <v>148</v>
      </c>
      <c r="AK158" s="22">
        <v>0.64471400000000001</v>
      </c>
      <c r="AL158">
        <f t="shared" si="30"/>
        <v>11.6486</v>
      </c>
      <c r="AM158">
        <f t="shared" si="31"/>
        <v>7.5167716884000004</v>
      </c>
      <c r="AP158" s="9"/>
      <c r="AQ158" s="22">
        <v>1.0546899999999999</v>
      </c>
      <c r="AR158" s="22">
        <v>68.039000000000001</v>
      </c>
      <c r="AS158" s="22">
        <v>-9.9426299999999992E-3</v>
      </c>
      <c r="AT158" s="22">
        <v>148</v>
      </c>
      <c r="AU158" s="22">
        <v>1.0540799999999999</v>
      </c>
      <c r="AV158">
        <f t="shared" si="32"/>
        <v>9.9426299999999994</v>
      </c>
      <c r="AW158">
        <f t="shared" si="33"/>
        <v>10.486392434699999</v>
      </c>
      <c r="AX158" s="9"/>
      <c r="AY158" s="22">
        <v>0.64529400000000003</v>
      </c>
      <c r="AZ158" s="22">
        <v>73.315600000000003</v>
      </c>
      <c r="BA158" s="22">
        <v>-1.1483800000000001E-2</v>
      </c>
      <c r="BB158" s="22">
        <v>148</v>
      </c>
      <c r="BC158" s="22">
        <v>0.64471400000000001</v>
      </c>
      <c r="BD158">
        <f t="shared" si="34"/>
        <v>11.4838</v>
      </c>
      <c r="BE158">
        <f t="shared" si="35"/>
        <v>7.4104272372000004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8.2179300000000008</v>
      </c>
      <c r="I159" s="22">
        <v>-1.0147099999999999E-2</v>
      </c>
      <c r="J159" s="22">
        <v>149</v>
      </c>
      <c r="K159" s="22">
        <v>1.0479700000000001</v>
      </c>
      <c r="L159">
        <f t="shared" si="24"/>
        <v>10.1471</v>
      </c>
      <c r="M159">
        <f t="shared" si="25"/>
        <v>10.650903515</v>
      </c>
      <c r="N159" s="9"/>
      <c r="O159" s="22">
        <v>0.65032999999999996</v>
      </c>
      <c r="P159" s="22">
        <v>47.693199999999997</v>
      </c>
      <c r="Q159" s="22">
        <v>-1.2103300000000001E-2</v>
      </c>
      <c r="R159" s="22">
        <v>149</v>
      </c>
      <c r="S159" s="22">
        <v>0.64968899999999996</v>
      </c>
      <c r="T159">
        <f t="shared" si="26"/>
        <v>12.103300000000001</v>
      </c>
      <c r="U159">
        <f t="shared" si="27"/>
        <v>7.8711390889999997</v>
      </c>
      <c r="X159" s="9"/>
      <c r="Y159" s="22">
        <v>1.04965</v>
      </c>
      <c r="Z159" s="22">
        <v>55.504800000000003</v>
      </c>
      <c r="AA159" s="22">
        <v>-1.0318000000000001E-2</v>
      </c>
      <c r="AB159" s="22">
        <v>149</v>
      </c>
      <c r="AC159" s="22">
        <v>1.0482800000000001</v>
      </c>
      <c r="AD159">
        <f t="shared" si="28"/>
        <v>10.318000000000001</v>
      </c>
      <c r="AE159">
        <f t="shared" si="29"/>
        <v>10.830288700000001</v>
      </c>
      <c r="AF159" s="9"/>
      <c r="AG159" s="22">
        <v>0.65032999999999996</v>
      </c>
      <c r="AH159" s="22">
        <v>61.049399999999999</v>
      </c>
      <c r="AI159" s="22">
        <v>-1.16119E-2</v>
      </c>
      <c r="AJ159" s="22">
        <v>149</v>
      </c>
      <c r="AK159" s="22">
        <v>0.64971900000000005</v>
      </c>
      <c r="AL159">
        <f t="shared" si="30"/>
        <v>11.6119</v>
      </c>
      <c r="AM159">
        <f t="shared" si="31"/>
        <v>7.5515669269999997</v>
      </c>
      <c r="AP159" s="9"/>
      <c r="AQ159" s="22">
        <v>1.04965</v>
      </c>
      <c r="AR159" s="22">
        <v>68.049099999999996</v>
      </c>
      <c r="AS159" s="22">
        <v>-9.9792500000000003E-3</v>
      </c>
      <c r="AT159" s="22">
        <v>149</v>
      </c>
      <c r="AU159" s="22">
        <v>1.0485800000000001</v>
      </c>
      <c r="AV159">
        <f t="shared" si="32"/>
        <v>9.9792500000000004</v>
      </c>
      <c r="AW159">
        <f t="shared" si="33"/>
        <v>10.474719762499999</v>
      </c>
      <c r="AX159" s="9"/>
      <c r="AY159" s="22">
        <v>0.65032999999999996</v>
      </c>
      <c r="AZ159" s="22">
        <v>73.325699999999998</v>
      </c>
      <c r="BA159" s="22">
        <v>-1.14471E-2</v>
      </c>
      <c r="BB159" s="22">
        <v>149</v>
      </c>
      <c r="BC159" s="22">
        <v>0.64968899999999996</v>
      </c>
      <c r="BD159">
        <f t="shared" si="34"/>
        <v>11.447100000000001</v>
      </c>
      <c r="BE159">
        <f t="shared" si="35"/>
        <v>7.4443925430000002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8.2279999999999998</v>
      </c>
      <c r="I160" s="22">
        <v>-1.0180700000000001E-2</v>
      </c>
      <c r="J160" s="22">
        <v>150</v>
      </c>
      <c r="K160" s="22">
        <v>1.0437000000000001</v>
      </c>
      <c r="L160">
        <f t="shared" si="24"/>
        <v>10.180700000000002</v>
      </c>
      <c r="M160">
        <f t="shared" si="25"/>
        <v>10.634962834000003</v>
      </c>
      <c r="N160" s="9"/>
      <c r="O160" s="22">
        <v>0.65536499999999998</v>
      </c>
      <c r="P160" s="22">
        <v>47.703200000000002</v>
      </c>
      <c r="Q160" s="22">
        <v>-1.2063600000000001E-2</v>
      </c>
      <c r="R160" s="22">
        <v>150</v>
      </c>
      <c r="S160" s="22">
        <v>0.65478499999999995</v>
      </c>
      <c r="T160">
        <f t="shared" si="26"/>
        <v>12.063600000000001</v>
      </c>
      <c r="U160">
        <f t="shared" si="27"/>
        <v>7.9060612140000002</v>
      </c>
      <c r="X160" s="9"/>
      <c r="Y160" s="22">
        <v>1.0446200000000001</v>
      </c>
      <c r="Z160" s="22">
        <v>55.514899999999997</v>
      </c>
      <c r="AA160" s="22">
        <v>-1.0351600000000001E-2</v>
      </c>
      <c r="AB160" s="22">
        <v>150</v>
      </c>
      <c r="AC160" s="22">
        <v>1.0440100000000001</v>
      </c>
      <c r="AD160">
        <f t="shared" si="28"/>
        <v>10.351600000000001</v>
      </c>
      <c r="AE160">
        <f t="shared" si="29"/>
        <v>10.813488392000002</v>
      </c>
      <c r="AF160" s="9"/>
      <c r="AG160" s="22">
        <v>0.65536499999999998</v>
      </c>
      <c r="AH160" s="22">
        <v>61.0595</v>
      </c>
      <c r="AI160" s="22">
        <v>-1.15753E-2</v>
      </c>
      <c r="AJ160" s="22">
        <v>150</v>
      </c>
      <c r="AK160" s="22">
        <v>0.654694</v>
      </c>
      <c r="AL160">
        <f t="shared" si="30"/>
        <v>11.5753</v>
      </c>
      <c r="AM160">
        <f t="shared" si="31"/>
        <v>7.5860464844999997</v>
      </c>
      <c r="AP160" s="9"/>
      <c r="AQ160" s="22">
        <v>1.0446200000000001</v>
      </c>
      <c r="AR160" s="22">
        <v>68.059100000000001</v>
      </c>
      <c r="AS160" s="22">
        <v>-1.0015899999999999E-2</v>
      </c>
      <c r="AT160" s="22">
        <v>150</v>
      </c>
      <c r="AU160" s="22">
        <v>1.0440100000000001</v>
      </c>
      <c r="AV160">
        <f t="shared" si="32"/>
        <v>10.0159</v>
      </c>
      <c r="AW160">
        <f t="shared" si="33"/>
        <v>10.462809458000001</v>
      </c>
      <c r="AX160" s="9"/>
      <c r="AY160" s="22">
        <v>0.65536499999999998</v>
      </c>
      <c r="AZ160" s="22">
        <v>73.335800000000006</v>
      </c>
      <c r="BA160" s="22">
        <v>-1.1407499999999999E-2</v>
      </c>
      <c r="BB160" s="22">
        <v>150</v>
      </c>
      <c r="BC160" s="22">
        <v>0.65475499999999998</v>
      </c>
      <c r="BD160">
        <f t="shared" si="34"/>
        <v>11.407499999999999</v>
      </c>
      <c r="BE160">
        <f t="shared" si="35"/>
        <v>7.4760762374999992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8.2380700000000004</v>
      </c>
      <c r="I161" s="22">
        <v>-1.02112E-2</v>
      </c>
      <c r="J161" s="22">
        <v>151</v>
      </c>
      <c r="K161" s="22">
        <v>1.03851</v>
      </c>
      <c r="L161">
        <f t="shared" si="24"/>
        <v>10.2112</v>
      </c>
      <c r="M161">
        <f t="shared" si="25"/>
        <v>10.615359295999999</v>
      </c>
      <c r="N161" s="9"/>
      <c r="O161" s="22">
        <v>0.66039999999999999</v>
      </c>
      <c r="P161" s="22">
        <v>47.713299999999997</v>
      </c>
      <c r="Q161" s="22">
        <v>-1.2026999999999999E-2</v>
      </c>
      <c r="R161" s="22">
        <v>151</v>
      </c>
      <c r="S161" s="22">
        <v>0.65969800000000001</v>
      </c>
      <c r="T161">
        <f t="shared" si="26"/>
        <v>12.026999999999999</v>
      </c>
      <c r="U161">
        <f t="shared" si="27"/>
        <v>7.942630799999999</v>
      </c>
      <c r="X161" s="9"/>
      <c r="Y161" s="22">
        <v>1.0395799999999999</v>
      </c>
      <c r="Z161" s="22">
        <v>55.524999999999999</v>
      </c>
      <c r="AA161" s="22">
        <v>-1.03821E-2</v>
      </c>
      <c r="AB161" s="22">
        <v>151</v>
      </c>
      <c r="AC161" s="22">
        <v>1.0382100000000001</v>
      </c>
      <c r="AD161">
        <f t="shared" si="28"/>
        <v>10.382099999999999</v>
      </c>
      <c r="AE161">
        <f t="shared" si="29"/>
        <v>10.793023517999998</v>
      </c>
      <c r="AF161" s="9"/>
      <c r="AG161" s="22">
        <v>0.66039999999999999</v>
      </c>
      <c r="AH161" s="22">
        <v>61.069600000000001</v>
      </c>
      <c r="AI161" s="22">
        <v>-1.15479E-2</v>
      </c>
      <c r="AJ161" s="22">
        <v>151</v>
      </c>
      <c r="AK161" s="22">
        <v>0.65978999999999999</v>
      </c>
      <c r="AL161">
        <f t="shared" si="30"/>
        <v>11.5479</v>
      </c>
      <c r="AM161">
        <f t="shared" si="31"/>
        <v>7.62623316</v>
      </c>
      <c r="AP161" s="9"/>
      <c r="AQ161" s="22">
        <v>1.0395799999999999</v>
      </c>
      <c r="AR161" s="22">
        <v>68.069199999999995</v>
      </c>
      <c r="AS161" s="22">
        <v>-1.00494E-2</v>
      </c>
      <c r="AT161" s="22">
        <v>151</v>
      </c>
      <c r="AU161" s="22">
        <v>1.03851</v>
      </c>
      <c r="AV161">
        <f t="shared" si="32"/>
        <v>10.0494</v>
      </c>
      <c r="AW161">
        <f t="shared" si="33"/>
        <v>10.447155252</v>
      </c>
      <c r="AX161" s="9"/>
      <c r="AY161" s="22">
        <v>0.66039999999999999</v>
      </c>
      <c r="AZ161" s="22">
        <v>73.345799999999997</v>
      </c>
      <c r="BA161" s="22">
        <v>-1.13708E-2</v>
      </c>
      <c r="BB161" s="22">
        <v>151</v>
      </c>
      <c r="BC161" s="22">
        <v>0.65972900000000001</v>
      </c>
      <c r="BD161">
        <f t="shared" si="34"/>
        <v>11.370800000000001</v>
      </c>
      <c r="BE161">
        <f t="shared" si="35"/>
        <v>7.5092763200000006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8.2481399999999994</v>
      </c>
      <c r="I162" s="22">
        <v>-1.0241699999999999E-2</v>
      </c>
      <c r="J162" s="22">
        <v>152</v>
      </c>
      <c r="K162" s="22">
        <v>1.03363</v>
      </c>
      <c r="L162">
        <f t="shared" si="24"/>
        <v>10.2417</v>
      </c>
      <c r="M162">
        <f t="shared" si="25"/>
        <v>10.595550735</v>
      </c>
      <c r="N162" s="9"/>
      <c r="O162" s="22">
        <v>0.66543600000000003</v>
      </c>
      <c r="P162" s="22">
        <v>47.723399999999998</v>
      </c>
      <c r="Q162" s="22">
        <v>-1.19995E-2</v>
      </c>
      <c r="R162" s="22">
        <v>152</v>
      </c>
      <c r="S162" s="22">
        <v>0.66473400000000005</v>
      </c>
      <c r="T162">
        <f t="shared" si="26"/>
        <v>11.999499999999999</v>
      </c>
      <c r="U162">
        <f t="shared" si="27"/>
        <v>7.9848992819999998</v>
      </c>
      <c r="X162" s="9"/>
      <c r="Y162" s="22">
        <v>1.0345500000000001</v>
      </c>
      <c r="Z162" s="22">
        <v>55.534999999999997</v>
      </c>
      <c r="AA162" s="22">
        <v>-1.0415600000000001E-2</v>
      </c>
      <c r="AB162" s="22">
        <v>152</v>
      </c>
      <c r="AC162" s="22">
        <v>1.03363</v>
      </c>
      <c r="AD162">
        <f t="shared" si="28"/>
        <v>10.415600000000001</v>
      </c>
      <c r="AE162">
        <f t="shared" si="29"/>
        <v>10.775458980000002</v>
      </c>
      <c r="AF162" s="9"/>
      <c r="AG162" s="22">
        <v>0.66543600000000003</v>
      </c>
      <c r="AH162" s="22">
        <v>61.079700000000003</v>
      </c>
      <c r="AI162" s="22">
        <v>-1.1511199999999999E-2</v>
      </c>
      <c r="AJ162" s="22">
        <v>152</v>
      </c>
      <c r="AK162" s="22">
        <v>0.66479500000000002</v>
      </c>
      <c r="AL162">
        <f t="shared" si="30"/>
        <v>11.511199999999999</v>
      </c>
      <c r="AM162">
        <f t="shared" si="31"/>
        <v>7.6599668831999992</v>
      </c>
      <c r="AP162" s="9"/>
      <c r="AQ162" s="22">
        <v>1.0345500000000001</v>
      </c>
      <c r="AR162" s="22">
        <v>68.079300000000003</v>
      </c>
      <c r="AS162" s="22">
        <v>-1.0083E-2</v>
      </c>
      <c r="AT162" s="22">
        <v>152</v>
      </c>
      <c r="AU162" s="22">
        <v>1.0333300000000001</v>
      </c>
      <c r="AV162">
        <f t="shared" si="32"/>
        <v>10.083</v>
      </c>
      <c r="AW162">
        <f t="shared" si="33"/>
        <v>10.43136765</v>
      </c>
      <c r="AX162" s="9"/>
      <c r="AY162" s="22">
        <v>0.66543600000000003</v>
      </c>
      <c r="AZ162" s="22">
        <v>73.355900000000005</v>
      </c>
      <c r="BA162" s="22">
        <v>-1.1328100000000001E-2</v>
      </c>
      <c r="BB162" s="22">
        <v>152</v>
      </c>
      <c r="BC162" s="22">
        <v>0.664856</v>
      </c>
      <c r="BD162">
        <f t="shared" si="34"/>
        <v>11.328100000000001</v>
      </c>
      <c r="BE162">
        <f t="shared" si="35"/>
        <v>7.5381255516000012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8.2582199999999997</v>
      </c>
      <c r="I163" s="22">
        <v>-1.0269199999999999E-2</v>
      </c>
      <c r="J163" s="22">
        <v>153</v>
      </c>
      <c r="K163" s="22">
        <v>1.0281400000000001</v>
      </c>
      <c r="L163">
        <f t="shared" si="24"/>
        <v>10.2692</v>
      </c>
      <c r="M163">
        <f t="shared" si="25"/>
        <v>10.572244091999998</v>
      </c>
      <c r="N163" s="9"/>
      <c r="O163" s="22">
        <v>0.67047100000000004</v>
      </c>
      <c r="P163" s="22">
        <v>47.733499999999999</v>
      </c>
      <c r="Q163" s="22">
        <v>-1.1969E-2</v>
      </c>
      <c r="R163" s="22">
        <v>153</v>
      </c>
      <c r="S163" s="22">
        <v>0.66979999999999995</v>
      </c>
      <c r="T163">
        <f t="shared" si="26"/>
        <v>11.969000000000001</v>
      </c>
      <c r="U163">
        <f t="shared" si="27"/>
        <v>8.0248673990000015</v>
      </c>
      <c r="X163" s="9"/>
      <c r="Y163" s="22">
        <v>1.0295099999999999</v>
      </c>
      <c r="Z163" s="22">
        <v>55.545099999999998</v>
      </c>
      <c r="AA163" s="22">
        <v>-1.0452299999999999E-2</v>
      </c>
      <c r="AB163" s="22">
        <v>153</v>
      </c>
      <c r="AC163" s="22">
        <v>1.0287500000000001</v>
      </c>
      <c r="AD163">
        <f t="shared" si="28"/>
        <v>10.452299999999999</v>
      </c>
      <c r="AE163">
        <f t="shared" si="29"/>
        <v>10.760747372999999</v>
      </c>
      <c r="AF163" s="9"/>
      <c r="AG163" s="22">
        <v>0.67047100000000004</v>
      </c>
      <c r="AH163" s="22">
        <v>61.089700000000001</v>
      </c>
      <c r="AI163" s="22">
        <v>-1.14746E-2</v>
      </c>
      <c r="AJ163" s="22">
        <v>153</v>
      </c>
      <c r="AK163" s="22">
        <v>0.66979999999999995</v>
      </c>
      <c r="AL163">
        <f t="shared" si="30"/>
        <v>11.474600000000001</v>
      </c>
      <c r="AM163">
        <f t="shared" si="31"/>
        <v>7.6933865366000012</v>
      </c>
      <c r="AP163" s="9"/>
      <c r="AQ163" s="22">
        <v>1.0295099999999999</v>
      </c>
      <c r="AR163" s="22">
        <v>68.089399999999998</v>
      </c>
      <c r="AS163" s="22">
        <v>-1.01166E-2</v>
      </c>
      <c r="AT163" s="22">
        <v>153</v>
      </c>
      <c r="AU163" s="22">
        <v>1.0287500000000001</v>
      </c>
      <c r="AV163">
        <f t="shared" si="32"/>
        <v>10.1166</v>
      </c>
      <c r="AW163">
        <f t="shared" si="33"/>
        <v>10.415140866</v>
      </c>
      <c r="AX163" s="9"/>
      <c r="AY163" s="22">
        <v>0.67047100000000004</v>
      </c>
      <c r="AZ163" s="22">
        <v>73.366</v>
      </c>
      <c r="BA163" s="22">
        <v>-1.12885E-2</v>
      </c>
      <c r="BB163" s="22">
        <v>153</v>
      </c>
      <c r="BC163" s="22">
        <v>0.66983000000000004</v>
      </c>
      <c r="BD163">
        <f t="shared" si="34"/>
        <v>11.288499999999999</v>
      </c>
      <c r="BE163">
        <f t="shared" si="35"/>
        <v>7.5686118835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8.2682900000000004</v>
      </c>
      <c r="I164" s="22">
        <v>-1.02966E-2</v>
      </c>
      <c r="J164" s="22">
        <v>154</v>
      </c>
      <c r="K164" s="22">
        <v>1.02356</v>
      </c>
      <c r="L164">
        <f t="shared" si="24"/>
        <v>10.2966</v>
      </c>
      <c r="M164">
        <f t="shared" si="25"/>
        <v>10.548660768</v>
      </c>
      <c r="N164" s="9"/>
      <c r="O164" s="22">
        <v>0.67550699999999997</v>
      </c>
      <c r="P164" s="22">
        <v>47.743499999999997</v>
      </c>
      <c r="Q164" s="22">
        <v>-1.19293E-2</v>
      </c>
      <c r="R164" s="22">
        <v>154</v>
      </c>
      <c r="S164" s="22">
        <v>0.67480499999999999</v>
      </c>
      <c r="T164">
        <f t="shared" si="26"/>
        <v>11.9293</v>
      </c>
      <c r="U164">
        <f t="shared" si="27"/>
        <v>8.0583256550999991</v>
      </c>
      <c r="X164" s="9"/>
      <c r="Y164" s="22">
        <v>1.0244800000000001</v>
      </c>
      <c r="Z164" s="22">
        <v>55.555199999999999</v>
      </c>
      <c r="AA164" s="22">
        <v>-1.04858E-2</v>
      </c>
      <c r="AB164" s="22">
        <v>154</v>
      </c>
      <c r="AC164" s="22">
        <v>1.02325</v>
      </c>
      <c r="AD164">
        <f t="shared" si="28"/>
        <v>10.485799999999999</v>
      </c>
      <c r="AE164">
        <f t="shared" si="29"/>
        <v>10.742492384</v>
      </c>
      <c r="AF164" s="9"/>
      <c r="AG164" s="22">
        <v>0.67550699999999997</v>
      </c>
      <c r="AH164" s="22">
        <v>61.099800000000002</v>
      </c>
      <c r="AI164" s="22">
        <v>-1.1441E-2</v>
      </c>
      <c r="AJ164" s="22">
        <v>154</v>
      </c>
      <c r="AK164" s="22">
        <v>0.67483499999999996</v>
      </c>
      <c r="AL164">
        <f t="shared" si="30"/>
        <v>11.440999999999999</v>
      </c>
      <c r="AM164">
        <f t="shared" si="31"/>
        <v>7.7284755869999993</v>
      </c>
      <c r="AP164" s="9"/>
      <c r="AQ164" s="22">
        <v>1.0244800000000001</v>
      </c>
      <c r="AR164" s="22">
        <v>68.099400000000003</v>
      </c>
      <c r="AS164" s="22">
        <v>-1.0147099999999999E-2</v>
      </c>
      <c r="AT164" s="22">
        <v>154</v>
      </c>
      <c r="AU164" s="22">
        <v>1.02386</v>
      </c>
      <c r="AV164">
        <f t="shared" si="32"/>
        <v>10.1471</v>
      </c>
      <c r="AW164">
        <f t="shared" si="33"/>
        <v>10.395501008</v>
      </c>
      <c r="AX164" s="9"/>
      <c r="AY164" s="22">
        <v>0.67550699999999997</v>
      </c>
      <c r="AZ164" s="22">
        <v>73.376000000000005</v>
      </c>
      <c r="BA164" s="22">
        <v>-1.1251799999999999E-2</v>
      </c>
      <c r="BB164" s="22">
        <v>154</v>
      </c>
      <c r="BC164" s="22">
        <v>0.67486599999999997</v>
      </c>
      <c r="BD164">
        <f t="shared" si="34"/>
        <v>11.251799999999999</v>
      </c>
      <c r="BE164">
        <f t="shared" si="35"/>
        <v>7.6006696625999997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8.2783599999999993</v>
      </c>
      <c r="I165" s="22">
        <v>-1.0330199999999999E-2</v>
      </c>
      <c r="J165" s="22">
        <v>155</v>
      </c>
      <c r="K165" s="22">
        <v>1.01868</v>
      </c>
      <c r="L165">
        <f t="shared" si="24"/>
        <v>10.3302</v>
      </c>
      <c r="M165">
        <f t="shared" si="25"/>
        <v>10.531019087999999</v>
      </c>
      <c r="N165" s="9"/>
      <c r="O165" s="22">
        <v>0.68054199999999998</v>
      </c>
      <c r="P165" s="22">
        <v>47.753599999999999</v>
      </c>
      <c r="Q165" s="22">
        <v>-1.1892700000000001E-2</v>
      </c>
      <c r="R165" s="22">
        <v>155</v>
      </c>
      <c r="S165" s="22">
        <v>0.67984</v>
      </c>
      <c r="T165">
        <f t="shared" si="26"/>
        <v>11.892700000000001</v>
      </c>
      <c r="U165">
        <f t="shared" si="27"/>
        <v>8.0934818434000011</v>
      </c>
      <c r="X165" s="9"/>
      <c r="Y165" s="22">
        <v>1.0194399999999999</v>
      </c>
      <c r="Z165" s="22">
        <v>55.565199999999997</v>
      </c>
      <c r="AA165" s="22">
        <v>-1.0522500000000001E-2</v>
      </c>
      <c r="AB165" s="22">
        <v>155</v>
      </c>
      <c r="AC165" s="22">
        <v>1.01807</v>
      </c>
      <c r="AD165">
        <f t="shared" si="28"/>
        <v>10.522500000000001</v>
      </c>
      <c r="AE165">
        <f t="shared" si="29"/>
        <v>10.7270574</v>
      </c>
      <c r="AF165" s="9"/>
      <c r="AG165" s="22">
        <v>0.68054199999999998</v>
      </c>
      <c r="AH165" s="22">
        <v>61.109900000000003</v>
      </c>
      <c r="AI165" s="22">
        <v>-1.1410500000000001E-2</v>
      </c>
      <c r="AJ165" s="22">
        <v>155</v>
      </c>
      <c r="AK165" s="22">
        <v>0.67993199999999998</v>
      </c>
      <c r="AL165">
        <f t="shared" si="30"/>
        <v>11.410500000000001</v>
      </c>
      <c r="AM165">
        <f t="shared" si="31"/>
        <v>7.7653244910000003</v>
      </c>
      <c r="AP165" s="9"/>
      <c r="AQ165" s="22">
        <v>1.0194399999999999</v>
      </c>
      <c r="AR165" s="22">
        <v>68.109499999999997</v>
      </c>
      <c r="AS165" s="22">
        <v>-1.01715E-2</v>
      </c>
      <c r="AT165" s="22">
        <v>155</v>
      </c>
      <c r="AU165" s="22">
        <v>1.01837</v>
      </c>
      <c r="AV165">
        <f t="shared" si="32"/>
        <v>10.1715</v>
      </c>
      <c r="AW165">
        <f t="shared" si="33"/>
        <v>10.369233959999999</v>
      </c>
      <c r="AX165" s="9"/>
      <c r="AY165" s="22">
        <v>0.68054199999999998</v>
      </c>
      <c r="AZ165" s="22">
        <v>73.386099999999999</v>
      </c>
      <c r="BA165" s="22">
        <v>-1.12183E-2</v>
      </c>
      <c r="BB165" s="22">
        <v>155</v>
      </c>
      <c r="BC165" s="22">
        <v>0.679871</v>
      </c>
      <c r="BD165">
        <f t="shared" si="34"/>
        <v>11.218300000000001</v>
      </c>
      <c r="BE165">
        <f t="shared" si="35"/>
        <v>7.6345243186000005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8.28843</v>
      </c>
      <c r="I166" s="22">
        <v>-1.0357699999999999E-2</v>
      </c>
      <c r="J166" s="22">
        <v>156</v>
      </c>
      <c r="K166" s="22">
        <v>1.01318</v>
      </c>
      <c r="L166">
        <f t="shared" si="24"/>
        <v>10.357699999999999</v>
      </c>
      <c r="M166">
        <f t="shared" si="25"/>
        <v>10.50685088</v>
      </c>
      <c r="N166" s="9"/>
      <c r="O166" s="22">
        <v>0.68557699999999999</v>
      </c>
      <c r="P166" s="22">
        <v>47.7637</v>
      </c>
      <c r="Q166" s="22">
        <v>-1.1853000000000001E-2</v>
      </c>
      <c r="R166" s="22">
        <v>156</v>
      </c>
      <c r="S166" s="22">
        <v>0.68493700000000002</v>
      </c>
      <c r="T166">
        <f t="shared" si="26"/>
        <v>11.853000000000002</v>
      </c>
      <c r="U166">
        <f t="shared" si="27"/>
        <v>8.1261441810000008</v>
      </c>
      <c r="X166" s="9"/>
      <c r="Y166" s="22">
        <v>1.0144</v>
      </c>
      <c r="Z166" s="22">
        <v>55.575299999999999</v>
      </c>
      <c r="AA166" s="22">
        <v>-1.0555999999999999E-2</v>
      </c>
      <c r="AB166" s="22">
        <v>156</v>
      </c>
      <c r="AC166" s="22">
        <v>1.01379</v>
      </c>
      <c r="AD166">
        <f t="shared" si="28"/>
        <v>10.555999999999999</v>
      </c>
      <c r="AE166">
        <f t="shared" si="29"/>
        <v>10.708006399999999</v>
      </c>
      <c r="AF166" s="9"/>
      <c r="AG166" s="22">
        <v>0.68557699999999999</v>
      </c>
      <c r="AH166" s="22">
        <v>61.119900000000001</v>
      </c>
      <c r="AI166" s="22">
        <v>-1.1377E-2</v>
      </c>
      <c r="AJ166" s="22">
        <v>156</v>
      </c>
      <c r="AK166" s="22">
        <v>0.68493700000000002</v>
      </c>
      <c r="AL166">
        <f t="shared" si="30"/>
        <v>11.377000000000001</v>
      </c>
      <c r="AM166">
        <f t="shared" si="31"/>
        <v>7.799809529</v>
      </c>
      <c r="AP166" s="9"/>
      <c r="AQ166" s="22">
        <v>1.0144</v>
      </c>
      <c r="AR166" s="22">
        <v>68.119600000000005</v>
      </c>
      <c r="AS166" s="22">
        <v>-1.02051E-2</v>
      </c>
      <c r="AT166" s="22">
        <v>156</v>
      </c>
      <c r="AU166" s="22">
        <v>1.01349</v>
      </c>
      <c r="AV166">
        <f t="shared" si="32"/>
        <v>10.2051</v>
      </c>
      <c r="AW166">
        <f t="shared" si="33"/>
        <v>10.352053439999999</v>
      </c>
      <c r="AX166" s="9"/>
      <c r="AY166" s="22">
        <v>0.68557699999999999</v>
      </c>
      <c r="AZ166" s="22">
        <v>73.396199999999993</v>
      </c>
      <c r="BA166" s="22">
        <v>-1.11877E-2</v>
      </c>
      <c r="BB166" s="22">
        <v>156</v>
      </c>
      <c r="BC166" s="22">
        <v>0.68493700000000002</v>
      </c>
      <c r="BD166">
        <f t="shared" si="34"/>
        <v>11.1877</v>
      </c>
      <c r="BE166">
        <f t="shared" si="35"/>
        <v>7.6700298028999994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8.2985000000000007</v>
      </c>
      <c r="I167" s="22">
        <v>-1.03912E-2</v>
      </c>
      <c r="J167" s="22">
        <v>157</v>
      </c>
      <c r="K167" s="22">
        <v>1.00861</v>
      </c>
      <c r="L167">
        <f t="shared" si="24"/>
        <v>10.3912</v>
      </c>
      <c r="M167">
        <f t="shared" si="25"/>
        <v>10.488565544</v>
      </c>
      <c r="N167" s="9"/>
      <c r="O167" s="22">
        <v>0.69061300000000003</v>
      </c>
      <c r="P167" s="22">
        <v>47.773699999999998</v>
      </c>
      <c r="Q167" s="22">
        <v>-1.18195E-2</v>
      </c>
      <c r="R167" s="22">
        <v>157</v>
      </c>
      <c r="S167" s="22">
        <v>0.68997200000000003</v>
      </c>
      <c r="T167">
        <f t="shared" si="26"/>
        <v>11.8195</v>
      </c>
      <c r="U167">
        <f t="shared" si="27"/>
        <v>8.1627003535</v>
      </c>
      <c r="X167" s="9"/>
      <c r="Y167" s="22">
        <v>1.0093700000000001</v>
      </c>
      <c r="Z167" s="22">
        <v>55.5854</v>
      </c>
      <c r="AA167" s="22">
        <v>-1.0589599999999999E-2</v>
      </c>
      <c r="AB167" s="22">
        <v>157</v>
      </c>
      <c r="AC167" s="22">
        <v>1.0083</v>
      </c>
      <c r="AD167">
        <f t="shared" si="28"/>
        <v>10.589599999999999</v>
      </c>
      <c r="AE167">
        <f t="shared" si="29"/>
        <v>10.688824552</v>
      </c>
      <c r="AF167" s="9"/>
      <c r="AG167" s="22">
        <v>0.69061300000000003</v>
      </c>
      <c r="AH167" s="22">
        <v>61.13</v>
      </c>
      <c r="AI167" s="22">
        <v>-1.1340299999999999E-2</v>
      </c>
      <c r="AJ167" s="22">
        <v>157</v>
      </c>
      <c r="AK167" s="22">
        <v>0.68994100000000003</v>
      </c>
      <c r="AL167">
        <f t="shared" si="30"/>
        <v>11.340299999999999</v>
      </c>
      <c r="AM167">
        <f t="shared" si="31"/>
        <v>7.8317586039</v>
      </c>
      <c r="AP167" s="9"/>
      <c r="AQ167" s="22">
        <v>1.0093700000000001</v>
      </c>
      <c r="AR167" s="22">
        <v>68.129599999999996</v>
      </c>
      <c r="AS167" s="22">
        <v>-1.0235599999999999E-2</v>
      </c>
      <c r="AT167" s="22">
        <v>157</v>
      </c>
      <c r="AU167" s="22">
        <v>1.008</v>
      </c>
      <c r="AV167">
        <f t="shared" si="32"/>
        <v>10.2356</v>
      </c>
      <c r="AW167">
        <f t="shared" si="33"/>
        <v>10.331507572000001</v>
      </c>
      <c r="AX167" s="9"/>
      <c r="AY167" s="22">
        <v>0.69061300000000003</v>
      </c>
      <c r="AZ167" s="22">
        <v>73.406300000000002</v>
      </c>
      <c r="BA167" s="22">
        <v>-1.11542E-2</v>
      </c>
      <c r="BB167" s="22">
        <v>157</v>
      </c>
      <c r="BC167" s="22">
        <v>0.68991100000000005</v>
      </c>
      <c r="BD167">
        <f t="shared" si="34"/>
        <v>11.154199999999999</v>
      </c>
      <c r="BE167">
        <f t="shared" si="35"/>
        <v>7.7032355246000002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8.3085699999999996</v>
      </c>
      <c r="I168" s="22">
        <v>-1.0418699999999999E-2</v>
      </c>
      <c r="J168" s="22">
        <v>158</v>
      </c>
      <c r="K168" s="22">
        <v>1.0031099999999999</v>
      </c>
      <c r="L168">
        <f t="shared" si="24"/>
        <v>10.418699999999999</v>
      </c>
      <c r="M168">
        <f t="shared" si="25"/>
        <v>10.463812970999999</v>
      </c>
      <c r="N168" s="9"/>
      <c r="O168" s="22">
        <v>0.69564800000000004</v>
      </c>
      <c r="P168" s="22">
        <v>47.783799999999999</v>
      </c>
      <c r="Q168" s="22">
        <v>-1.17859E-2</v>
      </c>
      <c r="R168" s="22">
        <v>158</v>
      </c>
      <c r="S168" s="22">
        <v>0.69494599999999995</v>
      </c>
      <c r="T168">
        <f t="shared" si="26"/>
        <v>11.7859</v>
      </c>
      <c r="U168">
        <f t="shared" si="27"/>
        <v>8.1988377632000002</v>
      </c>
      <c r="X168" s="9"/>
      <c r="Y168" s="22">
        <v>1.0043299999999999</v>
      </c>
      <c r="Z168" s="22">
        <v>55.595500000000001</v>
      </c>
      <c r="AA168" s="22">
        <v>-1.06201E-2</v>
      </c>
      <c r="AB168" s="22">
        <v>158</v>
      </c>
      <c r="AC168" s="22">
        <v>1.0037199999999999</v>
      </c>
      <c r="AD168">
        <f t="shared" si="28"/>
        <v>10.620100000000001</v>
      </c>
      <c r="AE168">
        <f t="shared" si="29"/>
        <v>10.666085033</v>
      </c>
      <c r="AF168" s="9"/>
      <c r="AG168" s="22">
        <v>0.69564800000000004</v>
      </c>
      <c r="AH168" s="22">
        <v>61.140099999999997</v>
      </c>
      <c r="AI168" s="22">
        <v>-1.13007E-2</v>
      </c>
      <c r="AJ168" s="22">
        <v>158</v>
      </c>
      <c r="AK168" s="22">
        <v>0.69497699999999996</v>
      </c>
      <c r="AL168">
        <f t="shared" si="30"/>
        <v>11.300700000000001</v>
      </c>
      <c r="AM168">
        <f t="shared" si="31"/>
        <v>7.8613093536000012</v>
      </c>
      <c r="AP168" s="9"/>
      <c r="AQ168" s="22">
        <v>1.0043299999999999</v>
      </c>
      <c r="AR168" s="22">
        <v>68.139700000000005</v>
      </c>
      <c r="AS168" s="22">
        <v>-1.02661E-2</v>
      </c>
      <c r="AT168" s="22">
        <v>158</v>
      </c>
      <c r="AU168" s="22">
        <v>1.0031099999999999</v>
      </c>
      <c r="AV168">
        <f t="shared" si="32"/>
        <v>10.2661</v>
      </c>
      <c r="AW168">
        <f t="shared" si="33"/>
        <v>10.310552212999999</v>
      </c>
      <c r="AX168" s="9"/>
      <c r="AY168" s="22">
        <v>0.69564800000000004</v>
      </c>
      <c r="AZ168" s="22">
        <v>73.416300000000007</v>
      </c>
      <c r="BA168" s="22">
        <v>-1.11237E-2</v>
      </c>
      <c r="BB168" s="22">
        <v>158</v>
      </c>
      <c r="BC168" s="22">
        <v>0.69500700000000004</v>
      </c>
      <c r="BD168">
        <f t="shared" si="34"/>
        <v>11.123699999999999</v>
      </c>
      <c r="BE168">
        <f t="shared" si="35"/>
        <v>7.7381796575999999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8.3186400000000003</v>
      </c>
      <c r="I169" s="22">
        <v>-1.0452299999999999E-2</v>
      </c>
      <c r="J169" s="22">
        <v>159</v>
      </c>
      <c r="K169" s="22">
        <v>0.99853499999999995</v>
      </c>
      <c r="L169">
        <f t="shared" si="24"/>
        <v>10.452299999999999</v>
      </c>
      <c r="M169">
        <f t="shared" si="25"/>
        <v>10.4449624854</v>
      </c>
      <c r="N169" s="9"/>
      <c r="O169" s="22">
        <v>0.70068399999999997</v>
      </c>
      <c r="P169" s="22">
        <v>47.793900000000001</v>
      </c>
      <c r="Q169" s="22">
        <v>-1.1749300000000001E-2</v>
      </c>
      <c r="R169" s="22">
        <v>159</v>
      </c>
      <c r="S169" s="22">
        <v>0.69998199999999999</v>
      </c>
      <c r="T169">
        <f t="shared" si="26"/>
        <v>11.7493</v>
      </c>
      <c r="U169">
        <f t="shared" si="27"/>
        <v>8.2325465211999997</v>
      </c>
      <c r="X169" s="9"/>
      <c r="Y169" s="22">
        <v>0.99929800000000002</v>
      </c>
      <c r="Z169" s="22">
        <v>55.605499999999999</v>
      </c>
      <c r="AA169" s="22">
        <v>-1.06506E-2</v>
      </c>
      <c r="AB169" s="22">
        <v>159</v>
      </c>
      <c r="AC169" s="22">
        <v>0.99792499999999995</v>
      </c>
      <c r="AD169">
        <f t="shared" si="28"/>
        <v>10.650599999999999</v>
      </c>
      <c r="AE169">
        <f t="shared" si="29"/>
        <v>10.643123278799999</v>
      </c>
      <c r="AF169" s="9"/>
      <c r="AG169" s="22">
        <v>0.70068399999999997</v>
      </c>
      <c r="AH169" s="22">
        <v>61.150199999999998</v>
      </c>
      <c r="AI169" s="22">
        <v>-1.12579E-2</v>
      </c>
      <c r="AJ169" s="22">
        <v>159</v>
      </c>
      <c r="AK169" s="22">
        <v>0.69998199999999999</v>
      </c>
      <c r="AL169">
        <f t="shared" si="30"/>
        <v>11.257899999999999</v>
      </c>
      <c r="AM169">
        <f t="shared" si="31"/>
        <v>7.8882304035999988</v>
      </c>
      <c r="AP169" s="9"/>
      <c r="AQ169" s="22">
        <v>0.99929800000000002</v>
      </c>
      <c r="AR169" s="22">
        <v>68.149799999999999</v>
      </c>
      <c r="AS169" s="22">
        <v>-1.02936E-2</v>
      </c>
      <c r="AT169" s="22">
        <v>159</v>
      </c>
      <c r="AU169" s="22">
        <v>0.99853499999999995</v>
      </c>
      <c r="AV169">
        <f t="shared" si="32"/>
        <v>10.2936</v>
      </c>
      <c r="AW169">
        <f t="shared" si="33"/>
        <v>10.2863738928</v>
      </c>
      <c r="AX169" s="9"/>
      <c r="AY169" s="22">
        <v>0.70068399999999997</v>
      </c>
      <c r="AZ169" s="22">
        <v>73.426400000000001</v>
      </c>
      <c r="BA169" s="22">
        <v>-1.10931E-2</v>
      </c>
      <c r="BB169" s="22">
        <v>159</v>
      </c>
      <c r="BC169" s="22">
        <v>0.70007299999999995</v>
      </c>
      <c r="BD169">
        <f t="shared" si="34"/>
        <v>11.0931</v>
      </c>
      <c r="BE169">
        <f t="shared" si="35"/>
        <v>7.7727576803999998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8.3287099999999992</v>
      </c>
      <c r="I170" s="22">
        <v>-1.04797E-2</v>
      </c>
      <c r="J170" s="22">
        <v>160</v>
      </c>
      <c r="K170" s="22">
        <v>0.99365199999999998</v>
      </c>
      <c r="L170">
        <f t="shared" si="24"/>
        <v>10.479699999999999</v>
      </c>
      <c r="M170">
        <f t="shared" si="25"/>
        <v>10.4195779611</v>
      </c>
      <c r="N170" s="9"/>
      <c r="O170" s="22">
        <v>0.70571899999999999</v>
      </c>
      <c r="P170" s="22">
        <v>47.804000000000002</v>
      </c>
      <c r="Q170" s="22">
        <v>-1.1709600000000001E-2</v>
      </c>
      <c r="R170" s="22">
        <v>160</v>
      </c>
      <c r="S170" s="22">
        <v>0.70507799999999998</v>
      </c>
      <c r="T170">
        <f t="shared" si="26"/>
        <v>11.7096</v>
      </c>
      <c r="U170">
        <f t="shared" si="27"/>
        <v>8.2636872023999999</v>
      </c>
      <c r="X170" s="9"/>
      <c r="Y170" s="22">
        <v>0.99426300000000001</v>
      </c>
      <c r="Z170" s="22">
        <v>55.615600000000001</v>
      </c>
      <c r="AA170" s="22">
        <v>-1.06812E-2</v>
      </c>
      <c r="AB170" s="22">
        <v>160</v>
      </c>
      <c r="AC170" s="22">
        <v>0.99334699999999998</v>
      </c>
      <c r="AD170">
        <f t="shared" si="28"/>
        <v>10.6812</v>
      </c>
      <c r="AE170">
        <f t="shared" si="29"/>
        <v>10.619921955600001</v>
      </c>
      <c r="AF170" s="9"/>
      <c r="AG170" s="22">
        <v>0.70571899999999999</v>
      </c>
      <c r="AH170" s="22">
        <v>61.160200000000003</v>
      </c>
      <c r="AI170" s="22">
        <v>-1.12152E-2</v>
      </c>
      <c r="AJ170" s="22">
        <v>160</v>
      </c>
      <c r="AK170" s="22">
        <v>0.70510899999999999</v>
      </c>
      <c r="AL170">
        <f t="shared" si="30"/>
        <v>11.215199999999999</v>
      </c>
      <c r="AM170">
        <f t="shared" si="31"/>
        <v>7.9147797287999992</v>
      </c>
      <c r="AP170" s="9"/>
      <c r="AQ170" s="22">
        <v>0.99426300000000001</v>
      </c>
      <c r="AR170" s="22">
        <v>68.159800000000004</v>
      </c>
      <c r="AS170" s="22">
        <v>-1.0324099999999999E-2</v>
      </c>
      <c r="AT170" s="22">
        <v>160</v>
      </c>
      <c r="AU170" s="22">
        <v>0.99334699999999998</v>
      </c>
      <c r="AV170">
        <f t="shared" si="32"/>
        <v>10.3241</v>
      </c>
      <c r="AW170">
        <f t="shared" si="33"/>
        <v>10.2648706383</v>
      </c>
      <c r="AX170" s="9"/>
      <c r="AY170" s="22">
        <v>0.70571899999999999</v>
      </c>
      <c r="AZ170" s="22">
        <v>73.436499999999995</v>
      </c>
      <c r="BA170" s="22">
        <v>-1.10565E-2</v>
      </c>
      <c r="BB170" s="22">
        <v>160</v>
      </c>
      <c r="BC170" s="22">
        <v>0.70513899999999996</v>
      </c>
      <c r="BD170">
        <f t="shared" si="34"/>
        <v>11.0565</v>
      </c>
      <c r="BE170">
        <f t="shared" si="35"/>
        <v>7.8027821235000001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8.3387799999999999</v>
      </c>
      <c r="I171" s="22">
        <v>-1.05072E-2</v>
      </c>
      <c r="J171" s="22">
        <v>161</v>
      </c>
      <c r="K171" s="22">
        <v>0.98846400000000001</v>
      </c>
      <c r="L171">
        <f t="shared" si="24"/>
        <v>10.507199999999999</v>
      </c>
      <c r="M171">
        <f t="shared" si="25"/>
        <v>10.394005934399999</v>
      </c>
      <c r="N171" s="9"/>
      <c r="O171" s="22">
        <v>0.710754</v>
      </c>
      <c r="P171" s="22">
        <v>47.814</v>
      </c>
      <c r="Q171" s="22">
        <v>-1.1676000000000001E-2</v>
      </c>
      <c r="R171" s="22">
        <v>161</v>
      </c>
      <c r="S171" s="22">
        <v>0.71005200000000002</v>
      </c>
      <c r="T171">
        <f t="shared" si="26"/>
        <v>11.676</v>
      </c>
      <c r="U171">
        <f t="shared" si="27"/>
        <v>8.2987637040000006</v>
      </c>
      <c r="X171" s="9"/>
      <c r="Y171" s="22">
        <v>0.98922699999999997</v>
      </c>
      <c r="Z171" s="22">
        <v>55.625700000000002</v>
      </c>
      <c r="AA171" s="22">
        <v>-1.0705599999999999E-2</v>
      </c>
      <c r="AB171" s="22">
        <v>161</v>
      </c>
      <c r="AC171" s="22">
        <v>0.98815900000000001</v>
      </c>
      <c r="AD171">
        <f t="shared" si="28"/>
        <v>10.705599999999999</v>
      </c>
      <c r="AE171">
        <f t="shared" si="29"/>
        <v>10.590268571199998</v>
      </c>
      <c r="AF171" s="9"/>
      <c r="AG171" s="22">
        <v>0.710754</v>
      </c>
      <c r="AH171" s="22">
        <v>61.170299999999997</v>
      </c>
      <c r="AI171" s="22">
        <v>-1.11816E-2</v>
      </c>
      <c r="AJ171" s="22">
        <v>161</v>
      </c>
      <c r="AK171" s="22">
        <v>0.71008300000000002</v>
      </c>
      <c r="AL171">
        <f t="shared" si="30"/>
        <v>11.1816</v>
      </c>
      <c r="AM171">
        <f t="shared" si="31"/>
        <v>7.9473669264</v>
      </c>
      <c r="AP171" s="9"/>
      <c r="AQ171" s="22">
        <v>0.98922699999999997</v>
      </c>
      <c r="AR171" s="22">
        <v>68.169899999999998</v>
      </c>
      <c r="AS171" s="22">
        <v>-1.0351600000000001E-2</v>
      </c>
      <c r="AT171" s="22">
        <v>161</v>
      </c>
      <c r="AU171" s="22">
        <v>0.98754900000000001</v>
      </c>
      <c r="AV171">
        <f t="shared" si="32"/>
        <v>10.351600000000001</v>
      </c>
      <c r="AW171">
        <f t="shared" si="33"/>
        <v>10.240082213200001</v>
      </c>
      <c r="AX171" s="9"/>
      <c r="AY171" s="22">
        <v>0.710754</v>
      </c>
      <c r="AZ171" s="22">
        <v>73.4465</v>
      </c>
      <c r="BA171" s="22">
        <v>-1.1025999999999999E-2</v>
      </c>
      <c r="BB171" s="22">
        <v>161</v>
      </c>
      <c r="BC171" s="22">
        <v>0.71011400000000002</v>
      </c>
      <c r="BD171">
        <f t="shared" si="34"/>
        <v>11.026</v>
      </c>
      <c r="BE171">
        <f t="shared" si="35"/>
        <v>7.8367736040000002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8.3488500000000005</v>
      </c>
      <c r="I172" s="22">
        <v>-1.0537700000000001E-2</v>
      </c>
      <c r="J172" s="22">
        <v>162</v>
      </c>
      <c r="K172" s="22">
        <v>0.98297100000000004</v>
      </c>
      <c r="L172">
        <f t="shared" si="24"/>
        <v>10.537700000000001</v>
      </c>
      <c r="M172">
        <f t="shared" si="25"/>
        <v>10.371120038400001</v>
      </c>
      <c r="N172" s="9"/>
      <c r="O172" s="22">
        <v>0.71579000000000004</v>
      </c>
      <c r="P172" s="22">
        <v>47.824100000000001</v>
      </c>
      <c r="Q172" s="22">
        <v>-1.16425E-2</v>
      </c>
      <c r="R172" s="22">
        <v>162</v>
      </c>
      <c r="S172" s="22">
        <v>0.71517900000000001</v>
      </c>
      <c r="T172">
        <f t="shared" si="26"/>
        <v>11.6425</v>
      </c>
      <c r="U172">
        <f t="shared" si="27"/>
        <v>8.3335850750000002</v>
      </c>
      <c r="X172" s="9"/>
      <c r="Y172" s="22">
        <v>0.98419199999999996</v>
      </c>
      <c r="Z172" s="22">
        <v>55.6357</v>
      </c>
      <c r="AA172" s="22">
        <v>-1.073E-2</v>
      </c>
      <c r="AB172" s="22">
        <v>162</v>
      </c>
      <c r="AC172" s="22">
        <v>0.98327600000000004</v>
      </c>
      <c r="AD172">
        <f t="shared" si="28"/>
        <v>10.73</v>
      </c>
      <c r="AE172">
        <f t="shared" si="29"/>
        <v>10.560380159999999</v>
      </c>
      <c r="AF172" s="9"/>
      <c r="AG172" s="22">
        <v>0.71579000000000004</v>
      </c>
      <c r="AH172" s="22">
        <v>61.180399999999999</v>
      </c>
      <c r="AI172" s="22">
        <v>-1.1145E-2</v>
      </c>
      <c r="AJ172" s="22">
        <v>162</v>
      </c>
      <c r="AK172" s="22">
        <v>0.71514900000000003</v>
      </c>
      <c r="AL172">
        <f t="shared" si="30"/>
        <v>11.145</v>
      </c>
      <c r="AM172">
        <f t="shared" si="31"/>
        <v>7.97747955</v>
      </c>
      <c r="AP172" s="9"/>
      <c r="AQ172" s="22">
        <v>0.98419199999999996</v>
      </c>
      <c r="AR172" s="22">
        <v>68.180000000000007</v>
      </c>
      <c r="AS172" s="22">
        <v>-1.03821E-2</v>
      </c>
      <c r="AT172" s="22">
        <v>162</v>
      </c>
      <c r="AU172" s="22">
        <v>0.98388699999999996</v>
      </c>
      <c r="AV172">
        <f t="shared" si="32"/>
        <v>10.382099999999999</v>
      </c>
      <c r="AW172">
        <f t="shared" si="33"/>
        <v>10.217979763199999</v>
      </c>
      <c r="AX172" s="9"/>
      <c r="AY172" s="22">
        <v>0.71579000000000004</v>
      </c>
      <c r="AZ172" s="22">
        <v>73.456599999999995</v>
      </c>
      <c r="BA172" s="22">
        <v>-1.09894E-2</v>
      </c>
      <c r="BB172" s="22">
        <v>162</v>
      </c>
      <c r="BC172" s="22">
        <v>0.71517900000000001</v>
      </c>
      <c r="BD172">
        <f t="shared" si="34"/>
        <v>10.9894</v>
      </c>
      <c r="BE172">
        <f t="shared" si="35"/>
        <v>7.866102626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8.3589300000000009</v>
      </c>
      <c r="I173" s="22">
        <v>-1.05652E-2</v>
      </c>
      <c r="J173" s="22">
        <v>163</v>
      </c>
      <c r="K173" s="22">
        <v>0.97839399999999999</v>
      </c>
      <c r="L173">
        <f t="shared" si="24"/>
        <v>10.565200000000001</v>
      </c>
      <c r="M173">
        <f t="shared" si="25"/>
        <v>10.344978971200002</v>
      </c>
      <c r="N173" s="9"/>
      <c r="O173" s="22">
        <v>0.72082500000000005</v>
      </c>
      <c r="P173" s="22">
        <v>47.834200000000003</v>
      </c>
      <c r="Q173" s="22">
        <v>-1.1605799999999999E-2</v>
      </c>
      <c r="R173" s="22">
        <v>163</v>
      </c>
      <c r="S173" s="22">
        <v>0.72018400000000005</v>
      </c>
      <c r="T173">
        <f t="shared" si="26"/>
        <v>11.605799999999999</v>
      </c>
      <c r="U173">
        <f t="shared" si="27"/>
        <v>8.3657507849999995</v>
      </c>
      <c r="X173" s="9"/>
      <c r="Y173" s="22">
        <v>0.97915600000000003</v>
      </c>
      <c r="Z173" s="22">
        <v>55.645800000000001</v>
      </c>
      <c r="AA173" s="22">
        <v>-1.0754400000000001E-2</v>
      </c>
      <c r="AB173" s="22">
        <v>163</v>
      </c>
      <c r="AC173" s="22">
        <v>0.97839399999999999</v>
      </c>
      <c r="AD173">
        <f t="shared" si="28"/>
        <v>10.7544</v>
      </c>
      <c r="AE173">
        <f t="shared" si="29"/>
        <v>10.5302352864</v>
      </c>
      <c r="AF173" s="9"/>
      <c r="AG173" s="22">
        <v>0.72082500000000005</v>
      </c>
      <c r="AH173" s="22">
        <v>61.190399999999997</v>
      </c>
      <c r="AI173" s="22">
        <v>-1.11115E-2</v>
      </c>
      <c r="AJ173" s="22">
        <v>163</v>
      </c>
      <c r="AK173" s="22">
        <v>0.72012299999999996</v>
      </c>
      <c r="AL173">
        <f t="shared" si="30"/>
        <v>11.111499999999999</v>
      </c>
      <c r="AM173">
        <f t="shared" si="31"/>
        <v>8.0094469875000005</v>
      </c>
      <c r="AP173" s="9"/>
      <c r="AQ173" s="22">
        <v>0.97915600000000003</v>
      </c>
      <c r="AR173" s="22">
        <v>68.190100000000001</v>
      </c>
      <c r="AS173" s="22">
        <v>-1.0406500000000001E-2</v>
      </c>
      <c r="AT173" s="22">
        <v>163</v>
      </c>
      <c r="AU173" s="22">
        <v>0.97808799999999996</v>
      </c>
      <c r="AV173">
        <f t="shared" si="32"/>
        <v>10.406500000000001</v>
      </c>
      <c r="AW173">
        <f t="shared" si="33"/>
        <v>10.189586914000001</v>
      </c>
      <c r="AX173" s="9"/>
      <c r="AY173" s="22">
        <v>0.72082500000000005</v>
      </c>
      <c r="AZ173" s="22">
        <v>73.466700000000003</v>
      </c>
      <c r="BA173" s="22">
        <v>-1.09528E-2</v>
      </c>
      <c r="BB173" s="22">
        <v>163</v>
      </c>
      <c r="BC173" s="22">
        <v>0.72018400000000005</v>
      </c>
      <c r="BD173">
        <f t="shared" si="34"/>
        <v>10.9528</v>
      </c>
      <c r="BE173">
        <f t="shared" si="35"/>
        <v>7.8950520600000003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8.3689999999999998</v>
      </c>
      <c r="I174" s="22">
        <v>-1.05927E-2</v>
      </c>
      <c r="J174" s="22">
        <v>164</v>
      </c>
      <c r="K174" s="22">
        <v>0.97351100000000002</v>
      </c>
      <c r="L174">
        <f t="shared" si="24"/>
        <v>10.592700000000001</v>
      </c>
      <c r="M174">
        <f t="shared" si="25"/>
        <v>10.318571516700001</v>
      </c>
      <c r="N174" s="9"/>
      <c r="O174" s="22">
        <v>0.72586099999999998</v>
      </c>
      <c r="P174" s="22">
        <v>47.844200000000001</v>
      </c>
      <c r="Q174" s="22">
        <v>-1.15631E-2</v>
      </c>
      <c r="R174" s="22">
        <v>164</v>
      </c>
      <c r="S174" s="22">
        <v>0.72518899999999997</v>
      </c>
      <c r="T174">
        <f t="shared" si="26"/>
        <v>11.5631</v>
      </c>
      <c r="U174">
        <f t="shared" si="27"/>
        <v>8.3932033291000003</v>
      </c>
      <c r="X174" s="9"/>
      <c r="Y174" s="22">
        <v>0.97412100000000001</v>
      </c>
      <c r="Z174" s="22">
        <v>55.655900000000003</v>
      </c>
      <c r="AA174" s="22">
        <v>-1.07849E-2</v>
      </c>
      <c r="AB174" s="22">
        <v>164</v>
      </c>
      <c r="AC174" s="22">
        <v>0.97320600000000002</v>
      </c>
      <c r="AD174">
        <f t="shared" si="28"/>
        <v>10.7849</v>
      </c>
      <c r="AE174">
        <f t="shared" si="29"/>
        <v>10.505797572900001</v>
      </c>
      <c r="AF174" s="9"/>
      <c r="AG174" s="22">
        <v>0.72586099999999998</v>
      </c>
      <c r="AH174" s="22">
        <v>61.200499999999998</v>
      </c>
      <c r="AI174" s="22">
        <v>-1.1080899999999999E-2</v>
      </c>
      <c r="AJ174" s="22">
        <v>164</v>
      </c>
      <c r="AK174" s="22">
        <v>0.72524999999999995</v>
      </c>
      <c r="AL174">
        <f t="shared" si="30"/>
        <v>11.0809</v>
      </c>
      <c r="AM174">
        <f t="shared" si="31"/>
        <v>8.0431931548999991</v>
      </c>
      <c r="AP174" s="9"/>
      <c r="AQ174" s="22">
        <v>0.97412100000000001</v>
      </c>
      <c r="AR174" s="22">
        <v>68.200100000000006</v>
      </c>
      <c r="AS174" s="22">
        <v>-1.0434000000000001E-2</v>
      </c>
      <c r="AT174" s="22">
        <v>164</v>
      </c>
      <c r="AU174" s="22">
        <v>0.97259499999999999</v>
      </c>
      <c r="AV174">
        <f t="shared" si="32"/>
        <v>10.434000000000001</v>
      </c>
      <c r="AW174">
        <f t="shared" si="33"/>
        <v>10.163978514000002</v>
      </c>
      <c r="AX174" s="9"/>
      <c r="AY174" s="22">
        <v>0.72586099999999998</v>
      </c>
      <c r="AZ174" s="22">
        <v>73.476799999999997</v>
      </c>
      <c r="BA174" s="22">
        <v>-1.091E-2</v>
      </c>
      <c r="BB174" s="22">
        <v>164</v>
      </c>
      <c r="BC174" s="22">
        <v>0.725159</v>
      </c>
      <c r="BD174">
        <f t="shared" si="34"/>
        <v>10.91</v>
      </c>
      <c r="BE174">
        <f t="shared" si="35"/>
        <v>7.9191435099999996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8.3790700000000005</v>
      </c>
      <c r="I175" s="22">
        <v>-1.06201E-2</v>
      </c>
      <c r="J175" s="22">
        <v>165</v>
      </c>
      <c r="K175" s="22">
        <v>0.96801800000000005</v>
      </c>
      <c r="L175">
        <f t="shared" si="24"/>
        <v>10.620100000000001</v>
      </c>
      <c r="M175">
        <f t="shared" si="25"/>
        <v>10.2917902286</v>
      </c>
      <c r="N175" s="9"/>
      <c r="O175" s="22">
        <v>0.73089599999999999</v>
      </c>
      <c r="P175" s="22">
        <v>47.854300000000002</v>
      </c>
      <c r="Q175" s="22">
        <v>-1.15265E-2</v>
      </c>
      <c r="R175" s="22">
        <v>165</v>
      </c>
      <c r="S175" s="22">
        <v>0.73025499999999999</v>
      </c>
      <c r="T175">
        <f t="shared" si="26"/>
        <v>11.5265</v>
      </c>
      <c r="U175">
        <f t="shared" si="27"/>
        <v>8.4246727440000004</v>
      </c>
      <c r="X175" s="9"/>
      <c r="Y175" s="22">
        <v>0.969086</v>
      </c>
      <c r="Z175" s="22">
        <v>55.665999999999997</v>
      </c>
      <c r="AA175" s="22">
        <v>-1.0809300000000001E-2</v>
      </c>
      <c r="AB175" s="22">
        <v>165</v>
      </c>
      <c r="AC175" s="22">
        <v>0.96801800000000005</v>
      </c>
      <c r="AD175">
        <f t="shared" si="28"/>
        <v>10.8093</v>
      </c>
      <c r="AE175">
        <f t="shared" si="29"/>
        <v>10.475141299800001</v>
      </c>
      <c r="AF175" s="9"/>
      <c r="AG175" s="22">
        <v>0.73089599999999999</v>
      </c>
      <c r="AH175" s="22">
        <v>61.210599999999999</v>
      </c>
      <c r="AI175" s="22">
        <v>-1.1047400000000001E-2</v>
      </c>
      <c r="AJ175" s="22">
        <v>165</v>
      </c>
      <c r="AK175" s="22">
        <v>0.73025499999999999</v>
      </c>
      <c r="AL175">
        <f t="shared" si="30"/>
        <v>11.047400000000001</v>
      </c>
      <c r="AM175">
        <f t="shared" si="31"/>
        <v>8.0745004704000003</v>
      </c>
      <c r="AP175" s="9"/>
      <c r="AQ175" s="22">
        <v>0.969086</v>
      </c>
      <c r="AR175" s="22">
        <v>68.2102</v>
      </c>
      <c r="AS175" s="22">
        <v>-1.04584E-2</v>
      </c>
      <c r="AT175" s="22">
        <v>165</v>
      </c>
      <c r="AU175" s="22">
        <v>0.96771200000000002</v>
      </c>
      <c r="AV175">
        <f t="shared" si="32"/>
        <v>10.458399999999999</v>
      </c>
      <c r="AW175">
        <f t="shared" si="33"/>
        <v>10.135089022399999</v>
      </c>
      <c r="AX175" s="9"/>
      <c r="AY175" s="22">
        <v>0.73089599999999999</v>
      </c>
      <c r="AZ175" s="22">
        <v>73.486800000000002</v>
      </c>
      <c r="BA175" s="22">
        <v>-1.0876500000000001E-2</v>
      </c>
      <c r="BB175" s="22">
        <v>165</v>
      </c>
      <c r="BC175" s="22">
        <v>0.73022500000000001</v>
      </c>
      <c r="BD175">
        <f t="shared" si="34"/>
        <v>10.8765</v>
      </c>
      <c r="BE175">
        <f t="shared" si="35"/>
        <v>7.9495903439999998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8.3891399999999994</v>
      </c>
      <c r="I176" s="22">
        <v>-1.0644499999999999E-2</v>
      </c>
      <c r="J176" s="22">
        <v>166</v>
      </c>
      <c r="K176" s="22">
        <v>0.96252400000000005</v>
      </c>
      <c r="L176">
        <f t="shared" si="24"/>
        <v>10.644499999999999</v>
      </c>
      <c r="M176">
        <f t="shared" si="25"/>
        <v>10.261830224999999</v>
      </c>
      <c r="N176" s="9"/>
      <c r="O176" s="22">
        <v>0.735931</v>
      </c>
      <c r="P176" s="22">
        <v>47.864400000000003</v>
      </c>
      <c r="Q176" s="22">
        <v>-1.1489900000000001E-2</v>
      </c>
      <c r="R176" s="22">
        <v>166</v>
      </c>
      <c r="S176" s="22">
        <v>0.735321</v>
      </c>
      <c r="T176">
        <f t="shared" si="26"/>
        <v>11.4899</v>
      </c>
      <c r="U176">
        <f t="shared" si="27"/>
        <v>8.4557735969000003</v>
      </c>
      <c r="X176" s="9"/>
      <c r="Y176" s="22">
        <v>0.96404999999999996</v>
      </c>
      <c r="Z176" s="22">
        <v>55.676000000000002</v>
      </c>
      <c r="AA176" s="22">
        <v>-1.0836800000000001E-2</v>
      </c>
      <c r="AB176" s="22">
        <v>166</v>
      </c>
      <c r="AC176" s="22">
        <v>0.96252400000000005</v>
      </c>
      <c r="AD176">
        <f t="shared" si="28"/>
        <v>10.8368</v>
      </c>
      <c r="AE176">
        <f t="shared" si="29"/>
        <v>10.44721704</v>
      </c>
      <c r="AF176" s="9"/>
      <c r="AG176" s="22">
        <v>0.735931</v>
      </c>
      <c r="AH176" s="22">
        <v>61.220599999999997</v>
      </c>
      <c r="AI176" s="22">
        <v>-1.1013800000000001E-2</v>
      </c>
      <c r="AJ176" s="22">
        <v>166</v>
      </c>
      <c r="AK176" s="22">
        <v>0.73529100000000003</v>
      </c>
      <c r="AL176">
        <f t="shared" si="30"/>
        <v>11.0138</v>
      </c>
      <c r="AM176">
        <f t="shared" si="31"/>
        <v>8.1053968477999998</v>
      </c>
      <c r="AP176" s="9"/>
      <c r="AQ176" s="22">
        <v>0.96404999999999996</v>
      </c>
      <c r="AR176" s="22">
        <v>68.220299999999995</v>
      </c>
      <c r="AS176" s="22">
        <v>-1.0488900000000001E-2</v>
      </c>
      <c r="AT176" s="22">
        <v>166</v>
      </c>
      <c r="AU176" s="22">
        <v>0.96313499999999996</v>
      </c>
      <c r="AV176">
        <f t="shared" si="32"/>
        <v>10.488900000000001</v>
      </c>
      <c r="AW176">
        <f t="shared" si="33"/>
        <v>10.111824045000001</v>
      </c>
      <c r="AX176" s="9"/>
      <c r="AY176" s="22">
        <v>0.735931</v>
      </c>
      <c r="AZ176" s="22">
        <v>73.496899999999997</v>
      </c>
      <c r="BA176" s="22">
        <v>-1.0836800000000001E-2</v>
      </c>
      <c r="BB176" s="22">
        <v>166</v>
      </c>
      <c r="BC176" s="22">
        <v>0.73522900000000002</v>
      </c>
      <c r="BD176">
        <f t="shared" si="34"/>
        <v>10.8368</v>
      </c>
      <c r="BE176">
        <f t="shared" si="35"/>
        <v>7.9751370607999998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8.3992100000000001</v>
      </c>
      <c r="I177" s="22">
        <v>-1.06628E-2</v>
      </c>
      <c r="J177" s="22">
        <v>167</v>
      </c>
      <c r="K177" s="22">
        <v>0.95794699999999999</v>
      </c>
      <c r="L177">
        <f t="shared" si="24"/>
        <v>10.662800000000001</v>
      </c>
      <c r="M177">
        <f t="shared" si="25"/>
        <v>10.225785141999999</v>
      </c>
      <c r="N177" s="9"/>
      <c r="O177" s="22">
        <v>0.74096700000000004</v>
      </c>
      <c r="P177" s="22">
        <v>47.874499999999998</v>
      </c>
      <c r="Q177" s="22">
        <v>-1.14532E-2</v>
      </c>
      <c r="R177" s="22">
        <v>167</v>
      </c>
      <c r="S177" s="22">
        <v>0.74032600000000004</v>
      </c>
      <c r="T177">
        <f t="shared" si="26"/>
        <v>11.453200000000001</v>
      </c>
      <c r="U177">
        <f t="shared" si="27"/>
        <v>8.4864432444000002</v>
      </c>
      <c r="X177" s="9"/>
      <c r="Y177" s="22">
        <v>0.95901499999999995</v>
      </c>
      <c r="Z177" s="22">
        <v>55.686100000000003</v>
      </c>
      <c r="AA177" s="22">
        <v>-1.08612E-2</v>
      </c>
      <c r="AB177" s="22">
        <v>167</v>
      </c>
      <c r="AC177" s="22">
        <v>0.95794699999999999</v>
      </c>
      <c r="AD177">
        <f t="shared" si="28"/>
        <v>10.8612</v>
      </c>
      <c r="AE177">
        <f t="shared" si="29"/>
        <v>10.416053717999999</v>
      </c>
      <c r="AF177" s="9"/>
      <c r="AG177" s="22">
        <v>0.74096700000000004</v>
      </c>
      <c r="AH177" s="22">
        <v>61.230699999999999</v>
      </c>
      <c r="AI177" s="22">
        <v>-1.0977199999999999E-2</v>
      </c>
      <c r="AJ177" s="22">
        <v>167</v>
      </c>
      <c r="AK177" s="22">
        <v>0.74029500000000004</v>
      </c>
      <c r="AL177">
        <f t="shared" si="30"/>
        <v>10.9772</v>
      </c>
      <c r="AM177">
        <f t="shared" si="31"/>
        <v>8.1337429524000004</v>
      </c>
      <c r="AP177" s="9"/>
      <c r="AQ177" s="22">
        <v>0.95901499999999995</v>
      </c>
      <c r="AR177" s="22">
        <v>68.2303</v>
      </c>
      <c r="AS177" s="22">
        <v>-1.05133E-2</v>
      </c>
      <c r="AT177" s="22">
        <v>167</v>
      </c>
      <c r="AU177" s="22">
        <v>0.95794699999999999</v>
      </c>
      <c r="AV177">
        <f t="shared" si="32"/>
        <v>10.513299999999999</v>
      </c>
      <c r="AW177">
        <f t="shared" si="33"/>
        <v>10.082412399499999</v>
      </c>
      <c r="AX177" s="9"/>
      <c r="AY177" s="22">
        <v>0.74096700000000004</v>
      </c>
      <c r="AZ177" s="22">
        <v>73.507000000000005</v>
      </c>
      <c r="BA177" s="22">
        <v>-1.07971E-2</v>
      </c>
      <c r="BB177" s="22">
        <v>167</v>
      </c>
      <c r="BC177" s="22">
        <v>0.74029500000000004</v>
      </c>
      <c r="BD177">
        <f t="shared" si="34"/>
        <v>10.7971</v>
      </c>
      <c r="BE177">
        <f t="shared" si="35"/>
        <v>8.0002947957000003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8.4092800000000008</v>
      </c>
      <c r="I178" s="22">
        <v>-1.06873E-2</v>
      </c>
      <c r="J178" s="22">
        <v>168</v>
      </c>
      <c r="K178" s="22">
        <v>0.95306400000000002</v>
      </c>
      <c r="L178">
        <f t="shared" si="24"/>
        <v>10.6873</v>
      </c>
      <c r="M178">
        <f t="shared" si="25"/>
        <v>10.195459766700001</v>
      </c>
      <c r="N178" s="9"/>
      <c r="O178" s="22">
        <v>0.74600200000000005</v>
      </c>
      <c r="P178" s="22">
        <v>47.884500000000003</v>
      </c>
      <c r="Q178" s="22">
        <v>-1.14197E-2</v>
      </c>
      <c r="R178" s="22">
        <v>168</v>
      </c>
      <c r="S178" s="22">
        <v>0.74539200000000005</v>
      </c>
      <c r="T178">
        <f t="shared" si="26"/>
        <v>11.419699999999999</v>
      </c>
      <c r="U178">
        <f t="shared" si="27"/>
        <v>8.5191190393999996</v>
      </c>
      <c r="X178" s="9"/>
      <c r="Y178" s="22">
        <v>0.95397900000000002</v>
      </c>
      <c r="Z178" s="22">
        <v>55.696199999999997</v>
      </c>
      <c r="AA178" s="22">
        <v>-1.0888699999999999E-2</v>
      </c>
      <c r="AB178" s="22">
        <v>168</v>
      </c>
      <c r="AC178" s="22">
        <v>0.95245400000000002</v>
      </c>
      <c r="AD178">
        <f t="shared" si="28"/>
        <v>10.8887</v>
      </c>
      <c r="AE178">
        <f t="shared" si="29"/>
        <v>10.387591137299999</v>
      </c>
      <c r="AF178" s="9"/>
      <c r="AG178" s="22">
        <v>0.74600200000000005</v>
      </c>
      <c r="AH178" s="22">
        <v>61.2408</v>
      </c>
      <c r="AI178" s="22">
        <v>-1.0937499999999999E-2</v>
      </c>
      <c r="AJ178" s="22">
        <v>168</v>
      </c>
      <c r="AK178" s="22">
        <v>0.74536100000000005</v>
      </c>
      <c r="AL178">
        <f t="shared" si="30"/>
        <v>10.9375</v>
      </c>
      <c r="AM178">
        <f t="shared" si="31"/>
        <v>8.1593968750000005</v>
      </c>
      <c r="AP178" s="9"/>
      <c r="AQ178" s="22">
        <v>0.95397900000000002</v>
      </c>
      <c r="AR178" s="22">
        <v>68.240399999999994</v>
      </c>
      <c r="AS178" s="22">
        <v>-1.0543800000000001E-2</v>
      </c>
      <c r="AT178" s="22">
        <v>168</v>
      </c>
      <c r="AU178" s="22">
        <v>0.95306400000000002</v>
      </c>
      <c r="AV178">
        <f t="shared" si="32"/>
        <v>10.543800000000001</v>
      </c>
      <c r="AW178">
        <f t="shared" si="33"/>
        <v>10.058563780200002</v>
      </c>
      <c r="AX178" s="9"/>
      <c r="AY178" s="22">
        <v>0.74600200000000005</v>
      </c>
      <c r="AZ178" s="22">
        <v>73.516999999999996</v>
      </c>
      <c r="BA178" s="22">
        <v>-1.07574E-2</v>
      </c>
      <c r="BB178" s="22">
        <v>168</v>
      </c>
      <c r="BC178" s="22">
        <v>0.74536100000000005</v>
      </c>
      <c r="BD178">
        <f t="shared" si="34"/>
        <v>10.757400000000001</v>
      </c>
      <c r="BE178">
        <f t="shared" si="35"/>
        <v>8.025041914800001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8.4193499999999997</v>
      </c>
      <c r="I179" s="22">
        <v>-1.07178E-2</v>
      </c>
      <c r="J179" s="22">
        <v>169</v>
      </c>
      <c r="K179" s="22">
        <v>0.94757100000000005</v>
      </c>
      <c r="L179">
        <f t="shared" si="24"/>
        <v>10.7178</v>
      </c>
      <c r="M179">
        <f t="shared" si="25"/>
        <v>10.170592003200001</v>
      </c>
      <c r="N179" s="9"/>
      <c r="O179" s="22">
        <v>0.75103799999999998</v>
      </c>
      <c r="P179" s="22">
        <v>47.894599999999997</v>
      </c>
      <c r="Q179" s="22">
        <v>-1.13861E-2</v>
      </c>
      <c r="R179" s="22">
        <v>169</v>
      </c>
      <c r="S179" s="22">
        <v>0.75039699999999998</v>
      </c>
      <c r="T179">
        <f t="shared" si="26"/>
        <v>11.386099999999999</v>
      </c>
      <c r="U179">
        <f t="shared" si="27"/>
        <v>8.551393771799999</v>
      </c>
      <c r="X179" s="9"/>
      <c r="Y179" s="22">
        <v>0.94894400000000001</v>
      </c>
      <c r="Z179" s="22">
        <v>55.706200000000003</v>
      </c>
      <c r="AA179" s="22">
        <v>-1.09131E-2</v>
      </c>
      <c r="AB179" s="22">
        <v>169</v>
      </c>
      <c r="AC179" s="22">
        <v>0.94787600000000005</v>
      </c>
      <c r="AD179">
        <f t="shared" si="28"/>
        <v>10.9131</v>
      </c>
      <c r="AE179">
        <f t="shared" si="29"/>
        <v>10.355920766400001</v>
      </c>
      <c r="AF179" s="9"/>
      <c r="AG179" s="22">
        <v>0.75103799999999998</v>
      </c>
      <c r="AH179" s="22">
        <v>61.250900000000001</v>
      </c>
      <c r="AI179" s="22">
        <v>-1.0903899999999999E-2</v>
      </c>
      <c r="AJ179" s="22">
        <v>169</v>
      </c>
      <c r="AK179" s="22">
        <v>0.75036599999999998</v>
      </c>
      <c r="AL179">
        <f t="shared" si="30"/>
        <v>10.9039</v>
      </c>
      <c r="AM179">
        <f t="shared" si="31"/>
        <v>8.1892432482000004</v>
      </c>
      <c r="AP179" s="9"/>
      <c r="AQ179" s="22">
        <v>0.94894400000000001</v>
      </c>
      <c r="AR179" s="22">
        <v>68.250500000000002</v>
      </c>
      <c r="AS179" s="22">
        <v>-1.05713E-2</v>
      </c>
      <c r="AT179" s="22">
        <v>169</v>
      </c>
      <c r="AU179" s="22">
        <v>0.94818100000000005</v>
      </c>
      <c r="AV179">
        <f t="shared" si="32"/>
        <v>10.571300000000001</v>
      </c>
      <c r="AW179">
        <f t="shared" si="33"/>
        <v>10.031571707200001</v>
      </c>
      <c r="AX179" s="9"/>
      <c r="AY179" s="22">
        <v>0.75103799999999998</v>
      </c>
      <c r="AZ179" s="22">
        <v>73.527100000000004</v>
      </c>
      <c r="BA179" s="22">
        <v>-1.07239E-2</v>
      </c>
      <c r="BB179" s="22">
        <v>169</v>
      </c>
      <c r="BC179" s="22">
        <v>0.75036599999999998</v>
      </c>
      <c r="BD179">
        <f t="shared" si="34"/>
        <v>10.7239</v>
      </c>
      <c r="BE179">
        <f t="shared" si="35"/>
        <v>8.054056408200001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8.4294200000000004</v>
      </c>
      <c r="I180" s="22">
        <v>-1.07452E-2</v>
      </c>
      <c r="J180" s="22">
        <v>170</v>
      </c>
      <c r="K180" s="22">
        <v>0.94299299999999997</v>
      </c>
      <c r="L180">
        <f t="shared" si="24"/>
        <v>10.745200000000001</v>
      </c>
      <c r="M180">
        <f t="shared" si="25"/>
        <v>10.1424909868</v>
      </c>
      <c r="N180" s="9"/>
      <c r="O180" s="22">
        <v>0.756073</v>
      </c>
      <c r="P180" s="22">
        <v>47.904699999999998</v>
      </c>
      <c r="Q180" s="22">
        <v>-1.13556E-2</v>
      </c>
      <c r="R180" s="22">
        <v>170</v>
      </c>
      <c r="S180" s="22">
        <v>0.75500500000000004</v>
      </c>
      <c r="T180">
        <f t="shared" si="26"/>
        <v>11.355600000000001</v>
      </c>
      <c r="U180">
        <f t="shared" si="27"/>
        <v>8.5856625588000011</v>
      </c>
      <c r="X180" s="9"/>
      <c r="Y180" s="22">
        <v>0.943909</v>
      </c>
      <c r="Z180" s="22">
        <v>55.716299999999997</v>
      </c>
      <c r="AA180" s="22">
        <v>-1.09467E-2</v>
      </c>
      <c r="AB180" s="22">
        <v>170</v>
      </c>
      <c r="AC180" s="22">
        <v>0.94268799999999997</v>
      </c>
      <c r="AD180">
        <f t="shared" si="28"/>
        <v>10.9467</v>
      </c>
      <c r="AE180">
        <f t="shared" si="29"/>
        <v>10.3326886503</v>
      </c>
      <c r="AF180" s="9"/>
      <c r="AG180" s="22">
        <v>0.756073</v>
      </c>
      <c r="AH180" s="22">
        <v>61.260899999999999</v>
      </c>
      <c r="AI180" s="22">
        <v>-1.08734E-2</v>
      </c>
      <c r="AJ180" s="22">
        <v>170</v>
      </c>
      <c r="AK180" s="22">
        <v>0.75531000000000004</v>
      </c>
      <c r="AL180">
        <f t="shared" si="30"/>
        <v>10.8734</v>
      </c>
      <c r="AM180">
        <f t="shared" si="31"/>
        <v>8.2210841582</v>
      </c>
      <c r="AP180" s="9"/>
      <c r="AQ180" s="22">
        <v>0.943909</v>
      </c>
      <c r="AR180" s="22">
        <v>68.260599999999997</v>
      </c>
      <c r="AS180" s="22">
        <v>-1.06018E-2</v>
      </c>
      <c r="AT180" s="22">
        <v>170</v>
      </c>
      <c r="AU180" s="22">
        <v>0.94268799999999997</v>
      </c>
      <c r="AV180">
        <f t="shared" si="32"/>
        <v>10.601799999999999</v>
      </c>
      <c r="AW180">
        <f t="shared" si="33"/>
        <v>10.007134436199999</v>
      </c>
      <c r="AX180" s="9"/>
      <c r="AY180" s="22">
        <v>0.756073</v>
      </c>
      <c r="AZ180" s="22">
        <v>73.537199999999999</v>
      </c>
      <c r="BA180" s="22">
        <v>-1.06903E-2</v>
      </c>
      <c r="BB180" s="22">
        <v>170</v>
      </c>
      <c r="BC180" s="22">
        <v>0.75500500000000004</v>
      </c>
      <c r="BD180">
        <f t="shared" si="34"/>
        <v>10.690300000000001</v>
      </c>
      <c r="BE180">
        <f t="shared" si="35"/>
        <v>8.0826471918999996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8.4394899999999993</v>
      </c>
      <c r="I181" s="22">
        <v>-1.07727E-2</v>
      </c>
      <c r="J181" s="22">
        <v>171</v>
      </c>
      <c r="K181" s="22">
        <v>0.937805</v>
      </c>
      <c r="L181">
        <f t="shared" si="24"/>
        <v>10.7727</v>
      </c>
      <c r="M181">
        <f t="shared" si="25"/>
        <v>10.1141971671</v>
      </c>
      <c r="N181" s="9"/>
      <c r="O181" s="22">
        <v>0.76110800000000001</v>
      </c>
      <c r="P181" s="22">
        <v>47.914700000000003</v>
      </c>
      <c r="Q181" s="22">
        <v>-1.1322E-2</v>
      </c>
      <c r="R181" s="22">
        <v>171</v>
      </c>
      <c r="S181" s="22">
        <v>0.76080300000000001</v>
      </c>
      <c r="T181">
        <f t="shared" si="26"/>
        <v>11.322000000000001</v>
      </c>
      <c r="U181">
        <f t="shared" si="27"/>
        <v>8.6172647760000007</v>
      </c>
      <c r="X181" s="9"/>
      <c r="Y181" s="22">
        <v>0.93887299999999996</v>
      </c>
      <c r="Z181" s="22">
        <v>55.726399999999998</v>
      </c>
      <c r="AA181" s="22">
        <v>-1.0974100000000001E-2</v>
      </c>
      <c r="AB181" s="22">
        <v>171</v>
      </c>
      <c r="AC181" s="22">
        <v>0.93841600000000003</v>
      </c>
      <c r="AD181">
        <f t="shared" si="28"/>
        <v>10.9741</v>
      </c>
      <c r="AE181">
        <f t="shared" si="29"/>
        <v>10.3032861893</v>
      </c>
      <c r="AF181" s="9"/>
      <c r="AG181" s="22">
        <v>0.76110800000000001</v>
      </c>
      <c r="AH181" s="22">
        <v>61.271000000000001</v>
      </c>
      <c r="AI181" s="22">
        <v>-1.0842900000000001E-2</v>
      </c>
      <c r="AJ181" s="22">
        <v>171</v>
      </c>
      <c r="AK181" s="22">
        <v>0.76080300000000001</v>
      </c>
      <c r="AL181">
        <f t="shared" si="30"/>
        <v>10.8429</v>
      </c>
      <c r="AM181">
        <f t="shared" si="31"/>
        <v>8.2526179331999998</v>
      </c>
      <c r="AP181" s="9"/>
      <c r="AQ181" s="22">
        <v>0.93887299999999996</v>
      </c>
      <c r="AR181" s="22">
        <v>68.270600000000002</v>
      </c>
      <c r="AS181" s="22">
        <v>-1.06293E-2</v>
      </c>
      <c r="AT181" s="22">
        <v>171</v>
      </c>
      <c r="AU181" s="22">
        <v>0.937805</v>
      </c>
      <c r="AV181">
        <f t="shared" si="32"/>
        <v>10.629299999999999</v>
      </c>
      <c r="AW181">
        <f t="shared" si="33"/>
        <v>9.9795627788999983</v>
      </c>
      <c r="AX181" s="9"/>
      <c r="AY181" s="22">
        <v>0.76110800000000001</v>
      </c>
      <c r="AZ181" s="22">
        <v>73.547200000000004</v>
      </c>
      <c r="BA181" s="22">
        <v>-1.06567E-2</v>
      </c>
      <c r="BB181" s="22">
        <v>171</v>
      </c>
      <c r="BC181" s="22">
        <v>0.76080300000000001</v>
      </c>
      <c r="BD181">
        <f t="shared" si="34"/>
        <v>10.656700000000001</v>
      </c>
      <c r="BE181">
        <f t="shared" si="35"/>
        <v>8.1108996235999999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8.44956</v>
      </c>
      <c r="I182" s="22">
        <v>-1.0803200000000001E-2</v>
      </c>
      <c r="J182" s="22">
        <v>172</v>
      </c>
      <c r="K182" s="22">
        <v>0.93292200000000003</v>
      </c>
      <c r="L182">
        <f t="shared" si="24"/>
        <v>10.8032</v>
      </c>
      <c r="M182">
        <f t="shared" si="25"/>
        <v>10.0884386816</v>
      </c>
      <c r="N182" s="9"/>
      <c r="O182" s="22">
        <v>0.76614400000000005</v>
      </c>
      <c r="P182" s="22">
        <v>47.924799999999998</v>
      </c>
      <c r="Q182" s="22">
        <v>-1.12946E-2</v>
      </c>
      <c r="R182" s="22">
        <v>172</v>
      </c>
      <c r="S182" s="22">
        <v>0.76507599999999998</v>
      </c>
      <c r="T182">
        <f t="shared" si="26"/>
        <v>11.294600000000001</v>
      </c>
      <c r="U182">
        <f t="shared" si="27"/>
        <v>8.653290022400002</v>
      </c>
      <c r="X182" s="9"/>
      <c r="Y182" s="22">
        <v>0.93383799999999995</v>
      </c>
      <c r="Z182" s="22">
        <v>55.736400000000003</v>
      </c>
      <c r="AA182" s="22">
        <v>-1.10016E-2</v>
      </c>
      <c r="AB182" s="22">
        <v>172</v>
      </c>
      <c r="AC182" s="22">
        <v>0.93292200000000003</v>
      </c>
      <c r="AD182">
        <f t="shared" si="28"/>
        <v>11.0016</v>
      </c>
      <c r="AE182">
        <f t="shared" si="29"/>
        <v>10.273712140799999</v>
      </c>
      <c r="AF182" s="9"/>
      <c r="AG182" s="22">
        <v>0.76614400000000005</v>
      </c>
      <c r="AH182" s="22">
        <v>61.281100000000002</v>
      </c>
      <c r="AI182" s="22">
        <v>-1.0803200000000001E-2</v>
      </c>
      <c r="AJ182" s="22">
        <v>172</v>
      </c>
      <c r="AK182" s="22">
        <v>0.76507599999999998</v>
      </c>
      <c r="AL182">
        <f t="shared" si="30"/>
        <v>10.8032</v>
      </c>
      <c r="AM182">
        <f t="shared" si="31"/>
        <v>8.2768068608000007</v>
      </c>
      <c r="AP182" s="9"/>
      <c r="AQ182" s="22">
        <v>0.93383799999999995</v>
      </c>
      <c r="AR182" s="22">
        <v>68.280699999999996</v>
      </c>
      <c r="AS182" s="22">
        <v>-1.0659800000000001E-2</v>
      </c>
      <c r="AT182" s="22">
        <v>172</v>
      </c>
      <c r="AU182" s="22">
        <v>0.93322799999999995</v>
      </c>
      <c r="AV182">
        <f t="shared" si="32"/>
        <v>10.659800000000001</v>
      </c>
      <c r="AW182">
        <f t="shared" si="33"/>
        <v>9.9545263124000005</v>
      </c>
      <c r="AX182" s="9"/>
      <c r="AY182" s="22">
        <v>0.76614400000000005</v>
      </c>
      <c r="AZ182" s="22">
        <v>73.557299999999998</v>
      </c>
      <c r="BA182" s="22">
        <v>-1.0617100000000001E-2</v>
      </c>
      <c r="BB182" s="22">
        <v>172</v>
      </c>
      <c r="BC182" s="22">
        <v>0.76477099999999998</v>
      </c>
      <c r="BD182">
        <f t="shared" si="34"/>
        <v>10.617100000000001</v>
      </c>
      <c r="BE182">
        <f t="shared" si="35"/>
        <v>8.1342274624000002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8.4596400000000003</v>
      </c>
      <c r="I183" s="22">
        <v>-1.08307E-2</v>
      </c>
      <c r="J183" s="22">
        <v>173</v>
      </c>
      <c r="K183" s="22">
        <v>0.92864999999999998</v>
      </c>
      <c r="L183">
        <f t="shared" si="24"/>
        <v>10.8307</v>
      </c>
      <c r="M183">
        <f t="shared" si="25"/>
        <v>10.059575821400001</v>
      </c>
      <c r="N183" s="9"/>
      <c r="O183" s="22">
        <v>0.77117899999999995</v>
      </c>
      <c r="P183" s="22">
        <v>47.934899999999999</v>
      </c>
      <c r="Q183" s="22">
        <v>-1.1264E-2</v>
      </c>
      <c r="R183" s="22">
        <v>173</v>
      </c>
      <c r="S183" s="22">
        <v>0.77087399999999995</v>
      </c>
      <c r="T183">
        <f t="shared" si="26"/>
        <v>11.263999999999999</v>
      </c>
      <c r="U183">
        <f t="shared" si="27"/>
        <v>8.6865602559999981</v>
      </c>
      <c r="X183" s="9"/>
      <c r="Y183" s="22">
        <v>0.92880200000000002</v>
      </c>
      <c r="Z183" s="22">
        <v>55.746499999999997</v>
      </c>
      <c r="AA183" s="22">
        <v>-1.1025999999999999E-2</v>
      </c>
      <c r="AB183" s="22">
        <v>173</v>
      </c>
      <c r="AC183" s="22">
        <v>0.92803999999999998</v>
      </c>
      <c r="AD183">
        <f t="shared" si="28"/>
        <v>11.026</v>
      </c>
      <c r="AE183">
        <f t="shared" si="29"/>
        <v>10.240970852</v>
      </c>
      <c r="AF183" s="9"/>
      <c r="AG183" s="22">
        <v>0.77117899999999995</v>
      </c>
      <c r="AH183" s="22">
        <v>61.2911</v>
      </c>
      <c r="AI183" s="22">
        <v>-1.07697E-2</v>
      </c>
      <c r="AJ183" s="22">
        <v>173</v>
      </c>
      <c r="AK183" s="22">
        <v>0.76995800000000003</v>
      </c>
      <c r="AL183">
        <f t="shared" si="30"/>
        <v>10.7697</v>
      </c>
      <c r="AM183">
        <f t="shared" si="31"/>
        <v>8.3053664762999997</v>
      </c>
      <c r="AP183" s="9"/>
      <c r="AQ183" s="22">
        <v>0.92880200000000002</v>
      </c>
      <c r="AR183" s="22">
        <v>68.290800000000004</v>
      </c>
      <c r="AS183" s="22">
        <v>-1.06903E-2</v>
      </c>
      <c r="AT183" s="22">
        <v>173</v>
      </c>
      <c r="AU183" s="22">
        <v>0.92803999999999998</v>
      </c>
      <c r="AV183">
        <f t="shared" si="32"/>
        <v>10.690300000000001</v>
      </c>
      <c r="AW183">
        <f t="shared" si="33"/>
        <v>9.9291720206000011</v>
      </c>
      <c r="AX183" s="9"/>
      <c r="AY183" s="22">
        <v>0.77117899999999995</v>
      </c>
      <c r="AZ183" s="22">
        <v>73.567400000000006</v>
      </c>
      <c r="BA183" s="22">
        <v>-1.0589599999999999E-2</v>
      </c>
      <c r="BB183" s="22">
        <v>173</v>
      </c>
      <c r="BC183" s="22">
        <v>0.77026399999999995</v>
      </c>
      <c r="BD183">
        <f t="shared" si="34"/>
        <v>10.589599999999999</v>
      </c>
      <c r="BE183">
        <f t="shared" si="35"/>
        <v>8.1664771383999994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8.4697099999999992</v>
      </c>
      <c r="I184" s="22">
        <v>-1.08612E-2</v>
      </c>
      <c r="J184" s="22">
        <v>174</v>
      </c>
      <c r="K184" s="22">
        <v>0.92285200000000001</v>
      </c>
      <c r="L184">
        <f t="shared" si="24"/>
        <v>10.8612</v>
      </c>
      <c r="M184">
        <f t="shared" si="25"/>
        <v>10.033218140400001</v>
      </c>
      <c r="N184" s="9"/>
      <c r="O184" s="22">
        <v>0.77621499999999999</v>
      </c>
      <c r="P184" s="22">
        <v>47.944899999999997</v>
      </c>
      <c r="Q184" s="22">
        <v>-1.12335E-2</v>
      </c>
      <c r="R184" s="22">
        <v>174</v>
      </c>
      <c r="S184" s="22">
        <v>0.77545200000000003</v>
      </c>
      <c r="T184">
        <f t="shared" si="26"/>
        <v>11.233500000000001</v>
      </c>
      <c r="U184">
        <f t="shared" si="27"/>
        <v>8.7196112025000012</v>
      </c>
      <c r="X184" s="9"/>
      <c r="Y184" s="22">
        <v>0.923767</v>
      </c>
      <c r="Z184" s="22">
        <v>55.756599999999999</v>
      </c>
      <c r="AA184" s="22">
        <v>-1.1047400000000001E-2</v>
      </c>
      <c r="AB184" s="22">
        <v>174</v>
      </c>
      <c r="AC184" s="22">
        <v>0.92254599999999998</v>
      </c>
      <c r="AD184">
        <f t="shared" si="28"/>
        <v>11.047400000000001</v>
      </c>
      <c r="AE184">
        <f t="shared" si="29"/>
        <v>10.205223555800002</v>
      </c>
      <c r="AF184" s="9"/>
      <c r="AG184" s="22">
        <v>0.77621499999999999</v>
      </c>
      <c r="AH184" s="22">
        <v>61.301200000000001</v>
      </c>
      <c r="AI184" s="22">
        <v>-1.07361E-2</v>
      </c>
      <c r="AJ184" s="22">
        <v>174</v>
      </c>
      <c r="AK184" s="22">
        <v>0.775146</v>
      </c>
      <c r="AL184">
        <f t="shared" si="30"/>
        <v>10.7361</v>
      </c>
      <c r="AM184">
        <f t="shared" si="31"/>
        <v>8.3335218614999995</v>
      </c>
      <c r="AP184" s="9"/>
      <c r="AQ184" s="22">
        <v>0.923767</v>
      </c>
      <c r="AR184" s="22">
        <v>68.300799999999995</v>
      </c>
      <c r="AS184" s="22">
        <v>-1.07178E-2</v>
      </c>
      <c r="AT184" s="22">
        <v>174</v>
      </c>
      <c r="AU184" s="22">
        <v>0.92285200000000001</v>
      </c>
      <c r="AV184">
        <f t="shared" si="32"/>
        <v>10.7178</v>
      </c>
      <c r="AW184">
        <f t="shared" si="33"/>
        <v>9.9007499526</v>
      </c>
      <c r="AX184" s="9"/>
      <c r="AY184" s="22">
        <v>0.77621499999999999</v>
      </c>
      <c r="AZ184" s="22">
        <v>73.577500000000001</v>
      </c>
      <c r="BA184" s="22">
        <v>-1.05591E-2</v>
      </c>
      <c r="BB184" s="22">
        <v>174</v>
      </c>
      <c r="BC184" s="22">
        <v>0.775146</v>
      </c>
      <c r="BD184">
        <f t="shared" si="34"/>
        <v>10.559100000000001</v>
      </c>
      <c r="BE184">
        <f t="shared" si="35"/>
        <v>8.1961318065000004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8.4797799999999999</v>
      </c>
      <c r="I185" s="22">
        <v>-1.08856E-2</v>
      </c>
      <c r="J185" s="22">
        <v>175</v>
      </c>
      <c r="K185" s="22">
        <v>0.91827400000000003</v>
      </c>
      <c r="L185">
        <f t="shared" si="24"/>
        <v>10.8856</v>
      </c>
      <c r="M185">
        <f t="shared" si="25"/>
        <v>10.0009490592</v>
      </c>
      <c r="N185" s="9"/>
      <c r="O185" s="22">
        <v>0.78125</v>
      </c>
      <c r="P185" s="22">
        <v>47.954999999999998</v>
      </c>
      <c r="Q185" s="22">
        <v>-1.12E-2</v>
      </c>
      <c r="R185" s="22">
        <v>175</v>
      </c>
      <c r="S185" s="22">
        <v>0.78033399999999997</v>
      </c>
      <c r="T185">
        <f t="shared" si="26"/>
        <v>11.2</v>
      </c>
      <c r="U185">
        <f t="shared" si="27"/>
        <v>8.75</v>
      </c>
      <c r="X185" s="9"/>
      <c r="Y185" s="22">
        <v>0.91873199999999999</v>
      </c>
      <c r="Z185" s="22">
        <v>55.7667</v>
      </c>
      <c r="AA185" s="22">
        <v>-1.10718E-2</v>
      </c>
      <c r="AB185" s="22">
        <v>175</v>
      </c>
      <c r="AC185" s="22">
        <v>0.91827400000000003</v>
      </c>
      <c r="AD185">
        <f t="shared" si="28"/>
        <v>11.0718</v>
      </c>
      <c r="AE185">
        <f t="shared" si="29"/>
        <v>10.1720169576</v>
      </c>
      <c r="AF185" s="9"/>
      <c r="AG185" s="22">
        <v>0.78125</v>
      </c>
      <c r="AH185" s="22">
        <v>61.311300000000003</v>
      </c>
      <c r="AI185" s="22">
        <v>-1.07025E-2</v>
      </c>
      <c r="AJ185" s="22">
        <v>175</v>
      </c>
      <c r="AK185" s="22">
        <v>0.78064</v>
      </c>
      <c r="AL185">
        <f t="shared" si="30"/>
        <v>10.702500000000001</v>
      </c>
      <c r="AM185">
        <f t="shared" si="31"/>
        <v>8.361328125</v>
      </c>
      <c r="AP185" s="9"/>
      <c r="AQ185" s="22">
        <v>0.91873199999999999</v>
      </c>
      <c r="AR185" s="22">
        <v>68.310900000000004</v>
      </c>
      <c r="AS185" s="22">
        <v>-1.07452E-2</v>
      </c>
      <c r="AT185" s="22">
        <v>175</v>
      </c>
      <c r="AU185" s="22">
        <v>0.91827400000000003</v>
      </c>
      <c r="AV185">
        <f t="shared" si="32"/>
        <v>10.745200000000001</v>
      </c>
      <c r="AW185">
        <f t="shared" si="33"/>
        <v>9.8719590864000004</v>
      </c>
      <c r="AX185" s="9"/>
      <c r="AY185" s="22">
        <v>0.78125</v>
      </c>
      <c r="AZ185" s="22">
        <v>73.587500000000006</v>
      </c>
      <c r="BA185" s="22">
        <v>-1.05255E-2</v>
      </c>
      <c r="BB185" s="22">
        <v>175</v>
      </c>
      <c r="BC185" s="22">
        <v>0.78033399999999997</v>
      </c>
      <c r="BD185">
        <f t="shared" si="34"/>
        <v>10.525500000000001</v>
      </c>
      <c r="BE185">
        <f t="shared" si="35"/>
        <v>8.2230468750000014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8.4898500000000006</v>
      </c>
      <c r="I186" s="22">
        <v>-1.09131E-2</v>
      </c>
      <c r="J186" s="22">
        <v>176</v>
      </c>
      <c r="K186" s="22">
        <v>0.91278099999999995</v>
      </c>
      <c r="L186">
        <f t="shared" si="24"/>
        <v>10.9131</v>
      </c>
      <c r="M186">
        <f t="shared" si="25"/>
        <v>9.9712558175999995</v>
      </c>
      <c r="N186" s="9"/>
      <c r="O186" s="22">
        <v>0.78628500000000001</v>
      </c>
      <c r="P186" s="22">
        <v>47.9651</v>
      </c>
      <c r="Q186" s="22">
        <v>-1.11664E-2</v>
      </c>
      <c r="R186" s="22">
        <v>176</v>
      </c>
      <c r="S186" s="22">
        <v>0.78552200000000005</v>
      </c>
      <c r="T186">
        <f t="shared" si="26"/>
        <v>11.166399999999999</v>
      </c>
      <c r="U186">
        <f t="shared" si="27"/>
        <v>8.7799728239999997</v>
      </c>
      <c r="X186" s="9"/>
      <c r="Y186" s="22">
        <v>0.91369599999999995</v>
      </c>
      <c r="Z186" s="22">
        <v>55.776699999999998</v>
      </c>
      <c r="AA186" s="22">
        <v>-1.10931E-2</v>
      </c>
      <c r="AB186" s="22">
        <v>176</v>
      </c>
      <c r="AC186" s="22">
        <v>0.91247599999999995</v>
      </c>
      <c r="AD186">
        <f t="shared" si="28"/>
        <v>11.0931</v>
      </c>
      <c r="AE186">
        <f t="shared" si="29"/>
        <v>10.135721097599999</v>
      </c>
      <c r="AF186" s="9"/>
      <c r="AG186" s="22">
        <v>0.78628500000000001</v>
      </c>
      <c r="AH186" s="22">
        <v>61.321399999999997</v>
      </c>
      <c r="AI186" s="22">
        <v>-1.06689E-2</v>
      </c>
      <c r="AJ186" s="22">
        <v>176</v>
      </c>
      <c r="AK186" s="22">
        <v>0.78460700000000005</v>
      </c>
      <c r="AL186">
        <f t="shared" si="30"/>
        <v>10.668900000000001</v>
      </c>
      <c r="AM186">
        <f t="shared" si="31"/>
        <v>8.3887960365000005</v>
      </c>
      <c r="AP186" s="9"/>
      <c r="AQ186" s="22">
        <v>0.91369599999999995</v>
      </c>
      <c r="AR186" s="22">
        <v>68.320999999999998</v>
      </c>
      <c r="AS186" s="22">
        <v>-1.07758E-2</v>
      </c>
      <c r="AT186" s="22">
        <v>176</v>
      </c>
      <c r="AU186" s="22">
        <v>0.91278099999999995</v>
      </c>
      <c r="AV186">
        <f t="shared" si="32"/>
        <v>10.7758</v>
      </c>
      <c r="AW186">
        <f t="shared" si="33"/>
        <v>9.8458053567999997</v>
      </c>
      <c r="AX186" s="9"/>
      <c r="AY186" s="22">
        <v>0.78628500000000001</v>
      </c>
      <c r="AZ186" s="22">
        <v>73.5976</v>
      </c>
      <c r="BA186" s="22">
        <v>-1.04919E-2</v>
      </c>
      <c r="BB186" s="22">
        <v>176</v>
      </c>
      <c r="BC186" s="22">
        <v>0.78582799999999997</v>
      </c>
      <c r="BD186">
        <f t="shared" si="34"/>
        <v>10.491899999999999</v>
      </c>
      <c r="BE186">
        <f t="shared" si="35"/>
        <v>8.2496235914999989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8.4999199999999995</v>
      </c>
      <c r="I187" s="22">
        <v>-1.09406E-2</v>
      </c>
      <c r="J187" s="22">
        <v>177</v>
      </c>
      <c r="K187" s="22">
        <v>0.90759299999999998</v>
      </c>
      <c r="L187">
        <f t="shared" si="24"/>
        <v>10.9406</v>
      </c>
      <c r="M187">
        <f t="shared" si="25"/>
        <v>9.9412965366000012</v>
      </c>
      <c r="N187" s="9"/>
      <c r="O187" s="22">
        <v>0.79132100000000005</v>
      </c>
      <c r="P187" s="22">
        <v>47.975200000000001</v>
      </c>
      <c r="Q187" s="22">
        <v>-1.11298E-2</v>
      </c>
      <c r="R187" s="22">
        <v>177</v>
      </c>
      <c r="S187" s="22">
        <v>0.79071000000000002</v>
      </c>
      <c r="T187">
        <f t="shared" si="26"/>
        <v>11.129800000000001</v>
      </c>
      <c r="U187">
        <f t="shared" si="27"/>
        <v>8.807244465800002</v>
      </c>
      <c r="X187" s="9"/>
      <c r="Y187" s="22">
        <v>0.90866100000000005</v>
      </c>
      <c r="Z187" s="22">
        <v>55.786799999999999</v>
      </c>
      <c r="AA187" s="22">
        <v>-1.11237E-2</v>
      </c>
      <c r="AB187" s="22">
        <v>177</v>
      </c>
      <c r="AC187" s="22">
        <v>0.90759299999999998</v>
      </c>
      <c r="AD187">
        <f t="shared" si="28"/>
        <v>11.123699999999999</v>
      </c>
      <c r="AE187">
        <f t="shared" si="29"/>
        <v>10.107672365700001</v>
      </c>
      <c r="AF187" s="9"/>
      <c r="AG187" s="22">
        <v>0.79132100000000005</v>
      </c>
      <c r="AH187" s="22">
        <v>61.331400000000002</v>
      </c>
      <c r="AI187" s="22">
        <v>-1.06354E-2</v>
      </c>
      <c r="AJ187" s="22">
        <v>177</v>
      </c>
      <c r="AK187" s="22">
        <v>0.79010000000000002</v>
      </c>
      <c r="AL187">
        <f t="shared" si="30"/>
        <v>10.635399999999999</v>
      </c>
      <c r="AM187">
        <f t="shared" si="31"/>
        <v>8.4160153633999997</v>
      </c>
      <c r="AP187" s="9"/>
      <c r="AQ187" s="22">
        <v>0.90866100000000005</v>
      </c>
      <c r="AR187" s="22">
        <v>68.331100000000006</v>
      </c>
      <c r="AS187" s="22">
        <v>-1.07971E-2</v>
      </c>
      <c r="AT187" s="22">
        <v>177</v>
      </c>
      <c r="AU187" s="22">
        <v>0.90728799999999998</v>
      </c>
      <c r="AV187">
        <f t="shared" si="32"/>
        <v>10.7971</v>
      </c>
      <c r="AW187">
        <f t="shared" si="33"/>
        <v>9.8109036831000012</v>
      </c>
      <c r="AX187" s="9"/>
      <c r="AY187" s="22">
        <v>0.79132100000000005</v>
      </c>
      <c r="AZ187" s="22">
        <v>73.607699999999994</v>
      </c>
      <c r="BA187" s="22">
        <v>-1.04584E-2</v>
      </c>
      <c r="BB187" s="22">
        <v>177</v>
      </c>
      <c r="BC187" s="22">
        <v>0.79010000000000002</v>
      </c>
      <c r="BD187">
        <f t="shared" si="34"/>
        <v>10.458399999999999</v>
      </c>
      <c r="BE187">
        <f t="shared" si="35"/>
        <v>8.2759515464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8.5099900000000002</v>
      </c>
      <c r="I188" s="22">
        <v>-1.09619E-2</v>
      </c>
      <c r="J188" s="22">
        <v>178</v>
      </c>
      <c r="K188" s="22">
        <v>0.90240500000000001</v>
      </c>
      <c r="L188">
        <f t="shared" si="24"/>
        <v>10.9619</v>
      </c>
      <c r="M188">
        <f t="shared" si="25"/>
        <v>9.9054468875000001</v>
      </c>
      <c r="N188" s="9"/>
      <c r="O188" s="22">
        <v>0.79635599999999995</v>
      </c>
      <c r="P188" s="22">
        <v>47.985199999999999</v>
      </c>
      <c r="Q188" s="22">
        <v>-1.1096200000000001E-2</v>
      </c>
      <c r="R188" s="22">
        <v>178</v>
      </c>
      <c r="S188" s="22">
        <v>0.79559299999999999</v>
      </c>
      <c r="T188">
        <f t="shared" si="26"/>
        <v>11.0962</v>
      </c>
      <c r="U188">
        <f t="shared" si="27"/>
        <v>8.8365254471999997</v>
      </c>
      <c r="X188" s="9"/>
      <c r="Y188" s="22">
        <v>0.90362500000000001</v>
      </c>
      <c r="Z188" s="22">
        <v>55.796900000000001</v>
      </c>
      <c r="AA188" s="22">
        <v>-1.1148099999999999E-2</v>
      </c>
      <c r="AB188" s="22">
        <v>178</v>
      </c>
      <c r="AC188" s="22">
        <v>0.90240500000000001</v>
      </c>
      <c r="AD188">
        <f t="shared" si="28"/>
        <v>11.148099999999999</v>
      </c>
      <c r="AE188">
        <f t="shared" si="29"/>
        <v>10.0737018625</v>
      </c>
      <c r="AF188" s="9"/>
      <c r="AG188" s="22">
        <v>0.79635599999999995</v>
      </c>
      <c r="AH188" s="22">
        <v>61.341500000000003</v>
      </c>
      <c r="AI188" s="22">
        <v>-1.06049E-2</v>
      </c>
      <c r="AJ188" s="22">
        <v>178</v>
      </c>
      <c r="AK188" s="22">
        <v>0.79559299999999999</v>
      </c>
      <c r="AL188">
        <f t="shared" si="30"/>
        <v>10.604900000000001</v>
      </c>
      <c r="AM188">
        <f t="shared" si="31"/>
        <v>8.4452757444</v>
      </c>
      <c r="AP188" s="9"/>
      <c r="AQ188" s="22">
        <v>0.90362500000000001</v>
      </c>
      <c r="AR188" s="22">
        <v>68.341099999999997</v>
      </c>
      <c r="AS188" s="22">
        <v>-1.08215E-2</v>
      </c>
      <c r="AT188" s="22">
        <v>178</v>
      </c>
      <c r="AU188" s="22">
        <v>0.90240500000000001</v>
      </c>
      <c r="AV188">
        <f t="shared" si="32"/>
        <v>10.8215</v>
      </c>
      <c r="AW188">
        <f t="shared" si="33"/>
        <v>9.7785779374999997</v>
      </c>
      <c r="AX188" s="9"/>
      <c r="AY188" s="22">
        <v>0.79635599999999995</v>
      </c>
      <c r="AZ188" s="22">
        <v>73.617699999999999</v>
      </c>
      <c r="BA188" s="22">
        <v>-1.04248E-2</v>
      </c>
      <c r="BB188" s="22">
        <v>178</v>
      </c>
      <c r="BC188" s="22">
        <v>0.794983</v>
      </c>
      <c r="BD188">
        <f t="shared" si="34"/>
        <v>10.424799999999999</v>
      </c>
      <c r="BE188">
        <f t="shared" si="35"/>
        <v>8.3018520287999991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8.5200600000000009</v>
      </c>
      <c r="I189" s="22">
        <v>-1.09894E-2</v>
      </c>
      <c r="J189" s="22">
        <v>179</v>
      </c>
      <c r="K189" s="22">
        <v>0.89721700000000004</v>
      </c>
      <c r="L189">
        <f t="shared" si="24"/>
        <v>10.9894</v>
      </c>
      <c r="M189">
        <f t="shared" si="25"/>
        <v>9.8749649460000004</v>
      </c>
      <c r="N189" s="9"/>
      <c r="O189" s="22">
        <v>0.80139199999999999</v>
      </c>
      <c r="P189" s="22">
        <v>47.9953</v>
      </c>
      <c r="Q189" s="22">
        <v>-1.1059599999999999E-2</v>
      </c>
      <c r="R189" s="22">
        <v>179</v>
      </c>
      <c r="S189" s="22">
        <v>0.80047599999999997</v>
      </c>
      <c r="T189">
        <f t="shared" si="26"/>
        <v>11.0596</v>
      </c>
      <c r="U189">
        <f t="shared" si="27"/>
        <v>8.863074963199999</v>
      </c>
      <c r="X189" s="9"/>
      <c r="Y189" s="22">
        <v>0.89859</v>
      </c>
      <c r="Z189" s="22">
        <v>55.806899999999999</v>
      </c>
      <c r="AA189" s="22">
        <v>-1.11755E-2</v>
      </c>
      <c r="AB189" s="22">
        <v>179</v>
      </c>
      <c r="AC189" s="22">
        <v>0.89752200000000004</v>
      </c>
      <c r="AD189">
        <f t="shared" si="28"/>
        <v>11.1755</v>
      </c>
      <c r="AE189">
        <f t="shared" si="29"/>
        <v>10.042192544999999</v>
      </c>
      <c r="AF189" s="9"/>
      <c r="AG189" s="22">
        <v>0.80139199999999999</v>
      </c>
      <c r="AH189" s="22">
        <v>61.351599999999998</v>
      </c>
      <c r="AI189" s="22">
        <v>-1.05682E-2</v>
      </c>
      <c r="AJ189" s="22">
        <v>179</v>
      </c>
      <c r="AK189" s="22">
        <v>0.80017099999999997</v>
      </c>
      <c r="AL189">
        <f t="shared" si="30"/>
        <v>10.568199999999999</v>
      </c>
      <c r="AM189">
        <f t="shared" si="31"/>
        <v>8.469270934399999</v>
      </c>
      <c r="AP189" s="9"/>
      <c r="AQ189" s="22">
        <v>0.89859</v>
      </c>
      <c r="AR189" s="22">
        <v>68.351200000000006</v>
      </c>
      <c r="AS189" s="22">
        <v>-1.08459E-2</v>
      </c>
      <c r="AT189" s="22">
        <v>179</v>
      </c>
      <c r="AU189" s="22">
        <v>0.89782700000000004</v>
      </c>
      <c r="AV189">
        <f t="shared" si="32"/>
        <v>10.8459</v>
      </c>
      <c r="AW189">
        <f t="shared" si="33"/>
        <v>9.7460172810000003</v>
      </c>
      <c r="AX189" s="9"/>
      <c r="AY189" s="22">
        <v>0.80139199999999999</v>
      </c>
      <c r="AZ189" s="22">
        <v>73.627799999999993</v>
      </c>
      <c r="BA189" s="22">
        <v>-1.03851E-2</v>
      </c>
      <c r="BB189" s="22">
        <v>179</v>
      </c>
      <c r="BC189" s="22">
        <v>0.80017099999999997</v>
      </c>
      <c r="BD189">
        <f t="shared" si="34"/>
        <v>10.3851</v>
      </c>
      <c r="BE189">
        <f t="shared" si="35"/>
        <v>8.3225360591999991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8.5301299999999998</v>
      </c>
      <c r="I190" s="22">
        <v>-1.10077E-2</v>
      </c>
      <c r="J190" s="22">
        <v>180</v>
      </c>
      <c r="K190" s="22">
        <v>0.89324999999999999</v>
      </c>
      <c r="L190">
        <f t="shared" si="24"/>
        <v>11.0077</v>
      </c>
      <c r="M190">
        <f t="shared" si="25"/>
        <v>9.8359853734999998</v>
      </c>
      <c r="N190" s="9"/>
      <c r="O190" s="22">
        <v>0.806427</v>
      </c>
      <c r="P190" s="22">
        <v>48.005400000000002</v>
      </c>
      <c r="Q190" s="22">
        <v>-1.1025999999999999E-2</v>
      </c>
      <c r="R190" s="22">
        <v>180</v>
      </c>
      <c r="S190" s="22">
        <v>0.80566400000000005</v>
      </c>
      <c r="T190">
        <f t="shared" si="26"/>
        <v>11.026</v>
      </c>
      <c r="U190">
        <f t="shared" si="27"/>
        <v>8.891664102</v>
      </c>
      <c r="X190" s="9"/>
      <c r="Y190" s="22">
        <v>0.89355499999999999</v>
      </c>
      <c r="Z190" s="22">
        <v>55.817</v>
      </c>
      <c r="AA190" s="22">
        <v>-1.1202999999999999E-2</v>
      </c>
      <c r="AB190" s="22">
        <v>180</v>
      </c>
      <c r="AC190" s="22">
        <v>0.89233399999999996</v>
      </c>
      <c r="AD190">
        <f t="shared" si="28"/>
        <v>11.202999999999999</v>
      </c>
      <c r="AE190">
        <f t="shared" si="29"/>
        <v>10.010496665</v>
      </c>
      <c r="AF190" s="9"/>
      <c r="AG190" s="22">
        <v>0.806427</v>
      </c>
      <c r="AH190" s="22">
        <v>61.361600000000003</v>
      </c>
      <c r="AI190" s="22">
        <v>-1.05316E-2</v>
      </c>
      <c r="AJ190" s="22">
        <v>180</v>
      </c>
      <c r="AK190" s="22">
        <v>0.80535900000000005</v>
      </c>
      <c r="AL190">
        <f t="shared" si="30"/>
        <v>10.531600000000001</v>
      </c>
      <c r="AM190">
        <f t="shared" si="31"/>
        <v>8.4929665932000002</v>
      </c>
      <c r="AP190" s="9"/>
      <c r="AQ190" s="22">
        <v>0.89355499999999999</v>
      </c>
      <c r="AR190" s="22">
        <v>68.3613</v>
      </c>
      <c r="AS190" s="22">
        <v>-1.08734E-2</v>
      </c>
      <c r="AT190" s="22">
        <v>180</v>
      </c>
      <c r="AU190" s="22">
        <v>0.89263899999999996</v>
      </c>
      <c r="AV190">
        <f t="shared" si="32"/>
        <v>10.8734</v>
      </c>
      <c r="AW190">
        <f t="shared" si="33"/>
        <v>9.7159809369999994</v>
      </c>
      <c r="AX190" s="9"/>
      <c r="AY190" s="22">
        <v>0.806427</v>
      </c>
      <c r="AZ190" s="22">
        <v>73.637900000000002</v>
      </c>
      <c r="BA190" s="22">
        <v>-1.0351600000000001E-2</v>
      </c>
      <c r="BB190" s="22">
        <v>180</v>
      </c>
      <c r="BC190" s="22">
        <v>0.80505400000000005</v>
      </c>
      <c r="BD190">
        <f t="shared" si="34"/>
        <v>10.351600000000001</v>
      </c>
      <c r="BE190">
        <f t="shared" si="35"/>
        <v>8.3478097332000019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8.5402000000000005</v>
      </c>
      <c r="I191" s="22">
        <v>-1.10291E-2</v>
      </c>
      <c r="J191" s="22">
        <v>181</v>
      </c>
      <c r="K191" s="22">
        <v>0.88745099999999999</v>
      </c>
      <c r="L191">
        <f t="shared" si="24"/>
        <v>11.0291</v>
      </c>
      <c r="M191">
        <f t="shared" si="25"/>
        <v>9.7995649028999985</v>
      </c>
      <c r="N191" s="9"/>
      <c r="O191" s="22">
        <v>0.81146200000000002</v>
      </c>
      <c r="P191" s="22">
        <v>48.0154</v>
      </c>
      <c r="Q191" s="22">
        <v>-1.09894E-2</v>
      </c>
      <c r="R191" s="22">
        <v>181</v>
      </c>
      <c r="S191" s="22">
        <v>0.81085200000000002</v>
      </c>
      <c r="T191">
        <f t="shared" si="26"/>
        <v>10.9894</v>
      </c>
      <c r="U191">
        <f t="shared" si="27"/>
        <v>8.9174805028000002</v>
      </c>
      <c r="X191" s="9"/>
      <c r="Y191" s="22">
        <v>0.88851899999999995</v>
      </c>
      <c r="Z191" s="22">
        <v>55.827100000000002</v>
      </c>
      <c r="AA191" s="22">
        <v>-1.12274E-2</v>
      </c>
      <c r="AB191" s="22">
        <v>181</v>
      </c>
      <c r="AC191" s="22">
        <v>0.88714599999999999</v>
      </c>
      <c r="AD191">
        <f t="shared" si="28"/>
        <v>11.227399999999999</v>
      </c>
      <c r="AE191">
        <f t="shared" si="29"/>
        <v>9.9757582205999995</v>
      </c>
      <c r="AF191" s="9"/>
      <c r="AG191" s="22">
        <v>0.81146200000000002</v>
      </c>
      <c r="AH191" s="22">
        <v>61.371699999999997</v>
      </c>
      <c r="AI191" s="22">
        <v>-1.0501099999999999E-2</v>
      </c>
      <c r="AJ191" s="22">
        <v>181</v>
      </c>
      <c r="AK191" s="22">
        <v>0.81024200000000002</v>
      </c>
      <c r="AL191">
        <f t="shared" si="30"/>
        <v>10.501099999999999</v>
      </c>
      <c r="AM191">
        <f t="shared" si="31"/>
        <v>8.5212436081999989</v>
      </c>
      <c r="AP191" s="9"/>
      <c r="AQ191" s="22">
        <v>0.88851899999999995</v>
      </c>
      <c r="AR191" s="22">
        <v>68.371300000000005</v>
      </c>
      <c r="AS191" s="22">
        <v>-1.0903899999999999E-2</v>
      </c>
      <c r="AT191" s="22">
        <v>181</v>
      </c>
      <c r="AU191" s="22">
        <v>0.88775599999999999</v>
      </c>
      <c r="AV191">
        <f t="shared" si="32"/>
        <v>10.9039</v>
      </c>
      <c r="AW191">
        <f t="shared" si="33"/>
        <v>9.6883223240999996</v>
      </c>
      <c r="AX191" s="9"/>
      <c r="AY191" s="22">
        <v>0.81146200000000002</v>
      </c>
      <c r="AZ191" s="22">
        <v>73.647999999999996</v>
      </c>
      <c r="BA191" s="22">
        <v>-1.03149E-2</v>
      </c>
      <c r="BB191" s="22">
        <v>181</v>
      </c>
      <c r="BC191" s="22">
        <v>0.81024200000000002</v>
      </c>
      <c r="BD191">
        <f t="shared" si="34"/>
        <v>10.3149</v>
      </c>
      <c r="BE191">
        <f t="shared" si="35"/>
        <v>8.3701493837999994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8.5502699999999994</v>
      </c>
      <c r="I192" s="22">
        <v>-1.10504E-2</v>
      </c>
      <c r="J192" s="22">
        <v>182</v>
      </c>
      <c r="K192" s="22">
        <v>0.88287400000000005</v>
      </c>
      <c r="L192">
        <f t="shared" si="24"/>
        <v>11.0504</v>
      </c>
      <c r="M192">
        <f t="shared" si="25"/>
        <v>9.7628515936000007</v>
      </c>
      <c r="N192" s="9"/>
      <c r="O192" s="22">
        <v>0.81649799999999995</v>
      </c>
      <c r="P192" s="22">
        <v>48.025500000000001</v>
      </c>
      <c r="Q192" s="22">
        <v>-1.09558E-2</v>
      </c>
      <c r="R192" s="22">
        <v>182</v>
      </c>
      <c r="S192" s="22">
        <v>0.81542999999999999</v>
      </c>
      <c r="T192">
        <f t="shared" si="26"/>
        <v>10.9558</v>
      </c>
      <c r="U192">
        <f t="shared" si="27"/>
        <v>8.945388788399999</v>
      </c>
      <c r="X192" s="9"/>
      <c r="Y192" s="22">
        <v>0.88348400000000005</v>
      </c>
      <c r="Z192" s="22">
        <v>55.837200000000003</v>
      </c>
      <c r="AA192" s="22">
        <v>-1.1251799999999999E-2</v>
      </c>
      <c r="AB192" s="22">
        <v>182</v>
      </c>
      <c r="AC192" s="22">
        <v>0.88226300000000002</v>
      </c>
      <c r="AD192">
        <f t="shared" si="28"/>
        <v>11.251799999999999</v>
      </c>
      <c r="AE192">
        <f t="shared" si="29"/>
        <v>9.9407852711999993</v>
      </c>
      <c r="AF192" s="9"/>
      <c r="AG192" s="22">
        <v>0.81649799999999995</v>
      </c>
      <c r="AH192" s="22">
        <v>61.381799999999998</v>
      </c>
      <c r="AI192" s="22">
        <v>-1.04706E-2</v>
      </c>
      <c r="AJ192" s="22">
        <v>182</v>
      </c>
      <c r="AK192" s="22">
        <v>0.81603999999999999</v>
      </c>
      <c r="AL192">
        <f t="shared" si="30"/>
        <v>10.470599999999999</v>
      </c>
      <c r="AM192">
        <f t="shared" si="31"/>
        <v>8.549223958799999</v>
      </c>
      <c r="AP192" s="9"/>
      <c r="AQ192" s="22">
        <v>0.88348400000000005</v>
      </c>
      <c r="AR192" s="22">
        <v>68.381399999999999</v>
      </c>
      <c r="AS192" s="22">
        <v>-1.0931400000000001E-2</v>
      </c>
      <c r="AT192" s="22">
        <v>182</v>
      </c>
      <c r="AU192" s="22">
        <v>0.88256800000000002</v>
      </c>
      <c r="AV192">
        <f t="shared" si="32"/>
        <v>10.9314</v>
      </c>
      <c r="AW192">
        <f t="shared" si="33"/>
        <v>9.6577169975999997</v>
      </c>
      <c r="AX192" s="9"/>
      <c r="AY192" s="22">
        <v>0.81649799999999995</v>
      </c>
      <c r="AZ192" s="22">
        <v>73.658000000000001</v>
      </c>
      <c r="BA192" s="22">
        <v>-1.0284400000000001E-2</v>
      </c>
      <c r="BB192" s="22">
        <v>182</v>
      </c>
      <c r="BC192" s="22">
        <v>0.81603999999999999</v>
      </c>
      <c r="BD192">
        <f t="shared" si="34"/>
        <v>10.284400000000002</v>
      </c>
      <c r="BE192">
        <f t="shared" si="35"/>
        <v>8.3971920312000012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8.5603499999999997</v>
      </c>
      <c r="I193" s="22">
        <v>-1.10779E-2</v>
      </c>
      <c r="J193" s="22">
        <v>183</v>
      </c>
      <c r="K193" s="22">
        <v>0.87738000000000005</v>
      </c>
      <c r="L193">
        <f t="shared" si="24"/>
        <v>11.0779</v>
      </c>
      <c r="M193">
        <f t="shared" si="25"/>
        <v>9.7313590992000005</v>
      </c>
      <c r="N193" s="9"/>
      <c r="O193" s="22">
        <v>0.82153299999999996</v>
      </c>
      <c r="P193" s="22">
        <v>48.035600000000002</v>
      </c>
      <c r="Q193" s="22">
        <v>-1.09222E-2</v>
      </c>
      <c r="R193" s="22">
        <v>183</v>
      </c>
      <c r="S193" s="22">
        <v>0.82092299999999996</v>
      </c>
      <c r="T193">
        <f t="shared" si="26"/>
        <v>10.9222</v>
      </c>
      <c r="U193">
        <f t="shared" si="27"/>
        <v>8.9729477325999998</v>
      </c>
      <c r="X193" s="9"/>
      <c r="Y193" s="22">
        <v>0.87844800000000001</v>
      </c>
      <c r="Z193" s="22">
        <v>55.847200000000001</v>
      </c>
      <c r="AA193" s="22">
        <v>-1.1279300000000001E-2</v>
      </c>
      <c r="AB193" s="22">
        <v>183</v>
      </c>
      <c r="AC193" s="22">
        <v>0.87768599999999997</v>
      </c>
      <c r="AD193">
        <f t="shared" si="28"/>
        <v>11.279300000000001</v>
      </c>
      <c r="AE193">
        <f t="shared" si="29"/>
        <v>9.9082785264000002</v>
      </c>
      <c r="AF193" s="9"/>
      <c r="AG193" s="22">
        <v>0.82153299999999996</v>
      </c>
      <c r="AH193" s="22">
        <v>61.3919</v>
      </c>
      <c r="AI193" s="22">
        <v>-1.0437E-2</v>
      </c>
      <c r="AJ193" s="22">
        <v>183</v>
      </c>
      <c r="AK193" s="22">
        <v>0.82061799999999996</v>
      </c>
      <c r="AL193">
        <f t="shared" si="30"/>
        <v>10.436999999999999</v>
      </c>
      <c r="AM193">
        <f t="shared" si="31"/>
        <v>8.5743399209999982</v>
      </c>
      <c r="AP193" s="9"/>
      <c r="AQ193" s="22">
        <v>0.87844800000000001</v>
      </c>
      <c r="AR193" s="22">
        <v>68.391499999999994</v>
      </c>
      <c r="AS193" s="22">
        <v>-1.09619E-2</v>
      </c>
      <c r="AT193" s="22">
        <v>183</v>
      </c>
      <c r="AU193" s="22">
        <v>0.87738000000000005</v>
      </c>
      <c r="AV193">
        <f t="shared" si="32"/>
        <v>10.9619</v>
      </c>
      <c r="AW193">
        <f t="shared" si="33"/>
        <v>9.6294591312000009</v>
      </c>
      <c r="AX193" s="9"/>
      <c r="AY193" s="22">
        <v>0.82153299999999996</v>
      </c>
      <c r="AZ193" s="22">
        <v>73.668099999999995</v>
      </c>
      <c r="BA193" s="22">
        <v>-1.02478E-2</v>
      </c>
      <c r="BB193" s="22">
        <v>183</v>
      </c>
      <c r="BC193" s="22">
        <v>0.82092299999999996</v>
      </c>
      <c r="BD193">
        <f t="shared" si="34"/>
        <v>10.2478</v>
      </c>
      <c r="BE193">
        <f t="shared" si="35"/>
        <v>8.4189058773999985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8.5704200000000004</v>
      </c>
      <c r="I194" s="22">
        <v>-1.11053E-2</v>
      </c>
      <c r="J194" s="22">
        <v>184</v>
      </c>
      <c r="K194" s="22">
        <v>0.87219199999999997</v>
      </c>
      <c r="L194">
        <f t="shared" si="24"/>
        <v>11.1053</v>
      </c>
      <c r="M194">
        <f t="shared" si="25"/>
        <v>9.6995133888999998</v>
      </c>
      <c r="N194" s="9"/>
      <c r="O194" s="22">
        <v>0.826569</v>
      </c>
      <c r="P194" s="22">
        <v>48.045699999999997</v>
      </c>
      <c r="Q194" s="22">
        <v>-1.08856E-2</v>
      </c>
      <c r="R194" s="22">
        <v>184</v>
      </c>
      <c r="S194" s="22">
        <v>0.82550000000000001</v>
      </c>
      <c r="T194">
        <f t="shared" si="26"/>
        <v>10.8856</v>
      </c>
      <c r="U194">
        <f t="shared" si="27"/>
        <v>8.9976995064</v>
      </c>
      <c r="X194" s="9"/>
      <c r="Y194" s="22">
        <v>0.87341299999999999</v>
      </c>
      <c r="Z194" s="22">
        <v>55.857300000000002</v>
      </c>
      <c r="AA194" s="22">
        <v>-1.13037E-2</v>
      </c>
      <c r="AB194" s="22">
        <v>184</v>
      </c>
      <c r="AC194" s="22">
        <v>0.872498</v>
      </c>
      <c r="AD194">
        <f t="shared" si="28"/>
        <v>11.303699999999999</v>
      </c>
      <c r="AE194">
        <f t="shared" si="29"/>
        <v>9.8727985280999988</v>
      </c>
      <c r="AF194" s="9"/>
      <c r="AG194" s="22">
        <v>0.826569</v>
      </c>
      <c r="AH194" s="22">
        <v>61.401899999999998</v>
      </c>
      <c r="AI194" s="22">
        <v>-1.0400400000000001E-2</v>
      </c>
      <c r="AJ194" s="22">
        <v>184</v>
      </c>
      <c r="AK194" s="22">
        <v>0.82519500000000001</v>
      </c>
      <c r="AL194">
        <f t="shared" si="30"/>
        <v>10.400400000000001</v>
      </c>
      <c r="AM194">
        <f t="shared" si="31"/>
        <v>8.5966482276000011</v>
      </c>
      <c r="AP194" s="9"/>
      <c r="AQ194" s="22">
        <v>0.87341299999999999</v>
      </c>
      <c r="AR194" s="22">
        <v>68.401600000000002</v>
      </c>
      <c r="AS194" s="22">
        <v>-1.0986299999999999E-2</v>
      </c>
      <c r="AT194" s="22">
        <v>184</v>
      </c>
      <c r="AU194" s="22">
        <v>0.872803</v>
      </c>
      <c r="AV194">
        <f t="shared" si="32"/>
        <v>10.9863</v>
      </c>
      <c r="AW194">
        <f t="shared" si="33"/>
        <v>9.5955772418999992</v>
      </c>
      <c r="AX194" s="9"/>
      <c r="AY194" s="22">
        <v>0.826569</v>
      </c>
      <c r="AZ194" s="22">
        <v>73.678200000000004</v>
      </c>
      <c r="BA194" s="22">
        <v>-1.02142E-2</v>
      </c>
      <c r="BB194" s="22">
        <v>184</v>
      </c>
      <c r="BC194" s="22">
        <v>0.82519500000000001</v>
      </c>
      <c r="BD194">
        <f t="shared" si="34"/>
        <v>10.2142</v>
      </c>
      <c r="BE194">
        <f t="shared" si="35"/>
        <v>8.4427410797999993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8.5804899999999993</v>
      </c>
      <c r="I195" s="22">
        <v>-1.11298E-2</v>
      </c>
      <c r="J195" s="22">
        <v>185</v>
      </c>
      <c r="K195" s="22">
        <v>0.867004</v>
      </c>
      <c r="L195">
        <f t="shared" si="24"/>
        <v>11.129800000000001</v>
      </c>
      <c r="M195">
        <f t="shared" si="25"/>
        <v>9.6648734644000012</v>
      </c>
      <c r="N195" s="9"/>
      <c r="O195" s="22">
        <v>0.83160400000000001</v>
      </c>
      <c r="P195" s="22">
        <v>48.055700000000002</v>
      </c>
      <c r="Q195" s="22">
        <v>-1.0855099999999999E-2</v>
      </c>
      <c r="R195" s="22">
        <v>185</v>
      </c>
      <c r="S195" s="22">
        <v>0.83038299999999998</v>
      </c>
      <c r="T195">
        <f t="shared" si="26"/>
        <v>10.8551</v>
      </c>
      <c r="U195">
        <f t="shared" si="27"/>
        <v>9.0271445803999999</v>
      </c>
      <c r="X195" s="9"/>
      <c r="Y195" s="22">
        <v>0.86837799999999998</v>
      </c>
      <c r="Z195" s="22">
        <v>55.867400000000004</v>
      </c>
      <c r="AA195" s="22">
        <v>-1.1328100000000001E-2</v>
      </c>
      <c r="AB195" s="22">
        <v>185</v>
      </c>
      <c r="AC195" s="22">
        <v>0.86731000000000003</v>
      </c>
      <c r="AD195">
        <f t="shared" si="28"/>
        <v>11.328100000000001</v>
      </c>
      <c r="AE195">
        <f t="shared" si="29"/>
        <v>9.8370728218000014</v>
      </c>
      <c r="AF195" s="9"/>
      <c r="AG195" s="22">
        <v>0.83160400000000001</v>
      </c>
      <c r="AH195" s="22">
        <v>61.411999999999999</v>
      </c>
      <c r="AI195" s="22">
        <v>-1.0366800000000001E-2</v>
      </c>
      <c r="AJ195" s="22">
        <v>185</v>
      </c>
      <c r="AK195" s="22">
        <v>0.83129900000000001</v>
      </c>
      <c r="AL195">
        <f t="shared" si="30"/>
        <v>10.366800000000001</v>
      </c>
      <c r="AM195">
        <f t="shared" si="31"/>
        <v>8.6210723472000019</v>
      </c>
      <c r="AP195" s="9"/>
      <c r="AQ195" s="22">
        <v>0.86837799999999998</v>
      </c>
      <c r="AR195" s="22">
        <v>68.411600000000007</v>
      </c>
      <c r="AS195" s="22">
        <v>-1.1013800000000001E-2</v>
      </c>
      <c r="AT195" s="22">
        <v>185</v>
      </c>
      <c r="AU195" s="22">
        <v>0.86731000000000003</v>
      </c>
      <c r="AV195">
        <f t="shared" si="32"/>
        <v>11.0138</v>
      </c>
      <c r="AW195">
        <f t="shared" si="33"/>
        <v>9.5641416163999988</v>
      </c>
      <c r="AX195" s="9"/>
      <c r="AY195" s="22">
        <v>0.83160400000000001</v>
      </c>
      <c r="AZ195" s="22">
        <v>73.688199999999995</v>
      </c>
      <c r="BA195" s="22">
        <v>-1.0180700000000001E-2</v>
      </c>
      <c r="BB195" s="22">
        <v>185</v>
      </c>
      <c r="BC195" s="22">
        <v>0.83038299999999998</v>
      </c>
      <c r="BD195">
        <f t="shared" si="34"/>
        <v>10.180700000000002</v>
      </c>
      <c r="BE195">
        <f t="shared" si="35"/>
        <v>8.4663108428000022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8.59056</v>
      </c>
      <c r="I196" s="22">
        <v>-1.11542E-2</v>
      </c>
      <c r="J196" s="22">
        <v>186</v>
      </c>
      <c r="K196" s="22">
        <v>0.86242700000000005</v>
      </c>
      <c r="L196">
        <f t="shared" si="24"/>
        <v>11.154199999999999</v>
      </c>
      <c r="M196">
        <f t="shared" si="25"/>
        <v>9.6298893363999998</v>
      </c>
      <c r="N196" s="9"/>
      <c r="O196" s="22">
        <v>0.83663900000000002</v>
      </c>
      <c r="P196" s="22">
        <v>48.065800000000003</v>
      </c>
      <c r="Q196" s="22">
        <v>-1.08215E-2</v>
      </c>
      <c r="R196" s="22">
        <v>186</v>
      </c>
      <c r="S196" s="22">
        <v>0.83557099999999995</v>
      </c>
      <c r="T196">
        <f t="shared" si="26"/>
        <v>10.8215</v>
      </c>
      <c r="U196">
        <f t="shared" si="27"/>
        <v>9.0536889385000006</v>
      </c>
      <c r="X196" s="9"/>
      <c r="Y196" s="22">
        <v>0.86334200000000005</v>
      </c>
      <c r="Z196" s="22">
        <v>55.877400000000002</v>
      </c>
      <c r="AA196" s="22">
        <v>-1.13556E-2</v>
      </c>
      <c r="AB196" s="22">
        <v>186</v>
      </c>
      <c r="AC196" s="22">
        <v>0.86273200000000005</v>
      </c>
      <c r="AD196">
        <f t="shared" si="28"/>
        <v>11.355600000000001</v>
      </c>
      <c r="AE196">
        <f t="shared" si="29"/>
        <v>9.8037664152000019</v>
      </c>
      <c r="AF196" s="9"/>
      <c r="AG196" s="22">
        <v>0.83663900000000002</v>
      </c>
      <c r="AH196" s="22">
        <v>61.4221</v>
      </c>
      <c r="AI196" s="22">
        <v>-1.0330199999999999E-2</v>
      </c>
      <c r="AJ196" s="22">
        <v>186</v>
      </c>
      <c r="AK196" s="22">
        <v>0.83526599999999995</v>
      </c>
      <c r="AL196">
        <f t="shared" si="30"/>
        <v>10.3302</v>
      </c>
      <c r="AM196">
        <f t="shared" si="31"/>
        <v>8.6426481977999998</v>
      </c>
      <c r="AP196" s="9"/>
      <c r="AQ196" s="22">
        <v>0.86334200000000005</v>
      </c>
      <c r="AR196" s="22">
        <v>68.421700000000001</v>
      </c>
      <c r="AS196" s="22">
        <v>-1.10382E-2</v>
      </c>
      <c r="AT196" s="22">
        <v>186</v>
      </c>
      <c r="AU196" s="22">
        <v>0.86273200000000005</v>
      </c>
      <c r="AV196">
        <f t="shared" si="32"/>
        <v>11.0382</v>
      </c>
      <c r="AW196">
        <f t="shared" si="33"/>
        <v>9.5297416644000013</v>
      </c>
      <c r="AX196" s="9"/>
      <c r="AY196" s="22">
        <v>0.83663900000000002</v>
      </c>
      <c r="AZ196" s="22">
        <v>73.698300000000003</v>
      </c>
      <c r="BA196" s="22">
        <v>-1.0147099999999999E-2</v>
      </c>
      <c r="BB196" s="22">
        <v>186</v>
      </c>
      <c r="BC196" s="22">
        <v>0.83618199999999998</v>
      </c>
      <c r="BD196">
        <f t="shared" si="34"/>
        <v>10.1471</v>
      </c>
      <c r="BE196">
        <f t="shared" si="35"/>
        <v>8.4894595968999997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8.6006300000000007</v>
      </c>
      <c r="I197" s="22">
        <v>-1.11786E-2</v>
      </c>
      <c r="J197" s="22">
        <v>187</v>
      </c>
      <c r="K197" s="22">
        <v>0.85723899999999997</v>
      </c>
      <c r="L197">
        <f t="shared" si="24"/>
        <v>11.178600000000001</v>
      </c>
      <c r="M197">
        <f t="shared" si="25"/>
        <v>9.5946706302000013</v>
      </c>
      <c r="N197" s="9"/>
      <c r="O197" s="22">
        <v>0.84167499999999995</v>
      </c>
      <c r="P197" s="22">
        <v>48.075899999999997</v>
      </c>
      <c r="Q197" s="22">
        <v>-1.0788000000000001E-2</v>
      </c>
      <c r="R197" s="22">
        <v>187</v>
      </c>
      <c r="S197" s="22">
        <v>0.84075900000000003</v>
      </c>
      <c r="T197">
        <f t="shared" si="26"/>
        <v>10.788</v>
      </c>
      <c r="U197">
        <f t="shared" si="27"/>
        <v>9.0799898999999993</v>
      </c>
      <c r="X197" s="9"/>
      <c r="Y197" s="22">
        <v>0.85830700000000004</v>
      </c>
      <c r="Z197" s="22">
        <v>55.887500000000003</v>
      </c>
      <c r="AA197" s="22">
        <v>-1.13892E-2</v>
      </c>
      <c r="AB197" s="22">
        <v>187</v>
      </c>
      <c r="AC197" s="22">
        <v>0.85723899999999997</v>
      </c>
      <c r="AD197">
        <f t="shared" si="28"/>
        <v>11.389200000000001</v>
      </c>
      <c r="AE197">
        <f t="shared" si="29"/>
        <v>9.7754300844000017</v>
      </c>
      <c r="AF197" s="9"/>
      <c r="AG197" s="22">
        <v>0.84167499999999995</v>
      </c>
      <c r="AH197" s="22">
        <v>61.432099999999998</v>
      </c>
      <c r="AI197" s="22">
        <v>-1.02997E-2</v>
      </c>
      <c r="AJ197" s="22">
        <v>187</v>
      </c>
      <c r="AK197" s="22">
        <v>0.84045400000000003</v>
      </c>
      <c r="AL197">
        <f t="shared" si="30"/>
        <v>10.2997</v>
      </c>
      <c r="AM197">
        <f t="shared" si="31"/>
        <v>8.6689999974999985</v>
      </c>
      <c r="AP197" s="9"/>
      <c r="AQ197" s="22">
        <v>0.85830700000000004</v>
      </c>
      <c r="AR197" s="22">
        <v>68.431799999999996</v>
      </c>
      <c r="AS197" s="22">
        <v>-1.1062600000000001E-2</v>
      </c>
      <c r="AT197" s="22">
        <v>187</v>
      </c>
      <c r="AU197" s="22">
        <v>0.85754399999999997</v>
      </c>
      <c r="AV197">
        <f t="shared" si="32"/>
        <v>11.0626</v>
      </c>
      <c r="AW197">
        <f t="shared" si="33"/>
        <v>9.4951070182000006</v>
      </c>
      <c r="AX197" s="9"/>
      <c r="AY197" s="22">
        <v>0.84167499999999995</v>
      </c>
      <c r="AZ197" s="22">
        <v>73.708399999999997</v>
      </c>
      <c r="BA197" s="22">
        <v>-1.01166E-2</v>
      </c>
      <c r="BB197" s="22">
        <v>187</v>
      </c>
      <c r="BC197" s="22">
        <v>0.84045400000000003</v>
      </c>
      <c r="BD197">
        <f t="shared" si="34"/>
        <v>10.1166</v>
      </c>
      <c r="BE197">
        <f t="shared" si="35"/>
        <v>8.5148893049999987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8.6106999999999996</v>
      </c>
      <c r="I198" s="22">
        <v>-1.12E-2</v>
      </c>
      <c r="J198" s="22">
        <v>188</v>
      </c>
      <c r="K198" s="22">
        <v>0.851746</v>
      </c>
      <c r="L198">
        <f t="shared" si="24"/>
        <v>11.2</v>
      </c>
      <c r="M198">
        <f t="shared" si="25"/>
        <v>9.5566351999999988</v>
      </c>
      <c r="N198" s="9"/>
      <c r="O198" s="22">
        <v>0.84670999999999996</v>
      </c>
      <c r="P198" s="22">
        <v>48.085900000000002</v>
      </c>
      <c r="Q198" s="22">
        <v>-1.07513E-2</v>
      </c>
      <c r="R198" s="22">
        <v>188</v>
      </c>
      <c r="S198" s="22">
        <v>0.845947</v>
      </c>
      <c r="T198">
        <f t="shared" si="26"/>
        <v>10.751300000000001</v>
      </c>
      <c r="U198">
        <f t="shared" si="27"/>
        <v>9.1032332230000002</v>
      </c>
      <c r="X198" s="9"/>
      <c r="Y198" s="22">
        <v>0.853271</v>
      </c>
      <c r="Z198" s="22">
        <v>55.897599999999997</v>
      </c>
      <c r="AA198" s="22">
        <v>-1.1416600000000001E-2</v>
      </c>
      <c r="AB198" s="22">
        <v>188</v>
      </c>
      <c r="AC198" s="22">
        <v>0.852661</v>
      </c>
      <c r="AD198">
        <f t="shared" si="28"/>
        <v>11.416600000000001</v>
      </c>
      <c r="AE198">
        <f t="shared" si="29"/>
        <v>9.7414536986000009</v>
      </c>
      <c r="AF198" s="9"/>
      <c r="AG198" s="22">
        <v>0.84670999999999996</v>
      </c>
      <c r="AH198" s="22">
        <v>61.4422</v>
      </c>
      <c r="AI198" s="22">
        <v>-1.02722E-2</v>
      </c>
      <c r="AJ198" s="22">
        <v>188</v>
      </c>
      <c r="AK198" s="22">
        <v>0.846252</v>
      </c>
      <c r="AL198">
        <f t="shared" si="30"/>
        <v>10.2722</v>
      </c>
      <c r="AM198">
        <f t="shared" si="31"/>
        <v>8.6975744619999986</v>
      </c>
      <c r="AP198" s="9"/>
      <c r="AQ198" s="22">
        <v>0.853271</v>
      </c>
      <c r="AR198" s="22">
        <v>68.441800000000001</v>
      </c>
      <c r="AS198" s="22">
        <v>-1.10931E-2</v>
      </c>
      <c r="AT198" s="22">
        <v>188</v>
      </c>
      <c r="AU198" s="22">
        <v>0.852356</v>
      </c>
      <c r="AV198">
        <f t="shared" si="32"/>
        <v>11.0931</v>
      </c>
      <c r="AW198">
        <f t="shared" si="33"/>
        <v>9.4654205300999994</v>
      </c>
      <c r="AX198" s="9"/>
      <c r="AY198" s="22">
        <v>0.84670999999999996</v>
      </c>
      <c r="AZ198" s="22">
        <v>73.718500000000006</v>
      </c>
      <c r="BA198" s="22">
        <v>-1.0083E-2</v>
      </c>
      <c r="BB198" s="22">
        <v>188</v>
      </c>
      <c r="BC198" s="22">
        <v>0.845947</v>
      </c>
      <c r="BD198">
        <f t="shared" si="34"/>
        <v>10.083</v>
      </c>
      <c r="BE198">
        <f t="shared" si="35"/>
        <v>8.5373769300000006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8.6207700000000003</v>
      </c>
      <c r="I199" s="22">
        <v>-1.12274E-2</v>
      </c>
      <c r="J199" s="22">
        <v>189</v>
      </c>
      <c r="K199" s="22">
        <v>0.84747300000000003</v>
      </c>
      <c r="L199">
        <f t="shared" si="24"/>
        <v>11.227399999999999</v>
      </c>
      <c r="M199">
        <f t="shared" si="25"/>
        <v>9.5234848663999987</v>
      </c>
      <c r="N199" s="9"/>
      <c r="O199" s="22">
        <v>0.851746</v>
      </c>
      <c r="P199" s="22">
        <v>48.095999999999997</v>
      </c>
      <c r="Q199" s="22">
        <v>-1.07178E-2</v>
      </c>
      <c r="R199" s="22">
        <v>189</v>
      </c>
      <c r="S199" s="22">
        <v>0.85082999999999998</v>
      </c>
      <c r="T199">
        <f t="shared" si="26"/>
        <v>10.7178</v>
      </c>
      <c r="U199">
        <f t="shared" si="27"/>
        <v>9.1288432787999998</v>
      </c>
      <c r="X199" s="9"/>
      <c r="Y199" s="22">
        <v>0.84823599999999999</v>
      </c>
      <c r="Z199" s="22">
        <v>55.907699999999998</v>
      </c>
      <c r="AA199" s="22">
        <v>-1.14471E-2</v>
      </c>
      <c r="AB199" s="22">
        <v>189</v>
      </c>
      <c r="AC199" s="22">
        <v>0.84747300000000003</v>
      </c>
      <c r="AD199">
        <f t="shared" si="28"/>
        <v>11.447100000000001</v>
      </c>
      <c r="AE199">
        <f t="shared" si="29"/>
        <v>9.7098423156000013</v>
      </c>
      <c r="AF199" s="9"/>
      <c r="AG199" s="22">
        <v>0.851746</v>
      </c>
      <c r="AH199" s="22">
        <v>61.452300000000001</v>
      </c>
      <c r="AI199" s="22">
        <v>-1.02386E-2</v>
      </c>
      <c r="AJ199" s="22">
        <v>189</v>
      </c>
      <c r="AK199" s="22">
        <v>0.85082999999999998</v>
      </c>
      <c r="AL199">
        <f t="shared" si="30"/>
        <v>10.2386</v>
      </c>
      <c r="AM199">
        <f t="shared" si="31"/>
        <v>8.7206865956000001</v>
      </c>
      <c r="AP199" s="9"/>
      <c r="AQ199" s="22">
        <v>0.84823599999999999</v>
      </c>
      <c r="AR199" s="22">
        <v>68.451899999999995</v>
      </c>
      <c r="AS199" s="22">
        <v>-1.11206E-2</v>
      </c>
      <c r="AT199" s="22">
        <v>189</v>
      </c>
      <c r="AU199" s="22">
        <v>0.84777800000000003</v>
      </c>
      <c r="AV199">
        <f t="shared" si="32"/>
        <v>11.1206</v>
      </c>
      <c r="AW199">
        <f t="shared" si="33"/>
        <v>9.4328932616000003</v>
      </c>
      <c r="AX199" s="9"/>
      <c r="AY199" s="22">
        <v>0.851746</v>
      </c>
      <c r="AZ199" s="22">
        <v>73.728499999999997</v>
      </c>
      <c r="BA199" s="22">
        <v>-1.00494E-2</v>
      </c>
      <c r="BB199" s="22">
        <v>189</v>
      </c>
      <c r="BC199" s="22">
        <v>0.85082999999999998</v>
      </c>
      <c r="BD199">
        <f t="shared" si="34"/>
        <v>10.0494</v>
      </c>
      <c r="BE199">
        <f t="shared" si="35"/>
        <v>8.5595362524000009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8.6308399999999992</v>
      </c>
      <c r="I200" s="22">
        <v>-1.1251799999999999E-2</v>
      </c>
      <c r="J200" s="22">
        <v>190</v>
      </c>
      <c r="K200" s="22">
        <v>0.84258999999999995</v>
      </c>
      <c r="L200">
        <f t="shared" si="24"/>
        <v>11.251799999999999</v>
      </c>
      <c r="M200">
        <f t="shared" si="25"/>
        <v>9.4875290117999995</v>
      </c>
      <c r="N200" s="9"/>
      <c r="O200" s="22">
        <v>0.85678100000000001</v>
      </c>
      <c r="P200" s="22">
        <v>48.106099999999998</v>
      </c>
      <c r="Q200" s="22">
        <v>-1.06842E-2</v>
      </c>
      <c r="R200" s="22">
        <v>190</v>
      </c>
      <c r="S200" s="22">
        <v>0.85540799999999995</v>
      </c>
      <c r="T200">
        <f t="shared" si="26"/>
        <v>10.684199999999999</v>
      </c>
      <c r="U200">
        <f t="shared" si="27"/>
        <v>9.1540195601999983</v>
      </c>
      <c r="X200" s="9"/>
      <c r="Y200" s="22">
        <v>0.84320099999999998</v>
      </c>
      <c r="Z200" s="22">
        <v>55.917700000000004</v>
      </c>
      <c r="AA200" s="22">
        <v>-1.14746E-2</v>
      </c>
      <c r="AB200" s="22">
        <v>190</v>
      </c>
      <c r="AC200" s="22">
        <v>0.84167499999999995</v>
      </c>
      <c r="AD200">
        <f t="shared" si="28"/>
        <v>11.474600000000001</v>
      </c>
      <c r="AE200">
        <f t="shared" si="29"/>
        <v>9.6753941946000008</v>
      </c>
      <c r="AF200" s="9"/>
      <c r="AG200" s="22">
        <v>0.85678100000000001</v>
      </c>
      <c r="AH200" s="22">
        <v>61.462400000000002</v>
      </c>
      <c r="AI200" s="22">
        <v>-1.0199E-2</v>
      </c>
      <c r="AJ200" s="22">
        <v>190</v>
      </c>
      <c r="AK200" s="22">
        <v>0.85540799999999995</v>
      </c>
      <c r="AL200">
        <f t="shared" si="30"/>
        <v>10.199</v>
      </c>
      <c r="AM200">
        <f t="shared" si="31"/>
        <v>8.7383094190000001</v>
      </c>
      <c r="AP200" s="9"/>
      <c r="AQ200" s="22">
        <v>0.84320099999999998</v>
      </c>
      <c r="AR200" s="22">
        <v>68.462000000000003</v>
      </c>
      <c r="AS200" s="22">
        <v>-1.1145E-2</v>
      </c>
      <c r="AT200" s="22">
        <v>190</v>
      </c>
      <c r="AU200" s="22">
        <v>0.84289599999999998</v>
      </c>
      <c r="AV200">
        <f t="shared" si="32"/>
        <v>11.145</v>
      </c>
      <c r="AW200">
        <f t="shared" si="33"/>
        <v>9.3974751449999996</v>
      </c>
      <c r="AX200" s="9"/>
      <c r="AY200" s="22">
        <v>0.85678100000000001</v>
      </c>
      <c r="AZ200" s="22">
        <v>73.738600000000005</v>
      </c>
      <c r="BA200" s="22">
        <v>-1.0012800000000001E-2</v>
      </c>
      <c r="BB200" s="22">
        <v>190</v>
      </c>
      <c r="BC200" s="22">
        <v>0.85571299999999995</v>
      </c>
      <c r="BD200">
        <f t="shared" si="34"/>
        <v>10.0128</v>
      </c>
      <c r="BE200">
        <f t="shared" si="35"/>
        <v>8.5787767967999997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8.6409099999999999</v>
      </c>
      <c r="I201" s="22">
        <v>-1.1279300000000001E-2</v>
      </c>
      <c r="J201" s="22">
        <v>191</v>
      </c>
      <c r="K201" s="22">
        <v>0.83801300000000001</v>
      </c>
      <c r="L201">
        <f t="shared" si="24"/>
        <v>11.279300000000001</v>
      </c>
      <c r="M201">
        <f t="shared" si="25"/>
        <v>9.453914484500002</v>
      </c>
      <c r="N201" s="9"/>
      <c r="O201" s="22">
        <v>0.86181600000000003</v>
      </c>
      <c r="P201" s="22">
        <v>48.116199999999999</v>
      </c>
      <c r="Q201" s="22">
        <v>-1.06476E-2</v>
      </c>
      <c r="R201" s="22">
        <v>191</v>
      </c>
      <c r="S201" s="22">
        <v>0.86151100000000003</v>
      </c>
      <c r="T201">
        <f t="shared" si="26"/>
        <v>10.647600000000001</v>
      </c>
      <c r="U201">
        <f t="shared" si="27"/>
        <v>9.1762720416000008</v>
      </c>
      <c r="X201" s="9"/>
      <c r="Y201" s="22">
        <v>0.83816500000000005</v>
      </c>
      <c r="Z201" s="22">
        <v>55.927799999999998</v>
      </c>
      <c r="AA201" s="22">
        <v>-1.1502099999999999E-2</v>
      </c>
      <c r="AB201" s="22">
        <v>191</v>
      </c>
      <c r="AC201" s="22">
        <v>0.83740199999999998</v>
      </c>
      <c r="AD201">
        <f t="shared" si="28"/>
        <v>11.502099999999999</v>
      </c>
      <c r="AE201">
        <f t="shared" si="29"/>
        <v>9.6406576464999993</v>
      </c>
      <c r="AF201" s="9"/>
      <c r="AG201" s="22">
        <v>0.86181600000000003</v>
      </c>
      <c r="AH201" s="22">
        <v>61.4724</v>
      </c>
      <c r="AI201" s="22">
        <v>-1.01624E-2</v>
      </c>
      <c r="AJ201" s="22">
        <v>191</v>
      </c>
      <c r="AK201" s="22">
        <v>0.86120600000000003</v>
      </c>
      <c r="AL201">
        <f t="shared" si="30"/>
        <v>10.1624</v>
      </c>
      <c r="AM201">
        <f t="shared" si="31"/>
        <v>8.758118918400001</v>
      </c>
      <c r="AP201" s="9"/>
      <c r="AQ201" s="22">
        <v>0.83816500000000005</v>
      </c>
      <c r="AR201" s="22">
        <v>68.472099999999998</v>
      </c>
      <c r="AS201" s="22">
        <v>-1.11725E-2</v>
      </c>
      <c r="AT201" s="22">
        <v>191</v>
      </c>
      <c r="AU201" s="22">
        <v>0.83740199999999998</v>
      </c>
      <c r="AV201">
        <f t="shared" si="32"/>
        <v>11.172499999999999</v>
      </c>
      <c r="AW201">
        <f t="shared" si="33"/>
        <v>9.3643984625000005</v>
      </c>
      <c r="AX201" s="9"/>
      <c r="AY201" s="22">
        <v>0.86181600000000003</v>
      </c>
      <c r="AZ201" s="22">
        <v>73.748699999999999</v>
      </c>
      <c r="BA201" s="22">
        <v>-9.9761999999999993E-3</v>
      </c>
      <c r="BB201" s="22">
        <v>191</v>
      </c>
      <c r="BC201" s="22">
        <v>0.86090100000000003</v>
      </c>
      <c r="BD201">
        <f t="shared" si="34"/>
        <v>9.9761999999999986</v>
      </c>
      <c r="BE201">
        <f t="shared" si="35"/>
        <v>8.5976487791999983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8.6509800000000006</v>
      </c>
      <c r="I202" s="22">
        <v>-1.12976E-2</v>
      </c>
      <c r="J202" s="22">
        <v>192</v>
      </c>
      <c r="K202" s="22">
        <v>0.83252000000000004</v>
      </c>
      <c r="L202">
        <f t="shared" si="24"/>
        <v>11.297599999999999</v>
      </c>
      <c r="M202">
        <f t="shared" si="25"/>
        <v>9.4123694879999995</v>
      </c>
      <c r="N202" s="9"/>
      <c r="O202" s="22">
        <v>0.86685199999999996</v>
      </c>
      <c r="P202" s="22">
        <v>48.126199999999997</v>
      </c>
      <c r="Q202" s="22">
        <v>-1.0617100000000001E-2</v>
      </c>
      <c r="R202" s="22">
        <v>192</v>
      </c>
      <c r="S202" s="22">
        <v>0.866394</v>
      </c>
      <c r="T202">
        <f t="shared" si="26"/>
        <v>10.617100000000001</v>
      </c>
      <c r="U202">
        <f t="shared" si="27"/>
        <v>9.2034543691999993</v>
      </c>
      <c r="X202" s="9"/>
      <c r="Y202" s="22">
        <v>0.83313000000000004</v>
      </c>
      <c r="Z202" s="22">
        <v>55.937899999999999</v>
      </c>
      <c r="AA202" s="22">
        <v>-1.15265E-2</v>
      </c>
      <c r="AB202" s="22">
        <v>192</v>
      </c>
      <c r="AC202" s="22">
        <v>0.83221400000000001</v>
      </c>
      <c r="AD202">
        <f t="shared" si="28"/>
        <v>11.5265</v>
      </c>
      <c r="AE202">
        <f t="shared" si="29"/>
        <v>9.603072945000001</v>
      </c>
      <c r="AF202" s="9"/>
      <c r="AG202" s="22">
        <v>0.86685199999999996</v>
      </c>
      <c r="AH202" s="22">
        <v>61.482500000000002</v>
      </c>
      <c r="AI202" s="22">
        <v>-1.01318E-2</v>
      </c>
      <c r="AJ202" s="22">
        <v>192</v>
      </c>
      <c r="AK202" s="22">
        <v>0.866394</v>
      </c>
      <c r="AL202">
        <f t="shared" si="30"/>
        <v>10.1318</v>
      </c>
      <c r="AM202">
        <f t="shared" si="31"/>
        <v>8.7827710935999992</v>
      </c>
      <c r="AP202" s="9"/>
      <c r="AQ202" s="22">
        <v>0.83313000000000004</v>
      </c>
      <c r="AR202" s="22">
        <v>68.482100000000003</v>
      </c>
      <c r="AS202" s="22">
        <v>-1.1196899999999999E-2</v>
      </c>
      <c r="AT202" s="22">
        <v>192</v>
      </c>
      <c r="AU202" s="22">
        <v>0.83190900000000001</v>
      </c>
      <c r="AV202">
        <f t="shared" si="32"/>
        <v>11.196899999999999</v>
      </c>
      <c r="AW202">
        <f t="shared" si="33"/>
        <v>9.3284732970000004</v>
      </c>
      <c r="AX202" s="9"/>
      <c r="AY202" s="22">
        <v>0.86685199999999996</v>
      </c>
      <c r="AZ202" s="22">
        <v>73.758700000000005</v>
      </c>
      <c r="BA202" s="22">
        <v>-9.9365200000000008E-3</v>
      </c>
      <c r="BB202" s="22">
        <v>192</v>
      </c>
      <c r="BC202" s="22">
        <v>0.865784</v>
      </c>
      <c r="BD202">
        <f t="shared" si="34"/>
        <v>9.9365200000000016</v>
      </c>
      <c r="BE202">
        <f t="shared" si="35"/>
        <v>8.6134922350400007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8.6610600000000009</v>
      </c>
      <c r="I203" s="22">
        <v>-1.1328100000000001E-2</v>
      </c>
      <c r="J203" s="22">
        <v>193</v>
      </c>
      <c r="K203" s="22">
        <v>0.82733199999999996</v>
      </c>
      <c r="L203">
        <f t="shared" si="24"/>
        <v>11.328100000000001</v>
      </c>
      <c r="M203">
        <f t="shared" si="25"/>
        <v>9.3807316414000006</v>
      </c>
      <c r="N203" s="9"/>
      <c r="O203" s="22">
        <v>0.87188699999999997</v>
      </c>
      <c r="P203" s="22">
        <v>48.136299999999999</v>
      </c>
      <c r="Q203" s="22">
        <v>-1.0583499999999999E-2</v>
      </c>
      <c r="R203" s="22">
        <v>193</v>
      </c>
      <c r="S203" s="22">
        <v>0.87066699999999997</v>
      </c>
      <c r="T203">
        <f t="shared" si="26"/>
        <v>10.583499999999999</v>
      </c>
      <c r="U203">
        <f t="shared" si="27"/>
        <v>9.2276160644999994</v>
      </c>
      <c r="X203" s="9"/>
      <c r="Y203" s="22">
        <v>0.828094</v>
      </c>
      <c r="Z203" s="22">
        <v>55.947899999999997</v>
      </c>
      <c r="AA203" s="22">
        <v>-1.1550899999999999E-2</v>
      </c>
      <c r="AB203" s="22">
        <v>193</v>
      </c>
      <c r="AC203" s="22">
        <v>0.82702600000000004</v>
      </c>
      <c r="AD203">
        <f t="shared" si="28"/>
        <v>11.550899999999999</v>
      </c>
      <c r="AE203">
        <f t="shared" si="29"/>
        <v>9.5652309845999994</v>
      </c>
      <c r="AF203" s="9"/>
      <c r="AG203" s="22">
        <v>0.87188699999999997</v>
      </c>
      <c r="AH203" s="22">
        <v>61.492600000000003</v>
      </c>
      <c r="AI203" s="22">
        <v>-1.0098299999999999E-2</v>
      </c>
      <c r="AJ203" s="22">
        <v>193</v>
      </c>
      <c r="AK203" s="22">
        <v>0.87097199999999997</v>
      </c>
      <c r="AL203">
        <f t="shared" si="30"/>
        <v>10.0983</v>
      </c>
      <c r="AM203">
        <f t="shared" si="31"/>
        <v>8.8045764920999989</v>
      </c>
      <c r="AP203" s="9"/>
      <c r="AQ203" s="22">
        <v>0.828094</v>
      </c>
      <c r="AR203" s="22">
        <v>68.492199999999997</v>
      </c>
      <c r="AS203" s="22">
        <v>-1.12274E-2</v>
      </c>
      <c r="AT203" s="22">
        <v>193</v>
      </c>
      <c r="AU203" s="22">
        <v>0.82733199999999996</v>
      </c>
      <c r="AV203">
        <f t="shared" si="32"/>
        <v>11.227399999999999</v>
      </c>
      <c r="AW203">
        <f t="shared" si="33"/>
        <v>9.2973425756000001</v>
      </c>
      <c r="AX203" s="9"/>
      <c r="AY203" s="22">
        <v>0.87188699999999997</v>
      </c>
      <c r="AZ203" s="22">
        <v>73.768799999999999</v>
      </c>
      <c r="BA203" s="22">
        <v>-9.8968500000000004E-3</v>
      </c>
      <c r="BB203" s="22">
        <v>193</v>
      </c>
      <c r="BC203" s="22">
        <v>0.87097199999999997</v>
      </c>
      <c r="BD203">
        <f t="shared" si="34"/>
        <v>9.8968500000000006</v>
      </c>
      <c r="BE203">
        <f t="shared" si="35"/>
        <v>8.6289348559499999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8.6711299999999998</v>
      </c>
      <c r="I204" s="22">
        <v>-1.13586E-2</v>
      </c>
      <c r="J204" s="22">
        <v>194</v>
      </c>
      <c r="K204" s="22">
        <v>0.82244899999999999</v>
      </c>
      <c r="L204">
        <f t="shared" ref="L204:L267" si="36">-I204/$F$2*1000</f>
        <v>11.358599999999999</v>
      </c>
      <c r="M204">
        <f t="shared" ref="M204:M267" si="37">L204*G204</f>
        <v>9.3487979573999986</v>
      </c>
      <c r="N204" s="9"/>
      <c r="O204" s="22">
        <v>0.87692300000000001</v>
      </c>
      <c r="P204" s="22">
        <v>48.1464</v>
      </c>
      <c r="Q204" s="22">
        <v>-1.05469E-2</v>
      </c>
      <c r="R204" s="22">
        <v>194</v>
      </c>
      <c r="S204" s="22">
        <v>0.87616000000000005</v>
      </c>
      <c r="T204">
        <f t="shared" ref="T204:T267" si="38">-Q204/$F$2*1000</f>
        <v>10.546899999999999</v>
      </c>
      <c r="U204">
        <f t="shared" ref="U204:U267" si="39">T204*O204</f>
        <v>9.2488191886999989</v>
      </c>
      <c r="X204" s="9"/>
      <c r="Y204" s="22">
        <v>0.82305899999999999</v>
      </c>
      <c r="Z204" s="22">
        <v>55.957999999999998</v>
      </c>
      <c r="AA204" s="22">
        <v>-1.15753E-2</v>
      </c>
      <c r="AB204" s="22">
        <v>194</v>
      </c>
      <c r="AC204" s="22">
        <v>0.82244899999999999</v>
      </c>
      <c r="AD204">
        <f t="shared" ref="AD204:AD267" si="40">-AA204/$F$2*1000</f>
        <v>11.5753</v>
      </c>
      <c r="AE204">
        <f t="shared" ref="AE204:AE267" si="41">AD204*Y204</f>
        <v>9.5271548426999999</v>
      </c>
      <c r="AF204" s="9"/>
      <c r="AG204" s="22">
        <v>0.87692300000000001</v>
      </c>
      <c r="AH204" s="22">
        <v>61.502600000000001</v>
      </c>
      <c r="AI204" s="22">
        <v>-1.0067700000000001E-2</v>
      </c>
      <c r="AJ204" s="22">
        <v>194</v>
      </c>
      <c r="AK204" s="22">
        <v>0.87585400000000002</v>
      </c>
      <c r="AL204">
        <f t="shared" ref="AL204:AL267" si="42">-AI204/$F$2*1000</f>
        <v>10.0677</v>
      </c>
      <c r="AM204">
        <f t="shared" ref="AM204:AM267" si="43">AL204*AG204</f>
        <v>8.8285976871000003</v>
      </c>
      <c r="AP204" s="9"/>
      <c r="AQ204" s="22">
        <v>0.82305899999999999</v>
      </c>
      <c r="AR204" s="22">
        <v>68.502300000000005</v>
      </c>
      <c r="AS204" s="22">
        <v>-1.12549E-2</v>
      </c>
      <c r="AT204" s="22">
        <v>194</v>
      </c>
      <c r="AU204" s="22">
        <v>0.82244899999999999</v>
      </c>
      <c r="AV204">
        <f t="shared" ref="AV204:AV267" si="44">-AS204/$F$2*1000</f>
        <v>11.254899999999999</v>
      </c>
      <c r="AW204">
        <f t="shared" ref="AW204:AW267" si="45">AV204*AQ204</f>
        <v>9.263446739099999</v>
      </c>
      <c r="AX204" s="9"/>
      <c r="AY204" s="22">
        <v>0.87692300000000001</v>
      </c>
      <c r="AZ204" s="22">
        <v>73.778899999999993</v>
      </c>
      <c r="BA204" s="22">
        <v>-9.8663299999999995E-3</v>
      </c>
      <c r="BB204" s="22">
        <v>194</v>
      </c>
      <c r="BC204" s="22">
        <v>0.87585400000000002</v>
      </c>
      <c r="BD204">
        <f t="shared" ref="BD204:BD267" si="46">-BA204/$F$2*1000</f>
        <v>9.8663299999999996</v>
      </c>
      <c r="BE204">
        <f t="shared" ref="BE204:BE267" si="47">BD204*AY204</f>
        <v>8.6520117025900003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8.6812000000000005</v>
      </c>
      <c r="I205" s="22">
        <v>-1.13892E-2</v>
      </c>
      <c r="J205" s="22">
        <v>195</v>
      </c>
      <c r="K205" s="22">
        <v>0.81664999999999999</v>
      </c>
      <c r="L205">
        <f t="shared" si="36"/>
        <v>11.389200000000001</v>
      </c>
      <c r="M205">
        <f t="shared" si="37"/>
        <v>9.3166389408000008</v>
      </c>
      <c r="N205" s="9"/>
      <c r="O205" s="22">
        <v>0.88195800000000002</v>
      </c>
      <c r="P205" s="22">
        <v>48.156399999999998</v>
      </c>
      <c r="Q205" s="22">
        <v>-1.05072E-2</v>
      </c>
      <c r="R205" s="22">
        <v>195</v>
      </c>
      <c r="S205" s="22">
        <v>0.88134800000000002</v>
      </c>
      <c r="T205">
        <f t="shared" si="38"/>
        <v>10.507199999999999</v>
      </c>
      <c r="U205">
        <f t="shared" si="39"/>
        <v>9.2669090975999993</v>
      </c>
      <c r="X205" s="9"/>
      <c r="Y205" s="22">
        <v>0.81802399999999997</v>
      </c>
      <c r="Z205" s="22">
        <v>55.9681</v>
      </c>
      <c r="AA205" s="22">
        <v>-1.16028E-2</v>
      </c>
      <c r="AB205" s="22">
        <v>195</v>
      </c>
      <c r="AC205" s="22">
        <v>0.81756600000000001</v>
      </c>
      <c r="AD205">
        <f t="shared" si="40"/>
        <v>11.6028</v>
      </c>
      <c r="AE205">
        <f t="shared" si="41"/>
        <v>9.4913688672000003</v>
      </c>
      <c r="AF205" s="9"/>
      <c r="AG205" s="22">
        <v>0.88195800000000002</v>
      </c>
      <c r="AH205" s="22">
        <v>61.512700000000002</v>
      </c>
      <c r="AI205" s="22">
        <v>-1.0031099999999999E-2</v>
      </c>
      <c r="AJ205" s="22">
        <v>195</v>
      </c>
      <c r="AK205" s="22">
        <v>0.88073699999999999</v>
      </c>
      <c r="AL205">
        <f t="shared" si="42"/>
        <v>10.031099999999999</v>
      </c>
      <c r="AM205">
        <f t="shared" si="43"/>
        <v>8.8470088937999982</v>
      </c>
      <c r="AP205" s="9"/>
      <c r="AQ205" s="22">
        <v>0.81802399999999997</v>
      </c>
      <c r="AR205" s="22">
        <v>68.512299999999996</v>
      </c>
      <c r="AS205" s="22">
        <v>-1.12823E-2</v>
      </c>
      <c r="AT205" s="22">
        <v>195</v>
      </c>
      <c r="AU205" s="22">
        <v>0.81756600000000001</v>
      </c>
      <c r="AV205">
        <f t="shared" si="44"/>
        <v>11.282300000000001</v>
      </c>
      <c r="AW205">
        <f t="shared" si="45"/>
        <v>9.2291921752000015</v>
      </c>
      <c r="AX205" s="9"/>
      <c r="AY205" s="22">
        <v>0.88195800000000002</v>
      </c>
      <c r="AZ205" s="22">
        <v>73.789000000000001</v>
      </c>
      <c r="BA205" s="22">
        <v>-9.8327599999999994E-3</v>
      </c>
      <c r="BB205" s="22">
        <v>195</v>
      </c>
      <c r="BC205" s="22">
        <v>0.88043199999999999</v>
      </c>
      <c r="BD205">
        <f t="shared" si="46"/>
        <v>9.8327599999999986</v>
      </c>
      <c r="BE205">
        <f t="shared" si="47"/>
        <v>8.6720813440799986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8.6912699999999994</v>
      </c>
      <c r="I206" s="22">
        <v>-1.14197E-2</v>
      </c>
      <c r="J206" s="22">
        <v>196</v>
      </c>
      <c r="K206" s="22">
        <v>0.81268300000000004</v>
      </c>
      <c r="L206">
        <f t="shared" si="36"/>
        <v>11.419699999999999</v>
      </c>
      <c r="M206">
        <f t="shared" si="37"/>
        <v>9.2840790636000001</v>
      </c>
      <c r="N206" s="9"/>
      <c r="O206" s="22">
        <v>0.88699300000000003</v>
      </c>
      <c r="P206" s="22">
        <v>48.166499999999999</v>
      </c>
      <c r="Q206" s="22">
        <v>-1.04736E-2</v>
      </c>
      <c r="R206" s="22">
        <v>196</v>
      </c>
      <c r="S206" s="22">
        <v>0.88653599999999999</v>
      </c>
      <c r="T206">
        <f t="shared" si="38"/>
        <v>10.473599999999999</v>
      </c>
      <c r="U206">
        <f t="shared" si="39"/>
        <v>9.2900098847999999</v>
      </c>
      <c r="X206" s="9"/>
      <c r="Y206" s="22">
        <v>0.81298800000000004</v>
      </c>
      <c r="Z206" s="22">
        <v>55.978200000000001</v>
      </c>
      <c r="AA206" s="22">
        <v>-1.1633299999999999E-2</v>
      </c>
      <c r="AB206" s="22">
        <v>196</v>
      </c>
      <c r="AC206" s="22">
        <v>0.81207300000000004</v>
      </c>
      <c r="AD206">
        <f t="shared" si="40"/>
        <v>11.633299999999998</v>
      </c>
      <c r="AE206">
        <f t="shared" si="41"/>
        <v>9.4577333003999993</v>
      </c>
      <c r="AF206" s="9"/>
      <c r="AG206" s="22">
        <v>0.88699300000000003</v>
      </c>
      <c r="AH206" s="22">
        <v>61.522799999999997</v>
      </c>
      <c r="AI206" s="22">
        <v>-1.00006E-2</v>
      </c>
      <c r="AJ206" s="22">
        <v>196</v>
      </c>
      <c r="AK206" s="22">
        <v>0.88622999999999996</v>
      </c>
      <c r="AL206">
        <f t="shared" si="42"/>
        <v>10.0006</v>
      </c>
      <c r="AM206">
        <f t="shared" si="43"/>
        <v>8.8704621958000001</v>
      </c>
      <c r="AP206" s="9"/>
      <c r="AQ206" s="22">
        <v>0.81298800000000004</v>
      </c>
      <c r="AR206" s="22">
        <v>68.522400000000005</v>
      </c>
      <c r="AS206" s="22">
        <v>-1.1306800000000001E-2</v>
      </c>
      <c r="AT206" s="22">
        <v>196</v>
      </c>
      <c r="AU206" s="22">
        <v>0.81237800000000004</v>
      </c>
      <c r="AV206">
        <f t="shared" si="44"/>
        <v>11.306800000000001</v>
      </c>
      <c r="AW206">
        <f t="shared" si="45"/>
        <v>9.192292718400001</v>
      </c>
      <c r="AX206" s="9"/>
      <c r="AY206" s="22">
        <v>0.88699300000000003</v>
      </c>
      <c r="AZ206" s="22">
        <v>73.799000000000007</v>
      </c>
      <c r="BA206" s="22">
        <v>-9.7991899999999993E-3</v>
      </c>
      <c r="BB206" s="22">
        <v>196</v>
      </c>
      <c r="BC206" s="22">
        <v>0.88622999999999996</v>
      </c>
      <c r="BD206">
        <f t="shared" si="46"/>
        <v>9.7991899999999994</v>
      </c>
      <c r="BE206">
        <f t="shared" si="47"/>
        <v>8.6918129356699989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8.7013400000000001</v>
      </c>
      <c r="I207" s="22">
        <v>-1.1450200000000001E-2</v>
      </c>
      <c r="J207" s="22">
        <v>197</v>
      </c>
      <c r="K207" s="22">
        <v>0.80688499999999996</v>
      </c>
      <c r="L207">
        <f t="shared" si="36"/>
        <v>11.450200000000001</v>
      </c>
      <c r="M207">
        <f t="shared" si="37"/>
        <v>9.2512234406000005</v>
      </c>
      <c r="N207" s="9"/>
      <c r="O207" s="22">
        <v>0.89202899999999996</v>
      </c>
      <c r="P207" s="22">
        <v>48.176600000000001</v>
      </c>
      <c r="Q207" s="22">
        <v>-1.0437E-2</v>
      </c>
      <c r="R207" s="22">
        <v>197</v>
      </c>
      <c r="S207" s="22">
        <v>0.89141800000000004</v>
      </c>
      <c r="T207">
        <f t="shared" si="38"/>
        <v>10.436999999999999</v>
      </c>
      <c r="U207">
        <f t="shared" si="39"/>
        <v>9.3101066729999982</v>
      </c>
      <c r="X207" s="9"/>
      <c r="Y207" s="22">
        <v>0.80795300000000003</v>
      </c>
      <c r="Z207" s="22">
        <v>55.988199999999999</v>
      </c>
      <c r="AA207" s="22">
        <v>-1.16577E-2</v>
      </c>
      <c r="AB207" s="22">
        <v>197</v>
      </c>
      <c r="AC207" s="22">
        <v>0.80688499999999996</v>
      </c>
      <c r="AD207">
        <f t="shared" si="40"/>
        <v>11.6577</v>
      </c>
      <c r="AE207">
        <f t="shared" si="41"/>
        <v>9.4188736880999997</v>
      </c>
      <c r="AF207" s="9"/>
      <c r="AG207" s="22">
        <v>0.89202899999999996</v>
      </c>
      <c r="AH207" s="22">
        <v>61.532800000000002</v>
      </c>
      <c r="AI207" s="22">
        <v>-9.9670399999999999E-3</v>
      </c>
      <c r="AJ207" s="22">
        <v>197</v>
      </c>
      <c r="AK207" s="22">
        <v>0.89111300000000004</v>
      </c>
      <c r="AL207">
        <f t="shared" si="42"/>
        <v>9.9670400000000008</v>
      </c>
      <c r="AM207">
        <f t="shared" si="43"/>
        <v>8.8908887241599999</v>
      </c>
      <c r="AP207" s="9"/>
      <c r="AQ207" s="22">
        <v>0.80795300000000003</v>
      </c>
      <c r="AR207" s="22">
        <v>68.532499999999999</v>
      </c>
      <c r="AS207" s="22">
        <v>-1.13312E-2</v>
      </c>
      <c r="AT207" s="22">
        <v>197</v>
      </c>
      <c r="AU207" s="22">
        <v>0.80779999999999996</v>
      </c>
      <c r="AV207">
        <f t="shared" si="44"/>
        <v>11.331199999999999</v>
      </c>
      <c r="AW207">
        <f t="shared" si="45"/>
        <v>9.1550770335999996</v>
      </c>
      <c r="AX207" s="9"/>
      <c r="AY207" s="22">
        <v>0.89202899999999996</v>
      </c>
      <c r="AZ207" s="22">
        <v>73.809100000000001</v>
      </c>
      <c r="BA207" s="22">
        <v>-9.7656300000000008E-3</v>
      </c>
      <c r="BB207" s="22">
        <v>197</v>
      </c>
      <c r="BC207" s="22">
        <v>0.89050300000000004</v>
      </c>
      <c r="BD207">
        <f t="shared" si="46"/>
        <v>9.7656300000000016</v>
      </c>
      <c r="BE207">
        <f t="shared" si="47"/>
        <v>8.7112251632700008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8.7114100000000008</v>
      </c>
      <c r="I208" s="22">
        <v>-1.14777E-2</v>
      </c>
      <c r="J208" s="22">
        <v>198</v>
      </c>
      <c r="K208" s="22">
        <v>0.80169699999999999</v>
      </c>
      <c r="L208">
        <f t="shared" si="36"/>
        <v>11.4777</v>
      </c>
      <c r="M208">
        <f t="shared" si="37"/>
        <v>9.2156404509000005</v>
      </c>
      <c r="N208" s="9"/>
      <c r="O208" s="22">
        <v>0.89706399999999997</v>
      </c>
      <c r="P208" s="22">
        <v>48.186700000000002</v>
      </c>
      <c r="Q208" s="22">
        <v>-1.0406500000000001E-2</v>
      </c>
      <c r="R208" s="22">
        <v>198</v>
      </c>
      <c r="S208" s="22">
        <v>0.89538600000000002</v>
      </c>
      <c r="T208">
        <f t="shared" si="38"/>
        <v>10.406500000000001</v>
      </c>
      <c r="U208">
        <f t="shared" si="39"/>
        <v>9.3352965160000014</v>
      </c>
      <c r="X208" s="9"/>
      <c r="Y208" s="22">
        <v>0.80291699999999999</v>
      </c>
      <c r="Z208" s="22">
        <v>55.9983</v>
      </c>
      <c r="AA208" s="22">
        <v>-1.16791E-2</v>
      </c>
      <c r="AB208" s="22">
        <v>198</v>
      </c>
      <c r="AC208" s="22">
        <v>0.80169699999999999</v>
      </c>
      <c r="AD208">
        <f t="shared" si="40"/>
        <v>11.6791</v>
      </c>
      <c r="AE208">
        <f t="shared" si="41"/>
        <v>9.3773479346999995</v>
      </c>
      <c r="AF208" s="9"/>
      <c r="AG208" s="22">
        <v>0.89706399999999997</v>
      </c>
      <c r="AH208" s="22">
        <v>61.542900000000003</v>
      </c>
      <c r="AI208" s="22">
        <v>-9.9334699999999998E-3</v>
      </c>
      <c r="AJ208" s="22">
        <v>198</v>
      </c>
      <c r="AK208" s="22">
        <v>0.89599600000000001</v>
      </c>
      <c r="AL208">
        <f t="shared" si="42"/>
        <v>9.9334699999999998</v>
      </c>
      <c r="AM208">
        <f t="shared" si="43"/>
        <v>8.9109583320799999</v>
      </c>
      <c r="AP208" s="9"/>
      <c r="AQ208" s="22">
        <v>0.80291699999999999</v>
      </c>
      <c r="AR208" s="22">
        <v>68.542500000000004</v>
      </c>
      <c r="AS208" s="22">
        <v>-1.13464E-2</v>
      </c>
      <c r="AT208" s="22">
        <v>198</v>
      </c>
      <c r="AU208" s="22">
        <v>0.80139199999999999</v>
      </c>
      <c r="AV208">
        <f t="shared" si="44"/>
        <v>11.346399999999999</v>
      </c>
      <c r="AW208">
        <f t="shared" si="45"/>
        <v>9.1102174487999985</v>
      </c>
      <c r="AX208" s="9"/>
      <c r="AY208" s="22">
        <v>0.89706399999999997</v>
      </c>
      <c r="AZ208" s="22">
        <v>73.819199999999995</v>
      </c>
      <c r="BA208" s="22">
        <v>-9.7289999999999998E-3</v>
      </c>
      <c r="BB208" s="22">
        <v>198</v>
      </c>
      <c r="BC208" s="22">
        <v>0.89599600000000001</v>
      </c>
      <c r="BD208">
        <f t="shared" si="46"/>
        <v>9.7289999999999992</v>
      </c>
      <c r="BE208">
        <f t="shared" si="47"/>
        <v>8.7275356559999988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8.7214799999999997</v>
      </c>
      <c r="I209" s="22">
        <v>-1.1495999999999999E-2</v>
      </c>
      <c r="J209" s="22">
        <v>199</v>
      </c>
      <c r="K209" s="22">
        <v>0.79711900000000002</v>
      </c>
      <c r="L209">
        <f t="shared" si="36"/>
        <v>11.495999999999999</v>
      </c>
      <c r="M209">
        <f t="shared" si="37"/>
        <v>9.1724514719999988</v>
      </c>
      <c r="N209" s="9"/>
      <c r="O209" s="22">
        <v>0.90210000000000001</v>
      </c>
      <c r="P209" s="22">
        <v>48.1967</v>
      </c>
      <c r="Q209" s="22">
        <v>-1.0372899999999999E-2</v>
      </c>
      <c r="R209" s="22">
        <v>199</v>
      </c>
      <c r="S209" s="22">
        <v>0.90148899999999998</v>
      </c>
      <c r="T209">
        <f t="shared" si="38"/>
        <v>10.3729</v>
      </c>
      <c r="U209">
        <f t="shared" si="39"/>
        <v>9.3573930900000004</v>
      </c>
      <c r="X209" s="9"/>
      <c r="Y209" s="22">
        <v>0.79788199999999998</v>
      </c>
      <c r="Z209" s="22">
        <v>56.008400000000002</v>
      </c>
      <c r="AA209" s="22">
        <v>-1.16974E-2</v>
      </c>
      <c r="AB209" s="22">
        <v>199</v>
      </c>
      <c r="AC209" s="22">
        <v>0.79772900000000002</v>
      </c>
      <c r="AD209">
        <f t="shared" si="40"/>
        <v>11.6974</v>
      </c>
      <c r="AE209">
        <f t="shared" si="41"/>
        <v>9.3331449067999994</v>
      </c>
      <c r="AF209" s="9"/>
      <c r="AG209" s="22">
        <v>0.90210000000000001</v>
      </c>
      <c r="AH209" s="22">
        <v>61.552999999999997</v>
      </c>
      <c r="AI209" s="22">
        <v>-9.8968500000000004E-3</v>
      </c>
      <c r="AJ209" s="22">
        <v>199</v>
      </c>
      <c r="AK209" s="22">
        <v>0.90148899999999998</v>
      </c>
      <c r="AL209">
        <f t="shared" si="42"/>
        <v>9.8968500000000006</v>
      </c>
      <c r="AM209">
        <f t="shared" si="43"/>
        <v>8.9279483850000005</v>
      </c>
      <c r="AP209" s="9"/>
      <c r="AQ209" s="22">
        <v>0.79788199999999998</v>
      </c>
      <c r="AR209" s="22">
        <v>68.552599999999998</v>
      </c>
      <c r="AS209" s="22">
        <v>-1.1367800000000001E-2</v>
      </c>
      <c r="AT209" s="22">
        <v>199</v>
      </c>
      <c r="AU209" s="22">
        <v>0.79650900000000002</v>
      </c>
      <c r="AV209">
        <f t="shared" si="44"/>
        <v>11.367800000000001</v>
      </c>
      <c r="AW209">
        <f t="shared" si="45"/>
        <v>9.0701629996000008</v>
      </c>
      <c r="AX209" s="9"/>
      <c r="AY209" s="22">
        <v>0.90210000000000001</v>
      </c>
      <c r="AZ209" s="22">
        <v>73.8292</v>
      </c>
      <c r="BA209" s="22">
        <v>-9.6954299999999997E-3</v>
      </c>
      <c r="BB209" s="22">
        <v>199</v>
      </c>
      <c r="BC209" s="22">
        <v>0.90087899999999999</v>
      </c>
      <c r="BD209">
        <f t="shared" si="46"/>
        <v>9.69543</v>
      </c>
      <c r="BE209">
        <f t="shared" si="47"/>
        <v>8.7462474029999999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8.7315500000000004</v>
      </c>
      <c r="I210" s="22">
        <v>-1.1517299999999999E-2</v>
      </c>
      <c r="J210" s="22">
        <v>200</v>
      </c>
      <c r="K210" s="22">
        <v>0.79193100000000005</v>
      </c>
      <c r="L210">
        <f t="shared" si="36"/>
        <v>11.517299999999999</v>
      </c>
      <c r="M210">
        <f t="shared" si="37"/>
        <v>9.1314567530999984</v>
      </c>
      <c r="N210" s="9"/>
      <c r="O210" s="22">
        <v>0.90713500000000002</v>
      </c>
      <c r="P210" s="22">
        <v>48.206800000000001</v>
      </c>
      <c r="Q210" s="22">
        <v>-1.03424E-2</v>
      </c>
      <c r="R210" s="22">
        <v>200</v>
      </c>
      <c r="S210" s="22">
        <v>0.90667699999999996</v>
      </c>
      <c r="T210">
        <f t="shared" si="38"/>
        <v>10.3424</v>
      </c>
      <c r="U210">
        <f t="shared" si="39"/>
        <v>9.3819530239999995</v>
      </c>
      <c r="X210" s="9"/>
      <c r="Y210" s="22">
        <v>0.79284699999999997</v>
      </c>
      <c r="Z210" s="22">
        <v>56.0184</v>
      </c>
      <c r="AA210" s="22">
        <v>-1.17188E-2</v>
      </c>
      <c r="AB210" s="22">
        <v>200</v>
      </c>
      <c r="AC210" s="22">
        <v>0.79162600000000005</v>
      </c>
      <c r="AD210">
        <f t="shared" si="40"/>
        <v>11.7188</v>
      </c>
      <c r="AE210">
        <f t="shared" si="41"/>
        <v>9.2912154235999989</v>
      </c>
      <c r="AF210" s="9"/>
      <c r="AG210" s="22">
        <v>0.90713500000000002</v>
      </c>
      <c r="AH210" s="22">
        <v>61.563099999999999</v>
      </c>
      <c r="AI210" s="22">
        <v>-9.8632800000000003E-3</v>
      </c>
      <c r="AJ210" s="22">
        <v>200</v>
      </c>
      <c r="AK210" s="22">
        <v>0.90606699999999996</v>
      </c>
      <c r="AL210">
        <f t="shared" si="42"/>
        <v>9.8632799999999996</v>
      </c>
      <c r="AM210">
        <f t="shared" si="43"/>
        <v>8.9473265027999993</v>
      </c>
      <c r="AP210" s="9"/>
      <c r="AQ210" s="22">
        <v>0.79284699999999997</v>
      </c>
      <c r="AR210" s="22">
        <v>68.562700000000007</v>
      </c>
      <c r="AS210" s="22">
        <v>-1.13861E-2</v>
      </c>
      <c r="AT210" s="22">
        <v>200</v>
      </c>
      <c r="AU210" s="22">
        <v>0.79162600000000005</v>
      </c>
      <c r="AV210">
        <f t="shared" si="44"/>
        <v>11.386099999999999</v>
      </c>
      <c r="AW210">
        <f t="shared" si="45"/>
        <v>9.027435226699998</v>
      </c>
      <c r="AX210" s="9"/>
      <c r="AY210" s="22">
        <v>0.90713500000000002</v>
      </c>
      <c r="AZ210" s="22">
        <v>73.839299999999994</v>
      </c>
      <c r="BA210" s="22">
        <v>-9.6588100000000003E-3</v>
      </c>
      <c r="BB210" s="22">
        <v>200</v>
      </c>
      <c r="BC210" s="22">
        <v>0.90667699999999996</v>
      </c>
      <c r="BD210">
        <f t="shared" si="46"/>
        <v>9.6588100000000008</v>
      </c>
      <c r="BE210">
        <f t="shared" si="47"/>
        <v>8.7618446093500015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8.7416199999999993</v>
      </c>
      <c r="I211" s="22">
        <v>-1.15417E-2</v>
      </c>
      <c r="J211" s="22">
        <v>201</v>
      </c>
      <c r="K211" s="22">
        <v>0.787354</v>
      </c>
      <c r="L211">
        <f t="shared" si="36"/>
        <v>11.541700000000001</v>
      </c>
      <c r="M211">
        <f t="shared" si="37"/>
        <v>9.0926782187000015</v>
      </c>
      <c r="N211" s="9"/>
      <c r="O211" s="22">
        <v>0.91217000000000004</v>
      </c>
      <c r="P211" s="22">
        <v>48.216900000000003</v>
      </c>
      <c r="Q211" s="22">
        <v>-1.03088E-2</v>
      </c>
      <c r="R211" s="22">
        <v>201</v>
      </c>
      <c r="S211" s="22">
        <v>0.91095000000000004</v>
      </c>
      <c r="T211">
        <f t="shared" si="38"/>
        <v>10.3088</v>
      </c>
      <c r="U211">
        <f t="shared" si="39"/>
        <v>9.4033780960000009</v>
      </c>
      <c r="X211" s="9"/>
      <c r="Y211" s="22">
        <v>0.78781100000000004</v>
      </c>
      <c r="Z211" s="22">
        <v>56.028500000000001</v>
      </c>
      <c r="AA211" s="22">
        <v>-1.1743200000000001E-2</v>
      </c>
      <c r="AB211" s="22">
        <v>201</v>
      </c>
      <c r="AC211" s="22">
        <v>0.787354</v>
      </c>
      <c r="AD211">
        <f t="shared" si="40"/>
        <v>11.7432</v>
      </c>
      <c r="AE211">
        <f t="shared" si="41"/>
        <v>9.2514221352000003</v>
      </c>
      <c r="AF211" s="9"/>
      <c r="AG211" s="22">
        <v>0.91217000000000004</v>
      </c>
      <c r="AH211" s="22">
        <v>61.573099999999997</v>
      </c>
      <c r="AI211" s="22">
        <v>-9.8327599999999994E-3</v>
      </c>
      <c r="AJ211" s="22">
        <v>201</v>
      </c>
      <c r="AK211" s="22">
        <v>0.91095000000000004</v>
      </c>
      <c r="AL211">
        <f t="shared" si="42"/>
        <v>9.8327599999999986</v>
      </c>
      <c r="AM211">
        <f t="shared" si="43"/>
        <v>8.969148689199999</v>
      </c>
      <c r="AP211" s="9"/>
      <c r="AQ211" s="22">
        <v>0.78781100000000004</v>
      </c>
      <c r="AR211" s="22">
        <v>68.572800000000001</v>
      </c>
      <c r="AS211" s="22">
        <v>-1.1413599999999999E-2</v>
      </c>
      <c r="AT211" s="22">
        <v>201</v>
      </c>
      <c r="AU211" s="22">
        <v>0.78704799999999997</v>
      </c>
      <c r="AV211">
        <f t="shared" si="44"/>
        <v>11.413599999999999</v>
      </c>
      <c r="AW211">
        <f t="shared" si="45"/>
        <v>8.9917596295999989</v>
      </c>
      <c r="AX211" s="9"/>
      <c r="AY211" s="22">
        <v>0.91217000000000004</v>
      </c>
      <c r="AZ211" s="22">
        <v>73.849400000000003</v>
      </c>
      <c r="BA211" s="22">
        <v>-9.6252400000000002E-3</v>
      </c>
      <c r="BB211" s="22">
        <v>201</v>
      </c>
      <c r="BC211" s="22">
        <v>0.91125500000000004</v>
      </c>
      <c r="BD211">
        <f t="shared" si="46"/>
        <v>9.6252399999999998</v>
      </c>
      <c r="BE211">
        <f t="shared" si="47"/>
        <v>8.7798551707999994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8.75169</v>
      </c>
      <c r="I212" s="22">
        <v>-1.15692E-2</v>
      </c>
      <c r="J212" s="22">
        <v>202</v>
      </c>
      <c r="K212" s="22">
        <v>0.78186</v>
      </c>
      <c r="L212">
        <f t="shared" si="36"/>
        <v>11.5692</v>
      </c>
      <c r="M212">
        <f t="shared" si="37"/>
        <v>9.0560920992000007</v>
      </c>
      <c r="N212" s="9"/>
      <c r="O212" s="22">
        <v>0.91720599999999997</v>
      </c>
      <c r="P212" s="22">
        <v>48.226900000000001</v>
      </c>
      <c r="Q212" s="22">
        <v>-1.0275299999999999E-2</v>
      </c>
      <c r="R212" s="22">
        <v>202</v>
      </c>
      <c r="S212" s="22">
        <v>0.91644300000000001</v>
      </c>
      <c r="T212">
        <f t="shared" si="38"/>
        <v>10.2753</v>
      </c>
      <c r="U212">
        <f t="shared" si="39"/>
        <v>9.4245668118000001</v>
      </c>
      <c r="X212" s="9"/>
      <c r="Y212" s="22">
        <v>0.78277600000000003</v>
      </c>
      <c r="Z212" s="22">
        <v>56.038600000000002</v>
      </c>
      <c r="AA212" s="22">
        <v>-1.17676E-2</v>
      </c>
      <c r="AB212" s="22">
        <v>202</v>
      </c>
      <c r="AC212" s="22">
        <v>0.78186</v>
      </c>
      <c r="AD212">
        <f t="shared" si="40"/>
        <v>11.7676</v>
      </c>
      <c r="AE212">
        <f t="shared" si="41"/>
        <v>9.2113948576000002</v>
      </c>
      <c r="AF212" s="9"/>
      <c r="AG212" s="22">
        <v>0.91720599999999997</v>
      </c>
      <c r="AH212" s="22">
        <v>61.583199999999998</v>
      </c>
      <c r="AI212" s="22">
        <v>-9.8052999999999994E-3</v>
      </c>
      <c r="AJ212" s="22">
        <v>202</v>
      </c>
      <c r="AK212" s="22">
        <v>0.91644300000000001</v>
      </c>
      <c r="AL212">
        <f t="shared" si="42"/>
        <v>9.805299999999999</v>
      </c>
      <c r="AM212">
        <f t="shared" si="43"/>
        <v>8.9934799917999992</v>
      </c>
      <c r="AP212" s="9"/>
      <c r="AQ212" s="22">
        <v>0.78277600000000003</v>
      </c>
      <c r="AR212" s="22">
        <v>68.582800000000006</v>
      </c>
      <c r="AS212" s="22">
        <v>-1.1441E-2</v>
      </c>
      <c r="AT212" s="22">
        <v>202</v>
      </c>
      <c r="AU212" s="22">
        <v>0.780945</v>
      </c>
      <c r="AV212">
        <f t="shared" si="44"/>
        <v>11.440999999999999</v>
      </c>
      <c r="AW212">
        <f t="shared" si="45"/>
        <v>8.9557402159999988</v>
      </c>
      <c r="AX212" s="9"/>
      <c r="AY212" s="22">
        <v>0.91720599999999997</v>
      </c>
      <c r="AZ212" s="22">
        <v>73.859499999999997</v>
      </c>
      <c r="BA212" s="22">
        <v>-9.5977800000000002E-3</v>
      </c>
      <c r="BB212" s="22">
        <v>202</v>
      </c>
      <c r="BC212" s="22">
        <v>0.91644300000000001</v>
      </c>
      <c r="BD212">
        <f t="shared" si="46"/>
        <v>9.5977800000000002</v>
      </c>
      <c r="BE212">
        <f t="shared" si="47"/>
        <v>8.8031414026799997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8.7617700000000003</v>
      </c>
      <c r="I213" s="22">
        <v>-1.15906E-2</v>
      </c>
      <c r="J213" s="22">
        <v>203</v>
      </c>
      <c r="K213" s="22">
        <v>0.77636700000000003</v>
      </c>
      <c r="L213">
        <f t="shared" si="36"/>
        <v>11.5906</v>
      </c>
      <c r="M213">
        <f t="shared" si="37"/>
        <v>9.0144732439999995</v>
      </c>
      <c r="N213" s="9"/>
      <c r="O213" s="22">
        <v>0.92224099999999998</v>
      </c>
      <c r="P213" s="22">
        <v>48.237000000000002</v>
      </c>
      <c r="Q213" s="22">
        <v>-1.02386E-2</v>
      </c>
      <c r="R213" s="22">
        <v>203</v>
      </c>
      <c r="S213" s="22">
        <v>0.92132599999999998</v>
      </c>
      <c r="T213">
        <f t="shared" si="38"/>
        <v>10.2386</v>
      </c>
      <c r="U213">
        <f t="shared" si="39"/>
        <v>9.4424567025999995</v>
      </c>
      <c r="X213" s="9"/>
      <c r="Y213" s="22">
        <v>0.77773999999999999</v>
      </c>
      <c r="Z213" s="22">
        <v>56.048699999999997</v>
      </c>
      <c r="AA213" s="22">
        <v>-1.1798100000000001E-2</v>
      </c>
      <c r="AB213" s="22">
        <v>203</v>
      </c>
      <c r="AC213" s="22">
        <v>0.77667200000000003</v>
      </c>
      <c r="AD213">
        <f t="shared" si="40"/>
        <v>11.7981</v>
      </c>
      <c r="AE213">
        <f t="shared" si="41"/>
        <v>9.1758542940000005</v>
      </c>
      <c r="AF213" s="9"/>
      <c r="AG213" s="22">
        <v>0.92224099999999998</v>
      </c>
      <c r="AH213" s="22">
        <v>61.593299999999999</v>
      </c>
      <c r="AI213" s="22">
        <v>-9.7717299999999993E-3</v>
      </c>
      <c r="AJ213" s="22">
        <v>203</v>
      </c>
      <c r="AK213" s="22">
        <v>0.92193599999999998</v>
      </c>
      <c r="AL213">
        <f t="shared" si="42"/>
        <v>9.7717299999999998</v>
      </c>
      <c r="AM213">
        <f t="shared" si="43"/>
        <v>9.0118900469299987</v>
      </c>
      <c r="AP213" s="9"/>
      <c r="AQ213" s="22">
        <v>0.77773999999999999</v>
      </c>
      <c r="AR213" s="22">
        <v>68.5929</v>
      </c>
      <c r="AS213" s="22">
        <v>-1.14655E-2</v>
      </c>
      <c r="AT213" s="22">
        <v>203</v>
      </c>
      <c r="AU213" s="22">
        <v>0.77667200000000003</v>
      </c>
      <c r="AV213">
        <f t="shared" si="44"/>
        <v>11.4655</v>
      </c>
      <c r="AW213">
        <f t="shared" si="45"/>
        <v>8.9171779700000009</v>
      </c>
      <c r="AX213" s="9"/>
      <c r="AY213" s="22">
        <v>0.92224099999999998</v>
      </c>
      <c r="AZ213" s="22">
        <v>73.869500000000002</v>
      </c>
      <c r="BA213" s="22">
        <v>-9.5672599999999993E-3</v>
      </c>
      <c r="BB213" s="22">
        <v>203</v>
      </c>
      <c r="BC213" s="22">
        <v>0.92163099999999998</v>
      </c>
      <c r="BD213">
        <f t="shared" si="46"/>
        <v>9.5672599999999992</v>
      </c>
      <c r="BE213">
        <f t="shared" si="47"/>
        <v>8.8233194296599997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8.7718399999999992</v>
      </c>
      <c r="I214" s="22">
        <v>-1.16089E-2</v>
      </c>
      <c r="J214" s="22">
        <v>204</v>
      </c>
      <c r="K214" s="22">
        <v>0.77148399999999995</v>
      </c>
      <c r="L214">
        <f t="shared" si="36"/>
        <v>11.6089</v>
      </c>
      <c r="M214">
        <f t="shared" si="37"/>
        <v>8.9702550745000007</v>
      </c>
      <c r="N214" s="9"/>
      <c r="O214" s="22">
        <v>0.92727700000000002</v>
      </c>
      <c r="P214" s="22">
        <v>48.247100000000003</v>
      </c>
      <c r="Q214" s="22">
        <v>-1.0201999999999999E-2</v>
      </c>
      <c r="R214" s="22">
        <v>204</v>
      </c>
      <c r="S214" s="22">
        <v>0.92620800000000003</v>
      </c>
      <c r="T214">
        <f t="shared" si="38"/>
        <v>10.202</v>
      </c>
      <c r="U214">
        <f t="shared" si="39"/>
        <v>9.4600799539999993</v>
      </c>
      <c r="X214" s="9"/>
      <c r="Y214" s="22">
        <v>0.77270499999999998</v>
      </c>
      <c r="Z214" s="22">
        <v>56.058700000000002</v>
      </c>
      <c r="AA214" s="22">
        <v>-1.18256E-2</v>
      </c>
      <c r="AB214" s="22">
        <v>204</v>
      </c>
      <c r="AC214" s="22">
        <v>0.77178999999999998</v>
      </c>
      <c r="AD214">
        <f t="shared" si="40"/>
        <v>11.8256</v>
      </c>
      <c r="AE214">
        <f t="shared" si="41"/>
        <v>9.1377002479999998</v>
      </c>
      <c r="AF214" s="9"/>
      <c r="AG214" s="22">
        <v>0.92727700000000002</v>
      </c>
      <c r="AH214" s="22">
        <v>61.603299999999997</v>
      </c>
      <c r="AI214" s="22">
        <v>-9.7381599999999992E-3</v>
      </c>
      <c r="AJ214" s="22">
        <v>204</v>
      </c>
      <c r="AK214" s="22">
        <v>0.92620800000000003</v>
      </c>
      <c r="AL214">
        <f t="shared" si="42"/>
        <v>9.7381599999999988</v>
      </c>
      <c r="AM214">
        <f t="shared" si="43"/>
        <v>9.0299717903199994</v>
      </c>
      <c r="AP214" s="9"/>
      <c r="AQ214" s="22">
        <v>0.77270499999999998</v>
      </c>
      <c r="AR214" s="22">
        <v>68.602999999999994</v>
      </c>
      <c r="AS214" s="22">
        <v>-1.14868E-2</v>
      </c>
      <c r="AT214" s="22">
        <v>204</v>
      </c>
      <c r="AU214" s="22">
        <v>0.77178999999999998</v>
      </c>
      <c r="AV214">
        <f t="shared" si="44"/>
        <v>11.486800000000001</v>
      </c>
      <c r="AW214">
        <f t="shared" si="45"/>
        <v>8.8759077939999997</v>
      </c>
      <c r="AX214" s="9"/>
      <c r="AY214" s="22">
        <v>0.92727700000000002</v>
      </c>
      <c r="AZ214" s="22">
        <v>73.879599999999996</v>
      </c>
      <c r="BA214" s="22">
        <v>-9.5367400000000001E-3</v>
      </c>
      <c r="BB214" s="22">
        <v>204</v>
      </c>
      <c r="BC214" s="22">
        <v>0.92590300000000003</v>
      </c>
      <c r="BD214">
        <f t="shared" si="46"/>
        <v>9.53674</v>
      </c>
      <c r="BE214">
        <f t="shared" si="47"/>
        <v>8.8431996569799995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8.7819099999999999</v>
      </c>
      <c r="I215" s="22">
        <v>-1.16302E-2</v>
      </c>
      <c r="J215" s="22">
        <v>205</v>
      </c>
      <c r="K215" s="22">
        <v>0.76660200000000001</v>
      </c>
      <c r="L215">
        <f t="shared" si="36"/>
        <v>11.6302</v>
      </c>
      <c r="M215">
        <f t="shared" si="37"/>
        <v>8.9281556339999995</v>
      </c>
      <c r="N215" s="9"/>
      <c r="O215" s="22">
        <v>0.93231200000000003</v>
      </c>
      <c r="P215" s="22">
        <v>48.257100000000001</v>
      </c>
      <c r="Q215" s="22">
        <v>-1.01685E-2</v>
      </c>
      <c r="R215" s="22">
        <v>205</v>
      </c>
      <c r="S215" s="22">
        <v>0.931091</v>
      </c>
      <c r="T215">
        <f t="shared" si="38"/>
        <v>10.1685</v>
      </c>
      <c r="U215">
        <f t="shared" si="39"/>
        <v>9.4802145719999995</v>
      </c>
      <c r="X215" s="9"/>
      <c r="Y215" s="22">
        <v>0.76766999999999996</v>
      </c>
      <c r="Z215" s="22">
        <v>56.068800000000003</v>
      </c>
      <c r="AA215" s="22">
        <v>-1.1853000000000001E-2</v>
      </c>
      <c r="AB215" s="22">
        <v>205</v>
      </c>
      <c r="AC215" s="22">
        <v>0.76660200000000001</v>
      </c>
      <c r="AD215">
        <f t="shared" si="40"/>
        <v>11.853000000000002</v>
      </c>
      <c r="AE215">
        <f t="shared" si="41"/>
        <v>9.09919251</v>
      </c>
      <c r="AF215" s="9"/>
      <c r="AG215" s="22">
        <v>0.93231200000000003</v>
      </c>
      <c r="AH215" s="22">
        <v>61.613399999999999</v>
      </c>
      <c r="AI215" s="22">
        <v>-9.7045900000000008E-3</v>
      </c>
      <c r="AJ215" s="22">
        <v>205</v>
      </c>
      <c r="AK215" s="22">
        <v>0.931091</v>
      </c>
      <c r="AL215">
        <f t="shared" si="42"/>
        <v>9.7045900000000014</v>
      </c>
      <c r="AM215">
        <f t="shared" si="43"/>
        <v>9.0477057120800009</v>
      </c>
      <c r="AP215" s="9"/>
      <c r="AQ215" s="22">
        <v>0.76766999999999996</v>
      </c>
      <c r="AR215" s="22">
        <v>68.613</v>
      </c>
      <c r="AS215" s="22">
        <v>-1.15143E-2</v>
      </c>
      <c r="AT215" s="22">
        <v>205</v>
      </c>
      <c r="AU215" s="22">
        <v>0.76690700000000001</v>
      </c>
      <c r="AV215">
        <f t="shared" si="44"/>
        <v>11.5143</v>
      </c>
      <c r="AW215">
        <f t="shared" si="45"/>
        <v>8.8391826810000005</v>
      </c>
      <c r="AX215" s="9"/>
      <c r="AY215" s="22">
        <v>0.93231200000000003</v>
      </c>
      <c r="AZ215" s="22">
        <v>73.889700000000005</v>
      </c>
      <c r="BA215" s="22">
        <v>-9.50317E-3</v>
      </c>
      <c r="BB215" s="22">
        <v>205</v>
      </c>
      <c r="BC215" s="22">
        <v>0.93170200000000003</v>
      </c>
      <c r="BD215">
        <f t="shared" si="46"/>
        <v>9.5031700000000008</v>
      </c>
      <c r="BE215">
        <f t="shared" si="47"/>
        <v>8.8599194290400014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8.7919800000000006</v>
      </c>
      <c r="I216" s="22">
        <v>-1.16547E-2</v>
      </c>
      <c r="J216" s="22">
        <v>206</v>
      </c>
      <c r="K216" s="22">
        <v>0.76171900000000003</v>
      </c>
      <c r="L216">
        <f t="shared" si="36"/>
        <v>11.6547</v>
      </c>
      <c r="M216">
        <f t="shared" si="37"/>
        <v>8.888270479800001</v>
      </c>
      <c r="N216" s="9"/>
      <c r="O216" s="22">
        <v>0.93734700000000004</v>
      </c>
      <c r="P216" s="22">
        <v>48.267200000000003</v>
      </c>
      <c r="Q216" s="22">
        <v>-1.0134900000000001E-2</v>
      </c>
      <c r="R216" s="22">
        <v>206</v>
      </c>
      <c r="S216" s="22">
        <v>0.93689</v>
      </c>
      <c r="T216">
        <f t="shared" si="38"/>
        <v>10.1349</v>
      </c>
      <c r="U216">
        <f t="shared" si="39"/>
        <v>9.4999181103000012</v>
      </c>
      <c r="X216" s="9"/>
      <c r="Y216" s="22">
        <v>0.76263400000000003</v>
      </c>
      <c r="Z216" s="22">
        <v>56.078899999999997</v>
      </c>
      <c r="AA216" s="22">
        <v>-1.18774E-2</v>
      </c>
      <c r="AB216" s="22">
        <v>206</v>
      </c>
      <c r="AC216" s="22">
        <v>0.76232900000000003</v>
      </c>
      <c r="AD216">
        <f t="shared" si="40"/>
        <v>11.8774</v>
      </c>
      <c r="AE216">
        <f t="shared" si="41"/>
        <v>9.0581090716000006</v>
      </c>
      <c r="AF216" s="9"/>
      <c r="AG216" s="22">
        <v>0.93734700000000004</v>
      </c>
      <c r="AH216" s="22">
        <v>61.6235</v>
      </c>
      <c r="AI216" s="22">
        <v>-9.6740699999999999E-3</v>
      </c>
      <c r="AJ216" s="22">
        <v>206</v>
      </c>
      <c r="AK216" s="22">
        <v>0.93597399999999997</v>
      </c>
      <c r="AL216">
        <f t="shared" si="42"/>
        <v>9.6740700000000004</v>
      </c>
      <c r="AM216">
        <f t="shared" si="43"/>
        <v>9.0679604922900001</v>
      </c>
      <c r="AP216" s="9"/>
      <c r="AQ216" s="22">
        <v>0.76263400000000003</v>
      </c>
      <c r="AR216" s="22">
        <v>68.623099999999994</v>
      </c>
      <c r="AS216" s="22">
        <v>-1.15417E-2</v>
      </c>
      <c r="AT216" s="22">
        <v>206</v>
      </c>
      <c r="AU216" s="22">
        <v>0.76171900000000003</v>
      </c>
      <c r="AV216">
        <f t="shared" si="44"/>
        <v>11.541700000000001</v>
      </c>
      <c r="AW216">
        <f t="shared" si="45"/>
        <v>8.8020928378000001</v>
      </c>
      <c r="AX216" s="9"/>
      <c r="AY216" s="22">
        <v>0.93734700000000004</v>
      </c>
      <c r="AZ216" s="22">
        <v>73.899699999999996</v>
      </c>
      <c r="BA216" s="22">
        <v>-9.4726600000000008E-3</v>
      </c>
      <c r="BB216" s="22">
        <v>206</v>
      </c>
      <c r="BC216" s="22">
        <v>0.93658399999999997</v>
      </c>
      <c r="BD216">
        <f t="shared" si="46"/>
        <v>9.4726600000000012</v>
      </c>
      <c r="BE216">
        <f t="shared" si="47"/>
        <v>8.8791694330200013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8.8020499999999995</v>
      </c>
      <c r="I217" s="22">
        <v>-1.1682100000000001E-2</v>
      </c>
      <c r="J217" s="22">
        <v>207</v>
      </c>
      <c r="K217" s="22">
        <v>0.75653099999999995</v>
      </c>
      <c r="L217">
        <f t="shared" si="36"/>
        <v>11.6821</v>
      </c>
      <c r="M217">
        <f t="shared" si="37"/>
        <v>8.850347277900001</v>
      </c>
      <c r="N217" s="9"/>
      <c r="O217" s="22">
        <v>0.94238299999999997</v>
      </c>
      <c r="P217" s="22">
        <v>48.277299999999997</v>
      </c>
      <c r="Q217" s="22">
        <v>-1.0098299999999999E-2</v>
      </c>
      <c r="R217" s="22">
        <v>207</v>
      </c>
      <c r="S217" s="22">
        <v>0.94177200000000005</v>
      </c>
      <c r="T217">
        <f t="shared" si="38"/>
        <v>10.0983</v>
      </c>
      <c r="U217">
        <f t="shared" si="39"/>
        <v>9.5164662489000005</v>
      </c>
      <c r="X217" s="9"/>
      <c r="Y217" s="22">
        <v>0.75759900000000002</v>
      </c>
      <c r="Z217" s="22">
        <v>56.088900000000002</v>
      </c>
      <c r="AA217" s="22">
        <v>-1.1898799999999999E-2</v>
      </c>
      <c r="AB217" s="22">
        <v>207</v>
      </c>
      <c r="AC217" s="22">
        <v>0.75714099999999995</v>
      </c>
      <c r="AD217">
        <f t="shared" si="40"/>
        <v>11.8988</v>
      </c>
      <c r="AE217">
        <f t="shared" si="41"/>
        <v>9.0145189812000002</v>
      </c>
      <c r="AF217" s="9"/>
      <c r="AG217" s="22">
        <v>0.94238299999999997</v>
      </c>
      <c r="AH217" s="22">
        <v>61.633600000000001</v>
      </c>
      <c r="AI217" s="22">
        <v>-9.6374500000000005E-3</v>
      </c>
      <c r="AJ217" s="22">
        <v>207</v>
      </c>
      <c r="AK217" s="22">
        <v>0.94146700000000005</v>
      </c>
      <c r="AL217">
        <f t="shared" si="42"/>
        <v>9.6374500000000012</v>
      </c>
      <c r="AM217">
        <f t="shared" si="43"/>
        <v>9.0821690433500013</v>
      </c>
      <c r="AP217" s="9"/>
      <c r="AQ217" s="22">
        <v>0.75759900000000002</v>
      </c>
      <c r="AR217" s="22">
        <v>68.633200000000002</v>
      </c>
      <c r="AS217" s="22">
        <v>-1.1572300000000001E-2</v>
      </c>
      <c r="AT217" s="22">
        <v>207</v>
      </c>
      <c r="AU217" s="22">
        <v>0.75714099999999995</v>
      </c>
      <c r="AV217">
        <f t="shared" si="44"/>
        <v>11.5723</v>
      </c>
      <c r="AW217">
        <f t="shared" si="45"/>
        <v>8.7671629077000013</v>
      </c>
      <c r="AX217" s="9"/>
      <c r="AY217" s="22">
        <v>0.94238299999999997</v>
      </c>
      <c r="AZ217" s="22">
        <v>73.909800000000004</v>
      </c>
      <c r="BA217" s="22">
        <v>-9.4421399999999999E-3</v>
      </c>
      <c r="BB217" s="22">
        <v>207</v>
      </c>
      <c r="BC217" s="22">
        <v>0.94146700000000005</v>
      </c>
      <c r="BD217">
        <f t="shared" si="46"/>
        <v>9.4421400000000002</v>
      </c>
      <c r="BE217">
        <f t="shared" si="47"/>
        <v>8.8981122196199998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8.8121200000000002</v>
      </c>
      <c r="I218" s="22">
        <v>-1.17126E-2</v>
      </c>
      <c r="J218" s="22">
        <v>208</v>
      </c>
      <c r="K218" s="22">
        <v>0.75195299999999998</v>
      </c>
      <c r="L218">
        <f t="shared" si="36"/>
        <v>11.7126</v>
      </c>
      <c r="M218">
        <f t="shared" si="37"/>
        <v>8.8144693937999996</v>
      </c>
      <c r="N218" s="9"/>
      <c r="O218" s="22">
        <v>0.94741799999999998</v>
      </c>
      <c r="P218" s="22">
        <v>48.287399999999998</v>
      </c>
      <c r="Q218" s="22">
        <v>-1.00616E-2</v>
      </c>
      <c r="R218" s="22">
        <v>208</v>
      </c>
      <c r="S218" s="22">
        <v>0.94635000000000002</v>
      </c>
      <c r="T218">
        <f t="shared" si="38"/>
        <v>10.0616</v>
      </c>
      <c r="U218">
        <f t="shared" si="39"/>
        <v>9.5325409487999995</v>
      </c>
      <c r="X218" s="9"/>
      <c r="Y218" s="22">
        <v>0.75256299999999998</v>
      </c>
      <c r="Z218" s="22">
        <v>56.098999999999997</v>
      </c>
      <c r="AA218" s="22">
        <v>-1.19232E-2</v>
      </c>
      <c r="AB218" s="22">
        <v>208</v>
      </c>
      <c r="AC218" s="22">
        <v>0.75164799999999998</v>
      </c>
      <c r="AD218">
        <f t="shared" si="40"/>
        <v>11.9232</v>
      </c>
      <c r="AE218">
        <f t="shared" si="41"/>
        <v>8.9729591615999986</v>
      </c>
      <c r="AF218" s="9"/>
      <c r="AG218" s="22">
        <v>0.94741799999999998</v>
      </c>
      <c r="AH218" s="22">
        <v>61.643599999999999</v>
      </c>
      <c r="AI218" s="22">
        <v>-9.6038800000000004E-3</v>
      </c>
      <c r="AJ218" s="22">
        <v>208</v>
      </c>
      <c r="AK218" s="22">
        <v>0.94635000000000002</v>
      </c>
      <c r="AL218">
        <f t="shared" si="42"/>
        <v>9.6038800000000002</v>
      </c>
      <c r="AM218">
        <f t="shared" si="43"/>
        <v>9.0988887818399995</v>
      </c>
      <c r="AP218" s="9"/>
      <c r="AQ218" s="22">
        <v>0.75256299999999998</v>
      </c>
      <c r="AR218" s="22">
        <v>68.643299999999996</v>
      </c>
      <c r="AS218" s="22">
        <v>-1.15967E-2</v>
      </c>
      <c r="AT218" s="22">
        <v>208</v>
      </c>
      <c r="AU218" s="22">
        <v>0.75164799999999998</v>
      </c>
      <c r="AV218">
        <f t="shared" si="44"/>
        <v>11.5967</v>
      </c>
      <c r="AW218">
        <f t="shared" si="45"/>
        <v>8.7272473421000001</v>
      </c>
      <c r="AX218" s="9"/>
      <c r="AY218" s="22">
        <v>0.94741799999999998</v>
      </c>
      <c r="AZ218" s="22">
        <v>73.919899999999998</v>
      </c>
      <c r="BA218" s="22">
        <v>-9.41467E-3</v>
      </c>
      <c r="BB218" s="22">
        <v>208</v>
      </c>
      <c r="BC218" s="22">
        <v>0.94665500000000002</v>
      </c>
      <c r="BD218">
        <f t="shared" si="46"/>
        <v>9.4146699999999992</v>
      </c>
      <c r="BE218">
        <f t="shared" si="47"/>
        <v>8.9196278220599989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8.8221900000000009</v>
      </c>
      <c r="I219" s="22">
        <v>-1.17371E-2</v>
      </c>
      <c r="J219" s="22">
        <v>209</v>
      </c>
      <c r="K219" s="22">
        <v>0.74685699999999999</v>
      </c>
      <c r="L219">
        <f t="shared" si="36"/>
        <v>11.7371</v>
      </c>
      <c r="M219">
        <f t="shared" si="37"/>
        <v>8.7738108887999999</v>
      </c>
      <c r="N219" s="9"/>
      <c r="O219" s="22">
        <v>0.95245400000000002</v>
      </c>
      <c r="P219" s="22">
        <v>48.297400000000003</v>
      </c>
      <c r="Q219" s="22">
        <v>-1.00281E-2</v>
      </c>
      <c r="R219" s="22">
        <v>209</v>
      </c>
      <c r="S219" s="22">
        <v>0.950928</v>
      </c>
      <c r="T219">
        <f t="shared" si="38"/>
        <v>10.0281</v>
      </c>
      <c r="U219">
        <f t="shared" si="39"/>
        <v>9.5513039574</v>
      </c>
      <c r="X219" s="9"/>
      <c r="Y219" s="22">
        <v>0.74752799999999997</v>
      </c>
      <c r="Z219" s="22">
        <v>56.109099999999998</v>
      </c>
      <c r="AA219" s="22">
        <v>-1.1947599999999999E-2</v>
      </c>
      <c r="AB219" s="22">
        <v>209</v>
      </c>
      <c r="AC219" s="22">
        <v>0.74682599999999999</v>
      </c>
      <c r="AD219">
        <f t="shared" si="40"/>
        <v>11.9476</v>
      </c>
      <c r="AE219">
        <f t="shared" si="41"/>
        <v>8.9311655327999997</v>
      </c>
      <c r="AF219" s="9"/>
      <c r="AG219" s="22">
        <v>0.95245400000000002</v>
      </c>
      <c r="AH219" s="22">
        <v>61.653700000000001</v>
      </c>
      <c r="AI219" s="22">
        <v>-9.5733599999999995E-3</v>
      </c>
      <c r="AJ219" s="22">
        <v>209</v>
      </c>
      <c r="AK219" s="22">
        <v>0.951233</v>
      </c>
      <c r="AL219">
        <f t="shared" si="42"/>
        <v>9.5733599999999992</v>
      </c>
      <c r="AM219">
        <f t="shared" si="43"/>
        <v>9.118185025439999</v>
      </c>
      <c r="AP219" s="9"/>
      <c r="AQ219" s="22">
        <v>0.74752799999999997</v>
      </c>
      <c r="AR219" s="22">
        <v>68.653300000000002</v>
      </c>
      <c r="AS219" s="22">
        <v>-1.1621100000000001E-2</v>
      </c>
      <c r="AT219" s="22">
        <v>209</v>
      </c>
      <c r="AU219" s="22">
        <v>0.74685699999999999</v>
      </c>
      <c r="AV219">
        <f t="shared" si="44"/>
        <v>11.6211</v>
      </c>
      <c r="AW219">
        <f t="shared" si="45"/>
        <v>8.6870976407999994</v>
      </c>
      <c r="AX219" s="9"/>
      <c r="AY219" s="22">
        <v>0.95245400000000002</v>
      </c>
      <c r="AZ219" s="22">
        <v>73.929900000000004</v>
      </c>
      <c r="BA219" s="22">
        <v>-9.3841600000000008E-3</v>
      </c>
      <c r="BB219" s="22">
        <v>209</v>
      </c>
      <c r="BC219" s="22">
        <v>0.95153799999999999</v>
      </c>
      <c r="BD219">
        <f t="shared" si="46"/>
        <v>9.3841600000000014</v>
      </c>
      <c r="BE219">
        <f t="shared" si="47"/>
        <v>8.9379807286400013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8.8322599999999998</v>
      </c>
      <c r="I220" s="22">
        <v>-1.1764500000000001E-2</v>
      </c>
      <c r="J220" s="22">
        <v>210</v>
      </c>
      <c r="K220" s="22">
        <v>0.74179099999999998</v>
      </c>
      <c r="L220">
        <f t="shared" si="36"/>
        <v>11.7645</v>
      </c>
      <c r="M220">
        <f t="shared" si="37"/>
        <v>8.7350588985000002</v>
      </c>
      <c r="N220" s="9"/>
      <c r="O220" s="22">
        <v>0.95748900000000003</v>
      </c>
      <c r="P220" s="22">
        <v>48.307499999999997</v>
      </c>
      <c r="Q220" s="22">
        <v>-9.9945099999999999E-3</v>
      </c>
      <c r="R220" s="22">
        <v>210</v>
      </c>
      <c r="S220" s="22">
        <v>0.95611599999999997</v>
      </c>
      <c r="T220">
        <f t="shared" si="38"/>
        <v>9.99451</v>
      </c>
      <c r="U220">
        <f t="shared" si="39"/>
        <v>9.5696333853900004</v>
      </c>
      <c r="X220" s="9"/>
      <c r="Y220" s="22">
        <v>0.74249299999999996</v>
      </c>
      <c r="Z220" s="22">
        <v>56.119100000000003</v>
      </c>
      <c r="AA220" s="22">
        <v>-1.1969E-2</v>
      </c>
      <c r="AB220" s="22">
        <v>210</v>
      </c>
      <c r="AC220" s="22">
        <v>0.74185199999999996</v>
      </c>
      <c r="AD220">
        <f t="shared" si="40"/>
        <v>11.969000000000001</v>
      </c>
      <c r="AE220">
        <f t="shared" si="41"/>
        <v>8.8868987170000011</v>
      </c>
      <c r="AF220" s="9"/>
      <c r="AG220" s="22">
        <v>0.95748900000000003</v>
      </c>
      <c r="AH220" s="22">
        <v>61.663800000000002</v>
      </c>
      <c r="AI220" s="22">
        <v>-9.5397899999999994E-3</v>
      </c>
      <c r="AJ220" s="22">
        <v>210</v>
      </c>
      <c r="AK220" s="22">
        <v>0.95611599999999997</v>
      </c>
      <c r="AL220">
        <f t="shared" si="42"/>
        <v>9.53979</v>
      </c>
      <c r="AM220">
        <f t="shared" si="43"/>
        <v>9.1342439873100005</v>
      </c>
      <c r="AP220" s="9"/>
      <c r="AQ220" s="22">
        <v>0.74249299999999996</v>
      </c>
      <c r="AR220" s="22">
        <v>68.663399999999996</v>
      </c>
      <c r="AS220" s="22">
        <v>-1.16455E-2</v>
      </c>
      <c r="AT220" s="22">
        <v>210</v>
      </c>
      <c r="AU220" s="22">
        <v>0.74175999999999997</v>
      </c>
      <c r="AV220">
        <f t="shared" si="44"/>
        <v>11.6455</v>
      </c>
      <c r="AW220">
        <f t="shared" si="45"/>
        <v>8.6467022314999991</v>
      </c>
      <c r="AX220" s="9"/>
      <c r="AY220" s="22">
        <v>0.95748900000000003</v>
      </c>
      <c r="AZ220" s="22">
        <v>73.94</v>
      </c>
      <c r="BA220" s="22">
        <v>-9.3536399999999999E-3</v>
      </c>
      <c r="BB220" s="22">
        <v>210</v>
      </c>
      <c r="BC220" s="22">
        <v>0.95672599999999997</v>
      </c>
      <c r="BD220">
        <f t="shared" si="46"/>
        <v>9.3536400000000004</v>
      </c>
      <c r="BE220">
        <f t="shared" si="47"/>
        <v>8.9560074099600016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8.8423300000000005</v>
      </c>
      <c r="I221" s="22">
        <v>-1.17828E-2</v>
      </c>
      <c r="J221" s="22">
        <v>211</v>
      </c>
      <c r="K221" s="22">
        <v>0.73681600000000003</v>
      </c>
      <c r="L221">
        <f t="shared" si="36"/>
        <v>11.7828</v>
      </c>
      <c r="M221">
        <f t="shared" si="37"/>
        <v>8.6893083396000002</v>
      </c>
      <c r="N221" s="9"/>
      <c r="O221" s="22">
        <v>0.96252400000000005</v>
      </c>
      <c r="P221" s="22">
        <v>48.317599999999999</v>
      </c>
      <c r="Q221" s="22">
        <v>-9.9639900000000007E-3</v>
      </c>
      <c r="R221" s="22">
        <v>211</v>
      </c>
      <c r="S221" s="22">
        <v>0.96160900000000005</v>
      </c>
      <c r="T221">
        <f t="shared" si="38"/>
        <v>9.9639900000000008</v>
      </c>
      <c r="U221">
        <f t="shared" si="39"/>
        <v>9.5905795107600014</v>
      </c>
      <c r="X221" s="9"/>
      <c r="Y221" s="22">
        <v>0.73745700000000003</v>
      </c>
      <c r="Z221" s="22">
        <v>56.129199999999997</v>
      </c>
      <c r="AA221" s="22">
        <v>-1.19934E-2</v>
      </c>
      <c r="AB221" s="22">
        <v>211</v>
      </c>
      <c r="AC221" s="22">
        <v>0.73681600000000003</v>
      </c>
      <c r="AD221">
        <f t="shared" si="40"/>
        <v>11.993399999999999</v>
      </c>
      <c r="AE221">
        <f t="shared" si="41"/>
        <v>8.8446167837999994</v>
      </c>
      <c r="AF221" s="9"/>
      <c r="AG221" s="22">
        <v>0.96252400000000005</v>
      </c>
      <c r="AH221" s="22">
        <v>61.6738</v>
      </c>
      <c r="AI221" s="22">
        <v>-9.5062299999999992E-3</v>
      </c>
      <c r="AJ221" s="22">
        <v>211</v>
      </c>
      <c r="AK221" s="22">
        <v>0.96160900000000005</v>
      </c>
      <c r="AL221">
        <f t="shared" si="42"/>
        <v>9.5062299999999986</v>
      </c>
      <c r="AM221">
        <f t="shared" si="43"/>
        <v>9.1499745245199993</v>
      </c>
      <c r="AP221" s="9"/>
      <c r="AQ221" s="22">
        <v>0.73745700000000003</v>
      </c>
      <c r="AR221" s="22">
        <v>68.673500000000004</v>
      </c>
      <c r="AS221" s="22">
        <v>-1.1660800000000001E-2</v>
      </c>
      <c r="AT221" s="22">
        <v>211</v>
      </c>
      <c r="AU221" s="22">
        <v>0.73672499999999996</v>
      </c>
      <c r="AV221">
        <f t="shared" si="44"/>
        <v>11.6608</v>
      </c>
      <c r="AW221">
        <f t="shared" si="45"/>
        <v>8.5993385856</v>
      </c>
      <c r="AX221" s="9"/>
      <c r="AY221" s="22">
        <v>0.96252400000000005</v>
      </c>
      <c r="AZ221" s="22">
        <v>73.950100000000006</v>
      </c>
      <c r="BA221" s="22">
        <v>-9.3170200000000005E-3</v>
      </c>
      <c r="BB221" s="22">
        <v>211</v>
      </c>
      <c r="BC221" s="22">
        <v>0.96160900000000005</v>
      </c>
      <c r="BD221">
        <f t="shared" si="46"/>
        <v>9.3170200000000012</v>
      </c>
      <c r="BE221">
        <f t="shared" si="47"/>
        <v>8.9678553584800014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8.8523999999999994</v>
      </c>
      <c r="I222" s="22">
        <v>-1.18073E-2</v>
      </c>
      <c r="J222" s="22">
        <v>212</v>
      </c>
      <c r="K222" s="22">
        <v>0.73178100000000001</v>
      </c>
      <c r="L222">
        <f t="shared" si="36"/>
        <v>11.8073</v>
      </c>
      <c r="M222">
        <f t="shared" si="37"/>
        <v>8.6479262806000001</v>
      </c>
      <c r="N222" s="9"/>
      <c r="O222" s="22">
        <v>0.96755999999999998</v>
      </c>
      <c r="P222" s="22">
        <v>48.327599999999997</v>
      </c>
      <c r="Q222" s="22">
        <v>-9.9304200000000006E-3</v>
      </c>
      <c r="R222" s="22">
        <v>212</v>
      </c>
      <c r="S222" s="22">
        <v>0.96649200000000002</v>
      </c>
      <c r="T222">
        <f t="shared" si="38"/>
        <v>9.9304199999999998</v>
      </c>
      <c r="U222">
        <f t="shared" si="39"/>
        <v>9.6082771751999996</v>
      </c>
      <c r="X222" s="9"/>
      <c r="Y222" s="22">
        <v>0.73242200000000002</v>
      </c>
      <c r="Z222" s="22">
        <v>56.139299999999999</v>
      </c>
      <c r="AA222" s="22">
        <v>-1.2008700000000001E-2</v>
      </c>
      <c r="AB222" s="22">
        <v>212</v>
      </c>
      <c r="AC222" s="22">
        <v>0.73175000000000001</v>
      </c>
      <c r="AD222">
        <f t="shared" si="40"/>
        <v>12.008700000000001</v>
      </c>
      <c r="AE222">
        <f t="shared" si="41"/>
        <v>8.7954360714000011</v>
      </c>
      <c r="AF222" s="9"/>
      <c r="AG222" s="22">
        <v>0.96755999999999998</v>
      </c>
      <c r="AH222" s="22">
        <v>61.683900000000001</v>
      </c>
      <c r="AI222" s="22">
        <v>-9.4665500000000007E-3</v>
      </c>
      <c r="AJ222" s="22">
        <v>212</v>
      </c>
      <c r="AK222" s="22">
        <v>0.96618700000000002</v>
      </c>
      <c r="AL222">
        <f t="shared" si="42"/>
        <v>9.4665499999999998</v>
      </c>
      <c r="AM222">
        <f t="shared" si="43"/>
        <v>9.1594551180000003</v>
      </c>
      <c r="AP222" s="9"/>
      <c r="AQ222" s="22">
        <v>0.73242200000000002</v>
      </c>
      <c r="AR222" s="22">
        <v>68.683499999999995</v>
      </c>
      <c r="AS222" s="22">
        <v>-1.1682100000000001E-2</v>
      </c>
      <c r="AT222" s="22">
        <v>212</v>
      </c>
      <c r="AU222" s="22">
        <v>0.73172000000000004</v>
      </c>
      <c r="AV222">
        <f t="shared" si="44"/>
        <v>11.6821</v>
      </c>
      <c r="AW222">
        <f t="shared" si="45"/>
        <v>8.5562270462000001</v>
      </c>
      <c r="AX222" s="9"/>
      <c r="AY222" s="22">
        <v>0.96755999999999998</v>
      </c>
      <c r="AZ222" s="22">
        <v>73.9602</v>
      </c>
      <c r="BA222" s="22">
        <v>-9.2834500000000004E-3</v>
      </c>
      <c r="BB222" s="22">
        <v>212</v>
      </c>
      <c r="BC222" s="22">
        <v>0.96740700000000002</v>
      </c>
      <c r="BD222">
        <f t="shared" si="46"/>
        <v>9.2834500000000002</v>
      </c>
      <c r="BE222">
        <f t="shared" si="47"/>
        <v>8.9822948819999997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8.8624799999999997</v>
      </c>
      <c r="I223" s="22">
        <v>-1.1831700000000001E-2</v>
      </c>
      <c r="J223" s="22">
        <v>213</v>
      </c>
      <c r="K223" s="22">
        <v>0.726715</v>
      </c>
      <c r="L223">
        <f t="shared" si="36"/>
        <v>11.831700000000001</v>
      </c>
      <c r="M223">
        <f t="shared" si="37"/>
        <v>8.6062129362000004</v>
      </c>
      <c r="N223" s="9"/>
      <c r="O223" s="22">
        <v>0.97259499999999999</v>
      </c>
      <c r="P223" s="22">
        <v>48.337699999999998</v>
      </c>
      <c r="Q223" s="22">
        <v>-9.8937999999999995E-3</v>
      </c>
      <c r="R223" s="22">
        <v>213</v>
      </c>
      <c r="S223" s="22">
        <v>0.97289999999999999</v>
      </c>
      <c r="T223">
        <f t="shared" si="38"/>
        <v>9.8937999999999988</v>
      </c>
      <c r="U223">
        <f t="shared" si="39"/>
        <v>9.6226604109999982</v>
      </c>
      <c r="X223" s="9"/>
      <c r="Y223" s="22">
        <v>0.72738599999999998</v>
      </c>
      <c r="Z223" s="22">
        <v>56.1494</v>
      </c>
      <c r="AA223" s="22">
        <v>-1.2026999999999999E-2</v>
      </c>
      <c r="AB223" s="22">
        <v>213</v>
      </c>
      <c r="AC223" s="22">
        <v>0.72677599999999998</v>
      </c>
      <c r="AD223">
        <f t="shared" si="40"/>
        <v>12.026999999999999</v>
      </c>
      <c r="AE223">
        <f t="shared" si="41"/>
        <v>8.7482714219999984</v>
      </c>
      <c r="AF223" s="9"/>
      <c r="AG223" s="22">
        <v>0.97259499999999999</v>
      </c>
      <c r="AH223" s="22">
        <v>61.694000000000003</v>
      </c>
      <c r="AI223" s="22">
        <v>-9.4299299999999996E-3</v>
      </c>
      <c r="AJ223" s="22">
        <v>213</v>
      </c>
      <c r="AK223" s="22">
        <v>0.97167999999999999</v>
      </c>
      <c r="AL223">
        <f t="shared" si="42"/>
        <v>9.4299299999999988</v>
      </c>
      <c r="AM223">
        <f t="shared" si="43"/>
        <v>9.171502768349999</v>
      </c>
      <c r="AP223" s="9"/>
      <c r="AQ223" s="22">
        <v>0.72738599999999998</v>
      </c>
      <c r="AR223" s="22">
        <v>68.693600000000004</v>
      </c>
      <c r="AS223" s="22">
        <v>-1.17004E-2</v>
      </c>
      <c r="AT223" s="22">
        <v>213</v>
      </c>
      <c r="AU223" s="22">
        <v>0.726715</v>
      </c>
      <c r="AV223">
        <f t="shared" si="44"/>
        <v>11.7004</v>
      </c>
      <c r="AW223">
        <f t="shared" si="45"/>
        <v>8.5107071544000004</v>
      </c>
      <c r="AX223" s="9"/>
      <c r="AY223" s="22">
        <v>0.97259499999999999</v>
      </c>
      <c r="AZ223" s="22">
        <v>73.970200000000006</v>
      </c>
      <c r="BA223" s="22">
        <v>-9.2468299999999993E-3</v>
      </c>
      <c r="BB223" s="22">
        <v>213</v>
      </c>
      <c r="BC223" s="22">
        <v>0.97167999999999999</v>
      </c>
      <c r="BD223">
        <f t="shared" si="46"/>
        <v>9.2468299999999992</v>
      </c>
      <c r="BE223">
        <f t="shared" si="47"/>
        <v>8.9934206238499996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8.8725500000000004</v>
      </c>
      <c r="I224" s="22">
        <v>-1.18561E-2</v>
      </c>
      <c r="J224" s="22">
        <v>214</v>
      </c>
      <c r="K224" s="22">
        <v>0.72170999999999996</v>
      </c>
      <c r="L224">
        <f t="shared" si="36"/>
        <v>11.8561</v>
      </c>
      <c r="M224">
        <f t="shared" si="37"/>
        <v>8.5642656910999992</v>
      </c>
      <c r="N224" s="9"/>
      <c r="O224" s="22">
        <v>0.97763100000000003</v>
      </c>
      <c r="P224" s="22">
        <v>48.347799999999999</v>
      </c>
      <c r="Q224" s="22">
        <v>-9.8602299999999993E-3</v>
      </c>
      <c r="R224" s="22">
        <v>214</v>
      </c>
      <c r="S224" s="22">
        <v>0.97656299999999996</v>
      </c>
      <c r="T224">
        <f t="shared" si="38"/>
        <v>9.8602299999999996</v>
      </c>
      <c r="U224">
        <f t="shared" si="39"/>
        <v>9.6396665151299992</v>
      </c>
      <c r="X224" s="9"/>
      <c r="Y224" s="22">
        <v>0.72235099999999997</v>
      </c>
      <c r="Z224" s="22">
        <v>56.159399999999998</v>
      </c>
      <c r="AA224" s="22">
        <v>-1.20483E-2</v>
      </c>
      <c r="AB224" s="22">
        <v>214</v>
      </c>
      <c r="AC224" s="22">
        <v>0.72164899999999998</v>
      </c>
      <c r="AD224">
        <f t="shared" si="40"/>
        <v>12.048299999999999</v>
      </c>
      <c r="AE224">
        <f t="shared" si="41"/>
        <v>8.7031015532999998</v>
      </c>
      <c r="AF224" s="9"/>
      <c r="AG224" s="22">
        <v>0.97763100000000003</v>
      </c>
      <c r="AH224" s="22">
        <v>61.704099999999997</v>
      </c>
      <c r="AI224" s="22">
        <v>-9.3963599999999994E-3</v>
      </c>
      <c r="AJ224" s="22">
        <v>214</v>
      </c>
      <c r="AK224" s="22">
        <v>0.97656299999999996</v>
      </c>
      <c r="AL224">
        <f t="shared" si="42"/>
        <v>9.3963599999999996</v>
      </c>
      <c r="AM224">
        <f t="shared" si="43"/>
        <v>9.1861728231599997</v>
      </c>
      <c r="AP224" s="9"/>
      <c r="AQ224" s="22">
        <v>0.72235099999999997</v>
      </c>
      <c r="AR224" s="22">
        <v>68.703699999999998</v>
      </c>
      <c r="AS224" s="22">
        <v>-1.17249E-2</v>
      </c>
      <c r="AT224" s="22">
        <v>214</v>
      </c>
      <c r="AU224" s="22">
        <v>0.72174099999999997</v>
      </c>
      <c r="AV224">
        <f t="shared" si="44"/>
        <v>11.7249</v>
      </c>
      <c r="AW224">
        <f t="shared" si="45"/>
        <v>8.4694932399000002</v>
      </c>
      <c r="AX224" s="9"/>
      <c r="AY224" s="22">
        <v>0.97763100000000003</v>
      </c>
      <c r="AZ224" s="22">
        <v>73.9803</v>
      </c>
      <c r="BA224" s="22">
        <v>-9.2132599999999992E-3</v>
      </c>
      <c r="BB224" s="22">
        <v>214</v>
      </c>
      <c r="BC224" s="22">
        <v>0.97656299999999996</v>
      </c>
      <c r="BD224">
        <f t="shared" si="46"/>
        <v>9.21326</v>
      </c>
      <c r="BE224">
        <f t="shared" si="47"/>
        <v>9.0071685870600007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8.8826199999999993</v>
      </c>
      <c r="I225" s="22">
        <v>-1.18835E-2</v>
      </c>
      <c r="J225" s="22">
        <v>215</v>
      </c>
      <c r="K225" s="22">
        <v>0.71673600000000004</v>
      </c>
      <c r="L225">
        <f t="shared" si="36"/>
        <v>11.8835</v>
      </c>
      <c r="M225">
        <f t="shared" si="37"/>
        <v>8.5242246859999984</v>
      </c>
      <c r="N225" s="9"/>
      <c r="O225" s="22">
        <v>0.98266600000000004</v>
      </c>
      <c r="P225" s="22">
        <v>48.357900000000001</v>
      </c>
      <c r="Q225" s="22">
        <v>-9.82361E-3</v>
      </c>
      <c r="R225" s="22">
        <v>215</v>
      </c>
      <c r="S225" s="22">
        <v>0.98205600000000004</v>
      </c>
      <c r="T225">
        <f t="shared" si="38"/>
        <v>9.8236100000000004</v>
      </c>
      <c r="U225">
        <f t="shared" si="39"/>
        <v>9.6533275442600015</v>
      </c>
      <c r="X225" s="9"/>
      <c r="Y225" s="22">
        <v>0.71731599999999995</v>
      </c>
      <c r="Z225" s="22">
        <v>56.169499999999999</v>
      </c>
      <c r="AA225" s="22">
        <v>-1.2075799999999999E-2</v>
      </c>
      <c r="AB225" s="22">
        <v>215</v>
      </c>
      <c r="AC225" s="22">
        <v>0.71670500000000004</v>
      </c>
      <c r="AD225">
        <f t="shared" si="40"/>
        <v>12.075799999999999</v>
      </c>
      <c r="AE225">
        <f t="shared" si="41"/>
        <v>8.6621645527999984</v>
      </c>
      <c r="AF225" s="9"/>
      <c r="AG225" s="22">
        <v>0.98266600000000004</v>
      </c>
      <c r="AH225" s="22">
        <v>61.714100000000002</v>
      </c>
      <c r="AI225" s="22">
        <v>-9.3627899999999993E-3</v>
      </c>
      <c r="AJ225" s="22">
        <v>215</v>
      </c>
      <c r="AK225" s="22">
        <v>0.98144500000000001</v>
      </c>
      <c r="AL225">
        <f t="shared" si="42"/>
        <v>9.3627899999999986</v>
      </c>
      <c r="AM225">
        <f t="shared" si="43"/>
        <v>9.2004953981399993</v>
      </c>
      <c r="AP225" s="9"/>
      <c r="AQ225" s="22">
        <v>0.71731599999999995</v>
      </c>
      <c r="AR225" s="22">
        <v>68.713800000000006</v>
      </c>
      <c r="AS225" s="22">
        <v>-1.1749300000000001E-2</v>
      </c>
      <c r="AT225" s="22">
        <v>215</v>
      </c>
      <c r="AU225" s="22">
        <v>0.71667499999999995</v>
      </c>
      <c r="AV225">
        <f t="shared" si="44"/>
        <v>11.7493</v>
      </c>
      <c r="AW225">
        <f t="shared" si="45"/>
        <v>8.4279608787999987</v>
      </c>
      <c r="AX225" s="9"/>
      <c r="AY225" s="22">
        <v>0.98266600000000004</v>
      </c>
      <c r="AZ225" s="22">
        <v>73.990399999999994</v>
      </c>
      <c r="BA225" s="22">
        <v>-9.1766399999999998E-3</v>
      </c>
      <c r="BB225" s="22">
        <v>215</v>
      </c>
      <c r="BC225" s="22">
        <v>0.98205600000000004</v>
      </c>
      <c r="BD225">
        <f t="shared" si="46"/>
        <v>9.176639999999999</v>
      </c>
      <c r="BE225">
        <f t="shared" si="47"/>
        <v>9.0175721222399989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8.89269</v>
      </c>
      <c r="I226" s="22">
        <v>-1.1911E-2</v>
      </c>
      <c r="J226" s="22">
        <v>216</v>
      </c>
      <c r="K226" s="22">
        <v>0.71160900000000005</v>
      </c>
      <c r="L226">
        <f t="shared" si="36"/>
        <v>11.911</v>
      </c>
      <c r="M226">
        <f t="shared" si="37"/>
        <v>8.4839670799999993</v>
      </c>
      <c r="N226" s="9"/>
      <c r="O226" s="22">
        <v>0.98770100000000005</v>
      </c>
      <c r="P226" s="22">
        <v>48.367899999999999</v>
      </c>
      <c r="Q226" s="22">
        <v>-9.7961400000000001E-3</v>
      </c>
      <c r="R226" s="22">
        <v>216</v>
      </c>
      <c r="S226" s="22">
        <v>0.98602299999999998</v>
      </c>
      <c r="T226">
        <f t="shared" si="38"/>
        <v>9.7961399999999994</v>
      </c>
      <c r="U226">
        <f t="shared" si="39"/>
        <v>9.6756572741400007</v>
      </c>
      <c r="X226" s="9"/>
      <c r="Y226" s="22">
        <v>0.71228000000000002</v>
      </c>
      <c r="Z226" s="22">
        <v>56.179600000000001</v>
      </c>
      <c r="AA226" s="22">
        <v>-1.2103300000000001E-2</v>
      </c>
      <c r="AB226" s="22">
        <v>216</v>
      </c>
      <c r="AC226" s="22">
        <v>0.71160900000000005</v>
      </c>
      <c r="AD226">
        <f t="shared" si="40"/>
        <v>12.103300000000001</v>
      </c>
      <c r="AE226">
        <f t="shared" si="41"/>
        <v>8.6209385240000014</v>
      </c>
      <c r="AF226" s="9"/>
      <c r="AG226" s="22">
        <v>0.98770100000000005</v>
      </c>
      <c r="AH226" s="22">
        <v>61.724200000000003</v>
      </c>
      <c r="AI226" s="22">
        <v>-9.3292199999999992E-3</v>
      </c>
      <c r="AJ226" s="22">
        <v>216</v>
      </c>
      <c r="AK226" s="22">
        <v>0.98632799999999998</v>
      </c>
      <c r="AL226">
        <f t="shared" si="42"/>
        <v>9.3292199999999994</v>
      </c>
      <c r="AM226">
        <f t="shared" si="43"/>
        <v>9.2144799232200008</v>
      </c>
      <c r="AP226" s="9"/>
      <c r="AQ226" s="22">
        <v>0.71228000000000002</v>
      </c>
      <c r="AR226" s="22">
        <v>68.723799999999997</v>
      </c>
      <c r="AS226" s="22">
        <v>-1.1776699999999999E-2</v>
      </c>
      <c r="AT226" s="22">
        <v>216</v>
      </c>
      <c r="AU226" s="22">
        <v>0.71167000000000002</v>
      </c>
      <c r="AV226">
        <f t="shared" si="44"/>
        <v>11.7767</v>
      </c>
      <c r="AW226">
        <f t="shared" si="45"/>
        <v>8.3883078760000007</v>
      </c>
      <c r="AX226" s="9"/>
      <c r="AY226" s="22">
        <v>0.98770100000000005</v>
      </c>
      <c r="AZ226" s="22">
        <v>74.000399999999999</v>
      </c>
      <c r="BA226" s="22">
        <v>-9.1430699999999997E-3</v>
      </c>
      <c r="BB226" s="22">
        <v>216</v>
      </c>
      <c r="BC226" s="22">
        <v>0.98724400000000001</v>
      </c>
      <c r="BD226">
        <f t="shared" si="46"/>
        <v>9.1430699999999998</v>
      </c>
      <c r="BE226">
        <f t="shared" si="47"/>
        <v>9.0306193820700003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8.9027600000000007</v>
      </c>
      <c r="I227" s="22">
        <v>-1.1932399999999999E-2</v>
      </c>
      <c r="J227" s="22">
        <v>217</v>
      </c>
      <c r="K227" s="22">
        <v>0.70654300000000003</v>
      </c>
      <c r="L227">
        <f t="shared" si="36"/>
        <v>11.932399999999999</v>
      </c>
      <c r="M227">
        <f t="shared" si="37"/>
        <v>8.4391302380000006</v>
      </c>
      <c r="N227" s="9"/>
      <c r="O227" s="22">
        <v>0.99273699999999998</v>
      </c>
      <c r="P227" s="22">
        <v>48.378</v>
      </c>
      <c r="Q227" s="22">
        <v>-9.7595200000000007E-3</v>
      </c>
      <c r="R227" s="22">
        <v>217</v>
      </c>
      <c r="S227" s="22">
        <v>0.99151599999999995</v>
      </c>
      <c r="T227">
        <f t="shared" si="38"/>
        <v>9.7595200000000002</v>
      </c>
      <c r="U227">
        <f t="shared" si="39"/>
        <v>9.6886366062399993</v>
      </c>
      <c r="X227" s="9"/>
      <c r="Y227" s="22">
        <v>0.70724500000000001</v>
      </c>
      <c r="Z227" s="22">
        <v>56.189599999999999</v>
      </c>
      <c r="AA227" s="22">
        <v>-1.2130699999999999E-2</v>
      </c>
      <c r="AB227" s="22">
        <v>217</v>
      </c>
      <c r="AC227" s="22">
        <v>0.70660400000000001</v>
      </c>
      <c r="AD227">
        <f t="shared" si="40"/>
        <v>12.130699999999999</v>
      </c>
      <c r="AE227">
        <f t="shared" si="41"/>
        <v>8.5793769214999998</v>
      </c>
      <c r="AF227" s="9"/>
      <c r="AG227" s="22">
        <v>0.99273699999999998</v>
      </c>
      <c r="AH227" s="22">
        <v>61.734299999999998</v>
      </c>
      <c r="AI227" s="22">
        <v>-9.3017599999999992E-3</v>
      </c>
      <c r="AJ227" s="22">
        <v>217</v>
      </c>
      <c r="AK227" s="22">
        <v>0.99182099999999995</v>
      </c>
      <c r="AL227">
        <f t="shared" si="42"/>
        <v>9.3017599999999998</v>
      </c>
      <c r="AM227">
        <f t="shared" si="43"/>
        <v>9.2342013171200001</v>
      </c>
      <c r="AP227" s="9"/>
      <c r="AQ227" s="22">
        <v>0.70724500000000001</v>
      </c>
      <c r="AR227" s="22">
        <v>68.733900000000006</v>
      </c>
      <c r="AS227" s="22">
        <v>-1.1804200000000001E-2</v>
      </c>
      <c r="AT227" s="22">
        <v>217</v>
      </c>
      <c r="AU227" s="22">
        <v>0.70657300000000001</v>
      </c>
      <c r="AV227">
        <f t="shared" si="44"/>
        <v>11.804200000000002</v>
      </c>
      <c r="AW227">
        <f t="shared" si="45"/>
        <v>8.3484614290000021</v>
      </c>
      <c r="AX227" s="9"/>
      <c r="AY227" s="22">
        <v>0.99273699999999998</v>
      </c>
      <c r="AZ227" s="22">
        <v>74.010499999999993</v>
      </c>
      <c r="BA227" s="22">
        <v>-9.1094999999999995E-3</v>
      </c>
      <c r="BB227" s="22">
        <v>217</v>
      </c>
      <c r="BC227" s="22">
        <v>0.99151599999999995</v>
      </c>
      <c r="BD227">
        <f t="shared" si="46"/>
        <v>9.1094999999999988</v>
      </c>
      <c r="BE227">
        <f t="shared" si="47"/>
        <v>9.0433377014999987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8.9128299999999996</v>
      </c>
      <c r="I228" s="22">
        <v>-1.1953699999999999E-2</v>
      </c>
      <c r="J228" s="22">
        <v>218</v>
      </c>
      <c r="K228" s="22">
        <v>0.701569</v>
      </c>
      <c r="L228">
        <f t="shared" si="36"/>
        <v>11.9537</v>
      </c>
      <c r="M228">
        <f t="shared" si="37"/>
        <v>8.3939957232999998</v>
      </c>
      <c r="N228" s="9"/>
      <c r="O228" s="22">
        <v>0.99777199999999999</v>
      </c>
      <c r="P228" s="22">
        <v>48.388100000000001</v>
      </c>
      <c r="Q228" s="22">
        <v>-9.7259500000000006E-3</v>
      </c>
      <c r="R228" s="22">
        <v>218</v>
      </c>
      <c r="S228" s="22">
        <v>0.99670400000000003</v>
      </c>
      <c r="T228">
        <f t="shared" si="38"/>
        <v>9.725950000000001</v>
      </c>
      <c r="U228">
        <f t="shared" si="39"/>
        <v>9.704280583400001</v>
      </c>
      <c r="X228" s="9"/>
      <c r="Y228" s="22">
        <v>0.70220899999999997</v>
      </c>
      <c r="Z228" s="22">
        <v>56.1997</v>
      </c>
      <c r="AA228" s="22">
        <v>-1.2158199999999999E-2</v>
      </c>
      <c r="AB228" s="22">
        <v>218</v>
      </c>
      <c r="AC228" s="22">
        <v>0.70150800000000002</v>
      </c>
      <c r="AD228">
        <f t="shared" si="40"/>
        <v>12.158199999999999</v>
      </c>
      <c r="AE228">
        <f t="shared" si="41"/>
        <v>8.5375974637999992</v>
      </c>
      <c r="AF228" s="9"/>
      <c r="AG228" s="22">
        <v>0.99777199999999999</v>
      </c>
      <c r="AH228" s="22">
        <v>61.744300000000003</v>
      </c>
      <c r="AI228" s="22">
        <v>-9.27124E-3</v>
      </c>
      <c r="AJ228" s="22">
        <v>218</v>
      </c>
      <c r="AK228" s="22">
        <v>0.99670400000000003</v>
      </c>
      <c r="AL228">
        <f t="shared" si="42"/>
        <v>9.2712400000000006</v>
      </c>
      <c r="AM228">
        <f t="shared" si="43"/>
        <v>9.2505836772799999</v>
      </c>
      <c r="AP228" s="9"/>
      <c r="AQ228" s="22">
        <v>0.70220899999999997</v>
      </c>
      <c r="AR228" s="22">
        <v>68.744</v>
      </c>
      <c r="AS228" s="22">
        <v>-1.18256E-2</v>
      </c>
      <c r="AT228" s="22">
        <v>218</v>
      </c>
      <c r="AU228" s="22">
        <v>0.70153799999999999</v>
      </c>
      <c r="AV228">
        <f t="shared" si="44"/>
        <v>11.8256</v>
      </c>
      <c r="AW228">
        <f t="shared" si="45"/>
        <v>8.304042750399999</v>
      </c>
      <c r="AX228" s="9"/>
      <c r="AY228" s="22">
        <v>0.99777199999999999</v>
      </c>
      <c r="AZ228" s="22">
        <v>74.020600000000002</v>
      </c>
      <c r="BA228" s="22">
        <v>-9.0789800000000004E-3</v>
      </c>
      <c r="BB228" s="22">
        <v>218</v>
      </c>
      <c r="BC228" s="22">
        <v>0.99670400000000003</v>
      </c>
      <c r="BD228">
        <f t="shared" si="46"/>
        <v>9.0789799999999996</v>
      </c>
      <c r="BE228">
        <f t="shared" si="47"/>
        <v>9.0587520325599993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8.9229000000000003</v>
      </c>
      <c r="I229" s="22">
        <v>-1.1972E-2</v>
      </c>
      <c r="J229" s="22">
        <v>219</v>
      </c>
      <c r="K229" s="22">
        <v>0.69653299999999996</v>
      </c>
      <c r="L229">
        <f t="shared" si="36"/>
        <v>11.972</v>
      </c>
      <c r="M229">
        <f t="shared" si="37"/>
        <v>8.3465671279999984</v>
      </c>
      <c r="N229" s="9"/>
      <c r="O229" s="22">
        <v>1.00281</v>
      </c>
      <c r="P229" s="22">
        <v>48.398099999999999</v>
      </c>
      <c r="Q229" s="22">
        <v>-9.6862800000000002E-3</v>
      </c>
      <c r="R229" s="22">
        <v>219</v>
      </c>
      <c r="S229" s="22">
        <v>1.0018899999999999</v>
      </c>
      <c r="T229">
        <f t="shared" si="38"/>
        <v>9.68628</v>
      </c>
      <c r="U229">
        <f t="shared" si="39"/>
        <v>9.7134984467999992</v>
      </c>
      <c r="X229" s="9"/>
      <c r="Y229" s="22">
        <v>0.69717399999999996</v>
      </c>
      <c r="Z229" s="22">
        <v>56.209800000000001</v>
      </c>
      <c r="AA229" s="22">
        <v>-1.21826E-2</v>
      </c>
      <c r="AB229" s="22">
        <v>219</v>
      </c>
      <c r="AC229" s="22">
        <v>0.69647199999999998</v>
      </c>
      <c r="AD229">
        <f t="shared" si="40"/>
        <v>12.182600000000001</v>
      </c>
      <c r="AE229">
        <f t="shared" si="41"/>
        <v>8.4933919723999995</v>
      </c>
      <c r="AF229" s="9"/>
      <c r="AG229" s="22">
        <v>1.00281</v>
      </c>
      <c r="AH229" s="22">
        <v>61.754399999999997</v>
      </c>
      <c r="AI229" s="22">
        <v>-9.2407199999999991E-3</v>
      </c>
      <c r="AJ229" s="22">
        <v>219</v>
      </c>
      <c r="AK229" s="22">
        <v>1.0024999999999999</v>
      </c>
      <c r="AL229">
        <f t="shared" si="42"/>
        <v>9.2407199999999996</v>
      </c>
      <c r="AM229">
        <f t="shared" si="43"/>
        <v>9.2666864231999995</v>
      </c>
      <c r="AP229" s="9"/>
      <c r="AQ229" s="22">
        <v>0.69717399999999996</v>
      </c>
      <c r="AR229" s="22">
        <v>68.754000000000005</v>
      </c>
      <c r="AS229" s="22">
        <v>-1.1853000000000001E-2</v>
      </c>
      <c r="AT229" s="22">
        <v>219</v>
      </c>
      <c r="AU229" s="22">
        <v>0.69650299999999998</v>
      </c>
      <c r="AV229">
        <f t="shared" si="44"/>
        <v>11.853000000000002</v>
      </c>
      <c r="AW229">
        <f t="shared" si="45"/>
        <v>8.263603422000001</v>
      </c>
      <c r="AX229" s="9"/>
      <c r="AY229" s="22">
        <v>1.00281</v>
      </c>
      <c r="AZ229" s="22">
        <v>74.030699999999996</v>
      </c>
      <c r="BA229" s="22">
        <v>-9.0484599999999995E-3</v>
      </c>
      <c r="BB229" s="22">
        <v>219</v>
      </c>
      <c r="BC229" s="22">
        <v>1.0022</v>
      </c>
      <c r="BD229">
        <f t="shared" si="46"/>
        <v>9.0484599999999986</v>
      </c>
      <c r="BE229">
        <f t="shared" si="47"/>
        <v>9.0738861725999982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8.9329699999999992</v>
      </c>
      <c r="I230" s="22">
        <v>-1.20026E-2</v>
      </c>
      <c r="J230" s="22">
        <v>220</v>
      </c>
      <c r="K230" s="22">
        <v>0.69146700000000005</v>
      </c>
      <c r="L230">
        <f t="shared" si="36"/>
        <v>12.002600000000001</v>
      </c>
      <c r="M230">
        <f t="shared" si="37"/>
        <v>8.3074675613999993</v>
      </c>
      <c r="N230" s="9"/>
      <c r="O230" s="22">
        <v>1.0078400000000001</v>
      </c>
      <c r="P230" s="22">
        <v>48.408200000000001</v>
      </c>
      <c r="Q230" s="22">
        <v>-9.6527100000000001E-3</v>
      </c>
      <c r="R230" s="22">
        <v>220</v>
      </c>
      <c r="S230" s="22">
        <v>1.00708</v>
      </c>
      <c r="T230">
        <f t="shared" si="38"/>
        <v>9.6527100000000008</v>
      </c>
      <c r="U230">
        <f t="shared" si="39"/>
        <v>9.7283872464000023</v>
      </c>
      <c r="X230" s="9"/>
      <c r="Y230" s="22">
        <v>0.69213899999999995</v>
      </c>
      <c r="Z230" s="22">
        <v>56.219900000000003</v>
      </c>
      <c r="AA230" s="22">
        <v>-1.2204E-2</v>
      </c>
      <c r="AB230" s="22">
        <v>220</v>
      </c>
      <c r="AC230" s="22">
        <v>0.69146700000000005</v>
      </c>
      <c r="AD230">
        <f t="shared" si="40"/>
        <v>12.203999999999999</v>
      </c>
      <c r="AE230">
        <f t="shared" si="41"/>
        <v>8.446864355999999</v>
      </c>
      <c r="AF230" s="9"/>
      <c r="AG230" s="22">
        <v>1.0078400000000001</v>
      </c>
      <c r="AH230" s="22">
        <v>61.764499999999998</v>
      </c>
      <c r="AI230" s="22">
        <v>-9.2071500000000008E-3</v>
      </c>
      <c r="AJ230" s="22">
        <v>220</v>
      </c>
      <c r="AK230" s="22">
        <v>1.0067699999999999</v>
      </c>
      <c r="AL230">
        <f t="shared" si="42"/>
        <v>9.2071500000000004</v>
      </c>
      <c r="AM230">
        <f t="shared" si="43"/>
        <v>9.2793340560000015</v>
      </c>
      <c r="AP230" s="9"/>
      <c r="AQ230" s="22">
        <v>0.69213899999999995</v>
      </c>
      <c r="AR230" s="22">
        <v>68.764099999999999</v>
      </c>
      <c r="AS230" s="22">
        <v>-1.18805E-2</v>
      </c>
      <c r="AT230" s="22">
        <v>220</v>
      </c>
      <c r="AU230" s="22">
        <v>0.69146700000000005</v>
      </c>
      <c r="AV230">
        <f t="shared" si="44"/>
        <v>11.8805</v>
      </c>
      <c r="AW230">
        <f t="shared" si="45"/>
        <v>8.2229573894999994</v>
      </c>
      <c r="AX230" s="9"/>
      <c r="AY230" s="22">
        <v>1.0078400000000001</v>
      </c>
      <c r="AZ230" s="22">
        <v>74.040700000000001</v>
      </c>
      <c r="BA230" s="22">
        <v>-9.0118400000000001E-3</v>
      </c>
      <c r="BB230" s="22">
        <v>220</v>
      </c>
      <c r="BC230" s="22">
        <v>1.00708</v>
      </c>
      <c r="BD230">
        <f t="shared" si="46"/>
        <v>9.0118399999999994</v>
      </c>
      <c r="BE230">
        <f t="shared" si="47"/>
        <v>9.0824928255999993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8.9430399999999999</v>
      </c>
      <c r="I231" s="22">
        <v>-1.20331E-2</v>
      </c>
      <c r="J231" s="22">
        <v>221</v>
      </c>
      <c r="K231" s="22">
        <v>0.68646200000000002</v>
      </c>
      <c r="L231">
        <f t="shared" si="36"/>
        <v>12.033099999999999</v>
      </c>
      <c r="M231">
        <f t="shared" si="37"/>
        <v>8.2679791093000006</v>
      </c>
      <c r="N231" s="9"/>
      <c r="O231" s="22">
        <v>1.01288</v>
      </c>
      <c r="P231" s="22">
        <v>48.418300000000002</v>
      </c>
      <c r="Q231" s="22">
        <v>-9.6160900000000007E-3</v>
      </c>
      <c r="R231" s="22">
        <v>221</v>
      </c>
      <c r="S231" s="22">
        <v>1.01166</v>
      </c>
      <c r="T231">
        <f t="shared" si="38"/>
        <v>9.6160900000000016</v>
      </c>
      <c r="U231">
        <f t="shared" si="39"/>
        <v>9.7399452392000008</v>
      </c>
      <c r="X231" s="9"/>
      <c r="Y231" s="22">
        <v>0.68710300000000002</v>
      </c>
      <c r="Z231" s="22">
        <v>56.229900000000001</v>
      </c>
      <c r="AA231" s="22">
        <v>-1.22253E-2</v>
      </c>
      <c r="AB231" s="22">
        <v>221</v>
      </c>
      <c r="AC231" s="22">
        <v>0.68640100000000004</v>
      </c>
      <c r="AD231">
        <f t="shared" si="40"/>
        <v>12.225299999999999</v>
      </c>
      <c r="AE231">
        <f t="shared" si="41"/>
        <v>8.4000403058999993</v>
      </c>
      <c r="AF231" s="9"/>
      <c r="AG231" s="22">
        <v>1.01288</v>
      </c>
      <c r="AH231" s="22">
        <v>61.7746</v>
      </c>
      <c r="AI231" s="22">
        <v>-9.1705299999999997E-3</v>
      </c>
      <c r="AJ231" s="22">
        <v>221</v>
      </c>
      <c r="AK231" s="22">
        <v>1.01196</v>
      </c>
      <c r="AL231">
        <f t="shared" si="42"/>
        <v>9.1705299999999994</v>
      </c>
      <c r="AM231">
        <f t="shared" si="43"/>
        <v>9.2886464263999997</v>
      </c>
      <c r="AP231" s="9"/>
      <c r="AQ231" s="22">
        <v>0.68710300000000002</v>
      </c>
      <c r="AR231" s="22">
        <v>68.774199999999993</v>
      </c>
      <c r="AS231" s="22">
        <v>-1.1908E-2</v>
      </c>
      <c r="AT231" s="22">
        <v>221</v>
      </c>
      <c r="AU231" s="22">
        <v>0.68646200000000002</v>
      </c>
      <c r="AV231">
        <f t="shared" si="44"/>
        <v>11.907999999999999</v>
      </c>
      <c r="AW231">
        <f t="shared" si="45"/>
        <v>8.1820225240000006</v>
      </c>
      <c r="AX231" s="9"/>
      <c r="AY231" s="22">
        <v>1.01288</v>
      </c>
      <c r="AZ231" s="22">
        <v>74.050799999999995</v>
      </c>
      <c r="BA231" s="22">
        <v>-8.97827E-3</v>
      </c>
      <c r="BB231" s="22">
        <v>221</v>
      </c>
      <c r="BC231" s="22">
        <v>1.01257</v>
      </c>
      <c r="BD231">
        <f t="shared" si="46"/>
        <v>8.9782700000000002</v>
      </c>
      <c r="BE231">
        <f t="shared" si="47"/>
        <v>9.0939101176000001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8.9531100000000006</v>
      </c>
      <c r="I232" s="22">
        <v>-1.2063600000000001E-2</v>
      </c>
      <c r="J232" s="22">
        <v>222</v>
      </c>
      <c r="K232" s="22">
        <v>0.68136600000000003</v>
      </c>
      <c r="L232">
        <f t="shared" si="36"/>
        <v>12.063600000000001</v>
      </c>
      <c r="M232">
        <f t="shared" si="37"/>
        <v>8.2281955248000003</v>
      </c>
      <c r="N232" s="9"/>
      <c r="O232" s="22">
        <v>1.0179100000000001</v>
      </c>
      <c r="P232" s="22">
        <v>48.428400000000003</v>
      </c>
      <c r="Q232" s="22">
        <v>-9.5794699999999997E-3</v>
      </c>
      <c r="R232" s="22">
        <v>222</v>
      </c>
      <c r="S232" s="22">
        <v>1.01715</v>
      </c>
      <c r="T232">
        <f t="shared" si="38"/>
        <v>9.5794699999999988</v>
      </c>
      <c r="U232">
        <f t="shared" si="39"/>
        <v>9.7510383077</v>
      </c>
      <c r="X232" s="9"/>
      <c r="Y232" s="22">
        <v>0.68206800000000001</v>
      </c>
      <c r="Z232" s="22">
        <v>56.24</v>
      </c>
      <c r="AA232" s="22">
        <v>-1.2246699999999999E-2</v>
      </c>
      <c r="AB232" s="22">
        <v>222</v>
      </c>
      <c r="AC232" s="22">
        <v>0.68136600000000003</v>
      </c>
      <c r="AD232">
        <f t="shared" si="40"/>
        <v>12.246699999999999</v>
      </c>
      <c r="AE232">
        <f t="shared" si="41"/>
        <v>8.3530821755999991</v>
      </c>
      <c r="AF232" s="9"/>
      <c r="AG232" s="22">
        <v>1.0179100000000001</v>
      </c>
      <c r="AH232" s="22">
        <v>61.784599999999998</v>
      </c>
      <c r="AI232" s="22">
        <v>-9.1369599999999995E-3</v>
      </c>
      <c r="AJ232" s="22">
        <v>222</v>
      </c>
      <c r="AK232" s="22">
        <v>1.01654</v>
      </c>
      <c r="AL232">
        <f t="shared" si="42"/>
        <v>9.1369600000000002</v>
      </c>
      <c r="AM232">
        <f t="shared" si="43"/>
        <v>9.3006029536000003</v>
      </c>
      <c r="AP232" s="9"/>
      <c r="AQ232" s="22">
        <v>0.68206800000000001</v>
      </c>
      <c r="AR232" s="22">
        <v>68.784300000000002</v>
      </c>
      <c r="AS232" s="22">
        <v>-1.19293E-2</v>
      </c>
      <c r="AT232" s="22">
        <v>222</v>
      </c>
      <c r="AU232" s="22">
        <v>0.68133500000000002</v>
      </c>
      <c r="AV232">
        <f t="shared" si="44"/>
        <v>11.9293</v>
      </c>
      <c r="AW232">
        <f t="shared" si="45"/>
        <v>8.1365937923999994</v>
      </c>
      <c r="AX232" s="9"/>
      <c r="AY232" s="22">
        <v>1.0179100000000001</v>
      </c>
      <c r="AZ232" s="22">
        <v>74.060900000000004</v>
      </c>
      <c r="BA232" s="22">
        <v>-8.9446999999999999E-3</v>
      </c>
      <c r="BB232" s="22">
        <v>222</v>
      </c>
      <c r="BC232" s="22">
        <v>1.01654</v>
      </c>
      <c r="BD232">
        <f t="shared" si="46"/>
        <v>8.9446999999999992</v>
      </c>
      <c r="BE232">
        <f t="shared" si="47"/>
        <v>9.1048995769999994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8.9631900000000009</v>
      </c>
      <c r="I233" s="22">
        <v>-1.20911E-2</v>
      </c>
      <c r="J233" s="22">
        <v>223</v>
      </c>
      <c r="K233" s="22">
        <v>0.67642199999999997</v>
      </c>
      <c r="L233">
        <f t="shared" si="36"/>
        <v>12.091100000000001</v>
      </c>
      <c r="M233">
        <f t="shared" si="37"/>
        <v>8.1860616151999999</v>
      </c>
      <c r="N233" s="9"/>
      <c r="O233" s="22">
        <v>1.02295</v>
      </c>
      <c r="P233" s="22">
        <v>48.438400000000001</v>
      </c>
      <c r="Q233" s="22">
        <v>-9.5458999999999995E-3</v>
      </c>
      <c r="R233" s="22">
        <v>223</v>
      </c>
      <c r="S233" s="22">
        <v>1.02264</v>
      </c>
      <c r="T233">
        <f t="shared" si="38"/>
        <v>9.5458999999999996</v>
      </c>
      <c r="U233">
        <f t="shared" si="39"/>
        <v>9.764978404999999</v>
      </c>
      <c r="X233" s="9"/>
      <c r="Y233" s="22">
        <v>0.67703199999999997</v>
      </c>
      <c r="Z233" s="22">
        <v>56.250100000000003</v>
      </c>
      <c r="AA233" s="22">
        <v>-1.22711E-2</v>
      </c>
      <c r="AB233" s="22">
        <v>223</v>
      </c>
      <c r="AC233" s="22">
        <v>0.67639199999999999</v>
      </c>
      <c r="AD233">
        <f t="shared" si="40"/>
        <v>12.271100000000001</v>
      </c>
      <c r="AE233">
        <f t="shared" si="41"/>
        <v>8.3079273752000002</v>
      </c>
      <c r="AF233" s="9"/>
      <c r="AG233" s="22">
        <v>1.02295</v>
      </c>
      <c r="AH233" s="22">
        <v>61.794699999999999</v>
      </c>
      <c r="AI233" s="22">
        <v>-9.1064500000000003E-3</v>
      </c>
      <c r="AJ233" s="22">
        <v>223</v>
      </c>
      <c r="AK233" s="22">
        <v>1.02173</v>
      </c>
      <c r="AL233">
        <f t="shared" si="42"/>
        <v>9.1064500000000006</v>
      </c>
      <c r="AM233">
        <f t="shared" si="43"/>
        <v>9.3154430275000006</v>
      </c>
      <c r="AP233" s="9"/>
      <c r="AQ233" s="22">
        <v>0.67703199999999997</v>
      </c>
      <c r="AR233" s="22">
        <v>68.794300000000007</v>
      </c>
      <c r="AS233" s="22">
        <v>-1.1953699999999999E-2</v>
      </c>
      <c r="AT233" s="22">
        <v>223</v>
      </c>
      <c r="AU233" s="22">
        <v>0.67636099999999999</v>
      </c>
      <c r="AV233">
        <f t="shared" si="44"/>
        <v>11.9537</v>
      </c>
      <c r="AW233">
        <f t="shared" si="45"/>
        <v>8.0930374183999998</v>
      </c>
      <c r="AX233" s="9"/>
      <c r="AY233" s="22">
        <v>1.02295</v>
      </c>
      <c r="AZ233" s="22">
        <v>74.070899999999995</v>
      </c>
      <c r="BA233" s="22">
        <v>-8.9111299999999997E-3</v>
      </c>
      <c r="BB233" s="22">
        <v>223</v>
      </c>
      <c r="BC233" s="22">
        <v>1.02112</v>
      </c>
      <c r="BD233">
        <f t="shared" si="46"/>
        <v>8.91113</v>
      </c>
      <c r="BE233">
        <f t="shared" si="47"/>
        <v>9.1156404334999994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8.9732599999999998</v>
      </c>
      <c r="I234" s="22">
        <v>-1.2124599999999999E-2</v>
      </c>
      <c r="J234" s="22">
        <v>224</v>
      </c>
      <c r="K234" s="22">
        <v>0.67138699999999996</v>
      </c>
      <c r="L234">
        <f t="shared" si="36"/>
        <v>12.124599999999999</v>
      </c>
      <c r="M234">
        <f t="shared" si="37"/>
        <v>8.1476948261999986</v>
      </c>
      <c r="N234" s="9"/>
      <c r="O234" s="22">
        <v>1.0279799999999999</v>
      </c>
      <c r="P234" s="22">
        <v>48.448500000000003</v>
      </c>
      <c r="Q234" s="22">
        <v>-9.5092800000000002E-3</v>
      </c>
      <c r="R234" s="22">
        <v>224</v>
      </c>
      <c r="S234" s="22">
        <v>1.02661</v>
      </c>
      <c r="T234">
        <f t="shared" si="38"/>
        <v>9.5092800000000004</v>
      </c>
      <c r="U234">
        <f t="shared" si="39"/>
        <v>9.7753496543999994</v>
      </c>
      <c r="X234" s="9"/>
      <c r="Y234" s="22">
        <v>0.67199699999999996</v>
      </c>
      <c r="Z234" s="22">
        <v>56.260100000000001</v>
      </c>
      <c r="AA234" s="22">
        <v>-1.2295499999999999E-2</v>
      </c>
      <c r="AB234" s="22">
        <v>224</v>
      </c>
      <c r="AC234" s="22">
        <v>0.67132599999999998</v>
      </c>
      <c r="AD234">
        <f t="shared" si="40"/>
        <v>12.295499999999999</v>
      </c>
      <c r="AE234">
        <f t="shared" si="41"/>
        <v>8.262539113499999</v>
      </c>
      <c r="AF234" s="9"/>
      <c r="AG234" s="22">
        <v>1.0279799999999999</v>
      </c>
      <c r="AH234" s="22">
        <v>61.8048</v>
      </c>
      <c r="AI234" s="22">
        <v>-9.0698199999999993E-3</v>
      </c>
      <c r="AJ234" s="22">
        <v>224</v>
      </c>
      <c r="AK234" s="22">
        <v>1.02722</v>
      </c>
      <c r="AL234">
        <f t="shared" si="42"/>
        <v>9.06982</v>
      </c>
      <c r="AM234">
        <f t="shared" si="43"/>
        <v>9.3235935635999994</v>
      </c>
      <c r="AP234" s="9"/>
      <c r="AQ234" s="22">
        <v>0.67199699999999996</v>
      </c>
      <c r="AR234" s="22">
        <v>68.804400000000001</v>
      </c>
      <c r="AS234" s="22">
        <v>-1.19843E-2</v>
      </c>
      <c r="AT234" s="22">
        <v>224</v>
      </c>
      <c r="AU234" s="22">
        <v>0.67129499999999998</v>
      </c>
      <c r="AV234">
        <f t="shared" si="44"/>
        <v>11.984299999999999</v>
      </c>
      <c r="AW234">
        <f t="shared" si="45"/>
        <v>8.0534136470999993</v>
      </c>
      <c r="AX234" s="9"/>
      <c r="AY234" s="22">
        <v>1.0279799999999999</v>
      </c>
      <c r="AZ234" s="22">
        <v>74.081000000000003</v>
      </c>
      <c r="BA234" s="22">
        <v>-8.8775599999999996E-3</v>
      </c>
      <c r="BB234" s="22">
        <v>224</v>
      </c>
      <c r="BC234" s="22">
        <v>1.02661</v>
      </c>
      <c r="BD234">
        <f t="shared" si="46"/>
        <v>8.877559999999999</v>
      </c>
      <c r="BE234">
        <f t="shared" si="47"/>
        <v>9.1259541287999983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8.9833300000000005</v>
      </c>
      <c r="I235" s="22">
        <v>-1.2149E-2</v>
      </c>
      <c r="J235" s="22">
        <v>225</v>
      </c>
      <c r="K235" s="22">
        <v>0.66632100000000005</v>
      </c>
      <c r="L235">
        <f t="shared" si="36"/>
        <v>12.149000000000001</v>
      </c>
      <c r="M235">
        <f t="shared" si="37"/>
        <v>8.1029213380000016</v>
      </c>
      <c r="N235" s="9"/>
      <c r="O235" s="22">
        <v>1.03302</v>
      </c>
      <c r="P235" s="22">
        <v>48.458599999999997</v>
      </c>
      <c r="Q235" s="22">
        <v>-9.47571E-3</v>
      </c>
      <c r="R235" s="22">
        <v>225</v>
      </c>
      <c r="S235" s="22">
        <v>1.03149</v>
      </c>
      <c r="T235">
        <f t="shared" si="38"/>
        <v>9.4757099999999994</v>
      </c>
      <c r="U235">
        <f t="shared" si="39"/>
        <v>9.7885979441999993</v>
      </c>
      <c r="X235" s="9"/>
      <c r="Y235" s="22">
        <v>0.66696200000000005</v>
      </c>
      <c r="Z235" s="22">
        <v>56.270200000000003</v>
      </c>
      <c r="AA235" s="22">
        <v>-1.2326E-2</v>
      </c>
      <c r="AB235" s="22">
        <v>225</v>
      </c>
      <c r="AC235" s="22">
        <v>0.66629000000000005</v>
      </c>
      <c r="AD235">
        <f t="shared" si="40"/>
        <v>12.326000000000001</v>
      </c>
      <c r="AE235">
        <f t="shared" si="41"/>
        <v>8.2209736120000017</v>
      </c>
      <c r="AF235" s="9"/>
      <c r="AG235" s="22">
        <v>1.03302</v>
      </c>
      <c r="AH235" s="22">
        <v>61.814799999999998</v>
      </c>
      <c r="AI235" s="22">
        <v>-9.0331999999999999E-3</v>
      </c>
      <c r="AJ235" s="22">
        <v>225</v>
      </c>
      <c r="AK235" s="22">
        <v>1.0321</v>
      </c>
      <c r="AL235">
        <f t="shared" si="42"/>
        <v>9.0332000000000008</v>
      </c>
      <c r="AM235">
        <f t="shared" si="43"/>
        <v>9.3314762640000009</v>
      </c>
      <c r="AP235" s="9"/>
      <c r="AQ235" s="22">
        <v>0.66696200000000005</v>
      </c>
      <c r="AR235" s="22">
        <v>68.814499999999995</v>
      </c>
      <c r="AS235" s="22">
        <v>-1.20117E-2</v>
      </c>
      <c r="AT235" s="22">
        <v>225</v>
      </c>
      <c r="AU235" s="22">
        <v>0.66638200000000003</v>
      </c>
      <c r="AV235">
        <f t="shared" si="44"/>
        <v>12.011699999999999</v>
      </c>
      <c r="AW235">
        <f t="shared" si="45"/>
        <v>8.011347455400001</v>
      </c>
      <c r="AX235" s="9"/>
      <c r="AY235" s="22">
        <v>1.03302</v>
      </c>
      <c r="AZ235" s="22">
        <v>74.091099999999997</v>
      </c>
      <c r="BA235" s="22">
        <v>-8.8439899999999995E-3</v>
      </c>
      <c r="BB235" s="22">
        <v>225</v>
      </c>
      <c r="BC235" s="22">
        <v>1.0321</v>
      </c>
      <c r="BD235">
        <f t="shared" si="46"/>
        <v>8.8439899999999998</v>
      </c>
      <c r="BE235">
        <f t="shared" si="47"/>
        <v>9.1360185498000011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8.9933999999999994</v>
      </c>
      <c r="I236" s="22">
        <v>-1.21704E-2</v>
      </c>
      <c r="J236" s="22">
        <v>226</v>
      </c>
      <c r="K236" s="22">
        <v>0.66128500000000001</v>
      </c>
      <c r="L236">
        <f t="shared" si="36"/>
        <v>12.170399999999999</v>
      </c>
      <c r="M236">
        <f t="shared" si="37"/>
        <v>8.0559041903999997</v>
      </c>
      <c r="N236" s="9"/>
      <c r="O236" s="22">
        <v>1.03806</v>
      </c>
      <c r="P236" s="22">
        <v>48.468600000000002</v>
      </c>
      <c r="Q236" s="22">
        <v>-9.4451899999999991E-3</v>
      </c>
      <c r="R236" s="22">
        <v>226</v>
      </c>
      <c r="S236" s="22">
        <v>1.03668</v>
      </c>
      <c r="T236">
        <f t="shared" si="38"/>
        <v>9.4451899999999984</v>
      </c>
      <c r="U236">
        <f t="shared" si="39"/>
        <v>9.8046739313999982</v>
      </c>
      <c r="X236" s="9"/>
      <c r="Y236" s="22">
        <v>0.66192600000000001</v>
      </c>
      <c r="Z236" s="22">
        <v>56.280299999999997</v>
      </c>
      <c r="AA236" s="22">
        <v>-1.23505E-2</v>
      </c>
      <c r="AB236" s="22">
        <v>226</v>
      </c>
      <c r="AC236" s="22">
        <v>0.66125500000000004</v>
      </c>
      <c r="AD236">
        <f t="shared" si="40"/>
        <v>12.3505</v>
      </c>
      <c r="AE236">
        <f t="shared" si="41"/>
        <v>8.1751170630000001</v>
      </c>
      <c r="AF236" s="9"/>
      <c r="AG236" s="22">
        <v>1.03806</v>
      </c>
      <c r="AH236" s="22">
        <v>61.8249</v>
      </c>
      <c r="AI236" s="22">
        <v>-8.9996299999999998E-3</v>
      </c>
      <c r="AJ236" s="22">
        <v>226</v>
      </c>
      <c r="AK236" s="22">
        <v>1.0369900000000001</v>
      </c>
      <c r="AL236">
        <f t="shared" si="42"/>
        <v>8.9996299999999998</v>
      </c>
      <c r="AM236">
        <f t="shared" si="43"/>
        <v>9.3421559177999995</v>
      </c>
      <c r="AP236" s="9"/>
      <c r="AQ236" s="22">
        <v>0.66192600000000001</v>
      </c>
      <c r="AR236" s="22">
        <v>68.8245</v>
      </c>
      <c r="AS236" s="22">
        <v>-1.2042199999999999E-2</v>
      </c>
      <c r="AT236" s="22">
        <v>226</v>
      </c>
      <c r="AU236" s="22">
        <v>0.66128500000000001</v>
      </c>
      <c r="AV236">
        <f t="shared" si="44"/>
        <v>12.042199999999999</v>
      </c>
      <c r="AW236">
        <f t="shared" si="45"/>
        <v>7.9710452772</v>
      </c>
      <c r="AX236" s="9"/>
      <c r="AY236" s="22">
        <v>1.03806</v>
      </c>
      <c r="AZ236" s="22">
        <v>74.101200000000006</v>
      </c>
      <c r="BA236" s="22">
        <v>-8.8104199999999994E-3</v>
      </c>
      <c r="BB236" s="22">
        <v>226</v>
      </c>
      <c r="BC236" s="22">
        <v>1.03729</v>
      </c>
      <c r="BD236">
        <f t="shared" si="46"/>
        <v>8.8104199999999988</v>
      </c>
      <c r="BE236">
        <f t="shared" si="47"/>
        <v>9.1457445851999992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9.0034700000000001</v>
      </c>
      <c r="I237" s="22">
        <v>-1.2191799999999999E-2</v>
      </c>
      <c r="J237" s="22">
        <v>227</v>
      </c>
      <c r="K237" s="22">
        <v>0.65625</v>
      </c>
      <c r="L237">
        <f t="shared" si="36"/>
        <v>12.191799999999999</v>
      </c>
      <c r="M237">
        <f t="shared" si="37"/>
        <v>8.0086836938000001</v>
      </c>
      <c r="N237" s="9"/>
      <c r="O237" s="22">
        <v>1.0430900000000001</v>
      </c>
      <c r="P237" s="22">
        <v>48.478700000000003</v>
      </c>
      <c r="Q237" s="22">
        <v>-9.4116200000000007E-3</v>
      </c>
      <c r="R237" s="22">
        <v>227</v>
      </c>
      <c r="S237" s="22">
        <v>1.0424800000000001</v>
      </c>
      <c r="T237">
        <f t="shared" si="38"/>
        <v>9.411620000000001</v>
      </c>
      <c r="U237">
        <f t="shared" si="39"/>
        <v>9.8171667058000018</v>
      </c>
      <c r="X237" s="9"/>
      <c r="Y237" s="22">
        <v>0.656891</v>
      </c>
      <c r="Z237" s="22">
        <v>56.290399999999998</v>
      </c>
      <c r="AA237" s="22">
        <v>-1.2371800000000001E-2</v>
      </c>
      <c r="AB237" s="22">
        <v>227</v>
      </c>
      <c r="AC237" s="22">
        <v>0.65618900000000002</v>
      </c>
      <c r="AD237">
        <f t="shared" si="40"/>
        <v>12.3718</v>
      </c>
      <c r="AE237">
        <f t="shared" si="41"/>
        <v>8.1269240737999997</v>
      </c>
      <c r="AF237" s="9"/>
      <c r="AG237" s="22">
        <v>1.0430900000000001</v>
      </c>
      <c r="AH237" s="22">
        <v>61.835000000000001</v>
      </c>
      <c r="AI237" s="22">
        <v>-8.9630100000000004E-3</v>
      </c>
      <c r="AJ237" s="22">
        <v>227</v>
      </c>
      <c r="AK237" s="22">
        <v>1.04156</v>
      </c>
      <c r="AL237">
        <f t="shared" si="42"/>
        <v>8.9630100000000006</v>
      </c>
      <c r="AM237">
        <f t="shared" si="43"/>
        <v>9.3492261009000011</v>
      </c>
      <c r="AP237" s="9"/>
      <c r="AQ237" s="22">
        <v>0.656891</v>
      </c>
      <c r="AR237" s="22">
        <v>68.834599999999995</v>
      </c>
      <c r="AS237" s="22">
        <v>-1.2069699999999999E-2</v>
      </c>
      <c r="AT237" s="22">
        <v>227</v>
      </c>
      <c r="AU237" s="22">
        <v>0.656219</v>
      </c>
      <c r="AV237">
        <f t="shared" si="44"/>
        <v>12.069699999999999</v>
      </c>
      <c r="AW237">
        <f t="shared" si="45"/>
        <v>7.9284773026999993</v>
      </c>
      <c r="AX237" s="9"/>
      <c r="AY237" s="22">
        <v>1.0430900000000001</v>
      </c>
      <c r="AZ237" s="22">
        <v>74.111199999999997</v>
      </c>
      <c r="BA237" s="22">
        <v>-8.7768599999999992E-3</v>
      </c>
      <c r="BB237" s="22">
        <v>227</v>
      </c>
      <c r="BC237" s="22">
        <v>1.04156</v>
      </c>
      <c r="BD237">
        <f t="shared" si="46"/>
        <v>8.7768599999999992</v>
      </c>
      <c r="BE237">
        <f t="shared" si="47"/>
        <v>9.1550548973999994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9.0135400000000008</v>
      </c>
      <c r="I238" s="22">
        <v>-1.2213099999999999E-2</v>
      </c>
      <c r="J238" s="22">
        <v>228</v>
      </c>
      <c r="K238" s="22">
        <v>0.65118399999999999</v>
      </c>
      <c r="L238">
        <f t="shared" si="36"/>
        <v>12.213099999999999</v>
      </c>
      <c r="M238">
        <f t="shared" si="37"/>
        <v>7.9611703004999992</v>
      </c>
      <c r="N238" s="9"/>
      <c r="O238" s="22">
        <v>1.04813</v>
      </c>
      <c r="P238" s="22">
        <v>48.488799999999998</v>
      </c>
      <c r="Q238" s="22">
        <v>-9.3749999999999997E-3</v>
      </c>
      <c r="R238" s="22">
        <v>228</v>
      </c>
      <c r="S238" s="22">
        <v>1.0473600000000001</v>
      </c>
      <c r="T238">
        <f t="shared" si="38"/>
        <v>9.375</v>
      </c>
      <c r="U238">
        <f t="shared" si="39"/>
        <v>9.8262187500000007</v>
      </c>
      <c r="X238" s="9"/>
      <c r="Y238" s="22">
        <v>0.65185499999999996</v>
      </c>
      <c r="Z238" s="22">
        <v>56.300400000000003</v>
      </c>
      <c r="AA238" s="22">
        <v>-1.24023E-2</v>
      </c>
      <c r="AB238" s="22">
        <v>228</v>
      </c>
      <c r="AC238" s="22">
        <v>0.65118399999999999</v>
      </c>
      <c r="AD238">
        <f t="shared" si="40"/>
        <v>12.4023</v>
      </c>
      <c r="AE238">
        <f t="shared" si="41"/>
        <v>8.0845012665000002</v>
      </c>
      <c r="AF238" s="9"/>
      <c r="AG238" s="22">
        <v>1.04813</v>
      </c>
      <c r="AH238" s="22">
        <v>61.844999999999999</v>
      </c>
      <c r="AI238" s="22">
        <v>-8.9294400000000003E-3</v>
      </c>
      <c r="AJ238" s="22">
        <v>228</v>
      </c>
      <c r="AK238" s="22">
        <v>1.0470600000000001</v>
      </c>
      <c r="AL238">
        <f t="shared" si="42"/>
        <v>8.9294399999999996</v>
      </c>
      <c r="AM238">
        <f t="shared" si="43"/>
        <v>9.3592139471999989</v>
      </c>
      <c r="AP238" s="9"/>
      <c r="AQ238" s="22">
        <v>0.65185499999999996</v>
      </c>
      <c r="AR238" s="22">
        <v>68.844700000000003</v>
      </c>
      <c r="AS238" s="22">
        <v>-1.2097200000000001E-2</v>
      </c>
      <c r="AT238" s="22">
        <v>228</v>
      </c>
      <c r="AU238" s="22">
        <v>0.65121499999999999</v>
      </c>
      <c r="AV238">
        <f t="shared" si="44"/>
        <v>12.097200000000001</v>
      </c>
      <c r="AW238">
        <f t="shared" si="45"/>
        <v>7.8856203059999999</v>
      </c>
      <c r="AX238" s="9"/>
      <c r="AY238" s="22">
        <v>1.04813</v>
      </c>
      <c r="AZ238" s="22">
        <v>74.121300000000005</v>
      </c>
      <c r="BA238" s="22">
        <v>-8.7432900000000008E-3</v>
      </c>
      <c r="BB238" s="22">
        <v>228</v>
      </c>
      <c r="BC238" s="22">
        <v>1.0470600000000001</v>
      </c>
      <c r="BD238">
        <f t="shared" si="46"/>
        <v>8.74329</v>
      </c>
      <c r="BE238">
        <f t="shared" si="47"/>
        <v>9.1641045477000009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9.0236099999999997</v>
      </c>
      <c r="I239" s="22">
        <v>-1.2240600000000001E-2</v>
      </c>
      <c r="J239" s="22">
        <v>229</v>
      </c>
      <c r="K239" s="22">
        <v>0.64617899999999995</v>
      </c>
      <c r="L239">
        <f t="shared" si="36"/>
        <v>12.240600000000001</v>
      </c>
      <c r="M239">
        <f t="shared" si="37"/>
        <v>7.9174648919999999</v>
      </c>
      <c r="N239" s="9"/>
      <c r="O239" s="22">
        <v>1.0531600000000001</v>
      </c>
      <c r="P239" s="22">
        <v>48.498899999999999</v>
      </c>
      <c r="Q239" s="22">
        <v>-9.3414299999999995E-3</v>
      </c>
      <c r="R239" s="22">
        <v>229</v>
      </c>
      <c r="S239" s="22">
        <v>1.0525500000000001</v>
      </c>
      <c r="T239">
        <f t="shared" si="38"/>
        <v>9.341429999999999</v>
      </c>
      <c r="U239">
        <f t="shared" si="39"/>
        <v>9.8380204187999993</v>
      </c>
      <c r="X239" s="9"/>
      <c r="Y239" s="22">
        <v>0.64681999999999995</v>
      </c>
      <c r="Z239" s="22">
        <v>56.310499999999998</v>
      </c>
      <c r="AA239" s="22">
        <v>-1.24268E-2</v>
      </c>
      <c r="AB239" s="22">
        <v>229</v>
      </c>
      <c r="AC239" s="22">
        <v>0.64614899999999997</v>
      </c>
      <c r="AD239">
        <f t="shared" si="40"/>
        <v>12.4268</v>
      </c>
      <c r="AE239">
        <f t="shared" si="41"/>
        <v>8.0379027759999992</v>
      </c>
      <c r="AF239" s="9"/>
      <c r="AG239" s="22">
        <v>1.0531600000000001</v>
      </c>
      <c r="AH239" s="22">
        <v>61.8551</v>
      </c>
      <c r="AI239" s="22">
        <v>-8.8989299999999993E-3</v>
      </c>
      <c r="AJ239" s="22">
        <v>229</v>
      </c>
      <c r="AK239" s="22">
        <v>1.0525500000000001</v>
      </c>
      <c r="AL239">
        <f t="shared" si="42"/>
        <v>8.89893</v>
      </c>
      <c r="AM239">
        <f t="shared" si="43"/>
        <v>9.3719971188000013</v>
      </c>
      <c r="AP239" s="9"/>
      <c r="AQ239" s="22">
        <v>0.64681999999999995</v>
      </c>
      <c r="AR239" s="22">
        <v>68.854699999999994</v>
      </c>
      <c r="AS239" s="22">
        <v>-1.2130699999999999E-2</v>
      </c>
      <c r="AT239" s="22">
        <v>229</v>
      </c>
      <c r="AU239" s="22">
        <v>0.64614899999999997</v>
      </c>
      <c r="AV239">
        <f t="shared" si="44"/>
        <v>12.130699999999999</v>
      </c>
      <c r="AW239">
        <f t="shared" si="45"/>
        <v>7.8463793739999987</v>
      </c>
      <c r="AX239" s="9"/>
      <c r="AY239" s="22">
        <v>1.0531600000000001</v>
      </c>
      <c r="AZ239" s="22">
        <v>74.131399999999999</v>
      </c>
      <c r="BA239" s="22">
        <v>-8.7097200000000007E-3</v>
      </c>
      <c r="BB239" s="22">
        <v>229</v>
      </c>
      <c r="BC239" s="22">
        <v>1.0519400000000001</v>
      </c>
      <c r="BD239">
        <f t="shared" si="46"/>
        <v>8.7097200000000008</v>
      </c>
      <c r="BE239">
        <f t="shared" si="47"/>
        <v>9.1727287152000017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9.0336800000000004</v>
      </c>
      <c r="I240" s="22">
        <v>-1.2268100000000001E-2</v>
      </c>
      <c r="J240" s="22">
        <v>230</v>
      </c>
      <c r="K240" s="22">
        <v>0.64111300000000004</v>
      </c>
      <c r="L240">
        <f t="shared" si="36"/>
        <v>12.2681</v>
      </c>
      <c r="M240">
        <f t="shared" si="37"/>
        <v>7.873482558500001</v>
      </c>
      <c r="N240" s="9"/>
      <c r="O240" s="22">
        <v>1.0582</v>
      </c>
      <c r="P240" s="22">
        <v>48.508899999999997</v>
      </c>
      <c r="Q240" s="22">
        <v>-9.3048100000000002E-3</v>
      </c>
      <c r="R240" s="22">
        <v>230</v>
      </c>
      <c r="S240" s="22">
        <v>1.0568200000000001</v>
      </c>
      <c r="T240">
        <f t="shared" si="38"/>
        <v>9.3048099999999998</v>
      </c>
      <c r="U240">
        <f t="shared" si="39"/>
        <v>9.8463499419999998</v>
      </c>
      <c r="X240" s="9"/>
      <c r="Y240" s="22">
        <v>0.64178500000000005</v>
      </c>
      <c r="Z240" s="22">
        <v>56.320599999999999</v>
      </c>
      <c r="AA240" s="22">
        <v>-1.24481E-2</v>
      </c>
      <c r="AB240" s="22">
        <v>230</v>
      </c>
      <c r="AC240" s="22">
        <v>0.64114400000000005</v>
      </c>
      <c r="AD240">
        <f t="shared" si="40"/>
        <v>12.4481</v>
      </c>
      <c r="AE240">
        <f t="shared" si="41"/>
        <v>7.9890038585000012</v>
      </c>
      <c r="AF240" s="9"/>
      <c r="AG240" s="22">
        <v>1.0582</v>
      </c>
      <c r="AH240" s="22">
        <v>61.865200000000002</v>
      </c>
      <c r="AI240" s="22">
        <v>-8.8623E-3</v>
      </c>
      <c r="AJ240" s="22">
        <v>230</v>
      </c>
      <c r="AK240" s="22">
        <v>1.0574300000000001</v>
      </c>
      <c r="AL240">
        <f t="shared" si="42"/>
        <v>8.8622999999999994</v>
      </c>
      <c r="AM240">
        <f t="shared" si="43"/>
        <v>9.3780858599999988</v>
      </c>
      <c r="AP240" s="9"/>
      <c r="AQ240" s="22">
        <v>0.64178500000000005</v>
      </c>
      <c r="AR240" s="22">
        <v>68.864800000000002</v>
      </c>
      <c r="AS240" s="22">
        <v>-1.2158199999999999E-2</v>
      </c>
      <c r="AT240" s="22">
        <v>230</v>
      </c>
      <c r="AU240" s="22">
        <v>0.64114400000000005</v>
      </c>
      <c r="AV240">
        <f t="shared" si="44"/>
        <v>12.158199999999999</v>
      </c>
      <c r="AW240">
        <f t="shared" si="45"/>
        <v>7.8029503870000001</v>
      </c>
      <c r="AX240" s="9"/>
      <c r="AY240" s="22">
        <v>1.0582</v>
      </c>
      <c r="AZ240" s="22">
        <v>74.141400000000004</v>
      </c>
      <c r="BA240" s="22">
        <v>-8.6761500000000005E-3</v>
      </c>
      <c r="BB240" s="22">
        <v>230</v>
      </c>
      <c r="BC240" s="22">
        <v>1.0574300000000001</v>
      </c>
      <c r="BD240">
        <f t="shared" si="46"/>
        <v>8.6761499999999998</v>
      </c>
      <c r="BE240">
        <f t="shared" si="47"/>
        <v>9.1811019300000005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9.0437499999999993</v>
      </c>
      <c r="I241" s="22">
        <v>-1.22986E-2</v>
      </c>
      <c r="J241" s="22">
        <v>231</v>
      </c>
      <c r="K241" s="22">
        <v>0.63601700000000005</v>
      </c>
      <c r="L241">
        <f t="shared" si="36"/>
        <v>12.2986</v>
      </c>
      <c r="M241">
        <f t="shared" si="37"/>
        <v>7.8311212514000008</v>
      </c>
      <c r="N241" s="9"/>
      <c r="O241" s="22">
        <v>1.0632299999999999</v>
      </c>
      <c r="P241" s="22">
        <v>48.518999999999998</v>
      </c>
      <c r="Q241" s="22">
        <v>-9.2681900000000008E-3</v>
      </c>
      <c r="R241" s="22">
        <v>231</v>
      </c>
      <c r="S241" s="22">
        <v>1.0623199999999999</v>
      </c>
      <c r="T241">
        <f t="shared" si="38"/>
        <v>9.2681900000000006</v>
      </c>
      <c r="U241">
        <f t="shared" si="39"/>
        <v>9.8542176536999992</v>
      </c>
      <c r="X241" s="9"/>
      <c r="Y241" s="22">
        <v>0.63674900000000001</v>
      </c>
      <c r="Z241" s="22">
        <v>56.330599999999997</v>
      </c>
      <c r="AA241" s="22">
        <v>-1.24695E-2</v>
      </c>
      <c r="AB241" s="22">
        <v>231</v>
      </c>
      <c r="AC241" s="22">
        <v>0.63604700000000003</v>
      </c>
      <c r="AD241">
        <f t="shared" si="40"/>
        <v>12.4695</v>
      </c>
      <c r="AE241">
        <f t="shared" si="41"/>
        <v>7.9399416555000002</v>
      </c>
      <c r="AF241" s="9"/>
      <c r="AG241" s="22">
        <v>1.0632299999999999</v>
      </c>
      <c r="AH241" s="22">
        <v>61.875300000000003</v>
      </c>
      <c r="AI241" s="22">
        <v>-8.8287399999999999E-3</v>
      </c>
      <c r="AJ241" s="22">
        <v>231</v>
      </c>
      <c r="AK241" s="22">
        <v>1.0626199999999999</v>
      </c>
      <c r="AL241">
        <f t="shared" si="42"/>
        <v>8.8287399999999998</v>
      </c>
      <c r="AM241">
        <f t="shared" si="43"/>
        <v>9.3869812301999982</v>
      </c>
      <c r="AP241" s="9"/>
      <c r="AQ241" s="22">
        <v>0.63674900000000001</v>
      </c>
      <c r="AR241" s="22">
        <v>68.874899999999997</v>
      </c>
      <c r="AS241" s="22">
        <v>-1.2185700000000001E-2</v>
      </c>
      <c r="AT241" s="22">
        <v>231</v>
      </c>
      <c r="AU241" s="22">
        <v>0.63604700000000003</v>
      </c>
      <c r="AV241">
        <f t="shared" si="44"/>
        <v>12.185700000000001</v>
      </c>
      <c r="AW241">
        <f t="shared" si="45"/>
        <v>7.7592322893000008</v>
      </c>
      <c r="AX241" s="9"/>
      <c r="AY241" s="22">
        <v>1.0632299999999999</v>
      </c>
      <c r="AZ241" s="22">
        <v>74.151499999999999</v>
      </c>
      <c r="BA241" s="22">
        <v>-8.6425800000000004E-3</v>
      </c>
      <c r="BB241" s="22">
        <v>231</v>
      </c>
      <c r="BC241" s="22">
        <v>1.0626199999999999</v>
      </c>
      <c r="BD241">
        <f t="shared" si="46"/>
        <v>8.6425800000000006</v>
      </c>
      <c r="BE241">
        <f t="shared" si="47"/>
        <v>9.1890503333999991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9.05382</v>
      </c>
      <c r="I242" s="22">
        <v>-1.2329100000000001E-2</v>
      </c>
      <c r="J242" s="22">
        <v>232</v>
      </c>
      <c r="K242" s="22">
        <v>0.63104199999999999</v>
      </c>
      <c r="L242">
        <f t="shared" si="36"/>
        <v>12.3291</v>
      </c>
      <c r="M242">
        <f t="shared" si="37"/>
        <v>7.7884650774000006</v>
      </c>
      <c r="N242" s="9"/>
      <c r="O242" s="22">
        <v>1.0682700000000001</v>
      </c>
      <c r="P242" s="22">
        <v>48.5291</v>
      </c>
      <c r="Q242" s="22">
        <v>-9.2254599999999996E-3</v>
      </c>
      <c r="R242" s="22">
        <v>232</v>
      </c>
      <c r="S242" s="22">
        <v>1.0671999999999999</v>
      </c>
      <c r="T242">
        <f t="shared" si="38"/>
        <v>9.22546</v>
      </c>
      <c r="U242">
        <f t="shared" si="39"/>
        <v>9.8552821542000011</v>
      </c>
      <c r="X242" s="9"/>
      <c r="Y242" s="22">
        <v>0.631714</v>
      </c>
      <c r="Z242" s="22">
        <v>56.340699999999998</v>
      </c>
      <c r="AA242" s="22">
        <v>-1.24908E-2</v>
      </c>
      <c r="AB242" s="22">
        <v>232</v>
      </c>
      <c r="AC242" s="22">
        <v>0.631073</v>
      </c>
      <c r="AD242">
        <f t="shared" si="40"/>
        <v>12.4908</v>
      </c>
      <c r="AE242">
        <f t="shared" si="41"/>
        <v>7.8906132311999997</v>
      </c>
      <c r="AF242" s="9"/>
      <c r="AG242" s="22">
        <v>1.0682700000000001</v>
      </c>
      <c r="AH242" s="22">
        <v>61.885300000000001</v>
      </c>
      <c r="AI242" s="22">
        <v>-8.7921100000000005E-3</v>
      </c>
      <c r="AJ242" s="22">
        <v>232</v>
      </c>
      <c r="AK242" s="22">
        <v>1.0674999999999999</v>
      </c>
      <c r="AL242">
        <f t="shared" si="42"/>
        <v>8.792110000000001</v>
      </c>
      <c r="AM242">
        <f t="shared" si="43"/>
        <v>9.3923473497000014</v>
      </c>
      <c r="AP242" s="9"/>
      <c r="AQ242" s="22">
        <v>0.631714</v>
      </c>
      <c r="AR242" s="22">
        <v>68.885000000000005</v>
      </c>
      <c r="AS242" s="22">
        <v>-1.22162E-2</v>
      </c>
      <c r="AT242" s="22">
        <v>232</v>
      </c>
      <c r="AU242" s="22">
        <v>0.63098100000000001</v>
      </c>
      <c r="AV242">
        <f t="shared" si="44"/>
        <v>12.216200000000001</v>
      </c>
      <c r="AW242">
        <f t="shared" si="45"/>
        <v>7.7171445668</v>
      </c>
      <c r="AX242" s="9"/>
      <c r="AY242" s="22">
        <v>1.0682700000000001</v>
      </c>
      <c r="AZ242" s="22">
        <v>74.161600000000007</v>
      </c>
      <c r="BA242" s="22">
        <v>-8.6090100000000003E-3</v>
      </c>
      <c r="BB242" s="22">
        <v>232</v>
      </c>
      <c r="BC242" s="22">
        <v>1.0671999999999999</v>
      </c>
      <c r="BD242">
        <f t="shared" si="46"/>
        <v>8.6090099999999996</v>
      </c>
      <c r="BE242">
        <f t="shared" si="47"/>
        <v>9.1967471127000007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9.0639000000000003</v>
      </c>
      <c r="I243" s="22">
        <v>-1.23474E-2</v>
      </c>
      <c r="J243" s="22">
        <v>233</v>
      </c>
      <c r="K243" s="22">
        <v>0.62597700000000001</v>
      </c>
      <c r="L243">
        <f t="shared" si="36"/>
        <v>12.3474</v>
      </c>
      <c r="M243">
        <f t="shared" si="37"/>
        <v>7.7378439372000001</v>
      </c>
      <c r="N243" s="9"/>
      <c r="O243" s="22">
        <v>1.0732999999999999</v>
      </c>
      <c r="P243" s="22">
        <v>48.539099999999998</v>
      </c>
      <c r="Q243" s="22">
        <v>-9.1888400000000002E-3</v>
      </c>
      <c r="R243" s="22">
        <v>233</v>
      </c>
      <c r="S243" s="22">
        <v>1.07239</v>
      </c>
      <c r="T243">
        <f t="shared" si="38"/>
        <v>9.1888400000000008</v>
      </c>
      <c r="U243">
        <f t="shared" si="39"/>
        <v>9.8623819719999997</v>
      </c>
      <c r="X243" s="9"/>
      <c r="Y243" s="22">
        <v>0.62667799999999996</v>
      </c>
      <c r="Z243" s="22">
        <v>56.3508</v>
      </c>
      <c r="AA243" s="22">
        <v>-1.25153E-2</v>
      </c>
      <c r="AB243" s="22">
        <v>233</v>
      </c>
      <c r="AC243" s="22">
        <v>0.62603799999999998</v>
      </c>
      <c r="AD243">
        <f t="shared" si="40"/>
        <v>12.5153</v>
      </c>
      <c r="AE243">
        <f t="shared" si="41"/>
        <v>7.8430631733999991</v>
      </c>
      <c r="AF243" s="9"/>
      <c r="AG243" s="22">
        <v>1.0732999999999999</v>
      </c>
      <c r="AH243" s="22">
        <v>61.895400000000002</v>
      </c>
      <c r="AI243" s="22">
        <v>-8.7585400000000004E-3</v>
      </c>
      <c r="AJ243" s="22">
        <v>233</v>
      </c>
      <c r="AK243" s="22">
        <v>1.07178</v>
      </c>
      <c r="AL243">
        <f t="shared" si="42"/>
        <v>8.75854</v>
      </c>
      <c r="AM243">
        <f t="shared" si="43"/>
        <v>9.400540981999999</v>
      </c>
      <c r="AP243" s="9"/>
      <c r="AQ243" s="22">
        <v>0.62667799999999996</v>
      </c>
      <c r="AR243" s="22">
        <v>68.894999999999996</v>
      </c>
      <c r="AS243" s="22">
        <v>-1.22375E-2</v>
      </c>
      <c r="AT243" s="22">
        <v>233</v>
      </c>
      <c r="AU243" s="22">
        <v>0.62597700000000001</v>
      </c>
      <c r="AV243">
        <f t="shared" si="44"/>
        <v>12.237500000000001</v>
      </c>
      <c r="AW243">
        <f t="shared" si="45"/>
        <v>7.6689720249999995</v>
      </c>
      <c r="AX243" s="9"/>
      <c r="AY243" s="22">
        <v>1.0732999999999999</v>
      </c>
      <c r="AZ243" s="22">
        <v>74.171700000000001</v>
      </c>
      <c r="BA243" s="22">
        <v>-8.5784899999999994E-3</v>
      </c>
      <c r="BB243" s="22">
        <v>233</v>
      </c>
      <c r="BC243" s="22">
        <v>1.07239</v>
      </c>
      <c r="BD243">
        <f t="shared" si="46"/>
        <v>8.5784899999999986</v>
      </c>
      <c r="BE243">
        <f t="shared" si="47"/>
        <v>9.2072933169999978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9.0739699999999992</v>
      </c>
      <c r="I244" s="22">
        <v>-1.2371800000000001E-2</v>
      </c>
      <c r="J244" s="22">
        <v>234</v>
      </c>
      <c r="K244" s="22">
        <v>0.62100200000000005</v>
      </c>
      <c r="L244">
        <f t="shared" si="36"/>
        <v>12.3718</v>
      </c>
      <c r="M244">
        <f t="shared" si="37"/>
        <v>7.6908428673999998</v>
      </c>
      <c r="N244" s="9"/>
      <c r="O244" s="22">
        <v>1.0783400000000001</v>
      </c>
      <c r="P244" s="22">
        <v>48.549199999999999</v>
      </c>
      <c r="Q244" s="22">
        <v>-9.1491699999999999E-3</v>
      </c>
      <c r="R244" s="22">
        <v>234</v>
      </c>
      <c r="S244" s="22">
        <v>1.07758</v>
      </c>
      <c r="T244">
        <f t="shared" si="38"/>
        <v>9.1491699999999998</v>
      </c>
      <c r="U244">
        <f t="shared" si="39"/>
        <v>9.8659159778000003</v>
      </c>
      <c r="X244" s="9"/>
      <c r="Y244" s="22">
        <v>0.62164299999999995</v>
      </c>
      <c r="Z244" s="22">
        <v>56.360900000000001</v>
      </c>
      <c r="AA244" s="22">
        <v>-1.25519E-2</v>
      </c>
      <c r="AB244" s="22">
        <v>234</v>
      </c>
      <c r="AC244" s="22">
        <v>0.62097199999999997</v>
      </c>
      <c r="AD244">
        <f t="shared" si="40"/>
        <v>12.5519</v>
      </c>
      <c r="AE244">
        <f t="shared" si="41"/>
        <v>7.8028007716999994</v>
      </c>
      <c r="AF244" s="9"/>
      <c r="AG244" s="22">
        <v>1.0783400000000001</v>
      </c>
      <c r="AH244" s="22">
        <v>61.905500000000004</v>
      </c>
      <c r="AI244" s="22">
        <v>-8.7249800000000002E-3</v>
      </c>
      <c r="AJ244" s="22">
        <v>234</v>
      </c>
      <c r="AK244" s="22">
        <v>1.0778799999999999</v>
      </c>
      <c r="AL244">
        <f t="shared" si="42"/>
        <v>8.7249800000000004</v>
      </c>
      <c r="AM244">
        <f t="shared" si="43"/>
        <v>9.4084949332000019</v>
      </c>
      <c r="AP244" s="9"/>
      <c r="AQ244" s="22">
        <v>0.62164299999999995</v>
      </c>
      <c r="AR244" s="22">
        <v>68.905100000000004</v>
      </c>
      <c r="AS244" s="22">
        <v>-1.2265E-2</v>
      </c>
      <c r="AT244" s="22">
        <v>234</v>
      </c>
      <c r="AU244" s="22">
        <v>0.62100200000000005</v>
      </c>
      <c r="AV244">
        <f t="shared" si="44"/>
        <v>12.265000000000001</v>
      </c>
      <c r="AW244">
        <f t="shared" si="45"/>
        <v>7.6244513949999995</v>
      </c>
      <c r="AX244" s="9"/>
      <c r="AY244" s="22">
        <v>1.0783400000000001</v>
      </c>
      <c r="AZ244" s="22">
        <v>74.181700000000006</v>
      </c>
      <c r="BA244" s="22">
        <v>-8.54187E-3</v>
      </c>
      <c r="BB244" s="22">
        <v>234</v>
      </c>
      <c r="BC244" s="22">
        <v>1.07758</v>
      </c>
      <c r="BD244">
        <f t="shared" si="46"/>
        <v>8.5418699999999994</v>
      </c>
      <c r="BE244">
        <f t="shared" si="47"/>
        <v>9.2110400957999996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9.0840399999999999</v>
      </c>
      <c r="I245" s="22">
        <v>-1.23932E-2</v>
      </c>
      <c r="J245" s="22">
        <v>235</v>
      </c>
      <c r="K245" s="22">
        <v>0.61590599999999995</v>
      </c>
      <c r="L245">
        <f t="shared" si="36"/>
        <v>12.3932</v>
      </c>
      <c r="M245">
        <f t="shared" si="37"/>
        <v>7.641746265600001</v>
      </c>
      <c r="N245" s="9"/>
      <c r="O245" s="22">
        <v>1.0833699999999999</v>
      </c>
      <c r="P245" s="22">
        <v>48.5593</v>
      </c>
      <c r="Q245" s="22">
        <v>-9.1094999999999995E-3</v>
      </c>
      <c r="R245" s="22">
        <v>235</v>
      </c>
      <c r="S245" s="22">
        <v>1.0821499999999999</v>
      </c>
      <c r="T245">
        <f t="shared" si="38"/>
        <v>9.1094999999999988</v>
      </c>
      <c r="U245">
        <f t="shared" si="39"/>
        <v>9.8689590149999979</v>
      </c>
      <c r="X245" s="9"/>
      <c r="Y245" s="22">
        <v>0.61660800000000004</v>
      </c>
      <c r="Z245" s="22">
        <v>56.370899999999999</v>
      </c>
      <c r="AA245" s="22">
        <v>-1.25854E-2</v>
      </c>
      <c r="AB245" s="22">
        <v>235</v>
      </c>
      <c r="AC245" s="22">
        <v>0.61593600000000004</v>
      </c>
      <c r="AD245">
        <f t="shared" si="40"/>
        <v>12.5854</v>
      </c>
      <c r="AE245">
        <f t="shared" si="41"/>
        <v>7.7602583232000004</v>
      </c>
      <c r="AF245" s="9"/>
      <c r="AG245" s="22">
        <v>1.0833699999999999</v>
      </c>
      <c r="AH245" s="22">
        <v>61.915500000000002</v>
      </c>
      <c r="AI245" s="22">
        <v>-8.6944599999999993E-3</v>
      </c>
      <c r="AJ245" s="22">
        <v>235</v>
      </c>
      <c r="AK245" s="22">
        <v>1.08246</v>
      </c>
      <c r="AL245">
        <f t="shared" si="42"/>
        <v>8.6944599999999994</v>
      </c>
      <c r="AM245">
        <f t="shared" si="43"/>
        <v>9.4193171301999996</v>
      </c>
      <c r="AP245" s="9"/>
      <c r="AQ245" s="22">
        <v>0.61660800000000004</v>
      </c>
      <c r="AR245" s="22">
        <v>68.915199999999999</v>
      </c>
      <c r="AS245" s="22">
        <v>-1.2289400000000001E-2</v>
      </c>
      <c r="AT245" s="22">
        <v>235</v>
      </c>
      <c r="AU245" s="22">
        <v>0.61590599999999995</v>
      </c>
      <c r="AV245">
        <f t="shared" si="44"/>
        <v>12.289400000000001</v>
      </c>
      <c r="AW245">
        <f t="shared" si="45"/>
        <v>7.5777423552000007</v>
      </c>
      <c r="AX245" s="9"/>
      <c r="AY245" s="22">
        <v>1.0833699999999999</v>
      </c>
      <c r="AZ245" s="22">
        <v>74.191800000000001</v>
      </c>
      <c r="BA245" s="22">
        <v>-8.5113500000000009E-3</v>
      </c>
      <c r="BB245" s="22">
        <v>235</v>
      </c>
      <c r="BC245" s="22">
        <v>1.0821499999999999</v>
      </c>
      <c r="BD245">
        <f t="shared" si="46"/>
        <v>8.5113500000000002</v>
      </c>
      <c r="BE245">
        <f t="shared" si="47"/>
        <v>9.2209412494999992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9.0941100000000006</v>
      </c>
      <c r="I246" s="22">
        <v>-1.24146E-2</v>
      </c>
      <c r="J246" s="22">
        <v>236</v>
      </c>
      <c r="K246" s="22">
        <v>0.61087000000000002</v>
      </c>
      <c r="L246">
        <f t="shared" si="36"/>
        <v>12.4146</v>
      </c>
      <c r="M246">
        <f t="shared" si="37"/>
        <v>7.5924217511999998</v>
      </c>
      <c r="N246" s="9"/>
      <c r="O246" s="22">
        <v>1.0884100000000001</v>
      </c>
      <c r="P246" s="22">
        <v>48.569400000000002</v>
      </c>
      <c r="Q246" s="22">
        <v>-9.0728800000000002E-3</v>
      </c>
      <c r="R246" s="22">
        <v>236</v>
      </c>
      <c r="S246" s="22">
        <v>1.08734</v>
      </c>
      <c r="T246">
        <f t="shared" si="38"/>
        <v>9.0728799999999996</v>
      </c>
      <c r="U246">
        <f t="shared" si="39"/>
        <v>9.8750133208000008</v>
      </c>
      <c r="X246" s="9"/>
      <c r="Y246" s="22">
        <v>0.611572</v>
      </c>
      <c r="Z246" s="22">
        <v>56.381</v>
      </c>
      <c r="AA246" s="22">
        <v>-1.26129E-2</v>
      </c>
      <c r="AB246" s="22">
        <v>236</v>
      </c>
      <c r="AC246" s="22">
        <v>0.61087000000000002</v>
      </c>
      <c r="AD246">
        <f t="shared" si="40"/>
        <v>12.6129</v>
      </c>
      <c r="AE246">
        <f t="shared" si="41"/>
        <v>7.7136964788000002</v>
      </c>
      <c r="AF246" s="9"/>
      <c r="AG246" s="22">
        <v>1.0884100000000001</v>
      </c>
      <c r="AH246" s="22">
        <v>61.925600000000003</v>
      </c>
      <c r="AI246" s="22">
        <v>-8.6608899999999992E-3</v>
      </c>
      <c r="AJ246" s="22">
        <v>236</v>
      </c>
      <c r="AK246" s="22">
        <v>1.08795</v>
      </c>
      <c r="AL246">
        <f t="shared" si="42"/>
        <v>8.6608899999999984</v>
      </c>
      <c r="AM246">
        <f t="shared" si="43"/>
        <v>9.4265992849</v>
      </c>
      <c r="AP246" s="9"/>
      <c r="AQ246" s="22">
        <v>0.611572</v>
      </c>
      <c r="AR246" s="22">
        <v>68.925200000000004</v>
      </c>
      <c r="AS246" s="22">
        <v>-1.23138E-2</v>
      </c>
      <c r="AT246" s="22">
        <v>236</v>
      </c>
      <c r="AU246" s="22">
        <v>0.61080900000000005</v>
      </c>
      <c r="AV246">
        <f t="shared" si="44"/>
        <v>12.313800000000001</v>
      </c>
      <c r="AW246">
        <f t="shared" si="45"/>
        <v>7.5307752936000005</v>
      </c>
      <c r="AX246" s="9"/>
      <c r="AY246" s="22">
        <v>1.0884100000000001</v>
      </c>
      <c r="AZ246" s="22">
        <v>74.201899999999995</v>
      </c>
      <c r="BA246" s="22">
        <v>-8.4777800000000007E-3</v>
      </c>
      <c r="BB246" s="22">
        <v>236</v>
      </c>
      <c r="BC246" s="22">
        <v>1.08795</v>
      </c>
      <c r="BD246">
        <f t="shared" si="46"/>
        <v>8.477780000000001</v>
      </c>
      <c r="BE246">
        <f t="shared" si="47"/>
        <v>9.2273005298000026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9.1041799999999995</v>
      </c>
      <c r="I247" s="22">
        <v>-1.2439E-2</v>
      </c>
      <c r="J247" s="22">
        <v>237</v>
      </c>
      <c r="K247" s="22">
        <v>0.60583500000000001</v>
      </c>
      <c r="L247">
        <f t="shared" si="36"/>
        <v>12.439</v>
      </c>
      <c r="M247">
        <f t="shared" si="37"/>
        <v>7.544713743</v>
      </c>
      <c r="N247" s="9"/>
      <c r="O247" s="22">
        <v>1.09344</v>
      </c>
      <c r="P247" s="22">
        <v>48.5794</v>
      </c>
      <c r="Q247" s="22">
        <v>-9.0362499999999991E-3</v>
      </c>
      <c r="R247" s="22">
        <v>237</v>
      </c>
      <c r="S247" s="22">
        <v>1.09192</v>
      </c>
      <c r="T247">
        <f t="shared" si="38"/>
        <v>9.036249999999999</v>
      </c>
      <c r="U247">
        <f t="shared" si="39"/>
        <v>9.8805971999999986</v>
      </c>
      <c r="X247" s="9"/>
      <c r="Y247" s="22">
        <v>0.60653699999999999</v>
      </c>
      <c r="Z247" s="22">
        <v>56.391100000000002</v>
      </c>
      <c r="AA247" s="22">
        <v>-1.2634299999999999E-2</v>
      </c>
      <c r="AB247" s="22">
        <v>237</v>
      </c>
      <c r="AC247" s="22">
        <v>0.60583500000000001</v>
      </c>
      <c r="AD247">
        <f t="shared" si="40"/>
        <v>12.6343</v>
      </c>
      <c r="AE247">
        <f t="shared" si="41"/>
        <v>7.6631704191000001</v>
      </c>
      <c r="AF247" s="9"/>
      <c r="AG247" s="22">
        <v>1.09344</v>
      </c>
      <c r="AH247" s="22">
        <v>61.935699999999997</v>
      </c>
      <c r="AI247" s="22">
        <v>-8.6242699999999999E-3</v>
      </c>
      <c r="AJ247" s="22">
        <v>237</v>
      </c>
      <c r="AK247" s="22">
        <v>1.09192</v>
      </c>
      <c r="AL247">
        <f t="shared" si="42"/>
        <v>8.6242699999999992</v>
      </c>
      <c r="AM247">
        <f t="shared" si="43"/>
        <v>9.4301217887999993</v>
      </c>
      <c r="AP247" s="9"/>
      <c r="AQ247" s="22">
        <v>0.60653699999999999</v>
      </c>
      <c r="AR247" s="22">
        <v>68.935299999999998</v>
      </c>
      <c r="AS247" s="22">
        <v>-1.23383E-2</v>
      </c>
      <c r="AT247" s="22">
        <v>237</v>
      </c>
      <c r="AU247" s="22">
        <v>0.60589599999999999</v>
      </c>
      <c r="AV247">
        <f t="shared" si="44"/>
        <v>12.3383</v>
      </c>
      <c r="AW247">
        <f t="shared" si="45"/>
        <v>7.4836354671</v>
      </c>
      <c r="AX247" s="9"/>
      <c r="AY247" s="22">
        <v>1.09344</v>
      </c>
      <c r="AZ247" s="22">
        <v>74.2119</v>
      </c>
      <c r="BA247" s="22">
        <v>-8.4411599999999996E-3</v>
      </c>
      <c r="BB247" s="22">
        <v>237</v>
      </c>
      <c r="BC247" s="22">
        <v>1.09253</v>
      </c>
      <c r="BD247">
        <f t="shared" si="46"/>
        <v>8.44116</v>
      </c>
      <c r="BE247">
        <f t="shared" si="47"/>
        <v>9.2299019904000001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9.1142500000000002</v>
      </c>
      <c r="I248" s="22">
        <v>-1.2463399999999999E-2</v>
      </c>
      <c r="J248" s="22">
        <v>238</v>
      </c>
      <c r="K248" s="22">
        <v>0.60082999999999998</v>
      </c>
      <c r="L248">
        <f t="shared" si="36"/>
        <v>12.4634</v>
      </c>
      <c r="M248">
        <f t="shared" si="37"/>
        <v>7.4967475633999996</v>
      </c>
      <c r="N248" s="9"/>
      <c r="O248" s="22">
        <v>1.0984799999999999</v>
      </c>
      <c r="P248" s="22">
        <v>48.589500000000001</v>
      </c>
      <c r="Q248" s="22">
        <v>-8.9996299999999998E-3</v>
      </c>
      <c r="R248" s="22">
        <v>238</v>
      </c>
      <c r="S248" s="22">
        <v>1.09802</v>
      </c>
      <c r="T248">
        <f t="shared" si="38"/>
        <v>8.9996299999999998</v>
      </c>
      <c r="U248">
        <f t="shared" si="39"/>
        <v>9.885913562399999</v>
      </c>
      <c r="X248" s="9"/>
      <c r="Y248" s="22">
        <v>0.60150099999999995</v>
      </c>
      <c r="Z248" s="22">
        <v>56.4011</v>
      </c>
      <c r="AA248" s="22">
        <v>-1.26526E-2</v>
      </c>
      <c r="AB248" s="22">
        <v>238</v>
      </c>
      <c r="AC248" s="22">
        <v>0.60082999999999998</v>
      </c>
      <c r="AD248">
        <f t="shared" si="40"/>
        <v>12.6526</v>
      </c>
      <c r="AE248">
        <f t="shared" si="41"/>
        <v>7.6105515525999996</v>
      </c>
      <c r="AF248" s="9"/>
      <c r="AG248" s="22">
        <v>1.0984799999999999</v>
      </c>
      <c r="AH248" s="22">
        <v>61.945799999999998</v>
      </c>
      <c r="AI248" s="22">
        <v>-8.5906999999999997E-3</v>
      </c>
      <c r="AJ248" s="22">
        <v>238</v>
      </c>
      <c r="AK248" s="22">
        <v>1.09802</v>
      </c>
      <c r="AL248">
        <f t="shared" si="42"/>
        <v>8.5907</v>
      </c>
      <c r="AM248">
        <f t="shared" si="43"/>
        <v>9.4367121359999988</v>
      </c>
      <c r="AP248" s="9"/>
      <c r="AQ248" s="22">
        <v>0.60150099999999995</v>
      </c>
      <c r="AR248" s="22">
        <v>68.945400000000006</v>
      </c>
      <c r="AS248" s="22">
        <v>-1.23657E-2</v>
      </c>
      <c r="AT248" s="22">
        <v>238</v>
      </c>
      <c r="AU248" s="22">
        <v>0.60082999999999998</v>
      </c>
      <c r="AV248">
        <f t="shared" si="44"/>
        <v>12.3657</v>
      </c>
      <c r="AW248">
        <f t="shared" si="45"/>
        <v>7.4379809156999999</v>
      </c>
      <c r="AX248" s="9"/>
      <c r="AY248" s="22">
        <v>1.0984799999999999</v>
      </c>
      <c r="AZ248" s="22">
        <v>74.221999999999994</v>
      </c>
      <c r="BA248" s="22">
        <v>-8.4075899999999995E-3</v>
      </c>
      <c r="BB248" s="22">
        <v>238</v>
      </c>
      <c r="BC248" s="22">
        <v>1.09711</v>
      </c>
      <c r="BD248">
        <f t="shared" si="46"/>
        <v>8.407589999999999</v>
      </c>
      <c r="BE248">
        <f t="shared" si="47"/>
        <v>9.2355694631999974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9.1243200000000009</v>
      </c>
      <c r="I249" s="22">
        <v>-1.24908E-2</v>
      </c>
      <c r="J249" s="22">
        <v>239</v>
      </c>
      <c r="K249" s="22">
        <v>0.59579499999999996</v>
      </c>
      <c r="L249">
        <f t="shared" si="36"/>
        <v>12.4908</v>
      </c>
      <c r="M249">
        <f t="shared" si="37"/>
        <v>7.4503375128000009</v>
      </c>
      <c r="N249" s="9"/>
      <c r="O249" s="22">
        <v>1.1035200000000001</v>
      </c>
      <c r="P249" s="22">
        <v>48.599600000000002</v>
      </c>
      <c r="Q249" s="22">
        <v>-8.9599599999999995E-3</v>
      </c>
      <c r="R249" s="22">
        <v>239</v>
      </c>
      <c r="S249" s="22">
        <v>1.1026</v>
      </c>
      <c r="T249">
        <f t="shared" si="38"/>
        <v>8.9599599999999988</v>
      </c>
      <c r="U249">
        <f t="shared" si="39"/>
        <v>9.887495059199999</v>
      </c>
      <c r="X249" s="9"/>
      <c r="Y249" s="22">
        <v>0.59646600000000005</v>
      </c>
      <c r="Z249" s="22">
        <v>56.411200000000001</v>
      </c>
      <c r="AA249" s="22">
        <v>-1.26801E-2</v>
      </c>
      <c r="AB249" s="22">
        <v>239</v>
      </c>
      <c r="AC249" s="22">
        <v>0.59582500000000005</v>
      </c>
      <c r="AD249">
        <f t="shared" si="40"/>
        <v>12.680099999999999</v>
      </c>
      <c r="AE249">
        <f t="shared" si="41"/>
        <v>7.5632485266000007</v>
      </c>
      <c r="AF249" s="9"/>
      <c r="AG249" s="22">
        <v>1.1035200000000001</v>
      </c>
      <c r="AH249" s="22">
        <v>61.955800000000004</v>
      </c>
      <c r="AI249" s="22">
        <v>-8.5571299999999996E-3</v>
      </c>
      <c r="AJ249" s="22">
        <v>239</v>
      </c>
      <c r="AK249" s="22">
        <v>1.10229</v>
      </c>
      <c r="AL249">
        <f t="shared" si="42"/>
        <v>8.557129999999999</v>
      </c>
      <c r="AM249">
        <f t="shared" si="43"/>
        <v>9.4429640975999991</v>
      </c>
      <c r="AP249" s="9"/>
      <c r="AQ249" s="22">
        <v>0.59646600000000005</v>
      </c>
      <c r="AR249" s="22">
        <v>68.955500000000001</v>
      </c>
      <c r="AS249" s="22">
        <v>-1.23932E-2</v>
      </c>
      <c r="AT249" s="22">
        <v>239</v>
      </c>
      <c r="AU249" s="22">
        <v>0.59582500000000005</v>
      </c>
      <c r="AV249">
        <f t="shared" si="44"/>
        <v>12.3932</v>
      </c>
      <c r="AW249">
        <f t="shared" si="45"/>
        <v>7.3921224312000007</v>
      </c>
      <c r="AX249" s="9"/>
      <c r="AY249" s="22">
        <v>1.1035200000000001</v>
      </c>
      <c r="AZ249" s="22">
        <v>74.232100000000003</v>
      </c>
      <c r="BA249" s="22">
        <v>-8.3740199999999994E-3</v>
      </c>
      <c r="BB249" s="22">
        <v>239</v>
      </c>
      <c r="BC249" s="22">
        <v>1.1029100000000001</v>
      </c>
      <c r="BD249">
        <f t="shared" si="46"/>
        <v>8.3740199999999998</v>
      </c>
      <c r="BE249">
        <f t="shared" si="47"/>
        <v>9.2408985504000007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9.1343899999999998</v>
      </c>
      <c r="I250" s="22">
        <v>-1.2512199999999999E-2</v>
      </c>
      <c r="J250" s="22">
        <v>240</v>
      </c>
      <c r="K250" s="22">
        <v>0.59075900000000003</v>
      </c>
      <c r="L250">
        <f t="shared" si="36"/>
        <v>12.5122</v>
      </c>
      <c r="M250">
        <f t="shared" si="37"/>
        <v>7.4001029582000006</v>
      </c>
      <c r="N250" s="9"/>
      <c r="O250" s="22">
        <v>1.1085499999999999</v>
      </c>
      <c r="P250" s="22">
        <v>48.6096</v>
      </c>
      <c r="Q250" s="22">
        <v>-8.9233400000000001E-3</v>
      </c>
      <c r="R250" s="22">
        <v>240</v>
      </c>
      <c r="S250" s="22">
        <v>1.10748</v>
      </c>
      <c r="T250">
        <f t="shared" si="38"/>
        <v>8.9233399999999996</v>
      </c>
      <c r="U250">
        <f t="shared" si="39"/>
        <v>9.8919685569999984</v>
      </c>
      <c r="X250" s="9"/>
      <c r="Y250" s="22">
        <v>0.59143100000000004</v>
      </c>
      <c r="Z250" s="22">
        <v>56.421300000000002</v>
      </c>
      <c r="AA250" s="22">
        <v>-1.27075E-2</v>
      </c>
      <c r="AB250" s="22">
        <v>240</v>
      </c>
      <c r="AC250" s="22">
        <v>0.59072899999999995</v>
      </c>
      <c r="AD250">
        <f t="shared" si="40"/>
        <v>12.7075</v>
      </c>
      <c r="AE250">
        <f t="shared" si="41"/>
        <v>7.5156094325000007</v>
      </c>
      <c r="AF250" s="9"/>
      <c r="AG250" s="22">
        <v>1.1085499999999999</v>
      </c>
      <c r="AH250" s="22">
        <v>61.965899999999998</v>
      </c>
      <c r="AI250" s="22">
        <v>-8.5235599999999995E-3</v>
      </c>
      <c r="AJ250" s="22">
        <v>240</v>
      </c>
      <c r="AK250" s="22">
        <v>1.1071800000000001</v>
      </c>
      <c r="AL250">
        <f t="shared" si="42"/>
        <v>8.5235599999999998</v>
      </c>
      <c r="AM250">
        <f t="shared" si="43"/>
        <v>9.4487924379999999</v>
      </c>
      <c r="AP250" s="9"/>
      <c r="AQ250" s="22">
        <v>0.59143100000000004</v>
      </c>
      <c r="AR250" s="22">
        <v>68.965500000000006</v>
      </c>
      <c r="AS250" s="22">
        <v>-1.24146E-2</v>
      </c>
      <c r="AT250" s="22">
        <v>240</v>
      </c>
      <c r="AU250" s="22">
        <v>0.59079000000000004</v>
      </c>
      <c r="AV250">
        <f t="shared" si="44"/>
        <v>12.4146</v>
      </c>
      <c r="AW250">
        <f t="shared" si="45"/>
        <v>7.3423792926000004</v>
      </c>
      <c r="AX250" s="9"/>
      <c r="AY250" s="22">
        <v>1.1085499999999999</v>
      </c>
      <c r="AZ250" s="22">
        <v>74.242099999999994</v>
      </c>
      <c r="BA250" s="22">
        <v>-8.3404499999999993E-3</v>
      </c>
      <c r="BB250" s="22">
        <v>240</v>
      </c>
      <c r="BC250" s="22">
        <v>1.10748</v>
      </c>
      <c r="BD250">
        <f t="shared" si="46"/>
        <v>8.3404499999999988</v>
      </c>
      <c r="BE250">
        <f t="shared" si="47"/>
        <v>9.245805847499998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9.1444600000000005</v>
      </c>
      <c r="I251" s="22">
        <v>-1.2539700000000001E-2</v>
      </c>
      <c r="J251" s="22">
        <v>241</v>
      </c>
      <c r="K251" s="22">
        <v>0.58569300000000002</v>
      </c>
      <c r="L251">
        <f t="shared" si="36"/>
        <v>12.539700000000002</v>
      </c>
      <c r="M251">
        <f t="shared" si="37"/>
        <v>7.3532173815000013</v>
      </c>
      <c r="N251" s="9"/>
      <c r="O251" s="22">
        <v>1.1135900000000001</v>
      </c>
      <c r="P251" s="22">
        <v>48.619700000000002</v>
      </c>
      <c r="Q251" s="22">
        <v>-8.8836699999999998E-3</v>
      </c>
      <c r="R251" s="22">
        <v>241</v>
      </c>
      <c r="S251" s="22">
        <v>1.11267</v>
      </c>
      <c r="T251">
        <f t="shared" si="38"/>
        <v>8.8836700000000004</v>
      </c>
      <c r="U251">
        <f t="shared" si="39"/>
        <v>9.8927660753000008</v>
      </c>
      <c r="X251" s="9"/>
      <c r="Y251" s="22">
        <v>0.586395</v>
      </c>
      <c r="Z251" s="22">
        <v>56.4313</v>
      </c>
      <c r="AA251" s="22">
        <v>-1.2735E-2</v>
      </c>
      <c r="AB251" s="22">
        <v>241</v>
      </c>
      <c r="AC251" s="22">
        <v>0.58569300000000002</v>
      </c>
      <c r="AD251">
        <f t="shared" si="40"/>
        <v>12.734999999999999</v>
      </c>
      <c r="AE251">
        <f t="shared" si="41"/>
        <v>7.4677403249999994</v>
      </c>
      <c r="AF251" s="9"/>
      <c r="AG251" s="22">
        <v>1.1135900000000001</v>
      </c>
      <c r="AH251" s="22">
        <v>61.975999999999999</v>
      </c>
      <c r="AI251" s="22">
        <v>-8.4869400000000001E-3</v>
      </c>
      <c r="AJ251" s="22">
        <v>241</v>
      </c>
      <c r="AK251" s="22">
        <v>1.11267</v>
      </c>
      <c r="AL251">
        <f t="shared" si="42"/>
        <v>8.4869400000000006</v>
      </c>
      <c r="AM251">
        <f t="shared" si="43"/>
        <v>9.4509715146000008</v>
      </c>
      <c r="AP251" s="9"/>
      <c r="AQ251" s="22">
        <v>0.586395</v>
      </c>
      <c r="AR251" s="22">
        <v>68.9756</v>
      </c>
      <c r="AS251" s="22">
        <v>-1.24359E-2</v>
      </c>
      <c r="AT251" s="22">
        <v>241</v>
      </c>
      <c r="AU251" s="22">
        <v>0.585754</v>
      </c>
      <c r="AV251">
        <f t="shared" si="44"/>
        <v>12.4359</v>
      </c>
      <c r="AW251">
        <f t="shared" si="45"/>
        <v>7.2923495804999998</v>
      </c>
      <c r="AX251" s="9"/>
      <c r="AY251" s="22">
        <v>1.1135900000000001</v>
      </c>
      <c r="AZ251" s="22">
        <v>74.252200000000002</v>
      </c>
      <c r="BA251" s="22">
        <v>-8.3068800000000009E-3</v>
      </c>
      <c r="BB251" s="22">
        <v>241</v>
      </c>
      <c r="BC251" s="22">
        <v>1.11267</v>
      </c>
      <c r="BD251">
        <f t="shared" si="46"/>
        <v>8.3068800000000014</v>
      </c>
      <c r="BE251">
        <f t="shared" si="47"/>
        <v>9.2504584992000023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9.1545299999999994</v>
      </c>
      <c r="I252" s="22">
        <v>-1.25702E-2</v>
      </c>
      <c r="J252" s="22">
        <v>242</v>
      </c>
      <c r="K252" s="22">
        <v>0.58065800000000001</v>
      </c>
      <c r="L252">
        <f t="shared" si="36"/>
        <v>12.5702</v>
      </c>
      <c r="M252">
        <f t="shared" si="37"/>
        <v>7.307811472</v>
      </c>
      <c r="N252" s="9"/>
      <c r="O252" s="22">
        <v>1.1186199999999999</v>
      </c>
      <c r="P252" s="22">
        <v>48.629800000000003</v>
      </c>
      <c r="Q252" s="22">
        <v>-8.8439899999999995E-3</v>
      </c>
      <c r="R252" s="22">
        <v>242</v>
      </c>
      <c r="S252" s="22">
        <v>1.1178600000000001</v>
      </c>
      <c r="T252">
        <f t="shared" si="38"/>
        <v>8.8439899999999998</v>
      </c>
      <c r="U252">
        <f t="shared" si="39"/>
        <v>9.8930640937999996</v>
      </c>
      <c r="X252" s="9"/>
      <c r="Y252" s="22">
        <v>0.58135999999999999</v>
      </c>
      <c r="Z252" s="22">
        <v>56.441400000000002</v>
      </c>
      <c r="AA252" s="22">
        <v>-1.27625E-2</v>
      </c>
      <c r="AB252" s="22">
        <v>242</v>
      </c>
      <c r="AC252" s="22">
        <v>0.58065800000000001</v>
      </c>
      <c r="AD252">
        <f t="shared" si="40"/>
        <v>12.762499999999999</v>
      </c>
      <c r="AE252">
        <f t="shared" si="41"/>
        <v>7.4196069999999992</v>
      </c>
      <c r="AF252" s="9"/>
      <c r="AG252" s="22">
        <v>1.1186199999999999</v>
      </c>
      <c r="AH252" s="22">
        <v>61.985999999999997</v>
      </c>
      <c r="AI252" s="22">
        <v>-8.45337E-3</v>
      </c>
      <c r="AJ252" s="22">
        <v>242</v>
      </c>
      <c r="AK252" s="22">
        <v>1.1172500000000001</v>
      </c>
      <c r="AL252">
        <f t="shared" si="42"/>
        <v>8.4533699999999996</v>
      </c>
      <c r="AM252">
        <f t="shared" si="43"/>
        <v>9.4561087493999985</v>
      </c>
      <c r="AP252" s="9"/>
      <c r="AQ252" s="22">
        <v>0.58135999999999999</v>
      </c>
      <c r="AR252" s="22">
        <v>68.985699999999994</v>
      </c>
      <c r="AS252" s="22">
        <v>-1.2457299999999999E-2</v>
      </c>
      <c r="AT252" s="22">
        <v>242</v>
      </c>
      <c r="AU252" s="22">
        <v>0.580627</v>
      </c>
      <c r="AV252">
        <f t="shared" si="44"/>
        <v>12.4573</v>
      </c>
      <c r="AW252">
        <f t="shared" si="45"/>
        <v>7.242175928</v>
      </c>
      <c r="AX252" s="9"/>
      <c r="AY252" s="22">
        <v>1.1186199999999999</v>
      </c>
      <c r="AZ252" s="22">
        <v>74.262299999999996</v>
      </c>
      <c r="BA252" s="22">
        <v>-8.2702599999999998E-3</v>
      </c>
      <c r="BB252" s="22">
        <v>242</v>
      </c>
      <c r="BC252" s="22">
        <v>1.1184700000000001</v>
      </c>
      <c r="BD252">
        <f t="shared" si="46"/>
        <v>8.2702600000000004</v>
      </c>
      <c r="BE252">
        <f t="shared" si="47"/>
        <v>9.2512782411999996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9.1646099999999997</v>
      </c>
      <c r="I253" s="22">
        <v>-1.2594599999999999E-2</v>
      </c>
      <c r="J253" s="22">
        <v>243</v>
      </c>
      <c r="K253" s="22">
        <v>0.575623</v>
      </c>
      <c r="L253">
        <f t="shared" si="36"/>
        <v>12.5946</v>
      </c>
      <c r="M253">
        <f t="shared" si="37"/>
        <v>7.2585702503999991</v>
      </c>
      <c r="N253" s="9"/>
      <c r="O253" s="22">
        <v>1.1236600000000001</v>
      </c>
      <c r="P253" s="22">
        <v>48.639800000000001</v>
      </c>
      <c r="Q253" s="22">
        <v>-8.8043199999999992E-3</v>
      </c>
      <c r="R253" s="22">
        <v>243</v>
      </c>
      <c r="S253" s="22">
        <v>1.1230500000000001</v>
      </c>
      <c r="T253">
        <f t="shared" si="38"/>
        <v>8.8043199999999988</v>
      </c>
      <c r="U253">
        <f t="shared" si="39"/>
        <v>9.8930622112000002</v>
      </c>
      <c r="X253" s="9"/>
      <c r="Y253" s="22">
        <v>0.57632399999999995</v>
      </c>
      <c r="Z253" s="22">
        <v>56.451500000000003</v>
      </c>
      <c r="AA253" s="22">
        <v>-1.2796E-2</v>
      </c>
      <c r="AB253" s="22">
        <v>243</v>
      </c>
      <c r="AC253" s="22">
        <v>0.57565299999999997</v>
      </c>
      <c r="AD253">
        <f t="shared" si="40"/>
        <v>12.795999999999999</v>
      </c>
      <c r="AE253">
        <f t="shared" si="41"/>
        <v>7.3746419039999989</v>
      </c>
      <c r="AF253" s="9"/>
      <c r="AG253" s="22">
        <v>1.1236600000000001</v>
      </c>
      <c r="AH253" s="22">
        <v>61.996099999999998</v>
      </c>
      <c r="AI253" s="22">
        <v>-8.4167500000000006E-3</v>
      </c>
      <c r="AJ253" s="22">
        <v>243</v>
      </c>
      <c r="AK253" s="22">
        <v>1.1221300000000001</v>
      </c>
      <c r="AL253">
        <f t="shared" si="42"/>
        <v>8.4167500000000004</v>
      </c>
      <c r="AM253">
        <f t="shared" si="43"/>
        <v>9.457565305000001</v>
      </c>
      <c r="AP253" s="9"/>
      <c r="AQ253" s="22">
        <v>0.57632399999999995</v>
      </c>
      <c r="AR253" s="22">
        <v>68.995699999999999</v>
      </c>
      <c r="AS253" s="22">
        <v>-1.24847E-2</v>
      </c>
      <c r="AT253" s="22">
        <v>243</v>
      </c>
      <c r="AU253" s="22">
        <v>0.57559199999999999</v>
      </c>
      <c r="AV253">
        <f t="shared" si="44"/>
        <v>12.4847</v>
      </c>
      <c r="AW253">
        <f t="shared" si="45"/>
        <v>7.1952322427999995</v>
      </c>
      <c r="AX253" s="9"/>
      <c r="AY253" s="22">
        <v>1.1236600000000001</v>
      </c>
      <c r="AZ253" s="22">
        <v>74.272400000000005</v>
      </c>
      <c r="BA253" s="22">
        <v>-8.2336400000000004E-3</v>
      </c>
      <c r="BB253" s="22">
        <v>243</v>
      </c>
      <c r="BC253" s="22">
        <v>1.1230500000000001</v>
      </c>
      <c r="BD253">
        <f t="shared" si="46"/>
        <v>8.2336400000000012</v>
      </c>
      <c r="BE253">
        <f t="shared" si="47"/>
        <v>9.2518119224000017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9.1746800000000004</v>
      </c>
      <c r="I254" s="22">
        <v>-1.26099E-2</v>
      </c>
      <c r="J254" s="22">
        <v>244</v>
      </c>
      <c r="K254" s="22">
        <v>0.57058699999999996</v>
      </c>
      <c r="L254">
        <f t="shared" si="36"/>
        <v>12.6099</v>
      </c>
      <c r="M254">
        <f t="shared" si="37"/>
        <v>7.2038971611000004</v>
      </c>
      <c r="N254" s="9"/>
      <c r="O254" s="22">
        <v>1.12869</v>
      </c>
      <c r="P254" s="22">
        <v>48.649900000000002</v>
      </c>
      <c r="Q254" s="22">
        <v>-8.7615999999999996E-3</v>
      </c>
      <c r="R254" s="22">
        <v>244</v>
      </c>
      <c r="S254" s="22">
        <v>1.1282300000000001</v>
      </c>
      <c r="T254">
        <f t="shared" si="38"/>
        <v>8.7615999999999996</v>
      </c>
      <c r="U254">
        <f t="shared" si="39"/>
        <v>9.889130304</v>
      </c>
      <c r="X254" s="9"/>
      <c r="Y254" s="22">
        <v>0.57128900000000005</v>
      </c>
      <c r="Z254" s="22">
        <v>56.461599999999997</v>
      </c>
      <c r="AA254" s="22">
        <v>-1.28326E-2</v>
      </c>
      <c r="AB254" s="22">
        <v>244</v>
      </c>
      <c r="AC254" s="22">
        <v>0.57055699999999998</v>
      </c>
      <c r="AD254">
        <f t="shared" si="40"/>
        <v>12.832599999999999</v>
      </c>
      <c r="AE254">
        <f t="shared" si="41"/>
        <v>7.3311232214000004</v>
      </c>
      <c r="AF254" s="9"/>
      <c r="AG254" s="22">
        <v>1.12869</v>
      </c>
      <c r="AH254" s="22">
        <v>62.0062</v>
      </c>
      <c r="AI254" s="22">
        <v>-8.3770800000000003E-3</v>
      </c>
      <c r="AJ254" s="22">
        <v>244</v>
      </c>
      <c r="AK254" s="22">
        <v>1.1273200000000001</v>
      </c>
      <c r="AL254">
        <f t="shared" si="42"/>
        <v>8.3770799999999994</v>
      </c>
      <c r="AM254">
        <f t="shared" si="43"/>
        <v>9.4551264251999996</v>
      </c>
      <c r="AP254" s="9"/>
      <c r="AQ254" s="22">
        <v>0.57128900000000005</v>
      </c>
      <c r="AR254" s="22">
        <v>69.005799999999994</v>
      </c>
      <c r="AS254" s="22">
        <v>-1.25183E-2</v>
      </c>
      <c r="AT254" s="22">
        <v>244</v>
      </c>
      <c r="AU254" s="22">
        <v>0.57064800000000004</v>
      </c>
      <c r="AV254">
        <f t="shared" si="44"/>
        <v>12.5183</v>
      </c>
      <c r="AW254">
        <f t="shared" si="45"/>
        <v>7.1515670887000002</v>
      </c>
      <c r="AX254" s="9"/>
      <c r="AY254" s="22">
        <v>1.12869</v>
      </c>
      <c r="AZ254" s="22">
        <v>74.282399999999996</v>
      </c>
      <c r="BA254" s="22">
        <v>-8.2000700000000003E-3</v>
      </c>
      <c r="BB254" s="22">
        <v>244</v>
      </c>
      <c r="BC254" s="22">
        <v>1.1279300000000001</v>
      </c>
      <c r="BD254">
        <f t="shared" si="46"/>
        <v>8.2000700000000002</v>
      </c>
      <c r="BE254">
        <f t="shared" si="47"/>
        <v>9.2553370082999997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9.1847499999999993</v>
      </c>
      <c r="I255" s="22">
        <v>-1.2628199999999999E-2</v>
      </c>
      <c r="J255" s="22">
        <v>245</v>
      </c>
      <c r="K255" s="22">
        <v>0.56564300000000001</v>
      </c>
      <c r="L255">
        <f t="shared" si="36"/>
        <v>12.6282</v>
      </c>
      <c r="M255">
        <f t="shared" si="37"/>
        <v>7.1507687628000003</v>
      </c>
      <c r="N255" s="9"/>
      <c r="O255" s="22">
        <v>1.1337299999999999</v>
      </c>
      <c r="P255" s="22">
        <v>48.66</v>
      </c>
      <c r="Q255" s="22">
        <v>-8.7219199999999993E-3</v>
      </c>
      <c r="R255" s="22">
        <v>245</v>
      </c>
      <c r="S255" s="22">
        <v>1.1337299999999999</v>
      </c>
      <c r="T255">
        <f t="shared" si="38"/>
        <v>8.721919999999999</v>
      </c>
      <c r="U255">
        <f t="shared" si="39"/>
        <v>9.8883023615999974</v>
      </c>
      <c r="X255" s="9"/>
      <c r="Y255" s="22">
        <v>0.56625400000000004</v>
      </c>
      <c r="Z255" s="22">
        <v>56.471600000000002</v>
      </c>
      <c r="AA255" s="22">
        <v>-1.28632E-2</v>
      </c>
      <c r="AB255" s="22">
        <v>245</v>
      </c>
      <c r="AC255" s="22">
        <v>0.56555200000000005</v>
      </c>
      <c r="AD255">
        <f t="shared" si="40"/>
        <v>12.863200000000001</v>
      </c>
      <c r="AE255">
        <f t="shared" si="41"/>
        <v>7.2838384528000013</v>
      </c>
      <c r="AF255" s="9"/>
      <c r="AG255" s="22">
        <v>1.1337299999999999</v>
      </c>
      <c r="AH255" s="22">
        <v>62.016300000000001</v>
      </c>
      <c r="AI255" s="22">
        <v>-8.3404499999999993E-3</v>
      </c>
      <c r="AJ255" s="22">
        <v>245</v>
      </c>
      <c r="AK255" s="22">
        <v>1.1325099999999999</v>
      </c>
      <c r="AL255">
        <f t="shared" si="42"/>
        <v>8.3404499999999988</v>
      </c>
      <c r="AM255">
        <f t="shared" si="43"/>
        <v>9.4558183784999983</v>
      </c>
      <c r="AP255" s="9"/>
      <c r="AQ255" s="22">
        <v>0.56625400000000004</v>
      </c>
      <c r="AR255" s="22">
        <v>69.015900000000002</v>
      </c>
      <c r="AS255" s="22">
        <v>-1.25519E-2</v>
      </c>
      <c r="AT255" s="22">
        <v>245</v>
      </c>
      <c r="AU255" s="22">
        <v>0.56558200000000003</v>
      </c>
      <c r="AV255">
        <f t="shared" si="44"/>
        <v>12.5519</v>
      </c>
      <c r="AW255">
        <f t="shared" si="45"/>
        <v>7.1075635826000001</v>
      </c>
      <c r="AX255" s="9"/>
      <c r="AY255" s="22">
        <v>1.1337299999999999</v>
      </c>
      <c r="AZ255" s="22">
        <v>74.292500000000004</v>
      </c>
      <c r="BA255" s="22">
        <v>-8.1665000000000001E-3</v>
      </c>
      <c r="BB255" s="22">
        <v>245</v>
      </c>
      <c r="BC255" s="22">
        <v>1.1331199999999999</v>
      </c>
      <c r="BD255">
        <f t="shared" si="46"/>
        <v>8.166500000000001</v>
      </c>
      <c r="BE255">
        <f t="shared" si="47"/>
        <v>9.2586060450000005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9.19482</v>
      </c>
      <c r="I256" s="22">
        <v>-1.26526E-2</v>
      </c>
      <c r="J256" s="22">
        <v>246</v>
      </c>
      <c r="K256" s="22">
        <v>0.560608</v>
      </c>
      <c r="L256">
        <f t="shared" si="36"/>
        <v>12.6526</v>
      </c>
      <c r="M256">
        <f t="shared" si="37"/>
        <v>7.1008668667999997</v>
      </c>
      <c r="N256" s="9"/>
      <c r="O256" s="22">
        <v>1.13876</v>
      </c>
      <c r="P256" s="22">
        <v>48.670099999999998</v>
      </c>
      <c r="Q256" s="22">
        <v>-8.6761500000000005E-3</v>
      </c>
      <c r="R256" s="22">
        <v>246</v>
      </c>
      <c r="S256" s="22">
        <v>1.1373899999999999</v>
      </c>
      <c r="T256">
        <f t="shared" si="38"/>
        <v>8.6761499999999998</v>
      </c>
      <c r="U256">
        <f t="shared" si="39"/>
        <v>9.8800525740000005</v>
      </c>
      <c r="X256" s="9"/>
      <c r="Y256" s="22">
        <v>0.56121799999999999</v>
      </c>
      <c r="Z256" s="22">
        <v>56.481699999999996</v>
      </c>
      <c r="AA256" s="22">
        <v>-1.28906E-2</v>
      </c>
      <c r="AB256" s="22">
        <v>246</v>
      </c>
      <c r="AC256" s="22">
        <v>0.56057699999999999</v>
      </c>
      <c r="AD256">
        <f t="shared" si="40"/>
        <v>12.890600000000001</v>
      </c>
      <c r="AE256">
        <f t="shared" si="41"/>
        <v>7.2344367508000005</v>
      </c>
      <c r="AF256" s="9"/>
      <c r="AG256" s="22">
        <v>1.13876</v>
      </c>
      <c r="AH256" s="22">
        <v>62.026299999999999</v>
      </c>
      <c r="AI256" s="22">
        <v>-8.3007800000000007E-3</v>
      </c>
      <c r="AJ256" s="22">
        <v>246</v>
      </c>
      <c r="AK256" s="22">
        <v>1.1376999999999999</v>
      </c>
      <c r="AL256">
        <f t="shared" si="42"/>
        <v>8.3007800000000014</v>
      </c>
      <c r="AM256">
        <f t="shared" si="43"/>
        <v>9.4525962328000013</v>
      </c>
      <c r="AP256" s="9"/>
      <c r="AQ256" s="22">
        <v>0.56121799999999999</v>
      </c>
      <c r="AR256" s="22">
        <v>69.025999999999996</v>
      </c>
      <c r="AS256" s="22">
        <v>-1.25793E-2</v>
      </c>
      <c r="AT256" s="22">
        <v>246</v>
      </c>
      <c r="AU256" s="22">
        <v>0.56057699999999999</v>
      </c>
      <c r="AV256">
        <f t="shared" si="44"/>
        <v>12.5793</v>
      </c>
      <c r="AW256">
        <f t="shared" si="45"/>
        <v>7.0597295873999997</v>
      </c>
      <c r="AX256" s="9"/>
      <c r="AY256" s="22">
        <v>1.13876</v>
      </c>
      <c r="AZ256" s="22">
        <v>74.302599999999998</v>
      </c>
      <c r="BA256" s="22">
        <v>-8.1298800000000008E-3</v>
      </c>
      <c r="BB256" s="22">
        <v>246</v>
      </c>
      <c r="BC256" s="22">
        <v>1.1376999999999999</v>
      </c>
      <c r="BD256">
        <f t="shared" si="46"/>
        <v>8.12988</v>
      </c>
      <c r="BE256">
        <f t="shared" si="47"/>
        <v>9.2579821488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9.2048900000000007</v>
      </c>
      <c r="I257" s="22">
        <v>-1.2674E-2</v>
      </c>
      <c r="J257" s="22">
        <v>247</v>
      </c>
      <c r="K257" s="22">
        <v>0.55551099999999998</v>
      </c>
      <c r="L257">
        <f t="shared" si="36"/>
        <v>12.673999999999999</v>
      </c>
      <c r="M257">
        <f t="shared" si="37"/>
        <v>7.0490633419999993</v>
      </c>
      <c r="N257" s="9"/>
      <c r="O257" s="22">
        <v>1.1437999999999999</v>
      </c>
      <c r="P257" s="22">
        <v>48.680100000000003</v>
      </c>
      <c r="Q257" s="22">
        <v>-8.6334199999999993E-3</v>
      </c>
      <c r="R257" s="22">
        <v>247</v>
      </c>
      <c r="S257" s="22">
        <v>1.1428799999999999</v>
      </c>
      <c r="T257">
        <f t="shared" si="38"/>
        <v>8.6334199999999992</v>
      </c>
      <c r="U257">
        <f t="shared" si="39"/>
        <v>9.8749057959999984</v>
      </c>
      <c r="X257" s="9"/>
      <c r="Y257" s="22">
        <v>0.55618299999999998</v>
      </c>
      <c r="Z257" s="22">
        <v>56.491799999999998</v>
      </c>
      <c r="AA257" s="22">
        <v>-1.29181E-2</v>
      </c>
      <c r="AB257" s="22">
        <v>247</v>
      </c>
      <c r="AC257" s="22">
        <v>0.55538900000000002</v>
      </c>
      <c r="AD257">
        <f t="shared" si="40"/>
        <v>12.918100000000001</v>
      </c>
      <c r="AE257">
        <f t="shared" si="41"/>
        <v>7.1848276123000003</v>
      </c>
      <c r="AF257" s="9"/>
      <c r="AG257" s="22">
        <v>1.1437999999999999</v>
      </c>
      <c r="AH257" s="22">
        <v>62.0364</v>
      </c>
      <c r="AI257" s="22">
        <v>-8.2641599999999996E-3</v>
      </c>
      <c r="AJ257" s="22">
        <v>247</v>
      </c>
      <c r="AK257" s="22">
        <v>1.1431899999999999</v>
      </c>
      <c r="AL257">
        <f t="shared" si="42"/>
        <v>8.2641600000000004</v>
      </c>
      <c r="AM257">
        <f t="shared" si="43"/>
        <v>9.4525462079999993</v>
      </c>
      <c r="AP257" s="9"/>
      <c r="AQ257" s="22">
        <v>0.55618299999999998</v>
      </c>
      <c r="AR257" s="22">
        <v>69.036000000000001</v>
      </c>
      <c r="AS257" s="22">
        <v>-1.2600699999999999E-2</v>
      </c>
      <c r="AT257" s="22">
        <v>247</v>
      </c>
      <c r="AU257" s="22">
        <v>0.55557299999999998</v>
      </c>
      <c r="AV257">
        <f t="shared" si="44"/>
        <v>12.6007</v>
      </c>
      <c r="AW257">
        <f t="shared" si="45"/>
        <v>7.0082951280999994</v>
      </c>
      <c r="AX257" s="9"/>
      <c r="AY257" s="22">
        <v>1.1437999999999999</v>
      </c>
      <c r="AZ257" s="22">
        <v>74.312600000000003</v>
      </c>
      <c r="BA257" s="22">
        <v>-8.0932599999999997E-3</v>
      </c>
      <c r="BB257" s="22">
        <v>247</v>
      </c>
      <c r="BC257" s="22">
        <v>1.1428799999999999</v>
      </c>
      <c r="BD257">
        <f t="shared" si="46"/>
        <v>8.093259999999999</v>
      </c>
      <c r="BE257">
        <f t="shared" si="47"/>
        <v>9.2570707879999983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9.2149599999999996</v>
      </c>
      <c r="I258" s="22">
        <v>-1.26984E-2</v>
      </c>
      <c r="J258" s="22">
        <v>248</v>
      </c>
      <c r="K258" s="22">
        <v>0.55053700000000005</v>
      </c>
      <c r="L258">
        <f t="shared" si="36"/>
        <v>12.698399999999999</v>
      </c>
      <c r="M258">
        <f t="shared" si="37"/>
        <v>6.9986850648000001</v>
      </c>
      <c r="N258" s="9"/>
      <c r="O258" s="22">
        <v>1.14883</v>
      </c>
      <c r="P258" s="22">
        <v>48.690199999999997</v>
      </c>
      <c r="Q258" s="22">
        <v>-8.5967999999999999E-3</v>
      </c>
      <c r="R258" s="22">
        <v>248</v>
      </c>
      <c r="S258" s="22">
        <v>1.14777</v>
      </c>
      <c r="T258">
        <f t="shared" si="38"/>
        <v>8.5968</v>
      </c>
      <c r="U258">
        <f t="shared" si="39"/>
        <v>9.8762617440000007</v>
      </c>
      <c r="X258" s="9"/>
      <c r="Y258" s="22">
        <v>0.55114700000000005</v>
      </c>
      <c r="Z258" s="22">
        <v>56.501800000000003</v>
      </c>
      <c r="AA258" s="22">
        <v>-1.2942499999999999E-2</v>
      </c>
      <c r="AB258" s="22">
        <v>248</v>
      </c>
      <c r="AC258" s="22">
        <v>0.55047599999999997</v>
      </c>
      <c r="AD258">
        <f t="shared" si="40"/>
        <v>12.942499999999999</v>
      </c>
      <c r="AE258">
        <f t="shared" si="41"/>
        <v>7.1332200475</v>
      </c>
      <c r="AF258" s="9"/>
      <c r="AG258" s="22">
        <v>1.14883</v>
      </c>
      <c r="AH258" s="22">
        <v>62.046500000000002</v>
      </c>
      <c r="AI258" s="22">
        <v>-8.2275400000000002E-3</v>
      </c>
      <c r="AJ258" s="22">
        <v>248</v>
      </c>
      <c r="AK258" s="22">
        <v>1.14777</v>
      </c>
      <c r="AL258">
        <f t="shared" si="42"/>
        <v>8.2275399999999994</v>
      </c>
      <c r="AM258">
        <f t="shared" si="43"/>
        <v>9.4520447781999994</v>
      </c>
      <c r="AP258" s="9"/>
      <c r="AQ258" s="22">
        <v>0.55114700000000005</v>
      </c>
      <c r="AR258" s="22">
        <v>69.046099999999996</v>
      </c>
      <c r="AS258" s="22">
        <v>-1.2634299999999999E-2</v>
      </c>
      <c r="AT258" s="22">
        <v>248</v>
      </c>
      <c r="AU258" s="22">
        <v>0.55059800000000003</v>
      </c>
      <c r="AV258">
        <f t="shared" si="44"/>
        <v>12.6343</v>
      </c>
      <c r="AW258">
        <f t="shared" si="45"/>
        <v>6.9633565421000005</v>
      </c>
      <c r="AX258" s="9"/>
      <c r="AY258" s="22">
        <v>1.14883</v>
      </c>
      <c r="AZ258" s="22">
        <v>74.322699999999998</v>
      </c>
      <c r="BA258" s="22">
        <v>-8.0596899999999996E-3</v>
      </c>
      <c r="BB258" s="22">
        <v>248</v>
      </c>
      <c r="BC258" s="22">
        <v>1.1480699999999999</v>
      </c>
      <c r="BD258">
        <f t="shared" si="46"/>
        <v>8.0596899999999998</v>
      </c>
      <c r="BE258">
        <f t="shared" si="47"/>
        <v>9.2592136627000006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9.2250300000000003</v>
      </c>
      <c r="I259" s="22">
        <v>-1.2722799999999999E-2</v>
      </c>
      <c r="J259" s="22">
        <v>249</v>
      </c>
      <c r="K259" s="22">
        <v>0.54544099999999995</v>
      </c>
      <c r="L259">
        <f t="shared" si="36"/>
        <v>12.722799999999999</v>
      </c>
      <c r="M259">
        <f t="shared" si="37"/>
        <v>6.9480737536000001</v>
      </c>
      <c r="N259" s="9"/>
      <c r="O259" s="22">
        <v>1.15387</v>
      </c>
      <c r="P259" s="22">
        <v>48.700299999999999</v>
      </c>
      <c r="Q259" s="22">
        <v>-8.5601800000000006E-3</v>
      </c>
      <c r="R259" s="22">
        <v>249</v>
      </c>
      <c r="S259" s="22">
        <v>1.15265</v>
      </c>
      <c r="T259">
        <f t="shared" si="38"/>
        <v>8.5601800000000008</v>
      </c>
      <c r="U259">
        <f t="shared" si="39"/>
        <v>9.8773348966000007</v>
      </c>
      <c r="X259" s="9"/>
      <c r="Y259" s="22">
        <v>0.54611200000000004</v>
      </c>
      <c r="Z259" s="22">
        <v>56.511899999999997</v>
      </c>
      <c r="AA259" s="22">
        <v>-1.2970000000000001E-2</v>
      </c>
      <c r="AB259" s="22">
        <v>249</v>
      </c>
      <c r="AC259" s="22">
        <v>0.54544099999999995</v>
      </c>
      <c r="AD259">
        <f t="shared" si="40"/>
        <v>12.97</v>
      </c>
      <c r="AE259">
        <f t="shared" si="41"/>
        <v>7.083072640000001</v>
      </c>
      <c r="AF259" s="9"/>
      <c r="AG259" s="22">
        <v>1.15387</v>
      </c>
      <c r="AH259" s="22">
        <v>62.0565</v>
      </c>
      <c r="AI259" s="22">
        <v>-8.1878699999999999E-3</v>
      </c>
      <c r="AJ259" s="22">
        <v>249</v>
      </c>
      <c r="AK259" s="22">
        <v>1.1529499999999999</v>
      </c>
      <c r="AL259">
        <f t="shared" si="42"/>
        <v>8.1878700000000002</v>
      </c>
      <c r="AM259">
        <f t="shared" si="43"/>
        <v>9.4477375568999999</v>
      </c>
      <c r="AP259" s="9"/>
      <c r="AQ259" s="22">
        <v>0.54611200000000004</v>
      </c>
      <c r="AR259" s="22">
        <v>69.056200000000004</v>
      </c>
      <c r="AS259" s="22">
        <v>-1.26678E-2</v>
      </c>
      <c r="AT259" s="22">
        <v>249</v>
      </c>
      <c r="AU259" s="22">
        <v>0.54540999999999995</v>
      </c>
      <c r="AV259">
        <f t="shared" si="44"/>
        <v>12.6678</v>
      </c>
      <c r="AW259">
        <f t="shared" si="45"/>
        <v>6.9180375936000003</v>
      </c>
      <c r="AX259" s="9"/>
      <c r="AY259" s="22">
        <v>1.15387</v>
      </c>
      <c r="AZ259" s="22">
        <v>74.332800000000006</v>
      </c>
      <c r="BA259" s="22">
        <v>-8.0261199999999994E-3</v>
      </c>
      <c r="BB259" s="22">
        <v>249</v>
      </c>
      <c r="BC259" s="22">
        <v>1.1529499999999999</v>
      </c>
      <c r="BD259">
        <f t="shared" si="46"/>
        <v>8.0261199999999988</v>
      </c>
      <c r="BE259">
        <f t="shared" si="47"/>
        <v>9.2610990843999978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9.2350999999999992</v>
      </c>
      <c r="I260" s="22">
        <v>-1.27502E-2</v>
      </c>
      <c r="J260" s="22">
        <v>250</v>
      </c>
      <c r="K260" s="22">
        <v>0.54037500000000005</v>
      </c>
      <c r="L260">
        <f t="shared" si="36"/>
        <v>12.7502</v>
      </c>
      <c r="M260">
        <f t="shared" si="37"/>
        <v>6.8988399654000006</v>
      </c>
      <c r="N260" s="9"/>
      <c r="O260" s="22">
        <v>1.1589100000000001</v>
      </c>
      <c r="P260" s="22">
        <v>48.710299999999997</v>
      </c>
      <c r="Q260" s="22">
        <v>-8.5205100000000002E-3</v>
      </c>
      <c r="R260" s="22">
        <v>250</v>
      </c>
      <c r="S260" s="22">
        <v>1.1581399999999999</v>
      </c>
      <c r="T260">
        <f t="shared" si="38"/>
        <v>8.5205099999999998</v>
      </c>
      <c r="U260">
        <f t="shared" si="39"/>
        <v>9.8745042441000006</v>
      </c>
      <c r="X260" s="9"/>
      <c r="Y260" s="22">
        <v>0.54107700000000003</v>
      </c>
      <c r="Z260" s="22">
        <v>56.521999999999998</v>
      </c>
      <c r="AA260" s="22">
        <v>-1.2988299999999999E-2</v>
      </c>
      <c r="AB260" s="22">
        <v>250</v>
      </c>
      <c r="AC260" s="22">
        <v>0.54034400000000005</v>
      </c>
      <c r="AD260">
        <f t="shared" si="40"/>
        <v>12.988299999999999</v>
      </c>
      <c r="AE260">
        <f t="shared" si="41"/>
        <v>7.0276703990999998</v>
      </c>
      <c r="AF260" s="9"/>
      <c r="AG260" s="22">
        <v>1.1589100000000001</v>
      </c>
      <c r="AH260" s="22">
        <v>62.066600000000001</v>
      </c>
      <c r="AI260" s="22">
        <v>-8.1512500000000005E-3</v>
      </c>
      <c r="AJ260" s="22">
        <v>250</v>
      </c>
      <c r="AK260" s="22">
        <v>1.1581399999999999</v>
      </c>
      <c r="AL260">
        <f t="shared" si="42"/>
        <v>8.151250000000001</v>
      </c>
      <c r="AM260">
        <f t="shared" si="43"/>
        <v>9.4465651375000022</v>
      </c>
      <c r="AP260" s="9"/>
      <c r="AQ260" s="22">
        <v>0.54107700000000003</v>
      </c>
      <c r="AR260" s="22">
        <v>69.066199999999995</v>
      </c>
      <c r="AS260" s="22">
        <v>-1.26984E-2</v>
      </c>
      <c r="AT260" s="22">
        <v>250</v>
      </c>
      <c r="AU260" s="22">
        <v>0.54037500000000005</v>
      </c>
      <c r="AV260">
        <f t="shared" si="44"/>
        <v>12.698399999999999</v>
      </c>
      <c r="AW260">
        <f t="shared" si="45"/>
        <v>6.8708121768000003</v>
      </c>
      <c r="AX260" s="9"/>
      <c r="AY260" s="22">
        <v>1.1589100000000001</v>
      </c>
      <c r="AZ260" s="22">
        <v>74.3429</v>
      </c>
      <c r="BA260" s="22">
        <v>-7.9895000000000001E-3</v>
      </c>
      <c r="BB260" s="22">
        <v>250</v>
      </c>
      <c r="BC260" s="22">
        <v>1.15784</v>
      </c>
      <c r="BD260">
        <f t="shared" si="46"/>
        <v>7.9895000000000005</v>
      </c>
      <c r="BE260">
        <f t="shared" si="47"/>
        <v>9.259111445000002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9.2451699999999999</v>
      </c>
      <c r="I261" s="22">
        <v>-1.2777699999999999E-2</v>
      </c>
      <c r="J261" s="22">
        <v>251</v>
      </c>
      <c r="K261" s="22">
        <v>0.53537000000000001</v>
      </c>
      <c r="L261">
        <f t="shared" si="36"/>
        <v>12.777699999999999</v>
      </c>
      <c r="M261">
        <f t="shared" si="37"/>
        <v>6.8493710856999996</v>
      </c>
      <c r="N261" s="9"/>
      <c r="O261" s="22">
        <v>1.16394</v>
      </c>
      <c r="P261" s="22">
        <v>48.720399999999998</v>
      </c>
      <c r="Q261" s="22">
        <v>-8.4777800000000007E-3</v>
      </c>
      <c r="R261" s="22">
        <v>251</v>
      </c>
      <c r="S261" s="22">
        <v>1.16333</v>
      </c>
      <c r="T261">
        <f t="shared" si="38"/>
        <v>8.477780000000001</v>
      </c>
      <c r="U261">
        <f t="shared" si="39"/>
        <v>9.8676272532000002</v>
      </c>
      <c r="X261" s="9"/>
      <c r="Y261" s="22">
        <v>0.53604099999999999</v>
      </c>
      <c r="Z261" s="22">
        <v>56.5321</v>
      </c>
      <c r="AA261" s="22">
        <v>-1.3003499999999999E-2</v>
      </c>
      <c r="AB261" s="22">
        <v>251</v>
      </c>
      <c r="AC261" s="22">
        <v>0.53527800000000003</v>
      </c>
      <c r="AD261">
        <f t="shared" si="40"/>
        <v>13.003499999999999</v>
      </c>
      <c r="AE261">
        <f t="shared" si="41"/>
        <v>6.9704091434999995</v>
      </c>
      <c r="AF261" s="9"/>
      <c r="AG261" s="22">
        <v>1.16394</v>
      </c>
      <c r="AH261" s="22">
        <v>62.076700000000002</v>
      </c>
      <c r="AI261" s="22">
        <v>-8.1146199999999995E-3</v>
      </c>
      <c r="AJ261" s="22">
        <v>251</v>
      </c>
      <c r="AK261" s="22">
        <v>1.16333</v>
      </c>
      <c r="AL261">
        <f t="shared" si="42"/>
        <v>8.1146199999999986</v>
      </c>
      <c r="AM261">
        <f t="shared" si="43"/>
        <v>9.4449308027999983</v>
      </c>
      <c r="AP261" s="9"/>
      <c r="AQ261" s="22">
        <v>0.53604099999999999</v>
      </c>
      <c r="AR261" s="22">
        <v>69.076300000000003</v>
      </c>
      <c r="AS261" s="22">
        <v>-1.2731900000000001E-2</v>
      </c>
      <c r="AT261" s="22">
        <v>251</v>
      </c>
      <c r="AU261" s="22">
        <v>0.53537000000000001</v>
      </c>
      <c r="AV261">
        <f t="shared" si="44"/>
        <v>12.731900000000001</v>
      </c>
      <c r="AW261">
        <f t="shared" si="45"/>
        <v>6.8248204079000008</v>
      </c>
      <c r="AX261" s="9"/>
      <c r="AY261" s="22">
        <v>1.16394</v>
      </c>
      <c r="AZ261" s="22">
        <v>74.352900000000005</v>
      </c>
      <c r="BA261" s="22">
        <v>-7.9559299999999999E-3</v>
      </c>
      <c r="BB261" s="22">
        <v>251</v>
      </c>
      <c r="BC261" s="22">
        <v>1.1630199999999999</v>
      </c>
      <c r="BD261">
        <f t="shared" si="46"/>
        <v>7.9559300000000004</v>
      </c>
      <c r="BE261">
        <f t="shared" si="47"/>
        <v>9.2602251641999995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9.2552400000000006</v>
      </c>
      <c r="I262" s="22">
        <v>-1.28082E-2</v>
      </c>
      <c r="J262" s="22">
        <v>252</v>
      </c>
      <c r="K262" s="22">
        <v>0.530304</v>
      </c>
      <c r="L262">
        <f t="shared" si="36"/>
        <v>12.808200000000001</v>
      </c>
      <c r="M262">
        <f t="shared" si="37"/>
        <v>6.8012310492000001</v>
      </c>
      <c r="N262" s="9"/>
      <c r="O262" s="22">
        <v>1.1689799999999999</v>
      </c>
      <c r="P262" s="22">
        <v>48.730499999999999</v>
      </c>
      <c r="Q262" s="22">
        <v>-8.4381100000000004E-3</v>
      </c>
      <c r="R262" s="22">
        <v>252</v>
      </c>
      <c r="S262" s="22">
        <v>1.16791</v>
      </c>
      <c r="T262">
        <f t="shared" si="38"/>
        <v>8.43811</v>
      </c>
      <c r="U262">
        <f t="shared" si="39"/>
        <v>9.8639818278</v>
      </c>
      <c r="X262" s="9"/>
      <c r="Y262" s="22">
        <v>0.53100599999999998</v>
      </c>
      <c r="Z262" s="22">
        <v>56.542099999999998</v>
      </c>
      <c r="AA262" s="22">
        <v>-1.3030999999999999E-2</v>
      </c>
      <c r="AB262" s="22">
        <v>252</v>
      </c>
      <c r="AC262" s="22">
        <v>0.530304</v>
      </c>
      <c r="AD262">
        <f t="shared" si="40"/>
        <v>13.030999999999999</v>
      </c>
      <c r="AE262">
        <f t="shared" si="41"/>
        <v>6.9195391859999988</v>
      </c>
      <c r="AF262" s="9"/>
      <c r="AG262" s="22">
        <v>1.1689799999999999</v>
      </c>
      <c r="AH262" s="22">
        <v>62.086799999999997</v>
      </c>
      <c r="AI262" s="22">
        <v>-8.0780000000000001E-3</v>
      </c>
      <c r="AJ262" s="22">
        <v>252</v>
      </c>
      <c r="AK262" s="22">
        <v>1.16821</v>
      </c>
      <c r="AL262">
        <f t="shared" si="42"/>
        <v>8.0779999999999994</v>
      </c>
      <c r="AM262">
        <f t="shared" si="43"/>
        <v>9.443020439999998</v>
      </c>
      <c r="AP262" s="9"/>
      <c r="AQ262" s="22">
        <v>0.53100599999999998</v>
      </c>
      <c r="AR262" s="22">
        <v>69.086399999999998</v>
      </c>
      <c r="AS262" s="22">
        <v>-1.27533E-2</v>
      </c>
      <c r="AT262" s="22">
        <v>252</v>
      </c>
      <c r="AU262" s="22">
        <v>0.53036499999999998</v>
      </c>
      <c r="AV262">
        <f t="shared" si="44"/>
        <v>12.753300000000001</v>
      </c>
      <c r="AW262">
        <f t="shared" si="45"/>
        <v>6.7720788197999999</v>
      </c>
      <c r="AX262" s="9"/>
      <c r="AY262" s="22">
        <v>1.1689799999999999</v>
      </c>
      <c r="AZ262" s="22">
        <v>74.363</v>
      </c>
      <c r="BA262" s="22">
        <v>-7.9162599999999996E-3</v>
      </c>
      <c r="BB262" s="22">
        <v>252</v>
      </c>
      <c r="BC262" s="22">
        <v>1.16852</v>
      </c>
      <c r="BD262">
        <f t="shared" si="46"/>
        <v>7.9162599999999994</v>
      </c>
      <c r="BE262">
        <f t="shared" si="47"/>
        <v>9.253949614799998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9.2653199999999991</v>
      </c>
      <c r="I263" s="22">
        <v>-1.28387E-2</v>
      </c>
      <c r="J263" s="22">
        <v>253</v>
      </c>
      <c r="K263" s="22">
        <v>0.52529899999999996</v>
      </c>
      <c r="L263">
        <f t="shared" si="36"/>
        <v>12.838699999999999</v>
      </c>
      <c r="M263">
        <f t="shared" si="37"/>
        <v>6.7527710390000006</v>
      </c>
      <c r="N263" s="9"/>
      <c r="O263" s="22">
        <v>1.17401</v>
      </c>
      <c r="P263" s="22">
        <v>48.740600000000001</v>
      </c>
      <c r="Q263" s="22">
        <v>-8.3984400000000001E-3</v>
      </c>
      <c r="R263" s="22">
        <v>253</v>
      </c>
      <c r="S263" s="22">
        <v>1.1731</v>
      </c>
      <c r="T263">
        <f t="shared" si="38"/>
        <v>8.3984400000000008</v>
      </c>
      <c r="U263">
        <f t="shared" si="39"/>
        <v>9.8598525444000007</v>
      </c>
      <c r="X263" s="9"/>
      <c r="Y263" s="22">
        <v>0.52597000000000005</v>
      </c>
      <c r="Z263" s="22">
        <v>56.552199999999999</v>
      </c>
      <c r="AA263" s="22">
        <v>-1.3058500000000001E-2</v>
      </c>
      <c r="AB263" s="22">
        <v>253</v>
      </c>
      <c r="AC263" s="22">
        <v>0.52529899999999996</v>
      </c>
      <c r="AD263">
        <f t="shared" si="40"/>
        <v>13.0585</v>
      </c>
      <c r="AE263">
        <f t="shared" si="41"/>
        <v>6.8683792450000007</v>
      </c>
      <c r="AF263" s="9"/>
      <c r="AG263" s="22">
        <v>1.17401</v>
      </c>
      <c r="AH263" s="22">
        <v>62.096800000000002</v>
      </c>
      <c r="AI263" s="22">
        <v>-8.0413800000000007E-3</v>
      </c>
      <c r="AJ263" s="22">
        <v>253</v>
      </c>
      <c r="AK263" s="22">
        <v>1.1734</v>
      </c>
      <c r="AL263">
        <f t="shared" si="42"/>
        <v>8.0413800000000002</v>
      </c>
      <c r="AM263">
        <f t="shared" si="43"/>
        <v>9.4406605338000009</v>
      </c>
      <c r="AP263" s="9"/>
      <c r="AQ263" s="22">
        <v>0.52597000000000005</v>
      </c>
      <c r="AR263" s="22">
        <v>69.096500000000006</v>
      </c>
      <c r="AS263" s="22">
        <v>-1.2777699999999999E-2</v>
      </c>
      <c r="AT263" s="22">
        <v>253</v>
      </c>
      <c r="AU263" s="22">
        <v>0.52520800000000001</v>
      </c>
      <c r="AV263">
        <f t="shared" si="44"/>
        <v>12.777699999999999</v>
      </c>
      <c r="AW263">
        <f t="shared" si="45"/>
        <v>6.7206868690000006</v>
      </c>
      <c r="AX263" s="9"/>
      <c r="AY263" s="22">
        <v>1.17401</v>
      </c>
      <c r="AZ263" s="22">
        <v>74.373099999999994</v>
      </c>
      <c r="BA263" s="22">
        <v>-7.8765899999999993E-3</v>
      </c>
      <c r="BB263" s="22">
        <v>253</v>
      </c>
      <c r="BC263" s="22">
        <v>1.1734</v>
      </c>
      <c r="BD263">
        <f t="shared" si="46"/>
        <v>7.8765899999999993</v>
      </c>
      <c r="BE263">
        <f t="shared" si="47"/>
        <v>9.2471954258999993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9.2753899999999998</v>
      </c>
      <c r="I264" s="22">
        <v>-1.28693E-2</v>
      </c>
      <c r="J264" s="22">
        <v>254</v>
      </c>
      <c r="K264" s="22">
        <v>0.52026399999999995</v>
      </c>
      <c r="L264">
        <f t="shared" si="36"/>
        <v>12.869300000000001</v>
      </c>
      <c r="M264">
        <f t="shared" si="37"/>
        <v>6.7040687955000013</v>
      </c>
      <c r="N264" s="9"/>
      <c r="O264" s="22">
        <v>1.1790499999999999</v>
      </c>
      <c r="P264" s="22">
        <v>48.750599999999999</v>
      </c>
      <c r="Q264" s="22">
        <v>-8.3557100000000006E-3</v>
      </c>
      <c r="R264" s="22">
        <v>254</v>
      </c>
      <c r="S264" s="22">
        <v>1.17737</v>
      </c>
      <c r="T264">
        <f t="shared" si="38"/>
        <v>8.3557100000000002</v>
      </c>
      <c r="U264">
        <f t="shared" si="39"/>
        <v>9.8517998754999994</v>
      </c>
      <c r="X264" s="9"/>
      <c r="Y264" s="22">
        <v>0.52093500000000004</v>
      </c>
      <c r="Z264" s="22">
        <v>56.5623</v>
      </c>
      <c r="AA264" s="22">
        <v>-1.3091999999999999E-2</v>
      </c>
      <c r="AB264" s="22">
        <v>254</v>
      </c>
      <c r="AC264" s="22">
        <v>0.52029400000000003</v>
      </c>
      <c r="AD264">
        <f t="shared" si="40"/>
        <v>13.091999999999999</v>
      </c>
      <c r="AE264">
        <f t="shared" si="41"/>
        <v>6.8200810199999999</v>
      </c>
      <c r="AF264" s="9"/>
      <c r="AG264" s="22">
        <v>1.1790499999999999</v>
      </c>
      <c r="AH264" s="22">
        <v>62.106900000000003</v>
      </c>
      <c r="AI264" s="22">
        <v>-8.0017100000000004E-3</v>
      </c>
      <c r="AJ264" s="22">
        <v>254</v>
      </c>
      <c r="AK264" s="22">
        <v>1.17828</v>
      </c>
      <c r="AL264">
        <f t="shared" si="42"/>
        <v>8.001710000000001</v>
      </c>
      <c r="AM264">
        <f t="shared" si="43"/>
        <v>9.4344161755000009</v>
      </c>
      <c r="AP264" s="9"/>
      <c r="AQ264" s="22">
        <v>0.52093500000000004</v>
      </c>
      <c r="AR264" s="22">
        <v>69.106499999999997</v>
      </c>
      <c r="AS264" s="22">
        <v>-1.28021E-2</v>
      </c>
      <c r="AT264" s="22">
        <v>254</v>
      </c>
      <c r="AU264" s="22">
        <v>0.52029400000000003</v>
      </c>
      <c r="AV264">
        <f t="shared" si="44"/>
        <v>12.802100000000001</v>
      </c>
      <c r="AW264">
        <f t="shared" si="45"/>
        <v>6.6690619635000008</v>
      </c>
      <c r="AX264" s="9"/>
      <c r="AY264" s="22">
        <v>1.1790499999999999</v>
      </c>
      <c r="AZ264" s="22">
        <v>74.383099999999999</v>
      </c>
      <c r="BA264" s="22">
        <v>-7.8369100000000008E-3</v>
      </c>
      <c r="BB264" s="22">
        <v>254</v>
      </c>
      <c r="BC264" s="22">
        <v>1.17828</v>
      </c>
      <c r="BD264">
        <f t="shared" si="46"/>
        <v>7.8369100000000005</v>
      </c>
      <c r="BE264">
        <f t="shared" si="47"/>
        <v>9.2401087354999998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9.2854600000000005</v>
      </c>
      <c r="I265" s="22">
        <v>-1.2902800000000001E-2</v>
      </c>
      <c r="J265" s="22">
        <v>255</v>
      </c>
      <c r="K265" s="22">
        <v>0.51522800000000002</v>
      </c>
      <c r="L265">
        <f t="shared" si="36"/>
        <v>12.902800000000001</v>
      </c>
      <c r="M265">
        <f t="shared" si="37"/>
        <v>6.6565545200000011</v>
      </c>
      <c r="N265" s="9"/>
      <c r="O265" s="22">
        <v>1.18408</v>
      </c>
      <c r="P265" s="22">
        <v>48.7607</v>
      </c>
      <c r="Q265" s="22">
        <v>-8.3160400000000002E-3</v>
      </c>
      <c r="R265" s="22">
        <v>255</v>
      </c>
      <c r="S265" s="22">
        <v>1.18286</v>
      </c>
      <c r="T265">
        <f t="shared" si="38"/>
        <v>8.316040000000001</v>
      </c>
      <c r="U265">
        <f t="shared" si="39"/>
        <v>9.8468566432000006</v>
      </c>
      <c r="X265" s="9"/>
      <c r="Y265" s="22">
        <v>0.51590000000000003</v>
      </c>
      <c r="Z265" s="22">
        <v>56.572299999999998</v>
      </c>
      <c r="AA265" s="22">
        <v>-1.3125599999999999E-2</v>
      </c>
      <c r="AB265" s="22">
        <v>255</v>
      </c>
      <c r="AC265" s="22">
        <v>0.51516700000000004</v>
      </c>
      <c r="AD265">
        <f t="shared" si="40"/>
        <v>13.125599999999999</v>
      </c>
      <c r="AE265">
        <f t="shared" si="41"/>
        <v>6.7714970399999999</v>
      </c>
      <c r="AF265" s="9"/>
      <c r="AG265" s="22">
        <v>1.18408</v>
      </c>
      <c r="AH265" s="22">
        <v>62.116999999999997</v>
      </c>
      <c r="AI265" s="22">
        <v>-7.9620400000000001E-3</v>
      </c>
      <c r="AJ265" s="22">
        <v>255</v>
      </c>
      <c r="AK265" s="22">
        <v>1.1837800000000001</v>
      </c>
      <c r="AL265">
        <f t="shared" si="42"/>
        <v>7.96204</v>
      </c>
      <c r="AM265">
        <f t="shared" si="43"/>
        <v>9.4276923232000005</v>
      </c>
      <c r="AP265" s="9"/>
      <c r="AQ265" s="22">
        <v>0.51590000000000003</v>
      </c>
      <c r="AR265" s="22">
        <v>69.116600000000005</v>
      </c>
      <c r="AS265" s="22">
        <v>-1.28296E-2</v>
      </c>
      <c r="AT265" s="22">
        <v>255</v>
      </c>
      <c r="AU265" s="22">
        <v>0.51519800000000004</v>
      </c>
      <c r="AV265">
        <f t="shared" si="44"/>
        <v>12.829599999999999</v>
      </c>
      <c r="AW265">
        <f t="shared" si="45"/>
        <v>6.6187906400000003</v>
      </c>
      <c r="AX265" s="9"/>
      <c r="AY265" s="22">
        <v>1.18408</v>
      </c>
      <c r="AZ265" s="22">
        <v>74.393199999999993</v>
      </c>
      <c r="BA265" s="22">
        <v>-7.7941900000000003E-3</v>
      </c>
      <c r="BB265" s="22">
        <v>255</v>
      </c>
      <c r="BC265" s="22">
        <v>1.1831700000000001</v>
      </c>
      <c r="BD265">
        <f t="shared" si="46"/>
        <v>7.7941900000000004</v>
      </c>
      <c r="BE265">
        <f t="shared" si="47"/>
        <v>9.2289444952000004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9.2955299999999994</v>
      </c>
      <c r="I266" s="22">
        <v>-1.29303E-2</v>
      </c>
      <c r="J266" s="22">
        <v>256</v>
      </c>
      <c r="K266" s="22">
        <v>0.510162</v>
      </c>
      <c r="L266">
        <f t="shared" si="36"/>
        <v>12.930300000000001</v>
      </c>
      <c r="M266">
        <f t="shared" si="37"/>
        <v>6.6056247792000002</v>
      </c>
      <c r="N266" s="9"/>
      <c r="O266" s="22">
        <v>1.18912</v>
      </c>
      <c r="P266" s="22">
        <v>48.770800000000001</v>
      </c>
      <c r="Q266" s="22">
        <v>-8.2733200000000007E-3</v>
      </c>
      <c r="R266" s="22">
        <v>256</v>
      </c>
      <c r="S266" s="22">
        <v>1.18774</v>
      </c>
      <c r="T266">
        <f t="shared" si="38"/>
        <v>8.27332</v>
      </c>
      <c r="U266">
        <f t="shared" si="39"/>
        <v>9.8379702784000003</v>
      </c>
      <c r="X266" s="9"/>
      <c r="Y266" s="22">
        <v>0.51086399999999998</v>
      </c>
      <c r="Z266" s="22">
        <v>56.5824</v>
      </c>
      <c r="AA266" s="22">
        <v>-1.3153099999999999E-2</v>
      </c>
      <c r="AB266" s="22">
        <v>256</v>
      </c>
      <c r="AC266" s="22">
        <v>0.510162</v>
      </c>
      <c r="AD266">
        <f t="shared" si="40"/>
        <v>13.153099999999998</v>
      </c>
      <c r="AE266">
        <f t="shared" si="41"/>
        <v>6.7194452783999994</v>
      </c>
      <c r="AF266" s="9"/>
      <c r="AG266" s="22">
        <v>1.18912</v>
      </c>
      <c r="AH266" s="22">
        <v>62.127000000000002</v>
      </c>
      <c r="AI266" s="22">
        <v>-7.9254200000000007E-3</v>
      </c>
      <c r="AJ266" s="22">
        <v>256</v>
      </c>
      <c r="AK266" s="22">
        <v>1.18835</v>
      </c>
      <c r="AL266">
        <f t="shared" si="42"/>
        <v>7.9254200000000008</v>
      </c>
      <c r="AM266">
        <f t="shared" si="43"/>
        <v>9.4242754303999998</v>
      </c>
      <c r="AP266" s="9"/>
      <c r="AQ266" s="22">
        <v>0.51086399999999998</v>
      </c>
      <c r="AR266" s="22">
        <v>69.1267</v>
      </c>
      <c r="AS266" s="22">
        <v>-1.2854000000000001E-2</v>
      </c>
      <c r="AT266" s="22">
        <v>256</v>
      </c>
      <c r="AU266" s="22">
        <v>0.51019300000000001</v>
      </c>
      <c r="AV266">
        <f t="shared" si="44"/>
        <v>12.854000000000001</v>
      </c>
      <c r="AW266">
        <f t="shared" si="45"/>
        <v>6.5666458560000001</v>
      </c>
      <c r="AX266" s="9"/>
      <c r="AY266" s="22">
        <v>1.18912</v>
      </c>
      <c r="AZ266" s="22">
        <v>74.403300000000002</v>
      </c>
      <c r="BA266" s="22">
        <v>-7.7575700000000001E-3</v>
      </c>
      <c r="BB266" s="22">
        <v>256</v>
      </c>
      <c r="BC266" s="22">
        <v>1.18866</v>
      </c>
      <c r="BD266">
        <f t="shared" si="46"/>
        <v>7.7575700000000003</v>
      </c>
      <c r="BE266">
        <f t="shared" si="47"/>
        <v>9.2246816383999999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9.3056000000000001</v>
      </c>
      <c r="I267" s="22">
        <v>-1.29547E-2</v>
      </c>
      <c r="J267" s="22">
        <v>257</v>
      </c>
      <c r="K267" s="22">
        <v>0.50512699999999999</v>
      </c>
      <c r="L267">
        <f t="shared" si="36"/>
        <v>12.954699999999999</v>
      </c>
      <c r="M267">
        <f t="shared" si="37"/>
        <v>6.5528629462999994</v>
      </c>
      <c r="N267" s="9"/>
      <c r="O267" s="22">
        <v>1.19415</v>
      </c>
      <c r="P267" s="22">
        <v>48.780799999999999</v>
      </c>
      <c r="Q267" s="22">
        <v>-8.2305899999999994E-3</v>
      </c>
      <c r="R267" s="22">
        <v>257</v>
      </c>
      <c r="S267" s="22">
        <v>1.1938500000000001</v>
      </c>
      <c r="T267">
        <f t="shared" si="38"/>
        <v>8.2305899999999994</v>
      </c>
      <c r="U267">
        <f t="shared" si="39"/>
        <v>9.828559048499999</v>
      </c>
      <c r="X267" s="9"/>
      <c r="Y267" s="22">
        <v>0.50582899999999997</v>
      </c>
      <c r="Z267" s="22">
        <v>56.592500000000001</v>
      </c>
      <c r="AA267" s="22">
        <v>-1.31836E-2</v>
      </c>
      <c r="AB267" s="22">
        <v>257</v>
      </c>
      <c r="AC267" s="22">
        <v>0.50512699999999999</v>
      </c>
      <c r="AD267">
        <f t="shared" si="40"/>
        <v>13.1836</v>
      </c>
      <c r="AE267">
        <f t="shared" si="41"/>
        <v>6.6686472044</v>
      </c>
      <c r="AF267" s="9"/>
      <c r="AG267" s="22">
        <v>1.19415</v>
      </c>
      <c r="AH267" s="22">
        <v>62.137099999999997</v>
      </c>
      <c r="AI267" s="22">
        <v>-7.8887899999999997E-3</v>
      </c>
      <c r="AJ267" s="22">
        <v>257</v>
      </c>
      <c r="AK267" s="22">
        <v>1.19293</v>
      </c>
      <c r="AL267">
        <f t="shared" si="42"/>
        <v>7.8887899999999993</v>
      </c>
      <c r="AM267">
        <f t="shared" si="43"/>
        <v>9.4203985785000004</v>
      </c>
      <c r="AP267" s="9"/>
      <c r="AQ267" s="22">
        <v>0.50582899999999997</v>
      </c>
      <c r="AR267" s="22">
        <v>69.136700000000005</v>
      </c>
      <c r="AS267" s="22">
        <v>-1.28784E-2</v>
      </c>
      <c r="AT267" s="22">
        <v>257</v>
      </c>
      <c r="AU267" s="22">
        <v>0.50515699999999997</v>
      </c>
      <c r="AV267">
        <f t="shared" si="44"/>
        <v>12.878399999999999</v>
      </c>
      <c r="AW267">
        <f t="shared" si="45"/>
        <v>6.5142681935999995</v>
      </c>
      <c r="AX267" s="9"/>
      <c r="AY267" s="22">
        <v>1.19415</v>
      </c>
      <c r="AZ267" s="22">
        <v>74.413399999999996</v>
      </c>
      <c r="BA267" s="22">
        <v>-7.7209499999999999E-3</v>
      </c>
      <c r="BB267" s="22">
        <v>257</v>
      </c>
      <c r="BC267" s="22">
        <v>1.19293</v>
      </c>
      <c r="BD267">
        <f t="shared" si="46"/>
        <v>7.7209500000000002</v>
      </c>
      <c r="BE267">
        <f t="shared" si="47"/>
        <v>9.2199724425000014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9.3156700000000008</v>
      </c>
      <c r="I268" s="22">
        <v>-1.2973E-2</v>
      </c>
      <c r="J268" s="22">
        <v>258</v>
      </c>
      <c r="K268" s="22">
        <v>0.50012199999999996</v>
      </c>
      <c r="L268">
        <f t="shared" ref="L268:L331" si="48">-I268/$F$2*1000</f>
        <v>12.973000000000001</v>
      </c>
      <c r="M268">
        <f t="shared" ref="M268:M331" si="49">L268*G268</f>
        <v>6.4967875890000011</v>
      </c>
      <c r="N268" s="9"/>
      <c r="O268" s="22">
        <v>1.19919</v>
      </c>
      <c r="P268" s="22">
        <v>48.790900000000001</v>
      </c>
      <c r="Q268" s="22">
        <v>-8.1909200000000008E-3</v>
      </c>
      <c r="R268" s="22">
        <v>258</v>
      </c>
      <c r="S268" s="22">
        <v>1.1984300000000001</v>
      </c>
      <c r="T268">
        <f t="shared" ref="T268:T331" si="50">-Q268/$F$2*1000</f>
        <v>8.1909200000000002</v>
      </c>
      <c r="U268">
        <f t="shared" ref="U268:U331" si="51">T268*O268</f>
        <v>9.8224693548000008</v>
      </c>
      <c r="X268" s="9"/>
      <c r="Y268" s="22">
        <v>0.50079300000000004</v>
      </c>
      <c r="Z268" s="22">
        <v>56.602600000000002</v>
      </c>
      <c r="AA268" s="22">
        <v>-1.3205E-2</v>
      </c>
      <c r="AB268" s="22">
        <v>258</v>
      </c>
      <c r="AC268" s="22">
        <v>0.50009199999999998</v>
      </c>
      <c r="AD268">
        <f t="shared" ref="AD268:AD331" si="52">-AA268/$F$2*1000</f>
        <v>13.205</v>
      </c>
      <c r="AE268">
        <f t="shared" ref="AE268:AE331" si="53">AD268*Y268</f>
        <v>6.6129715650000005</v>
      </c>
      <c r="AF268" s="9"/>
      <c r="AG268" s="22">
        <v>1.19919</v>
      </c>
      <c r="AH268" s="22">
        <v>62.147199999999998</v>
      </c>
      <c r="AI268" s="22">
        <v>-7.8491199999999994E-3</v>
      </c>
      <c r="AJ268" s="22">
        <v>258</v>
      </c>
      <c r="AK268" s="22">
        <v>1.1981200000000001</v>
      </c>
      <c r="AL268">
        <f t="shared" ref="AL268:AL331" si="54">-AI268/$F$2*1000</f>
        <v>7.8491199999999992</v>
      </c>
      <c r="AM268">
        <f t="shared" ref="AM268:AM331" si="55">AL268*AG268</f>
        <v>9.4125862127999991</v>
      </c>
      <c r="AP268" s="9"/>
      <c r="AQ268" s="22">
        <v>0.50079300000000004</v>
      </c>
      <c r="AR268" s="22">
        <v>69.146799999999999</v>
      </c>
      <c r="AS268" s="22">
        <v>-1.2902800000000001E-2</v>
      </c>
      <c r="AT268" s="22">
        <v>258</v>
      </c>
      <c r="AU268" s="22">
        <v>0.50015299999999996</v>
      </c>
      <c r="AV268">
        <f t="shared" ref="AV268:AV331" si="56">-AS268/$F$2*1000</f>
        <v>12.902800000000001</v>
      </c>
      <c r="AW268">
        <f t="shared" ref="AW268:AW331" si="57">AV268*AQ268</f>
        <v>6.4616319204000012</v>
      </c>
      <c r="AX268" s="9"/>
      <c r="AY268" s="22">
        <v>1.19919</v>
      </c>
      <c r="AZ268" s="22">
        <v>74.423400000000001</v>
      </c>
      <c r="BA268" s="22">
        <v>-7.6812699999999996E-3</v>
      </c>
      <c r="BB268" s="22">
        <v>258</v>
      </c>
      <c r="BC268" s="22">
        <v>1.1984300000000001</v>
      </c>
      <c r="BD268">
        <f t="shared" ref="BD268:BD331" si="58">-BA268/$F$2*1000</f>
        <v>7.6812699999999996</v>
      </c>
      <c r="BE268">
        <f t="shared" ref="BE268:BE331" si="59">BD268*AY268</f>
        <v>9.2113021712999998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9.3257399999999997</v>
      </c>
      <c r="I269" s="22">
        <v>-1.2991300000000001E-2</v>
      </c>
      <c r="J269" s="22">
        <v>259</v>
      </c>
      <c r="K269" s="22">
        <v>0.495087</v>
      </c>
      <c r="L269">
        <f t="shared" si="48"/>
        <v>12.991300000000001</v>
      </c>
      <c r="M269">
        <f t="shared" si="49"/>
        <v>6.4405409053999998</v>
      </c>
      <c r="N269" s="9"/>
      <c r="O269" s="22">
        <v>1.2042200000000001</v>
      </c>
      <c r="P269" s="22">
        <v>48.801000000000002</v>
      </c>
      <c r="Q269" s="22">
        <v>-8.1512500000000005E-3</v>
      </c>
      <c r="R269" s="22">
        <v>259</v>
      </c>
      <c r="S269" s="22">
        <v>1.2033100000000001</v>
      </c>
      <c r="T269">
        <f t="shared" si="50"/>
        <v>8.151250000000001</v>
      </c>
      <c r="U269">
        <f t="shared" si="51"/>
        <v>9.8158982750000021</v>
      </c>
      <c r="X269" s="9"/>
      <c r="Y269" s="22">
        <v>0.49575799999999998</v>
      </c>
      <c r="Z269" s="22">
        <v>56.6126</v>
      </c>
      <c r="AA269" s="22">
        <v>-1.32233E-2</v>
      </c>
      <c r="AB269" s="22">
        <v>259</v>
      </c>
      <c r="AC269" s="22">
        <v>0.495087</v>
      </c>
      <c r="AD269">
        <f t="shared" si="52"/>
        <v>13.2233</v>
      </c>
      <c r="AE269">
        <f t="shared" si="53"/>
        <v>6.5555567614000001</v>
      </c>
      <c r="AF269" s="9"/>
      <c r="AG269" s="22">
        <v>1.2042200000000001</v>
      </c>
      <c r="AH269" s="22">
        <v>62.157299999999999</v>
      </c>
      <c r="AI269" s="22">
        <v>-7.8094499999999999E-3</v>
      </c>
      <c r="AJ269" s="22">
        <v>259</v>
      </c>
      <c r="AK269" s="22">
        <v>1.2030000000000001</v>
      </c>
      <c r="AL269">
        <f t="shared" si="54"/>
        <v>7.80945</v>
      </c>
      <c r="AM269">
        <f t="shared" si="55"/>
        <v>9.4042958790000011</v>
      </c>
      <c r="AP269" s="9"/>
      <c r="AQ269" s="22">
        <v>0.49575799999999998</v>
      </c>
      <c r="AR269" s="22">
        <v>69.156899999999993</v>
      </c>
      <c r="AS269" s="22">
        <v>-1.29272E-2</v>
      </c>
      <c r="AT269" s="22">
        <v>259</v>
      </c>
      <c r="AU269" s="22">
        <v>0.49514799999999998</v>
      </c>
      <c r="AV269">
        <f t="shared" si="56"/>
        <v>12.927199999999999</v>
      </c>
      <c r="AW269">
        <f t="shared" si="57"/>
        <v>6.4087628175999996</v>
      </c>
      <c r="AX269" s="9"/>
      <c r="AY269" s="22">
        <v>1.2042200000000001</v>
      </c>
      <c r="AZ269" s="22">
        <v>74.433499999999995</v>
      </c>
      <c r="BA269" s="22">
        <v>-7.63855E-3</v>
      </c>
      <c r="BB269" s="22">
        <v>259</v>
      </c>
      <c r="BC269" s="22">
        <v>1.2033100000000001</v>
      </c>
      <c r="BD269">
        <f t="shared" si="58"/>
        <v>7.6385500000000004</v>
      </c>
      <c r="BE269">
        <f t="shared" si="59"/>
        <v>9.1984946810000014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9.3358100000000004</v>
      </c>
      <c r="I270" s="22">
        <v>-1.3018800000000001E-2</v>
      </c>
      <c r="J270" s="22">
        <v>260</v>
      </c>
      <c r="K270" s="22">
        <v>0.49008200000000002</v>
      </c>
      <c r="L270">
        <f t="shared" si="48"/>
        <v>13.018800000000001</v>
      </c>
      <c r="M270">
        <f t="shared" si="49"/>
        <v>6.3886245924000002</v>
      </c>
      <c r="N270" s="9"/>
      <c r="O270" s="22">
        <v>1.20926</v>
      </c>
      <c r="P270" s="22">
        <v>48.811100000000003</v>
      </c>
      <c r="Q270" s="22">
        <v>-8.1085199999999993E-3</v>
      </c>
      <c r="R270" s="22">
        <v>260</v>
      </c>
      <c r="S270" s="22">
        <v>1.2081900000000001</v>
      </c>
      <c r="T270">
        <f t="shared" si="50"/>
        <v>8.1085199999999986</v>
      </c>
      <c r="U270">
        <f t="shared" si="51"/>
        <v>9.8053088951999978</v>
      </c>
      <c r="X270" s="9"/>
      <c r="Y270" s="22">
        <v>0.49072300000000002</v>
      </c>
      <c r="Z270" s="22">
        <v>56.622700000000002</v>
      </c>
      <c r="AA270" s="22">
        <v>-1.32446E-2</v>
      </c>
      <c r="AB270" s="22">
        <v>260</v>
      </c>
      <c r="AC270" s="22">
        <v>0.49002099999999998</v>
      </c>
      <c r="AD270">
        <f t="shared" si="52"/>
        <v>13.2446</v>
      </c>
      <c r="AE270">
        <f t="shared" si="53"/>
        <v>6.4994298457999999</v>
      </c>
      <c r="AF270" s="9"/>
      <c r="AG270" s="22">
        <v>1.20926</v>
      </c>
      <c r="AH270" s="22">
        <v>62.167299999999997</v>
      </c>
      <c r="AI270" s="22">
        <v>-7.7667200000000004E-3</v>
      </c>
      <c r="AJ270" s="22">
        <v>260</v>
      </c>
      <c r="AK270" s="22">
        <v>1.2084999999999999</v>
      </c>
      <c r="AL270">
        <f t="shared" si="54"/>
        <v>7.7667200000000003</v>
      </c>
      <c r="AM270">
        <f t="shared" si="55"/>
        <v>9.3919838272000007</v>
      </c>
      <c r="AP270" s="9"/>
      <c r="AQ270" s="22">
        <v>0.49072300000000002</v>
      </c>
      <c r="AR270" s="22">
        <v>69.166899999999998</v>
      </c>
      <c r="AS270" s="22">
        <v>-1.29608E-2</v>
      </c>
      <c r="AT270" s="22">
        <v>260</v>
      </c>
      <c r="AU270" s="22">
        <v>0.49011199999999999</v>
      </c>
      <c r="AV270">
        <f t="shared" si="56"/>
        <v>12.960799999999999</v>
      </c>
      <c r="AW270">
        <f t="shared" si="57"/>
        <v>6.3601626584000002</v>
      </c>
      <c r="AX270" s="9"/>
      <c r="AY270" s="22">
        <v>1.20926</v>
      </c>
      <c r="AZ270" s="22">
        <v>74.443600000000004</v>
      </c>
      <c r="BA270" s="22">
        <v>-7.5988799999999997E-3</v>
      </c>
      <c r="BB270" s="22">
        <v>260</v>
      </c>
      <c r="BC270" s="22">
        <v>1.2084999999999999</v>
      </c>
      <c r="BD270">
        <f t="shared" si="58"/>
        <v>7.5988799999999994</v>
      </c>
      <c r="BE270">
        <f t="shared" si="59"/>
        <v>9.1890216287999991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9.3458799999999993</v>
      </c>
      <c r="I271" s="22">
        <v>-1.30463E-2</v>
      </c>
      <c r="J271" s="22">
        <v>261</v>
      </c>
      <c r="K271" s="22">
        <v>0.48504599999999998</v>
      </c>
      <c r="L271">
        <f t="shared" si="48"/>
        <v>13.0463</v>
      </c>
      <c r="M271">
        <f t="shared" si="49"/>
        <v>6.3364183080999998</v>
      </c>
      <c r="N271" s="9"/>
      <c r="O271" s="22">
        <v>1.2142900000000001</v>
      </c>
      <c r="P271" s="22">
        <v>48.821100000000001</v>
      </c>
      <c r="Q271" s="22">
        <v>-8.0688500000000007E-3</v>
      </c>
      <c r="R271" s="22">
        <v>261</v>
      </c>
      <c r="S271" s="22">
        <v>1.2139899999999999</v>
      </c>
      <c r="T271">
        <f t="shared" si="50"/>
        <v>8.0688500000000012</v>
      </c>
      <c r="U271">
        <f t="shared" si="51"/>
        <v>9.7979238665000015</v>
      </c>
      <c r="X271" s="9"/>
      <c r="Y271" s="22">
        <v>0.48568699999999998</v>
      </c>
      <c r="Z271" s="22">
        <v>56.632800000000003</v>
      </c>
      <c r="AA271" s="22">
        <v>-1.3269E-2</v>
      </c>
      <c r="AB271" s="22">
        <v>261</v>
      </c>
      <c r="AC271" s="22">
        <v>0.485016</v>
      </c>
      <c r="AD271">
        <f t="shared" si="52"/>
        <v>13.269</v>
      </c>
      <c r="AE271">
        <f t="shared" si="53"/>
        <v>6.444580803</v>
      </c>
      <c r="AF271" s="9"/>
      <c r="AG271" s="22">
        <v>1.2142900000000001</v>
      </c>
      <c r="AH271" s="22">
        <v>62.177399999999999</v>
      </c>
      <c r="AI271" s="22">
        <v>-7.7270500000000001E-3</v>
      </c>
      <c r="AJ271" s="22">
        <v>261</v>
      </c>
      <c r="AK271" s="22">
        <v>1.2136800000000001</v>
      </c>
      <c r="AL271">
        <f t="shared" si="54"/>
        <v>7.7270500000000002</v>
      </c>
      <c r="AM271">
        <f t="shared" si="55"/>
        <v>9.3828795445000015</v>
      </c>
      <c r="AP271" s="9"/>
      <c r="AQ271" s="22">
        <v>0.48568699999999998</v>
      </c>
      <c r="AR271" s="22">
        <v>69.177000000000007</v>
      </c>
      <c r="AS271" s="22">
        <v>-1.29944E-2</v>
      </c>
      <c r="AT271" s="22">
        <v>261</v>
      </c>
      <c r="AU271" s="22">
        <v>0.48510700000000001</v>
      </c>
      <c r="AV271">
        <f t="shared" si="56"/>
        <v>12.994399999999999</v>
      </c>
      <c r="AW271">
        <f t="shared" si="57"/>
        <v>6.3112111527999994</v>
      </c>
      <c r="AX271" s="9"/>
      <c r="AY271" s="22">
        <v>1.2142900000000001</v>
      </c>
      <c r="AZ271" s="22">
        <v>74.453599999999994</v>
      </c>
      <c r="BA271" s="22">
        <v>-7.5592000000000003E-3</v>
      </c>
      <c r="BB271" s="22">
        <v>261</v>
      </c>
      <c r="BC271" s="22">
        <v>1.2130700000000001</v>
      </c>
      <c r="BD271">
        <f t="shared" si="58"/>
        <v>7.5592000000000006</v>
      </c>
      <c r="BE271">
        <f t="shared" si="59"/>
        <v>9.1790609680000017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9.35595</v>
      </c>
      <c r="I272" s="22">
        <v>-1.30768E-2</v>
      </c>
      <c r="J272" s="22">
        <v>262</v>
      </c>
      <c r="K272" s="22">
        <v>0.48004200000000002</v>
      </c>
      <c r="L272">
        <f t="shared" si="48"/>
        <v>13.076799999999999</v>
      </c>
      <c r="M272">
        <f t="shared" si="49"/>
        <v>6.2853900735999995</v>
      </c>
      <c r="N272" s="9"/>
      <c r="O272" s="22">
        <v>1.21933</v>
      </c>
      <c r="P272" s="22">
        <v>48.831200000000003</v>
      </c>
      <c r="Q272" s="22">
        <v>-8.0291700000000004E-3</v>
      </c>
      <c r="R272" s="22">
        <v>262</v>
      </c>
      <c r="S272" s="22">
        <v>1.2179599999999999</v>
      </c>
      <c r="T272">
        <f t="shared" si="50"/>
        <v>8.0291700000000006</v>
      </c>
      <c r="U272">
        <f t="shared" si="51"/>
        <v>9.7902078561000003</v>
      </c>
      <c r="X272" s="9"/>
      <c r="Y272" s="22">
        <v>0.48065200000000002</v>
      </c>
      <c r="Z272" s="22">
        <v>56.642800000000001</v>
      </c>
      <c r="AA272" s="22">
        <v>-1.32996E-2</v>
      </c>
      <c r="AB272" s="22">
        <v>262</v>
      </c>
      <c r="AC272" s="22">
        <v>0.47998000000000002</v>
      </c>
      <c r="AD272">
        <f t="shared" si="52"/>
        <v>13.2996</v>
      </c>
      <c r="AE272">
        <f t="shared" si="53"/>
        <v>6.3924793392000003</v>
      </c>
      <c r="AF272" s="9"/>
      <c r="AG272" s="22">
        <v>1.21933</v>
      </c>
      <c r="AH272" s="22">
        <v>62.1875</v>
      </c>
      <c r="AI272" s="22">
        <v>-7.6843299999999996E-3</v>
      </c>
      <c r="AJ272" s="22">
        <v>262</v>
      </c>
      <c r="AK272" s="22">
        <v>1.2188699999999999</v>
      </c>
      <c r="AL272">
        <f t="shared" si="54"/>
        <v>7.6843299999999992</v>
      </c>
      <c r="AM272">
        <f t="shared" si="55"/>
        <v>9.3697340988999986</v>
      </c>
      <c r="AP272" s="9"/>
      <c r="AQ272" s="22">
        <v>0.48065200000000002</v>
      </c>
      <c r="AR272" s="22">
        <v>69.187100000000001</v>
      </c>
      <c r="AS272" s="22">
        <v>-1.3024900000000001E-2</v>
      </c>
      <c r="AT272" s="22">
        <v>262</v>
      </c>
      <c r="AU272" s="22">
        <v>0.48001100000000002</v>
      </c>
      <c r="AV272">
        <f t="shared" si="56"/>
        <v>13.024900000000001</v>
      </c>
      <c r="AW272">
        <f t="shared" si="57"/>
        <v>6.2604442348000005</v>
      </c>
      <c r="AX272" s="9"/>
      <c r="AY272" s="22">
        <v>1.21933</v>
      </c>
      <c r="AZ272" s="22">
        <v>74.463700000000003</v>
      </c>
      <c r="BA272" s="22">
        <v>-7.51953E-3</v>
      </c>
      <c r="BB272" s="22">
        <v>262</v>
      </c>
      <c r="BC272" s="22">
        <v>1.2185699999999999</v>
      </c>
      <c r="BD272">
        <f t="shared" si="58"/>
        <v>7.5195299999999996</v>
      </c>
      <c r="BE272">
        <f t="shared" si="59"/>
        <v>9.1687885148999992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9.3660300000000003</v>
      </c>
      <c r="I273" s="22">
        <v>-1.3110399999999999E-2</v>
      </c>
      <c r="J273" s="22">
        <v>263</v>
      </c>
      <c r="K273" s="22">
        <v>0.47500599999999998</v>
      </c>
      <c r="L273">
        <f t="shared" si="48"/>
        <v>13.1104</v>
      </c>
      <c r="M273">
        <f t="shared" si="49"/>
        <v>6.2355160064000001</v>
      </c>
      <c r="N273" s="9"/>
      <c r="O273" s="22">
        <v>1.22437</v>
      </c>
      <c r="P273" s="22">
        <v>48.841299999999997</v>
      </c>
      <c r="Q273" s="22">
        <v>-7.9864500000000008E-3</v>
      </c>
      <c r="R273" s="22">
        <v>263</v>
      </c>
      <c r="S273" s="22">
        <v>1.2237499999999999</v>
      </c>
      <c r="T273">
        <f t="shared" si="50"/>
        <v>7.9864500000000005</v>
      </c>
      <c r="U273">
        <f t="shared" si="51"/>
        <v>9.7783697865000008</v>
      </c>
      <c r="X273" s="9"/>
      <c r="Y273" s="22">
        <v>0.47561599999999998</v>
      </c>
      <c r="Z273" s="22">
        <v>56.652900000000002</v>
      </c>
      <c r="AA273" s="22">
        <v>-1.3324000000000001E-2</v>
      </c>
      <c r="AB273" s="22">
        <v>263</v>
      </c>
      <c r="AC273" s="22">
        <v>0.47497600000000001</v>
      </c>
      <c r="AD273">
        <f t="shared" si="52"/>
        <v>13.324000000000002</v>
      </c>
      <c r="AE273">
        <f t="shared" si="53"/>
        <v>6.3371075840000008</v>
      </c>
      <c r="AF273" s="9"/>
      <c r="AG273" s="22">
        <v>1.22437</v>
      </c>
      <c r="AH273" s="22">
        <v>62.197499999999998</v>
      </c>
      <c r="AI273" s="22">
        <v>-7.6446500000000002E-3</v>
      </c>
      <c r="AJ273" s="22">
        <v>263</v>
      </c>
      <c r="AK273" s="22">
        <v>1.2237499999999999</v>
      </c>
      <c r="AL273">
        <f t="shared" si="54"/>
        <v>7.6446500000000004</v>
      </c>
      <c r="AM273">
        <f t="shared" si="55"/>
        <v>9.3598801204999997</v>
      </c>
      <c r="AP273" s="9"/>
      <c r="AQ273" s="22">
        <v>0.47561599999999998</v>
      </c>
      <c r="AR273" s="22">
        <v>69.197199999999995</v>
      </c>
      <c r="AS273" s="22">
        <v>-1.30493E-2</v>
      </c>
      <c r="AT273" s="22">
        <v>263</v>
      </c>
      <c r="AU273" s="22">
        <v>0.47494500000000001</v>
      </c>
      <c r="AV273">
        <f t="shared" si="56"/>
        <v>13.049300000000001</v>
      </c>
      <c r="AW273">
        <f t="shared" si="57"/>
        <v>6.2064558688</v>
      </c>
      <c r="AX273" s="9"/>
      <c r="AY273" s="22">
        <v>1.22437</v>
      </c>
      <c r="AZ273" s="22">
        <v>74.473799999999997</v>
      </c>
      <c r="BA273" s="22">
        <v>-7.4798599999999996E-3</v>
      </c>
      <c r="BB273" s="22">
        <v>263</v>
      </c>
      <c r="BC273" s="22">
        <v>1.2237499999999999</v>
      </c>
      <c r="BD273">
        <f t="shared" si="58"/>
        <v>7.4798599999999995</v>
      </c>
      <c r="BE273">
        <f t="shared" si="59"/>
        <v>9.1581161881999993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9.3760999999999992</v>
      </c>
      <c r="I274" s="22">
        <v>-1.31409E-2</v>
      </c>
      <c r="J274" s="22">
        <v>264</v>
      </c>
      <c r="K274" s="22">
        <v>0.46994000000000002</v>
      </c>
      <c r="L274">
        <f t="shared" si="48"/>
        <v>13.1409</v>
      </c>
      <c r="M274">
        <f t="shared" si="49"/>
        <v>6.1838578629000001</v>
      </c>
      <c r="N274" s="9"/>
      <c r="O274" s="22">
        <v>1.2294</v>
      </c>
      <c r="P274" s="22">
        <v>48.851300000000002</v>
      </c>
      <c r="Q274" s="22">
        <v>-7.9437299999999995E-3</v>
      </c>
      <c r="R274" s="22">
        <v>264</v>
      </c>
      <c r="S274" s="22">
        <v>1.22803</v>
      </c>
      <c r="T274">
        <f t="shared" si="50"/>
        <v>7.9437299999999995</v>
      </c>
      <c r="U274">
        <f t="shared" si="51"/>
        <v>9.766021662</v>
      </c>
      <c r="X274" s="9"/>
      <c r="Y274" s="22">
        <v>0.47058100000000003</v>
      </c>
      <c r="Z274" s="22">
        <v>56.662999999999997</v>
      </c>
      <c r="AA274" s="22">
        <v>-1.3339200000000001E-2</v>
      </c>
      <c r="AB274" s="22">
        <v>264</v>
      </c>
      <c r="AC274" s="22">
        <v>0.46994000000000002</v>
      </c>
      <c r="AD274">
        <f t="shared" si="52"/>
        <v>13.3392</v>
      </c>
      <c r="AE274">
        <f t="shared" si="53"/>
        <v>6.2771740752000005</v>
      </c>
      <c r="AF274" s="9"/>
      <c r="AG274" s="22">
        <v>1.2294</v>
      </c>
      <c r="AH274" s="22">
        <v>62.207599999999999</v>
      </c>
      <c r="AI274" s="22">
        <v>-7.6049799999999999E-3</v>
      </c>
      <c r="AJ274" s="22">
        <v>264</v>
      </c>
      <c r="AK274" s="22">
        <v>1.2283299999999999</v>
      </c>
      <c r="AL274">
        <f t="shared" si="54"/>
        <v>7.6049800000000003</v>
      </c>
      <c r="AM274">
        <f t="shared" si="55"/>
        <v>9.3495624120000009</v>
      </c>
      <c r="AP274" s="9"/>
      <c r="AQ274" s="22">
        <v>0.47058100000000003</v>
      </c>
      <c r="AR274" s="22">
        <v>69.2072</v>
      </c>
      <c r="AS274" s="22">
        <v>-1.30768E-2</v>
      </c>
      <c r="AT274" s="22">
        <v>264</v>
      </c>
      <c r="AU274" s="22">
        <v>0.46994000000000002</v>
      </c>
      <c r="AV274">
        <f t="shared" si="56"/>
        <v>13.076799999999999</v>
      </c>
      <c r="AW274">
        <f t="shared" si="57"/>
        <v>6.1536936207999995</v>
      </c>
      <c r="AX274" s="9"/>
      <c r="AY274" s="22">
        <v>1.2294</v>
      </c>
      <c r="AZ274" s="22">
        <v>74.483900000000006</v>
      </c>
      <c r="BA274" s="22">
        <v>-7.4401900000000002E-3</v>
      </c>
      <c r="BB274" s="22">
        <v>264</v>
      </c>
      <c r="BC274" s="22">
        <v>1.2283299999999999</v>
      </c>
      <c r="BD274">
        <f t="shared" si="58"/>
        <v>7.4401900000000003</v>
      </c>
      <c r="BE274">
        <f t="shared" si="59"/>
        <v>9.1469695860000009</v>
      </c>
    </row>
    <row r="275" spans="6:101">
      <c r="F275" s="9"/>
      <c r="G275" s="22">
        <v>0.46554600000000002</v>
      </c>
      <c r="H275" s="22">
        <v>9.3861699999999999</v>
      </c>
      <c r="I275" s="22">
        <v>-1.3174399999999999E-2</v>
      </c>
      <c r="J275" s="22">
        <v>265</v>
      </c>
      <c r="K275" s="22">
        <v>0.46490500000000001</v>
      </c>
      <c r="L275">
        <f t="shared" si="48"/>
        <v>13.174399999999999</v>
      </c>
      <c r="M275">
        <f t="shared" si="49"/>
        <v>6.1332892223999993</v>
      </c>
      <c r="N275" s="9"/>
      <c r="O275" s="22">
        <v>1.23444</v>
      </c>
      <c r="P275" s="22">
        <v>48.861400000000003</v>
      </c>
      <c r="Q275" s="22">
        <v>-7.901E-3</v>
      </c>
      <c r="R275" s="22">
        <v>265</v>
      </c>
      <c r="S275" s="22">
        <v>1.2335199999999999</v>
      </c>
      <c r="T275">
        <f t="shared" si="50"/>
        <v>7.9009999999999998</v>
      </c>
      <c r="U275">
        <f t="shared" si="51"/>
        <v>9.7533104399999999</v>
      </c>
      <c r="X275" s="9"/>
      <c r="Y275" s="22">
        <v>0.46554600000000002</v>
      </c>
      <c r="Z275" s="22">
        <v>56.673099999999998</v>
      </c>
      <c r="AA275" s="22">
        <v>-1.33575E-2</v>
      </c>
      <c r="AB275" s="22">
        <v>265</v>
      </c>
      <c r="AC275" s="22">
        <v>0.46490500000000001</v>
      </c>
      <c r="AD275">
        <f t="shared" si="52"/>
        <v>13.3575</v>
      </c>
      <c r="AE275">
        <f t="shared" si="53"/>
        <v>6.2185306950000001</v>
      </c>
      <c r="AF275" s="9"/>
      <c r="AG275" s="22">
        <v>1.23444</v>
      </c>
      <c r="AH275" s="22">
        <v>62.217700000000001</v>
      </c>
      <c r="AI275" s="22">
        <v>-7.5653099999999996E-3</v>
      </c>
      <c r="AJ275" s="22">
        <v>265</v>
      </c>
      <c r="AK275" s="22">
        <v>1.2335199999999999</v>
      </c>
      <c r="AL275">
        <f t="shared" si="54"/>
        <v>7.5653099999999993</v>
      </c>
      <c r="AM275">
        <f t="shared" si="55"/>
        <v>9.3389212763999989</v>
      </c>
      <c r="AP275" s="9"/>
      <c r="AQ275" s="22">
        <v>0.46554600000000002</v>
      </c>
      <c r="AR275" s="22">
        <v>69.217299999999994</v>
      </c>
      <c r="AS275" s="22">
        <v>-1.31042E-2</v>
      </c>
      <c r="AT275" s="22">
        <v>265</v>
      </c>
      <c r="AU275" s="22">
        <v>0.46490500000000001</v>
      </c>
      <c r="AV275">
        <f t="shared" si="56"/>
        <v>13.104200000000001</v>
      </c>
      <c r="AW275">
        <f t="shared" si="57"/>
        <v>6.1006078932000003</v>
      </c>
      <c r="AX275" s="9"/>
      <c r="AY275" s="22">
        <v>1.23444</v>
      </c>
      <c r="AZ275" s="22">
        <v>74.493899999999996</v>
      </c>
      <c r="BA275" s="22">
        <v>-7.4005099999999999E-3</v>
      </c>
      <c r="BB275" s="22">
        <v>265</v>
      </c>
      <c r="BC275" s="22">
        <v>1.2335199999999999</v>
      </c>
      <c r="BD275">
        <f t="shared" si="58"/>
        <v>7.4005099999999997</v>
      </c>
      <c r="BE275">
        <f t="shared" si="59"/>
        <v>9.1354855643999997</v>
      </c>
    </row>
    <row r="276" spans="6:101">
      <c r="F276" s="9"/>
      <c r="G276" s="22">
        <v>0.46050999999999997</v>
      </c>
      <c r="H276" s="22">
        <v>9.3962400000000006</v>
      </c>
      <c r="I276" s="22">
        <v>-1.3201900000000001E-2</v>
      </c>
      <c r="J276" s="22">
        <v>266</v>
      </c>
      <c r="K276" s="22">
        <v>0.459839</v>
      </c>
      <c r="L276">
        <f t="shared" si="48"/>
        <v>13.2019</v>
      </c>
      <c r="M276">
        <f t="shared" si="49"/>
        <v>6.0796069689999994</v>
      </c>
      <c r="N276" s="9"/>
      <c r="O276" s="22">
        <v>1.2394700000000001</v>
      </c>
      <c r="P276" s="22">
        <v>48.871499999999997</v>
      </c>
      <c r="Q276" s="22">
        <v>-7.8582800000000005E-3</v>
      </c>
      <c r="R276" s="22">
        <v>266</v>
      </c>
      <c r="S276" s="22">
        <v>1.2390099999999999</v>
      </c>
      <c r="T276">
        <f t="shared" si="50"/>
        <v>7.8582800000000006</v>
      </c>
      <c r="U276">
        <f t="shared" si="51"/>
        <v>9.7401023116000012</v>
      </c>
      <c r="X276" s="9"/>
      <c r="Y276" s="22">
        <v>0.46050999999999997</v>
      </c>
      <c r="Z276" s="22">
        <v>56.683100000000003</v>
      </c>
      <c r="AA276" s="22">
        <v>-1.33881E-2</v>
      </c>
      <c r="AB276" s="22">
        <v>266</v>
      </c>
      <c r="AC276" s="22">
        <v>0.459839</v>
      </c>
      <c r="AD276">
        <f t="shared" si="52"/>
        <v>13.3881</v>
      </c>
      <c r="AE276">
        <f t="shared" si="53"/>
        <v>6.1653539309999994</v>
      </c>
      <c r="AF276" s="9"/>
      <c r="AG276" s="22">
        <v>1.2394700000000001</v>
      </c>
      <c r="AH276" s="22">
        <v>62.227699999999999</v>
      </c>
      <c r="AI276" s="22">
        <v>-7.5256300000000002E-3</v>
      </c>
      <c r="AJ276" s="22">
        <v>266</v>
      </c>
      <c r="AK276" s="22">
        <v>1.2383999999999999</v>
      </c>
      <c r="AL276">
        <f t="shared" si="54"/>
        <v>7.5256300000000005</v>
      </c>
      <c r="AM276">
        <f t="shared" si="55"/>
        <v>9.3277926161000018</v>
      </c>
      <c r="AP276" s="9"/>
      <c r="AQ276" s="22">
        <v>0.46050999999999997</v>
      </c>
      <c r="AR276" s="22">
        <v>69.227400000000003</v>
      </c>
      <c r="AS276" s="22">
        <v>-1.31287E-2</v>
      </c>
      <c r="AT276" s="22">
        <v>266</v>
      </c>
      <c r="AU276" s="22">
        <v>0.45989999999999998</v>
      </c>
      <c r="AV276">
        <f t="shared" si="56"/>
        <v>13.1287</v>
      </c>
      <c r="AW276">
        <f t="shared" si="57"/>
        <v>6.0458976369999995</v>
      </c>
      <c r="AX276" s="9"/>
      <c r="AY276" s="22">
        <v>1.2394700000000001</v>
      </c>
      <c r="AZ276" s="22">
        <v>74.504000000000005</v>
      </c>
      <c r="BA276" s="22">
        <v>-7.3608399999999996E-3</v>
      </c>
      <c r="BB276" s="22">
        <v>266</v>
      </c>
      <c r="BC276" s="22">
        <v>1.2383999999999999</v>
      </c>
      <c r="BD276">
        <f t="shared" si="58"/>
        <v>7.3608399999999996</v>
      </c>
      <c r="BE276">
        <f t="shared" si="59"/>
        <v>9.1235403547999994</v>
      </c>
    </row>
    <row r="277" spans="6:101">
      <c r="F277" s="9"/>
      <c r="G277" s="22">
        <v>0.45547500000000002</v>
      </c>
      <c r="H277" s="22">
        <v>9.4063099999999995</v>
      </c>
      <c r="I277" s="22">
        <v>-1.3229400000000001E-2</v>
      </c>
      <c r="J277" s="22">
        <v>267</v>
      </c>
      <c r="K277" s="22">
        <v>0.45483400000000002</v>
      </c>
      <c r="L277">
        <f t="shared" si="48"/>
        <v>13.2294</v>
      </c>
      <c r="M277">
        <f t="shared" si="49"/>
        <v>6.0256609650000001</v>
      </c>
      <c r="N277" s="9"/>
      <c r="O277" s="22">
        <v>1.24451</v>
      </c>
      <c r="P277" s="22">
        <v>48.881599999999999</v>
      </c>
      <c r="Q277" s="22">
        <v>-7.8125E-3</v>
      </c>
      <c r="R277" s="22">
        <v>267</v>
      </c>
      <c r="S277" s="22">
        <v>1.24359</v>
      </c>
      <c r="T277">
        <f t="shared" si="50"/>
        <v>7.8125</v>
      </c>
      <c r="U277">
        <f t="shared" si="51"/>
        <v>9.7227343749999999</v>
      </c>
      <c r="X277" s="9"/>
      <c r="Y277" s="22">
        <v>0.45547500000000002</v>
      </c>
      <c r="Z277" s="22">
        <v>56.693199999999997</v>
      </c>
      <c r="AA277" s="22">
        <v>-1.34094E-2</v>
      </c>
      <c r="AB277" s="22">
        <v>267</v>
      </c>
      <c r="AC277" s="22">
        <v>0.45477299999999998</v>
      </c>
      <c r="AD277">
        <f t="shared" si="52"/>
        <v>13.4094</v>
      </c>
      <c r="AE277">
        <f t="shared" si="53"/>
        <v>6.1076464650000002</v>
      </c>
      <c r="AF277" s="9"/>
      <c r="AG277" s="22">
        <v>1.24451</v>
      </c>
      <c r="AH277" s="22">
        <v>62.2378</v>
      </c>
      <c r="AI277" s="22">
        <v>-7.4859599999999998E-3</v>
      </c>
      <c r="AJ277" s="22">
        <v>267</v>
      </c>
      <c r="AK277" s="22">
        <v>1.24359</v>
      </c>
      <c r="AL277">
        <f t="shared" si="54"/>
        <v>7.4859599999999995</v>
      </c>
      <c r="AM277">
        <f t="shared" si="55"/>
        <v>9.3163520795999997</v>
      </c>
      <c r="AP277" s="9"/>
      <c r="AQ277" s="22">
        <v>0.45547500000000002</v>
      </c>
      <c r="AR277" s="22">
        <v>69.237399999999994</v>
      </c>
      <c r="AS277" s="22">
        <v>-1.3162200000000001E-2</v>
      </c>
      <c r="AT277" s="22">
        <v>267</v>
      </c>
      <c r="AU277" s="22">
        <v>0.45480300000000001</v>
      </c>
      <c r="AV277">
        <f t="shared" si="56"/>
        <v>13.1622</v>
      </c>
      <c r="AW277">
        <f t="shared" si="57"/>
        <v>5.9950530450000006</v>
      </c>
      <c r="AX277" s="9"/>
      <c r="AY277" s="22">
        <v>1.24451</v>
      </c>
      <c r="AZ277" s="22">
        <v>74.514099999999999</v>
      </c>
      <c r="BA277" s="22">
        <v>-7.3211700000000001E-3</v>
      </c>
      <c r="BB277" s="22">
        <v>267</v>
      </c>
      <c r="BC277" s="22">
        <v>1.2442</v>
      </c>
      <c r="BD277">
        <f t="shared" si="58"/>
        <v>7.3211700000000004</v>
      </c>
      <c r="BE277">
        <f t="shared" si="59"/>
        <v>9.1112692766999999</v>
      </c>
    </row>
    <row r="278" spans="6:101">
      <c r="F278" s="9"/>
      <c r="G278" s="22">
        <v>0.45043899999999998</v>
      </c>
      <c r="H278" s="22">
        <v>9.4163800000000002</v>
      </c>
      <c r="I278" s="22">
        <v>-1.32599E-2</v>
      </c>
      <c r="J278" s="22">
        <v>268</v>
      </c>
      <c r="K278" s="22">
        <v>0.44973800000000003</v>
      </c>
      <c r="L278">
        <f t="shared" si="48"/>
        <v>13.2599</v>
      </c>
      <c r="M278">
        <f t="shared" si="49"/>
        <v>5.9727760960999996</v>
      </c>
      <c r="N278" s="9"/>
      <c r="O278" s="22">
        <v>1.2495400000000001</v>
      </c>
      <c r="P278" s="22">
        <v>48.891599999999997</v>
      </c>
      <c r="Q278" s="22">
        <v>-7.7667200000000004E-3</v>
      </c>
      <c r="R278" s="22">
        <v>268</v>
      </c>
      <c r="S278" s="22">
        <v>1.24878</v>
      </c>
      <c r="T278">
        <f t="shared" si="50"/>
        <v>7.7667200000000003</v>
      </c>
      <c r="U278">
        <f t="shared" si="51"/>
        <v>9.7048273088000006</v>
      </c>
      <c r="X278" s="9"/>
      <c r="Y278" s="22">
        <v>0.45043899999999998</v>
      </c>
      <c r="Z278" s="22">
        <v>56.703299999999999</v>
      </c>
      <c r="AA278" s="22">
        <v>-1.3433799999999999E-2</v>
      </c>
      <c r="AB278" s="22">
        <v>268</v>
      </c>
      <c r="AC278" s="22">
        <v>0.44982899999999998</v>
      </c>
      <c r="AD278">
        <f t="shared" si="52"/>
        <v>13.4338</v>
      </c>
      <c r="AE278">
        <f t="shared" si="53"/>
        <v>6.0511074381999999</v>
      </c>
      <c r="AF278" s="9"/>
      <c r="AG278" s="22">
        <v>1.2495400000000001</v>
      </c>
      <c r="AH278" s="22">
        <v>62.247900000000001</v>
      </c>
      <c r="AI278" s="22">
        <v>-7.4401900000000002E-3</v>
      </c>
      <c r="AJ278" s="22">
        <v>268</v>
      </c>
      <c r="AK278" s="22">
        <v>1.24878</v>
      </c>
      <c r="AL278">
        <f t="shared" si="54"/>
        <v>7.4401900000000003</v>
      </c>
      <c r="AM278">
        <f t="shared" si="55"/>
        <v>9.2968150126000015</v>
      </c>
      <c r="AP278" s="9"/>
      <c r="AQ278" s="22">
        <v>0.45043899999999998</v>
      </c>
      <c r="AR278" s="22">
        <v>69.247500000000002</v>
      </c>
      <c r="AS278" s="22">
        <v>-1.3195800000000001E-2</v>
      </c>
      <c r="AT278" s="22">
        <v>268</v>
      </c>
      <c r="AU278" s="22">
        <v>0.44985999999999998</v>
      </c>
      <c r="AV278">
        <f t="shared" si="56"/>
        <v>13.1958</v>
      </c>
      <c r="AW278">
        <f t="shared" si="57"/>
        <v>5.9439029561999996</v>
      </c>
      <c r="AX278" s="9"/>
      <c r="AY278" s="22">
        <v>1.2495400000000001</v>
      </c>
      <c r="AZ278" s="22">
        <v>74.524100000000004</v>
      </c>
      <c r="BA278" s="22">
        <v>-7.2814899999999998E-3</v>
      </c>
      <c r="BB278" s="22">
        <v>268</v>
      </c>
      <c r="BC278" s="22">
        <v>1.24847</v>
      </c>
      <c r="BD278">
        <f t="shared" si="58"/>
        <v>7.2814899999999998</v>
      </c>
      <c r="BE278">
        <f t="shared" si="59"/>
        <v>9.0985130145999999</v>
      </c>
    </row>
    <row r="279" spans="6:101">
      <c r="F279" s="9"/>
      <c r="G279" s="22">
        <v>0.44540400000000002</v>
      </c>
      <c r="H279" s="22">
        <v>9.4264500000000009</v>
      </c>
      <c r="I279" s="22">
        <v>-1.3281299999999999E-2</v>
      </c>
      <c r="J279" s="22">
        <v>269</v>
      </c>
      <c r="K279" s="22">
        <v>0.44473299999999999</v>
      </c>
      <c r="L279">
        <f t="shared" si="48"/>
        <v>13.2813</v>
      </c>
      <c r="M279">
        <f t="shared" si="49"/>
        <v>5.9155441452000002</v>
      </c>
      <c r="N279" s="9"/>
      <c r="O279" s="22">
        <v>1.25458</v>
      </c>
      <c r="P279" s="22">
        <v>48.901699999999998</v>
      </c>
      <c r="Q279" s="22">
        <v>-7.7209499999999999E-3</v>
      </c>
      <c r="R279" s="22">
        <v>269</v>
      </c>
      <c r="S279" s="22">
        <v>1.25427</v>
      </c>
      <c r="T279">
        <f t="shared" si="50"/>
        <v>7.7209500000000002</v>
      </c>
      <c r="U279">
        <f t="shared" si="51"/>
        <v>9.6865494510000012</v>
      </c>
      <c r="X279" s="9"/>
      <c r="Y279" s="22">
        <v>0.44540400000000002</v>
      </c>
      <c r="Z279" s="22">
        <v>56.713299999999997</v>
      </c>
      <c r="AA279" s="22">
        <v>-1.3461300000000001E-2</v>
      </c>
      <c r="AB279" s="22">
        <v>269</v>
      </c>
      <c r="AC279" s="22">
        <v>0.44476300000000002</v>
      </c>
      <c r="AD279">
        <f t="shared" si="52"/>
        <v>13.461300000000001</v>
      </c>
      <c r="AE279">
        <f t="shared" si="53"/>
        <v>5.9957168652000012</v>
      </c>
      <c r="AF279" s="9"/>
      <c r="AG279" s="22">
        <v>1.25458</v>
      </c>
      <c r="AH279" s="22">
        <v>62.258000000000003</v>
      </c>
      <c r="AI279" s="22">
        <v>-7.3944099999999997E-3</v>
      </c>
      <c r="AJ279" s="22">
        <v>269</v>
      </c>
      <c r="AK279" s="22">
        <v>1.25336</v>
      </c>
      <c r="AL279">
        <f t="shared" si="54"/>
        <v>7.3944099999999997</v>
      </c>
      <c r="AM279">
        <f t="shared" si="55"/>
        <v>9.2768788977999996</v>
      </c>
      <c r="AP279" s="9"/>
      <c r="AQ279" s="22">
        <v>0.44540400000000002</v>
      </c>
      <c r="AR279" s="22">
        <v>69.257599999999996</v>
      </c>
      <c r="AS279" s="22">
        <v>-1.3229400000000001E-2</v>
      </c>
      <c r="AT279" s="22">
        <v>269</v>
      </c>
      <c r="AU279" s="22">
        <v>0.44479400000000002</v>
      </c>
      <c r="AV279">
        <f t="shared" si="56"/>
        <v>13.2294</v>
      </c>
      <c r="AW279">
        <f t="shared" si="57"/>
        <v>5.8924276776000006</v>
      </c>
      <c r="AX279" s="9"/>
      <c r="AY279" s="22">
        <v>1.25458</v>
      </c>
      <c r="AZ279" s="22">
        <v>74.534199999999998</v>
      </c>
      <c r="BA279" s="22">
        <v>-7.2418200000000004E-3</v>
      </c>
      <c r="BB279" s="22">
        <v>269</v>
      </c>
      <c r="BC279" s="22">
        <v>1.25397</v>
      </c>
      <c r="BD279">
        <f t="shared" si="58"/>
        <v>7.2418200000000006</v>
      </c>
      <c r="BE279">
        <f t="shared" si="59"/>
        <v>9.0854425356000004</v>
      </c>
    </row>
    <row r="280" spans="6:101">
      <c r="F280" s="9"/>
      <c r="G280" s="22">
        <v>0.44036900000000001</v>
      </c>
      <c r="H280" s="22">
        <v>9.4365199999999998</v>
      </c>
      <c r="I280" s="22">
        <v>-1.33118E-2</v>
      </c>
      <c r="J280" s="22">
        <v>270</v>
      </c>
      <c r="K280" s="22">
        <v>0.439697</v>
      </c>
      <c r="L280">
        <f t="shared" si="48"/>
        <v>13.3118</v>
      </c>
      <c r="M280">
        <f t="shared" si="49"/>
        <v>5.8621040542000005</v>
      </c>
      <c r="N280" s="9"/>
      <c r="O280" s="22">
        <v>1.2596099999999999</v>
      </c>
      <c r="P280" s="22">
        <v>48.911799999999999</v>
      </c>
      <c r="Q280" s="22">
        <v>-7.6782200000000004E-3</v>
      </c>
      <c r="R280" s="22">
        <v>270</v>
      </c>
      <c r="S280" s="22">
        <v>1.25885</v>
      </c>
      <c r="T280">
        <f t="shared" si="50"/>
        <v>7.6782200000000005</v>
      </c>
      <c r="U280">
        <f t="shared" si="51"/>
        <v>9.6715626942000004</v>
      </c>
      <c r="X280" s="9"/>
      <c r="Y280" s="22">
        <v>0.44036900000000001</v>
      </c>
      <c r="Z280" s="22">
        <v>56.723399999999998</v>
      </c>
      <c r="AA280" s="22">
        <v>-1.34888E-2</v>
      </c>
      <c r="AB280" s="22">
        <v>270</v>
      </c>
      <c r="AC280" s="22">
        <v>0.43966699999999997</v>
      </c>
      <c r="AD280">
        <f t="shared" si="52"/>
        <v>13.488800000000001</v>
      </c>
      <c r="AE280">
        <f t="shared" si="53"/>
        <v>5.9400493672000003</v>
      </c>
      <c r="AF280" s="9"/>
      <c r="AG280" s="22">
        <v>1.2596099999999999</v>
      </c>
      <c r="AH280" s="22">
        <v>62.268000000000001</v>
      </c>
      <c r="AI280" s="22">
        <v>-7.3516800000000002E-3</v>
      </c>
      <c r="AJ280" s="22">
        <v>270</v>
      </c>
      <c r="AK280" s="22">
        <v>1.25854</v>
      </c>
      <c r="AL280">
        <f t="shared" si="54"/>
        <v>7.35168</v>
      </c>
      <c r="AM280">
        <f t="shared" si="55"/>
        <v>9.2602496448</v>
      </c>
      <c r="AP280" s="9"/>
      <c r="AQ280" s="22">
        <v>0.44036900000000001</v>
      </c>
      <c r="AR280" s="22">
        <v>69.267700000000005</v>
      </c>
      <c r="AS280" s="22">
        <v>-1.32599E-2</v>
      </c>
      <c r="AT280" s="22">
        <v>270</v>
      </c>
      <c r="AU280" s="22">
        <v>0.43972800000000001</v>
      </c>
      <c r="AV280">
        <f t="shared" si="56"/>
        <v>13.2599</v>
      </c>
      <c r="AW280">
        <f t="shared" si="57"/>
        <v>5.8392489031000006</v>
      </c>
      <c r="AX280" s="9"/>
      <c r="AY280" s="22">
        <v>1.2596099999999999</v>
      </c>
      <c r="AZ280" s="22">
        <v>74.544300000000007</v>
      </c>
      <c r="BA280" s="22">
        <v>-7.20215E-3</v>
      </c>
      <c r="BB280" s="22">
        <v>270</v>
      </c>
      <c r="BC280" s="22">
        <v>1.25854</v>
      </c>
      <c r="BD280">
        <f t="shared" si="58"/>
        <v>7.2021499999999996</v>
      </c>
      <c r="BE280">
        <f t="shared" si="59"/>
        <v>9.0719001614999986</v>
      </c>
    </row>
    <row r="281" spans="6:101">
      <c r="F281" s="9"/>
      <c r="G281" s="22">
        <v>0.43533300000000003</v>
      </c>
      <c r="H281" s="22">
        <v>9.4465900000000005</v>
      </c>
      <c r="I281" s="22">
        <v>-1.3339200000000001E-2</v>
      </c>
      <c r="J281" s="22">
        <v>271</v>
      </c>
      <c r="K281" s="22">
        <v>0.43469200000000002</v>
      </c>
      <c r="L281">
        <f t="shared" si="48"/>
        <v>13.3392</v>
      </c>
      <c r="M281">
        <f t="shared" si="49"/>
        <v>5.8069939536000001</v>
      </c>
      <c r="N281" s="9"/>
      <c r="O281" s="22">
        <v>1.2646500000000001</v>
      </c>
      <c r="P281" s="22">
        <v>48.921799999999998</v>
      </c>
      <c r="Q281" s="22">
        <v>-7.6324499999999998E-3</v>
      </c>
      <c r="R281" s="22">
        <v>271</v>
      </c>
      <c r="S281" s="22">
        <v>1.2640400000000001</v>
      </c>
      <c r="T281">
        <f t="shared" si="50"/>
        <v>7.6324499999999995</v>
      </c>
      <c r="U281">
        <f t="shared" si="51"/>
        <v>9.6523778925000006</v>
      </c>
      <c r="X281" s="9"/>
      <c r="Y281" s="22">
        <v>0.43533300000000003</v>
      </c>
      <c r="Z281" s="22">
        <v>56.733499999999999</v>
      </c>
      <c r="AA281" s="22">
        <v>-1.3516200000000001E-2</v>
      </c>
      <c r="AB281" s="22">
        <v>271</v>
      </c>
      <c r="AC281" s="22">
        <v>0.43469200000000002</v>
      </c>
      <c r="AD281">
        <f t="shared" si="52"/>
        <v>13.516200000000001</v>
      </c>
      <c r="AE281">
        <f t="shared" si="53"/>
        <v>5.884047894600001</v>
      </c>
      <c r="AF281" s="9"/>
      <c r="AG281" s="22">
        <v>1.2646500000000001</v>
      </c>
      <c r="AH281" s="22">
        <v>62.278100000000002</v>
      </c>
      <c r="AI281" s="22">
        <v>-7.3059099999999997E-3</v>
      </c>
      <c r="AJ281" s="22">
        <v>271</v>
      </c>
      <c r="AK281" s="22">
        <v>1.2640400000000001</v>
      </c>
      <c r="AL281">
        <f t="shared" si="54"/>
        <v>7.3059099999999999</v>
      </c>
      <c r="AM281">
        <f t="shared" si="55"/>
        <v>9.2394190814999995</v>
      </c>
      <c r="AP281" s="9"/>
      <c r="AQ281" s="22">
        <v>0.43533300000000003</v>
      </c>
      <c r="AR281" s="22">
        <v>69.277699999999996</v>
      </c>
      <c r="AS281" s="22">
        <v>-1.32874E-2</v>
      </c>
      <c r="AT281" s="22">
        <v>271</v>
      </c>
      <c r="AU281" s="22">
        <v>0.434784</v>
      </c>
      <c r="AV281">
        <f t="shared" si="56"/>
        <v>13.2874</v>
      </c>
      <c r="AW281">
        <f t="shared" si="57"/>
        <v>5.7844437042000001</v>
      </c>
      <c r="AX281" s="9"/>
      <c r="AY281" s="22">
        <v>1.2646500000000001</v>
      </c>
      <c r="AZ281" s="22">
        <v>74.554299999999998</v>
      </c>
      <c r="BA281" s="22">
        <v>-7.1594199999999997E-3</v>
      </c>
      <c r="BB281" s="22">
        <v>271</v>
      </c>
      <c r="BC281" s="22">
        <v>1.26373</v>
      </c>
      <c r="BD281">
        <f t="shared" si="58"/>
        <v>7.1594199999999999</v>
      </c>
      <c r="BE281">
        <f t="shared" si="59"/>
        <v>9.0541605030000003</v>
      </c>
    </row>
    <row r="282" spans="6:101">
      <c r="F282" s="9"/>
      <c r="G282" s="22">
        <v>0.43029800000000001</v>
      </c>
      <c r="H282" s="22">
        <v>9.4566599999999994</v>
      </c>
      <c r="I282" s="22">
        <v>-1.3372800000000001E-2</v>
      </c>
      <c r="J282" s="22">
        <v>272</v>
      </c>
      <c r="K282" s="22">
        <v>0.42965700000000001</v>
      </c>
      <c r="L282">
        <f t="shared" si="48"/>
        <v>13.3728</v>
      </c>
      <c r="M282">
        <f t="shared" si="49"/>
        <v>5.7542890943999998</v>
      </c>
      <c r="N282" s="9"/>
      <c r="O282" s="22">
        <v>1.2696799999999999</v>
      </c>
      <c r="P282" s="22">
        <v>48.931899999999999</v>
      </c>
      <c r="Q282" s="22">
        <v>-7.58057E-3</v>
      </c>
      <c r="R282" s="22">
        <v>272</v>
      </c>
      <c r="S282" s="22">
        <v>1.26892</v>
      </c>
      <c r="T282">
        <f t="shared" si="50"/>
        <v>7.5805699999999998</v>
      </c>
      <c r="U282">
        <f t="shared" si="51"/>
        <v>9.624898117599999</v>
      </c>
      <c r="X282" s="9"/>
      <c r="Y282" s="22">
        <v>0.43029800000000001</v>
      </c>
      <c r="Z282" s="22">
        <v>56.743499999999997</v>
      </c>
      <c r="AA282" s="22">
        <v>-1.35406E-2</v>
      </c>
      <c r="AB282" s="22">
        <v>272</v>
      </c>
      <c r="AC282" s="22">
        <v>0.42962600000000001</v>
      </c>
      <c r="AD282">
        <f t="shared" si="52"/>
        <v>13.5406</v>
      </c>
      <c r="AE282">
        <f t="shared" si="53"/>
        <v>5.8264930988000003</v>
      </c>
      <c r="AF282" s="9"/>
      <c r="AG282" s="22">
        <v>1.2696799999999999</v>
      </c>
      <c r="AH282" s="22">
        <v>62.288200000000003</v>
      </c>
      <c r="AI282" s="22">
        <v>-7.2601300000000001E-3</v>
      </c>
      <c r="AJ282" s="22">
        <v>272</v>
      </c>
      <c r="AK282" s="22">
        <v>1.26892</v>
      </c>
      <c r="AL282">
        <f t="shared" si="54"/>
        <v>7.2601300000000002</v>
      </c>
      <c r="AM282">
        <f t="shared" si="55"/>
        <v>9.2180418583999995</v>
      </c>
      <c r="AP282" s="9"/>
      <c r="AQ282" s="22">
        <v>0.43029800000000001</v>
      </c>
      <c r="AR282" s="22">
        <v>69.287800000000004</v>
      </c>
      <c r="AS282" s="22">
        <v>-1.33087E-2</v>
      </c>
      <c r="AT282" s="22">
        <v>272</v>
      </c>
      <c r="AU282" s="22">
        <v>0.42968800000000001</v>
      </c>
      <c r="AV282">
        <f t="shared" si="56"/>
        <v>13.3087</v>
      </c>
      <c r="AW282">
        <f t="shared" si="57"/>
        <v>5.7267069926000005</v>
      </c>
      <c r="AX282" s="9"/>
      <c r="AY282" s="22">
        <v>1.2696799999999999</v>
      </c>
      <c r="AZ282" s="22">
        <v>74.564400000000006</v>
      </c>
      <c r="BA282" s="22">
        <v>-7.1167000000000001E-3</v>
      </c>
      <c r="BB282" s="22">
        <v>272</v>
      </c>
      <c r="BC282" s="22">
        <v>1.2686200000000001</v>
      </c>
      <c r="BD282">
        <f t="shared" si="58"/>
        <v>7.1166999999999998</v>
      </c>
      <c r="BE282">
        <f t="shared" si="59"/>
        <v>9.0359316559999989</v>
      </c>
    </row>
    <row r="283" spans="6:101">
      <c r="F283" s="9"/>
      <c r="G283" s="22">
        <v>0.42526199999999997</v>
      </c>
      <c r="H283" s="22">
        <v>9.4667399999999997</v>
      </c>
      <c r="I283" s="22">
        <v>-1.3406400000000001E-2</v>
      </c>
      <c r="J283" s="22">
        <v>273</v>
      </c>
      <c r="K283" s="22">
        <v>0.424622</v>
      </c>
      <c r="L283">
        <f t="shared" si="48"/>
        <v>13.406400000000001</v>
      </c>
      <c r="M283">
        <f t="shared" si="49"/>
        <v>5.7012324768000004</v>
      </c>
      <c r="N283" s="9"/>
      <c r="O283" s="22">
        <v>1.2747200000000001</v>
      </c>
      <c r="P283" s="22">
        <v>48.942</v>
      </c>
      <c r="Q283" s="22">
        <v>-7.5378399999999996E-3</v>
      </c>
      <c r="R283" s="22">
        <v>273</v>
      </c>
      <c r="S283" s="22">
        <v>1.2738</v>
      </c>
      <c r="T283">
        <f t="shared" si="50"/>
        <v>7.5378399999999992</v>
      </c>
      <c r="U283">
        <f t="shared" si="51"/>
        <v>9.6086354047999993</v>
      </c>
      <c r="X283" s="9"/>
      <c r="Y283" s="22">
        <v>0.42526199999999997</v>
      </c>
      <c r="Z283" s="22">
        <v>56.753599999999999</v>
      </c>
      <c r="AA283" s="22">
        <v>-1.3561999999999999E-2</v>
      </c>
      <c r="AB283" s="22">
        <v>273</v>
      </c>
      <c r="AC283" s="22">
        <v>0.42456100000000002</v>
      </c>
      <c r="AD283">
        <f t="shared" si="52"/>
        <v>13.561999999999999</v>
      </c>
      <c r="AE283">
        <f t="shared" si="53"/>
        <v>5.7674032439999996</v>
      </c>
      <c r="AF283" s="9"/>
      <c r="AG283" s="22">
        <v>1.2747200000000001</v>
      </c>
      <c r="AH283" s="22">
        <v>62.298200000000001</v>
      </c>
      <c r="AI283" s="22">
        <v>-7.2174099999999996E-3</v>
      </c>
      <c r="AJ283" s="22">
        <v>273</v>
      </c>
      <c r="AK283" s="22">
        <v>1.2738</v>
      </c>
      <c r="AL283">
        <f t="shared" si="54"/>
        <v>7.2174099999999992</v>
      </c>
      <c r="AM283">
        <f t="shared" si="55"/>
        <v>9.2001768752000004</v>
      </c>
      <c r="AP283" s="9"/>
      <c r="AQ283" s="22">
        <v>0.42526199999999997</v>
      </c>
      <c r="AR283" s="22">
        <v>69.297899999999998</v>
      </c>
      <c r="AS283" s="22">
        <v>-1.3333100000000001E-2</v>
      </c>
      <c r="AT283" s="22">
        <v>273</v>
      </c>
      <c r="AU283" s="22">
        <v>0.424622</v>
      </c>
      <c r="AV283">
        <f t="shared" si="56"/>
        <v>13.3331</v>
      </c>
      <c r="AW283">
        <f t="shared" si="57"/>
        <v>5.6700607721999994</v>
      </c>
      <c r="AX283" s="9"/>
      <c r="AY283" s="22">
        <v>1.2747200000000001</v>
      </c>
      <c r="AZ283" s="22">
        <v>74.5745</v>
      </c>
      <c r="BA283" s="22">
        <v>-7.0739699999999997E-3</v>
      </c>
      <c r="BB283" s="22">
        <v>273</v>
      </c>
      <c r="BC283" s="22">
        <v>1.2741100000000001</v>
      </c>
      <c r="BD283">
        <f t="shared" si="58"/>
        <v>7.0739700000000001</v>
      </c>
      <c r="BE283">
        <f t="shared" si="59"/>
        <v>9.0173310384000001</v>
      </c>
    </row>
    <row r="284" spans="6:101">
      <c r="F284" s="9"/>
      <c r="G284" s="22">
        <v>0.42022700000000002</v>
      </c>
      <c r="H284" s="22">
        <v>9.4768100000000004</v>
      </c>
      <c r="I284" s="22">
        <v>-1.34369E-2</v>
      </c>
      <c r="J284" s="22">
        <v>274</v>
      </c>
      <c r="K284" s="22">
        <v>0.41955599999999998</v>
      </c>
      <c r="L284">
        <f t="shared" si="48"/>
        <v>13.4369</v>
      </c>
      <c r="M284">
        <f t="shared" si="49"/>
        <v>5.6465481763000005</v>
      </c>
      <c r="N284" s="9"/>
      <c r="O284" s="22">
        <v>1.2797499999999999</v>
      </c>
      <c r="P284" s="22">
        <v>48.951999999999998</v>
      </c>
      <c r="Q284" s="22">
        <v>-7.49207E-3</v>
      </c>
      <c r="R284" s="22">
        <v>274</v>
      </c>
      <c r="S284" s="22">
        <v>1.2783800000000001</v>
      </c>
      <c r="T284">
        <f t="shared" si="50"/>
        <v>7.49207</v>
      </c>
      <c r="U284">
        <f t="shared" si="51"/>
        <v>9.5879765824999996</v>
      </c>
      <c r="X284" s="9"/>
      <c r="Y284" s="22">
        <v>0.42022700000000002</v>
      </c>
      <c r="Z284" s="22">
        <v>56.7637</v>
      </c>
      <c r="AA284" s="22">
        <v>-1.3583400000000001E-2</v>
      </c>
      <c r="AB284" s="22">
        <v>274</v>
      </c>
      <c r="AC284" s="22">
        <v>0.41955599999999998</v>
      </c>
      <c r="AD284">
        <f t="shared" si="52"/>
        <v>13.583400000000001</v>
      </c>
      <c r="AE284">
        <f t="shared" si="53"/>
        <v>5.7081114318000008</v>
      </c>
      <c r="AF284" s="9"/>
      <c r="AG284" s="22">
        <v>1.2797499999999999</v>
      </c>
      <c r="AH284" s="22">
        <v>62.308300000000003</v>
      </c>
      <c r="AI284" s="22">
        <v>-7.1746800000000001E-3</v>
      </c>
      <c r="AJ284" s="22">
        <v>274</v>
      </c>
      <c r="AK284" s="22">
        <v>1.2783800000000001</v>
      </c>
      <c r="AL284">
        <f t="shared" si="54"/>
        <v>7.1746800000000004</v>
      </c>
      <c r="AM284">
        <f t="shared" si="55"/>
        <v>9.1817967300000003</v>
      </c>
      <c r="AP284" s="9"/>
      <c r="AQ284" s="22">
        <v>0.42022700000000002</v>
      </c>
      <c r="AR284" s="22">
        <v>69.307900000000004</v>
      </c>
      <c r="AS284" s="22">
        <v>-1.33606E-2</v>
      </c>
      <c r="AT284" s="22">
        <v>274</v>
      </c>
      <c r="AU284" s="22">
        <v>0.41952499999999998</v>
      </c>
      <c r="AV284">
        <f t="shared" si="56"/>
        <v>13.3606</v>
      </c>
      <c r="AW284">
        <f t="shared" si="57"/>
        <v>5.6144848561999998</v>
      </c>
      <c r="AX284" s="9"/>
      <c r="AY284" s="22">
        <v>1.2797499999999999</v>
      </c>
      <c r="AZ284" s="22">
        <v>74.584599999999995</v>
      </c>
      <c r="BA284" s="22">
        <v>-7.0312500000000002E-3</v>
      </c>
      <c r="BB284" s="22">
        <v>274</v>
      </c>
      <c r="BC284" s="22">
        <v>1.2789900000000001</v>
      </c>
      <c r="BD284">
        <f t="shared" si="58"/>
        <v>7.03125</v>
      </c>
      <c r="BE284">
        <f t="shared" si="59"/>
        <v>8.9982421874999989</v>
      </c>
    </row>
    <row r="285" spans="6:101">
      <c r="F285" s="9"/>
      <c r="G285" s="22">
        <v>0.41519200000000001</v>
      </c>
      <c r="H285" s="22">
        <v>9.4868799999999993</v>
      </c>
      <c r="I285" s="22">
        <v>-1.3467399999999999E-2</v>
      </c>
      <c r="J285" s="22">
        <v>275</v>
      </c>
      <c r="K285" s="22">
        <v>0.41458099999999998</v>
      </c>
      <c r="L285">
        <f t="shared" si="48"/>
        <v>13.4674</v>
      </c>
      <c r="M285">
        <f t="shared" si="49"/>
        <v>5.5915567407999998</v>
      </c>
      <c r="N285" s="9"/>
      <c r="O285" s="22">
        <v>1.2847900000000001</v>
      </c>
      <c r="P285" s="22">
        <v>48.9621</v>
      </c>
      <c r="Q285" s="22">
        <v>-7.4462900000000004E-3</v>
      </c>
      <c r="R285" s="22">
        <v>275</v>
      </c>
      <c r="S285" s="22">
        <v>1.2841800000000001</v>
      </c>
      <c r="T285">
        <f t="shared" si="50"/>
        <v>7.4462900000000003</v>
      </c>
      <c r="U285">
        <f t="shared" si="51"/>
        <v>9.5669189291000016</v>
      </c>
      <c r="X285" s="9"/>
      <c r="Y285" s="22">
        <v>0.41519200000000001</v>
      </c>
      <c r="Z285" s="22">
        <v>56.773800000000001</v>
      </c>
      <c r="AA285" s="22">
        <v>-1.3604700000000001E-2</v>
      </c>
      <c r="AB285" s="22">
        <v>275</v>
      </c>
      <c r="AC285" s="22">
        <v>0.414551</v>
      </c>
      <c r="AD285">
        <f t="shared" si="52"/>
        <v>13.604700000000001</v>
      </c>
      <c r="AE285">
        <f t="shared" si="53"/>
        <v>5.6485626024000002</v>
      </c>
      <c r="AF285" s="9"/>
      <c r="AG285" s="22">
        <v>1.2847900000000001</v>
      </c>
      <c r="AH285" s="22">
        <v>62.318399999999997</v>
      </c>
      <c r="AI285" s="22">
        <v>-7.1319599999999997E-3</v>
      </c>
      <c r="AJ285" s="22">
        <v>275</v>
      </c>
      <c r="AK285" s="22">
        <v>1.2838700000000001</v>
      </c>
      <c r="AL285">
        <f t="shared" si="54"/>
        <v>7.1319599999999994</v>
      </c>
      <c r="AM285">
        <f t="shared" si="55"/>
        <v>9.1630708884000001</v>
      </c>
      <c r="AP285" s="9"/>
      <c r="AQ285" s="22">
        <v>0.41519200000000001</v>
      </c>
      <c r="AR285" s="22">
        <v>69.317999999999998</v>
      </c>
      <c r="AS285" s="22">
        <v>-1.33911E-2</v>
      </c>
      <c r="AT285" s="22">
        <v>275</v>
      </c>
      <c r="AU285" s="22">
        <v>0.41452</v>
      </c>
      <c r="AV285">
        <f t="shared" si="56"/>
        <v>13.3911</v>
      </c>
      <c r="AW285">
        <f t="shared" si="57"/>
        <v>5.5598775912000002</v>
      </c>
      <c r="AX285" s="9"/>
      <c r="AY285" s="22">
        <v>1.2847900000000001</v>
      </c>
      <c r="AZ285" s="22">
        <v>74.5946</v>
      </c>
      <c r="BA285" s="22">
        <v>-6.9854699999999997E-3</v>
      </c>
      <c r="BB285" s="22">
        <v>275</v>
      </c>
      <c r="BC285" s="22">
        <v>1.2835700000000001</v>
      </c>
      <c r="BD285">
        <f t="shared" si="58"/>
        <v>6.9854699999999994</v>
      </c>
      <c r="BE285">
        <f t="shared" si="59"/>
        <v>8.9748620013</v>
      </c>
    </row>
    <row r="286" spans="6:101">
      <c r="F286" s="9"/>
      <c r="G286" s="22">
        <v>0.41015600000000002</v>
      </c>
      <c r="H286" s="22">
        <v>9.49695</v>
      </c>
      <c r="I286" s="22">
        <v>-1.34918E-2</v>
      </c>
      <c r="J286" s="22">
        <v>276</v>
      </c>
      <c r="K286" s="22">
        <v>0.40951500000000002</v>
      </c>
      <c r="L286">
        <f t="shared" si="48"/>
        <v>13.4918</v>
      </c>
      <c r="M286">
        <f t="shared" si="49"/>
        <v>5.5337427208000003</v>
      </c>
      <c r="N286" s="9"/>
      <c r="O286" s="22">
        <v>1.28983</v>
      </c>
      <c r="P286" s="22">
        <v>48.972200000000001</v>
      </c>
      <c r="Q286" s="22">
        <v>-7.4005099999999999E-3</v>
      </c>
      <c r="R286" s="22">
        <v>276</v>
      </c>
      <c r="S286" s="22">
        <v>1.2887599999999999</v>
      </c>
      <c r="T286">
        <f t="shared" si="50"/>
        <v>7.4005099999999997</v>
      </c>
      <c r="U286">
        <f t="shared" si="51"/>
        <v>9.5453998132999995</v>
      </c>
      <c r="X286" s="9"/>
      <c r="Y286" s="22">
        <v>0.41015600000000002</v>
      </c>
      <c r="Z286" s="22">
        <v>56.783799999999999</v>
      </c>
      <c r="AA286" s="22">
        <v>-1.3623E-2</v>
      </c>
      <c r="AB286" s="22">
        <v>276</v>
      </c>
      <c r="AC286" s="22">
        <v>0.40951500000000002</v>
      </c>
      <c r="AD286">
        <f t="shared" si="52"/>
        <v>13.622999999999999</v>
      </c>
      <c r="AE286">
        <f t="shared" si="53"/>
        <v>5.5875551879999996</v>
      </c>
      <c r="AF286" s="9"/>
      <c r="AG286" s="22">
        <v>1.28983</v>
      </c>
      <c r="AH286" s="22">
        <v>62.328499999999998</v>
      </c>
      <c r="AI286" s="22">
        <v>-7.0892300000000002E-3</v>
      </c>
      <c r="AJ286" s="22">
        <v>276</v>
      </c>
      <c r="AK286" s="22">
        <v>1.2893699999999999</v>
      </c>
      <c r="AL286">
        <f t="shared" si="54"/>
        <v>7.0892300000000006</v>
      </c>
      <c r="AM286">
        <f t="shared" si="55"/>
        <v>9.1439015309000009</v>
      </c>
      <c r="AP286" s="9"/>
      <c r="AQ286" s="22">
        <v>0.41015600000000002</v>
      </c>
      <c r="AR286" s="22">
        <v>69.328100000000006</v>
      </c>
      <c r="AS286" s="22">
        <v>-1.3412500000000001E-2</v>
      </c>
      <c r="AT286" s="22">
        <v>276</v>
      </c>
      <c r="AU286" s="22">
        <v>0.40945399999999998</v>
      </c>
      <c r="AV286">
        <f t="shared" si="56"/>
        <v>13.412500000000001</v>
      </c>
      <c r="AW286">
        <f t="shared" si="57"/>
        <v>5.501217350000001</v>
      </c>
      <c r="AX286" s="9"/>
      <c r="AY286" s="22">
        <v>1.28983</v>
      </c>
      <c r="AZ286" s="22">
        <v>74.604699999999994</v>
      </c>
      <c r="BA286" s="22">
        <v>-6.9397E-3</v>
      </c>
      <c r="BB286" s="22">
        <v>276</v>
      </c>
      <c r="BC286" s="22">
        <v>1.2887599999999999</v>
      </c>
      <c r="BD286">
        <f t="shared" si="58"/>
        <v>6.9397000000000002</v>
      </c>
      <c r="BE286">
        <f t="shared" si="59"/>
        <v>8.9510332510000001</v>
      </c>
    </row>
    <row r="287" spans="6:101">
      <c r="F287" s="9"/>
      <c r="G287" s="22">
        <v>0.40512100000000001</v>
      </c>
      <c r="H287" s="22">
        <v>9.5070200000000007</v>
      </c>
      <c r="I287" s="22">
        <v>-1.3516200000000001E-2</v>
      </c>
      <c r="J287" s="22">
        <v>277</v>
      </c>
      <c r="K287" s="22">
        <v>0.40448000000000001</v>
      </c>
      <c r="L287">
        <f t="shared" si="48"/>
        <v>13.516200000000001</v>
      </c>
      <c r="M287">
        <f t="shared" si="49"/>
        <v>5.4756964602000009</v>
      </c>
      <c r="N287" s="9"/>
      <c r="O287" s="22">
        <v>1.2948599999999999</v>
      </c>
      <c r="P287" s="22">
        <v>48.982300000000002</v>
      </c>
      <c r="Q287" s="22">
        <v>-7.3547400000000002E-3</v>
      </c>
      <c r="R287" s="22">
        <v>277</v>
      </c>
      <c r="S287" s="22">
        <v>1.2939499999999999</v>
      </c>
      <c r="T287">
        <f t="shared" si="50"/>
        <v>7.3547400000000005</v>
      </c>
      <c r="U287">
        <f t="shared" si="51"/>
        <v>9.5233586363999994</v>
      </c>
      <c r="X287" s="9"/>
      <c r="Y287" s="22">
        <v>0.40512100000000001</v>
      </c>
      <c r="Z287" s="22">
        <v>56.793900000000001</v>
      </c>
      <c r="AA287" s="22">
        <v>-1.3638300000000001E-2</v>
      </c>
      <c r="AB287" s="22">
        <v>277</v>
      </c>
      <c r="AC287" s="22">
        <v>0.40448000000000001</v>
      </c>
      <c r="AD287">
        <f t="shared" si="52"/>
        <v>13.638300000000001</v>
      </c>
      <c r="AE287">
        <f t="shared" si="53"/>
        <v>5.5251617343000001</v>
      </c>
      <c r="AF287" s="9"/>
      <c r="AG287" s="22">
        <v>1.2948599999999999</v>
      </c>
      <c r="AH287" s="22">
        <v>62.338500000000003</v>
      </c>
      <c r="AI287" s="22">
        <v>-7.0434599999999997E-3</v>
      </c>
      <c r="AJ287" s="22">
        <v>277</v>
      </c>
      <c r="AK287" s="22">
        <v>1.2945599999999999</v>
      </c>
      <c r="AL287">
        <f t="shared" si="54"/>
        <v>7.0434599999999996</v>
      </c>
      <c r="AM287">
        <f t="shared" si="55"/>
        <v>9.1202946155999989</v>
      </c>
      <c r="AP287" s="9"/>
      <c r="AQ287" s="22">
        <v>0.40512100000000001</v>
      </c>
      <c r="AR287" s="22">
        <v>69.338200000000001</v>
      </c>
      <c r="AS287" s="22">
        <v>-1.3433799999999999E-2</v>
      </c>
      <c r="AT287" s="22">
        <v>277</v>
      </c>
      <c r="AU287" s="22">
        <v>0.40454099999999998</v>
      </c>
      <c r="AV287">
        <f t="shared" si="56"/>
        <v>13.4338</v>
      </c>
      <c r="AW287">
        <f t="shared" si="57"/>
        <v>5.4423144898000002</v>
      </c>
      <c r="AX287" s="9"/>
      <c r="AY287" s="22">
        <v>1.2948599999999999</v>
      </c>
      <c r="AZ287" s="22">
        <v>74.614800000000002</v>
      </c>
      <c r="BA287" s="22">
        <v>-6.8939200000000004E-3</v>
      </c>
      <c r="BB287" s="22">
        <v>277</v>
      </c>
      <c r="BC287" s="22">
        <v>1.2942499999999999</v>
      </c>
      <c r="BD287">
        <f t="shared" si="58"/>
        <v>6.8939200000000005</v>
      </c>
      <c r="BE287">
        <f t="shared" si="59"/>
        <v>8.9266612512000005</v>
      </c>
    </row>
    <row r="288" spans="6:101">
      <c r="F288" s="9"/>
      <c r="G288" s="22">
        <v>0.40008500000000002</v>
      </c>
      <c r="H288" s="22">
        <v>9.5170899999999996</v>
      </c>
      <c r="I288" s="22">
        <v>-1.35345E-2</v>
      </c>
      <c r="J288" s="22">
        <v>278</v>
      </c>
      <c r="K288" s="22">
        <v>0.39950600000000003</v>
      </c>
      <c r="L288">
        <f t="shared" si="48"/>
        <v>13.5345</v>
      </c>
      <c r="M288">
        <f t="shared" si="49"/>
        <v>5.4149504325000004</v>
      </c>
      <c r="N288" s="9"/>
      <c r="O288" s="22">
        <v>1.2999000000000001</v>
      </c>
      <c r="P288" s="22">
        <v>48.9923</v>
      </c>
      <c r="Q288" s="22">
        <v>-7.3059099999999997E-3</v>
      </c>
      <c r="R288" s="22">
        <v>278</v>
      </c>
      <c r="S288" s="22">
        <v>1.2994399999999999</v>
      </c>
      <c r="T288">
        <f t="shared" si="50"/>
        <v>7.3059099999999999</v>
      </c>
      <c r="U288">
        <f t="shared" si="51"/>
        <v>9.4969524090000004</v>
      </c>
      <c r="X288" s="9"/>
      <c r="Y288" s="22">
        <v>0.40008500000000002</v>
      </c>
      <c r="Z288" s="22">
        <v>56.804000000000002</v>
      </c>
      <c r="AA288" s="22">
        <v>-1.36627E-2</v>
      </c>
      <c r="AB288" s="22">
        <v>278</v>
      </c>
      <c r="AC288" s="22">
        <v>0.39938400000000002</v>
      </c>
      <c r="AD288">
        <f t="shared" si="52"/>
        <v>13.662699999999999</v>
      </c>
      <c r="AE288">
        <f t="shared" si="53"/>
        <v>5.4662413294999999</v>
      </c>
      <c r="AF288" s="9"/>
      <c r="AG288" s="22">
        <v>1.2999000000000001</v>
      </c>
      <c r="AH288" s="22">
        <v>62.348599999999998</v>
      </c>
      <c r="AI288" s="22">
        <v>-6.99768E-3</v>
      </c>
      <c r="AJ288" s="22">
        <v>278</v>
      </c>
      <c r="AK288" s="22">
        <v>1.2985199999999999</v>
      </c>
      <c r="AL288">
        <f t="shared" si="54"/>
        <v>6.9976799999999999</v>
      </c>
      <c r="AM288">
        <f t="shared" si="55"/>
        <v>9.0962842320000004</v>
      </c>
      <c r="AP288" s="9"/>
      <c r="AQ288" s="22">
        <v>0.40008500000000002</v>
      </c>
      <c r="AR288" s="22">
        <v>69.348200000000006</v>
      </c>
      <c r="AS288" s="22">
        <v>-1.3461300000000001E-2</v>
      </c>
      <c r="AT288" s="22">
        <v>278</v>
      </c>
      <c r="AU288" s="22">
        <v>0.39935300000000001</v>
      </c>
      <c r="AV288">
        <f t="shared" si="56"/>
        <v>13.461300000000001</v>
      </c>
      <c r="AW288">
        <f t="shared" si="57"/>
        <v>5.3856642105000008</v>
      </c>
      <c r="AX288" s="9"/>
      <c r="AY288" s="22">
        <v>1.2999000000000001</v>
      </c>
      <c r="AZ288" s="22">
        <v>74.624799999999993</v>
      </c>
      <c r="BA288" s="22">
        <v>-6.8542500000000001E-3</v>
      </c>
      <c r="BB288" s="22">
        <v>278</v>
      </c>
      <c r="BC288" s="22">
        <v>1.2994399999999999</v>
      </c>
      <c r="BD288">
        <f t="shared" si="58"/>
        <v>6.8542500000000004</v>
      </c>
      <c r="BE288">
        <f t="shared" si="59"/>
        <v>8.9098395750000012</v>
      </c>
    </row>
    <row r="289" spans="6:57">
      <c r="F289" s="9"/>
      <c r="G289" s="22">
        <v>0.39505000000000001</v>
      </c>
      <c r="H289" s="22">
        <v>9.5271600000000003</v>
      </c>
      <c r="I289" s="22">
        <v>-1.35529E-2</v>
      </c>
      <c r="J289" s="22">
        <v>279</v>
      </c>
      <c r="K289" s="22">
        <v>0.39440900000000001</v>
      </c>
      <c r="L289">
        <f t="shared" si="48"/>
        <v>13.552899999999999</v>
      </c>
      <c r="M289">
        <f t="shared" si="49"/>
        <v>5.3540731450000001</v>
      </c>
      <c r="N289" s="9"/>
      <c r="O289" s="22">
        <v>1.3049299999999999</v>
      </c>
      <c r="P289" s="22">
        <v>49.002400000000002</v>
      </c>
      <c r="Q289" s="22">
        <v>-7.25708E-3</v>
      </c>
      <c r="R289" s="22">
        <v>279</v>
      </c>
      <c r="S289" s="22">
        <v>1.30463</v>
      </c>
      <c r="T289">
        <f t="shared" si="50"/>
        <v>7.2570800000000002</v>
      </c>
      <c r="U289">
        <f t="shared" si="51"/>
        <v>9.4699814044000004</v>
      </c>
      <c r="X289" s="9"/>
      <c r="Y289" s="22">
        <v>0.39505000000000001</v>
      </c>
      <c r="Z289" s="22">
        <v>56.814</v>
      </c>
      <c r="AA289" s="22">
        <v>-1.3687100000000001E-2</v>
      </c>
      <c r="AB289" s="22">
        <v>279</v>
      </c>
      <c r="AC289" s="22">
        <v>0.39446999999999999</v>
      </c>
      <c r="AD289">
        <f t="shared" si="52"/>
        <v>13.687100000000001</v>
      </c>
      <c r="AE289">
        <f t="shared" si="53"/>
        <v>5.4070888550000005</v>
      </c>
      <c r="AF289" s="9"/>
      <c r="AG289" s="22">
        <v>1.3049299999999999</v>
      </c>
      <c r="AH289" s="22">
        <v>62.358699999999999</v>
      </c>
      <c r="AI289" s="22">
        <v>-6.9518999999999996E-3</v>
      </c>
      <c r="AJ289" s="22">
        <v>279</v>
      </c>
      <c r="AK289" s="22">
        <v>1.3043199999999999</v>
      </c>
      <c r="AL289">
        <f t="shared" si="54"/>
        <v>6.9518999999999993</v>
      </c>
      <c r="AM289">
        <f t="shared" si="55"/>
        <v>9.0717428669999993</v>
      </c>
      <c r="AP289" s="9"/>
      <c r="AQ289" s="22">
        <v>0.39505000000000001</v>
      </c>
      <c r="AR289" s="22">
        <v>69.3583</v>
      </c>
      <c r="AS289" s="22">
        <v>-1.34857E-2</v>
      </c>
      <c r="AT289" s="22">
        <v>279</v>
      </c>
      <c r="AU289" s="22">
        <v>0.39440900000000001</v>
      </c>
      <c r="AV289">
        <f t="shared" si="56"/>
        <v>13.4857</v>
      </c>
      <c r="AW289">
        <f t="shared" si="57"/>
        <v>5.3275257849999997</v>
      </c>
      <c r="AX289" s="9"/>
      <c r="AY289" s="22">
        <v>1.3049299999999999</v>
      </c>
      <c r="AZ289" s="22">
        <v>74.634900000000002</v>
      </c>
      <c r="BA289" s="22">
        <v>-6.8115199999999997E-3</v>
      </c>
      <c r="BB289" s="22">
        <v>279</v>
      </c>
      <c r="BC289" s="22">
        <v>1.3037099999999999</v>
      </c>
      <c r="BD289">
        <f t="shared" si="58"/>
        <v>6.8115199999999998</v>
      </c>
      <c r="BE289">
        <f t="shared" si="59"/>
        <v>8.8885567935999994</v>
      </c>
    </row>
    <row r="290" spans="6:57">
      <c r="F290" s="9"/>
      <c r="G290" s="22">
        <v>0.390015</v>
      </c>
      <c r="H290" s="22">
        <v>9.5372299999999992</v>
      </c>
      <c r="I290" s="22">
        <v>-1.35803E-2</v>
      </c>
      <c r="J290" s="22">
        <v>280</v>
      </c>
      <c r="K290" s="22">
        <v>0.38940399999999997</v>
      </c>
      <c r="L290">
        <f t="shared" si="48"/>
        <v>13.580299999999999</v>
      </c>
      <c r="M290">
        <f t="shared" si="49"/>
        <v>5.2965207044999998</v>
      </c>
      <c r="N290" s="9"/>
      <c r="O290" s="22">
        <v>1.3099700000000001</v>
      </c>
      <c r="P290" s="22">
        <v>49.012500000000003</v>
      </c>
      <c r="Q290" s="22">
        <v>-7.2082500000000002E-3</v>
      </c>
      <c r="R290" s="22">
        <v>280</v>
      </c>
      <c r="S290" s="22">
        <v>1.3089</v>
      </c>
      <c r="T290">
        <f t="shared" si="50"/>
        <v>7.2082500000000005</v>
      </c>
      <c r="U290">
        <f t="shared" si="51"/>
        <v>9.4425912525000015</v>
      </c>
      <c r="X290" s="9"/>
      <c r="Y290" s="22">
        <v>0.390015</v>
      </c>
      <c r="Z290" s="22">
        <v>56.824100000000001</v>
      </c>
      <c r="AA290" s="22">
        <v>-1.3726800000000001E-2</v>
      </c>
      <c r="AB290" s="22">
        <v>280</v>
      </c>
      <c r="AC290" s="22">
        <v>0.389374</v>
      </c>
      <c r="AD290">
        <f t="shared" si="52"/>
        <v>13.726800000000001</v>
      </c>
      <c r="AE290">
        <f t="shared" si="53"/>
        <v>5.3536579020000001</v>
      </c>
      <c r="AF290" s="9"/>
      <c r="AG290" s="22">
        <v>1.3099700000000001</v>
      </c>
      <c r="AH290" s="22">
        <v>62.368699999999997</v>
      </c>
      <c r="AI290" s="22">
        <v>-6.9061299999999999E-3</v>
      </c>
      <c r="AJ290" s="22">
        <v>280</v>
      </c>
      <c r="AK290" s="22">
        <v>1.3091999999999999</v>
      </c>
      <c r="AL290">
        <f t="shared" si="54"/>
        <v>6.9061300000000001</v>
      </c>
      <c r="AM290">
        <f t="shared" si="55"/>
        <v>9.0468231161000006</v>
      </c>
      <c r="AP290" s="9"/>
      <c r="AQ290" s="22">
        <v>0.390015</v>
      </c>
      <c r="AR290" s="22">
        <v>69.368399999999994</v>
      </c>
      <c r="AS290" s="22">
        <v>-1.3507099999999999E-2</v>
      </c>
      <c r="AT290" s="22">
        <v>280</v>
      </c>
      <c r="AU290" s="22">
        <v>0.38940399999999997</v>
      </c>
      <c r="AV290">
        <f t="shared" si="56"/>
        <v>13.507099999999999</v>
      </c>
      <c r="AW290">
        <f t="shared" si="57"/>
        <v>5.2679716064999997</v>
      </c>
      <c r="AX290" s="9"/>
      <c r="AY290" s="22">
        <v>1.3099700000000001</v>
      </c>
      <c r="AZ290" s="22">
        <v>74.644999999999996</v>
      </c>
      <c r="BA290" s="22">
        <v>-6.7688000000000002E-3</v>
      </c>
      <c r="BB290" s="22">
        <v>280</v>
      </c>
      <c r="BC290" s="22">
        <v>1.3089</v>
      </c>
      <c r="BD290">
        <f t="shared" si="58"/>
        <v>6.7688000000000006</v>
      </c>
      <c r="BE290">
        <f t="shared" si="59"/>
        <v>8.866924936000002</v>
      </c>
    </row>
    <row r="291" spans="6:57">
      <c r="F291" s="9"/>
      <c r="G291" s="22">
        <v>0.38497900000000002</v>
      </c>
      <c r="H291" s="22">
        <v>9.5472999999999999</v>
      </c>
      <c r="I291" s="22">
        <v>-1.36139E-2</v>
      </c>
      <c r="J291" s="22">
        <v>281</v>
      </c>
      <c r="K291" s="22">
        <v>0.38436900000000002</v>
      </c>
      <c r="L291">
        <f t="shared" si="48"/>
        <v>13.613899999999999</v>
      </c>
      <c r="M291">
        <f t="shared" si="49"/>
        <v>5.2410656080999996</v>
      </c>
      <c r="N291" s="9"/>
      <c r="O291" s="22">
        <v>1.3149999999999999</v>
      </c>
      <c r="P291" s="22">
        <v>49.022500000000001</v>
      </c>
      <c r="Q291" s="22">
        <v>-7.1563699999999996E-3</v>
      </c>
      <c r="R291" s="22">
        <v>281</v>
      </c>
      <c r="S291" s="22">
        <v>1.3147</v>
      </c>
      <c r="T291">
        <f t="shared" si="50"/>
        <v>7.1563699999999999</v>
      </c>
      <c r="U291">
        <f t="shared" si="51"/>
        <v>9.4106265499999999</v>
      </c>
      <c r="X291" s="9"/>
      <c r="Y291" s="22">
        <v>0.38497900000000002</v>
      </c>
      <c r="Z291" s="22">
        <v>56.834200000000003</v>
      </c>
      <c r="AA291" s="22">
        <v>-1.3754300000000001E-2</v>
      </c>
      <c r="AB291" s="22">
        <v>281</v>
      </c>
      <c r="AC291" s="22">
        <v>0.38430799999999998</v>
      </c>
      <c r="AD291">
        <f t="shared" si="52"/>
        <v>13.754300000000001</v>
      </c>
      <c r="AE291">
        <f t="shared" si="53"/>
        <v>5.2951166597000006</v>
      </c>
      <c r="AF291" s="9"/>
      <c r="AG291" s="22">
        <v>1.3149999999999999</v>
      </c>
      <c r="AH291" s="22">
        <v>62.378799999999998</v>
      </c>
      <c r="AI291" s="22">
        <v>-6.8603500000000003E-3</v>
      </c>
      <c r="AJ291" s="22">
        <v>281</v>
      </c>
      <c r="AK291" s="22">
        <v>1.3143899999999999</v>
      </c>
      <c r="AL291">
        <f t="shared" si="54"/>
        <v>6.8603500000000004</v>
      </c>
      <c r="AM291">
        <f t="shared" si="55"/>
        <v>9.0213602500000007</v>
      </c>
      <c r="AP291" s="9"/>
      <c r="AQ291" s="22">
        <v>0.38497900000000002</v>
      </c>
      <c r="AR291" s="22">
        <v>69.378399999999999</v>
      </c>
      <c r="AS291" s="22">
        <v>-1.35315E-2</v>
      </c>
      <c r="AT291" s="22">
        <v>281</v>
      </c>
      <c r="AU291" s="22">
        <v>0.38436900000000002</v>
      </c>
      <c r="AV291">
        <f t="shared" si="56"/>
        <v>13.531499999999999</v>
      </c>
      <c r="AW291">
        <f t="shared" si="57"/>
        <v>5.2093433385000001</v>
      </c>
      <c r="AX291" s="9"/>
      <c r="AY291" s="22">
        <v>1.3149999999999999</v>
      </c>
      <c r="AZ291" s="22">
        <v>74.655100000000004</v>
      </c>
      <c r="BA291" s="22">
        <v>-6.7291299999999998E-3</v>
      </c>
      <c r="BB291" s="22">
        <v>281</v>
      </c>
      <c r="BC291" s="22">
        <v>1.3137799999999999</v>
      </c>
      <c r="BD291">
        <f t="shared" si="58"/>
        <v>6.7291299999999996</v>
      </c>
      <c r="BE291">
        <f t="shared" si="59"/>
        <v>8.8488059499999991</v>
      </c>
    </row>
    <row r="292" spans="6:57">
      <c r="F292" s="9"/>
      <c r="G292" s="22">
        <v>0.379944</v>
      </c>
      <c r="H292" s="22">
        <v>9.5573700000000006</v>
      </c>
      <c r="I292" s="22">
        <v>-1.3644399999999999E-2</v>
      </c>
      <c r="J292" s="22">
        <v>282</v>
      </c>
      <c r="K292" s="22">
        <v>0.37936399999999998</v>
      </c>
      <c r="L292">
        <f t="shared" si="48"/>
        <v>13.644399999999999</v>
      </c>
      <c r="M292">
        <f t="shared" si="49"/>
        <v>5.1841079136000001</v>
      </c>
      <c r="N292" s="9"/>
      <c r="O292" s="22">
        <v>1.3200400000000001</v>
      </c>
      <c r="P292" s="22">
        <v>49.032600000000002</v>
      </c>
      <c r="Q292" s="22">
        <v>-7.1075399999999999E-3</v>
      </c>
      <c r="R292" s="22">
        <v>282</v>
      </c>
      <c r="S292" s="22">
        <v>1.3192699999999999</v>
      </c>
      <c r="T292">
        <f t="shared" si="50"/>
        <v>7.1075400000000002</v>
      </c>
      <c r="U292">
        <f t="shared" si="51"/>
        <v>9.3822371016000012</v>
      </c>
      <c r="X292" s="9"/>
      <c r="Y292" s="22">
        <v>0.379944</v>
      </c>
      <c r="Z292" s="22">
        <v>56.844299999999997</v>
      </c>
      <c r="AA292" s="22">
        <v>-1.3775600000000001E-2</v>
      </c>
      <c r="AB292" s="22">
        <v>282</v>
      </c>
      <c r="AC292" s="22">
        <v>0.37936399999999998</v>
      </c>
      <c r="AD292">
        <f t="shared" si="52"/>
        <v>13.775600000000001</v>
      </c>
      <c r="AE292">
        <f t="shared" si="53"/>
        <v>5.2339565664000007</v>
      </c>
      <c r="AF292" s="9"/>
      <c r="AG292" s="22">
        <v>1.3200400000000001</v>
      </c>
      <c r="AH292" s="22">
        <v>62.3889</v>
      </c>
      <c r="AI292" s="22">
        <v>-6.8176299999999999E-3</v>
      </c>
      <c r="AJ292" s="22">
        <v>282</v>
      </c>
      <c r="AK292" s="22">
        <v>1.3192699999999999</v>
      </c>
      <c r="AL292">
        <f t="shared" si="54"/>
        <v>6.8176300000000003</v>
      </c>
      <c r="AM292">
        <f t="shared" si="55"/>
        <v>8.9995443052000006</v>
      </c>
      <c r="AP292" s="9"/>
      <c r="AQ292" s="22">
        <v>0.379944</v>
      </c>
      <c r="AR292" s="22">
        <v>69.388499999999993</v>
      </c>
      <c r="AS292" s="22">
        <v>-1.35681E-2</v>
      </c>
      <c r="AT292" s="22">
        <v>282</v>
      </c>
      <c r="AU292" s="22">
        <v>0.37933299999999998</v>
      </c>
      <c r="AV292">
        <f t="shared" si="56"/>
        <v>13.568099999999999</v>
      </c>
      <c r="AW292">
        <f t="shared" si="57"/>
        <v>5.1551181864000002</v>
      </c>
      <c r="AX292" s="9"/>
      <c r="AY292" s="22">
        <v>1.3200400000000001</v>
      </c>
      <c r="AZ292" s="22">
        <v>74.665099999999995</v>
      </c>
      <c r="BA292" s="22">
        <v>-6.6864000000000003E-3</v>
      </c>
      <c r="BB292" s="22">
        <v>282</v>
      </c>
      <c r="BC292" s="22">
        <v>1.31958</v>
      </c>
      <c r="BD292">
        <f t="shared" si="58"/>
        <v>6.6863999999999999</v>
      </c>
      <c r="BE292">
        <f t="shared" si="59"/>
        <v>8.8263154559999997</v>
      </c>
    </row>
    <row r="293" spans="6:57">
      <c r="F293" s="9"/>
      <c r="G293" s="22">
        <v>0.37490800000000002</v>
      </c>
      <c r="H293" s="22">
        <v>9.5674499999999991</v>
      </c>
      <c r="I293" s="22">
        <v>-1.36688E-2</v>
      </c>
      <c r="J293" s="22">
        <v>283</v>
      </c>
      <c r="K293" s="22">
        <v>0.374359</v>
      </c>
      <c r="L293">
        <f t="shared" si="48"/>
        <v>13.668799999999999</v>
      </c>
      <c r="M293">
        <f t="shared" si="49"/>
        <v>5.1245424703999998</v>
      </c>
      <c r="N293" s="9"/>
      <c r="O293" s="22">
        <v>1.32507</v>
      </c>
      <c r="P293" s="22">
        <v>49.042700000000004</v>
      </c>
      <c r="Q293" s="22">
        <v>-7.0587200000000001E-3</v>
      </c>
      <c r="R293" s="22">
        <v>283</v>
      </c>
      <c r="S293" s="22">
        <v>1.32446</v>
      </c>
      <c r="T293">
        <f t="shared" si="50"/>
        <v>7.0587200000000001</v>
      </c>
      <c r="U293">
        <f t="shared" si="51"/>
        <v>9.3532981104000008</v>
      </c>
      <c r="X293" s="9"/>
      <c r="Y293" s="22">
        <v>0.37490800000000002</v>
      </c>
      <c r="Z293" s="22">
        <v>56.854300000000002</v>
      </c>
      <c r="AA293" s="22">
        <v>-1.38031E-2</v>
      </c>
      <c r="AB293" s="22">
        <v>283</v>
      </c>
      <c r="AC293" s="22">
        <v>0.37426799999999999</v>
      </c>
      <c r="AD293">
        <f t="shared" si="52"/>
        <v>13.803100000000001</v>
      </c>
      <c r="AE293">
        <f t="shared" si="53"/>
        <v>5.1748926148000001</v>
      </c>
      <c r="AF293" s="9"/>
      <c r="AG293" s="22">
        <v>1.32507</v>
      </c>
      <c r="AH293" s="22">
        <v>62.399000000000001</v>
      </c>
      <c r="AI293" s="22">
        <v>-6.7688000000000002E-3</v>
      </c>
      <c r="AJ293" s="22">
        <v>283</v>
      </c>
      <c r="AK293" s="22">
        <v>1.32477</v>
      </c>
      <c r="AL293">
        <f t="shared" si="54"/>
        <v>6.7688000000000006</v>
      </c>
      <c r="AM293">
        <f t="shared" si="55"/>
        <v>8.9691338160000011</v>
      </c>
      <c r="AP293" s="9"/>
      <c r="AQ293" s="22">
        <v>0.37490800000000002</v>
      </c>
      <c r="AR293" s="22">
        <v>69.398600000000002</v>
      </c>
      <c r="AS293" s="22">
        <v>-1.3598600000000001E-2</v>
      </c>
      <c r="AT293" s="22">
        <v>283</v>
      </c>
      <c r="AU293" s="22">
        <v>0.37426799999999999</v>
      </c>
      <c r="AV293">
        <f t="shared" si="56"/>
        <v>13.598600000000001</v>
      </c>
      <c r="AW293">
        <f t="shared" si="57"/>
        <v>5.0982239288000004</v>
      </c>
      <c r="AX293" s="9"/>
      <c r="AY293" s="22">
        <v>1.32507</v>
      </c>
      <c r="AZ293" s="22">
        <v>74.675200000000004</v>
      </c>
      <c r="BA293" s="22">
        <v>-6.6436799999999999E-3</v>
      </c>
      <c r="BB293" s="22">
        <v>283</v>
      </c>
      <c r="BC293" s="22">
        <v>1.32446</v>
      </c>
      <c r="BD293">
        <f t="shared" si="58"/>
        <v>6.6436799999999998</v>
      </c>
      <c r="BE293">
        <f t="shared" si="59"/>
        <v>8.8033410575999991</v>
      </c>
    </row>
    <row r="294" spans="6:57">
      <c r="F294" s="9"/>
      <c r="G294" s="22">
        <v>0.36987300000000001</v>
      </c>
      <c r="H294" s="22">
        <v>9.5775199999999998</v>
      </c>
      <c r="I294" s="22">
        <v>-1.36963E-2</v>
      </c>
      <c r="J294" s="22">
        <v>284</v>
      </c>
      <c r="K294" s="22">
        <v>0.36926300000000001</v>
      </c>
      <c r="L294">
        <f t="shared" si="48"/>
        <v>13.696299999999999</v>
      </c>
      <c r="M294">
        <f t="shared" si="49"/>
        <v>5.0658915698999998</v>
      </c>
      <c r="N294" s="9"/>
      <c r="O294" s="22">
        <v>1.3301099999999999</v>
      </c>
      <c r="P294" s="22">
        <v>49.052799999999998</v>
      </c>
      <c r="Q294" s="22">
        <v>-7.0129399999999996E-3</v>
      </c>
      <c r="R294" s="22">
        <v>284</v>
      </c>
      <c r="S294" s="22">
        <v>1.32935</v>
      </c>
      <c r="T294">
        <f t="shared" si="50"/>
        <v>7.0129399999999995</v>
      </c>
      <c r="U294">
        <f t="shared" si="51"/>
        <v>9.3279816233999995</v>
      </c>
      <c r="X294" s="9"/>
      <c r="Y294" s="22">
        <v>0.36987300000000001</v>
      </c>
      <c r="Z294" s="22">
        <v>56.864400000000003</v>
      </c>
      <c r="AA294" s="22">
        <v>-1.38336E-2</v>
      </c>
      <c r="AB294" s="22">
        <v>284</v>
      </c>
      <c r="AC294" s="22">
        <v>0.369232</v>
      </c>
      <c r="AD294">
        <f t="shared" si="52"/>
        <v>13.833600000000001</v>
      </c>
      <c r="AE294">
        <f t="shared" si="53"/>
        <v>5.1166751328000002</v>
      </c>
      <c r="AF294" s="9"/>
      <c r="AG294" s="22">
        <v>1.3301099999999999</v>
      </c>
      <c r="AH294" s="22">
        <v>62.408999999999999</v>
      </c>
      <c r="AI294" s="22">
        <v>-6.7199699999999996E-3</v>
      </c>
      <c r="AJ294" s="22">
        <v>284</v>
      </c>
      <c r="AK294" s="22">
        <v>1.32965</v>
      </c>
      <c r="AL294">
        <f t="shared" si="54"/>
        <v>6.71997</v>
      </c>
      <c r="AM294">
        <f t="shared" si="55"/>
        <v>8.9382992966999986</v>
      </c>
      <c r="AP294" s="9"/>
      <c r="AQ294" s="22">
        <v>0.36987300000000001</v>
      </c>
      <c r="AR294" s="22">
        <v>69.408699999999996</v>
      </c>
      <c r="AS294" s="22">
        <v>-1.36261E-2</v>
      </c>
      <c r="AT294" s="22">
        <v>284</v>
      </c>
      <c r="AU294" s="22">
        <v>0.36920199999999997</v>
      </c>
      <c r="AV294">
        <f t="shared" si="56"/>
        <v>13.626100000000001</v>
      </c>
      <c r="AW294">
        <f t="shared" si="57"/>
        <v>5.0399264853000005</v>
      </c>
      <c r="AX294" s="9"/>
      <c r="AY294" s="22">
        <v>1.3301099999999999</v>
      </c>
      <c r="AZ294" s="22">
        <v>74.685299999999998</v>
      </c>
      <c r="BA294" s="22">
        <v>-6.5979000000000003E-3</v>
      </c>
      <c r="BB294" s="22">
        <v>284</v>
      </c>
      <c r="BC294" s="22">
        <v>1.32904</v>
      </c>
      <c r="BD294">
        <f t="shared" si="58"/>
        <v>6.5979000000000001</v>
      </c>
      <c r="BE294">
        <f t="shared" si="59"/>
        <v>8.7759327689999989</v>
      </c>
    </row>
    <row r="295" spans="6:57">
      <c r="F295" s="9"/>
      <c r="G295" s="22">
        <v>0.364838</v>
      </c>
      <c r="H295" s="22">
        <v>9.5875900000000005</v>
      </c>
      <c r="I295" s="22">
        <v>-1.3720700000000001E-2</v>
      </c>
      <c r="J295" s="22">
        <v>285</v>
      </c>
      <c r="K295" s="22">
        <v>0.36419699999999999</v>
      </c>
      <c r="L295">
        <f t="shared" si="48"/>
        <v>13.720700000000001</v>
      </c>
      <c r="M295">
        <f t="shared" si="49"/>
        <v>5.0058327466000003</v>
      </c>
      <c r="N295" s="9"/>
      <c r="O295" s="22">
        <v>1.33514</v>
      </c>
      <c r="P295" s="22">
        <v>49.062800000000003</v>
      </c>
      <c r="Q295" s="22">
        <v>-6.9641099999999999E-3</v>
      </c>
      <c r="R295" s="22">
        <v>285</v>
      </c>
      <c r="S295" s="22">
        <v>1.33392</v>
      </c>
      <c r="T295">
        <f t="shared" si="50"/>
        <v>6.9641099999999998</v>
      </c>
      <c r="U295">
        <f t="shared" si="51"/>
        <v>9.2980618253999996</v>
      </c>
      <c r="X295" s="9"/>
      <c r="Y295" s="22">
        <v>0.364838</v>
      </c>
      <c r="Z295" s="22">
        <v>56.874499999999998</v>
      </c>
      <c r="AA295" s="22">
        <v>-1.38672E-2</v>
      </c>
      <c r="AB295" s="22">
        <v>285</v>
      </c>
      <c r="AC295" s="22">
        <v>0.36422700000000002</v>
      </c>
      <c r="AD295">
        <f t="shared" si="52"/>
        <v>13.8672</v>
      </c>
      <c r="AE295">
        <f t="shared" si="53"/>
        <v>5.0592815136000002</v>
      </c>
      <c r="AF295" s="9"/>
      <c r="AG295" s="22">
        <v>1.33514</v>
      </c>
      <c r="AH295" s="22">
        <v>62.4191</v>
      </c>
      <c r="AI295" s="22">
        <v>-6.6711399999999999E-3</v>
      </c>
      <c r="AJ295" s="22">
        <v>285</v>
      </c>
      <c r="AK295" s="22">
        <v>1.33484</v>
      </c>
      <c r="AL295">
        <f t="shared" si="54"/>
        <v>6.6711400000000003</v>
      </c>
      <c r="AM295">
        <f t="shared" si="55"/>
        <v>8.9069058596000001</v>
      </c>
      <c r="AP295" s="9"/>
      <c r="AQ295" s="22">
        <v>0.364838</v>
      </c>
      <c r="AR295" s="22">
        <v>69.418700000000001</v>
      </c>
      <c r="AS295" s="22">
        <v>-1.36536E-2</v>
      </c>
      <c r="AT295" s="22">
        <v>285</v>
      </c>
      <c r="AU295" s="22">
        <v>0.36425800000000003</v>
      </c>
      <c r="AV295">
        <f t="shared" si="56"/>
        <v>13.653600000000001</v>
      </c>
      <c r="AW295">
        <f t="shared" si="57"/>
        <v>4.9813521168000001</v>
      </c>
      <c r="AX295" s="9"/>
      <c r="AY295" s="22">
        <v>1.33514</v>
      </c>
      <c r="AZ295" s="22">
        <v>74.695300000000003</v>
      </c>
      <c r="BA295" s="22">
        <v>-6.5521199999999998E-3</v>
      </c>
      <c r="BB295" s="22">
        <v>285</v>
      </c>
      <c r="BC295" s="22">
        <v>1.33423</v>
      </c>
      <c r="BD295">
        <f t="shared" si="58"/>
        <v>6.5521199999999995</v>
      </c>
      <c r="BE295">
        <f t="shared" si="59"/>
        <v>8.7479974968000001</v>
      </c>
    </row>
    <row r="296" spans="6:57">
      <c r="F296" s="9"/>
      <c r="G296" s="22">
        <v>0.35980200000000001</v>
      </c>
      <c r="H296" s="22">
        <v>9.5976599999999994</v>
      </c>
      <c r="I296" s="22">
        <v>-1.37451E-2</v>
      </c>
      <c r="J296" s="22">
        <v>286</v>
      </c>
      <c r="K296" s="22">
        <v>0.35919200000000001</v>
      </c>
      <c r="L296">
        <f t="shared" si="48"/>
        <v>13.745099999999999</v>
      </c>
      <c r="M296">
        <f t="shared" si="49"/>
        <v>4.9455144702</v>
      </c>
      <c r="N296" s="9"/>
      <c r="O296" s="22">
        <v>1.3401799999999999</v>
      </c>
      <c r="P296" s="22">
        <v>49.072899999999997</v>
      </c>
      <c r="Q296" s="22">
        <v>-6.9122300000000001E-3</v>
      </c>
      <c r="R296" s="22">
        <v>286</v>
      </c>
      <c r="S296" s="22">
        <v>1.33911</v>
      </c>
      <c r="T296">
        <f t="shared" si="50"/>
        <v>6.9122300000000001</v>
      </c>
      <c r="U296">
        <f t="shared" si="51"/>
        <v>9.2636324013999989</v>
      </c>
      <c r="X296" s="9"/>
      <c r="Y296" s="22">
        <v>0.35980200000000001</v>
      </c>
      <c r="Z296" s="22">
        <v>56.884500000000003</v>
      </c>
      <c r="AA296" s="22">
        <v>-1.38916E-2</v>
      </c>
      <c r="AB296" s="22">
        <v>286</v>
      </c>
      <c r="AC296" s="22">
        <v>0.35916100000000001</v>
      </c>
      <c r="AD296">
        <f t="shared" si="52"/>
        <v>13.8916</v>
      </c>
      <c r="AE296">
        <f t="shared" si="53"/>
        <v>4.9982254632000007</v>
      </c>
      <c r="AF296" s="9"/>
      <c r="AG296" s="22">
        <v>1.3401799999999999</v>
      </c>
      <c r="AH296" s="22">
        <v>62.429200000000002</v>
      </c>
      <c r="AI296" s="22">
        <v>-6.6223100000000002E-3</v>
      </c>
      <c r="AJ296" s="22">
        <v>286</v>
      </c>
      <c r="AK296" s="22">
        <v>1.3394200000000001</v>
      </c>
      <c r="AL296">
        <f t="shared" si="54"/>
        <v>6.6223100000000006</v>
      </c>
      <c r="AM296">
        <f t="shared" si="55"/>
        <v>8.8750874157999995</v>
      </c>
      <c r="AP296" s="9"/>
      <c r="AQ296" s="22">
        <v>0.35980200000000001</v>
      </c>
      <c r="AR296" s="22">
        <v>69.428799999999995</v>
      </c>
      <c r="AS296" s="22">
        <v>-1.3684099999999999E-2</v>
      </c>
      <c r="AT296" s="22">
        <v>286</v>
      </c>
      <c r="AU296" s="22">
        <v>0.35913099999999998</v>
      </c>
      <c r="AV296">
        <f t="shared" si="56"/>
        <v>13.684099999999999</v>
      </c>
      <c r="AW296">
        <f t="shared" si="57"/>
        <v>4.9235665482000002</v>
      </c>
      <c r="AX296" s="9"/>
      <c r="AY296" s="22">
        <v>1.3401799999999999</v>
      </c>
      <c r="AZ296" s="22">
        <v>74.705399999999997</v>
      </c>
      <c r="BA296" s="22">
        <v>-6.5063500000000002E-3</v>
      </c>
      <c r="BB296" s="22">
        <v>286</v>
      </c>
      <c r="BC296" s="22">
        <v>1.3388100000000001</v>
      </c>
      <c r="BD296">
        <f t="shared" si="58"/>
        <v>6.5063500000000003</v>
      </c>
      <c r="BE296">
        <f t="shared" si="59"/>
        <v>8.7196801429999997</v>
      </c>
    </row>
    <row r="297" spans="6:57">
      <c r="F297" s="9"/>
      <c r="G297" s="22">
        <v>0.354767</v>
      </c>
      <c r="H297" s="22">
        <v>9.6077300000000001</v>
      </c>
      <c r="I297" s="22">
        <v>-1.3766499999999999E-2</v>
      </c>
      <c r="J297" s="22">
        <v>287</v>
      </c>
      <c r="K297" s="22">
        <v>0.354126</v>
      </c>
      <c r="L297">
        <f t="shared" si="48"/>
        <v>13.766499999999999</v>
      </c>
      <c r="M297">
        <f t="shared" si="49"/>
        <v>4.8838999054999999</v>
      </c>
      <c r="N297" s="9"/>
      <c r="O297" s="22">
        <v>1.34521</v>
      </c>
      <c r="P297" s="22">
        <v>49.082999999999998</v>
      </c>
      <c r="Q297" s="22">
        <v>-6.8634000000000004E-3</v>
      </c>
      <c r="R297" s="22">
        <v>287</v>
      </c>
      <c r="S297" s="22">
        <v>1.34491</v>
      </c>
      <c r="T297">
        <f t="shared" si="50"/>
        <v>6.8634000000000004</v>
      </c>
      <c r="U297">
        <f t="shared" si="51"/>
        <v>9.2327143140000008</v>
      </c>
      <c r="X297" s="9"/>
      <c r="Y297" s="22">
        <v>0.354767</v>
      </c>
      <c r="Z297" s="22">
        <v>56.894599999999997</v>
      </c>
      <c r="AA297" s="22">
        <v>-1.3916E-2</v>
      </c>
      <c r="AB297" s="22">
        <v>287</v>
      </c>
      <c r="AC297" s="22">
        <v>0.35418699999999997</v>
      </c>
      <c r="AD297">
        <f t="shared" si="52"/>
        <v>13.916</v>
      </c>
      <c r="AE297">
        <f t="shared" si="53"/>
        <v>4.9369375719999997</v>
      </c>
      <c r="AF297" s="9"/>
      <c r="AG297" s="22">
        <v>1.34521</v>
      </c>
      <c r="AH297" s="22">
        <v>62.4392</v>
      </c>
      <c r="AI297" s="22">
        <v>-6.5704300000000004E-3</v>
      </c>
      <c r="AJ297" s="22">
        <v>287</v>
      </c>
      <c r="AK297" s="22">
        <v>1.3446</v>
      </c>
      <c r="AL297">
        <f t="shared" si="54"/>
        <v>6.57043</v>
      </c>
      <c r="AM297">
        <f t="shared" si="55"/>
        <v>8.8386081402999999</v>
      </c>
      <c r="AP297" s="9"/>
      <c r="AQ297" s="22">
        <v>0.354767</v>
      </c>
      <c r="AR297" s="22">
        <v>69.438900000000004</v>
      </c>
      <c r="AS297" s="22">
        <v>-1.37085E-2</v>
      </c>
      <c r="AT297" s="22">
        <v>287</v>
      </c>
      <c r="AU297" s="22">
        <v>0.35415600000000003</v>
      </c>
      <c r="AV297">
        <f t="shared" si="56"/>
        <v>13.708500000000001</v>
      </c>
      <c r="AW297">
        <f t="shared" si="57"/>
        <v>4.8633234195000004</v>
      </c>
      <c r="AX297" s="9"/>
      <c r="AY297" s="22">
        <v>1.34521</v>
      </c>
      <c r="AZ297" s="22">
        <v>74.715500000000006</v>
      </c>
      <c r="BA297" s="22">
        <v>-6.4575199999999996E-3</v>
      </c>
      <c r="BB297" s="22">
        <v>287</v>
      </c>
      <c r="BC297" s="22">
        <v>1.3443000000000001</v>
      </c>
      <c r="BD297">
        <f t="shared" si="58"/>
        <v>6.4575199999999997</v>
      </c>
      <c r="BE297">
        <f t="shared" si="59"/>
        <v>8.6867204791999999</v>
      </c>
    </row>
    <row r="298" spans="6:57">
      <c r="F298" s="9"/>
      <c r="G298" s="22">
        <v>0.34973100000000001</v>
      </c>
      <c r="H298" s="22">
        <v>9.6178000000000008</v>
      </c>
      <c r="I298" s="22">
        <v>-1.37909E-2</v>
      </c>
      <c r="J298" s="22">
        <v>288</v>
      </c>
      <c r="K298" s="22">
        <v>0.34912100000000001</v>
      </c>
      <c r="L298">
        <f t="shared" si="48"/>
        <v>13.790900000000001</v>
      </c>
      <c r="M298">
        <f t="shared" si="49"/>
        <v>4.8231052479000001</v>
      </c>
      <c r="N298" s="9"/>
      <c r="O298" s="22">
        <v>1.35025</v>
      </c>
      <c r="P298" s="22">
        <v>49.093000000000004</v>
      </c>
      <c r="Q298" s="22">
        <v>-6.8115199999999997E-3</v>
      </c>
      <c r="R298" s="22">
        <v>288</v>
      </c>
      <c r="S298" s="22">
        <v>1.34918</v>
      </c>
      <c r="T298">
        <f t="shared" si="50"/>
        <v>6.8115199999999998</v>
      </c>
      <c r="U298">
        <f t="shared" si="51"/>
        <v>9.1972548799999991</v>
      </c>
      <c r="X298" s="9"/>
      <c r="Y298" s="22">
        <v>0.34973100000000001</v>
      </c>
      <c r="Z298" s="22">
        <v>56.904699999999998</v>
      </c>
      <c r="AA298" s="22">
        <v>-1.3943499999999999E-2</v>
      </c>
      <c r="AB298" s="22">
        <v>288</v>
      </c>
      <c r="AC298" s="22">
        <v>0.34896899999999997</v>
      </c>
      <c r="AD298">
        <f t="shared" si="52"/>
        <v>13.943499999999998</v>
      </c>
      <c r="AE298">
        <f t="shared" si="53"/>
        <v>4.8764741984999995</v>
      </c>
      <c r="AF298" s="9"/>
      <c r="AG298" s="22">
        <v>1.35025</v>
      </c>
      <c r="AH298" s="22">
        <v>62.449300000000001</v>
      </c>
      <c r="AI298" s="22">
        <v>-6.5216099999999997E-3</v>
      </c>
      <c r="AJ298" s="22">
        <v>288</v>
      </c>
      <c r="AK298" s="22">
        <v>1.3494900000000001</v>
      </c>
      <c r="AL298">
        <f t="shared" si="54"/>
        <v>6.5216099999999999</v>
      </c>
      <c r="AM298">
        <f t="shared" si="55"/>
        <v>8.8058039024999992</v>
      </c>
      <c r="AP298" s="9"/>
      <c r="AQ298" s="22">
        <v>0.34973100000000001</v>
      </c>
      <c r="AR298" s="22">
        <v>69.448899999999995</v>
      </c>
      <c r="AS298" s="22">
        <v>-1.37299E-2</v>
      </c>
      <c r="AT298" s="22">
        <v>288</v>
      </c>
      <c r="AU298" s="22">
        <v>0.34909099999999998</v>
      </c>
      <c r="AV298">
        <f t="shared" si="56"/>
        <v>13.729899999999999</v>
      </c>
      <c r="AW298">
        <f t="shared" si="57"/>
        <v>4.8017716568999997</v>
      </c>
      <c r="AX298" s="9"/>
      <c r="AY298" s="22">
        <v>1.35025</v>
      </c>
      <c r="AZ298" s="22">
        <v>74.7256</v>
      </c>
      <c r="BA298" s="22">
        <v>-6.4056399999999998E-3</v>
      </c>
      <c r="BB298" s="22">
        <v>288</v>
      </c>
      <c r="BC298" s="22">
        <v>1.3494900000000001</v>
      </c>
      <c r="BD298">
        <f t="shared" si="58"/>
        <v>6.40564</v>
      </c>
      <c r="BE298">
        <f t="shared" si="59"/>
        <v>8.64921541</v>
      </c>
    </row>
    <row r="299" spans="6:57">
      <c r="F299" s="9"/>
      <c r="G299" s="22">
        <v>0.344696</v>
      </c>
      <c r="H299" s="22">
        <v>9.6278699999999997</v>
      </c>
      <c r="I299" s="22">
        <v>-1.3815300000000001E-2</v>
      </c>
      <c r="J299" s="22">
        <v>289</v>
      </c>
      <c r="K299" s="22">
        <v>0.344055</v>
      </c>
      <c r="L299">
        <f t="shared" si="48"/>
        <v>13.815300000000001</v>
      </c>
      <c r="M299">
        <f t="shared" si="49"/>
        <v>4.7620786488000002</v>
      </c>
      <c r="N299" s="9"/>
      <c r="O299" s="22">
        <v>1.3552900000000001</v>
      </c>
      <c r="P299" s="22">
        <v>49.103099999999998</v>
      </c>
      <c r="Q299" s="22">
        <v>-6.7627E-3</v>
      </c>
      <c r="R299" s="22">
        <v>289</v>
      </c>
      <c r="S299" s="22">
        <v>1.3543700000000001</v>
      </c>
      <c r="T299">
        <f t="shared" si="50"/>
        <v>6.7626999999999997</v>
      </c>
      <c r="U299">
        <f t="shared" si="51"/>
        <v>9.1654196829999997</v>
      </c>
      <c r="X299" s="9"/>
      <c r="Y299" s="22">
        <v>0.344696</v>
      </c>
      <c r="Z299" s="22">
        <v>56.9148</v>
      </c>
      <c r="AA299" s="22">
        <v>-1.3980100000000001E-2</v>
      </c>
      <c r="AB299" s="22">
        <v>289</v>
      </c>
      <c r="AC299" s="22">
        <v>0.344086</v>
      </c>
      <c r="AD299">
        <f t="shared" si="52"/>
        <v>13.9801</v>
      </c>
      <c r="AE299">
        <f t="shared" si="53"/>
        <v>4.8188845495999999</v>
      </c>
      <c r="AF299" s="9"/>
      <c r="AG299" s="22">
        <v>1.3552900000000001</v>
      </c>
      <c r="AH299" s="22">
        <v>62.459400000000002</v>
      </c>
      <c r="AI299" s="22">
        <v>-6.47278E-3</v>
      </c>
      <c r="AJ299" s="22">
        <v>289</v>
      </c>
      <c r="AK299" s="22">
        <v>1.3549800000000001</v>
      </c>
      <c r="AL299">
        <f t="shared" si="54"/>
        <v>6.4727800000000002</v>
      </c>
      <c r="AM299">
        <f t="shared" si="55"/>
        <v>8.7724940062000005</v>
      </c>
      <c r="AP299" s="9"/>
      <c r="AQ299" s="22">
        <v>0.344696</v>
      </c>
      <c r="AR299" s="22">
        <v>69.459000000000003</v>
      </c>
      <c r="AS299" s="22">
        <v>-1.37573E-2</v>
      </c>
      <c r="AT299" s="22">
        <v>289</v>
      </c>
      <c r="AU299" s="22">
        <v>0.344055</v>
      </c>
      <c r="AV299">
        <f t="shared" si="56"/>
        <v>13.757300000000001</v>
      </c>
      <c r="AW299">
        <f t="shared" si="57"/>
        <v>4.7420862808000006</v>
      </c>
      <c r="AX299" s="9"/>
      <c r="AY299" s="22">
        <v>1.3552900000000001</v>
      </c>
      <c r="AZ299" s="22">
        <v>74.735600000000005</v>
      </c>
      <c r="BA299" s="22">
        <v>-6.3568100000000001E-3</v>
      </c>
      <c r="BB299" s="22">
        <v>289</v>
      </c>
      <c r="BC299" s="22">
        <v>1.35406</v>
      </c>
      <c r="BD299">
        <f t="shared" si="58"/>
        <v>6.3568100000000003</v>
      </c>
      <c r="BE299">
        <f t="shared" si="59"/>
        <v>8.6153210249000018</v>
      </c>
    </row>
    <row r="300" spans="6:57">
      <c r="F300" s="9"/>
      <c r="G300" s="22">
        <v>0.33966099999999999</v>
      </c>
      <c r="H300" s="22">
        <v>9.6379400000000004</v>
      </c>
      <c r="I300" s="22">
        <v>-1.38306E-2</v>
      </c>
      <c r="J300" s="22">
        <v>290</v>
      </c>
      <c r="K300" s="22">
        <v>0.33892800000000001</v>
      </c>
      <c r="L300">
        <f t="shared" si="48"/>
        <v>13.8306</v>
      </c>
      <c r="M300">
        <f t="shared" si="49"/>
        <v>4.6977154266000003</v>
      </c>
      <c r="N300" s="9"/>
      <c r="O300" s="22">
        <v>1.36032</v>
      </c>
      <c r="P300" s="22">
        <v>49.113199999999999</v>
      </c>
      <c r="Q300" s="22">
        <v>-6.7108200000000002E-3</v>
      </c>
      <c r="R300" s="22">
        <v>290</v>
      </c>
      <c r="S300" s="22">
        <v>1.3592500000000001</v>
      </c>
      <c r="T300">
        <f t="shared" si="50"/>
        <v>6.71082</v>
      </c>
      <c r="U300">
        <f t="shared" si="51"/>
        <v>9.1288626623999996</v>
      </c>
      <c r="X300" s="9"/>
      <c r="Y300" s="22">
        <v>0.33966099999999999</v>
      </c>
      <c r="Z300" s="22">
        <v>56.924799999999998</v>
      </c>
      <c r="AA300" s="22">
        <v>-1.40106E-2</v>
      </c>
      <c r="AB300" s="22">
        <v>290</v>
      </c>
      <c r="AC300" s="22">
        <v>0.33898899999999998</v>
      </c>
      <c r="AD300">
        <f t="shared" si="52"/>
        <v>14.0106</v>
      </c>
      <c r="AE300">
        <f t="shared" si="53"/>
        <v>4.7588544066000003</v>
      </c>
      <c r="AF300" s="9"/>
      <c r="AG300" s="22">
        <v>1.36032</v>
      </c>
      <c r="AH300" s="22">
        <v>62.469499999999996</v>
      </c>
      <c r="AI300" s="22">
        <v>-6.4239500000000003E-3</v>
      </c>
      <c r="AJ300" s="22">
        <v>290</v>
      </c>
      <c r="AK300" s="22">
        <v>1.3589500000000001</v>
      </c>
      <c r="AL300">
        <f t="shared" si="54"/>
        <v>6.4239500000000005</v>
      </c>
      <c r="AM300">
        <f t="shared" si="55"/>
        <v>8.7386276640000009</v>
      </c>
      <c r="AP300" s="9"/>
      <c r="AQ300" s="22">
        <v>0.33966099999999999</v>
      </c>
      <c r="AR300" s="22">
        <v>69.469099999999997</v>
      </c>
      <c r="AS300" s="22">
        <v>-1.37787E-2</v>
      </c>
      <c r="AT300" s="22">
        <v>290</v>
      </c>
      <c r="AU300" s="22">
        <v>0.33901999999999999</v>
      </c>
      <c r="AV300">
        <f t="shared" si="56"/>
        <v>13.778699999999999</v>
      </c>
      <c r="AW300">
        <f t="shared" si="57"/>
        <v>4.6800870206999994</v>
      </c>
      <c r="AX300" s="9"/>
      <c r="AY300" s="22">
        <v>1.36032</v>
      </c>
      <c r="AZ300" s="22">
        <v>74.745699999999999</v>
      </c>
      <c r="BA300" s="22">
        <v>-6.3049300000000003E-3</v>
      </c>
      <c r="BB300" s="22">
        <v>290</v>
      </c>
      <c r="BC300" s="22">
        <v>1.3595600000000001</v>
      </c>
      <c r="BD300">
        <f t="shared" si="58"/>
        <v>6.3049300000000006</v>
      </c>
      <c r="BE300">
        <f t="shared" si="59"/>
        <v>8.5767223776000012</v>
      </c>
    </row>
    <row r="301" spans="6:57">
      <c r="F301" s="9"/>
      <c r="G301" s="22">
        <v>0.33462500000000001</v>
      </c>
      <c r="H301" s="22">
        <v>9.6480099999999993</v>
      </c>
      <c r="I301" s="22">
        <v>-1.38519E-2</v>
      </c>
      <c r="J301" s="22">
        <v>291</v>
      </c>
      <c r="K301" s="22">
        <v>0.33395399999999997</v>
      </c>
      <c r="L301">
        <f t="shared" si="48"/>
        <v>13.851900000000001</v>
      </c>
      <c r="M301">
        <f t="shared" si="49"/>
        <v>4.6351920375000004</v>
      </c>
      <c r="N301" s="9"/>
      <c r="O301" s="22">
        <v>1.3653599999999999</v>
      </c>
      <c r="P301" s="22">
        <v>49.1233</v>
      </c>
      <c r="Q301" s="22">
        <v>-6.6589400000000003E-3</v>
      </c>
      <c r="R301" s="22">
        <v>291</v>
      </c>
      <c r="S301" s="22">
        <v>1.3638300000000001</v>
      </c>
      <c r="T301">
        <f t="shared" si="50"/>
        <v>6.6589400000000003</v>
      </c>
      <c r="U301">
        <f t="shared" si="51"/>
        <v>9.0918503184000006</v>
      </c>
      <c r="X301" s="9"/>
      <c r="Y301" s="22">
        <v>0.33462500000000001</v>
      </c>
      <c r="Z301" s="22">
        <v>56.934899999999999</v>
      </c>
      <c r="AA301" s="22">
        <v>-1.40442E-2</v>
      </c>
      <c r="AB301" s="22">
        <v>291</v>
      </c>
      <c r="AC301" s="22">
        <v>0.33404499999999998</v>
      </c>
      <c r="AD301">
        <f t="shared" si="52"/>
        <v>14.0442</v>
      </c>
      <c r="AE301">
        <f t="shared" si="53"/>
        <v>4.6995404250000004</v>
      </c>
      <c r="AF301" s="9"/>
      <c r="AG301" s="22">
        <v>1.3653599999999999</v>
      </c>
      <c r="AH301" s="22">
        <v>62.479500000000002</v>
      </c>
      <c r="AI301" s="22">
        <v>-6.3720699999999996E-3</v>
      </c>
      <c r="AJ301" s="22">
        <v>291</v>
      </c>
      <c r="AK301" s="22">
        <v>1.3644400000000001</v>
      </c>
      <c r="AL301">
        <f t="shared" si="54"/>
        <v>6.3720699999999999</v>
      </c>
      <c r="AM301">
        <f t="shared" si="55"/>
        <v>8.700169495199999</v>
      </c>
      <c r="AP301" s="9"/>
      <c r="AQ301" s="22">
        <v>0.33462500000000001</v>
      </c>
      <c r="AR301" s="22">
        <v>69.479200000000006</v>
      </c>
      <c r="AS301" s="22">
        <v>-1.38031E-2</v>
      </c>
      <c r="AT301" s="22">
        <v>291</v>
      </c>
      <c r="AU301" s="22">
        <v>0.33395399999999997</v>
      </c>
      <c r="AV301">
        <f t="shared" si="56"/>
        <v>13.803100000000001</v>
      </c>
      <c r="AW301">
        <f t="shared" si="57"/>
        <v>4.6188623375000004</v>
      </c>
      <c r="AX301" s="9"/>
      <c r="AY301" s="22">
        <v>1.3653599999999999</v>
      </c>
      <c r="AZ301" s="22">
        <v>74.755799999999994</v>
      </c>
      <c r="BA301" s="22">
        <v>-6.2530499999999996E-3</v>
      </c>
      <c r="BB301" s="22">
        <v>291</v>
      </c>
      <c r="BC301" s="22">
        <v>1.3644400000000001</v>
      </c>
      <c r="BD301">
        <f t="shared" si="58"/>
        <v>6.25305</v>
      </c>
      <c r="BE301">
        <f t="shared" si="59"/>
        <v>8.5376643479999998</v>
      </c>
    </row>
    <row r="302" spans="6:57">
      <c r="F302" s="9"/>
      <c r="G302" s="22">
        <v>0.32958999999999999</v>
      </c>
      <c r="H302" s="22">
        <v>9.65808</v>
      </c>
      <c r="I302" s="22">
        <v>-1.38824E-2</v>
      </c>
      <c r="J302" s="22">
        <v>292</v>
      </c>
      <c r="K302" s="22">
        <v>0.32897900000000002</v>
      </c>
      <c r="L302">
        <f t="shared" si="48"/>
        <v>13.882399999999999</v>
      </c>
      <c r="M302">
        <f t="shared" si="49"/>
        <v>4.5755002159999991</v>
      </c>
      <c r="N302" s="9"/>
      <c r="O302" s="22">
        <v>1.37039</v>
      </c>
      <c r="P302" s="22">
        <v>49.133299999999998</v>
      </c>
      <c r="Q302" s="22">
        <v>-6.6039999999999996E-3</v>
      </c>
      <c r="R302" s="22">
        <v>292</v>
      </c>
      <c r="S302" s="22">
        <v>1.3696299999999999</v>
      </c>
      <c r="T302">
        <f t="shared" si="50"/>
        <v>6.6039999999999992</v>
      </c>
      <c r="U302">
        <f t="shared" si="51"/>
        <v>9.0500555599999988</v>
      </c>
      <c r="X302" s="9"/>
      <c r="Y302" s="22">
        <v>0.32958999999999999</v>
      </c>
      <c r="Z302" s="22">
        <v>56.945</v>
      </c>
      <c r="AA302" s="22">
        <v>-1.4080799999999999E-2</v>
      </c>
      <c r="AB302" s="22">
        <v>292</v>
      </c>
      <c r="AC302" s="22">
        <v>0.32888800000000001</v>
      </c>
      <c r="AD302">
        <f t="shared" si="52"/>
        <v>14.0808</v>
      </c>
      <c r="AE302">
        <f t="shared" si="53"/>
        <v>4.6408908719999999</v>
      </c>
      <c r="AF302" s="9"/>
      <c r="AG302" s="22">
        <v>1.37039</v>
      </c>
      <c r="AH302" s="22">
        <v>62.489600000000003</v>
      </c>
      <c r="AI302" s="22">
        <v>-6.3201899999999998E-3</v>
      </c>
      <c r="AJ302" s="22">
        <v>292</v>
      </c>
      <c r="AK302" s="22">
        <v>1.3699300000000001</v>
      </c>
      <c r="AL302">
        <f t="shared" si="54"/>
        <v>6.3201900000000002</v>
      </c>
      <c r="AM302">
        <f t="shared" si="55"/>
        <v>8.6611251741000004</v>
      </c>
      <c r="AP302" s="9"/>
      <c r="AQ302" s="22">
        <v>0.32958999999999999</v>
      </c>
      <c r="AR302" s="22">
        <v>69.489199999999997</v>
      </c>
      <c r="AS302" s="22">
        <v>-1.38367E-2</v>
      </c>
      <c r="AT302" s="22">
        <v>292</v>
      </c>
      <c r="AU302" s="22">
        <v>0.32891799999999999</v>
      </c>
      <c r="AV302">
        <f t="shared" si="56"/>
        <v>13.8367</v>
      </c>
      <c r="AW302">
        <f t="shared" si="57"/>
        <v>4.5604379530000001</v>
      </c>
      <c r="AX302" s="9"/>
      <c r="AY302" s="22">
        <v>1.37039</v>
      </c>
      <c r="AZ302" s="22">
        <v>74.765799999999999</v>
      </c>
      <c r="BA302" s="22">
        <v>-6.2042199999999999E-3</v>
      </c>
      <c r="BB302" s="22">
        <v>292</v>
      </c>
      <c r="BC302" s="22">
        <v>1.3693200000000001</v>
      </c>
      <c r="BD302">
        <f t="shared" si="58"/>
        <v>6.2042200000000003</v>
      </c>
      <c r="BE302">
        <f t="shared" si="59"/>
        <v>8.5022010457999997</v>
      </c>
    </row>
    <row r="303" spans="6:57">
      <c r="F303" s="9"/>
      <c r="G303" s="22">
        <v>0.32455400000000001</v>
      </c>
      <c r="H303" s="22">
        <v>9.6681600000000003</v>
      </c>
      <c r="I303" s="22">
        <v>-1.39069E-2</v>
      </c>
      <c r="J303" s="22">
        <v>293</v>
      </c>
      <c r="K303" s="22">
        <v>0.32394400000000001</v>
      </c>
      <c r="L303">
        <f t="shared" si="48"/>
        <v>13.9069</v>
      </c>
      <c r="M303">
        <f t="shared" si="49"/>
        <v>4.5135400226</v>
      </c>
      <c r="N303" s="9"/>
      <c r="O303" s="22">
        <v>1.3754299999999999</v>
      </c>
      <c r="P303" s="22">
        <v>49.1434</v>
      </c>
      <c r="Q303" s="22">
        <v>-6.5490699999999997E-3</v>
      </c>
      <c r="R303" s="22">
        <v>293</v>
      </c>
      <c r="S303" s="22">
        <v>1.3742099999999999</v>
      </c>
      <c r="T303">
        <f t="shared" si="50"/>
        <v>6.5490699999999995</v>
      </c>
      <c r="U303">
        <f t="shared" si="51"/>
        <v>9.0077873500999992</v>
      </c>
      <c r="X303" s="9"/>
      <c r="Y303" s="22">
        <v>0.32455400000000001</v>
      </c>
      <c r="Z303" s="22">
        <v>56.954999999999998</v>
      </c>
      <c r="AA303" s="22">
        <v>-1.4114399999999999E-2</v>
      </c>
      <c r="AB303" s="22">
        <v>293</v>
      </c>
      <c r="AC303" s="22">
        <v>0.323822</v>
      </c>
      <c r="AD303">
        <f t="shared" si="52"/>
        <v>14.1144</v>
      </c>
      <c r="AE303">
        <f t="shared" si="53"/>
        <v>4.5808849776000002</v>
      </c>
      <c r="AF303" s="9"/>
      <c r="AG303" s="22">
        <v>1.3754299999999999</v>
      </c>
      <c r="AH303" s="22">
        <v>62.499699999999997</v>
      </c>
      <c r="AI303" s="22">
        <v>-6.2652599999999999E-3</v>
      </c>
      <c r="AJ303" s="22">
        <v>293</v>
      </c>
      <c r="AK303" s="22">
        <v>1.3745099999999999</v>
      </c>
      <c r="AL303">
        <f t="shared" si="54"/>
        <v>6.2652599999999996</v>
      </c>
      <c r="AM303">
        <f t="shared" si="55"/>
        <v>8.6174265617999986</v>
      </c>
      <c r="AP303" s="9"/>
      <c r="AQ303" s="22">
        <v>0.32455400000000001</v>
      </c>
      <c r="AR303" s="22">
        <v>69.499300000000005</v>
      </c>
      <c r="AS303" s="22">
        <v>-1.3864100000000001E-2</v>
      </c>
      <c r="AT303" s="22">
        <v>293</v>
      </c>
      <c r="AU303" s="22">
        <v>0.32391399999999998</v>
      </c>
      <c r="AV303">
        <f t="shared" si="56"/>
        <v>13.864100000000001</v>
      </c>
      <c r="AW303">
        <f t="shared" si="57"/>
        <v>4.4996491114000001</v>
      </c>
      <c r="AX303" s="9"/>
      <c r="AY303" s="22">
        <v>1.3754299999999999</v>
      </c>
      <c r="AZ303" s="22">
        <v>74.775899999999993</v>
      </c>
      <c r="BA303" s="22">
        <v>-6.1523400000000001E-3</v>
      </c>
      <c r="BB303" s="22">
        <v>293</v>
      </c>
      <c r="BC303" s="22">
        <v>1.3751199999999999</v>
      </c>
      <c r="BD303">
        <f t="shared" si="58"/>
        <v>6.1523399999999997</v>
      </c>
      <c r="BE303">
        <f t="shared" si="59"/>
        <v>8.4621130061999992</v>
      </c>
    </row>
    <row r="304" spans="6:57">
      <c r="F304" s="9"/>
      <c r="G304" s="22">
        <v>0.319519</v>
      </c>
      <c r="H304" s="22">
        <v>9.6782299999999992</v>
      </c>
      <c r="I304" s="22">
        <v>-1.39343E-2</v>
      </c>
      <c r="J304" s="22">
        <v>294</v>
      </c>
      <c r="K304" s="22">
        <v>0.31887799999999999</v>
      </c>
      <c r="L304">
        <f t="shared" si="48"/>
        <v>13.9343</v>
      </c>
      <c r="M304">
        <f t="shared" si="49"/>
        <v>4.4522736017</v>
      </c>
      <c r="N304" s="9"/>
      <c r="O304" s="22">
        <v>1.38046</v>
      </c>
      <c r="P304" s="22">
        <v>49.153500000000001</v>
      </c>
      <c r="Q304" s="22">
        <v>-6.4910899999999997E-3</v>
      </c>
      <c r="R304" s="22">
        <v>294</v>
      </c>
      <c r="S304" s="22">
        <v>1.3796999999999999</v>
      </c>
      <c r="T304">
        <f t="shared" si="50"/>
        <v>6.4910899999999998</v>
      </c>
      <c r="U304">
        <f t="shared" si="51"/>
        <v>8.9606901013999991</v>
      </c>
      <c r="X304" s="9"/>
      <c r="Y304" s="22">
        <v>0.319519</v>
      </c>
      <c r="Z304" s="22">
        <v>56.9651</v>
      </c>
      <c r="AA304" s="22">
        <v>-1.41327E-2</v>
      </c>
      <c r="AB304" s="22">
        <v>294</v>
      </c>
      <c r="AC304" s="22">
        <v>0.31884800000000002</v>
      </c>
      <c r="AD304">
        <f t="shared" si="52"/>
        <v>14.1327</v>
      </c>
      <c r="AE304">
        <f t="shared" si="53"/>
        <v>4.5156661712999995</v>
      </c>
      <c r="AF304" s="9"/>
      <c r="AG304" s="22">
        <v>1.38046</v>
      </c>
      <c r="AH304" s="22">
        <v>62.509700000000002</v>
      </c>
      <c r="AI304" s="22">
        <v>-6.2133800000000001E-3</v>
      </c>
      <c r="AJ304" s="22">
        <v>294</v>
      </c>
      <c r="AK304" s="22">
        <v>1.3803099999999999</v>
      </c>
      <c r="AL304">
        <f t="shared" si="54"/>
        <v>6.2133799999999999</v>
      </c>
      <c r="AM304">
        <f t="shared" si="55"/>
        <v>8.5773225548000003</v>
      </c>
      <c r="AP304" s="9"/>
      <c r="AQ304" s="22">
        <v>0.319519</v>
      </c>
      <c r="AR304" s="22">
        <v>69.509399999999999</v>
      </c>
      <c r="AS304" s="22">
        <v>-1.38916E-2</v>
      </c>
      <c r="AT304" s="22">
        <v>294</v>
      </c>
      <c r="AU304" s="22">
        <v>0.31887799999999999</v>
      </c>
      <c r="AV304">
        <f t="shared" si="56"/>
        <v>13.8916</v>
      </c>
      <c r="AW304">
        <f t="shared" si="57"/>
        <v>4.4386301403999999</v>
      </c>
      <c r="AX304" s="9"/>
      <c r="AY304" s="22">
        <v>1.38046</v>
      </c>
      <c r="AZ304" s="22">
        <v>74.786000000000001</v>
      </c>
      <c r="BA304" s="22">
        <v>-6.1004600000000003E-3</v>
      </c>
      <c r="BB304" s="22">
        <v>294</v>
      </c>
      <c r="BC304" s="22">
        <v>1.3790899999999999</v>
      </c>
      <c r="BD304">
        <f t="shared" si="58"/>
        <v>6.10046</v>
      </c>
      <c r="BE304">
        <f t="shared" si="59"/>
        <v>8.4214410116000007</v>
      </c>
    </row>
    <row r="305" spans="6:57">
      <c r="F305" s="9"/>
      <c r="G305" s="22">
        <v>0.31448399999999999</v>
      </c>
      <c r="H305" s="22">
        <v>9.6882999999999999</v>
      </c>
      <c r="I305" s="22">
        <v>-1.39618E-2</v>
      </c>
      <c r="J305" s="22">
        <v>295</v>
      </c>
      <c r="K305" s="22">
        <v>0.31387300000000001</v>
      </c>
      <c r="L305">
        <f t="shared" si="48"/>
        <v>13.9618</v>
      </c>
      <c r="M305">
        <f t="shared" si="49"/>
        <v>4.3907627111999998</v>
      </c>
      <c r="N305" s="9"/>
      <c r="O305" s="22">
        <v>1.3855</v>
      </c>
      <c r="P305" s="22">
        <v>49.163499999999999</v>
      </c>
      <c r="Q305" s="22">
        <v>-6.4361599999999998E-3</v>
      </c>
      <c r="R305" s="22">
        <v>295</v>
      </c>
      <c r="S305" s="22">
        <v>1.3845799999999999</v>
      </c>
      <c r="T305">
        <f t="shared" si="50"/>
        <v>6.4361600000000001</v>
      </c>
      <c r="U305">
        <f t="shared" si="51"/>
        <v>8.9172996799999993</v>
      </c>
      <c r="X305" s="9"/>
      <c r="Y305" s="22">
        <v>0.31448399999999999</v>
      </c>
      <c r="Z305" s="22">
        <v>56.975200000000001</v>
      </c>
      <c r="AA305" s="22">
        <v>-1.41479E-2</v>
      </c>
      <c r="AB305" s="22">
        <v>295</v>
      </c>
      <c r="AC305" s="22">
        <v>0.31387300000000001</v>
      </c>
      <c r="AD305">
        <f t="shared" si="52"/>
        <v>14.1479</v>
      </c>
      <c r="AE305">
        <f t="shared" si="53"/>
        <v>4.4492881835999993</v>
      </c>
      <c r="AF305" s="9"/>
      <c r="AG305" s="22">
        <v>1.3855</v>
      </c>
      <c r="AH305" s="22">
        <v>62.519799999999996</v>
      </c>
      <c r="AI305" s="22">
        <v>-6.1615000000000003E-3</v>
      </c>
      <c r="AJ305" s="22">
        <v>295</v>
      </c>
      <c r="AK305" s="22">
        <v>1.3845799999999999</v>
      </c>
      <c r="AL305">
        <f t="shared" si="54"/>
        <v>6.1615000000000002</v>
      </c>
      <c r="AM305">
        <f t="shared" si="55"/>
        <v>8.5367582500000001</v>
      </c>
      <c r="AP305" s="9"/>
      <c r="AQ305" s="22">
        <v>0.31448399999999999</v>
      </c>
      <c r="AR305" s="22">
        <v>69.519400000000005</v>
      </c>
      <c r="AS305" s="22">
        <v>-1.3916E-2</v>
      </c>
      <c r="AT305" s="22">
        <v>295</v>
      </c>
      <c r="AU305" s="22">
        <v>0.31384299999999998</v>
      </c>
      <c r="AV305">
        <f t="shared" si="56"/>
        <v>13.916</v>
      </c>
      <c r="AW305">
        <f t="shared" si="57"/>
        <v>4.3763593439999999</v>
      </c>
      <c r="AX305" s="9"/>
      <c r="AY305" s="22">
        <v>1.3855</v>
      </c>
      <c r="AZ305" s="22">
        <v>74.796099999999996</v>
      </c>
      <c r="BA305" s="22">
        <v>-6.0485799999999996E-3</v>
      </c>
      <c r="BB305" s="22">
        <v>295</v>
      </c>
      <c r="BC305" s="22">
        <v>1.38428</v>
      </c>
      <c r="BD305">
        <f t="shared" si="58"/>
        <v>6.0485799999999994</v>
      </c>
      <c r="BE305">
        <f t="shared" si="59"/>
        <v>8.3803075899999993</v>
      </c>
    </row>
    <row r="306" spans="6:57">
      <c r="F306" s="9"/>
      <c r="G306" s="22">
        <v>0.309448</v>
      </c>
      <c r="H306" s="22">
        <v>9.6983700000000006</v>
      </c>
      <c r="I306" s="22">
        <v>-1.3992299999999999E-2</v>
      </c>
      <c r="J306" s="22">
        <v>296</v>
      </c>
      <c r="K306" s="22">
        <v>0.30877700000000002</v>
      </c>
      <c r="L306">
        <f t="shared" si="48"/>
        <v>13.992299999999998</v>
      </c>
      <c r="M306">
        <f t="shared" si="49"/>
        <v>4.3298892503999999</v>
      </c>
      <c r="N306" s="9"/>
      <c r="O306" s="22">
        <v>1.39053</v>
      </c>
      <c r="P306" s="22">
        <v>49.1736</v>
      </c>
      <c r="Q306" s="22">
        <v>-6.3812299999999999E-3</v>
      </c>
      <c r="R306" s="22">
        <v>296</v>
      </c>
      <c r="S306" s="22">
        <v>1.39008</v>
      </c>
      <c r="T306">
        <f t="shared" si="50"/>
        <v>6.3812299999999995</v>
      </c>
      <c r="U306">
        <f t="shared" si="51"/>
        <v>8.8732917519000001</v>
      </c>
      <c r="X306" s="9"/>
      <c r="Y306" s="22">
        <v>0.309448</v>
      </c>
      <c r="Z306" s="22">
        <v>56.985300000000002</v>
      </c>
      <c r="AA306" s="22">
        <v>-1.41724E-2</v>
      </c>
      <c r="AB306" s="22">
        <v>296</v>
      </c>
      <c r="AC306" s="22">
        <v>0.308807</v>
      </c>
      <c r="AD306">
        <f t="shared" si="52"/>
        <v>14.1724</v>
      </c>
      <c r="AE306">
        <f t="shared" si="53"/>
        <v>4.3856208352000001</v>
      </c>
      <c r="AF306" s="9"/>
      <c r="AG306" s="22">
        <v>1.39053</v>
      </c>
      <c r="AH306" s="22">
        <v>62.529899999999998</v>
      </c>
      <c r="AI306" s="22">
        <v>-6.1096199999999996E-3</v>
      </c>
      <c r="AJ306" s="22">
        <v>296</v>
      </c>
      <c r="AK306" s="22">
        <v>1.3897699999999999</v>
      </c>
      <c r="AL306">
        <f t="shared" si="54"/>
        <v>6.1096199999999996</v>
      </c>
      <c r="AM306">
        <f t="shared" si="55"/>
        <v>8.4956098985999997</v>
      </c>
      <c r="AP306" s="9"/>
      <c r="AQ306" s="22">
        <v>0.309448</v>
      </c>
      <c r="AR306" s="22">
        <v>69.529499999999999</v>
      </c>
      <c r="AS306" s="22">
        <v>-1.3943499999999999E-2</v>
      </c>
      <c r="AT306" s="22">
        <v>296</v>
      </c>
      <c r="AU306" s="22">
        <v>0.308807</v>
      </c>
      <c r="AV306">
        <f t="shared" si="56"/>
        <v>13.943499999999998</v>
      </c>
      <c r="AW306">
        <f t="shared" si="57"/>
        <v>4.3147881879999996</v>
      </c>
      <c r="AX306" s="9"/>
      <c r="AY306" s="22">
        <v>1.39053</v>
      </c>
      <c r="AZ306" s="22">
        <v>74.806100000000001</v>
      </c>
      <c r="BA306" s="22">
        <v>-5.9966999999999998E-3</v>
      </c>
      <c r="BB306" s="22">
        <v>296</v>
      </c>
      <c r="BC306" s="22">
        <v>1.38916</v>
      </c>
      <c r="BD306">
        <f t="shared" si="58"/>
        <v>5.9966999999999997</v>
      </c>
      <c r="BE306">
        <f t="shared" si="59"/>
        <v>8.3385912510000004</v>
      </c>
    </row>
    <row r="307" spans="6:57">
      <c r="F307" s="9"/>
      <c r="G307" s="22">
        <v>0.30441299999999999</v>
      </c>
      <c r="H307" s="22">
        <v>9.7084399999999995</v>
      </c>
      <c r="I307" s="22">
        <v>-1.4025900000000001E-2</v>
      </c>
      <c r="J307" s="22">
        <v>297</v>
      </c>
      <c r="K307" s="22">
        <v>0.30383300000000002</v>
      </c>
      <c r="L307">
        <f t="shared" si="48"/>
        <v>14.0259</v>
      </c>
      <c r="M307">
        <f t="shared" si="49"/>
        <v>4.2696662966999996</v>
      </c>
      <c r="N307" s="9"/>
      <c r="O307" s="22">
        <v>1.39557</v>
      </c>
      <c r="P307" s="22">
        <v>49.183700000000002</v>
      </c>
      <c r="Q307" s="22">
        <v>-6.3232399999999999E-3</v>
      </c>
      <c r="R307" s="22">
        <v>297</v>
      </c>
      <c r="S307" s="22">
        <v>1.3952599999999999</v>
      </c>
      <c r="T307">
        <f t="shared" si="50"/>
        <v>6.3232400000000002</v>
      </c>
      <c r="U307">
        <f t="shared" si="51"/>
        <v>8.8245240468000006</v>
      </c>
      <c r="X307" s="9"/>
      <c r="Y307" s="22">
        <v>0.30441299999999999</v>
      </c>
      <c r="Z307" s="22">
        <v>56.9953</v>
      </c>
      <c r="AA307" s="22">
        <v>-1.41937E-2</v>
      </c>
      <c r="AB307" s="22">
        <v>297</v>
      </c>
      <c r="AC307" s="22">
        <v>0.30380200000000002</v>
      </c>
      <c r="AD307">
        <f t="shared" si="52"/>
        <v>14.1937</v>
      </c>
      <c r="AE307">
        <f t="shared" si="53"/>
        <v>4.3207467981000001</v>
      </c>
      <c r="AF307" s="9"/>
      <c r="AG307" s="22">
        <v>1.39557</v>
      </c>
      <c r="AH307" s="22">
        <v>62.539900000000003</v>
      </c>
      <c r="AI307" s="22">
        <v>-6.0546899999999997E-3</v>
      </c>
      <c r="AJ307" s="22">
        <v>297</v>
      </c>
      <c r="AK307" s="22">
        <v>1.3946499999999999</v>
      </c>
      <c r="AL307">
        <f t="shared" si="54"/>
        <v>6.0546899999999999</v>
      </c>
      <c r="AM307">
        <f t="shared" si="55"/>
        <v>8.4497437232999992</v>
      </c>
      <c r="AP307" s="9"/>
      <c r="AQ307" s="22">
        <v>0.30441299999999999</v>
      </c>
      <c r="AR307" s="22">
        <v>69.539599999999993</v>
      </c>
      <c r="AS307" s="22">
        <v>-1.3980100000000001E-2</v>
      </c>
      <c r="AT307" s="22">
        <v>297</v>
      </c>
      <c r="AU307" s="22">
        <v>0.30374099999999998</v>
      </c>
      <c r="AV307">
        <f t="shared" si="56"/>
        <v>13.9801</v>
      </c>
      <c r="AW307">
        <f t="shared" si="57"/>
        <v>4.2557241812999997</v>
      </c>
      <c r="AX307" s="9"/>
      <c r="AY307" s="22">
        <v>1.39557</v>
      </c>
      <c r="AZ307" s="22">
        <v>74.816199999999995</v>
      </c>
      <c r="BA307" s="22">
        <v>-5.94482E-3</v>
      </c>
      <c r="BB307" s="22">
        <v>297</v>
      </c>
      <c r="BC307" s="22">
        <v>1.39496</v>
      </c>
      <c r="BD307">
        <f t="shared" si="58"/>
        <v>5.94482</v>
      </c>
      <c r="BE307">
        <f t="shared" si="59"/>
        <v>8.2964124473999998</v>
      </c>
    </row>
    <row r="308" spans="6:57">
      <c r="F308" s="9"/>
      <c r="G308" s="22">
        <v>0.299377</v>
      </c>
      <c r="H308" s="22">
        <v>9.7185100000000002</v>
      </c>
      <c r="I308" s="22">
        <v>-1.40625E-2</v>
      </c>
      <c r="J308" s="22">
        <v>298</v>
      </c>
      <c r="K308" s="22">
        <v>0.29870600000000003</v>
      </c>
      <c r="L308">
        <f t="shared" si="48"/>
        <v>14.0625</v>
      </c>
      <c r="M308">
        <f t="shared" si="49"/>
        <v>4.2099890625</v>
      </c>
      <c r="N308" s="9"/>
      <c r="O308" s="22">
        <v>1.4006000000000001</v>
      </c>
      <c r="P308" s="22">
        <v>49.193800000000003</v>
      </c>
      <c r="Q308" s="22">
        <v>-6.2652599999999999E-3</v>
      </c>
      <c r="R308" s="22">
        <v>298</v>
      </c>
      <c r="S308" s="22">
        <v>1.39984</v>
      </c>
      <c r="T308">
        <f t="shared" si="50"/>
        <v>6.2652599999999996</v>
      </c>
      <c r="U308">
        <f t="shared" si="51"/>
        <v>8.7751231559999994</v>
      </c>
      <c r="X308" s="9"/>
      <c r="Y308" s="22">
        <v>0.299377</v>
      </c>
      <c r="Z308" s="22">
        <v>57.005400000000002</v>
      </c>
      <c r="AA308" s="22">
        <v>-1.4218099999999999E-2</v>
      </c>
      <c r="AB308" s="22">
        <v>298</v>
      </c>
      <c r="AC308" s="22">
        <v>0.29864499999999999</v>
      </c>
      <c r="AD308">
        <f t="shared" si="52"/>
        <v>14.2181</v>
      </c>
      <c r="AE308">
        <f t="shared" si="53"/>
        <v>4.2565721236999998</v>
      </c>
      <c r="AF308" s="9"/>
      <c r="AG308" s="22">
        <v>1.4006000000000001</v>
      </c>
      <c r="AH308" s="22">
        <v>62.55</v>
      </c>
      <c r="AI308" s="22">
        <v>-5.9997599999999998E-3</v>
      </c>
      <c r="AJ308" s="22">
        <v>298</v>
      </c>
      <c r="AK308" s="22">
        <v>1.40015</v>
      </c>
      <c r="AL308">
        <f t="shared" si="54"/>
        <v>5.9997600000000002</v>
      </c>
      <c r="AM308">
        <f t="shared" si="55"/>
        <v>8.4032638560000006</v>
      </c>
      <c r="AP308" s="9"/>
      <c r="AQ308" s="22">
        <v>0.299377</v>
      </c>
      <c r="AR308" s="22">
        <v>69.549599999999998</v>
      </c>
      <c r="AS308" s="22">
        <v>-1.40137E-2</v>
      </c>
      <c r="AT308" s="22">
        <v>298</v>
      </c>
      <c r="AU308" s="22">
        <v>0.29870600000000003</v>
      </c>
      <c r="AV308">
        <f t="shared" si="56"/>
        <v>14.0137</v>
      </c>
      <c r="AW308">
        <f t="shared" si="57"/>
        <v>4.1953794649000002</v>
      </c>
      <c r="AX308" s="9"/>
      <c r="AY308" s="22">
        <v>1.4006000000000001</v>
      </c>
      <c r="AZ308" s="22">
        <v>74.826300000000003</v>
      </c>
      <c r="BA308" s="22">
        <v>-5.8929400000000002E-3</v>
      </c>
      <c r="BB308" s="22">
        <v>298</v>
      </c>
      <c r="BC308" s="22">
        <v>1.39984</v>
      </c>
      <c r="BD308">
        <f t="shared" si="58"/>
        <v>5.8929400000000003</v>
      </c>
      <c r="BE308">
        <f t="shared" si="59"/>
        <v>8.2536517640000007</v>
      </c>
    </row>
    <row r="309" spans="6:57">
      <c r="F309" s="9"/>
      <c r="G309" s="22">
        <v>0.29434199999999999</v>
      </c>
      <c r="H309" s="22">
        <v>9.7285799999999991</v>
      </c>
      <c r="I309" s="22">
        <v>-1.4093E-2</v>
      </c>
      <c r="J309" s="22">
        <v>299</v>
      </c>
      <c r="K309" s="22">
        <v>0.29370099999999999</v>
      </c>
      <c r="L309">
        <f t="shared" si="48"/>
        <v>14.093</v>
      </c>
      <c r="M309">
        <f t="shared" si="49"/>
        <v>4.1481618060000001</v>
      </c>
      <c r="N309" s="9"/>
      <c r="O309" s="22">
        <v>1.40564</v>
      </c>
      <c r="P309" s="22">
        <v>49.203800000000001</v>
      </c>
      <c r="Q309" s="22">
        <v>-6.2072799999999999E-3</v>
      </c>
      <c r="R309" s="22">
        <v>299</v>
      </c>
      <c r="S309" s="22">
        <v>1.40503</v>
      </c>
      <c r="T309">
        <f t="shared" si="50"/>
        <v>6.2072799999999999</v>
      </c>
      <c r="U309">
        <f t="shared" si="51"/>
        <v>8.7252010591999998</v>
      </c>
      <c r="X309" s="9"/>
      <c r="Y309" s="22">
        <v>0.29434199999999999</v>
      </c>
      <c r="Z309" s="22">
        <v>57.015500000000003</v>
      </c>
      <c r="AA309" s="22">
        <v>-1.42395E-2</v>
      </c>
      <c r="AB309" s="22">
        <v>299</v>
      </c>
      <c r="AC309" s="22">
        <v>0.29367100000000002</v>
      </c>
      <c r="AD309">
        <f t="shared" si="52"/>
        <v>14.2395</v>
      </c>
      <c r="AE309">
        <f t="shared" si="53"/>
        <v>4.1912829089999999</v>
      </c>
      <c r="AF309" s="9"/>
      <c r="AG309" s="22">
        <v>1.40564</v>
      </c>
      <c r="AH309" s="22">
        <v>62.560099999999998</v>
      </c>
      <c r="AI309" s="22">
        <v>-5.94482E-3</v>
      </c>
      <c r="AJ309" s="22">
        <v>299</v>
      </c>
      <c r="AK309" s="22">
        <v>1.40472</v>
      </c>
      <c r="AL309">
        <f t="shared" si="54"/>
        <v>5.94482</v>
      </c>
      <c r="AM309">
        <f t="shared" si="55"/>
        <v>8.3562767848000004</v>
      </c>
      <c r="AP309" s="9"/>
      <c r="AQ309" s="22">
        <v>0.29434199999999999</v>
      </c>
      <c r="AR309" s="22">
        <v>69.559700000000007</v>
      </c>
      <c r="AS309" s="22">
        <v>-1.4053299999999999E-2</v>
      </c>
      <c r="AT309" s="22">
        <v>299</v>
      </c>
      <c r="AU309" s="22">
        <v>0.29367100000000002</v>
      </c>
      <c r="AV309">
        <f t="shared" si="56"/>
        <v>14.0533</v>
      </c>
      <c r="AW309">
        <f t="shared" si="57"/>
        <v>4.1364764286</v>
      </c>
      <c r="AX309" s="9"/>
      <c r="AY309" s="22">
        <v>1.40564</v>
      </c>
      <c r="AZ309" s="22">
        <v>74.836299999999994</v>
      </c>
      <c r="BA309" s="22">
        <v>-5.8380100000000002E-3</v>
      </c>
      <c r="BB309" s="22">
        <v>299</v>
      </c>
      <c r="BC309" s="22">
        <v>1.40472</v>
      </c>
      <c r="BD309">
        <f t="shared" si="58"/>
        <v>5.8380100000000006</v>
      </c>
      <c r="BE309">
        <f t="shared" si="59"/>
        <v>8.2061403764000005</v>
      </c>
    </row>
    <row r="310" spans="6:57">
      <c r="F310" s="9"/>
      <c r="G310" s="22">
        <v>0.28930699999999998</v>
      </c>
      <c r="H310" s="22">
        <v>9.7386499999999998</v>
      </c>
      <c r="I310" s="22">
        <v>-1.4120499999999999E-2</v>
      </c>
      <c r="J310" s="22">
        <v>300</v>
      </c>
      <c r="K310" s="22">
        <v>0.28866599999999998</v>
      </c>
      <c r="L310">
        <f t="shared" si="48"/>
        <v>14.1205</v>
      </c>
      <c r="M310">
        <f t="shared" si="49"/>
        <v>4.0851594935</v>
      </c>
      <c r="N310" s="9"/>
      <c r="O310" s="22">
        <v>1.4106799999999999</v>
      </c>
      <c r="P310" s="22">
        <v>49.213900000000002</v>
      </c>
      <c r="Q310" s="22">
        <v>-6.14929E-3</v>
      </c>
      <c r="R310" s="22">
        <v>300</v>
      </c>
      <c r="S310" s="22">
        <v>1.40991</v>
      </c>
      <c r="T310">
        <f t="shared" si="50"/>
        <v>6.1492899999999997</v>
      </c>
      <c r="U310">
        <f t="shared" si="51"/>
        <v>8.6746804171999994</v>
      </c>
      <c r="X310" s="9"/>
      <c r="Y310" s="22">
        <v>0.28930699999999998</v>
      </c>
      <c r="Z310" s="22">
        <v>57.025500000000001</v>
      </c>
      <c r="AA310" s="22">
        <v>-1.4257799999999999E-2</v>
      </c>
      <c r="AB310" s="22">
        <v>300</v>
      </c>
      <c r="AC310" s="22">
        <v>0.28869600000000001</v>
      </c>
      <c r="AD310">
        <f t="shared" si="52"/>
        <v>14.2578</v>
      </c>
      <c r="AE310">
        <f t="shared" si="53"/>
        <v>4.1248813445999994</v>
      </c>
      <c r="AF310" s="9"/>
      <c r="AG310" s="22">
        <v>1.4106799999999999</v>
      </c>
      <c r="AH310" s="22">
        <v>62.5702</v>
      </c>
      <c r="AI310" s="22">
        <v>-5.88684E-3</v>
      </c>
      <c r="AJ310" s="22">
        <v>300</v>
      </c>
      <c r="AK310" s="22">
        <v>1.40961</v>
      </c>
      <c r="AL310">
        <f t="shared" si="54"/>
        <v>5.8868400000000003</v>
      </c>
      <c r="AM310">
        <f t="shared" si="55"/>
        <v>8.3044474511999997</v>
      </c>
      <c r="AP310" s="9"/>
      <c r="AQ310" s="22">
        <v>0.28930699999999998</v>
      </c>
      <c r="AR310" s="22">
        <v>69.569800000000001</v>
      </c>
      <c r="AS310" s="22">
        <v>-1.4086899999999999E-2</v>
      </c>
      <c r="AT310" s="22">
        <v>300</v>
      </c>
      <c r="AU310" s="22">
        <v>0.28866599999999998</v>
      </c>
      <c r="AV310">
        <f t="shared" si="56"/>
        <v>14.0869</v>
      </c>
      <c r="AW310">
        <f t="shared" si="57"/>
        <v>4.0754387782999997</v>
      </c>
      <c r="AX310" s="9"/>
      <c r="AY310" s="22">
        <v>1.4106799999999999</v>
      </c>
      <c r="AZ310" s="22">
        <v>74.846400000000003</v>
      </c>
      <c r="BA310" s="22">
        <v>-5.7861299999999996E-3</v>
      </c>
      <c r="BB310" s="22">
        <v>300</v>
      </c>
      <c r="BC310" s="22">
        <v>1.41052</v>
      </c>
      <c r="BD310">
        <f t="shared" si="58"/>
        <v>5.78613</v>
      </c>
      <c r="BE310">
        <f t="shared" si="59"/>
        <v>8.1623778684000001</v>
      </c>
    </row>
    <row r="311" spans="6:57">
      <c r="F311" s="9"/>
      <c r="G311" s="22">
        <v>0.284271</v>
      </c>
      <c r="H311" s="22">
        <v>9.7487200000000005</v>
      </c>
      <c r="I311" s="22">
        <v>-1.4157100000000001E-2</v>
      </c>
      <c r="J311" s="22">
        <v>301</v>
      </c>
      <c r="K311" s="22">
        <v>0.28362999999999999</v>
      </c>
      <c r="L311">
        <f t="shared" si="48"/>
        <v>14.1571</v>
      </c>
      <c r="M311">
        <f t="shared" si="49"/>
        <v>4.0244529740999999</v>
      </c>
      <c r="N311" s="9"/>
      <c r="O311" s="22">
        <v>1.41571</v>
      </c>
      <c r="P311" s="22">
        <v>49.223999999999997</v>
      </c>
      <c r="Q311" s="22">
        <v>-6.0882599999999999E-3</v>
      </c>
      <c r="R311" s="22">
        <v>301</v>
      </c>
      <c r="S311" s="22">
        <v>1.4154100000000001</v>
      </c>
      <c r="T311">
        <f t="shared" si="50"/>
        <v>6.08826</v>
      </c>
      <c r="U311">
        <f t="shared" si="51"/>
        <v>8.6192105645999995</v>
      </c>
      <c r="X311" s="9"/>
      <c r="Y311" s="22">
        <v>0.284271</v>
      </c>
      <c r="Z311" s="22">
        <v>57.035600000000002</v>
      </c>
      <c r="AA311" s="22">
        <v>-1.4263899999999999E-2</v>
      </c>
      <c r="AB311" s="22">
        <v>301</v>
      </c>
      <c r="AC311" s="22">
        <v>0.283661</v>
      </c>
      <c r="AD311">
        <f t="shared" si="52"/>
        <v>14.2639</v>
      </c>
      <c r="AE311">
        <f t="shared" si="53"/>
        <v>4.0548131169000001</v>
      </c>
      <c r="AF311" s="9"/>
      <c r="AG311" s="22">
        <v>1.41571</v>
      </c>
      <c r="AH311" s="22">
        <v>62.580199999999998</v>
      </c>
      <c r="AI311" s="22">
        <v>-5.83191E-3</v>
      </c>
      <c r="AJ311" s="22">
        <v>301</v>
      </c>
      <c r="AK311" s="22">
        <v>1.41479</v>
      </c>
      <c r="AL311">
        <f t="shared" si="54"/>
        <v>5.8319099999999997</v>
      </c>
      <c r="AM311">
        <f t="shared" si="55"/>
        <v>8.2562933060999999</v>
      </c>
      <c r="AP311" s="9"/>
      <c r="AQ311" s="22">
        <v>0.284271</v>
      </c>
      <c r="AR311" s="22">
        <v>69.579899999999995</v>
      </c>
      <c r="AS311" s="22">
        <v>-1.4120499999999999E-2</v>
      </c>
      <c r="AT311" s="22">
        <v>301</v>
      </c>
      <c r="AU311" s="22">
        <v>0.283661</v>
      </c>
      <c r="AV311">
        <f t="shared" si="56"/>
        <v>14.1205</v>
      </c>
      <c r="AW311">
        <f t="shared" si="57"/>
        <v>4.0140486554999999</v>
      </c>
      <c r="AX311" s="9"/>
      <c r="AY311" s="22">
        <v>1.41571</v>
      </c>
      <c r="AZ311" s="22">
        <v>74.856499999999997</v>
      </c>
      <c r="BA311" s="22">
        <v>-5.7311999999999997E-3</v>
      </c>
      <c r="BB311" s="22">
        <v>301</v>
      </c>
      <c r="BC311" s="22">
        <v>1.41479</v>
      </c>
      <c r="BD311">
        <f t="shared" si="58"/>
        <v>5.7311999999999994</v>
      </c>
      <c r="BE311">
        <f t="shared" si="59"/>
        <v>8.1137171519999995</v>
      </c>
    </row>
    <row r="312" spans="6:57">
      <c r="F312" s="9"/>
      <c r="G312" s="22">
        <v>0.27923599999999998</v>
      </c>
      <c r="H312" s="22">
        <v>9.7587899999999994</v>
      </c>
      <c r="I312" s="22">
        <v>-1.41846E-2</v>
      </c>
      <c r="J312" s="22">
        <v>302</v>
      </c>
      <c r="K312" s="22">
        <v>0.27859499999999998</v>
      </c>
      <c r="L312">
        <f t="shared" si="48"/>
        <v>14.1846</v>
      </c>
      <c r="M312">
        <f t="shared" si="49"/>
        <v>3.9608509655999997</v>
      </c>
      <c r="N312" s="9"/>
      <c r="O312" s="22">
        <v>1.42075</v>
      </c>
      <c r="P312" s="22">
        <v>49.234000000000002</v>
      </c>
      <c r="Q312" s="22">
        <v>-6.0272199999999998E-3</v>
      </c>
      <c r="R312" s="22">
        <v>302</v>
      </c>
      <c r="S312" s="22">
        <v>1.4196800000000001</v>
      </c>
      <c r="T312">
        <f t="shared" si="50"/>
        <v>6.0272199999999998</v>
      </c>
      <c r="U312">
        <f t="shared" si="51"/>
        <v>8.5631728149999997</v>
      </c>
      <c r="X312" s="9"/>
      <c r="Y312" s="22">
        <v>0.27923599999999998</v>
      </c>
      <c r="Z312" s="22">
        <v>57.045699999999997</v>
      </c>
      <c r="AA312" s="22">
        <v>-1.4285300000000001E-2</v>
      </c>
      <c r="AB312" s="22">
        <v>302</v>
      </c>
      <c r="AC312" s="22">
        <v>0.27862500000000001</v>
      </c>
      <c r="AD312">
        <f t="shared" si="52"/>
        <v>14.285300000000001</v>
      </c>
      <c r="AE312">
        <f t="shared" si="53"/>
        <v>3.9889700308</v>
      </c>
      <c r="AF312" s="9"/>
      <c r="AG312" s="22">
        <v>1.42075</v>
      </c>
      <c r="AH312" s="22">
        <v>62.590299999999999</v>
      </c>
      <c r="AI312" s="22">
        <v>-5.7769800000000001E-3</v>
      </c>
      <c r="AJ312" s="22">
        <v>302</v>
      </c>
      <c r="AK312" s="22">
        <v>1.41937</v>
      </c>
      <c r="AL312">
        <f t="shared" si="54"/>
        <v>5.77698</v>
      </c>
      <c r="AM312">
        <f t="shared" si="55"/>
        <v>8.2076443349999995</v>
      </c>
      <c r="AP312" s="9"/>
      <c r="AQ312" s="22">
        <v>0.27923599999999998</v>
      </c>
      <c r="AR312" s="22">
        <v>69.5899</v>
      </c>
      <c r="AS312" s="22">
        <v>-1.4151E-2</v>
      </c>
      <c r="AT312" s="22">
        <v>302</v>
      </c>
      <c r="AU312" s="22">
        <v>0.27859499999999998</v>
      </c>
      <c r="AV312">
        <f t="shared" si="56"/>
        <v>14.151</v>
      </c>
      <c r="AW312">
        <f t="shared" si="57"/>
        <v>3.9514686359999995</v>
      </c>
      <c r="AX312" s="9"/>
      <c r="AY312" s="22">
        <v>1.42075</v>
      </c>
      <c r="AZ312" s="22">
        <v>74.866600000000005</v>
      </c>
      <c r="BA312" s="22">
        <v>-5.6793199999999999E-3</v>
      </c>
      <c r="BB312" s="22">
        <v>302</v>
      </c>
      <c r="BC312" s="22">
        <v>1.41998</v>
      </c>
      <c r="BD312">
        <f t="shared" si="58"/>
        <v>5.6793199999999997</v>
      </c>
      <c r="BE312">
        <f t="shared" si="59"/>
        <v>8.06889389</v>
      </c>
    </row>
    <row r="313" spans="6:57">
      <c r="F313" s="9"/>
      <c r="G313" s="22">
        <v>0.2742</v>
      </c>
      <c r="H313" s="22">
        <v>9.7688699999999997</v>
      </c>
      <c r="I313" s="22">
        <v>-1.4208999999999999E-2</v>
      </c>
      <c r="J313" s="22">
        <v>303</v>
      </c>
      <c r="K313" s="22">
        <v>0.27352900000000002</v>
      </c>
      <c r="L313">
        <f t="shared" si="48"/>
        <v>14.209</v>
      </c>
      <c r="M313">
        <f t="shared" si="49"/>
        <v>3.8961077999999998</v>
      </c>
      <c r="N313" s="9"/>
      <c r="O313" s="22">
        <v>1.42578</v>
      </c>
      <c r="P313" s="22">
        <v>49.244100000000003</v>
      </c>
      <c r="Q313" s="22">
        <v>-5.9692399999999998E-3</v>
      </c>
      <c r="R313" s="22">
        <v>303</v>
      </c>
      <c r="S313" s="22">
        <v>1.42456</v>
      </c>
      <c r="T313">
        <f t="shared" si="50"/>
        <v>5.9692400000000001</v>
      </c>
      <c r="U313">
        <f t="shared" si="51"/>
        <v>8.5108230072000008</v>
      </c>
      <c r="X313" s="9"/>
      <c r="Y313" s="22">
        <v>0.2742</v>
      </c>
      <c r="Z313" s="22">
        <v>57.055799999999998</v>
      </c>
      <c r="AA313" s="22">
        <v>-1.4306599999999999E-2</v>
      </c>
      <c r="AB313" s="22">
        <v>303</v>
      </c>
      <c r="AC313" s="22">
        <v>0.27359</v>
      </c>
      <c r="AD313">
        <f t="shared" si="52"/>
        <v>14.3066</v>
      </c>
      <c r="AE313">
        <f t="shared" si="53"/>
        <v>3.92286972</v>
      </c>
      <c r="AF313" s="9"/>
      <c r="AG313" s="22">
        <v>1.42578</v>
      </c>
      <c r="AH313" s="22">
        <v>62.6004</v>
      </c>
      <c r="AI313" s="22">
        <v>-5.7220500000000002E-3</v>
      </c>
      <c r="AJ313" s="22">
        <v>303</v>
      </c>
      <c r="AK313" s="22">
        <v>1.42456</v>
      </c>
      <c r="AL313">
        <f t="shared" si="54"/>
        <v>5.7220500000000003</v>
      </c>
      <c r="AM313">
        <f t="shared" si="55"/>
        <v>8.1583844490000015</v>
      </c>
      <c r="AP313" s="9"/>
      <c r="AQ313" s="22">
        <v>0.2742</v>
      </c>
      <c r="AR313" s="22">
        <v>69.599999999999994</v>
      </c>
      <c r="AS313" s="22">
        <v>-1.41785E-2</v>
      </c>
      <c r="AT313" s="22">
        <v>303</v>
      </c>
      <c r="AU313" s="22">
        <v>0.273621</v>
      </c>
      <c r="AV313">
        <f t="shared" si="56"/>
        <v>14.1785</v>
      </c>
      <c r="AW313">
        <f t="shared" si="57"/>
        <v>3.8877446999999998</v>
      </c>
      <c r="AX313" s="9"/>
      <c r="AY313" s="22">
        <v>1.42578</v>
      </c>
      <c r="AZ313" s="22">
        <v>74.876599999999996</v>
      </c>
      <c r="BA313" s="22">
        <v>-5.6243899999999999E-3</v>
      </c>
      <c r="BB313" s="22">
        <v>303</v>
      </c>
      <c r="BC313" s="22">
        <v>1.4248700000000001</v>
      </c>
      <c r="BD313">
        <f t="shared" si="58"/>
        <v>5.62439</v>
      </c>
      <c r="BE313">
        <f t="shared" si="59"/>
        <v>8.0191427742000005</v>
      </c>
    </row>
    <row r="314" spans="6:57">
      <c r="F314" s="9"/>
      <c r="G314" s="22">
        <v>0.26916499999999999</v>
      </c>
      <c r="H314" s="22">
        <v>9.7789400000000004</v>
      </c>
      <c r="I314" s="22">
        <v>-1.42395E-2</v>
      </c>
      <c r="J314" s="22">
        <v>304</v>
      </c>
      <c r="K314" s="22">
        <v>0.26855499999999999</v>
      </c>
      <c r="L314">
        <f t="shared" si="48"/>
        <v>14.2395</v>
      </c>
      <c r="M314">
        <f t="shared" si="49"/>
        <v>3.8327750174999999</v>
      </c>
      <c r="N314" s="9"/>
      <c r="O314" s="22">
        <v>1.43082</v>
      </c>
      <c r="P314" s="22">
        <v>49.254199999999997</v>
      </c>
      <c r="Q314" s="22">
        <v>-5.9112499999999998E-3</v>
      </c>
      <c r="R314" s="22">
        <v>304</v>
      </c>
      <c r="S314" s="22">
        <v>1.43005</v>
      </c>
      <c r="T314">
        <f t="shared" si="50"/>
        <v>5.9112499999999999</v>
      </c>
      <c r="U314">
        <f t="shared" si="51"/>
        <v>8.4579347249999994</v>
      </c>
      <c r="X314" s="9"/>
      <c r="Y314" s="22">
        <v>0.26916499999999999</v>
      </c>
      <c r="Z314" s="22">
        <v>57.065800000000003</v>
      </c>
      <c r="AA314" s="22">
        <v>-1.4334100000000001E-2</v>
      </c>
      <c r="AB314" s="22">
        <v>304</v>
      </c>
      <c r="AC314" s="22">
        <v>0.26846300000000001</v>
      </c>
      <c r="AD314">
        <f t="shared" si="52"/>
        <v>14.334100000000001</v>
      </c>
      <c r="AE314">
        <f t="shared" si="53"/>
        <v>3.8582380265</v>
      </c>
      <c r="AF314" s="9"/>
      <c r="AG314" s="22">
        <v>1.43082</v>
      </c>
      <c r="AH314" s="22">
        <v>62.610399999999998</v>
      </c>
      <c r="AI314" s="22">
        <v>-5.6610100000000002E-3</v>
      </c>
      <c r="AJ314" s="22">
        <v>304</v>
      </c>
      <c r="AK314" s="22">
        <v>1.43005</v>
      </c>
      <c r="AL314">
        <f t="shared" si="54"/>
        <v>5.6610100000000001</v>
      </c>
      <c r="AM314">
        <f t="shared" si="55"/>
        <v>8.0998863282000002</v>
      </c>
      <c r="AP314" s="9"/>
      <c r="AQ314" s="22">
        <v>0.26916499999999999</v>
      </c>
      <c r="AR314" s="22">
        <v>69.610100000000003</v>
      </c>
      <c r="AS314" s="22">
        <v>-1.41998E-2</v>
      </c>
      <c r="AT314" s="22">
        <v>304</v>
      </c>
      <c r="AU314" s="22">
        <v>0.26852399999999998</v>
      </c>
      <c r="AV314">
        <f t="shared" si="56"/>
        <v>14.1998</v>
      </c>
      <c r="AW314">
        <f t="shared" si="57"/>
        <v>3.8220891669999997</v>
      </c>
      <c r="AX314" s="9"/>
      <c r="AY314" s="22">
        <v>1.43082</v>
      </c>
      <c r="AZ314" s="22">
        <v>74.886700000000005</v>
      </c>
      <c r="BA314" s="22">
        <v>-5.56946E-3</v>
      </c>
      <c r="BB314" s="22">
        <v>304</v>
      </c>
      <c r="BC314" s="22">
        <v>1.4303600000000001</v>
      </c>
      <c r="BD314">
        <f t="shared" si="58"/>
        <v>5.5694600000000003</v>
      </c>
      <c r="BE314">
        <f t="shared" si="59"/>
        <v>7.9688947572000002</v>
      </c>
    </row>
    <row r="315" spans="6:57">
      <c r="F315" s="9"/>
      <c r="G315" s="22">
        <v>0.26412999999999998</v>
      </c>
      <c r="H315" s="22">
        <v>9.7890099999999993</v>
      </c>
      <c r="I315" s="22">
        <v>-1.4267E-2</v>
      </c>
      <c r="J315" s="22">
        <v>305</v>
      </c>
      <c r="K315" s="22">
        <v>0.26345800000000003</v>
      </c>
      <c r="L315">
        <f t="shared" si="48"/>
        <v>14.266999999999999</v>
      </c>
      <c r="M315">
        <f t="shared" si="49"/>
        <v>3.7683427099999993</v>
      </c>
      <c r="N315" s="9"/>
      <c r="O315" s="22">
        <v>1.4358500000000001</v>
      </c>
      <c r="P315" s="22">
        <v>49.264200000000002</v>
      </c>
      <c r="Q315" s="22">
        <v>-5.8502199999999997E-3</v>
      </c>
      <c r="R315" s="22">
        <v>305</v>
      </c>
      <c r="S315" s="22">
        <v>1.4349400000000001</v>
      </c>
      <c r="T315">
        <f t="shared" si="50"/>
        <v>5.8502199999999993</v>
      </c>
      <c r="U315">
        <f t="shared" si="51"/>
        <v>8.4000383869999986</v>
      </c>
      <c r="X315" s="9"/>
      <c r="Y315" s="22">
        <v>0.26412999999999998</v>
      </c>
      <c r="Z315" s="22">
        <v>57.075899999999997</v>
      </c>
      <c r="AA315" s="22">
        <v>-1.43585E-2</v>
      </c>
      <c r="AB315" s="22">
        <v>305</v>
      </c>
      <c r="AC315" s="22">
        <v>0.263428</v>
      </c>
      <c r="AD315">
        <f t="shared" si="52"/>
        <v>14.358499999999999</v>
      </c>
      <c r="AE315">
        <f t="shared" si="53"/>
        <v>3.7925106049999995</v>
      </c>
      <c r="AF315" s="9"/>
      <c r="AG315" s="22">
        <v>1.4358500000000001</v>
      </c>
      <c r="AH315" s="22">
        <v>62.6205</v>
      </c>
      <c r="AI315" s="22">
        <v>-5.6030300000000002E-3</v>
      </c>
      <c r="AJ315" s="22">
        <v>305</v>
      </c>
      <c r="AK315" s="22">
        <v>1.4349400000000001</v>
      </c>
      <c r="AL315">
        <f t="shared" si="54"/>
        <v>5.6030300000000004</v>
      </c>
      <c r="AM315">
        <f t="shared" si="55"/>
        <v>8.0451106255000013</v>
      </c>
      <c r="AP315" s="9"/>
      <c r="AQ315" s="22">
        <v>0.26412999999999998</v>
      </c>
      <c r="AR315" s="22">
        <v>69.620099999999994</v>
      </c>
      <c r="AS315" s="22">
        <v>-1.42273E-2</v>
      </c>
      <c r="AT315" s="22">
        <v>305</v>
      </c>
      <c r="AU315" s="22">
        <v>0.26345800000000003</v>
      </c>
      <c r="AV315">
        <f t="shared" si="56"/>
        <v>14.2273</v>
      </c>
      <c r="AW315">
        <f t="shared" si="57"/>
        <v>3.7578567489999997</v>
      </c>
      <c r="AX315" s="9"/>
      <c r="AY315" s="22">
        <v>1.4358500000000001</v>
      </c>
      <c r="AZ315" s="22">
        <v>74.896799999999999</v>
      </c>
      <c r="BA315" s="22">
        <v>-5.5114700000000001E-3</v>
      </c>
      <c r="BB315" s="22">
        <v>305</v>
      </c>
      <c r="BC315" s="22">
        <v>1.4349400000000001</v>
      </c>
      <c r="BD315">
        <f t="shared" si="58"/>
        <v>5.5114700000000001</v>
      </c>
      <c r="BE315">
        <f t="shared" si="59"/>
        <v>7.9136441995000002</v>
      </c>
    </row>
    <row r="316" spans="6:57">
      <c r="F316" s="9"/>
      <c r="G316" s="22">
        <v>0.25909399999999999</v>
      </c>
      <c r="H316" s="22">
        <v>9.79908</v>
      </c>
      <c r="I316" s="22">
        <v>-1.4297499999999999E-2</v>
      </c>
      <c r="J316" s="22">
        <v>306</v>
      </c>
      <c r="K316" s="22">
        <v>0.25842300000000001</v>
      </c>
      <c r="L316">
        <f t="shared" si="48"/>
        <v>14.297499999999999</v>
      </c>
      <c r="M316">
        <f t="shared" si="49"/>
        <v>3.7043964649999999</v>
      </c>
      <c r="N316" s="9"/>
      <c r="O316" s="22">
        <v>1.44089</v>
      </c>
      <c r="P316" s="22">
        <v>49.274299999999997</v>
      </c>
      <c r="Q316" s="22">
        <v>-5.7861299999999996E-3</v>
      </c>
      <c r="R316" s="22">
        <v>306</v>
      </c>
      <c r="S316" s="22">
        <v>1.4401200000000001</v>
      </c>
      <c r="T316">
        <f t="shared" si="50"/>
        <v>5.78613</v>
      </c>
      <c r="U316">
        <f t="shared" si="51"/>
        <v>8.3371768556999992</v>
      </c>
      <c r="X316" s="9"/>
      <c r="Y316" s="22">
        <v>0.25909399999999999</v>
      </c>
      <c r="Z316" s="22">
        <v>57.085999999999999</v>
      </c>
      <c r="AA316" s="22">
        <v>-1.4379899999999999E-2</v>
      </c>
      <c r="AB316" s="22">
        <v>306</v>
      </c>
      <c r="AC316" s="22">
        <v>0.25842300000000001</v>
      </c>
      <c r="AD316">
        <f t="shared" si="52"/>
        <v>14.379899999999999</v>
      </c>
      <c r="AE316">
        <f t="shared" si="53"/>
        <v>3.7257458105999999</v>
      </c>
      <c r="AF316" s="9"/>
      <c r="AG316" s="22">
        <v>1.44089</v>
      </c>
      <c r="AH316" s="22">
        <v>62.630600000000001</v>
      </c>
      <c r="AI316" s="22">
        <v>-5.5419900000000001E-3</v>
      </c>
      <c r="AJ316" s="22">
        <v>306</v>
      </c>
      <c r="AK316" s="22">
        <v>1.4401200000000001</v>
      </c>
      <c r="AL316">
        <f t="shared" si="54"/>
        <v>5.5419900000000002</v>
      </c>
      <c r="AM316">
        <f t="shared" si="55"/>
        <v>7.9853979711000003</v>
      </c>
      <c r="AP316" s="9"/>
      <c r="AQ316" s="22">
        <v>0.25909399999999999</v>
      </c>
      <c r="AR316" s="22">
        <v>69.630200000000002</v>
      </c>
      <c r="AS316" s="22">
        <v>-1.42609E-2</v>
      </c>
      <c r="AT316" s="22">
        <v>306</v>
      </c>
      <c r="AU316" s="22">
        <v>0.25848399999999999</v>
      </c>
      <c r="AV316">
        <f t="shared" si="56"/>
        <v>14.260899999999999</v>
      </c>
      <c r="AW316">
        <f t="shared" si="57"/>
        <v>3.6949136245999998</v>
      </c>
      <c r="AX316" s="9"/>
      <c r="AY316" s="22">
        <v>1.44089</v>
      </c>
      <c r="AZ316" s="22">
        <v>74.906800000000004</v>
      </c>
      <c r="BA316" s="22">
        <v>-5.4534900000000001E-3</v>
      </c>
      <c r="BB316" s="22">
        <v>306</v>
      </c>
      <c r="BC316" s="22">
        <v>1.4401200000000001</v>
      </c>
      <c r="BD316">
        <f t="shared" si="58"/>
        <v>5.4534900000000004</v>
      </c>
      <c r="BE316">
        <f t="shared" si="59"/>
        <v>7.8578792061000007</v>
      </c>
    </row>
    <row r="317" spans="6:57">
      <c r="F317" s="9"/>
      <c r="G317" s="22">
        <v>0.25405899999999998</v>
      </c>
      <c r="H317" s="22">
        <v>9.8091500000000007</v>
      </c>
      <c r="I317" s="22">
        <v>-1.4324999999999999E-2</v>
      </c>
      <c r="J317" s="22">
        <v>307</v>
      </c>
      <c r="K317" s="22">
        <v>0.25341799999999998</v>
      </c>
      <c r="L317">
        <f t="shared" si="48"/>
        <v>14.324999999999999</v>
      </c>
      <c r="M317">
        <f t="shared" si="49"/>
        <v>3.6393951749999993</v>
      </c>
      <c r="N317" s="9"/>
      <c r="O317" s="22">
        <v>1.4459200000000001</v>
      </c>
      <c r="P317" s="22">
        <v>49.284399999999998</v>
      </c>
      <c r="Q317" s="22">
        <v>-5.7251000000000003E-3</v>
      </c>
      <c r="R317" s="22">
        <v>307</v>
      </c>
      <c r="S317" s="22">
        <v>1.4450099999999999</v>
      </c>
      <c r="T317">
        <f t="shared" si="50"/>
        <v>5.7251000000000003</v>
      </c>
      <c r="U317">
        <f t="shared" si="51"/>
        <v>8.2780365920000012</v>
      </c>
      <c r="X317" s="9"/>
      <c r="Y317" s="22">
        <v>0.25405899999999998</v>
      </c>
      <c r="Z317" s="22">
        <v>57.095999999999997</v>
      </c>
      <c r="AA317" s="22">
        <v>-1.4395099999999999E-2</v>
      </c>
      <c r="AB317" s="22">
        <v>307</v>
      </c>
      <c r="AC317" s="22">
        <v>0.25341799999999998</v>
      </c>
      <c r="AD317">
        <f t="shared" si="52"/>
        <v>14.395099999999999</v>
      </c>
      <c r="AE317">
        <f t="shared" si="53"/>
        <v>3.6572047108999994</v>
      </c>
      <c r="AF317" s="9"/>
      <c r="AG317" s="22">
        <v>1.4459200000000001</v>
      </c>
      <c r="AH317" s="22">
        <v>62.640700000000002</v>
      </c>
      <c r="AI317" s="22">
        <v>-5.4840100000000001E-3</v>
      </c>
      <c r="AJ317" s="22">
        <v>307</v>
      </c>
      <c r="AK317" s="22">
        <v>1.4453100000000001</v>
      </c>
      <c r="AL317">
        <f t="shared" si="54"/>
        <v>5.4840100000000005</v>
      </c>
      <c r="AM317">
        <f t="shared" si="55"/>
        <v>7.9294397392000011</v>
      </c>
      <c r="AP317" s="9"/>
      <c r="AQ317" s="22">
        <v>0.25405899999999998</v>
      </c>
      <c r="AR317" s="22">
        <v>69.640299999999996</v>
      </c>
      <c r="AS317" s="22">
        <v>-1.42883E-2</v>
      </c>
      <c r="AT317" s="22">
        <v>307</v>
      </c>
      <c r="AU317" s="22">
        <v>0.25344800000000001</v>
      </c>
      <c r="AV317">
        <f t="shared" si="56"/>
        <v>14.2883</v>
      </c>
      <c r="AW317">
        <f t="shared" si="57"/>
        <v>3.6300712096999996</v>
      </c>
      <c r="AX317" s="9"/>
      <c r="AY317" s="22">
        <v>1.4459200000000001</v>
      </c>
      <c r="AZ317" s="22">
        <v>74.916899999999998</v>
      </c>
      <c r="BA317" s="22">
        <v>-5.3955100000000001E-3</v>
      </c>
      <c r="BB317" s="22">
        <v>307</v>
      </c>
      <c r="BC317" s="22">
        <v>1.4450099999999999</v>
      </c>
      <c r="BD317">
        <f t="shared" si="58"/>
        <v>5.3955099999999998</v>
      </c>
      <c r="BE317">
        <f t="shared" si="59"/>
        <v>7.8014758192000002</v>
      </c>
    </row>
    <row r="318" spans="6:57">
      <c r="F318" s="9"/>
      <c r="G318" s="22">
        <v>0.24902299999999999</v>
      </c>
      <c r="H318" s="22">
        <v>9.8192199999999996</v>
      </c>
      <c r="I318" s="22">
        <v>-1.43585E-2</v>
      </c>
      <c r="J318" s="22">
        <v>308</v>
      </c>
      <c r="K318" s="22">
        <v>0.248444</v>
      </c>
      <c r="L318">
        <f t="shared" si="48"/>
        <v>14.358499999999999</v>
      </c>
      <c r="M318">
        <f t="shared" si="49"/>
        <v>3.5755967455</v>
      </c>
      <c r="N318" s="9"/>
      <c r="O318" s="22">
        <v>1.45096</v>
      </c>
      <c r="P318" s="22">
        <v>49.294499999999999</v>
      </c>
      <c r="Q318" s="22">
        <v>-5.6640600000000003E-3</v>
      </c>
      <c r="R318" s="22">
        <v>308</v>
      </c>
      <c r="S318" s="22">
        <v>1.4504999999999999</v>
      </c>
      <c r="T318">
        <f t="shared" si="50"/>
        <v>5.6640600000000001</v>
      </c>
      <c r="U318">
        <f t="shared" si="51"/>
        <v>8.2183244976000012</v>
      </c>
      <c r="X318" s="9"/>
      <c r="Y318" s="22">
        <v>0.24902299999999999</v>
      </c>
      <c r="Z318" s="22">
        <v>57.106099999999998</v>
      </c>
      <c r="AA318" s="22">
        <v>-1.44257E-2</v>
      </c>
      <c r="AB318" s="22">
        <v>308</v>
      </c>
      <c r="AC318" s="22">
        <v>0.24841299999999999</v>
      </c>
      <c r="AD318">
        <f t="shared" si="52"/>
        <v>14.425699999999999</v>
      </c>
      <c r="AE318">
        <f t="shared" si="53"/>
        <v>3.5923310910999997</v>
      </c>
      <c r="AF318" s="9"/>
      <c r="AG318" s="22">
        <v>1.45096</v>
      </c>
      <c r="AH318" s="22">
        <v>62.650700000000001</v>
      </c>
      <c r="AI318" s="22">
        <v>-5.4260300000000001E-3</v>
      </c>
      <c r="AJ318" s="22">
        <v>308</v>
      </c>
      <c r="AK318" s="22">
        <v>1.4498899999999999</v>
      </c>
      <c r="AL318">
        <f t="shared" si="54"/>
        <v>5.4260299999999999</v>
      </c>
      <c r="AM318">
        <f t="shared" si="55"/>
        <v>7.8729524888000002</v>
      </c>
      <c r="AP318" s="9"/>
      <c r="AQ318" s="22">
        <v>0.24902299999999999</v>
      </c>
      <c r="AR318" s="22">
        <v>69.650400000000005</v>
      </c>
      <c r="AS318" s="22">
        <v>-1.43097E-2</v>
      </c>
      <c r="AT318" s="22">
        <v>308</v>
      </c>
      <c r="AU318" s="22">
        <v>0.248444</v>
      </c>
      <c r="AV318">
        <f t="shared" si="56"/>
        <v>14.309699999999999</v>
      </c>
      <c r="AW318">
        <f t="shared" si="57"/>
        <v>3.5634444231</v>
      </c>
      <c r="AX318" s="9"/>
      <c r="AY318" s="22">
        <v>1.45096</v>
      </c>
      <c r="AZ318" s="22">
        <v>74.927000000000007</v>
      </c>
      <c r="BA318" s="22">
        <v>-5.3375200000000001E-3</v>
      </c>
      <c r="BB318" s="22">
        <v>308</v>
      </c>
      <c r="BC318" s="22">
        <v>1.4504999999999999</v>
      </c>
      <c r="BD318">
        <f t="shared" si="58"/>
        <v>5.3375200000000005</v>
      </c>
      <c r="BE318">
        <f t="shared" si="59"/>
        <v>7.7445280192000006</v>
      </c>
    </row>
    <row r="319" spans="6:57">
      <c r="F319" s="9"/>
      <c r="G319" s="22">
        <v>0.24398800000000001</v>
      </c>
      <c r="H319" s="22">
        <v>9.8292900000000003</v>
      </c>
      <c r="I319" s="22">
        <v>-1.4382900000000001E-2</v>
      </c>
      <c r="J319" s="22">
        <v>309</v>
      </c>
      <c r="K319" s="22">
        <v>0.24334700000000001</v>
      </c>
      <c r="L319">
        <f t="shared" si="48"/>
        <v>14.382900000000001</v>
      </c>
      <c r="M319">
        <f t="shared" si="49"/>
        <v>3.5092550052000004</v>
      </c>
      <c r="N319" s="9"/>
      <c r="O319" s="22">
        <v>1.4559899999999999</v>
      </c>
      <c r="P319" s="22">
        <v>49.304499999999997</v>
      </c>
      <c r="Q319" s="22">
        <v>-5.5999800000000001E-3</v>
      </c>
      <c r="R319" s="22">
        <v>309</v>
      </c>
      <c r="S319" s="22">
        <v>1.4550799999999999</v>
      </c>
      <c r="T319">
        <f t="shared" si="50"/>
        <v>5.5999800000000004</v>
      </c>
      <c r="U319">
        <f t="shared" si="51"/>
        <v>8.1535148801999995</v>
      </c>
      <c r="X319" s="9"/>
      <c r="Y319" s="22">
        <v>0.24398800000000001</v>
      </c>
      <c r="Z319" s="22">
        <v>57.116199999999999</v>
      </c>
      <c r="AA319" s="22">
        <v>-1.4456200000000001E-2</v>
      </c>
      <c r="AB319" s="22">
        <v>309</v>
      </c>
      <c r="AC319" s="22">
        <v>0.24340800000000001</v>
      </c>
      <c r="AD319">
        <f t="shared" si="52"/>
        <v>14.456200000000001</v>
      </c>
      <c r="AE319">
        <f t="shared" si="53"/>
        <v>3.5271393256000003</v>
      </c>
      <c r="AF319" s="9"/>
      <c r="AG319" s="22">
        <v>1.4559899999999999</v>
      </c>
      <c r="AH319" s="22">
        <v>62.660800000000002</v>
      </c>
      <c r="AI319" s="22">
        <v>-5.36499E-3</v>
      </c>
      <c r="AJ319" s="22">
        <v>309</v>
      </c>
      <c r="AK319" s="22">
        <v>1.4550799999999999</v>
      </c>
      <c r="AL319">
        <f t="shared" si="54"/>
        <v>5.3649899999999997</v>
      </c>
      <c r="AM319">
        <f t="shared" si="55"/>
        <v>7.811371790099999</v>
      </c>
      <c r="AP319" s="9"/>
      <c r="AQ319" s="22">
        <v>0.24398800000000001</v>
      </c>
      <c r="AR319" s="22">
        <v>69.660399999999996</v>
      </c>
      <c r="AS319" s="22">
        <v>-1.4324999999999999E-2</v>
      </c>
      <c r="AT319" s="22">
        <v>309</v>
      </c>
      <c r="AU319" s="22">
        <v>0.24337800000000001</v>
      </c>
      <c r="AV319">
        <f t="shared" si="56"/>
        <v>14.324999999999999</v>
      </c>
      <c r="AW319">
        <f t="shared" si="57"/>
        <v>3.4951281000000001</v>
      </c>
      <c r="AX319" s="9"/>
      <c r="AY319" s="22">
        <v>1.4559899999999999</v>
      </c>
      <c r="AZ319" s="22">
        <v>74.936999999999998</v>
      </c>
      <c r="BA319" s="22">
        <v>-5.2795400000000001E-3</v>
      </c>
      <c r="BB319" s="22">
        <v>309</v>
      </c>
      <c r="BC319" s="22">
        <v>1.4550799999999999</v>
      </c>
      <c r="BD319">
        <f t="shared" si="58"/>
        <v>5.2795399999999999</v>
      </c>
      <c r="BE319">
        <f t="shared" si="59"/>
        <v>7.6869574445999991</v>
      </c>
    </row>
    <row r="320" spans="6:57">
      <c r="F320" s="9"/>
      <c r="G320" s="22">
        <v>0.238953</v>
      </c>
      <c r="H320" s="22">
        <v>9.8393599999999992</v>
      </c>
      <c r="I320" s="22">
        <v>-1.44043E-2</v>
      </c>
      <c r="J320" s="22">
        <v>310</v>
      </c>
      <c r="K320" s="22">
        <v>0.238403</v>
      </c>
      <c r="L320">
        <f t="shared" si="48"/>
        <v>14.404299999999999</v>
      </c>
      <c r="M320">
        <f t="shared" si="49"/>
        <v>3.4419506978999999</v>
      </c>
      <c r="N320" s="9"/>
      <c r="O320" s="22">
        <v>1.4610300000000001</v>
      </c>
      <c r="P320" s="22">
        <v>49.314599999999999</v>
      </c>
      <c r="Q320" s="22">
        <v>-5.5328399999999998E-3</v>
      </c>
      <c r="R320" s="22">
        <v>310</v>
      </c>
      <c r="S320" s="22">
        <v>1.4599599999999999</v>
      </c>
      <c r="T320">
        <f t="shared" si="50"/>
        <v>5.5328400000000002</v>
      </c>
      <c r="U320">
        <f t="shared" si="51"/>
        <v>8.0836452251999997</v>
      </c>
      <c r="X320" s="9"/>
      <c r="Y320" s="22">
        <v>0.238953</v>
      </c>
      <c r="Z320" s="22">
        <v>57.126199999999997</v>
      </c>
      <c r="AA320" s="22">
        <v>-1.44806E-2</v>
      </c>
      <c r="AB320" s="22">
        <v>310</v>
      </c>
      <c r="AC320" s="22">
        <v>0.238373</v>
      </c>
      <c r="AD320">
        <f t="shared" si="52"/>
        <v>14.480599999999999</v>
      </c>
      <c r="AE320">
        <f t="shared" si="53"/>
        <v>3.4601828117999998</v>
      </c>
      <c r="AF320" s="9"/>
      <c r="AG320" s="22">
        <v>1.4610300000000001</v>
      </c>
      <c r="AH320" s="22">
        <v>62.670900000000003</v>
      </c>
      <c r="AI320" s="22">
        <v>-5.3039599999999999E-3</v>
      </c>
      <c r="AJ320" s="22">
        <v>310</v>
      </c>
      <c r="AK320" s="22">
        <v>1.4605699999999999</v>
      </c>
      <c r="AL320">
        <f t="shared" si="54"/>
        <v>5.30396</v>
      </c>
      <c r="AM320">
        <f t="shared" si="55"/>
        <v>7.7492446788000002</v>
      </c>
      <c r="AP320" s="9"/>
      <c r="AQ320" s="22">
        <v>0.238953</v>
      </c>
      <c r="AR320" s="22">
        <v>69.670500000000004</v>
      </c>
      <c r="AS320" s="22">
        <v>-1.4346299999999999E-2</v>
      </c>
      <c r="AT320" s="22">
        <v>310</v>
      </c>
      <c r="AU320" s="22">
        <v>0.238373</v>
      </c>
      <c r="AV320">
        <f t="shared" si="56"/>
        <v>14.346299999999999</v>
      </c>
      <c r="AW320">
        <f t="shared" si="57"/>
        <v>3.4280914238999998</v>
      </c>
      <c r="AX320" s="9"/>
      <c r="AY320" s="22">
        <v>1.4610300000000001</v>
      </c>
      <c r="AZ320" s="22">
        <v>74.947100000000006</v>
      </c>
      <c r="BA320" s="22">
        <v>-5.21851E-3</v>
      </c>
      <c r="BB320" s="22">
        <v>310</v>
      </c>
      <c r="BC320" s="22">
        <v>1.4599599999999999</v>
      </c>
      <c r="BD320">
        <f t="shared" si="58"/>
        <v>5.2185100000000002</v>
      </c>
      <c r="BE320">
        <f t="shared" si="59"/>
        <v>7.6243996653000004</v>
      </c>
    </row>
    <row r="321" spans="6:57">
      <c r="F321" s="9"/>
      <c r="G321" s="22">
        <v>0.23391700000000001</v>
      </c>
      <c r="H321" s="22">
        <v>9.8494299999999999</v>
      </c>
      <c r="I321" s="22">
        <v>-1.4419599999999999E-2</v>
      </c>
      <c r="J321" s="22">
        <v>311</v>
      </c>
      <c r="K321" s="22">
        <v>0.23333699999999999</v>
      </c>
      <c r="L321">
        <f t="shared" si="48"/>
        <v>14.419599999999999</v>
      </c>
      <c r="M321">
        <f t="shared" si="49"/>
        <v>3.3729895731999999</v>
      </c>
      <c r="N321" s="9"/>
      <c r="O321" s="22">
        <v>1.4660599999999999</v>
      </c>
      <c r="P321" s="22">
        <v>49.3247</v>
      </c>
      <c r="Q321" s="22">
        <v>-5.4657000000000004E-3</v>
      </c>
      <c r="R321" s="22">
        <v>311</v>
      </c>
      <c r="S321" s="22">
        <v>1.46515</v>
      </c>
      <c r="T321">
        <f t="shared" si="50"/>
        <v>5.4657</v>
      </c>
      <c r="U321">
        <f t="shared" si="51"/>
        <v>8.013044142</v>
      </c>
      <c r="X321" s="9"/>
      <c r="Y321" s="22">
        <v>0.23391700000000001</v>
      </c>
      <c r="Z321" s="22">
        <v>57.136299999999999</v>
      </c>
      <c r="AA321" s="22">
        <v>-1.4508099999999999E-2</v>
      </c>
      <c r="AB321" s="22">
        <v>311</v>
      </c>
      <c r="AC321" s="22">
        <v>0.23330699999999999</v>
      </c>
      <c r="AD321">
        <f t="shared" si="52"/>
        <v>14.508099999999999</v>
      </c>
      <c r="AE321">
        <f t="shared" si="53"/>
        <v>3.3936912276999998</v>
      </c>
      <c r="AF321" s="9"/>
      <c r="AG321" s="22">
        <v>1.4660599999999999</v>
      </c>
      <c r="AH321" s="22">
        <v>62.680900000000001</v>
      </c>
      <c r="AI321" s="22">
        <v>-5.2429199999999999E-3</v>
      </c>
      <c r="AJ321" s="22">
        <v>311</v>
      </c>
      <c r="AK321" s="22">
        <v>1.46515</v>
      </c>
      <c r="AL321">
        <f t="shared" si="54"/>
        <v>5.2429199999999998</v>
      </c>
      <c r="AM321">
        <f t="shared" si="55"/>
        <v>7.686435295199999</v>
      </c>
      <c r="AP321" s="9"/>
      <c r="AQ321" s="22">
        <v>0.23391700000000001</v>
      </c>
      <c r="AR321" s="22">
        <v>69.680599999999998</v>
      </c>
      <c r="AS321" s="22">
        <v>-1.43768E-2</v>
      </c>
      <c r="AT321" s="22">
        <v>311</v>
      </c>
      <c r="AU321" s="22">
        <v>0.23330699999999999</v>
      </c>
      <c r="AV321">
        <f t="shared" si="56"/>
        <v>14.376800000000001</v>
      </c>
      <c r="AW321">
        <f t="shared" si="57"/>
        <v>3.3629779256000005</v>
      </c>
      <c r="AX321" s="9"/>
      <c r="AY321" s="22">
        <v>1.4660599999999999</v>
      </c>
      <c r="AZ321" s="22">
        <v>74.9572</v>
      </c>
      <c r="BA321" s="22">
        <v>-5.1574699999999999E-3</v>
      </c>
      <c r="BB321" s="22">
        <v>311</v>
      </c>
      <c r="BC321" s="22">
        <v>1.4654499999999999</v>
      </c>
      <c r="BD321">
        <f t="shared" si="58"/>
        <v>5.15747</v>
      </c>
      <c r="BE321">
        <f t="shared" si="59"/>
        <v>7.5611604681999998</v>
      </c>
    </row>
    <row r="322" spans="6:57">
      <c r="F322" s="9"/>
      <c r="G322" s="22">
        <v>0.228882</v>
      </c>
      <c r="H322" s="22">
        <v>9.8595000000000006</v>
      </c>
      <c r="I322" s="22">
        <v>-1.4434799999999999E-2</v>
      </c>
      <c r="J322" s="22">
        <v>312</v>
      </c>
      <c r="K322" s="22">
        <v>0.228271</v>
      </c>
      <c r="L322">
        <f t="shared" si="48"/>
        <v>14.434799999999999</v>
      </c>
      <c r="M322">
        <f t="shared" si="49"/>
        <v>3.3038658935999998</v>
      </c>
      <c r="N322" s="9"/>
      <c r="O322" s="22">
        <v>1.4711000000000001</v>
      </c>
      <c r="P322" s="22">
        <v>49.334699999999998</v>
      </c>
      <c r="Q322" s="22">
        <v>-5.4016100000000003E-3</v>
      </c>
      <c r="R322" s="22">
        <v>312</v>
      </c>
      <c r="S322" s="22">
        <v>1.4706399999999999</v>
      </c>
      <c r="T322">
        <f t="shared" si="50"/>
        <v>5.4016100000000007</v>
      </c>
      <c r="U322">
        <f t="shared" si="51"/>
        <v>7.9463084710000018</v>
      </c>
      <c r="X322" s="9"/>
      <c r="Y322" s="22">
        <v>0.228882</v>
      </c>
      <c r="Z322" s="22">
        <v>57.1464</v>
      </c>
      <c r="AA322" s="22">
        <v>-1.45355E-2</v>
      </c>
      <c r="AB322" s="22">
        <v>312</v>
      </c>
      <c r="AC322" s="22">
        <v>0.228241</v>
      </c>
      <c r="AD322">
        <f t="shared" si="52"/>
        <v>14.535499999999999</v>
      </c>
      <c r="AE322">
        <f t="shared" si="53"/>
        <v>3.3269143109999999</v>
      </c>
      <c r="AF322" s="9"/>
      <c r="AG322" s="22">
        <v>1.4711000000000001</v>
      </c>
      <c r="AH322" s="22">
        <v>62.691000000000003</v>
      </c>
      <c r="AI322" s="22">
        <v>-5.1818799999999998E-3</v>
      </c>
      <c r="AJ322" s="22">
        <v>312</v>
      </c>
      <c r="AK322" s="22">
        <v>1.46973</v>
      </c>
      <c r="AL322">
        <f t="shared" si="54"/>
        <v>5.1818799999999996</v>
      </c>
      <c r="AM322">
        <f t="shared" si="55"/>
        <v>7.6230636679999995</v>
      </c>
      <c r="AP322" s="9"/>
      <c r="AQ322" s="22">
        <v>0.228882</v>
      </c>
      <c r="AR322" s="22">
        <v>69.690600000000003</v>
      </c>
      <c r="AS322" s="22">
        <v>-1.4401199999999999E-2</v>
      </c>
      <c r="AT322" s="22">
        <v>312</v>
      </c>
      <c r="AU322" s="22">
        <v>0.228302</v>
      </c>
      <c r="AV322">
        <f t="shared" si="56"/>
        <v>14.401199999999999</v>
      </c>
      <c r="AW322">
        <f t="shared" si="57"/>
        <v>3.2961754584</v>
      </c>
      <c r="AX322" s="9"/>
      <c r="AY322" s="22">
        <v>1.4711000000000001</v>
      </c>
      <c r="AZ322" s="22">
        <v>74.967299999999994</v>
      </c>
      <c r="BA322" s="22">
        <v>-5.0933799999999998E-3</v>
      </c>
      <c r="BB322" s="22">
        <v>312</v>
      </c>
      <c r="BC322" s="22">
        <v>1.4706399999999999</v>
      </c>
      <c r="BD322">
        <f t="shared" si="58"/>
        <v>5.0933799999999998</v>
      </c>
      <c r="BE322">
        <f t="shared" si="59"/>
        <v>7.4928713179999997</v>
      </c>
    </row>
    <row r="323" spans="6:57">
      <c r="F323" s="9"/>
      <c r="G323" s="22">
        <v>0.22384599999999999</v>
      </c>
      <c r="H323" s="22">
        <v>9.8695799999999991</v>
      </c>
      <c r="I323" s="22">
        <v>-1.44592E-2</v>
      </c>
      <c r="J323" s="22">
        <v>313</v>
      </c>
      <c r="K323" s="22">
        <v>0.22320599999999999</v>
      </c>
      <c r="L323">
        <f t="shared" si="48"/>
        <v>14.459200000000001</v>
      </c>
      <c r="M323">
        <f t="shared" si="49"/>
        <v>3.2366340832000002</v>
      </c>
      <c r="N323" s="9"/>
      <c r="O323" s="22">
        <v>1.47614</v>
      </c>
      <c r="P323" s="22">
        <v>49.344799999999999</v>
      </c>
      <c r="Q323" s="22">
        <v>-5.33447E-3</v>
      </c>
      <c r="R323" s="22">
        <v>313</v>
      </c>
      <c r="S323" s="22">
        <v>1.47583</v>
      </c>
      <c r="T323">
        <f t="shared" si="50"/>
        <v>5.3344699999999996</v>
      </c>
      <c r="U323">
        <f t="shared" si="51"/>
        <v>7.8744245457999993</v>
      </c>
      <c r="X323" s="9"/>
      <c r="Y323" s="22">
        <v>0.22384599999999999</v>
      </c>
      <c r="Z323" s="22">
        <v>57.156500000000001</v>
      </c>
      <c r="AA323" s="22">
        <v>-1.4559900000000001E-2</v>
      </c>
      <c r="AB323" s="22">
        <v>313</v>
      </c>
      <c r="AC323" s="22">
        <v>0.22323599999999999</v>
      </c>
      <c r="AD323">
        <f t="shared" si="52"/>
        <v>14.559900000000001</v>
      </c>
      <c r="AE323">
        <f t="shared" si="53"/>
        <v>3.2591753753999999</v>
      </c>
      <c r="AF323" s="9"/>
      <c r="AG323" s="22">
        <v>1.47614</v>
      </c>
      <c r="AH323" s="22">
        <v>62.701099999999997</v>
      </c>
      <c r="AI323" s="22">
        <v>-5.1177999999999996E-3</v>
      </c>
      <c r="AJ323" s="22">
        <v>313</v>
      </c>
      <c r="AK323" s="22">
        <v>1.4755199999999999</v>
      </c>
      <c r="AL323">
        <f t="shared" si="54"/>
        <v>5.1177999999999999</v>
      </c>
      <c r="AM323">
        <f t="shared" si="55"/>
        <v>7.5545892920000002</v>
      </c>
      <c r="AP323" s="9"/>
      <c r="AQ323" s="22">
        <v>0.22384599999999999</v>
      </c>
      <c r="AR323" s="22">
        <v>69.700699999999998</v>
      </c>
      <c r="AS323" s="22">
        <v>-1.44318E-2</v>
      </c>
      <c r="AT323" s="22">
        <v>313</v>
      </c>
      <c r="AU323" s="22">
        <v>0.22326699999999999</v>
      </c>
      <c r="AV323">
        <f t="shared" si="56"/>
        <v>14.431799999999999</v>
      </c>
      <c r="AW323">
        <f t="shared" si="57"/>
        <v>3.2305007027999997</v>
      </c>
      <c r="AX323" s="9"/>
      <c r="AY323" s="22">
        <v>1.47614</v>
      </c>
      <c r="AZ323" s="22">
        <v>74.9773</v>
      </c>
      <c r="BA323" s="22">
        <v>-5.0323499999999997E-3</v>
      </c>
      <c r="BB323" s="22">
        <v>313</v>
      </c>
      <c r="BC323" s="22">
        <v>1.47583</v>
      </c>
      <c r="BD323">
        <f t="shared" si="58"/>
        <v>5.0323500000000001</v>
      </c>
      <c r="BE323">
        <f t="shared" si="59"/>
        <v>7.4284531290000002</v>
      </c>
    </row>
    <row r="324" spans="6:57">
      <c r="F324" s="9"/>
      <c r="G324" s="22">
        <v>0.21881100000000001</v>
      </c>
      <c r="H324" s="22">
        <v>9.8796499999999998</v>
      </c>
      <c r="I324" s="22">
        <v>-1.4483599999999999E-2</v>
      </c>
      <c r="J324" s="22">
        <v>314</v>
      </c>
      <c r="K324" s="22">
        <v>0.21817</v>
      </c>
      <c r="L324">
        <f t="shared" si="48"/>
        <v>14.483599999999999</v>
      </c>
      <c r="M324">
        <f t="shared" si="49"/>
        <v>3.1691709995999999</v>
      </c>
      <c r="N324" s="9"/>
      <c r="O324" s="22">
        <v>1.4811700000000001</v>
      </c>
      <c r="P324" s="22">
        <v>49.354900000000001</v>
      </c>
      <c r="Q324" s="22">
        <v>-5.2642799999999997E-3</v>
      </c>
      <c r="R324" s="22">
        <v>314</v>
      </c>
      <c r="S324" s="22">
        <v>1.48041</v>
      </c>
      <c r="T324">
        <f t="shared" si="50"/>
        <v>5.2642799999999994</v>
      </c>
      <c r="U324">
        <f t="shared" si="51"/>
        <v>7.7972936075999995</v>
      </c>
      <c r="X324" s="9"/>
      <c r="Y324" s="22">
        <v>0.21881100000000001</v>
      </c>
      <c r="Z324" s="22">
        <v>57.166499999999999</v>
      </c>
      <c r="AA324" s="22">
        <v>-1.45752E-2</v>
      </c>
      <c r="AB324" s="22">
        <v>314</v>
      </c>
      <c r="AC324" s="22">
        <v>0.21820100000000001</v>
      </c>
      <c r="AD324">
        <f t="shared" si="52"/>
        <v>14.575200000000001</v>
      </c>
      <c r="AE324">
        <f t="shared" si="53"/>
        <v>3.1892140872000003</v>
      </c>
      <c r="AF324" s="9"/>
      <c r="AG324" s="22">
        <v>1.4811700000000001</v>
      </c>
      <c r="AH324" s="22">
        <v>62.711199999999998</v>
      </c>
      <c r="AI324" s="22">
        <v>-5.0537100000000003E-3</v>
      </c>
      <c r="AJ324" s="22">
        <v>314</v>
      </c>
      <c r="AK324" s="22">
        <v>1.4798</v>
      </c>
      <c r="AL324">
        <f t="shared" si="54"/>
        <v>5.0537100000000006</v>
      </c>
      <c r="AM324">
        <f t="shared" si="55"/>
        <v>7.4854036407000013</v>
      </c>
      <c r="AP324" s="9"/>
      <c r="AQ324" s="22">
        <v>0.21881100000000001</v>
      </c>
      <c r="AR324" s="22">
        <v>69.710800000000006</v>
      </c>
      <c r="AS324" s="22">
        <v>-1.4468399999999999E-2</v>
      </c>
      <c r="AT324" s="22">
        <v>314</v>
      </c>
      <c r="AU324" s="22">
        <v>0.21817</v>
      </c>
      <c r="AV324">
        <f t="shared" si="56"/>
        <v>14.468399999999999</v>
      </c>
      <c r="AW324">
        <f t="shared" si="57"/>
        <v>3.1658450723999998</v>
      </c>
      <c r="AX324" s="9"/>
      <c r="AY324" s="22">
        <v>1.4811700000000001</v>
      </c>
      <c r="AZ324" s="22">
        <v>74.987399999999994</v>
      </c>
      <c r="BA324" s="22">
        <v>-4.9706999999999998E-3</v>
      </c>
      <c r="BB324" s="22">
        <v>314</v>
      </c>
      <c r="BC324" s="22">
        <v>1.48041</v>
      </c>
      <c r="BD324">
        <f t="shared" si="58"/>
        <v>4.9706999999999999</v>
      </c>
      <c r="BE324">
        <f t="shared" si="59"/>
        <v>7.3624517190000001</v>
      </c>
    </row>
    <row r="325" spans="6:57">
      <c r="F325" s="9"/>
      <c r="G325" s="22">
        <v>0.21377599999999999</v>
      </c>
      <c r="H325" s="22">
        <v>9.8897200000000005</v>
      </c>
      <c r="I325" s="22">
        <v>-1.4511100000000001E-2</v>
      </c>
      <c r="J325" s="22">
        <v>315</v>
      </c>
      <c r="K325" s="22">
        <v>0.21313499999999999</v>
      </c>
      <c r="L325">
        <f t="shared" si="48"/>
        <v>14.511100000000001</v>
      </c>
      <c r="M325">
        <f t="shared" si="49"/>
        <v>3.1021249136</v>
      </c>
      <c r="N325" s="9"/>
      <c r="O325" s="22">
        <v>1.48621</v>
      </c>
      <c r="P325" s="22">
        <v>49.365000000000002</v>
      </c>
      <c r="Q325" s="22">
        <v>-5.1971400000000003E-3</v>
      </c>
      <c r="R325" s="22">
        <v>315</v>
      </c>
      <c r="S325" s="22">
        <v>1.4856</v>
      </c>
      <c r="T325">
        <f t="shared" si="50"/>
        <v>5.1971400000000001</v>
      </c>
      <c r="U325">
        <f t="shared" si="51"/>
        <v>7.7240414394000005</v>
      </c>
      <c r="X325" s="9"/>
      <c r="Y325" s="22">
        <v>0.21377599999999999</v>
      </c>
      <c r="Z325" s="22">
        <v>57.176600000000001</v>
      </c>
      <c r="AA325" s="22">
        <v>-1.4599600000000001E-2</v>
      </c>
      <c r="AB325" s="22">
        <v>315</v>
      </c>
      <c r="AC325" s="22">
        <v>0.21313499999999999</v>
      </c>
      <c r="AD325">
        <f t="shared" si="52"/>
        <v>14.599600000000001</v>
      </c>
      <c r="AE325">
        <f t="shared" si="53"/>
        <v>3.1210440896000002</v>
      </c>
      <c r="AF325" s="9"/>
      <c r="AG325" s="22">
        <v>1.48621</v>
      </c>
      <c r="AH325" s="22">
        <v>62.721200000000003</v>
      </c>
      <c r="AI325" s="22">
        <v>-4.9914599999999996E-3</v>
      </c>
      <c r="AJ325" s="22">
        <v>315</v>
      </c>
      <c r="AK325" s="22">
        <v>1.48529</v>
      </c>
      <c r="AL325">
        <f t="shared" si="54"/>
        <v>4.99146</v>
      </c>
      <c r="AM325">
        <f t="shared" si="55"/>
        <v>7.4183577665999998</v>
      </c>
      <c r="AP325" s="9"/>
      <c r="AQ325" s="22">
        <v>0.21377599999999999</v>
      </c>
      <c r="AR325" s="22">
        <v>69.7209</v>
      </c>
      <c r="AS325" s="22">
        <v>-1.4501999999999999E-2</v>
      </c>
      <c r="AT325" s="22">
        <v>315</v>
      </c>
      <c r="AU325" s="22">
        <v>0.21313499999999999</v>
      </c>
      <c r="AV325">
        <f t="shared" si="56"/>
        <v>14.501999999999999</v>
      </c>
      <c r="AW325">
        <f t="shared" si="57"/>
        <v>3.1001795519999997</v>
      </c>
      <c r="AX325" s="9"/>
      <c r="AY325" s="22">
        <v>1.48621</v>
      </c>
      <c r="AZ325" s="22">
        <v>74.997500000000002</v>
      </c>
      <c r="BA325" s="22">
        <v>-4.9066200000000004E-3</v>
      </c>
      <c r="BB325" s="22">
        <v>315</v>
      </c>
      <c r="BC325" s="22">
        <v>1.48529</v>
      </c>
      <c r="BD325">
        <f t="shared" si="58"/>
        <v>4.9066200000000002</v>
      </c>
      <c r="BE325">
        <f t="shared" si="59"/>
        <v>7.2922677102000009</v>
      </c>
    </row>
    <row r="326" spans="6:57">
      <c r="F326" s="9"/>
      <c r="G326" s="22">
        <v>0.20874000000000001</v>
      </c>
      <c r="H326" s="22">
        <v>9.8997899999999994</v>
      </c>
      <c r="I326" s="22">
        <v>-1.45416E-2</v>
      </c>
      <c r="J326" s="22">
        <v>316</v>
      </c>
      <c r="K326" s="22">
        <v>0.20819099999999999</v>
      </c>
      <c r="L326">
        <f t="shared" si="48"/>
        <v>14.541600000000001</v>
      </c>
      <c r="M326">
        <f t="shared" si="49"/>
        <v>3.0354135840000005</v>
      </c>
      <c r="N326" s="9"/>
      <c r="O326" s="22">
        <v>1.4912399999999999</v>
      </c>
      <c r="P326" s="22">
        <v>49.375</v>
      </c>
      <c r="Q326" s="22">
        <v>-5.13E-3</v>
      </c>
      <c r="R326" s="22">
        <v>316</v>
      </c>
      <c r="S326" s="22">
        <v>1.49109</v>
      </c>
      <c r="T326">
        <f t="shared" si="50"/>
        <v>5.13</v>
      </c>
      <c r="U326">
        <f t="shared" si="51"/>
        <v>7.6500611999999997</v>
      </c>
      <c r="X326" s="9"/>
      <c r="Y326" s="22">
        <v>0.20874000000000001</v>
      </c>
      <c r="Z326" s="22">
        <v>57.186700000000002</v>
      </c>
      <c r="AA326" s="22">
        <v>-1.4633200000000001E-2</v>
      </c>
      <c r="AB326" s="22">
        <v>316</v>
      </c>
      <c r="AC326" s="22">
        <v>0.20819099999999999</v>
      </c>
      <c r="AD326">
        <f t="shared" si="52"/>
        <v>14.6332</v>
      </c>
      <c r="AE326">
        <f t="shared" si="53"/>
        <v>3.0545341680000004</v>
      </c>
      <c r="AF326" s="9"/>
      <c r="AG326" s="22">
        <v>1.4912399999999999</v>
      </c>
      <c r="AH326" s="22">
        <v>62.731299999999997</v>
      </c>
      <c r="AI326" s="22">
        <v>-4.9249300000000001E-3</v>
      </c>
      <c r="AJ326" s="22">
        <v>316</v>
      </c>
      <c r="AK326" s="22">
        <v>1.48987</v>
      </c>
      <c r="AL326">
        <f t="shared" si="54"/>
        <v>4.9249299999999998</v>
      </c>
      <c r="AM326">
        <f t="shared" si="55"/>
        <v>7.3442526131999992</v>
      </c>
      <c r="AP326" s="9"/>
      <c r="AQ326" s="22">
        <v>0.20874000000000001</v>
      </c>
      <c r="AR326" s="22">
        <v>69.730900000000005</v>
      </c>
      <c r="AS326" s="22">
        <v>-1.45294E-2</v>
      </c>
      <c r="AT326" s="22">
        <v>316</v>
      </c>
      <c r="AU326" s="22">
        <v>0.20816000000000001</v>
      </c>
      <c r="AV326">
        <f t="shared" si="56"/>
        <v>14.529399999999999</v>
      </c>
      <c r="AW326">
        <f t="shared" si="57"/>
        <v>3.0328669559999999</v>
      </c>
      <c r="AX326" s="9"/>
      <c r="AY326" s="22">
        <v>1.4912399999999999</v>
      </c>
      <c r="AZ326" s="22">
        <v>75.007499999999993</v>
      </c>
      <c r="BA326" s="22">
        <v>-4.8425300000000003E-3</v>
      </c>
      <c r="BB326" s="22">
        <v>316</v>
      </c>
      <c r="BC326" s="22">
        <v>1.49078</v>
      </c>
      <c r="BD326">
        <f t="shared" si="58"/>
        <v>4.84253</v>
      </c>
      <c r="BE326">
        <f t="shared" si="59"/>
        <v>7.2213744371999997</v>
      </c>
    </row>
    <row r="327" spans="6:57">
      <c r="F327" s="9"/>
      <c r="G327" s="22">
        <v>0.203705</v>
      </c>
      <c r="H327" s="22">
        <v>9.9098600000000001</v>
      </c>
      <c r="I327" s="22">
        <v>-1.45752E-2</v>
      </c>
      <c r="J327" s="22">
        <v>317</v>
      </c>
      <c r="K327" s="22">
        <v>0.20306399999999999</v>
      </c>
      <c r="L327">
        <f t="shared" si="48"/>
        <v>14.575200000000001</v>
      </c>
      <c r="M327">
        <f t="shared" si="49"/>
        <v>2.9690411160000001</v>
      </c>
      <c r="N327" s="9"/>
      <c r="O327" s="22">
        <v>1.4962800000000001</v>
      </c>
      <c r="P327" s="22">
        <v>49.385100000000001</v>
      </c>
      <c r="Q327" s="22">
        <v>-5.0598099999999997E-3</v>
      </c>
      <c r="R327" s="22">
        <v>317</v>
      </c>
      <c r="S327" s="22">
        <v>1.4956700000000001</v>
      </c>
      <c r="T327">
        <f t="shared" si="50"/>
        <v>5.0598099999999997</v>
      </c>
      <c r="U327">
        <f t="shared" si="51"/>
        <v>7.5708925067999999</v>
      </c>
      <c r="X327" s="9"/>
      <c r="Y327" s="22">
        <v>0.203705</v>
      </c>
      <c r="Z327" s="22">
        <v>57.1967</v>
      </c>
      <c r="AA327" s="22">
        <v>-1.46698E-2</v>
      </c>
      <c r="AB327" s="22">
        <v>317</v>
      </c>
      <c r="AC327" s="22">
        <v>0.203094</v>
      </c>
      <c r="AD327">
        <f t="shared" si="52"/>
        <v>14.6698</v>
      </c>
      <c r="AE327">
        <f t="shared" si="53"/>
        <v>2.9883116090000001</v>
      </c>
      <c r="AF327" s="9"/>
      <c r="AG327" s="22">
        <v>1.4962800000000001</v>
      </c>
      <c r="AH327" s="22">
        <v>62.741399999999999</v>
      </c>
      <c r="AI327" s="22">
        <v>-4.8590100000000004E-3</v>
      </c>
      <c r="AJ327" s="22">
        <v>317</v>
      </c>
      <c r="AK327" s="22">
        <v>1.49536</v>
      </c>
      <c r="AL327">
        <f t="shared" si="54"/>
        <v>4.8590100000000005</v>
      </c>
      <c r="AM327">
        <f t="shared" si="55"/>
        <v>7.2704394828000014</v>
      </c>
      <c r="AP327" s="9"/>
      <c r="AQ327" s="22">
        <v>0.203705</v>
      </c>
      <c r="AR327" s="22">
        <v>69.741</v>
      </c>
      <c r="AS327" s="22">
        <v>-1.45477E-2</v>
      </c>
      <c r="AT327" s="22">
        <v>317</v>
      </c>
      <c r="AU327" s="22">
        <v>0.203094</v>
      </c>
      <c r="AV327">
        <f t="shared" si="56"/>
        <v>14.547700000000001</v>
      </c>
      <c r="AW327">
        <f t="shared" si="57"/>
        <v>2.9634392285</v>
      </c>
      <c r="AX327" s="9"/>
      <c r="AY327" s="22">
        <v>1.4962800000000001</v>
      </c>
      <c r="AZ327" s="22">
        <v>75.017600000000002</v>
      </c>
      <c r="BA327" s="22">
        <v>-4.7778300000000003E-3</v>
      </c>
      <c r="BB327" s="22">
        <v>317</v>
      </c>
      <c r="BC327" s="22">
        <v>1.49597</v>
      </c>
      <c r="BD327">
        <f t="shared" si="58"/>
        <v>4.7778300000000007</v>
      </c>
      <c r="BE327">
        <f t="shared" si="59"/>
        <v>7.1489714724000013</v>
      </c>
    </row>
    <row r="328" spans="6:57">
      <c r="F328" s="9"/>
      <c r="G328" s="22">
        <v>0.19866900000000001</v>
      </c>
      <c r="H328" s="22">
        <v>9.9199300000000008</v>
      </c>
      <c r="I328" s="22">
        <v>-1.46088E-2</v>
      </c>
      <c r="J328" s="22">
        <v>318</v>
      </c>
      <c r="K328" s="22">
        <v>0.19811999999999999</v>
      </c>
      <c r="L328">
        <f t="shared" si="48"/>
        <v>14.6088</v>
      </c>
      <c r="M328">
        <f t="shared" si="49"/>
        <v>2.9023156872000002</v>
      </c>
      <c r="N328" s="9"/>
      <c r="O328" s="22">
        <v>1.5013099999999999</v>
      </c>
      <c r="P328" s="22">
        <v>49.395200000000003</v>
      </c>
      <c r="Q328" s="22">
        <v>-4.9929800000000002E-3</v>
      </c>
      <c r="R328" s="22">
        <v>318</v>
      </c>
      <c r="S328" s="22">
        <v>1.4999400000000001</v>
      </c>
      <c r="T328">
        <f t="shared" si="50"/>
        <v>4.9929800000000002</v>
      </c>
      <c r="U328">
        <f t="shared" si="51"/>
        <v>7.4960108038</v>
      </c>
      <c r="X328" s="9"/>
      <c r="Y328" s="22">
        <v>0.19866900000000001</v>
      </c>
      <c r="Z328" s="22">
        <v>57.206800000000001</v>
      </c>
      <c r="AA328" s="22">
        <v>-1.46973E-2</v>
      </c>
      <c r="AB328" s="22">
        <v>318</v>
      </c>
      <c r="AC328" s="22">
        <v>0.19808999999999999</v>
      </c>
      <c r="AD328">
        <f t="shared" si="52"/>
        <v>14.6973</v>
      </c>
      <c r="AE328">
        <f t="shared" si="53"/>
        <v>2.9198978937000004</v>
      </c>
      <c r="AF328" s="9"/>
      <c r="AG328" s="22">
        <v>1.5013099999999999</v>
      </c>
      <c r="AH328" s="22">
        <v>62.751399999999997</v>
      </c>
      <c r="AI328" s="22">
        <v>-4.7930899999999999E-3</v>
      </c>
      <c r="AJ328" s="22">
        <v>318</v>
      </c>
      <c r="AK328" s="22">
        <v>1.5005500000000001</v>
      </c>
      <c r="AL328">
        <f t="shared" si="54"/>
        <v>4.7930899999999994</v>
      </c>
      <c r="AM328">
        <f t="shared" si="55"/>
        <v>7.1959139478999985</v>
      </c>
      <c r="AP328" s="9"/>
      <c r="AQ328" s="22">
        <v>0.19866900000000001</v>
      </c>
      <c r="AR328" s="22">
        <v>69.751099999999994</v>
      </c>
      <c r="AS328" s="22">
        <v>-1.4566000000000001E-2</v>
      </c>
      <c r="AT328" s="22">
        <v>318</v>
      </c>
      <c r="AU328" s="22">
        <v>0.19811999999999999</v>
      </c>
      <c r="AV328">
        <f t="shared" si="56"/>
        <v>14.566000000000001</v>
      </c>
      <c r="AW328">
        <f t="shared" si="57"/>
        <v>2.8938126540000004</v>
      </c>
      <c r="AX328" s="9"/>
      <c r="AY328" s="22">
        <v>1.5013099999999999</v>
      </c>
      <c r="AZ328" s="22">
        <v>75.027699999999996</v>
      </c>
      <c r="BA328" s="22">
        <v>-4.7125200000000004E-3</v>
      </c>
      <c r="BB328" s="22">
        <v>318</v>
      </c>
      <c r="BC328" s="22">
        <v>1.50024</v>
      </c>
      <c r="BD328">
        <f t="shared" si="58"/>
        <v>4.7125200000000005</v>
      </c>
      <c r="BE328">
        <f t="shared" si="59"/>
        <v>7.0749534012000002</v>
      </c>
    </row>
    <row r="329" spans="6:57">
      <c r="F329" s="9"/>
      <c r="G329" s="22">
        <v>0.193634</v>
      </c>
      <c r="H329" s="22">
        <v>9.93</v>
      </c>
      <c r="I329" s="22">
        <v>-1.46423E-2</v>
      </c>
      <c r="J329" s="22">
        <v>319</v>
      </c>
      <c r="K329" s="22">
        <v>0.193054</v>
      </c>
      <c r="L329">
        <f t="shared" si="48"/>
        <v>14.642300000000001</v>
      </c>
      <c r="M329">
        <f t="shared" si="49"/>
        <v>2.8352471182000003</v>
      </c>
      <c r="N329" s="9"/>
      <c r="O329" s="22">
        <v>1.5063500000000001</v>
      </c>
      <c r="P329" s="22">
        <v>49.405200000000001</v>
      </c>
      <c r="Q329" s="22">
        <v>-4.9227899999999998E-3</v>
      </c>
      <c r="R329" s="22">
        <v>319</v>
      </c>
      <c r="S329" s="22">
        <v>1.5057400000000001</v>
      </c>
      <c r="T329">
        <f t="shared" si="50"/>
        <v>4.92279</v>
      </c>
      <c r="U329">
        <f t="shared" si="51"/>
        <v>7.4154447165000006</v>
      </c>
      <c r="X329" s="9"/>
      <c r="Y329" s="22">
        <v>0.193634</v>
      </c>
      <c r="Z329" s="22">
        <v>57.216900000000003</v>
      </c>
      <c r="AA329" s="22">
        <v>-1.47247E-2</v>
      </c>
      <c r="AB329" s="22">
        <v>319</v>
      </c>
      <c r="AC329" s="22">
        <v>0.192993</v>
      </c>
      <c r="AD329">
        <f t="shared" si="52"/>
        <v>14.7247</v>
      </c>
      <c r="AE329">
        <f t="shared" si="53"/>
        <v>2.8512025597999999</v>
      </c>
      <c r="AF329" s="9"/>
      <c r="AG329" s="22">
        <v>1.5063500000000001</v>
      </c>
      <c r="AH329" s="22">
        <v>62.761499999999998</v>
      </c>
      <c r="AI329" s="22">
        <v>-4.7238200000000001E-3</v>
      </c>
      <c r="AJ329" s="22">
        <v>319</v>
      </c>
      <c r="AK329" s="22">
        <v>1.50543</v>
      </c>
      <c r="AL329">
        <f t="shared" si="54"/>
        <v>4.7238199999999999</v>
      </c>
      <c r="AM329">
        <f t="shared" si="55"/>
        <v>7.1157262570000004</v>
      </c>
      <c r="AP329" s="9"/>
      <c r="AQ329" s="22">
        <v>0.193634</v>
      </c>
      <c r="AR329" s="22">
        <v>69.761099999999999</v>
      </c>
      <c r="AS329" s="22">
        <v>-1.45874E-2</v>
      </c>
      <c r="AT329" s="22">
        <v>319</v>
      </c>
      <c r="AU329" s="22">
        <v>0.193024</v>
      </c>
      <c r="AV329">
        <f t="shared" si="56"/>
        <v>14.587400000000001</v>
      </c>
      <c r="AW329">
        <f t="shared" si="57"/>
        <v>2.8246166116000002</v>
      </c>
      <c r="AX329" s="9"/>
      <c r="AY329" s="22">
        <v>1.5063500000000001</v>
      </c>
      <c r="AZ329" s="22">
        <v>75.037800000000004</v>
      </c>
      <c r="BA329" s="22">
        <v>-4.6466099999999998E-3</v>
      </c>
      <c r="BB329" s="22">
        <v>319</v>
      </c>
      <c r="BC329" s="22">
        <v>1.50604</v>
      </c>
      <c r="BD329">
        <f t="shared" si="58"/>
        <v>4.6466099999999999</v>
      </c>
      <c r="BE329">
        <f t="shared" si="59"/>
        <v>6.9994209735000004</v>
      </c>
    </row>
    <row r="330" spans="6:57">
      <c r="F330" s="9"/>
      <c r="G330" s="22">
        <v>0.18859899999999999</v>
      </c>
      <c r="H330" s="22">
        <v>9.9400700000000004</v>
      </c>
      <c r="I330" s="22">
        <v>-1.46698E-2</v>
      </c>
      <c r="J330" s="22">
        <v>320</v>
      </c>
      <c r="K330" s="22">
        <v>0.18798799999999999</v>
      </c>
      <c r="L330">
        <f t="shared" si="48"/>
        <v>14.6698</v>
      </c>
      <c r="M330">
        <f t="shared" si="49"/>
        <v>2.7667096101999999</v>
      </c>
      <c r="N330" s="9"/>
      <c r="O330" s="22">
        <v>1.5113799999999999</v>
      </c>
      <c r="P330" s="22">
        <v>49.415300000000002</v>
      </c>
      <c r="Q330" s="22">
        <v>-4.8513799999999998E-3</v>
      </c>
      <c r="R330" s="22">
        <v>320</v>
      </c>
      <c r="S330" s="22">
        <v>1.5109300000000001</v>
      </c>
      <c r="T330">
        <f t="shared" si="50"/>
        <v>4.8513799999999998</v>
      </c>
      <c r="U330">
        <f t="shared" si="51"/>
        <v>7.3322787043999993</v>
      </c>
      <c r="X330" s="9"/>
      <c r="Y330" s="22">
        <v>0.18859899999999999</v>
      </c>
      <c r="Z330" s="22">
        <v>57.226999999999997</v>
      </c>
      <c r="AA330" s="22">
        <v>-1.4749099999999999E-2</v>
      </c>
      <c r="AB330" s="22">
        <v>320</v>
      </c>
      <c r="AC330" s="22">
        <v>0.18801899999999999</v>
      </c>
      <c r="AD330">
        <f t="shared" si="52"/>
        <v>14.749099999999999</v>
      </c>
      <c r="AE330">
        <f t="shared" si="53"/>
        <v>2.7816655108999995</v>
      </c>
      <c r="AF330" s="9"/>
      <c r="AG330" s="22">
        <v>1.5113799999999999</v>
      </c>
      <c r="AH330" s="22">
        <v>62.771599999999999</v>
      </c>
      <c r="AI330" s="22">
        <v>-4.6554600000000002E-3</v>
      </c>
      <c r="AJ330" s="22">
        <v>320</v>
      </c>
      <c r="AK330" s="22">
        <v>1.5100100000000001</v>
      </c>
      <c r="AL330">
        <f t="shared" si="54"/>
        <v>4.6554599999999997</v>
      </c>
      <c r="AM330">
        <f t="shared" si="55"/>
        <v>7.0361691347999997</v>
      </c>
      <c r="AP330" s="9"/>
      <c r="AQ330" s="22">
        <v>0.18859899999999999</v>
      </c>
      <c r="AR330" s="22">
        <v>69.771199999999993</v>
      </c>
      <c r="AS330" s="22">
        <v>-1.46149E-2</v>
      </c>
      <c r="AT330" s="22">
        <v>320</v>
      </c>
      <c r="AU330" s="22">
        <v>0.18808</v>
      </c>
      <c r="AV330">
        <f t="shared" si="56"/>
        <v>14.6149</v>
      </c>
      <c r="AW330">
        <f t="shared" si="57"/>
        <v>2.7563555251</v>
      </c>
      <c r="AX330" s="9"/>
      <c r="AY330" s="22">
        <v>1.5113799999999999</v>
      </c>
      <c r="AZ330" s="22">
        <v>75.047799999999995</v>
      </c>
      <c r="BA330" s="22">
        <v>-4.5800800000000003E-3</v>
      </c>
      <c r="BB330" s="22">
        <v>320</v>
      </c>
      <c r="BC330" s="22">
        <v>1.51031</v>
      </c>
      <c r="BD330">
        <f t="shared" si="58"/>
        <v>4.5800800000000006</v>
      </c>
      <c r="BE330">
        <f t="shared" si="59"/>
        <v>6.9222413104000005</v>
      </c>
    </row>
    <row r="331" spans="6:57">
      <c r="F331" s="9"/>
      <c r="G331" s="22">
        <v>0.183563</v>
      </c>
      <c r="H331" s="22">
        <v>9.9501399999999993</v>
      </c>
      <c r="I331" s="22">
        <v>-1.46973E-2</v>
      </c>
      <c r="J331" s="22">
        <v>321</v>
      </c>
      <c r="K331" s="22">
        <v>0.18301400000000001</v>
      </c>
      <c r="L331">
        <f t="shared" si="48"/>
        <v>14.6973</v>
      </c>
      <c r="M331">
        <f t="shared" si="49"/>
        <v>2.6978804799000002</v>
      </c>
      <c r="N331" s="9"/>
      <c r="O331" s="22">
        <v>1.5164200000000001</v>
      </c>
      <c r="P331" s="22">
        <v>49.425400000000003</v>
      </c>
      <c r="Q331" s="22">
        <v>-4.7769199999999996E-3</v>
      </c>
      <c r="R331" s="22">
        <v>321</v>
      </c>
      <c r="S331" s="22">
        <v>1.5161100000000001</v>
      </c>
      <c r="T331">
        <f t="shared" si="50"/>
        <v>4.7769199999999996</v>
      </c>
      <c r="U331">
        <f t="shared" si="51"/>
        <v>7.2438170263999995</v>
      </c>
      <c r="X331" s="9"/>
      <c r="Y331" s="22">
        <v>0.183563</v>
      </c>
      <c r="Z331" s="22">
        <v>57.237000000000002</v>
      </c>
      <c r="AA331" s="22">
        <v>-1.4770500000000001E-2</v>
      </c>
      <c r="AB331" s="22">
        <v>321</v>
      </c>
      <c r="AC331" s="22">
        <v>0.182922</v>
      </c>
      <c r="AD331">
        <f t="shared" si="52"/>
        <v>14.7705</v>
      </c>
      <c r="AE331">
        <f t="shared" si="53"/>
        <v>2.7113172914999999</v>
      </c>
      <c r="AF331" s="9"/>
      <c r="AG331" s="22">
        <v>1.5164200000000001</v>
      </c>
      <c r="AH331" s="22">
        <v>62.781700000000001</v>
      </c>
      <c r="AI331" s="22">
        <v>-4.5849599999999999E-3</v>
      </c>
      <c r="AJ331" s="22">
        <v>321</v>
      </c>
      <c r="AK331" s="22">
        <v>1.5158100000000001</v>
      </c>
      <c r="AL331">
        <f t="shared" si="54"/>
        <v>4.5849599999999997</v>
      </c>
      <c r="AM331">
        <f t="shared" si="55"/>
        <v>6.9527250432000001</v>
      </c>
      <c r="AP331" s="9"/>
      <c r="AQ331" s="22">
        <v>0.183563</v>
      </c>
      <c r="AR331" s="22">
        <v>69.781300000000002</v>
      </c>
      <c r="AS331" s="22">
        <v>-1.4633200000000001E-2</v>
      </c>
      <c r="AT331" s="22">
        <v>321</v>
      </c>
      <c r="AU331" s="22">
        <v>0.18298300000000001</v>
      </c>
      <c r="AV331">
        <f t="shared" si="56"/>
        <v>14.6332</v>
      </c>
      <c r="AW331">
        <f t="shared" si="57"/>
        <v>2.6861140915999999</v>
      </c>
      <c r="AX331" s="9"/>
      <c r="AY331" s="22">
        <v>1.5164200000000001</v>
      </c>
      <c r="AZ331" s="22">
        <v>75.057900000000004</v>
      </c>
      <c r="BA331" s="22">
        <v>-4.5114100000000004E-3</v>
      </c>
      <c r="BB331" s="22">
        <v>321</v>
      </c>
      <c r="BC331" s="22">
        <v>1.5158100000000001</v>
      </c>
      <c r="BD331">
        <f t="shared" si="58"/>
        <v>4.5114100000000006</v>
      </c>
      <c r="BE331">
        <f t="shared" si="59"/>
        <v>6.8411923522000011</v>
      </c>
    </row>
    <row r="332" spans="6:57">
      <c r="F332" s="9"/>
      <c r="G332" s="22">
        <v>0.17852799999999999</v>
      </c>
      <c r="H332" s="22">
        <v>9.96021</v>
      </c>
      <c r="I332" s="22">
        <v>-1.4721700000000001E-2</v>
      </c>
      <c r="J332" s="22">
        <v>322</v>
      </c>
      <c r="K332" s="22">
        <v>0.17785599999999999</v>
      </c>
      <c r="L332">
        <f t="shared" ref="L332:L388" si="60">-I332/$F$2*1000</f>
        <v>14.7217</v>
      </c>
      <c r="M332">
        <f t="shared" ref="M332:M388" si="61">L332*G332</f>
        <v>2.6282356575999999</v>
      </c>
      <c r="N332" s="9"/>
      <c r="O332" s="22">
        <v>1.52145</v>
      </c>
      <c r="P332" s="22">
        <v>49.435499999999998</v>
      </c>
      <c r="Q332" s="22">
        <v>-4.7018399999999997E-3</v>
      </c>
      <c r="R332" s="22">
        <v>322</v>
      </c>
      <c r="S332" s="22">
        <v>1.5200800000000001</v>
      </c>
      <c r="T332">
        <f t="shared" ref="T332:T388" si="62">-Q332/$F$2*1000</f>
        <v>4.7018399999999998</v>
      </c>
      <c r="U332">
        <f t="shared" ref="U332:U388" si="63">T332*O332</f>
        <v>7.1536144679999998</v>
      </c>
      <c r="X332" s="9"/>
      <c r="Y332" s="22">
        <v>0.17852799999999999</v>
      </c>
      <c r="Z332" s="22">
        <v>57.247100000000003</v>
      </c>
      <c r="AA332" s="22">
        <v>-1.4776600000000001E-2</v>
      </c>
      <c r="AB332" s="22">
        <v>322</v>
      </c>
      <c r="AC332" s="22">
        <v>0.17785599999999999</v>
      </c>
      <c r="AD332">
        <f t="shared" ref="AD332:AD388" si="64">-AA332/$F$2*1000</f>
        <v>14.7766</v>
      </c>
      <c r="AE332">
        <f t="shared" ref="AE332:AE388" si="65">AD332*Y332</f>
        <v>2.6380368447999998</v>
      </c>
      <c r="AF332" s="9"/>
      <c r="AG332" s="22">
        <v>1.52145</v>
      </c>
      <c r="AH332" s="22">
        <v>62.791699999999999</v>
      </c>
      <c r="AI332" s="22">
        <v>-4.51294E-3</v>
      </c>
      <c r="AJ332" s="22">
        <v>322</v>
      </c>
      <c r="AK332" s="22">
        <v>1.5203899999999999</v>
      </c>
      <c r="AL332">
        <f t="shared" ref="AL332:AL388" si="66">-AI332/$F$2*1000</f>
        <v>4.5129400000000004</v>
      </c>
      <c r="AM332">
        <f t="shared" ref="AM332:AM388" si="67">AL332*AG332</f>
        <v>6.8662125630000004</v>
      </c>
      <c r="AP332" s="9"/>
      <c r="AQ332" s="22">
        <v>0.17852799999999999</v>
      </c>
      <c r="AR332" s="22">
        <v>69.791399999999996</v>
      </c>
      <c r="AS332" s="22">
        <v>-1.46576E-2</v>
      </c>
      <c r="AT332" s="22">
        <v>322</v>
      </c>
      <c r="AU332" s="22">
        <v>0.17791699999999999</v>
      </c>
      <c r="AV332">
        <f t="shared" ref="AV332:AV388" si="68">-AS332/$F$2*1000</f>
        <v>14.6576</v>
      </c>
      <c r="AW332">
        <f t="shared" ref="AW332:AW388" si="69">AV332*AQ332</f>
        <v>2.6167920128</v>
      </c>
      <c r="AX332" s="9"/>
      <c r="AY332" s="22">
        <v>1.52145</v>
      </c>
      <c r="AZ332" s="22">
        <v>75.067999999999998</v>
      </c>
      <c r="BA332" s="22">
        <v>-4.4424399999999998E-3</v>
      </c>
      <c r="BB332" s="22">
        <v>322</v>
      </c>
      <c r="BC332" s="22">
        <v>1.5206900000000001</v>
      </c>
      <c r="BD332">
        <f t="shared" ref="BD332:BD388" si="70">-BA332/$F$2*1000</f>
        <v>4.4424399999999995</v>
      </c>
      <c r="BE332">
        <f t="shared" ref="BE332:BE388" si="71">BD332*AY332</f>
        <v>6.7589503379999991</v>
      </c>
    </row>
    <row r="333" spans="6:57">
      <c r="F333" s="9"/>
      <c r="G333" s="22">
        <v>0.17349200000000001</v>
      </c>
      <c r="H333" s="22">
        <v>9.9702900000000003</v>
      </c>
      <c r="I333" s="22">
        <v>-1.4749099999999999E-2</v>
      </c>
      <c r="J333" s="22">
        <v>323</v>
      </c>
      <c r="K333" s="22">
        <v>0.17294300000000001</v>
      </c>
      <c r="L333">
        <f t="shared" si="60"/>
        <v>14.749099999999999</v>
      </c>
      <c r="M333">
        <f t="shared" si="61"/>
        <v>2.5588508571999999</v>
      </c>
      <c r="N333" s="9"/>
      <c r="O333" s="22">
        <v>1.5264899999999999</v>
      </c>
      <c r="P333" s="22">
        <v>49.445500000000003</v>
      </c>
      <c r="Q333" s="22">
        <v>-4.6261599999999998E-3</v>
      </c>
      <c r="R333" s="22">
        <v>323</v>
      </c>
      <c r="S333" s="22">
        <v>1.5258799999999999</v>
      </c>
      <c r="T333">
        <f t="shared" si="62"/>
        <v>4.6261599999999996</v>
      </c>
      <c r="U333">
        <f t="shared" si="63"/>
        <v>7.0617869783999989</v>
      </c>
      <c r="X333" s="9"/>
      <c r="Y333" s="22">
        <v>0.17349200000000001</v>
      </c>
      <c r="Z333" s="22">
        <v>57.257199999999997</v>
      </c>
      <c r="AA333" s="22">
        <v>-1.47888E-2</v>
      </c>
      <c r="AB333" s="22">
        <v>323</v>
      </c>
      <c r="AC333" s="22">
        <v>0.17288200000000001</v>
      </c>
      <c r="AD333">
        <f t="shared" si="64"/>
        <v>14.7888</v>
      </c>
      <c r="AE333">
        <f t="shared" si="65"/>
        <v>2.5657384896000002</v>
      </c>
      <c r="AF333" s="9"/>
      <c r="AG333" s="22">
        <v>1.5264899999999999</v>
      </c>
      <c r="AH333" s="22">
        <v>62.8018</v>
      </c>
      <c r="AI333" s="22">
        <v>-4.4400000000000004E-3</v>
      </c>
      <c r="AJ333" s="22">
        <v>323</v>
      </c>
      <c r="AK333" s="22">
        <v>1.5258799999999999</v>
      </c>
      <c r="AL333">
        <f t="shared" si="66"/>
        <v>4.4400000000000004</v>
      </c>
      <c r="AM333">
        <f t="shared" si="67"/>
        <v>6.7776155999999999</v>
      </c>
      <c r="AP333" s="9"/>
      <c r="AQ333" s="22">
        <v>0.17349200000000001</v>
      </c>
      <c r="AR333" s="22">
        <v>69.801400000000001</v>
      </c>
      <c r="AS333" s="22">
        <v>-1.4682000000000001E-2</v>
      </c>
      <c r="AT333" s="22">
        <v>323</v>
      </c>
      <c r="AU333" s="22">
        <v>0.17291300000000001</v>
      </c>
      <c r="AV333">
        <f t="shared" si="68"/>
        <v>14.682</v>
      </c>
      <c r="AW333">
        <f t="shared" si="69"/>
        <v>2.5472095440000002</v>
      </c>
      <c r="AX333" s="9"/>
      <c r="AY333" s="22">
        <v>1.5264899999999999</v>
      </c>
      <c r="AZ333" s="22">
        <v>75.078000000000003</v>
      </c>
      <c r="BA333" s="22">
        <v>-4.3713399999999996E-3</v>
      </c>
      <c r="BB333" s="22">
        <v>323</v>
      </c>
      <c r="BC333" s="22">
        <v>1.5252699999999999</v>
      </c>
      <c r="BD333">
        <f t="shared" si="70"/>
        <v>4.37134</v>
      </c>
      <c r="BE333">
        <f t="shared" si="71"/>
        <v>6.6728067965999998</v>
      </c>
    </row>
    <row r="334" spans="6:57">
      <c r="F334" s="9"/>
      <c r="G334" s="22">
        <v>0.168457</v>
      </c>
      <c r="H334" s="22">
        <v>9.9803599999999992</v>
      </c>
      <c r="I334" s="22">
        <v>-1.4767499999999999E-2</v>
      </c>
      <c r="J334" s="22">
        <v>324</v>
      </c>
      <c r="K334" s="22">
        <v>0.167877</v>
      </c>
      <c r="L334">
        <f t="shared" si="60"/>
        <v>14.7675</v>
      </c>
      <c r="M334">
        <f t="shared" si="61"/>
        <v>2.4876887475</v>
      </c>
      <c r="N334" s="9"/>
      <c r="O334" s="22">
        <v>1.53152</v>
      </c>
      <c r="P334" s="22">
        <v>49.455599999999997</v>
      </c>
      <c r="Q334" s="22">
        <v>-4.5513899999999998E-3</v>
      </c>
      <c r="R334" s="22">
        <v>324</v>
      </c>
      <c r="S334" s="22">
        <v>1.5304599999999999</v>
      </c>
      <c r="T334">
        <f t="shared" si="62"/>
        <v>4.5513899999999996</v>
      </c>
      <c r="U334">
        <f t="shared" si="63"/>
        <v>6.9705448127999992</v>
      </c>
      <c r="X334" s="9"/>
      <c r="Y334" s="22">
        <v>0.168457</v>
      </c>
      <c r="Z334" s="22">
        <v>57.267200000000003</v>
      </c>
      <c r="AA334" s="22">
        <v>-1.48071E-2</v>
      </c>
      <c r="AB334" s="22">
        <v>324</v>
      </c>
      <c r="AC334" s="22">
        <v>0.167847</v>
      </c>
      <c r="AD334">
        <f t="shared" si="64"/>
        <v>14.8071</v>
      </c>
      <c r="AE334">
        <f t="shared" si="65"/>
        <v>2.4943596446999998</v>
      </c>
      <c r="AF334" s="9"/>
      <c r="AG334" s="22">
        <v>1.53152</v>
      </c>
      <c r="AH334" s="22">
        <v>62.811900000000001</v>
      </c>
      <c r="AI334" s="22">
        <v>-4.3670699999999998E-3</v>
      </c>
      <c r="AJ334" s="22">
        <v>324</v>
      </c>
      <c r="AK334" s="22">
        <v>1.5310699999999999</v>
      </c>
      <c r="AL334">
        <f t="shared" si="66"/>
        <v>4.36707</v>
      </c>
      <c r="AM334">
        <f t="shared" si="67"/>
        <v>6.6882550464000001</v>
      </c>
      <c r="AP334" s="9"/>
      <c r="AQ334" s="22">
        <v>0.168457</v>
      </c>
      <c r="AR334" s="22">
        <v>69.811499999999995</v>
      </c>
      <c r="AS334" s="22">
        <v>-1.47034E-2</v>
      </c>
      <c r="AT334" s="22">
        <v>324</v>
      </c>
      <c r="AU334" s="22">
        <v>0.167877</v>
      </c>
      <c r="AV334">
        <f t="shared" si="68"/>
        <v>14.7034</v>
      </c>
      <c r="AW334">
        <f t="shared" si="69"/>
        <v>2.4768906538</v>
      </c>
      <c r="AX334" s="9"/>
      <c r="AY334" s="22">
        <v>1.53152</v>
      </c>
      <c r="AZ334" s="22">
        <v>75.088099999999997</v>
      </c>
      <c r="BA334" s="22">
        <v>-4.3008400000000002E-3</v>
      </c>
      <c r="BB334" s="22">
        <v>324</v>
      </c>
      <c r="BC334" s="22">
        <v>1.5307599999999999</v>
      </c>
      <c r="BD334">
        <f t="shared" si="70"/>
        <v>4.30084</v>
      </c>
      <c r="BE334">
        <f t="shared" si="71"/>
        <v>6.5868224768000001</v>
      </c>
    </row>
    <row r="335" spans="6:57">
      <c r="F335" s="9"/>
      <c r="G335" s="22">
        <v>0.16342200000000001</v>
      </c>
      <c r="H335" s="22">
        <v>9.9904299999999999</v>
      </c>
      <c r="I335" s="22">
        <v>-1.47949E-2</v>
      </c>
      <c r="J335" s="22">
        <v>325</v>
      </c>
      <c r="K335" s="22">
        <v>0.16275000000000001</v>
      </c>
      <c r="L335">
        <f t="shared" si="60"/>
        <v>14.7949</v>
      </c>
      <c r="M335">
        <f t="shared" si="61"/>
        <v>2.4178121478000003</v>
      </c>
      <c r="N335" s="9"/>
      <c r="O335" s="22">
        <v>1.5365599999999999</v>
      </c>
      <c r="P335" s="22">
        <v>49.465699999999998</v>
      </c>
      <c r="Q335" s="22">
        <v>-4.4744900000000002E-3</v>
      </c>
      <c r="R335" s="22">
        <v>325</v>
      </c>
      <c r="S335" s="22">
        <v>1.5356399999999999</v>
      </c>
      <c r="T335">
        <f t="shared" si="62"/>
        <v>4.4744900000000003</v>
      </c>
      <c r="U335">
        <f t="shared" si="63"/>
        <v>6.8753223543999997</v>
      </c>
      <c r="X335" s="9"/>
      <c r="Y335" s="22">
        <v>0.16342200000000001</v>
      </c>
      <c r="Z335" s="22">
        <v>57.277299999999997</v>
      </c>
      <c r="AA335" s="22">
        <v>-1.48346E-2</v>
      </c>
      <c r="AB335" s="22">
        <v>325</v>
      </c>
      <c r="AC335" s="22">
        <v>0.16287199999999999</v>
      </c>
      <c r="AD335">
        <f t="shared" si="64"/>
        <v>14.8346</v>
      </c>
      <c r="AE335">
        <f t="shared" si="65"/>
        <v>2.4243000012000002</v>
      </c>
      <c r="AF335" s="9"/>
      <c r="AG335" s="22">
        <v>1.5365599999999999</v>
      </c>
      <c r="AH335" s="22">
        <v>62.821899999999999</v>
      </c>
      <c r="AI335" s="22">
        <v>-4.2935200000000003E-3</v>
      </c>
      <c r="AJ335" s="22">
        <v>325</v>
      </c>
      <c r="AK335" s="22">
        <v>1.5362499999999999</v>
      </c>
      <c r="AL335">
        <f t="shared" si="66"/>
        <v>4.29352</v>
      </c>
      <c r="AM335">
        <f t="shared" si="67"/>
        <v>6.5972510911999995</v>
      </c>
      <c r="AP335" s="9"/>
      <c r="AQ335" s="22">
        <v>0.16342200000000001</v>
      </c>
      <c r="AR335" s="22">
        <v>69.821600000000004</v>
      </c>
      <c r="AS335" s="22">
        <v>-1.47308E-2</v>
      </c>
      <c r="AT335" s="22">
        <v>325</v>
      </c>
      <c r="AU335" s="22">
        <v>0.16284199999999999</v>
      </c>
      <c r="AV335">
        <f t="shared" si="68"/>
        <v>14.7308</v>
      </c>
      <c r="AW335">
        <f t="shared" si="69"/>
        <v>2.4073367976000002</v>
      </c>
      <c r="AX335" s="9"/>
      <c r="AY335" s="22">
        <v>1.5365599999999999</v>
      </c>
      <c r="AZ335" s="22">
        <v>75.098200000000006</v>
      </c>
      <c r="BA335" s="22">
        <v>-4.2275999999999998E-3</v>
      </c>
      <c r="BB335" s="22">
        <v>325</v>
      </c>
      <c r="BC335" s="22">
        <v>1.5356399999999999</v>
      </c>
      <c r="BD335">
        <f t="shared" si="70"/>
        <v>4.2275999999999998</v>
      </c>
      <c r="BE335">
        <f t="shared" si="71"/>
        <v>6.4959610559999996</v>
      </c>
    </row>
    <row r="336" spans="6:57">
      <c r="F336" s="9"/>
      <c r="G336" s="22">
        <v>0.158386</v>
      </c>
      <c r="H336" s="22">
        <v>10.000500000000001</v>
      </c>
      <c r="I336" s="22">
        <v>-1.4822399999999999E-2</v>
      </c>
      <c r="J336" s="22">
        <v>326</v>
      </c>
      <c r="K336" s="22">
        <v>0.157776</v>
      </c>
      <c r="L336">
        <f t="shared" si="60"/>
        <v>14.8224</v>
      </c>
      <c r="M336">
        <f t="shared" si="61"/>
        <v>2.3476606464000001</v>
      </c>
      <c r="N336" s="9"/>
      <c r="O336" s="22">
        <v>1.5416000000000001</v>
      </c>
      <c r="P336" s="22">
        <v>49.475700000000003</v>
      </c>
      <c r="Q336" s="22">
        <v>-4.3987999999999996E-3</v>
      </c>
      <c r="R336" s="22">
        <v>326</v>
      </c>
      <c r="S336" s="22">
        <v>1.5408299999999999</v>
      </c>
      <c r="T336">
        <f t="shared" si="62"/>
        <v>4.3987999999999996</v>
      </c>
      <c r="U336">
        <f t="shared" si="63"/>
        <v>6.78119008</v>
      </c>
      <c r="X336" s="9"/>
      <c r="Y336" s="22">
        <v>0.158386</v>
      </c>
      <c r="Z336" s="22">
        <v>57.287399999999998</v>
      </c>
      <c r="AA336" s="22">
        <v>-1.48682E-2</v>
      </c>
      <c r="AB336" s="22">
        <v>326</v>
      </c>
      <c r="AC336" s="22">
        <v>0.157806</v>
      </c>
      <c r="AD336">
        <f t="shared" si="64"/>
        <v>14.8682</v>
      </c>
      <c r="AE336">
        <f t="shared" si="65"/>
        <v>2.3549147252</v>
      </c>
      <c r="AF336" s="9"/>
      <c r="AG336" s="22">
        <v>1.5416000000000001</v>
      </c>
      <c r="AH336" s="22">
        <v>62.832000000000001</v>
      </c>
      <c r="AI336" s="22">
        <v>-4.2202799999999999E-3</v>
      </c>
      <c r="AJ336" s="22">
        <v>326</v>
      </c>
      <c r="AK336" s="22">
        <v>1.54053</v>
      </c>
      <c r="AL336">
        <f t="shared" si="66"/>
        <v>4.2202799999999998</v>
      </c>
      <c r="AM336">
        <f t="shared" si="67"/>
        <v>6.505983648</v>
      </c>
      <c r="AP336" s="9"/>
      <c r="AQ336" s="22">
        <v>0.158386</v>
      </c>
      <c r="AR336" s="22">
        <v>69.831599999999995</v>
      </c>
      <c r="AS336" s="22">
        <v>-1.47522E-2</v>
      </c>
      <c r="AT336" s="22">
        <v>326</v>
      </c>
      <c r="AU336" s="22">
        <v>0.15786700000000001</v>
      </c>
      <c r="AV336">
        <f t="shared" si="68"/>
        <v>14.7522</v>
      </c>
      <c r="AW336">
        <f t="shared" si="69"/>
        <v>2.3365419491999999</v>
      </c>
      <c r="AX336" s="9"/>
      <c r="AY336" s="22">
        <v>1.5416000000000001</v>
      </c>
      <c r="AZ336" s="22">
        <v>75.1083</v>
      </c>
      <c r="BA336" s="22">
        <v>-4.15527E-3</v>
      </c>
      <c r="BB336" s="22">
        <v>326</v>
      </c>
      <c r="BC336" s="22">
        <v>1.5408299999999999</v>
      </c>
      <c r="BD336">
        <f t="shared" si="70"/>
        <v>4.1552699999999998</v>
      </c>
      <c r="BE336">
        <f t="shared" si="71"/>
        <v>6.4057642320000001</v>
      </c>
    </row>
    <row r="337" spans="6:57">
      <c r="F337" s="9"/>
      <c r="G337" s="22">
        <v>0.15335099999999999</v>
      </c>
      <c r="H337" s="22">
        <v>10.0106</v>
      </c>
      <c r="I337" s="22">
        <v>-1.48468E-2</v>
      </c>
      <c r="J337" s="22">
        <v>327</v>
      </c>
      <c r="K337" s="22">
        <v>0.15273999999999999</v>
      </c>
      <c r="L337">
        <f t="shared" si="60"/>
        <v>14.8468</v>
      </c>
      <c r="M337">
        <f t="shared" si="61"/>
        <v>2.2767716268</v>
      </c>
      <c r="N337" s="9"/>
      <c r="O337" s="22">
        <v>1.5466299999999999</v>
      </c>
      <c r="P337" s="22">
        <v>49.485799999999998</v>
      </c>
      <c r="Q337" s="22">
        <v>-4.3212900000000002E-3</v>
      </c>
      <c r="R337" s="22">
        <v>327</v>
      </c>
      <c r="S337" s="22">
        <v>1.54572</v>
      </c>
      <c r="T337">
        <f t="shared" si="62"/>
        <v>4.3212900000000003</v>
      </c>
      <c r="U337">
        <f t="shared" si="63"/>
        <v>6.6834367527000005</v>
      </c>
      <c r="X337" s="9"/>
      <c r="Y337" s="22">
        <v>0.15335099999999999</v>
      </c>
      <c r="Z337" s="22">
        <v>57.297499999999999</v>
      </c>
      <c r="AA337" s="22">
        <v>-1.4892600000000001E-2</v>
      </c>
      <c r="AB337" s="22">
        <v>327</v>
      </c>
      <c r="AC337" s="22">
        <v>0.152832</v>
      </c>
      <c r="AD337">
        <f t="shared" si="64"/>
        <v>14.8926</v>
      </c>
      <c r="AE337">
        <f t="shared" si="65"/>
        <v>2.2837951025999996</v>
      </c>
      <c r="AF337" s="9"/>
      <c r="AG337" s="22">
        <v>1.5466299999999999</v>
      </c>
      <c r="AH337" s="22">
        <v>62.842100000000002</v>
      </c>
      <c r="AI337" s="22">
        <v>-4.1458099999999998E-3</v>
      </c>
      <c r="AJ337" s="22">
        <v>327</v>
      </c>
      <c r="AK337" s="22">
        <v>1.5460199999999999</v>
      </c>
      <c r="AL337">
        <f t="shared" si="66"/>
        <v>4.14581</v>
      </c>
      <c r="AM337">
        <f t="shared" si="67"/>
        <v>6.4120341202999995</v>
      </c>
      <c r="AP337" s="9"/>
      <c r="AQ337" s="22">
        <v>0.15335099999999999</v>
      </c>
      <c r="AR337" s="22">
        <v>69.841700000000003</v>
      </c>
      <c r="AS337" s="22">
        <v>-1.4782699999999999E-2</v>
      </c>
      <c r="AT337" s="22">
        <v>327</v>
      </c>
      <c r="AU337" s="22">
        <v>0.15280199999999999</v>
      </c>
      <c r="AV337">
        <f t="shared" si="68"/>
        <v>14.7827</v>
      </c>
      <c r="AW337">
        <f t="shared" si="69"/>
        <v>2.2669418276999997</v>
      </c>
      <c r="AX337" s="9"/>
      <c r="AY337" s="22">
        <v>1.5466299999999999</v>
      </c>
      <c r="AZ337" s="22">
        <v>75.118300000000005</v>
      </c>
      <c r="BA337" s="22">
        <v>-4.0817300000000004E-3</v>
      </c>
      <c r="BB337" s="22">
        <v>327</v>
      </c>
      <c r="BC337" s="22">
        <v>1.5460199999999999</v>
      </c>
      <c r="BD337">
        <f t="shared" si="70"/>
        <v>4.0817300000000003</v>
      </c>
      <c r="BE337">
        <f t="shared" si="71"/>
        <v>6.3129260699000005</v>
      </c>
    </row>
    <row r="338" spans="6:57">
      <c r="F338" s="9"/>
      <c r="G338" s="22">
        <v>0.148315</v>
      </c>
      <c r="H338" s="22">
        <v>10.0206</v>
      </c>
      <c r="I338" s="22">
        <v>-1.48773E-2</v>
      </c>
      <c r="J338" s="22">
        <v>328</v>
      </c>
      <c r="K338" s="22">
        <v>0.14773600000000001</v>
      </c>
      <c r="L338">
        <f t="shared" si="60"/>
        <v>14.8773</v>
      </c>
      <c r="M338">
        <f t="shared" si="61"/>
        <v>2.2065267495000001</v>
      </c>
      <c r="N338" s="9"/>
      <c r="O338" s="22">
        <v>1.5516700000000001</v>
      </c>
      <c r="P338" s="22">
        <v>49.495899999999999</v>
      </c>
      <c r="Q338" s="22">
        <v>-4.2425500000000003E-3</v>
      </c>
      <c r="R338" s="22">
        <v>328</v>
      </c>
      <c r="S338" s="22">
        <v>1.55121</v>
      </c>
      <c r="T338">
        <f t="shared" si="62"/>
        <v>4.2425500000000005</v>
      </c>
      <c r="U338">
        <f t="shared" si="63"/>
        <v>6.5830375585000009</v>
      </c>
      <c r="X338" s="9"/>
      <c r="Y338" s="22">
        <v>0.148315</v>
      </c>
      <c r="Z338" s="22">
        <v>57.307499999999997</v>
      </c>
      <c r="AA338" s="22">
        <v>-1.4926099999999999E-2</v>
      </c>
      <c r="AB338" s="22">
        <v>328</v>
      </c>
      <c r="AC338" s="22">
        <v>0.14779700000000001</v>
      </c>
      <c r="AD338">
        <f t="shared" si="64"/>
        <v>14.9261</v>
      </c>
      <c r="AE338">
        <f t="shared" si="65"/>
        <v>2.2137645214999999</v>
      </c>
      <c r="AF338" s="9"/>
      <c r="AG338" s="22">
        <v>1.5516700000000001</v>
      </c>
      <c r="AH338" s="22">
        <v>62.8521</v>
      </c>
      <c r="AI338" s="22">
        <v>-4.0719600000000003E-3</v>
      </c>
      <c r="AJ338" s="22">
        <v>328</v>
      </c>
      <c r="AK338" s="22">
        <v>1.55121</v>
      </c>
      <c r="AL338">
        <f t="shared" si="66"/>
        <v>4.0719600000000007</v>
      </c>
      <c r="AM338">
        <f t="shared" si="67"/>
        <v>6.3183381732000017</v>
      </c>
      <c r="AP338" s="9"/>
      <c r="AQ338" s="22">
        <v>0.148315</v>
      </c>
      <c r="AR338" s="22">
        <v>69.851799999999997</v>
      </c>
      <c r="AS338" s="22">
        <v>-1.4816299999999999E-2</v>
      </c>
      <c r="AT338" s="22">
        <v>328</v>
      </c>
      <c r="AU338" s="22">
        <v>0.147675</v>
      </c>
      <c r="AV338">
        <f t="shared" si="68"/>
        <v>14.8163</v>
      </c>
      <c r="AW338">
        <f t="shared" si="69"/>
        <v>2.1974795345000002</v>
      </c>
      <c r="AX338" s="9"/>
      <c r="AY338" s="22">
        <v>1.5516700000000001</v>
      </c>
      <c r="AZ338" s="22">
        <v>75.128399999999999</v>
      </c>
      <c r="BA338" s="22">
        <v>-4.0096999999999997E-3</v>
      </c>
      <c r="BB338" s="22">
        <v>328</v>
      </c>
      <c r="BC338" s="22">
        <v>1.5506</v>
      </c>
      <c r="BD338">
        <f t="shared" si="70"/>
        <v>4.0096999999999996</v>
      </c>
      <c r="BE338">
        <f t="shared" si="71"/>
        <v>6.2217311989999997</v>
      </c>
    </row>
    <row r="339" spans="6:57">
      <c r="F339" s="9"/>
      <c r="G339" s="22">
        <v>0.14327999999999999</v>
      </c>
      <c r="H339" s="22">
        <v>10.0307</v>
      </c>
      <c r="I339" s="22">
        <v>-1.4898700000000001E-2</v>
      </c>
      <c r="J339" s="22">
        <v>329</v>
      </c>
      <c r="K339" s="22">
        <v>0.14269999999999999</v>
      </c>
      <c r="L339">
        <f t="shared" si="60"/>
        <v>14.898700000000002</v>
      </c>
      <c r="M339">
        <f t="shared" si="61"/>
        <v>2.1346857360000002</v>
      </c>
      <c r="N339" s="9"/>
      <c r="O339" s="22">
        <v>1.5567</v>
      </c>
      <c r="P339" s="22">
        <v>49.506</v>
      </c>
      <c r="Q339" s="22">
        <v>-4.1628999999999998E-3</v>
      </c>
      <c r="R339" s="22">
        <v>329</v>
      </c>
      <c r="S339" s="22">
        <v>1.55579</v>
      </c>
      <c r="T339">
        <f t="shared" si="62"/>
        <v>4.1628999999999996</v>
      </c>
      <c r="U339">
        <f t="shared" si="63"/>
        <v>6.4803864299999994</v>
      </c>
      <c r="X339" s="9"/>
      <c r="Y339" s="22">
        <v>0.14327999999999999</v>
      </c>
      <c r="Z339" s="22">
        <v>57.317599999999999</v>
      </c>
      <c r="AA339" s="22">
        <v>-1.49628E-2</v>
      </c>
      <c r="AB339" s="22">
        <v>329</v>
      </c>
      <c r="AC339" s="22">
        <v>0.14266999999999999</v>
      </c>
      <c r="AD339">
        <f t="shared" si="64"/>
        <v>14.9628</v>
      </c>
      <c r="AE339">
        <f t="shared" si="65"/>
        <v>2.1438699839999997</v>
      </c>
      <c r="AF339" s="9"/>
      <c r="AG339" s="22">
        <v>1.5567</v>
      </c>
      <c r="AH339" s="22">
        <v>62.862200000000001</v>
      </c>
      <c r="AI339" s="22">
        <v>-3.99841E-3</v>
      </c>
      <c r="AJ339" s="22">
        <v>329</v>
      </c>
      <c r="AK339" s="22">
        <v>1.55609</v>
      </c>
      <c r="AL339">
        <f t="shared" si="66"/>
        <v>3.9984099999999998</v>
      </c>
      <c r="AM339">
        <f t="shared" si="67"/>
        <v>6.2243248469999992</v>
      </c>
      <c r="AP339" s="9"/>
      <c r="AQ339" s="22">
        <v>0.14327999999999999</v>
      </c>
      <c r="AR339" s="22">
        <v>69.861800000000002</v>
      </c>
      <c r="AS339" s="22">
        <v>-1.4843800000000001E-2</v>
      </c>
      <c r="AT339" s="22">
        <v>329</v>
      </c>
      <c r="AU339" s="22">
        <v>0.14269999999999999</v>
      </c>
      <c r="AV339">
        <f t="shared" si="68"/>
        <v>14.8438</v>
      </c>
      <c r="AW339">
        <f t="shared" si="69"/>
        <v>2.1268196639999997</v>
      </c>
      <c r="AX339" s="9"/>
      <c r="AY339" s="22">
        <v>1.5567</v>
      </c>
      <c r="AZ339" s="22">
        <v>75.138499999999993</v>
      </c>
      <c r="BA339" s="22">
        <v>-3.93707E-3</v>
      </c>
      <c r="BB339" s="22">
        <v>329</v>
      </c>
      <c r="BC339" s="22">
        <v>1.55609</v>
      </c>
      <c r="BD339">
        <f t="shared" si="70"/>
        <v>3.9370699999999998</v>
      </c>
      <c r="BE339">
        <f t="shared" si="71"/>
        <v>6.1288368689999997</v>
      </c>
    </row>
    <row r="340" spans="6:57">
      <c r="F340" s="9"/>
      <c r="G340" s="22">
        <v>0.13824500000000001</v>
      </c>
      <c r="H340" s="22">
        <v>10.040800000000001</v>
      </c>
      <c r="I340" s="22">
        <v>-1.4919999999999999E-2</v>
      </c>
      <c r="J340" s="22">
        <v>330</v>
      </c>
      <c r="K340" s="22">
        <v>0.137604</v>
      </c>
      <c r="L340">
        <f t="shared" si="60"/>
        <v>14.92</v>
      </c>
      <c r="M340">
        <f t="shared" si="61"/>
        <v>2.0626153999999999</v>
      </c>
      <c r="N340" s="9"/>
      <c r="O340" s="22">
        <v>1.5617399999999999</v>
      </c>
      <c r="P340" s="22">
        <v>49.515999999999998</v>
      </c>
      <c r="Q340" s="22">
        <v>-4.0826400000000002E-3</v>
      </c>
      <c r="R340" s="22">
        <v>330</v>
      </c>
      <c r="S340" s="22">
        <v>1.56097</v>
      </c>
      <c r="T340">
        <f t="shared" si="62"/>
        <v>4.0826400000000005</v>
      </c>
      <c r="U340">
        <f t="shared" si="63"/>
        <v>6.3760221936000008</v>
      </c>
      <c r="X340" s="9"/>
      <c r="Y340" s="22">
        <v>0.13824500000000001</v>
      </c>
      <c r="Z340" s="22">
        <v>57.3277</v>
      </c>
      <c r="AA340" s="22">
        <v>-1.49902E-2</v>
      </c>
      <c r="AB340" s="22">
        <v>330</v>
      </c>
      <c r="AC340" s="22">
        <v>0.13766500000000001</v>
      </c>
      <c r="AD340">
        <f t="shared" si="64"/>
        <v>14.9902</v>
      </c>
      <c r="AE340">
        <f t="shared" si="65"/>
        <v>2.072320199</v>
      </c>
      <c r="AF340" s="9"/>
      <c r="AG340" s="22">
        <v>1.5617399999999999</v>
      </c>
      <c r="AH340" s="22">
        <v>62.872300000000003</v>
      </c>
      <c r="AI340" s="22">
        <v>-3.9221200000000003E-3</v>
      </c>
      <c r="AJ340" s="22">
        <v>330</v>
      </c>
      <c r="AK340" s="22">
        <v>1.56128</v>
      </c>
      <c r="AL340">
        <f t="shared" si="66"/>
        <v>3.9221200000000005</v>
      </c>
      <c r="AM340">
        <f t="shared" si="67"/>
        <v>6.1253316888000002</v>
      </c>
      <c r="AP340" s="9"/>
      <c r="AQ340" s="22">
        <v>0.13824500000000001</v>
      </c>
      <c r="AR340" s="22">
        <v>69.871899999999997</v>
      </c>
      <c r="AS340" s="22">
        <v>-1.4859000000000001E-2</v>
      </c>
      <c r="AT340" s="22">
        <v>330</v>
      </c>
      <c r="AU340" s="22">
        <v>0.13766500000000001</v>
      </c>
      <c r="AV340">
        <f t="shared" si="68"/>
        <v>14.859</v>
      </c>
      <c r="AW340">
        <f t="shared" si="69"/>
        <v>2.0541824550000003</v>
      </c>
      <c r="AX340" s="9"/>
      <c r="AY340" s="22">
        <v>1.5617399999999999</v>
      </c>
      <c r="AZ340" s="22">
        <v>75.148499999999999</v>
      </c>
      <c r="BA340" s="22">
        <v>-3.8629200000000002E-3</v>
      </c>
      <c r="BB340" s="22">
        <v>330</v>
      </c>
      <c r="BC340" s="22">
        <v>1.56097</v>
      </c>
      <c r="BD340">
        <f t="shared" si="70"/>
        <v>3.8629200000000004</v>
      </c>
      <c r="BE340">
        <f t="shared" si="71"/>
        <v>6.0328766808000003</v>
      </c>
    </row>
    <row r="341" spans="6:57">
      <c r="F341" s="9"/>
      <c r="G341" s="22">
        <v>0.13320899999999999</v>
      </c>
      <c r="H341" s="22">
        <v>10.0509</v>
      </c>
      <c r="I341" s="22">
        <v>-1.4938399999999999E-2</v>
      </c>
      <c r="J341" s="22">
        <v>331</v>
      </c>
      <c r="K341" s="22">
        <v>0.13259899999999999</v>
      </c>
      <c r="L341">
        <f t="shared" si="60"/>
        <v>14.9384</v>
      </c>
      <c r="M341">
        <f t="shared" si="61"/>
        <v>1.9899293255999999</v>
      </c>
      <c r="N341" s="9"/>
      <c r="O341" s="22">
        <v>1.56677</v>
      </c>
      <c r="P341" s="22">
        <v>49.5261</v>
      </c>
      <c r="Q341" s="22">
        <v>-4.0023799999999998E-3</v>
      </c>
      <c r="R341" s="22">
        <v>331</v>
      </c>
      <c r="S341" s="22">
        <v>1.56525</v>
      </c>
      <c r="T341">
        <f t="shared" si="62"/>
        <v>4.0023799999999996</v>
      </c>
      <c r="U341">
        <f t="shared" si="63"/>
        <v>6.2708089125999997</v>
      </c>
      <c r="X341" s="9"/>
      <c r="Y341" s="22">
        <v>0.13320899999999999</v>
      </c>
      <c r="Z341" s="22">
        <v>57.337699999999998</v>
      </c>
      <c r="AA341" s="22">
        <v>-1.5014599999999999E-2</v>
      </c>
      <c r="AB341" s="22">
        <v>331</v>
      </c>
      <c r="AC341" s="22">
        <v>0.132629</v>
      </c>
      <c r="AD341">
        <f t="shared" si="64"/>
        <v>15.0146</v>
      </c>
      <c r="AE341">
        <f t="shared" si="65"/>
        <v>2.0000798513999998</v>
      </c>
      <c r="AF341" s="9"/>
      <c r="AG341" s="22">
        <v>1.56677</v>
      </c>
      <c r="AH341" s="22">
        <v>62.882399999999997</v>
      </c>
      <c r="AI341" s="22">
        <v>-3.8452099999999999E-3</v>
      </c>
      <c r="AJ341" s="22">
        <v>331</v>
      </c>
      <c r="AK341" s="22">
        <v>1.56586</v>
      </c>
      <c r="AL341">
        <f t="shared" si="66"/>
        <v>3.8452099999999998</v>
      </c>
      <c r="AM341">
        <f t="shared" si="67"/>
        <v>6.0245596716999996</v>
      </c>
      <c r="AP341" s="9"/>
      <c r="AQ341" s="22">
        <v>0.13320899999999999</v>
      </c>
      <c r="AR341" s="22">
        <v>69.882000000000005</v>
      </c>
      <c r="AS341" s="22">
        <v>-1.4871199999999999E-2</v>
      </c>
      <c r="AT341" s="22">
        <v>331</v>
      </c>
      <c r="AU341" s="22">
        <v>0.13272100000000001</v>
      </c>
      <c r="AV341">
        <f t="shared" si="68"/>
        <v>14.8712</v>
      </c>
      <c r="AW341">
        <f t="shared" si="69"/>
        <v>1.9809776807999999</v>
      </c>
      <c r="AX341" s="9"/>
      <c r="AY341" s="22">
        <v>1.56677</v>
      </c>
      <c r="AZ341" s="22">
        <v>75.158600000000007</v>
      </c>
      <c r="BA341" s="22">
        <v>-3.7872299999999999E-3</v>
      </c>
      <c r="BB341" s="22">
        <v>331</v>
      </c>
      <c r="BC341" s="22">
        <v>1.56616</v>
      </c>
      <c r="BD341">
        <f t="shared" si="70"/>
        <v>3.7872300000000001</v>
      </c>
      <c r="BE341">
        <f t="shared" si="71"/>
        <v>5.9337183471000001</v>
      </c>
    </row>
    <row r="342" spans="6:57">
      <c r="F342" s="9"/>
      <c r="G342" s="22">
        <v>0.12817400000000001</v>
      </c>
      <c r="H342" s="22">
        <v>10.0609</v>
      </c>
      <c r="I342" s="22">
        <v>-1.49658E-2</v>
      </c>
      <c r="J342" s="22">
        <v>332</v>
      </c>
      <c r="K342" s="22">
        <v>0.12756300000000001</v>
      </c>
      <c r="L342">
        <f t="shared" si="60"/>
        <v>14.9658</v>
      </c>
      <c r="M342">
        <f t="shared" si="61"/>
        <v>1.9182264492000001</v>
      </c>
      <c r="N342" s="9"/>
      <c r="O342" s="22">
        <v>1.5718099999999999</v>
      </c>
      <c r="P342" s="22">
        <v>49.536200000000001</v>
      </c>
      <c r="Q342" s="22">
        <v>-3.9202899999999999E-3</v>
      </c>
      <c r="R342" s="22">
        <v>332</v>
      </c>
      <c r="S342" s="22">
        <v>1.57074</v>
      </c>
      <c r="T342">
        <f t="shared" si="62"/>
        <v>3.9202900000000001</v>
      </c>
      <c r="U342">
        <f t="shared" si="63"/>
        <v>6.1619510248999996</v>
      </c>
      <c r="X342" s="9"/>
      <c r="Y342" s="22">
        <v>0.12817400000000001</v>
      </c>
      <c r="Z342" s="22">
        <v>57.347799999999999</v>
      </c>
      <c r="AA342" s="22">
        <v>-1.5029900000000001E-2</v>
      </c>
      <c r="AB342" s="22">
        <v>332</v>
      </c>
      <c r="AC342" s="22">
        <v>0.12756300000000001</v>
      </c>
      <c r="AD342">
        <f t="shared" si="64"/>
        <v>15.029900000000001</v>
      </c>
      <c r="AE342">
        <f t="shared" si="65"/>
        <v>1.9264424026000004</v>
      </c>
      <c r="AF342" s="9"/>
      <c r="AG342" s="22">
        <v>1.5718099999999999</v>
      </c>
      <c r="AH342" s="22">
        <v>62.892400000000002</v>
      </c>
      <c r="AI342" s="22">
        <v>-3.7674000000000002E-3</v>
      </c>
      <c r="AJ342" s="22">
        <v>332</v>
      </c>
      <c r="AK342" s="22">
        <v>1.57074</v>
      </c>
      <c r="AL342">
        <f t="shared" si="66"/>
        <v>3.7674000000000003</v>
      </c>
      <c r="AM342">
        <f t="shared" si="67"/>
        <v>5.921636994</v>
      </c>
      <c r="AP342" s="9"/>
      <c r="AQ342" s="22">
        <v>0.12817400000000001</v>
      </c>
      <c r="AR342" s="22">
        <v>69.892099999999999</v>
      </c>
      <c r="AS342" s="22">
        <v>-1.48895E-2</v>
      </c>
      <c r="AT342" s="22">
        <v>332</v>
      </c>
      <c r="AU342" s="22">
        <v>0.12759400000000001</v>
      </c>
      <c r="AV342">
        <f t="shared" si="68"/>
        <v>14.8895</v>
      </c>
      <c r="AW342">
        <f t="shared" si="69"/>
        <v>1.9084467730000001</v>
      </c>
      <c r="AX342" s="9"/>
      <c r="AY342" s="22">
        <v>1.5718099999999999</v>
      </c>
      <c r="AZ342" s="22">
        <v>75.168700000000001</v>
      </c>
      <c r="BA342" s="22">
        <v>-3.7109399999999998E-3</v>
      </c>
      <c r="BB342" s="22">
        <v>332</v>
      </c>
      <c r="BC342" s="22">
        <v>1.57135</v>
      </c>
      <c r="BD342">
        <f t="shared" si="70"/>
        <v>3.7109399999999999</v>
      </c>
      <c r="BE342">
        <f t="shared" si="71"/>
        <v>5.8328926013999993</v>
      </c>
    </row>
    <row r="343" spans="6:57">
      <c r="F343" s="9"/>
      <c r="G343" s="22">
        <v>0.123138</v>
      </c>
      <c r="H343" s="22">
        <v>10.071</v>
      </c>
      <c r="I343" s="22">
        <v>-1.49902E-2</v>
      </c>
      <c r="J343" s="22">
        <v>333</v>
      </c>
      <c r="K343" s="22">
        <v>0.122559</v>
      </c>
      <c r="L343">
        <f t="shared" si="60"/>
        <v>14.9902</v>
      </c>
      <c r="M343">
        <f t="shared" si="61"/>
        <v>1.8458632475999999</v>
      </c>
      <c r="N343" s="9"/>
      <c r="O343" s="22">
        <v>1.57684</v>
      </c>
      <c r="P343" s="22">
        <v>49.546199999999999</v>
      </c>
      <c r="Q343" s="22">
        <v>-3.83484E-3</v>
      </c>
      <c r="R343" s="22">
        <v>333</v>
      </c>
      <c r="S343" s="22">
        <v>1.57623</v>
      </c>
      <c r="T343">
        <f t="shared" si="62"/>
        <v>3.8348399999999998</v>
      </c>
      <c r="U343">
        <f t="shared" si="63"/>
        <v>6.0469291055999994</v>
      </c>
      <c r="X343" s="9"/>
      <c r="Y343" s="22">
        <v>0.123138</v>
      </c>
      <c r="Z343" s="22">
        <v>57.357900000000001</v>
      </c>
      <c r="AA343" s="22">
        <v>-1.5048199999999999E-2</v>
      </c>
      <c r="AB343" s="22">
        <v>333</v>
      </c>
      <c r="AC343" s="22">
        <v>0.122559</v>
      </c>
      <c r="AD343">
        <f t="shared" si="64"/>
        <v>15.0482</v>
      </c>
      <c r="AE343">
        <f t="shared" si="65"/>
        <v>1.8530052516</v>
      </c>
      <c r="AF343" s="9"/>
      <c r="AG343" s="22">
        <v>1.57684</v>
      </c>
      <c r="AH343" s="22">
        <v>62.902500000000003</v>
      </c>
      <c r="AI343" s="22">
        <v>-3.6871299999999998E-3</v>
      </c>
      <c r="AJ343" s="22">
        <v>333</v>
      </c>
      <c r="AK343" s="22">
        <v>1.5759300000000001</v>
      </c>
      <c r="AL343">
        <f t="shared" si="66"/>
        <v>3.6871299999999998</v>
      </c>
      <c r="AM343">
        <f t="shared" si="67"/>
        <v>5.8140140691999997</v>
      </c>
      <c r="AP343" s="9"/>
      <c r="AQ343" s="22">
        <v>0.123138</v>
      </c>
      <c r="AR343" s="22">
        <v>69.902100000000004</v>
      </c>
      <c r="AS343" s="22">
        <v>-1.4904799999999999E-2</v>
      </c>
      <c r="AT343" s="22">
        <v>333</v>
      </c>
      <c r="AU343" s="22">
        <v>0.122498</v>
      </c>
      <c r="AV343">
        <f t="shared" si="68"/>
        <v>14.9048</v>
      </c>
      <c r="AW343">
        <f t="shared" si="69"/>
        <v>1.8353472624</v>
      </c>
      <c r="AX343" s="9"/>
      <c r="AY343" s="22">
        <v>1.57684</v>
      </c>
      <c r="AZ343" s="22">
        <v>75.178799999999995</v>
      </c>
      <c r="BA343" s="22">
        <v>-3.6319E-3</v>
      </c>
      <c r="BB343" s="22">
        <v>333</v>
      </c>
      <c r="BC343" s="22">
        <v>1.5765400000000001</v>
      </c>
      <c r="BD343">
        <f t="shared" si="70"/>
        <v>3.6318999999999999</v>
      </c>
      <c r="BE343">
        <f t="shared" si="71"/>
        <v>5.7269251959999998</v>
      </c>
    </row>
    <row r="344" spans="6:57">
      <c r="F344" s="9"/>
      <c r="G344" s="22">
        <v>0.118103</v>
      </c>
      <c r="H344" s="22">
        <v>10.081099999999999</v>
      </c>
      <c r="I344" s="22">
        <v>-1.5008499999999999E-2</v>
      </c>
      <c r="J344" s="22">
        <v>334</v>
      </c>
      <c r="K344" s="22">
        <v>0.117523</v>
      </c>
      <c r="L344">
        <f t="shared" si="60"/>
        <v>15.0085</v>
      </c>
      <c r="M344">
        <f t="shared" si="61"/>
        <v>1.7725488755000001</v>
      </c>
      <c r="N344" s="9"/>
      <c r="O344" s="22">
        <v>1.58188</v>
      </c>
      <c r="P344" s="22">
        <v>49.5563</v>
      </c>
      <c r="Q344" s="22">
        <v>-3.7506100000000001E-3</v>
      </c>
      <c r="R344" s="22">
        <v>334</v>
      </c>
      <c r="S344" s="22">
        <v>1.5811200000000001</v>
      </c>
      <c r="T344">
        <f t="shared" si="62"/>
        <v>3.75061</v>
      </c>
      <c r="U344">
        <f t="shared" si="63"/>
        <v>5.9330149468000002</v>
      </c>
      <c r="X344" s="9"/>
      <c r="Y344" s="22">
        <v>0.118103</v>
      </c>
      <c r="Z344" s="22">
        <v>57.368000000000002</v>
      </c>
      <c r="AA344" s="22">
        <v>-1.50726E-2</v>
      </c>
      <c r="AB344" s="22">
        <v>334</v>
      </c>
      <c r="AC344" s="22">
        <v>0.117523</v>
      </c>
      <c r="AD344">
        <f t="shared" si="64"/>
        <v>15.0726</v>
      </c>
      <c r="AE344">
        <f t="shared" si="65"/>
        <v>1.7801192777999999</v>
      </c>
      <c r="AF344" s="9"/>
      <c r="AG344" s="22">
        <v>1.58188</v>
      </c>
      <c r="AH344" s="22">
        <v>62.912599999999998</v>
      </c>
      <c r="AI344" s="22">
        <v>-3.6074800000000001E-3</v>
      </c>
      <c r="AJ344" s="22">
        <v>334</v>
      </c>
      <c r="AK344" s="22">
        <v>1.58142</v>
      </c>
      <c r="AL344">
        <f t="shared" si="66"/>
        <v>3.6074800000000002</v>
      </c>
      <c r="AM344">
        <f t="shared" si="67"/>
        <v>5.7066004624</v>
      </c>
      <c r="AP344" s="9"/>
      <c r="AQ344" s="22">
        <v>0.118103</v>
      </c>
      <c r="AR344" s="22">
        <v>69.912199999999999</v>
      </c>
      <c r="AS344" s="22">
        <v>-1.49292E-2</v>
      </c>
      <c r="AT344" s="22">
        <v>334</v>
      </c>
      <c r="AU344" s="22">
        <v>0.117493</v>
      </c>
      <c r="AV344">
        <f t="shared" si="68"/>
        <v>14.9292</v>
      </c>
      <c r="AW344">
        <f t="shared" si="69"/>
        <v>1.7631833075999999</v>
      </c>
      <c r="AX344" s="9"/>
      <c r="AY344" s="22">
        <v>1.58188</v>
      </c>
      <c r="AZ344" s="22">
        <v>75.188800000000001</v>
      </c>
      <c r="BA344" s="22">
        <v>-3.5537699999999999E-3</v>
      </c>
      <c r="BB344" s="22">
        <v>334</v>
      </c>
      <c r="BC344" s="22">
        <v>1.5811200000000001</v>
      </c>
      <c r="BD344">
        <f t="shared" si="70"/>
        <v>3.5537700000000001</v>
      </c>
      <c r="BE344">
        <f t="shared" si="71"/>
        <v>5.6216376875999998</v>
      </c>
    </row>
    <row r="345" spans="6:57">
      <c r="F345" s="9"/>
      <c r="G345" s="22">
        <v>0.113068</v>
      </c>
      <c r="H345" s="22">
        <v>10.091100000000001</v>
      </c>
      <c r="I345" s="22">
        <v>-1.5036000000000001E-2</v>
      </c>
      <c r="J345" s="22">
        <v>335</v>
      </c>
      <c r="K345" s="22">
        <v>0.112457</v>
      </c>
      <c r="L345">
        <f t="shared" si="60"/>
        <v>15.036000000000001</v>
      </c>
      <c r="M345">
        <f t="shared" si="61"/>
        <v>1.7000904480000001</v>
      </c>
      <c r="N345" s="9"/>
      <c r="O345" s="22">
        <v>1.58691</v>
      </c>
      <c r="P345" s="22">
        <v>49.566400000000002</v>
      </c>
      <c r="Q345" s="22">
        <v>-3.6660799999999999E-3</v>
      </c>
      <c r="R345" s="22">
        <v>335</v>
      </c>
      <c r="S345" s="22">
        <v>1.58569</v>
      </c>
      <c r="T345">
        <f t="shared" si="62"/>
        <v>3.66608</v>
      </c>
      <c r="U345">
        <f t="shared" si="63"/>
        <v>5.8177390128000006</v>
      </c>
      <c r="X345" s="9"/>
      <c r="Y345" s="22">
        <v>0.113068</v>
      </c>
      <c r="Z345" s="22">
        <v>57.378</v>
      </c>
      <c r="AA345" s="22">
        <v>-1.51031E-2</v>
      </c>
      <c r="AB345" s="22">
        <v>335</v>
      </c>
      <c r="AC345" s="22">
        <v>0.112427</v>
      </c>
      <c r="AD345">
        <f t="shared" si="64"/>
        <v>15.1031</v>
      </c>
      <c r="AE345">
        <f t="shared" si="65"/>
        <v>1.7076773108000001</v>
      </c>
      <c r="AF345" s="9"/>
      <c r="AG345" s="22">
        <v>1.58691</v>
      </c>
      <c r="AH345" s="22">
        <v>62.922600000000003</v>
      </c>
      <c r="AI345" s="22">
        <v>-3.5253900000000002E-3</v>
      </c>
      <c r="AJ345" s="22">
        <v>335</v>
      </c>
      <c r="AK345" s="22">
        <v>1.5860000000000001</v>
      </c>
      <c r="AL345">
        <f t="shared" si="66"/>
        <v>3.5253900000000002</v>
      </c>
      <c r="AM345">
        <f t="shared" si="67"/>
        <v>5.5944766449000003</v>
      </c>
      <c r="AP345" s="9"/>
      <c r="AQ345" s="22">
        <v>0.113068</v>
      </c>
      <c r="AR345" s="22">
        <v>69.922300000000007</v>
      </c>
      <c r="AS345" s="22">
        <v>-1.4959699999999999E-2</v>
      </c>
      <c r="AT345" s="22">
        <v>335</v>
      </c>
      <c r="AU345" s="22">
        <v>0.112488</v>
      </c>
      <c r="AV345">
        <f t="shared" si="68"/>
        <v>14.9597</v>
      </c>
      <c r="AW345">
        <f t="shared" si="69"/>
        <v>1.6914633595999999</v>
      </c>
      <c r="AX345" s="9"/>
      <c r="AY345" s="22">
        <v>1.58691</v>
      </c>
      <c r="AZ345" s="22">
        <v>75.198899999999995</v>
      </c>
      <c r="BA345" s="22">
        <v>-3.4744300000000001E-3</v>
      </c>
      <c r="BB345" s="22">
        <v>335</v>
      </c>
      <c r="BC345" s="22">
        <v>1.5860000000000001</v>
      </c>
      <c r="BD345">
        <f t="shared" si="70"/>
        <v>3.4744300000000004</v>
      </c>
      <c r="BE345">
        <f t="shared" si="71"/>
        <v>5.5136077113000006</v>
      </c>
    </row>
    <row r="346" spans="6:57">
      <c r="F346" s="9"/>
      <c r="G346" s="22">
        <v>0.108032</v>
      </c>
      <c r="H346" s="22">
        <v>10.1012</v>
      </c>
      <c r="I346" s="22">
        <v>-1.50543E-2</v>
      </c>
      <c r="J346" s="22">
        <v>336</v>
      </c>
      <c r="K346" s="22">
        <v>0.107422</v>
      </c>
      <c r="L346">
        <f t="shared" si="60"/>
        <v>15.0543</v>
      </c>
      <c r="M346">
        <f t="shared" si="61"/>
        <v>1.6263461375999999</v>
      </c>
      <c r="N346" s="9"/>
      <c r="O346" s="22">
        <v>1.59195</v>
      </c>
      <c r="P346" s="22">
        <v>49.576500000000003</v>
      </c>
      <c r="Q346" s="22">
        <v>-3.58063E-3</v>
      </c>
      <c r="R346" s="22">
        <v>336</v>
      </c>
      <c r="S346" s="22">
        <v>1.5914900000000001</v>
      </c>
      <c r="T346">
        <f t="shared" si="62"/>
        <v>3.5806300000000002</v>
      </c>
      <c r="U346">
        <f t="shared" si="63"/>
        <v>5.7001839285000004</v>
      </c>
      <c r="X346" s="9"/>
      <c r="Y346" s="22">
        <v>0.108032</v>
      </c>
      <c r="Z346" s="22">
        <v>57.388100000000001</v>
      </c>
      <c r="AA346" s="22">
        <v>-1.51276E-2</v>
      </c>
      <c r="AB346" s="22">
        <v>336</v>
      </c>
      <c r="AC346" s="22">
        <v>0.10745200000000001</v>
      </c>
      <c r="AD346">
        <f t="shared" si="64"/>
        <v>15.127599999999999</v>
      </c>
      <c r="AE346">
        <f t="shared" si="65"/>
        <v>1.6342648832</v>
      </c>
      <c r="AF346" s="9"/>
      <c r="AG346" s="22">
        <v>1.59195</v>
      </c>
      <c r="AH346" s="22">
        <v>62.932699999999997</v>
      </c>
      <c r="AI346" s="22">
        <v>-3.4442100000000001E-3</v>
      </c>
      <c r="AJ346" s="22">
        <v>336</v>
      </c>
      <c r="AK346" s="22">
        <v>1.5914900000000001</v>
      </c>
      <c r="AL346">
        <f t="shared" si="66"/>
        <v>3.44421</v>
      </c>
      <c r="AM346">
        <f t="shared" si="67"/>
        <v>5.4830101095000003</v>
      </c>
      <c r="AP346" s="9"/>
      <c r="AQ346" s="22">
        <v>0.108032</v>
      </c>
      <c r="AR346" s="22">
        <v>69.932299999999998</v>
      </c>
      <c r="AS346" s="22">
        <v>-1.4975E-2</v>
      </c>
      <c r="AT346" s="22">
        <v>336</v>
      </c>
      <c r="AU346" s="22">
        <v>0.107422</v>
      </c>
      <c r="AV346">
        <f t="shared" si="68"/>
        <v>14.975</v>
      </c>
      <c r="AW346">
        <f t="shared" si="69"/>
        <v>1.6177792</v>
      </c>
      <c r="AX346" s="9"/>
      <c r="AY346" s="22">
        <v>1.59195</v>
      </c>
      <c r="AZ346" s="22">
        <v>75.209000000000003</v>
      </c>
      <c r="BA346" s="22">
        <v>-3.3941700000000002E-3</v>
      </c>
      <c r="BB346" s="22">
        <v>336</v>
      </c>
      <c r="BC346" s="22">
        <v>1.5908800000000001</v>
      </c>
      <c r="BD346">
        <f t="shared" si="70"/>
        <v>3.3941700000000004</v>
      </c>
      <c r="BE346">
        <f t="shared" si="71"/>
        <v>5.4033489315000001</v>
      </c>
    </row>
    <row r="347" spans="6:57">
      <c r="F347" s="9"/>
      <c r="G347" s="22">
        <v>0.10299700000000001</v>
      </c>
      <c r="H347" s="22">
        <v>10.1113</v>
      </c>
      <c r="I347" s="22">
        <v>-1.5081799999999999E-2</v>
      </c>
      <c r="J347" s="22">
        <v>337</v>
      </c>
      <c r="K347" s="22">
        <v>0.102386</v>
      </c>
      <c r="L347">
        <f t="shared" si="60"/>
        <v>15.081799999999999</v>
      </c>
      <c r="M347">
        <f t="shared" si="61"/>
        <v>1.5533801546000001</v>
      </c>
      <c r="N347" s="9"/>
      <c r="O347" s="22">
        <v>1.5969800000000001</v>
      </c>
      <c r="P347" s="22">
        <v>49.586500000000001</v>
      </c>
      <c r="Q347" s="22">
        <v>-3.4945699999999998E-3</v>
      </c>
      <c r="R347" s="22">
        <v>337</v>
      </c>
      <c r="S347" s="22">
        <v>1.5963700000000001</v>
      </c>
      <c r="T347">
        <f t="shared" si="62"/>
        <v>3.49457</v>
      </c>
      <c r="U347">
        <f t="shared" si="63"/>
        <v>5.5807583986000004</v>
      </c>
      <c r="X347" s="9"/>
      <c r="Y347" s="22">
        <v>0.10299700000000001</v>
      </c>
      <c r="Z347" s="22">
        <v>57.398200000000003</v>
      </c>
      <c r="AA347" s="22">
        <v>-1.51459E-2</v>
      </c>
      <c r="AB347" s="22">
        <v>337</v>
      </c>
      <c r="AC347" s="22">
        <v>0.102509</v>
      </c>
      <c r="AD347">
        <f t="shared" si="64"/>
        <v>15.145900000000001</v>
      </c>
      <c r="AE347">
        <f t="shared" si="65"/>
        <v>1.5599822623000001</v>
      </c>
      <c r="AF347" s="9"/>
      <c r="AG347" s="22">
        <v>1.5969800000000001</v>
      </c>
      <c r="AH347" s="22">
        <v>62.942799999999998</v>
      </c>
      <c r="AI347" s="22">
        <v>-3.3618200000000002E-3</v>
      </c>
      <c r="AJ347" s="22">
        <v>337</v>
      </c>
      <c r="AK347" s="22">
        <v>1.5963700000000001</v>
      </c>
      <c r="AL347">
        <f t="shared" si="66"/>
        <v>3.3618200000000003</v>
      </c>
      <c r="AM347">
        <f t="shared" si="67"/>
        <v>5.368759303600001</v>
      </c>
      <c r="AP347" s="9"/>
      <c r="AQ347" s="22">
        <v>0.10299700000000001</v>
      </c>
      <c r="AR347" s="22">
        <v>69.942400000000006</v>
      </c>
      <c r="AS347" s="22">
        <v>-1.5002400000000001E-2</v>
      </c>
      <c r="AT347" s="22">
        <v>337</v>
      </c>
      <c r="AU347" s="22">
        <v>0.102448</v>
      </c>
      <c r="AV347">
        <f t="shared" si="68"/>
        <v>15.002400000000002</v>
      </c>
      <c r="AW347">
        <f t="shared" si="69"/>
        <v>1.5452021928000002</v>
      </c>
      <c r="AX347" s="9"/>
      <c r="AY347" s="22">
        <v>1.5969800000000001</v>
      </c>
      <c r="AZ347" s="22">
        <v>75.218999999999994</v>
      </c>
      <c r="BA347" s="22">
        <v>-3.31329E-3</v>
      </c>
      <c r="BB347" s="22">
        <v>337</v>
      </c>
      <c r="BC347" s="22">
        <v>1.5963700000000001</v>
      </c>
      <c r="BD347">
        <f t="shared" si="70"/>
        <v>3.3132899999999998</v>
      </c>
      <c r="BE347">
        <f t="shared" si="71"/>
        <v>5.2912578642000003</v>
      </c>
    </row>
    <row r="348" spans="6:57">
      <c r="F348" s="9"/>
      <c r="G348" s="22">
        <v>9.7961400000000004E-2</v>
      </c>
      <c r="H348" s="22">
        <v>10.1214</v>
      </c>
      <c r="I348" s="22">
        <v>-1.51123E-2</v>
      </c>
      <c r="J348" s="22">
        <v>338</v>
      </c>
      <c r="K348" s="22">
        <v>9.7351099999999996E-2</v>
      </c>
      <c r="L348">
        <f t="shared" si="60"/>
        <v>15.112300000000001</v>
      </c>
      <c r="M348">
        <f t="shared" si="61"/>
        <v>1.4804220652200002</v>
      </c>
      <c r="N348" s="9"/>
      <c r="O348" s="22">
        <v>1.60202</v>
      </c>
      <c r="P348" s="22">
        <v>49.596600000000002</v>
      </c>
      <c r="Q348" s="22">
        <v>-3.4082000000000001E-3</v>
      </c>
      <c r="R348" s="22">
        <v>338</v>
      </c>
      <c r="S348" s="22">
        <v>1.6018699999999999</v>
      </c>
      <c r="T348">
        <f t="shared" si="62"/>
        <v>3.4081999999999999</v>
      </c>
      <c r="U348">
        <f t="shared" si="63"/>
        <v>5.4600045640000001</v>
      </c>
      <c r="X348" s="9"/>
      <c r="Y348" s="22">
        <v>9.7961400000000004E-2</v>
      </c>
      <c r="Z348" s="22">
        <v>57.408200000000001</v>
      </c>
      <c r="AA348" s="22">
        <v>-1.5173300000000001E-2</v>
      </c>
      <c r="AB348" s="22">
        <v>338</v>
      </c>
      <c r="AC348" s="22">
        <v>9.7351099999999996E-2</v>
      </c>
      <c r="AD348">
        <f t="shared" si="64"/>
        <v>15.173300000000001</v>
      </c>
      <c r="AE348">
        <f t="shared" si="65"/>
        <v>1.4863977106200001</v>
      </c>
      <c r="AF348" s="9"/>
      <c r="AG348" s="22">
        <v>1.60202</v>
      </c>
      <c r="AH348" s="22">
        <v>62.9529</v>
      </c>
      <c r="AI348" s="22">
        <v>-3.2775899999999999E-3</v>
      </c>
      <c r="AJ348" s="22">
        <v>338</v>
      </c>
      <c r="AK348" s="22">
        <v>1.6012599999999999</v>
      </c>
      <c r="AL348">
        <f t="shared" si="66"/>
        <v>3.27759</v>
      </c>
      <c r="AM348">
        <f t="shared" si="67"/>
        <v>5.2507647318000004</v>
      </c>
      <c r="AP348" s="9"/>
      <c r="AQ348" s="22">
        <v>9.7961400000000004E-2</v>
      </c>
      <c r="AR348" s="22">
        <v>69.952500000000001</v>
      </c>
      <c r="AS348" s="22">
        <v>-1.5029900000000001E-2</v>
      </c>
      <c r="AT348" s="22">
        <v>338</v>
      </c>
      <c r="AU348" s="22">
        <v>9.7503699999999999E-2</v>
      </c>
      <c r="AV348">
        <f t="shared" si="68"/>
        <v>15.029900000000001</v>
      </c>
      <c r="AW348">
        <f t="shared" si="69"/>
        <v>1.4723500458600003</v>
      </c>
      <c r="AX348" s="9"/>
      <c r="AY348" s="22">
        <v>1.60202</v>
      </c>
      <c r="AZ348" s="22">
        <v>75.229100000000003</v>
      </c>
      <c r="BA348" s="22">
        <v>-3.2315099999999999E-3</v>
      </c>
      <c r="BB348" s="22">
        <v>338</v>
      </c>
      <c r="BC348" s="22">
        <v>1.6015600000000001</v>
      </c>
      <c r="BD348">
        <f t="shared" si="70"/>
        <v>3.2315100000000001</v>
      </c>
      <c r="BE348">
        <f t="shared" si="71"/>
        <v>5.1769436502000001</v>
      </c>
    </row>
    <row r="349" spans="6:57">
      <c r="F349" s="9"/>
      <c r="G349" s="22">
        <v>9.2925999999999995E-2</v>
      </c>
      <c r="H349" s="22">
        <v>10.131399999999999</v>
      </c>
      <c r="I349" s="22">
        <v>-1.51428E-2</v>
      </c>
      <c r="J349" s="22">
        <v>339</v>
      </c>
      <c r="K349" s="22">
        <v>9.2285199999999998E-2</v>
      </c>
      <c r="L349">
        <f t="shared" si="60"/>
        <v>15.142799999999999</v>
      </c>
      <c r="M349">
        <f t="shared" si="61"/>
        <v>1.4071598327999999</v>
      </c>
      <c r="N349" s="9"/>
      <c r="O349" s="22">
        <v>1.6070599999999999</v>
      </c>
      <c r="P349" s="22">
        <v>49.606699999999996</v>
      </c>
      <c r="Q349" s="22">
        <v>-3.3212300000000001E-3</v>
      </c>
      <c r="R349" s="22">
        <v>339</v>
      </c>
      <c r="S349" s="22">
        <v>1.6061399999999999</v>
      </c>
      <c r="T349">
        <f t="shared" si="62"/>
        <v>3.3212299999999999</v>
      </c>
      <c r="U349">
        <f t="shared" si="63"/>
        <v>5.3374158837999994</v>
      </c>
      <c r="X349" s="9"/>
      <c r="Y349" s="22">
        <v>9.2925999999999995E-2</v>
      </c>
      <c r="Z349" s="22">
        <v>57.418300000000002</v>
      </c>
      <c r="AA349" s="22">
        <v>-1.5197799999999999E-2</v>
      </c>
      <c r="AB349" s="22">
        <v>339</v>
      </c>
      <c r="AC349" s="22">
        <v>9.2346200000000003E-2</v>
      </c>
      <c r="AD349">
        <f t="shared" si="64"/>
        <v>15.197799999999999</v>
      </c>
      <c r="AE349">
        <f t="shared" si="65"/>
        <v>1.4122707627999997</v>
      </c>
      <c r="AF349" s="9"/>
      <c r="AG349" s="22">
        <v>1.6070599999999999</v>
      </c>
      <c r="AH349" s="22">
        <v>62.962899999999998</v>
      </c>
      <c r="AI349" s="22">
        <v>-3.19397E-3</v>
      </c>
      <c r="AJ349" s="22">
        <v>339</v>
      </c>
      <c r="AK349" s="22">
        <v>1.6064499999999999</v>
      </c>
      <c r="AL349">
        <f t="shared" si="66"/>
        <v>3.1939699999999998</v>
      </c>
      <c r="AM349">
        <f t="shared" si="67"/>
        <v>5.1329014281999994</v>
      </c>
      <c r="AP349" s="9"/>
      <c r="AQ349" s="22">
        <v>9.2925999999999995E-2</v>
      </c>
      <c r="AR349" s="22">
        <v>69.962599999999995</v>
      </c>
      <c r="AS349" s="22">
        <v>-1.50543E-2</v>
      </c>
      <c r="AT349" s="22">
        <v>339</v>
      </c>
      <c r="AU349" s="22">
        <v>9.2346200000000003E-2</v>
      </c>
      <c r="AV349">
        <f t="shared" si="68"/>
        <v>15.0543</v>
      </c>
      <c r="AW349">
        <f t="shared" si="69"/>
        <v>1.3989358817999999</v>
      </c>
      <c r="AX349" s="9"/>
      <c r="AY349" s="22">
        <v>1.6070599999999999</v>
      </c>
      <c r="AZ349" s="22">
        <v>75.239199999999997</v>
      </c>
      <c r="BA349" s="22">
        <v>-3.1484999999999998E-3</v>
      </c>
      <c r="BB349" s="22">
        <v>339</v>
      </c>
      <c r="BC349" s="22">
        <v>1.6064499999999999</v>
      </c>
      <c r="BD349">
        <f t="shared" si="70"/>
        <v>3.1484999999999999</v>
      </c>
      <c r="BE349">
        <f t="shared" si="71"/>
        <v>5.0598284099999997</v>
      </c>
    </row>
    <row r="350" spans="6:57">
      <c r="F350" s="9"/>
      <c r="G350" s="22">
        <v>8.7890599999999999E-2</v>
      </c>
      <c r="H350" s="22">
        <v>10.141500000000001</v>
      </c>
      <c r="I350" s="22">
        <v>-1.51764E-2</v>
      </c>
      <c r="J350" s="22">
        <v>340</v>
      </c>
      <c r="K350" s="22">
        <v>8.7310799999999994E-2</v>
      </c>
      <c r="L350">
        <f t="shared" si="60"/>
        <v>15.176399999999999</v>
      </c>
      <c r="M350">
        <f t="shared" si="61"/>
        <v>1.3338629018399999</v>
      </c>
      <c r="N350" s="9"/>
      <c r="O350" s="22">
        <v>1.61209</v>
      </c>
      <c r="P350" s="22">
        <v>49.616700000000002</v>
      </c>
      <c r="Q350" s="22">
        <v>-3.2324200000000002E-3</v>
      </c>
      <c r="R350" s="22">
        <v>340</v>
      </c>
      <c r="S350" s="22">
        <v>1.6110199999999999</v>
      </c>
      <c r="T350">
        <f t="shared" si="62"/>
        <v>3.2324200000000003</v>
      </c>
      <c r="U350">
        <f t="shared" si="63"/>
        <v>5.2109519578000008</v>
      </c>
      <c r="X350" s="9"/>
      <c r="Y350" s="22">
        <v>8.7890599999999999E-2</v>
      </c>
      <c r="Z350" s="22">
        <v>57.428400000000003</v>
      </c>
      <c r="AA350" s="22">
        <v>-1.52161E-2</v>
      </c>
      <c r="AB350" s="22">
        <v>340</v>
      </c>
      <c r="AC350" s="22">
        <v>8.7310799999999994E-2</v>
      </c>
      <c r="AD350">
        <f t="shared" si="64"/>
        <v>15.216099999999999</v>
      </c>
      <c r="AE350">
        <f t="shared" si="65"/>
        <v>1.3373521586599999</v>
      </c>
      <c r="AF350" s="9"/>
      <c r="AG350" s="22">
        <v>1.61209</v>
      </c>
      <c r="AH350" s="22">
        <v>62.972999999999999</v>
      </c>
      <c r="AI350" s="22">
        <v>-3.10699E-3</v>
      </c>
      <c r="AJ350" s="22">
        <v>340</v>
      </c>
      <c r="AK350" s="22">
        <v>1.6113299999999999</v>
      </c>
      <c r="AL350">
        <f t="shared" si="66"/>
        <v>3.1069900000000001</v>
      </c>
      <c r="AM350">
        <f t="shared" si="67"/>
        <v>5.0087475091</v>
      </c>
      <c r="AP350" s="9"/>
      <c r="AQ350" s="22">
        <v>8.7890599999999999E-2</v>
      </c>
      <c r="AR350" s="22">
        <v>69.9726</v>
      </c>
      <c r="AS350" s="22">
        <v>-1.5081799999999999E-2</v>
      </c>
      <c r="AT350" s="22">
        <v>340</v>
      </c>
      <c r="AU350" s="22">
        <v>8.7249800000000002E-2</v>
      </c>
      <c r="AV350">
        <f t="shared" si="68"/>
        <v>15.081799999999999</v>
      </c>
      <c r="AW350">
        <f t="shared" si="69"/>
        <v>1.32554845108</v>
      </c>
      <c r="AX350" s="9"/>
      <c r="AY350" s="22">
        <v>1.61209</v>
      </c>
      <c r="AZ350" s="22">
        <v>75.249200000000002</v>
      </c>
      <c r="BA350" s="22">
        <v>-3.06427E-3</v>
      </c>
      <c r="BB350" s="22">
        <v>340</v>
      </c>
      <c r="BC350" s="22">
        <v>1.6107199999999999</v>
      </c>
      <c r="BD350">
        <f t="shared" si="70"/>
        <v>3.06427</v>
      </c>
      <c r="BE350">
        <f t="shared" si="71"/>
        <v>4.9398790243000006</v>
      </c>
    </row>
    <row r="351" spans="6:57">
      <c r="F351" s="9"/>
      <c r="G351" s="22">
        <v>8.2855200000000004E-2</v>
      </c>
      <c r="H351" s="22">
        <v>10.1516</v>
      </c>
      <c r="I351" s="22">
        <v>-1.51947E-2</v>
      </c>
      <c r="J351" s="22">
        <v>341</v>
      </c>
      <c r="K351" s="22">
        <v>8.2397499999999999E-2</v>
      </c>
      <c r="L351">
        <f t="shared" si="60"/>
        <v>15.194700000000001</v>
      </c>
      <c r="M351">
        <f t="shared" si="61"/>
        <v>1.2589599074400002</v>
      </c>
      <c r="N351" s="9"/>
      <c r="O351" s="22">
        <v>1.61713</v>
      </c>
      <c r="P351" s="22">
        <v>49.626800000000003</v>
      </c>
      <c r="Q351" s="22">
        <v>-3.1417799999999998E-3</v>
      </c>
      <c r="R351" s="22">
        <v>341</v>
      </c>
      <c r="S351" s="22">
        <v>1.61652</v>
      </c>
      <c r="T351">
        <f t="shared" si="62"/>
        <v>3.1417799999999998</v>
      </c>
      <c r="U351">
        <f t="shared" si="63"/>
        <v>5.0806666913999994</v>
      </c>
      <c r="X351" s="9"/>
      <c r="Y351" s="22">
        <v>8.2855200000000004E-2</v>
      </c>
      <c r="Z351" s="22">
        <v>57.438400000000001</v>
      </c>
      <c r="AA351" s="22">
        <v>-1.52435E-2</v>
      </c>
      <c r="AB351" s="22">
        <v>341</v>
      </c>
      <c r="AC351" s="22">
        <v>8.2275399999999999E-2</v>
      </c>
      <c r="AD351">
        <f t="shared" si="64"/>
        <v>15.243500000000001</v>
      </c>
      <c r="AE351">
        <f t="shared" si="65"/>
        <v>1.2630032412000001</v>
      </c>
      <c r="AF351" s="9"/>
      <c r="AG351" s="22">
        <v>1.61713</v>
      </c>
      <c r="AH351" s="22">
        <v>62.9831</v>
      </c>
      <c r="AI351" s="22">
        <v>-3.0197100000000001E-3</v>
      </c>
      <c r="AJ351" s="22">
        <v>341</v>
      </c>
      <c r="AK351" s="22">
        <v>1.61591</v>
      </c>
      <c r="AL351">
        <f t="shared" si="66"/>
        <v>3.0197099999999999</v>
      </c>
      <c r="AM351">
        <f t="shared" si="67"/>
        <v>4.8832636322999994</v>
      </c>
      <c r="AP351" s="9"/>
      <c r="AQ351" s="22">
        <v>8.2855200000000004E-2</v>
      </c>
      <c r="AR351" s="22">
        <v>69.982699999999994</v>
      </c>
      <c r="AS351" s="22">
        <v>-1.51062E-2</v>
      </c>
      <c r="AT351" s="22">
        <v>341</v>
      </c>
      <c r="AU351" s="22">
        <v>8.2305900000000001E-2</v>
      </c>
      <c r="AV351">
        <f t="shared" si="68"/>
        <v>15.106199999999999</v>
      </c>
      <c r="AW351">
        <f t="shared" si="69"/>
        <v>1.25162722224</v>
      </c>
      <c r="AX351" s="9"/>
      <c r="AY351" s="22">
        <v>1.61713</v>
      </c>
      <c r="AZ351" s="22">
        <v>75.259299999999996</v>
      </c>
      <c r="BA351" s="22">
        <v>-2.97913E-3</v>
      </c>
      <c r="BB351" s="22">
        <v>341</v>
      </c>
      <c r="BC351" s="22">
        <v>1.6162099999999999</v>
      </c>
      <c r="BD351">
        <f t="shared" si="70"/>
        <v>2.9791300000000001</v>
      </c>
      <c r="BE351">
        <f t="shared" si="71"/>
        <v>4.8176404969000002</v>
      </c>
    </row>
    <row r="352" spans="6:57">
      <c r="F352" s="9"/>
      <c r="G352" s="22">
        <v>7.7819799999999995E-2</v>
      </c>
      <c r="H352" s="22">
        <v>10.1616</v>
      </c>
      <c r="I352" s="22">
        <v>-1.5206900000000001E-2</v>
      </c>
      <c r="J352" s="22">
        <v>342</v>
      </c>
      <c r="K352" s="22">
        <v>7.7270500000000006E-2</v>
      </c>
      <c r="L352">
        <f t="shared" si="60"/>
        <v>15.206900000000001</v>
      </c>
      <c r="M352">
        <f t="shared" si="61"/>
        <v>1.1833979166199999</v>
      </c>
      <c r="N352" s="9"/>
      <c r="O352" s="22">
        <v>1.62216</v>
      </c>
      <c r="P352" s="22">
        <v>49.636899999999997</v>
      </c>
      <c r="Q352" s="22">
        <v>-3.0502300000000001E-3</v>
      </c>
      <c r="R352" s="22">
        <v>342</v>
      </c>
      <c r="S352" s="22">
        <v>1.6216999999999999</v>
      </c>
      <c r="T352">
        <f t="shared" si="62"/>
        <v>3.05023</v>
      </c>
      <c r="U352">
        <f t="shared" si="63"/>
        <v>4.9479610968000003</v>
      </c>
      <c r="X352" s="9"/>
      <c r="Y352" s="22">
        <v>7.7819799999999995E-2</v>
      </c>
      <c r="Z352" s="22">
        <v>57.448500000000003</v>
      </c>
      <c r="AA352" s="22">
        <v>-1.52649E-2</v>
      </c>
      <c r="AB352" s="22">
        <v>342</v>
      </c>
      <c r="AC352" s="22">
        <v>7.7240000000000003E-2</v>
      </c>
      <c r="AD352">
        <f t="shared" si="64"/>
        <v>15.264899999999999</v>
      </c>
      <c r="AE352">
        <f t="shared" si="65"/>
        <v>1.1879114650199998</v>
      </c>
      <c r="AF352" s="9"/>
      <c r="AG352" s="22">
        <v>1.62216</v>
      </c>
      <c r="AH352" s="22">
        <v>62.993099999999998</v>
      </c>
      <c r="AI352" s="22">
        <v>-2.9324300000000002E-3</v>
      </c>
      <c r="AJ352" s="22">
        <v>342</v>
      </c>
      <c r="AK352" s="22">
        <v>1.6216999999999999</v>
      </c>
      <c r="AL352">
        <f t="shared" si="66"/>
        <v>2.9324300000000001</v>
      </c>
      <c r="AM352">
        <f t="shared" si="67"/>
        <v>4.7568706488000005</v>
      </c>
      <c r="AP352" s="9"/>
      <c r="AQ352" s="22">
        <v>7.7819799999999995E-2</v>
      </c>
      <c r="AR352" s="22">
        <v>69.992800000000003</v>
      </c>
      <c r="AS352" s="22">
        <v>-1.51276E-2</v>
      </c>
      <c r="AT352" s="22">
        <v>342</v>
      </c>
      <c r="AU352" s="22">
        <v>7.7240000000000003E-2</v>
      </c>
      <c r="AV352">
        <f t="shared" si="68"/>
        <v>15.127599999999999</v>
      </c>
      <c r="AW352">
        <f t="shared" si="69"/>
        <v>1.1772268064799998</v>
      </c>
      <c r="AX352" s="9"/>
      <c r="AY352" s="22">
        <v>1.62216</v>
      </c>
      <c r="AZ352" s="22">
        <v>75.269400000000005</v>
      </c>
      <c r="BA352" s="22">
        <v>-2.89215E-3</v>
      </c>
      <c r="BB352" s="22">
        <v>342</v>
      </c>
      <c r="BC352" s="22">
        <v>1.6216999999999999</v>
      </c>
      <c r="BD352">
        <f t="shared" si="70"/>
        <v>2.89215</v>
      </c>
      <c r="BE352">
        <f t="shared" si="71"/>
        <v>4.6915300440000003</v>
      </c>
    </row>
    <row r="353" spans="6:57">
      <c r="F353" s="9"/>
      <c r="G353" s="22">
        <v>7.2784399999999999E-2</v>
      </c>
      <c r="H353" s="22">
        <v>10.1717</v>
      </c>
      <c r="I353" s="22">
        <v>-1.5225199999999999E-2</v>
      </c>
      <c r="J353" s="22">
        <v>343</v>
      </c>
      <c r="K353" s="22">
        <v>7.2204599999999994E-2</v>
      </c>
      <c r="L353">
        <f t="shared" si="60"/>
        <v>15.225199999999999</v>
      </c>
      <c r="M353">
        <f t="shared" si="61"/>
        <v>1.1081570468799999</v>
      </c>
      <c r="N353" s="9"/>
      <c r="O353" s="22">
        <v>1.6272</v>
      </c>
      <c r="P353" s="22">
        <v>49.646900000000002</v>
      </c>
      <c r="Q353" s="22">
        <v>-2.9580700000000001E-3</v>
      </c>
      <c r="R353" s="22">
        <v>343</v>
      </c>
      <c r="S353" s="22">
        <v>1.62659</v>
      </c>
      <c r="T353">
        <f t="shared" si="62"/>
        <v>2.9580700000000002</v>
      </c>
      <c r="U353">
        <f t="shared" si="63"/>
        <v>4.813371504</v>
      </c>
      <c r="X353" s="9"/>
      <c r="Y353" s="22">
        <v>7.2784399999999999E-2</v>
      </c>
      <c r="Z353" s="22">
        <v>57.458599999999997</v>
      </c>
      <c r="AA353" s="22">
        <v>-1.52832E-2</v>
      </c>
      <c r="AB353" s="22">
        <v>343</v>
      </c>
      <c r="AC353" s="22">
        <v>7.2174100000000005E-2</v>
      </c>
      <c r="AD353">
        <f t="shared" si="64"/>
        <v>15.283200000000001</v>
      </c>
      <c r="AE353">
        <f t="shared" si="65"/>
        <v>1.1123785420800001</v>
      </c>
      <c r="AF353" s="9"/>
      <c r="AG353" s="22">
        <v>1.6272</v>
      </c>
      <c r="AH353" s="22">
        <v>63.0032</v>
      </c>
      <c r="AI353" s="22">
        <v>-2.8448499999999999E-3</v>
      </c>
      <c r="AJ353" s="22">
        <v>343</v>
      </c>
      <c r="AK353" s="22">
        <v>1.62659</v>
      </c>
      <c r="AL353">
        <f t="shared" si="66"/>
        <v>2.8448500000000001</v>
      </c>
      <c r="AM353">
        <f t="shared" si="67"/>
        <v>4.6291399200000001</v>
      </c>
      <c r="AP353" s="9"/>
      <c r="AQ353" s="22">
        <v>7.2784399999999999E-2</v>
      </c>
      <c r="AR353" s="22">
        <v>70.002799999999993</v>
      </c>
      <c r="AS353" s="22">
        <v>-1.51459E-2</v>
      </c>
      <c r="AT353" s="22">
        <v>343</v>
      </c>
      <c r="AU353" s="22">
        <v>7.2204599999999994E-2</v>
      </c>
      <c r="AV353">
        <f t="shared" si="68"/>
        <v>15.145900000000001</v>
      </c>
      <c r="AW353">
        <f t="shared" si="69"/>
        <v>1.1023852439600001</v>
      </c>
      <c r="AX353" s="9"/>
      <c r="AY353" s="22">
        <v>1.6272</v>
      </c>
      <c r="AZ353" s="22">
        <v>75.279499999999999</v>
      </c>
      <c r="BA353" s="22">
        <v>-2.8045700000000002E-3</v>
      </c>
      <c r="BB353" s="22">
        <v>343</v>
      </c>
      <c r="BC353" s="22">
        <v>1.62659</v>
      </c>
      <c r="BD353">
        <f t="shared" si="70"/>
        <v>2.80457</v>
      </c>
      <c r="BE353">
        <f t="shared" si="71"/>
        <v>4.5635963039999998</v>
      </c>
    </row>
    <row r="354" spans="6:57">
      <c r="F354" s="9"/>
      <c r="G354" s="22">
        <v>6.7749000000000004E-2</v>
      </c>
      <c r="H354" s="22">
        <v>10.181800000000001</v>
      </c>
      <c r="I354" s="22">
        <v>-1.52435E-2</v>
      </c>
      <c r="J354" s="22">
        <v>344</v>
      </c>
      <c r="K354" s="22">
        <v>6.7169199999999998E-2</v>
      </c>
      <c r="L354">
        <f t="shared" si="60"/>
        <v>15.243500000000001</v>
      </c>
      <c r="M354">
        <f t="shared" si="61"/>
        <v>1.0327318815000002</v>
      </c>
      <c r="N354" s="9"/>
      <c r="O354" s="22">
        <v>1.6322300000000001</v>
      </c>
      <c r="P354" s="22">
        <v>49.656999999999996</v>
      </c>
      <c r="Q354" s="22">
        <v>-2.86469E-3</v>
      </c>
      <c r="R354" s="22">
        <v>344</v>
      </c>
      <c r="S354" s="22">
        <v>1.63147</v>
      </c>
      <c r="T354">
        <f t="shared" si="62"/>
        <v>2.86469</v>
      </c>
      <c r="U354">
        <f t="shared" si="63"/>
        <v>4.6758329587</v>
      </c>
      <c r="X354" s="9"/>
      <c r="Y354" s="22">
        <v>6.7749000000000004E-2</v>
      </c>
      <c r="Z354" s="22">
        <v>57.468699999999998</v>
      </c>
      <c r="AA354" s="22">
        <v>-1.53046E-2</v>
      </c>
      <c r="AB354" s="22">
        <v>344</v>
      </c>
      <c r="AC354" s="22">
        <v>6.7230200000000004E-2</v>
      </c>
      <c r="AD354">
        <f t="shared" si="64"/>
        <v>15.304600000000001</v>
      </c>
      <c r="AE354">
        <f t="shared" si="65"/>
        <v>1.0368713454</v>
      </c>
      <c r="AF354" s="9"/>
      <c r="AG354" s="22">
        <v>1.6322300000000001</v>
      </c>
      <c r="AH354" s="22">
        <v>63.013300000000001</v>
      </c>
      <c r="AI354" s="22">
        <v>-2.7554300000000001E-3</v>
      </c>
      <c r="AJ354" s="22">
        <v>344</v>
      </c>
      <c r="AK354" s="22">
        <v>1.6317699999999999</v>
      </c>
      <c r="AL354">
        <f t="shared" si="66"/>
        <v>2.75543</v>
      </c>
      <c r="AM354">
        <f t="shared" si="67"/>
        <v>4.4974955089000002</v>
      </c>
      <c r="AP354" s="9"/>
      <c r="AQ354" s="22">
        <v>6.7749000000000004E-2</v>
      </c>
      <c r="AR354" s="22">
        <v>70.012900000000002</v>
      </c>
      <c r="AS354" s="22">
        <v>-1.5173300000000001E-2</v>
      </c>
      <c r="AT354" s="22">
        <v>344</v>
      </c>
      <c r="AU354" s="22">
        <v>6.7169199999999998E-2</v>
      </c>
      <c r="AV354">
        <f t="shared" si="68"/>
        <v>15.173300000000001</v>
      </c>
      <c r="AW354">
        <f t="shared" si="69"/>
        <v>1.0279759017000001</v>
      </c>
      <c r="AX354" s="9"/>
      <c r="AY354" s="22">
        <v>1.6322300000000001</v>
      </c>
      <c r="AZ354" s="22">
        <v>75.289500000000004</v>
      </c>
      <c r="BA354" s="22">
        <v>-2.71667E-3</v>
      </c>
      <c r="BB354" s="22">
        <v>344</v>
      </c>
      <c r="BC354" s="22">
        <v>1.63147</v>
      </c>
      <c r="BD354">
        <f t="shared" si="70"/>
        <v>2.7166700000000001</v>
      </c>
      <c r="BE354">
        <f t="shared" si="71"/>
        <v>4.4342302741000008</v>
      </c>
    </row>
    <row r="355" spans="6:57">
      <c r="F355" s="9"/>
      <c r="G355" s="22">
        <v>6.2713599999999994E-2</v>
      </c>
      <c r="H355" s="22">
        <v>10.191800000000001</v>
      </c>
      <c r="I355" s="22">
        <v>-1.52649E-2</v>
      </c>
      <c r="J355" s="22">
        <v>345</v>
      </c>
      <c r="K355" s="22">
        <v>6.2133800000000003E-2</v>
      </c>
      <c r="L355">
        <f t="shared" si="60"/>
        <v>15.264899999999999</v>
      </c>
      <c r="M355">
        <f t="shared" si="61"/>
        <v>0.95731683263999989</v>
      </c>
      <c r="N355" s="9"/>
      <c r="O355" s="22">
        <v>1.63727</v>
      </c>
      <c r="P355" s="22">
        <v>49.667099999999998</v>
      </c>
      <c r="Q355" s="22">
        <v>-2.771E-3</v>
      </c>
      <c r="R355" s="22">
        <v>345</v>
      </c>
      <c r="S355" s="22">
        <v>1.63666</v>
      </c>
      <c r="T355">
        <f t="shared" si="62"/>
        <v>2.7709999999999999</v>
      </c>
      <c r="U355">
        <f t="shared" si="63"/>
        <v>4.5368751700000001</v>
      </c>
      <c r="X355" s="9"/>
      <c r="Y355" s="22">
        <v>6.2713599999999994E-2</v>
      </c>
      <c r="Z355" s="22">
        <v>57.478700000000003</v>
      </c>
      <c r="AA355" s="22">
        <v>-1.5335100000000001E-2</v>
      </c>
      <c r="AB355" s="22">
        <v>345</v>
      </c>
      <c r="AC355" s="22">
        <v>6.2133800000000003E-2</v>
      </c>
      <c r="AD355">
        <f t="shared" si="64"/>
        <v>15.335100000000001</v>
      </c>
      <c r="AE355">
        <f t="shared" si="65"/>
        <v>0.96171932735999999</v>
      </c>
      <c r="AF355" s="9"/>
      <c r="AG355" s="22">
        <v>1.63727</v>
      </c>
      <c r="AH355" s="22">
        <v>63.023400000000002</v>
      </c>
      <c r="AI355" s="22">
        <v>-2.6647900000000002E-3</v>
      </c>
      <c r="AJ355" s="22">
        <v>345</v>
      </c>
      <c r="AK355" s="22">
        <v>1.63666</v>
      </c>
      <c r="AL355">
        <f t="shared" si="66"/>
        <v>2.66479</v>
      </c>
      <c r="AM355">
        <f t="shared" si="67"/>
        <v>4.3629807232999998</v>
      </c>
      <c r="AP355" s="9"/>
      <c r="AQ355" s="22">
        <v>6.2713599999999994E-2</v>
      </c>
      <c r="AR355" s="22">
        <v>70.022999999999996</v>
      </c>
      <c r="AS355" s="22">
        <v>-1.5197799999999999E-2</v>
      </c>
      <c r="AT355" s="22">
        <v>345</v>
      </c>
      <c r="AU355" s="22">
        <v>6.2133800000000003E-2</v>
      </c>
      <c r="AV355">
        <f t="shared" si="68"/>
        <v>15.197799999999999</v>
      </c>
      <c r="AW355">
        <f t="shared" si="69"/>
        <v>0.95310875007999984</v>
      </c>
      <c r="AX355" s="9"/>
      <c r="AY355" s="22">
        <v>1.63727</v>
      </c>
      <c r="AZ355" s="22">
        <v>75.299599999999998</v>
      </c>
      <c r="BA355" s="22">
        <v>-2.6257300000000002E-3</v>
      </c>
      <c r="BB355" s="22">
        <v>345</v>
      </c>
      <c r="BC355" s="22">
        <v>1.63605</v>
      </c>
      <c r="BD355">
        <f t="shared" si="70"/>
        <v>2.6257300000000003</v>
      </c>
      <c r="BE355">
        <f t="shared" si="71"/>
        <v>4.2990289571000009</v>
      </c>
    </row>
    <row r="356" spans="6:57">
      <c r="F356" s="9"/>
      <c r="G356" s="22">
        <v>5.7678199999999999E-2</v>
      </c>
      <c r="H356" s="22">
        <v>10.2019</v>
      </c>
      <c r="I356" s="22">
        <v>-1.52771E-2</v>
      </c>
      <c r="J356" s="22">
        <v>346</v>
      </c>
      <c r="K356" s="22">
        <v>5.7067899999999998E-2</v>
      </c>
      <c r="L356">
        <f t="shared" si="60"/>
        <v>15.277100000000001</v>
      </c>
      <c r="M356">
        <f t="shared" si="61"/>
        <v>0.88115562922000001</v>
      </c>
      <c r="N356" s="9"/>
      <c r="O356" s="22">
        <v>1.6423000000000001</v>
      </c>
      <c r="P356" s="22">
        <v>49.677199999999999</v>
      </c>
      <c r="Q356" s="22">
        <v>-2.6763899999999998E-3</v>
      </c>
      <c r="R356" s="22">
        <v>346</v>
      </c>
      <c r="S356" s="22">
        <v>1.64124</v>
      </c>
      <c r="T356">
        <f t="shared" si="62"/>
        <v>2.67639</v>
      </c>
      <c r="U356">
        <f t="shared" si="63"/>
        <v>4.3954352970000006</v>
      </c>
      <c r="X356" s="9"/>
      <c r="Y356" s="22">
        <v>5.7678199999999999E-2</v>
      </c>
      <c r="Z356" s="22">
        <v>57.488799999999998</v>
      </c>
      <c r="AA356" s="22">
        <v>-1.53656E-2</v>
      </c>
      <c r="AB356" s="22">
        <v>346</v>
      </c>
      <c r="AC356" s="22">
        <v>5.7037400000000002E-2</v>
      </c>
      <c r="AD356">
        <f t="shared" si="64"/>
        <v>15.365600000000001</v>
      </c>
      <c r="AE356">
        <f t="shared" si="65"/>
        <v>0.88626014992000002</v>
      </c>
      <c r="AF356" s="9"/>
      <c r="AG356" s="22">
        <v>1.6423000000000001</v>
      </c>
      <c r="AH356" s="22">
        <v>63.0334</v>
      </c>
      <c r="AI356" s="22">
        <v>-2.5732400000000001E-3</v>
      </c>
      <c r="AJ356" s="22">
        <v>346</v>
      </c>
      <c r="AK356" s="22">
        <v>1.64154</v>
      </c>
      <c r="AL356">
        <f t="shared" si="66"/>
        <v>2.5732400000000002</v>
      </c>
      <c r="AM356">
        <f t="shared" si="67"/>
        <v>4.2260320520000008</v>
      </c>
      <c r="AP356" s="9"/>
      <c r="AQ356" s="22">
        <v>5.7678199999999999E-2</v>
      </c>
      <c r="AR356" s="22">
        <v>70.033100000000005</v>
      </c>
      <c r="AS356" s="22">
        <v>-1.5225199999999999E-2</v>
      </c>
      <c r="AT356" s="22">
        <v>346</v>
      </c>
      <c r="AU356" s="22">
        <v>5.7098400000000001E-2</v>
      </c>
      <c r="AV356">
        <f t="shared" si="68"/>
        <v>15.225199999999999</v>
      </c>
      <c r="AW356">
        <f t="shared" si="69"/>
        <v>0.87816213063999993</v>
      </c>
      <c r="AX356" s="9"/>
      <c r="AY356" s="22">
        <v>1.6423000000000001</v>
      </c>
      <c r="AZ356" s="22">
        <v>75.309700000000007</v>
      </c>
      <c r="BA356" s="22">
        <v>-2.53571E-3</v>
      </c>
      <c r="BB356" s="22">
        <v>346</v>
      </c>
      <c r="BC356" s="22">
        <v>1.64185</v>
      </c>
      <c r="BD356">
        <f t="shared" si="70"/>
        <v>2.5357099999999999</v>
      </c>
      <c r="BE356">
        <f t="shared" si="71"/>
        <v>4.1643965329999997</v>
      </c>
    </row>
    <row r="357" spans="6:57">
      <c r="F357" s="9"/>
      <c r="G357" s="22">
        <v>5.2642799999999997E-2</v>
      </c>
      <c r="H357" s="22">
        <v>10.212</v>
      </c>
      <c r="I357" s="22">
        <v>-1.52985E-2</v>
      </c>
      <c r="J357" s="22">
        <v>347</v>
      </c>
      <c r="K357" s="22">
        <v>5.2062999999999998E-2</v>
      </c>
      <c r="L357">
        <f t="shared" si="60"/>
        <v>15.298499999999999</v>
      </c>
      <c r="M357">
        <f t="shared" si="61"/>
        <v>0.8053558757999999</v>
      </c>
      <c r="N357" s="9"/>
      <c r="O357" s="22">
        <v>1.64734</v>
      </c>
      <c r="P357" s="22">
        <v>49.687199999999997</v>
      </c>
      <c r="Q357" s="22">
        <v>-2.5805699999999999E-3</v>
      </c>
      <c r="R357" s="22">
        <v>347</v>
      </c>
      <c r="S357" s="22">
        <v>1.64642</v>
      </c>
      <c r="T357">
        <f t="shared" si="62"/>
        <v>2.5805699999999998</v>
      </c>
      <c r="U357">
        <f t="shared" si="63"/>
        <v>4.2510761837999995</v>
      </c>
      <c r="X357" s="9"/>
      <c r="Y357" s="22">
        <v>5.2642799999999997E-2</v>
      </c>
      <c r="Z357" s="22">
        <v>57.498899999999999</v>
      </c>
      <c r="AA357" s="22">
        <v>-1.53931E-2</v>
      </c>
      <c r="AB357" s="22">
        <v>347</v>
      </c>
      <c r="AC357" s="22">
        <v>5.2093500000000001E-2</v>
      </c>
      <c r="AD357">
        <f t="shared" si="64"/>
        <v>15.3931</v>
      </c>
      <c r="AE357">
        <f t="shared" si="65"/>
        <v>0.81033588467999995</v>
      </c>
      <c r="AF357" s="9"/>
      <c r="AG357" s="22">
        <v>1.64734</v>
      </c>
      <c r="AH357" s="22">
        <v>63.043500000000002</v>
      </c>
      <c r="AI357" s="22">
        <v>-2.4807700000000002E-3</v>
      </c>
      <c r="AJ357" s="22">
        <v>347</v>
      </c>
      <c r="AK357" s="22">
        <v>1.64612</v>
      </c>
      <c r="AL357">
        <f t="shared" si="66"/>
        <v>2.4807700000000001</v>
      </c>
      <c r="AM357">
        <f t="shared" si="67"/>
        <v>4.0866716518000006</v>
      </c>
      <c r="AP357" s="9"/>
      <c r="AQ357" s="22">
        <v>5.2642799999999997E-2</v>
      </c>
      <c r="AR357" s="22">
        <v>70.043099999999995</v>
      </c>
      <c r="AS357" s="22">
        <v>-1.5252699999999999E-2</v>
      </c>
      <c r="AT357" s="22">
        <v>347</v>
      </c>
      <c r="AU357" s="22">
        <v>5.2093500000000001E-2</v>
      </c>
      <c r="AV357">
        <f t="shared" si="68"/>
        <v>15.252699999999999</v>
      </c>
      <c r="AW357">
        <f t="shared" si="69"/>
        <v>0.80294483555999985</v>
      </c>
      <c r="AX357" s="9"/>
      <c r="AY357" s="22">
        <v>1.64734</v>
      </c>
      <c r="AZ357" s="22">
        <v>75.319699999999997</v>
      </c>
      <c r="BA357" s="22">
        <v>-2.4447599999999998E-3</v>
      </c>
      <c r="BB357" s="22">
        <v>347</v>
      </c>
      <c r="BC357" s="22">
        <v>1.64673</v>
      </c>
      <c r="BD357">
        <f t="shared" si="70"/>
        <v>2.4447599999999996</v>
      </c>
      <c r="BE357">
        <f t="shared" si="71"/>
        <v>4.0273509383999997</v>
      </c>
    </row>
    <row r="358" spans="6:57">
      <c r="F358" s="9"/>
      <c r="G358" s="22">
        <v>4.7607400000000001E-2</v>
      </c>
      <c r="H358" s="22">
        <v>10.222099999999999</v>
      </c>
      <c r="I358" s="22">
        <v>-1.53168E-2</v>
      </c>
      <c r="J358" s="22">
        <v>348</v>
      </c>
      <c r="K358" s="22">
        <v>4.7454799999999998E-2</v>
      </c>
      <c r="L358">
        <f t="shared" si="60"/>
        <v>15.316800000000001</v>
      </c>
      <c r="M358">
        <f t="shared" si="61"/>
        <v>0.72919302431999999</v>
      </c>
      <c r="N358" s="9"/>
      <c r="O358" s="22">
        <v>1.6523699999999999</v>
      </c>
      <c r="P358" s="22">
        <v>49.697299999999998</v>
      </c>
      <c r="Q358" s="22">
        <v>-2.4841300000000002E-3</v>
      </c>
      <c r="R358" s="22">
        <v>348</v>
      </c>
      <c r="S358" s="22">
        <v>1.6519200000000001</v>
      </c>
      <c r="T358">
        <f t="shared" si="62"/>
        <v>2.4841300000000004</v>
      </c>
      <c r="U358">
        <f t="shared" si="63"/>
        <v>4.1047018881000001</v>
      </c>
      <c r="X358" s="9"/>
      <c r="Y358" s="22">
        <v>4.7607400000000001E-2</v>
      </c>
      <c r="Z358" s="22">
        <v>57.508899999999997</v>
      </c>
      <c r="AA358" s="22">
        <v>-1.54083E-2</v>
      </c>
      <c r="AB358" s="22">
        <v>348</v>
      </c>
      <c r="AC358" s="22">
        <v>4.7467000000000002E-2</v>
      </c>
      <c r="AD358">
        <f t="shared" si="64"/>
        <v>15.408300000000001</v>
      </c>
      <c r="AE358">
        <f t="shared" si="65"/>
        <v>0.73354910142000007</v>
      </c>
      <c r="AF358" s="9"/>
      <c r="AG358" s="22">
        <v>1.6523699999999999</v>
      </c>
      <c r="AH358" s="22">
        <v>63.053600000000003</v>
      </c>
      <c r="AI358" s="22">
        <v>-2.3858600000000001E-3</v>
      </c>
      <c r="AJ358" s="22">
        <v>348</v>
      </c>
      <c r="AK358" s="22">
        <v>1.6513100000000001</v>
      </c>
      <c r="AL358">
        <f t="shared" si="66"/>
        <v>2.3858600000000001</v>
      </c>
      <c r="AM358">
        <f t="shared" si="67"/>
        <v>3.9423234882</v>
      </c>
      <c r="AP358" s="9"/>
      <c r="AQ358" s="22">
        <v>4.7607400000000001E-2</v>
      </c>
      <c r="AR358" s="22">
        <v>70.053200000000004</v>
      </c>
      <c r="AS358" s="22">
        <v>-1.5280200000000001E-2</v>
      </c>
      <c r="AT358" s="22">
        <v>348</v>
      </c>
      <c r="AU358" s="22">
        <v>4.7485399999999997E-2</v>
      </c>
      <c r="AV358">
        <f t="shared" si="68"/>
        <v>15.280200000000001</v>
      </c>
      <c r="AW358">
        <f t="shared" si="69"/>
        <v>0.72745059348000007</v>
      </c>
      <c r="AX358" s="9"/>
      <c r="AY358" s="22">
        <v>1.6523699999999999</v>
      </c>
      <c r="AZ358" s="22">
        <v>75.329800000000006</v>
      </c>
      <c r="BA358" s="22">
        <v>-2.3522899999999999E-3</v>
      </c>
      <c r="BB358" s="22">
        <v>348</v>
      </c>
      <c r="BC358" s="22">
        <v>1.6513100000000001</v>
      </c>
      <c r="BD358">
        <f t="shared" si="70"/>
        <v>2.35229</v>
      </c>
      <c r="BE358">
        <f t="shared" si="71"/>
        <v>3.8868534272999997</v>
      </c>
    </row>
    <row r="359" spans="6:57">
      <c r="F359" s="9"/>
      <c r="G359" s="22">
        <v>4.2571999999999999E-2</v>
      </c>
      <c r="H359" s="22">
        <v>10.232100000000001</v>
      </c>
      <c r="I359" s="22">
        <v>-1.5341199999999999E-2</v>
      </c>
      <c r="J359" s="22">
        <v>349</v>
      </c>
      <c r="K359" s="22">
        <v>4.2486599999999999E-2</v>
      </c>
      <c r="L359">
        <f t="shared" si="60"/>
        <v>15.341199999999999</v>
      </c>
      <c r="M359">
        <f t="shared" si="61"/>
        <v>0.65310556639999995</v>
      </c>
      <c r="N359" s="9"/>
      <c r="O359" s="22">
        <v>1.65741</v>
      </c>
      <c r="P359" s="22">
        <v>49.7074</v>
      </c>
      <c r="Q359" s="22">
        <v>-2.3864699999999999E-3</v>
      </c>
      <c r="R359" s="22">
        <v>349</v>
      </c>
      <c r="S359" s="22">
        <v>1.6561900000000001</v>
      </c>
      <c r="T359">
        <f t="shared" si="62"/>
        <v>2.3864700000000001</v>
      </c>
      <c r="U359">
        <f t="shared" si="63"/>
        <v>3.9553592427000002</v>
      </c>
      <c r="X359" s="9"/>
      <c r="Y359" s="22">
        <v>4.2571999999999999E-2</v>
      </c>
      <c r="Z359" s="22">
        <v>57.518999999999998</v>
      </c>
      <c r="AA359" s="22">
        <v>-1.5423600000000001E-2</v>
      </c>
      <c r="AB359" s="22">
        <v>349</v>
      </c>
      <c r="AC359" s="22">
        <v>4.2486599999999999E-2</v>
      </c>
      <c r="AD359">
        <f t="shared" si="64"/>
        <v>15.4236</v>
      </c>
      <c r="AE359">
        <f t="shared" si="65"/>
        <v>0.65661349920000001</v>
      </c>
      <c r="AF359" s="9"/>
      <c r="AG359" s="22">
        <v>1.65741</v>
      </c>
      <c r="AH359" s="22">
        <v>63.063600000000001</v>
      </c>
      <c r="AI359" s="22">
        <v>-2.29065E-3</v>
      </c>
      <c r="AJ359" s="22">
        <v>349</v>
      </c>
      <c r="AK359" s="22">
        <v>1.65649</v>
      </c>
      <c r="AL359">
        <f t="shared" si="66"/>
        <v>2.2906499999999999</v>
      </c>
      <c r="AM359">
        <f t="shared" si="67"/>
        <v>3.7965462164999999</v>
      </c>
      <c r="AP359" s="9"/>
      <c r="AQ359" s="22">
        <v>4.2571999999999999E-2</v>
      </c>
      <c r="AR359" s="22">
        <v>70.063299999999998</v>
      </c>
      <c r="AS359" s="22">
        <v>-1.53046E-2</v>
      </c>
      <c r="AT359" s="22">
        <v>349</v>
      </c>
      <c r="AU359" s="22">
        <v>4.2523199999999997E-2</v>
      </c>
      <c r="AV359">
        <f t="shared" si="68"/>
        <v>15.304600000000001</v>
      </c>
      <c r="AW359">
        <f t="shared" si="69"/>
        <v>0.65154743120000003</v>
      </c>
      <c r="AX359" s="9"/>
      <c r="AY359" s="22">
        <v>1.65741</v>
      </c>
      <c r="AZ359" s="22">
        <v>75.3399</v>
      </c>
      <c r="BA359" s="22">
        <v>-2.2589099999999998E-3</v>
      </c>
      <c r="BB359" s="22">
        <v>349</v>
      </c>
      <c r="BC359" s="22">
        <v>1.65649</v>
      </c>
      <c r="BD359">
        <f t="shared" si="70"/>
        <v>2.2589099999999998</v>
      </c>
      <c r="BE359">
        <f t="shared" si="71"/>
        <v>3.7439400230999995</v>
      </c>
    </row>
    <row r="360" spans="6:57">
      <c r="F360" s="9"/>
      <c r="G360" s="22">
        <v>3.7536600000000003E-2</v>
      </c>
      <c r="H360" s="22">
        <v>10.2422</v>
      </c>
      <c r="I360" s="22">
        <v>-1.53595E-2</v>
      </c>
      <c r="J360" s="22">
        <v>350</v>
      </c>
      <c r="K360" s="22">
        <v>3.7408400000000001E-2</v>
      </c>
      <c r="L360">
        <f t="shared" si="60"/>
        <v>15.359500000000001</v>
      </c>
      <c r="M360">
        <f t="shared" si="61"/>
        <v>0.57654340770000012</v>
      </c>
      <c r="N360" s="9"/>
      <c r="O360" s="22">
        <v>1.66245</v>
      </c>
      <c r="P360" s="22">
        <v>49.717399999999998</v>
      </c>
      <c r="Q360" s="22">
        <v>-2.28729E-3</v>
      </c>
      <c r="R360" s="22">
        <v>350</v>
      </c>
      <c r="S360" s="22">
        <v>1.66168</v>
      </c>
      <c r="T360">
        <f t="shared" si="62"/>
        <v>2.28729</v>
      </c>
      <c r="U360">
        <f t="shared" si="63"/>
        <v>3.8025052604999998</v>
      </c>
      <c r="X360" s="9"/>
      <c r="Y360" s="22">
        <v>3.7536600000000003E-2</v>
      </c>
      <c r="Z360" s="22">
        <v>57.5291</v>
      </c>
      <c r="AA360" s="22">
        <v>-1.54358E-2</v>
      </c>
      <c r="AB360" s="22">
        <v>350</v>
      </c>
      <c r="AC360" s="22">
        <v>3.7414599999999999E-2</v>
      </c>
      <c r="AD360">
        <f t="shared" si="64"/>
        <v>15.4358</v>
      </c>
      <c r="AE360">
        <f t="shared" si="65"/>
        <v>0.57940745028000007</v>
      </c>
      <c r="AF360" s="9"/>
      <c r="AG360" s="22">
        <v>1.66245</v>
      </c>
      <c r="AH360" s="22">
        <v>63.073700000000002</v>
      </c>
      <c r="AI360" s="22">
        <v>-2.1957399999999998E-3</v>
      </c>
      <c r="AJ360" s="22">
        <v>350</v>
      </c>
      <c r="AK360" s="22">
        <v>1.6619900000000001</v>
      </c>
      <c r="AL360">
        <f t="shared" si="66"/>
        <v>2.1957399999999998</v>
      </c>
      <c r="AM360">
        <f t="shared" si="67"/>
        <v>3.6503079629999995</v>
      </c>
      <c r="AP360" s="9"/>
      <c r="AQ360" s="22">
        <v>3.7536600000000003E-2</v>
      </c>
      <c r="AR360" s="22">
        <v>70.073300000000003</v>
      </c>
      <c r="AS360" s="22">
        <v>-1.53198E-2</v>
      </c>
      <c r="AT360" s="22">
        <v>350</v>
      </c>
      <c r="AU360" s="22">
        <v>3.7393200000000001E-2</v>
      </c>
      <c r="AV360">
        <f t="shared" si="68"/>
        <v>15.319799999999999</v>
      </c>
      <c r="AW360">
        <f t="shared" si="69"/>
        <v>0.57505320467999999</v>
      </c>
      <c r="AX360" s="9"/>
      <c r="AY360" s="22">
        <v>1.66245</v>
      </c>
      <c r="AZ360" s="22">
        <v>75.349999999999994</v>
      </c>
      <c r="BA360" s="22">
        <v>-2.16461E-3</v>
      </c>
      <c r="BB360" s="22">
        <v>350</v>
      </c>
      <c r="BC360" s="22">
        <v>1.66168</v>
      </c>
      <c r="BD360">
        <f t="shared" si="70"/>
        <v>2.1646100000000001</v>
      </c>
      <c r="BE360">
        <f t="shared" si="71"/>
        <v>3.5985558945</v>
      </c>
    </row>
    <row r="361" spans="6:57">
      <c r="F361" s="9"/>
      <c r="G361" s="22">
        <v>3.2501200000000001E-2</v>
      </c>
      <c r="H361" s="22">
        <v>10.2523</v>
      </c>
      <c r="I361" s="22">
        <v>-1.5383900000000001E-2</v>
      </c>
      <c r="J361" s="22">
        <v>351</v>
      </c>
      <c r="K361" s="22">
        <v>3.2357799999999999E-2</v>
      </c>
      <c r="L361">
        <f t="shared" si="60"/>
        <v>15.383900000000001</v>
      </c>
      <c r="M361">
        <f t="shared" si="61"/>
        <v>0.49999521068000002</v>
      </c>
      <c r="N361" s="9"/>
      <c r="O361" s="22">
        <v>1.6674800000000001</v>
      </c>
      <c r="P361" s="22">
        <v>49.727499999999999</v>
      </c>
      <c r="Q361" s="22">
        <v>-2.1881100000000001E-3</v>
      </c>
      <c r="R361" s="22">
        <v>351</v>
      </c>
      <c r="S361" s="22">
        <v>1.66656</v>
      </c>
      <c r="T361">
        <f t="shared" si="62"/>
        <v>2.18811</v>
      </c>
      <c r="U361">
        <f t="shared" si="63"/>
        <v>3.6486296628000003</v>
      </c>
      <c r="X361" s="9"/>
      <c r="Y361" s="22">
        <v>3.2501200000000001E-2</v>
      </c>
      <c r="Z361" s="22">
        <v>57.539200000000001</v>
      </c>
      <c r="AA361" s="22">
        <v>-1.54541E-2</v>
      </c>
      <c r="AB361" s="22">
        <v>351</v>
      </c>
      <c r="AC361" s="22">
        <v>3.2327300000000003E-2</v>
      </c>
      <c r="AD361">
        <f t="shared" si="64"/>
        <v>15.4541</v>
      </c>
      <c r="AE361">
        <f t="shared" si="65"/>
        <v>0.50227679491999999</v>
      </c>
      <c r="AF361" s="9"/>
      <c r="AG361" s="22">
        <v>1.6674800000000001</v>
      </c>
      <c r="AH361" s="22">
        <v>63.083799999999997</v>
      </c>
      <c r="AI361" s="22">
        <v>-2.1008300000000001E-3</v>
      </c>
      <c r="AJ361" s="22">
        <v>351</v>
      </c>
      <c r="AK361" s="22">
        <v>1.6662600000000001</v>
      </c>
      <c r="AL361">
        <f t="shared" si="66"/>
        <v>2.1008300000000002</v>
      </c>
      <c r="AM361">
        <f t="shared" si="67"/>
        <v>3.5030920084000003</v>
      </c>
      <c r="AP361" s="9"/>
      <c r="AQ361" s="22">
        <v>3.2501200000000001E-2</v>
      </c>
      <c r="AR361" s="22">
        <v>70.083399999999997</v>
      </c>
      <c r="AS361" s="22">
        <v>-1.5332E-2</v>
      </c>
      <c r="AT361" s="22">
        <v>351</v>
      </c>
      <c r="AU361" s="22">
        <v>3.2342500000000003E-2</v>
      </c>
      <c r="AV361">
        <f t="shared" si="68"/>
        <v>15.332000000000001</v>
      </c>
      <c r="AW361">
        <f t="shared" si="69"/>
        <v>0.49830839840000002</v>
      </c>
      <c r="AX361" s="9"/>
      <c r="AY361" s="22">
        <v>1.6674800000000001</v>
      </c>
      <c r="AZ361" s="22">
        <v>75.36</v>
      </c>
      <c r="BA361" s="22">
        <v>-2.0696999999999998E-3</v>
      </c>
      <c r="BB361" s="22">
        <v>351</v>
      </c>
      <c r="BC361" s="22">
        <v>1.6668700000000001</v>
      </c>
      <c r="BD361">
        <f t="shared" si="70"/>
        <v>2.0696999999999997</v>
      </c>
      <c r="BE361">
        <f t="shared" si="71"/>
        <v>3.4511833559999996</v>
      </c>
    </row>
    <row r="362" spans="6:57">
      <c r="F362" s="9"/>
      <c r="G362" s="22">
        <v>2.7465799999999999E-2</v>
      </c>
      <c r="H362" s="22">
        <v>10.2623</v>
      </c>
      <c r="I362" s="22">
        <v>-1.54083E-2</v>
      </c>
      <c r="J362" s="22">
        <v>352</v>
      </c>
      <c r="K362" s="22">
        <v>2.7252200000000001E-2</v>
      </c>
      <c r="L362">
        <f t="shared" si="60"/>
        <v>15.408300000000001</v>
      </c>
      <c r="M362">
        <f t="shared" si="61"/>
        <v>0.42320128613999997</v>
      </c>
      <c r="N362" s="9"/>
      <c r="O362" s="22">
        <v>1.67252</v>
      </c>
      <c r="P362" s="22">
        <v>49.7376</v>
      </c>
      <c r="Q362" s="22">
        <v>-2.0864899999999999E-3</v>
      </c>
      <c r="R362" s="22">
        <v>352</v>
      </c>
      <c r="S362" s="22">
        <v>1.6714500000000001</v>
      </c>
      <c r="T362">
        <f t="shared" si="62"/>
        <v>2.08649</v>
      </c>
      <c r="U362">
        <f t="shared" si="63"/>
        <v>3.4896962548000001</v>
      </c>
      <c r="X362" s="9"/>
      <c r="Y362" s="22">
        <v>2.7465799999999999E-2</v>
      </c>
      <c r="Z362" s="22">
        <v>57.549199999999999</v>
      </c>
      <c r="AA362" s="22">
        <v>-1.5478499999999999E-2</v>
      </c>
      <c r="AB362" s="22">
        <v>352</v>
      </c>
      <c r="AC362" s="22">
        <v>2.7285799999999999E-2</v>
      </c>
      <c r="AD362">
        <f t="shared" si="64"/>
        <v>15.478499999999999</v>
      </c>
      <c r="AE362">
        <f t="shared" si="65"/>
        <v>0.42512938529999994</v>
      </c>
      <c r="AF362" s="9"/>
      <c r="AG362" s="22">
        <v>1.67252</v>
      </c>
      <c r="AH362" s="22">
        <v>63.093899999999998</v>
      </c>
      <c r="AI362" s="22">
        <v>-2.0046999999999999E-3</v>
      </c>
      <c r="AJ362" s="22">
        <v>352</v>
      </c>
      <c r="AK362" s="22">
        <v>1.6714500000000001</v>
      </c>
      <c r="AL362">
        <f t="shared" si="66"/>
        <v>2.0046999999999997</v>
      </c>
      <c r="AM362">
        <f t="shared" si="67"/>
        <v>3.3529008439999997</v>
      </c>
      <c r="AP362" s="9"/>
      <c r="AQ362" s="22">
        <v>2.7465799999999999E-2</v>
      </c>
      <c r="AR362" s="22">
        <v>70.093500000000006</v>
      </c>
      <c r="AS362" s="22">
        <v>-1.53534E-2</v>
      </c>
      <c r="AT362" s="22">
        <v>352</v>
      </c>
      <c r="AU362" s="22">
        <v>2.72827E-2</v>
      </c>
      <c r="AV362">
        <f t="shared" si="68"/>
        <v>15.353399999999999</v>
      </c>
      <c r="AW362">
        <f t="shared" si="69"/>
        <v>0.42169341371999997</v>
      </c>
      <c r="AX362" s="9"/>
      <c r="AY362" s="22">
        <v>1.67252</v>
      </c>
      <c r="AZ362" s="22">
        <v>75.370099999999994</v>
      </c>
      <c r="BA362" s="22">
        <v>-1.9747900000000001E-3</v>
      </c>
      <c r="BB362" s="22">
        <v>352</v>
      </c>
      <c r="BC362" s="22">
        <v>1.6714500000000001</v>
      </c>
      <c r="BD362">
        <f t="shared" si="70"/>
        <v>1.97479</v>
      </c>
      <c r="BE362">
        <f t="shared" si="71"/>
        <v>3.3028757708000001</v>
      </c>
    </row>
    <row r="363" spans="6:57">
      <c r="F363" s="9"/>
      <c r="G363" s="22">
        <v>2.24304E-2</v>
      </c>
      <c r="H363" s="22">
        <v>10.272399999999999</v>
      </c>
      <c r="I363" s="22">
        <v>-1.54358E-2</v>
      </c>
      <c r="J363" s="22">
        <v>353</v>
      </c>
      <c r="K363" s="22">
        <v>2.22504E-2</v>
      </c>
      <c r="L363">
        <f t="shared" si="60"/>
        <v>15.4358</v>
      </c>
      <c r="M363">
        <f t="shared" si="61"/>
        <v>0.34623116832</v>
      </c>
      <c r="N363" s="9"/>
      <c r="O363" s="22">
        <v>1.6775500000000001</v>
      </c>
      <c r="P363" s="22">
        <v>49.747700000000002</v>
      </c>
      <c r="Q363" s="22">
        <v>-1.9848600000000002E-3</v>
      </c>
      <c r="R363" s="22">
        <v>353</v>
      </c>
      <c r="S363" s="22">
        <v>1.6766399999999999</v>
      </c>
      <c r="T363">
        <f t="shared" si="62"/>
        <v>1.9848600000000003</v>
      </c>
      <c r="U363">
        <f t="shared" si="63"/>
        <v>3.3297018930000006</v>
      </c>
      <c r="X363" s="9"/>
      <c r="Y363" s="22">
        <v>2.24304E-2</v>
      </c>
      <c r="Z363" s="22">
        <v>57.5593</v>
      </c>
      <c r="AA363" s="22">
        <v>-1.54938E-2</v>
      </c>
      <c r="AB363" s="22">
        <v>353</v>
      </c>
      <c r="AC363" s="22">
        <v>2.2268699999999999E-2</v>
      </c>
      <c r="AD363">
        <f t="shared" si="64"/>
        <v>15.4938</v>
      </c>
      <c r="AE363">
        <f t="shared" si="65"/>
        <v>0.34753213152000001</v>
      </c>
      <c r="AF363" s="9"/>
      <c r="AG363" s="22">
        <v>1.6775500000000001</v>
      </c>
      <c r="AH363" s="22">
        <v>63.103900000000003</v>
      </c>
      <c r="AI363" s="22">
        <v>-1.90796E-3</v>
      </c>
      <c r="AJ363" s="22">
        <v>353</v>
      </c>
      <c r="AK363" s="22">
        <v>1.6766399999999999</v>
      </c>
      <c r="AL363">
        <f t="shared" si="66"/>
        <v>1.9079600000000001</v>
      </c>
      <c r="AM363">
        <f t="shared" si="67"/>
        <v>3.2006982980000003</v>
      </c>
      <c r="AP363" s="9"/>
      <c r="AQ363" s="22">
        <v>2.24304E-2</v>
      </c>
      <c r="AR363" s="22">
        <v>70.1036</v>
      </c>
      <c r="AS363" s="22">
        <v>-1.5387E-2</v>
      </c>
      <c r="AT363" s="22">
        <v>353</v>
      </c>
      <c r="AU363" s="22">
        <v>2.2235100000000001E-2</v>
      </c>
      <c r="AV363">
        <f t="shared" si="68"/>
        <v>15.387</v>
      </c>
      <c r="AW363">
        <f t="shared" si="69"/>
        <v>0.34513656479999999</v>
      </c>
      <c r="AX363" s="9"/>
      <c r="AY363" s="22">
        <v>1.6775500000000001</v>
      </c>
      <c r="AZ363" s="22">
        <v>75.380200000000002</v>
      </c>
      <c r="BA363" s="22">
        <v>-1.8792699999999999E-3</v>
      </c>
      <c r="BB363" s="22">
        <v>353</v>
      </c>
      <c r="BC363" s="22">
        <v>1.6769400000000001</v>
      </c>
      <c r="BD363">
        <f t="shared" si="70"/>
        <v>1.87927</v>
      </c>
      <c r="BE363">
        <f t="shared" si="71"/>
        <v>3.1525693885000003</v>
      </c>
    </row>
    <row r="364" spans="6:57">
      <c r="F364" s="9"/>
      <c r="G364" s="22">
        <v>1.7395000000000001E-2</v>
      </c>
      <c r="H364" s="22">
        <v>10.282500000000001</v>
      </c>
      <c r="I364" s="22">
        <v>-1.5450999999999999E-2</v>
      </c>
      <c r="J364" s="22">
        <v>354</v>
      </c>
      <c r="K364" s="22">
        <v>1.7211899999999999E-2</v>
      </c>
      <c r="L364">
        <f t="shared" si="60"/>
        <v>15.450999999999999</v>
      </c>
      <c r="M364">
        <f t="shared" si="61"/>
        <v>0.26877014500000002</v>
      </c>
      <c r="N364" s="9"/>
      <c r="O364" s="22">
        <v>1.68259</v>
      </c>
      <c r="P364" s="22">
        <v>49.7577</v>
      </c>
      <c r="Q364" s="22">
        <v>-1.8804900000000001E-3</v>
      </c>
      <c r="R364" s="22">
        <v>354</v>
      </c>
      <c r="S364" s="22">
        <v>1.6818200000000001</v>
      </c>
      <c r="T364">
        <f t="shared" si="62"/>
        <v>1.88049</v>
      </c>
      <c r="U364">
        <f t="shared" si="63"/>
        <v>3.1640936691000001</v>
      </c>
      <c r="X364" s="9"/>
      <c r="Y364" s="22">
        <v>1.7395000000000001E-2</v>
      </c>
      <c r="Z364" s="22">
        <v>57.569400000000002</v>
      </c>
      <c r="AA364" s="22">
        <v>-1.5521200000000001E-2</v>
      </c>
      <c r="AB364" s="22">
        <v>354</v>
      </c>
      <c r="AC364" s="22">
        <v>1.7199699999999998E-2</v>
      </c>
      <c r="AD364">
        <f t="shared" si="64"/>
        <v>15.5212</v>
      </c>
      <c r="AE364">
        <f t="shared" si="65"/>
        <v>0.269991274</v>
      </c>
      <c r="AF364" s="9"/>
      <c r="AG364" s="22">
        <v>1.68259</v>
      </c>
      <c r="AH364" s="22">
        <v>63.113999999999997</v>
      </c>
      <c r="AI364" s="22">
        <v>-1.80847E-3</v>
      </c>
      <c r="AJ364" s="22">
        <v>354</v>
      </c>
      <c r="AK364" s="22">
        <v>1.6818200000000001</v>
      </c>
      <c r="AL364">
        <f t="shared" si="66"/>
        <v>1.80847</v>
      </c>
      <c r="AM364">
        <f t="shared" si="67"/>
        <v>3.0429135373</v>
      </c>
      <c r="AP364" s="9"/>
      <c r="AQ364" s="22">
        <v>1.7395000000000001E-2</v>
      </c>
      <c r="AR364" s="22">
        <v>70.113600000000005</v>
      </c>
      <c r="AS364" s="22">
        <v>-1.5417500000000001E-2</v>
      </c>
      <c r="AT364" s="22">
        <v>354</v>
      </c>
      <c r="AU364" s="22">
        <v>1.7218000000000001E-2</v>
      </c>
      <c r="AV364">
        <f t="shared" si="68"/>
        <v>15.4175</v>
      </c>
      <c r="AW364">
        <f t="shared" si="69"/>
        <v>0.2681874125</v>
      </c>
      <c r="AX364" s="9"/>
      <c r="AY364" s="22">
        <v>1.68259</v>
      </c>
      <c r="AZ364" s="22">
        <v>75.390199999999993</v>
      </c>
      <c r="BA364" s="22">
        <v>-1.7813099999999999E-3</v>
      </c>
      <c r="BB364" s="22">
        <v>354</v>
      </c>
      <c r="BC364" s="22">
        <v>1.6818200000000001</v>
      </c>
      <c r="BD364">
        <f t="shared" si="70"/>
        <v>1.7813099999999999</v>
      </c>
      <c r="BE364">
        <f t="shared" si="71"/>
        <v>2.9972143929000001</v>
      </c>
    </row>
    <row r="365" spans="6:57">
      <c r="F365" s="9"/>
      <c r="G365" s="22">
        <v>1.23596E-2</v>
      </c>
      <c r="H365" s="22">
        <v>10.2926</v>
      </c>
      <c r="I365" s="22">
        <v>-1.5472400000000001E-2</v>
      </c>
      <c r="J365" s="22">
        <v>355</v>
      </c>
      <c r="K365" s="22">
        <v>1.2197899999999999E-2</v>
      </c>
      <c r="L365">
        <f t="shared" si="60"/>
        <v>15.4724</v>
      </c>
      <c r="M365">
        <f t="shared" si="61"/>
        <v>0.19123267503999999</v>
      </c>
      <c r="N365" s="9"/>
      <c r="O365" s="22">
        <v>1.6876199999999999</v>
      </c>
      <c r="P365" s="22">
        <v>49.767800000000001</v>
      </c>
      <c r="Q365" s="22">
        <v>-1.7791700000000001E-3</v>
      </c>
      <c r="R365" s="22">
        <v>355</v>
      </c>
      <c r="S365" s="22">
        <v>1.6870099999999999</v>
      </c>
      <c r="T365">
        <f t="shared" si="62"/>
        <v>1.7791700000000001</v>
      </c>
      <c r="U365">
        <f t="shared" si="63"/>
        <v>3.0025628754000002</v>
      </c>
      <c r="X365" s="9"/>
      <c r="Y365" s="22">
        <v>1.23596E-2</v>
      </c>
      <c r="Z365" s="22">
        <v>57.5794</v>
      </c>
      <c r="AA365" s="22">
        <v>-1.55426E-2</v>
      </c>
      <c r="AB365" s="22">
        <v>355</v>
      </c>
      <c r="AC365" s="22">
        <v>1.2204E-2</v>
      </c>
      <c r="AD365">
        <f t="shared" si="64"/>
        <v>15.5426</v>
      </c>
      <c r="AE365">
        <f t="shared" si="65"/>
        <v>0.19210031896000002</v>
      </c>
      <c r="AF365" s="9"/>
      <c r="AG365" s="22">
        <v>1.6876199999999999</v>
      </c>
      <c r="AH365" s="22">
        <v>63.124099999999999</v>
      </c>
      <c r="AI365" s="22">
        <v>-1.70959E-3</v>
      </c>
      <c r="AJ365" s="22">
        <v>355</v>
      </c>
      <c r="AK365" s="22">
        <v>1.6867099999999999</v>
      </c>
      <c r="AL365">
        <f t="shared" si="66"/>
        <v>1.7095899999999999</v>
      </c>
      <c r="AM365">
        <f t="shared" si="67"/>
        <v>2.8851382757999997</v>
      </c>
      <c r="AP365" s="9"/>
      <c r="AQ365" s="22">
        <v>1.23596E-2</v>
      </c>
      <c r="AR365" s="22">
        <v>70.123699999999999</v>
      </c>
      <c r="AS365" s="22">
        <v>-1.54419E-2</v>
      </c>
      <c r="AT365" s="22">
        <v>355</v>
      </c>
      <c r="AU365" s="22">
        <v>1.21826E-2</v>
      </c>
      <c r="AV365">
        <f t="shared" si="68"/>
        <v>15.4419</v>
      </c>
      <c r="AW365">
        <f t="shared" si="69"/>
        <v>0.19085570724000001</v>
      </c>
      <c r="AX365" s="9"/>
      <c r="AY365" s="22">
        <v>1.6876199999999999</v>
      </c>
      <c r="AZ365" s="22">
        <v>75.400300000000001</v>
      </c>
      <c r="BA365" s="22">
        <v>-1.6836500000000001E-3</v>
      </c>
      <c r="BB365" s="22">
        <v>355</v>
      </c>
      <c r="BC365" s="22">
        <v>1.6867099999999999</v>
      </c>
      <c r="BD365">
        <f t="shared" si="70"/>
        <v>1.6836500000000001</v>
      </c>
      <c r="BE365">
        <f t="shared" si="71"/>
        <v>2.841361413</v>
      </c>
    </row>
    <row r="366" spans="6:57">
      <c r="F366" s="9"/>
      <c r="G366" s="22">
        <v>7.3242200000000002E-3</v>
      </c>
      <c r="H366" s="22">
        <v>10.3026</v>
      </c>
      <c r="I366" s="22">
        <v>-1.54999E-2</v>
      </c>
      <c r="J366" s="22">
        <v>356</v>
      </c>
      <c r="K366" s="22">
        <v>7.1319599999999997E-3</v>
      </c>
      <c r="L366">
        <f t="shared" si="60"/>
        <v>15.4999</v>
      </c>
      <c r="M366">
        <f t="shared" si="61"/>
        <v>0.113524677578</v>
      </c>
      <c r="N366" s="9"/>
      <c r="O366" s="22">
        <v>1.6926600000000001</v>
      </c>
      <c r="P366" s="22">
        <v>49.777900000000002</v>
      </c>
      <c r="Q366" s="22">
        <v>-1.6741900000000001E-3</v>
      </c>
      <c r="R366" s="22">
        <v>356</v>
      </c>
      <c r="S366" s="22">
        <v>1.6918899999999999</v>
      </c>
      <c r="T366">
        <f t="shared" si="62"/>
        <v>1.6741900000000001</v>
      </c>
      <c r="U366">
        <f t="shared" si="63"/>
        <v>2.8338344454000004</v>
      </c>
      <c r="X366" s="9"/>
      <c r="Y366" s="22">
        <v>7.3242200000000002E-3</v>
      </c>
      <c r="Z366" s="22">
        <v>57.589500000000001</v>
      </c>
      <c r="AA366" s="22">
        <v>-1.55579E-2</v>
      </c>
      <c r="AB366" s="22">
        <v>356</v>
      </c>
      <c r="AC366" s="22">
        <v>7.0861800000000001E-3</v>
      </c>
      <c r="AD366">
        <f t="shared" si="64"/>
        <v>15.5579</v>
      </c>
      <c r="AE366">
        <f t="shared" si="65"/>
        <v>0.11394948233800001</v>
      </c>
      <c r="AF366" s="9"/>
      <c r="AG366" s="22">
        <v>1.6926600000000001</v>
      </c>
      <c r="AH366" s="22">
        <v>63.134099999999997</v>
      </c>
      <c r="AI366" s="22">
        <v>-1.60797E-3</v>
      </c>
      <c r="AJ366" s="22">
        <v>356</v>
      </c>
      <c r="AK366" s="22">
        <v>1.6921999999999999</v>
      </c>
      <c r="AL366">
        <f t="shared" si="66"/>
        <v>1.6079700000000001</v>
      </c>
      <c r="AM366">
        <f t="shared" si="67"/>
        <v>2.7217465002000001</v>
      </c>
      <c r="AP366" s="9"/>
      <c r="AQ366" s="22">
        <v>7.3242200000000002E-3</v>
      </c>
      <c r="AR366" s="22">
        <v>70.133799999999994</v>
      </c>
      <c r="AS366" s="22">
        <v>-1.5469399999999999E-2</v>
      </c>
      <c r="AT366" s="22">
        <v>356</v>
      </c>
      <c r="AU366" s="22">
        <v>7.08313E-3</v>
      </c>
      <c r="AV366">
        <f t="shared" si="68"/>
        <v>15.4694</v>
      </c>
      <c r="AW366">
        <f t="shared" si="69"/>
        <v>0.11330128886800001</v>
      </c>
      <c r="AX366" s="9"/>
      <c r="AY366" s="22">
        <v>1.6926600000000001</v>
      </c>
      <c r="AZ366" s="22">
        <v>75.410399999999996</v>
      </c>
      <c r="BA366" s="22">
        <v>-1.58417E-3</v>
      </c>
      <c r="BB366" s="22">
        <v>356</v>
      </c>
      <c r="BC366" s="22">
        <v>1.6912799999999999</v>
      </c>
      <c r="BD366">
        <f t="shared" si="70"/>
        <v>1.5841700000000001</v>
      </c>
      <c r="BE366">
        <f t="shared" si="71"/>
        <v>2.6814611922</v>
      </c>
    </row>
    <row r="367" spans="6:57">
      <c r="F367" s="9"/>
      <c r="G367" s="22">
        <v>2.28882E-3</v>
      </c>
      <c r="H367" s="22">
        <v>10.3127</v>
      </c>
      <c r="I367" s="22">
        <v>-1.5527300000000001E-2</v>
      </c>
      <c r="J367" s="22">
        <v>357</v>
      </c>
      <c r="K367" s="22">
        <v>2.0202599999999999E-3</v>
      </c>
      <c r="L367">
        <f t="shared" si="60"/>
        <v>15.5273</v>
      </c>
      <c r="M367">
        <f t="shared" si="61"/>
        <v>3.5539194785999997E-2</v>
      </c>
      <c r="N367" s="9"/>
      <c r="O367" s="22">
        <v>1.6976899999999999</v>
      </c>
      <c r="P367" s="22">
        <v>49.7879</v>
      </c>
      <c r="Q367" s="22">
        <v>-1.5701300000000001E-3</v>
      </c>
      <c r="R367" s="22">
        <v>357</v>
      </c>
      <c r="S367" s="22">
        <v>1.69739</v>
      </c>
      <c r="T367">
        <f t="shared" si="62"/>
        <v>1.57013</v>
      </c>
      <c r="U367">
        <f t="shared" si="63"/>
        <v>2.6655939997</v>
      </c>
      <c r="X367" s="9"/>
      <c r="Y367" s="22">
        <v>2.28882E-3</v>
      </c>
      <c r="Z367" s="22">
        <v>57.599600000000002</v>
      </c>
      <c r="AA367" s="22">
        <v>-1.55701E-2</v>
      </c>
      <c r="AB367" s="22">
        <v>357</v>
      </c>
      <c r="AC367" s="22">
        <v>2.06909E-3</v>
      </c>
      <c r="AD367">
        <f t="shared" si="64"/>
        <v>15.5701</v>
      </c>
      <c r="AE367">
        <f t="shared" si="65"/>
        <v>3.5637156282000003E-2</v>
      </c>
      <c r="AF367" s="9"/>
      <c r="AG367" s="22">
        <v>1.6976899999999999</v>
      </c>
      <c r="AH367" s="22">
        <v>63.144199999999998</v>
      </c>
      <c r="AI367" s="22">
        <v>-1.5069599999999999E-3</v>
      </c>
      <c r="AJ367" s="22">
        <v>357</v>
      </c>
      <c r="AK367" s="22">
        <v>1.69678</v>
      </c>
      <c r="AL367">
        <f t="shared" si="66"/>
        <v>1.5069599999999999</v>
      </c>
      <c r="AM367">
        <f t="shared" si="67"/>
        <v>2.5583509223999998</v>
      </c>
      <c r="AP367" s="9"/>
      <c r="AQ367" s="22">
        <v>2.28882E-3</v>
      </c>
      <c r="AR367" s="22">
        <v>70.143799999999999</v>
      </c>
      <c r="AS367" s="22">
        <v>-1.54938E-2</v>
      </c>
      <c r="AT367" s="22">
        <v>357</v>
      </c>
      <c r="AU367" s="22">
        <v>2.0904500000000002E-3</v>
      </c>
      <c r="AV367">
        <f t="shared" si="68"/>
        <v>15.4938</v>
      </c>
      <c r="AW367">
        <f t="shared" si="69"/>
        <v>3.5462519316000002E-2</v>
      </c>
      <c r="AX367" s="9"/>
      <c r="AY367" s="22">
        <v>1.6976899999999999</v>
      </c>
      <c r="AZ367" s="22">
        <v>75.420500000000004</v>
      </c>
      <c r="BA367" s="22">
        <v>-1.4849900000000001E-3</v>
      </c>
      <c r="BB367" s="22">
        <v>357</v>
      </c>
      <c r="BC367" s="22">
        <v>1.6970799999999999</v>
      </c>
      <c r="BD367">
        <f t="shared" si="70"/>
        <v>1.48499</v>
      </c>
      <c r="BE367">
        <f t="shared" si="71"/>
        <v>2.5210526730999998</v>
      </c>
    </row>
    <row r="368" spans="6:57">
      <c r="F368" s="9"/>
      <c r="G368" s="22">
        <v>-2.7465800000000002E-3</v>
      </c>
      <c r="H368" s="22">
        <v>10.322800000000001</v>
      </c>
      <c r="I368" s="22">
        <v>-1.55579E-2</v>
      </c>
      <c r="J368" s="22">
        <v>358</v>
      </c>
      <c r="K368" s="22">
        <v>-2.9937700000000002E-3</v>
      </c>
      <c r="L368">
        <f t="shared" si="60"/>
        <v>15.5579</v>
      </c>
      <c r="M368">
        <f t="shared" si="61"/>
        <v>-4.2731016982000006E-2</v>
      </c>
      <c r="N368" s="9"/>
      <c r="O368" s="22">
        <v>1.7027300000000001</v>
      </c>
      <c r="P368" s="22">
        <v>49.798000000000002</v>
      </c>
      <c r="Q368" s="22">
        <v>-1.46423E-3</v>
      </c>
      <c r="R368" s="22">
        <v>358</v>
      </c>
      <c r="S368" s="22">
        <v>1.7022699999999999</v>
      </c>
      <c r="T368">
        <f t="shared" si="62"/>
        <v>1.4642299999999999</v>
      </c>
      <c r="U368">
        <f t="shared" si="63"/>
        <v>2.4931883478999999</v>
      </c>
      <c r="X368" s="9"/>
      <c r="Y368" s="22">
        <v>-2.7465800000000002E-3</v>
      </c>
      <c r="Z368" s="22">
        <v>57.609699999999997</v>
      </c>
      <c r="AA368" s="22">
        <v>-1.5588400000000001E-2</v>
      </c>
      <c r="AB368" s="22">
        <v>358</v>
      </c>
      <c r="AC368" s="22">
        <v>-2.9846199999999999E-3</v>
      </c>
      <c r="AD368">
        <f t="shared" si="64"/>
        <v>15.5884</v>
      </c>
      <c r="AE368">
        <f t="shared" si="65"/>
        <v>-4.2814787672000004E-2</v>
      </c>
      <c r="AF368" s="9"/>
      <c r="AG368" s="22">
        <v>1.7027300000000001</v>
      </c>
      <c r="AH368" s="22">
        <v>63.154299999999999</v>
      </c>
      <c r="AI368" s="22">
        <v>-1.40442E-3</v>
      </c>
      <c r="AJ368" s="22">
        <v>358</v>
      </c>
      <c r="AK368" s="22">
        <v>1.70166</v>
      </c>
      <c r="AL368">
        <f t="shared" si="66"/>
        <v>1.40442</v>
      </c>
      <c r="AM368">
        <f t="shared" si="67"/>
        <v>2.3913480666</v>
      </c>
      <c r="AP368" s="9"/>
      <c r="AQ368" s="22">
        <v>-2.7465800000000002E-3</v>
      </c>
      <c r="AR368" s="22">
        <v>70.153899999999993</v>
      </c>
      <c r="AS368" s="22">
        <v>-1.5521200000000001E-2</v>
      </c>
      <c r="AT368" s="22">
        <v>358</v>
      </c>
      <c r="AU368" s="22">
        <v>-2.9754600000000001E-3</v>
      </c>
      <c r="AV368">
        <f t="shared" si="68"/>
        <v>15.5212</v>
      </c>
      <c r="AW368">
        <f t="shared" si="69"/>
        <v>-4.2630217496000003E-2</v>
      </c>
      <c r="AX368" s="9"/>
      <c r="AY368" s="22">
        <v>1.7027300000000001</v>
      </c>
      <c r="AZ368" s="22">
        <v>75.430499999999995</v>
      </c>
      <c r="BA368" s="22">
        <v>-1.3845800000000001E-3</v>
      </c>
      <c r="BB368" s="22">
        <v>358</v>
      </c>
      <c r="BC368" s="22">
        <v>1.70258</v>
      </c>
      <c r="BD368">
        <f t="shared" si="70"/>
        <v>1.3845800000000001</v>
      </c>
      <c r="BE368">
        <f t="shared" si="71"/>
        <v>2.3575659034000003</v>
      </c>
    </row>
    <row r="369" spans="6:57">
      <c r="F369" s="9"/>
      <c r="G369" s="22">
        <v>-7.78198E-3</v>
      </c>
      <c r="H369" s="22">
        <v>10.332800000000001</v>
      </c>
      <c r="I369" s="22">
        <v>-1.5588400000000001E-2</v>
      </c>
      <c r="J369" s="22">
        <v>359</v>
      </c>
      <c r="K369" s="22">
        <v>-8.0352800000000005E-3</v>
      </c>
      <c r="L369">
        <f t="shared" si="60"/>
        <v>15.5884</v>
      </c>
      <c r="M369">
        <f t="shared" si="61"/>
        <v>-0.12130861703199999</v>
      </c>
      <c r="N369" s="9"/>
      <c r="O369" s="22">
        <v>1.7077599999999999</v>
      </c>
      <c r="P369" s="22">
        <v>49.808100000000003</v>
      </c>
      <c r="Q369" s="22">
        <v>-1.3577299999999999E-3</v>
      </c>
      <c r="R369" s="22">
        <v>359</v>
      </c>
      <c r="S369" s="22">
        <v>1.7065399999999999</v>
      </c>
      <c r="T369">
        <f t="shared" si="62"/>
        <v>1.3577299999999999</v>
      </c>
      <c r="U369">
        <f t="shared" si="63"/>
        <v>2.3186769847999997</v>
      </c>
      <c r="X369" s="9"/>
      <c r="Y369" s="22">
        <v>-7.78198E-3</v>
      </c>
      <c r="Z369" s="22">
        <v>57.619700000000002</v>
      </c>
      <c r="AA369" s="22">
        <v>-1.56128E-2</v>
      </c>
      <c r="AB369" s="22">
        <v>359</v>
      </c>
      <c r="AC369" s="22">
        <v>-7.9833999999999999E-3</v>
      </c>
      <c r="AD369">
        <f t="shared" si="64"/>
        <v>15.6128</v>
      </c>
      <c r="AE369">
        <f t="shared" si="65"/>
        <v>-0.12149849734400001</v>
      </c>
      <c r="AF369" s="9"/>
      <c r="AG369" s="22">
        <v>1.7077599999999999</v>
      </c>
      <c r="AH369" s="22">
        <v>63.164400000000001</v>
      </c>
      <c r="AI369" s="22">
        <v>-1.3009600000000001E-3</v>
      </c>
      <c r="AJ369" s="22">
        <v>359</v>
      </c>
      <c r="AK369" s="22">
        <v>1.70685</v>
      </c>
      <c r="AL369">
        <f t="shared" si="66"/>
        <v>1.3009600000000001</v>
      </c>
      <c r="AM369">
        <f t="shared" si="67"/>
        <v>2.2217274496000003</v>
      </c>
      <c r="AP369" s="9"/>
      <c r="AQ369" s="22">
        <v>-7.78198E-3</v>
      </c>
      <c r="AR369" s="22">
        <v>70.164000000000001</v>
      </c>
      <c r="AS369" s="22">
        <v>-1.55487E-2</v>
      </c>
      <c r="AT369" s="22">
        <v>359</v>
      </c>
      <c r="AU369" s="22">
        <v>-8.0841100000000003E-3</v>
      </c>
      <c r="AV369">
        <f t="shared" si="68"/>
        <v>15.5487</v>
      </c>
      <c r="AW369">
        <f t="shared" si="69"/>
        <v>-0.120999672426</v>
      </c>
      <c r="AX369" s="9"/>
      <c r="AY369" s="22">
        <v>1.7077599999999999</v>
      </c>
      <c r="AZ369" s="22">
        <v>75.440600000000003</v>
      </c>
      <c r="BA369" s="22">
        <v>-1.28174E-3</v>
      </c>
      <c r="BB369" s="22">
        <v>359</v>
      </c>
      <c r="BC369" s="22">
        <v>1.70685</v>
      </c>
      <c r="BD369">
        <f t="shared" si="70"/>
        <v>1.2817399999999999</v>
      </c>
      <c r="BE369">
        <f t="shared" si="71"/>
        <v>2.1889043023999997</v>
      </c>
    </row>
    <row r="370" spans="6:57">
      <c r="F370" s="9"/>
      <c r="G370" s="22">
        <v>-1.28174E-2</v>
      </c>
      <c r="H370" s="22">
        <v>10.3429</v>
      </c>
      <c r="I370" s="22">
        <v>-1.56036E-2</v>
      </c>
      <c r="J370" s="22">
        <v>360</v>
      </c>
      <c r="K370" s="22">
        <v>-1.3107300000000001E-2</v>
      </c>
      <c r="L370">
        <f t="shared" si="60"/>
        <v>15.6036</v>
      </c>
      <c r="M370">
        <f t="shared" si="61"/>
        <v>-0.19999758264</v>
      </c>
      <c r="N370" s="9"/>
      <c r="O370" s="22">
        <v>1.7128000000000001</v>
      </c>
      <c r="P370" s="22">
        <v>49.818199999999997</v>
      </c>
      <c r="Q370" s="22">
        <v>-1.25092E-3</v>
      </c>
      <c r="R370" s="22">
        <v>360</v>
      </c>
      <c r="S370" s="22">
        <v>1.71204</v>
      </c>
      <c r="T370">
        <f t="shared" si="62"/>
        <v>1.25092</v>
      </c>
      <c r="U370">
        <f t="shared" si="63"/>
        <v>2.1425757760000002</v>
      </c>
      <c r="X370" s="9"/>
      <c r="Y370" s="22">
        <v>-1.28174E-2</v>
      </c>
      <c r="Z370" s="22">
        <v>57.629800000000003</v>
      </c>
      <c r="AA370" s="22">
        <v>-1.5634200000000001E-2</v>
      </c>
      <c r="AB370" s="22">
        <v>360</v>
      </c>
      <c r="AC370" s="22">
        <v>-1.31165E-2</v>
      </c>
      <c r="AD370">
        <f t="shared" si="64"/>
        <v>15.634200000000002</v>
      </c>
      <c r="AE370">
        <f t="shared" si="65"/>
        <v>-0.20038979508000002</v>
      </c>
      <c r="AF370" s="9"/>
      <c r="AG370" s="22">
        <v>1.7128000000000001</v>
      </c>
      <c r="AH370" s="22">
        <v>63.174399999999999</v>
      </c>
      <c r="AI370" s="22">
        <v>-1.19659E-3</v>
      </c>
      <c r="AJ370" s="22">
        <v>360</v>
      </c>
      <c r="AK370" s="22">
        <v>1.71204</v>
      </c>
      <c r="AL370">
        <f t="shared" si="66"/>
        <v>1.19659</v>
      </c>
      <c r="AM370">
        <f t="shared" si="67"/>
        <v>2.0495193520000003</v>
      </c>
      <c r="AP370" s="9"/>
      <c r="AQ370" s="22">
        <v>-1.28174E-2</v>
      </c>
      <c r="AR370" s="22">
        <v>70.174000000000007</v>
      </c>
      <c r="AS370" s="22">
        <v>-1.55701E-2</v>
      </c>
      <c r="AT370" s="22">
        <v>360</v>
      </c>
      <c r="AU370" s="22">
        <v>-1.3085899999999999E-2</v>
      </c>
      <c r="AV370">
        <f t="shared" si="68"/>
        <v>15.5701</v>
      </c>
      <c r="AW370">
        <f t="shared" si="69"/>
        <v>-0.19956819974000001</v>
      </c>
      <c r="AX370" s="9"/>
      <c r="AY370" s="22">
        <v>1.7128000000000001</v>
      </c>
      <c r="AZ370" s="22">
        <v>75.450699999999998</v>
      </c>
      <c r="BA370" s="22">
        <v>-1.1782800000000001E-3</v>
      </c>
      <c r="BB370" s="22">
        <v>360</v>
      </c>
      <c r="BC370" s="22">
        <v>1.71234</v>
      </c>
      <c r="BD370">
        <f t="shared" si="70"/>
        <v>1.17828</v>
      </c>
      <c r="BE370">
        <f t="shared" si="71"/>
        <v>2.0181579840000001</v>
      </c>
    </row>
    <row r="371" spans="6:57">
      <c r="F371" s="9"/>
      <c r="G371" s="22">
        <v>-1.7852799999999999E-2</v>
      </c>
      <c r="H371" s="22">
        <v>10.353</v>
      </c>
      <c r="I371" s="22">
        <v>-1.5621899999999999E-2</v>
      </c>
      <c r="J371" s="22">
        <v>361</v>
      </c>
      <c r="K371" s="22">
        <v>-1.81335E-2</v>
      </c>
      <c r="L371">
        <f t="shared" si="60"/>
        <v>15.6219</v>
      </c>
      <c r="M371">
        <f t="shared" si="61"/>
        <v>-0.27889465631999999</v>
      </c>
      <c r="N371" s="9"/>
      <c r="O371" s="22">
        <v>1.71783</v>
      </c>
      <c r="P371" s="22">
        <v>49.828200000000002</v>
      </c>
      <c r="Q371" s="22">
        <v>-1.14288E-3</v>
      </c>
      <c r="R371" s="22">
        <v>361</v>
      </c>
      <c r="S371" s="22">
        <v>1.71692</v>
      </c>
      <c r="T371">
        <f t="shared" si="62"/>
        <v>1.1428799999999999</v>
      </c>
      <c r="U371">
        <f t="shared" si="63"/>
        <v>1.9632735503999998</v>
      </c>
      <c r="X371" s="9"/>
      <c r="Y371" s="22">
        <v>-1.7852799999999999E-2</v>
      </c>
      <c r="Z371" s="22">
        <v>57.639899999999997</v>
      </c>
      <c r="AA371" s="22">
        <v>-1.56525E-2</v>
      </c>
      <c r="AB371" s="22">
        <v>361</v>
      </c>
      <c r="AC371" s="22">
        <v>-1.80939E-2</v>
      </c>
      <c r="AD371">
        <f t="shared" si="64"/>
        <v>15.6525</v>
      </c>
      <c r="AE371">
        <f t="shared" si="65"/>
        <v>-0.27944095199999996</v>
      </c>
      <c r="AF371" s="9"/>
      <c r="AG371" s="22">
        <v>1.71783</v>
      </c>
      <c r="AH371" s="22">
        <v>63.1845</v>
      </c>
      <c r="AI371" s="22">
        <v>-1.09253E-3</v>
      </c>
      <c r="AJ371" s="22">
        <v>361</v>
      </c>
      <c r="AK371" s="22">
        <v>1.71722</v>
      </c>
      <c r="AL371">
        <f t="shared" si="66"/>
        <v>1.09253</v>
      </c>
      <c r="AM371">
        <f t="shared" si="67"/>
        <v>1.8767808099000001</v>
      </c>
      <c r="AP371" s="9"/>
      <c r="AQ371" s="22">
        <v>-1.7852799999999999E-2</v>
      </c>
      <c r="AR371" s="22">
        <v>70.184100000000001</v>
      </c>
      <c r="AS371" s="22">
        <v>-1.55792E-2</v>
      </c>
      <c r="AT371" s="22">
        <v>361</v>
      </c>
      <c r="AU371" s="22">
        <v>-1.8164099999999999E-2</v>
      </c>
      <c r="AV371">
        <f t="shared" si="68"/>
        <v>15.5792</v>
      </c>
      <c r="AW371">
        <f t="shared" si="69"/>
        <v>-0.27813234175999996</v>
      </c>
      <c r="AX371" s="9"/>
      <c r="AY371" s="22">
        <v>1.71783</v>
      </c>
      <c r="AZ371" s="22">
        <v>75.460700000000003</v>
      </c>
      <c r="BA371" s="22">
        <v>-1.0751300000000001E-3</v>
      </c>
      <c r="BB371" s="22">
        <v>361</v>
      </c>
      <c r="BC371" s="22">
        <v>1.71722</v>
      </c>
      <c r="BD371">
        <f t="shared" si="70"/>
        <v>1.0751300000000001</v>
      </c>
      <c r="BE371">
        <f t="shared" si="71"/>
        <v>1.8468905679000003</v>
      </c>
    </row>
    <row r="372" spans="6:57">
      <c r="F372" s="9"/>
      <c r="G372" s="22">
        <v>-2.2888200000000001E-2</v>
      </c>
      <c r="H372" s="22">
        <v>10.363099999999999</v>
      </c>
      <c r="I372" s="22">
        <v>-1.5634200000000001E-2</v>
      </c>
      <c r="J372" s="22">
        <v>362</v>
      </c>
      <c r="K372" s="22">
        <v>-2.3187300000000001E-2</v>
      </c>
      <c r="L372">
        <f t="shared" si="60"/>
        <v>15.634200000000002</v>
      </c>
      <c r="M372">
        <f t="shared" si="61"/>
        <v>-0.35783869644000005</v>
      </c>
      <c r="N372" s="9"/>
      <c r="O372" s="22">
        <v>1.7228699999999999</v>
      </c>
      <c r="P372" s="22">
        <v>49.838299999999997</v>
      </c>
      <c r="Q372" s="22">
        <v>-1.03363E-3</v>
      </c>
      <c r="R372" s="22">
        <v>362</v>
      </c>
      <c r="S372" s="22">
        <v>1.72211</v>
      </c>
      <c r="T372">
        <f t="shared" si="62"/>
        <v>1.03363</v>
      </c>
      <c r="U372">
        <f t="shared" si="63"/>
        <v>1.7808101181</v>
      </c>
      <c r="X372" s="9"/>
      <c r="Y372" s="22">
        <v>-2.2888200000000001E-2</v>
      </c>
      <c r="Z372" s="22">
        <v>57.649900000000002</v>
      </c>
      <c r="AA372" s="22">
        <v>-1.5682999999999999E-2</v>
      </c>
      <c r="AB372" s="22">
        <v>362</v>
      </c>
      <c r="AC372" s="22">
        <v>-2.3181199999999999E-2</v>
      </c>
      <c r="AD372">
        <f t="shared" si="64"/>
        <v>15.683</v>
      </c>
      <c r="AE372">
        <f t="shared" si="65"/>
        <v>-0.35895564060000001</v>
      </c>
      <c r="AF372" s="9"/>
      <c r="AG372" s="22">
        <v>1.7228699999999999</v>
      </c>
      <c r="AH372" s="22">
        <v>63.194600000000001</v>
      </c>
      <c r="AI372" s="22">
        <v>-9.8693799999999992E-4</v>
      </c>
      <c r="AJ372" s="22">
        <v>362</v>
      </c>
      <c r="AK372" s="22">
        <v>1.7218</v>
      </c>
      <c r="AL372">
        <f t="shared" si="66"/>
        <v>0.98693799999999987</v>
      </c>
      <c r="AM372">
        <f t="shared" si="67"/>
        <v>1.7003658720599997</v>
      </c>
      <c r="AP372" s="9"/>
      <c r="AQ372" s="22">
        <v>-2.2888200000000001E-2</v>
      </c>
      <c r="AR372" s="22">
        <v>70.194199999999995</v>
      </c>
      <c r="AS372" s="22">
        <v>-1.55823E-2</v>
      </c>
      <c r="AT372" s="22">
        <v>362</v>
      </c>
      <c r="AU372" s="22">
        <v>-2.32056E-2</v>
      </c>
      <c r="AV372">
        <f t="shared" si="68"/>
        <v>15.5823</v>
      </c>
      <c r="AW372">
        <f t="shared" si="69"/>
        <v>-0.35665079886000001</v>
      </c>
      <c r="AX372" s="9"/>
      <c r="AY372" s="22">
        <v>1.7228699999999999</v>
      </c>
      <c r="AZ372" s="22">
        <v>75.470799999999997</v>
      </c>
      <c r="BA372" s="22">
        <v>-9.7137500000000002E-4</v>
      </c>
      <c r="BB372" s="22">
        <v>362</v>
      </c>
      <c r="BC372" s="22">
        <v>1.72211</v>
      </c>
      <c r="BD372">
        <f t="shared" si="70"/>
        <v>0.97137499999999999</v>
      </c>
      <c r="BE372">
        <f t="shared" si="71"/>
        <v>1.6735528462499998</v>
      </c>
    </row>
    <row r="373" spans="6:57">
      <c r="F373" s="9"/>
      <c r="G373" s="22">
        <v>-2.79236E-2</v>
      </c>
      <c r="H373" s="22">
        <v>10.373100000000001</v>
      </c>
      <c r="I373" s="22">
        <v>-1.5658600000000002E-2</v>
      </c>
      <c r="J373" s="22">
        <v>363</v>
      </c>
      <c r="K373" s="22">
        <v>-2.8259300000000001E-2</v>
      </c>
      <c r="L373">
        <f t="shared" si="60"/>
        <v>15.658600000000002</v>
      </c>
      <c r="M373">
        <f t="shared" si="61"/>
        <v>-0.43724448296000007</v>
      </c>
      <c r="N373" s="9"/>
      <c r="O373" s="22">
        <v>1.7279100000000001</v>
      </c>
      <c r="P373" s="22">
        <v>49.848399999999998</v>
      </c>
      <c r="Q373" s="22">
        <v>-9.2529299999999999E-4</v>
      </c>
      <c r="R373" s="22">
        <v>363</v>
      </c>
      <c r="S373" s="22">
        <v>1.72729</v>
      </c>
      <c r="T373">
        <f t="shared" si="62"/>
        <v>0.92529300000000003</v>
      </c>
      <c r="U373">
        <f t="shared" si="63"/>
        <v>1.5988230276300002</v>
      </c>
      <c r="X373" s="9"/>
      <c r="Y373" s="22">
        <v>-2.79236E-2</v>
      </c>
      <c r="Z373" s="22">
        <v>57.66</v>
      </c>
      <c r="AA373" s="22">
        <v>-1.5701300000000001E-2</v>
      </c>
      <c r="AB373" s="22">
        <v>363</v>
      </c>
      <c r="AC373" s="22">
        <v>-2.82776E-2</v>
      </c>
      <c r="AD373">
        <f t="shared" si="64"/>
        <v>15.701300000000002</v>
      </c>
      <c r="AE373">
        <f t="shared" si="65"/>
        <v>-0.43843682068000006</v>
      </c>
      <c r="AF373" s="9"/>
      <c r="AG373" s="22">
        <v>1.7279100000000001</v>
      </c>
      <c r="AH373" s="22">
        <v>63.204599999999999</v>
      </c>
      <c r="AI373" s="22">
        <v>-8.8256800000000002E-4</v>
      </c>
      <c r="AJ373" s="22">
        <v>363</v>
      </c>
      <c r="AK373" s="22">
        <v>1.72729</v>
      </c>
      <c r="AL373">
        <f t="shared" si="66"/>
        <v>0.88256800000000002</v>
      </c>
      <c r="AM373">
        <f t="shared" si="67"/>
        <v>1.5249980728800001</v>
      </c>
      <c r="AP373" s="9"/>
      <c r="AQ373" s="22">
        <v>-2.79236E-2</v>
      </c>
      <c r="AR373" s="22">
        <v>70.204300000000003</v>
      </c>
      <c r="AS373" s="22">
        <v>-1.5600599999999999E-2</v>
      </c>
      <c r="AT373" s="22">
        <v>363</v>
      </c>
      <c r="AU373" s="22">
        <v>-2.8268399999999999E-2</v>
      </c>
      <c r="AV373">
        <f t="shared" si="68"/>
        <v>15.6006</v>
      </c>
      <c r="AW373">
        <f t="shared" si="69"/>
        <v>-0.43562491415999999</v>
      </c>
      <c r="AX373" s="9"/>
      <c r="AY373" s="22">
        <v>1.7279100000000001</v>
      </c>
      <c r="AZ373" s="22">
        <v>75.480900000000005</v>
      </c>
      <c r="BA373" s="22">
        <v>-8.6792E-4</v>
      </c>
      <c r="BB373" s="22">
        <v>363</v>
      </c>
      <c r="BC373" s="22">
        <v>1.72699</v>
      </c>
      <c r="BD373">
        <f t="shared" si="70"/>
        <v>0.86792000000000002</v>
      </c>
      <c r="BE373">
        <f t="shared" si="71"/>
        <v>1.4996876472</v>
      </c>
    </row>
    <row r="374" spans="6:57">
      <c r="F374" s="9"/>
      <c r="G374" s="22">
        <v>-3.2959000000000002E-2</v>
      </c>
      <c r="H374" s="22">
        <v>10.3832</v>
      </c>
      <c r="I374" s="22">
        <v>-1.5689100000000001E-2</v>
      </c>
      <c r="J374" s="22">
        <v>364</v>
      </c>
      <c r="K374" s="22">
        <v>-3.32977E-2</v>
      </c>
      <c r="L374">
        <f t="shared" si="60"/>
        <v>15.689100000000002</v>
      </c>
      <c r="M374">
        <f t="shared" si="61"/>
        <v>-0.51709704690000013</v>
      </c>
      <c r="N374" s="9"/>
      <c r="O374" s="22">
        <v>1.7329399999999999</v>
      </c>
      <c r="P374" s="22">
        <v>49.858400000000003</v>
      </c>
      <c r="Q374" s="22">
        <v>-8.1481900000000005E-4</v>
      </c>
      <c r="R374" s="22">
        <v>364</v>
      </c>
      <c r="S374" s="22">
        <v>1.73248</v>
      </c>
      <c r="T374">
        <f t="shared" si="62"/>
        <v>0.81481900000000007</v>
      </c>
      <c r="U374">
        <f t="shared" si="63"/>
        <v>1.41203243786</v>
      </c>
      <c r="X374" s="9"/>
      <c r="Y374" s="22">
        <v>-3.2959000000000002E-2</v>
      </c>
      <c r="Z374" s="22">
        <v>57.670099999999998</v>
      </c>
      <c r="AA374" s="22">
        <v>-1.57196E-2</v>
      </c>
      <c r="AB374" s="22">
        <v>364</v>
      </c>
      <c r="AC374" s="22">
        <v>-3.3303800000000001E-2</v>
      </c>
      <c r="AD374">
        <f t="shared" si="64"/>
        <v>15.7196</v>
      </c>
      <c r="AE374">
        <f t="shared" si="65"/>
        <v>-0.51810229640000005</v>
      </c>
      <c r="AF374" s="9"/>
      <c r="AG374" s="22">
        <v>1.7329399999999999</v>
      </c>
      <c r="AH374" s="22">
        <v>63.214700000000001</v>
      </c>
      <c r="AI374" s="22">
        <v>-7.7392599999999998E-4</v>
      </c>
      <c r="AJ374" s="22">
        <v>364</v>
      </c>
      <c r="AK374" s="22">
        <v>1.73248</v>
      </c>
      <c r="AL374">
        <f t="shared" si="66"/>
        <v>0.773926</v>
      </c>
      <c r="AM374">
        <f t="shared" si="67"/>
        <v>1.34116732244</v>
      </c>
      <c r="AP374" s="9"/>
      <c r="AQ374" s="22">
        <v>-3.2959000000000002E-2</v>
      </c>
      <c r="AR374" s="22">
        <v>70.214299999999994</v>
      </c>
      <c r="AS374" s="22">
        <v>-1.56189E-2</v>
      </c>
      <c r="AT374" s="22">
        <v>364</v>
      </c>
      <c r="AU374" s="22">
        <v>-3.3285500000000003E-2</v>
      </c>
      <c r="AV374">
        <f t="shared" si="68"/>
        <v>15.6189</v>
      </c>
      <c r="AW374">
        <f t="shared" si="69"/>
        <v>-0.51478332510000002</v>
      </c>
      <c r="AX374" s="9"/>
      <c r="AY374" s="22">
        <v>1.7329399999999999</v>
      </c>
      <c r="AZ374" s="22">
        <v>75.491</v>
      </c>
      <c r="BA374" s="22">
        <v>-7.6110800000000003E-4</v>
      </c>
      <c r="BB374" s="22">
        <v>364</v>
      </c>
      <c r="BC374" s="22">
        <v>1.7315700000000001</v>
      </c>
      <c r="BD374">
        <f t="shared" si="70"/>
        <v>0.76110800000000001</v>
      </c>
      <c r="BE374">
        <f t="shared" si="71"/>
        <v>1.31895449752</v>
      </c>
    </row>
    <row r="375" spans="6:57">
      <c r="F375" s="9"/>
      <c r="G375" s="22">
        <v>-3.7994399999999998E-2</v>
      </c>
      <c r="H375" s="22">
        <v>10.3933</v>
      </c>
      <c r="I375" s="22">
        <v>-1.57074E-2</v>
      </c>
      <c r="J375" s="22">
        <v>365</v>
      </c>
      <c r="K375" s="22">
        <v>-3.8351400000000001E-2</v>
      </c>
      <c r="L375">
        <f t="shared" si="60"/>
        <v>15.7074</v>
      </c>
      <c r="M375">
        <f t="shared" si="61"/>
        <v>-0.59679323855999999</v>
      </c>
      <c r="N375" s="9"/>
      <c r="O375" s="22">
        <v>1.7379800000000001</v>
      </c>
      <c r="P375" s="22">
        <v>49.868499999999997</v>
      </c>
      <c r="Q375" s="22">
        <v>-7.0678699999999995E-4</v>
      </c>
      <c r="R375" s="22">
        <v>365</v>
      </c>
      <c r="S375" s="22">
        <v>1.7367600000000001</v>
      </c>
      <c r="T375">
        <f t="shared" si="62"/>
        <v>0.70678699999999994</v>
      </c>
      <c r="U375">
        <f t="shared" si="63"/>
        <v>1.2283816702599999</v>
      </c>
      <c r="X375" s="9"/>
      <c r="Y375" s="22">
        <v>-3.7994399999999998E-2</v>
      </c>
      <c r="Z375" s="22">
        <v>57.680199999999999</v>
      </c>
      <c r="AA375" s="22">
        <v>-1.57349E-2</v>
      </c>
      <c r="AB375" s="22">
        <v>365</v>
      </c>
      <c r="AC375" s="22">
        <v>-3.8314800000000003E-2</v>
      </c>
      <c r="AD375">
        <f t="shared" si="64"/>
        <v>15.7349</v>
      </c>
      <c r="AE375">
        <f t="shared" si="65"/>
        <v>-0.59783808455999998</v>
      </c>
      <c r="AF375" s="9"/>
      <c r="AG375" s="22">
        <v>1.7379800000000001</v>
      </c>
      <c r="AH375" s="22">
        <v>63.224800000000002</v>
      </c>
      <c r="AI375" s="22">
        <v>-6.6680899999999998E-4</v>
      </c>
      <c r="AJ375" s="22">
        <v>365</v>
      </c>
      <c r="AK375" s="22">
        <v>1.73706</v>
      </c>
      <c r="AL375">
        <f t="shared" si="66"/>
        <v>0.66680899999999999</v>
      </c>
      <c r="AM375">
        <f t="shared" si="67"/>
        <v>1.15890070582</v>
      </c>
      <c r="AP375" s="9"/>
      <c r="AQ375" s="22">
        <v>-3.7994399999999998E-2</v>
      </c>
      <c r="AR375" s="22">
        <v>70.224400000000003</v>
      </c>
      <c r="AS375" s="22">
        <v>-1.56372E-2</v>
      </c>
      <c r="AT375" s="22">
        <v>365</v>
      </c>
      <c r="AU375" s="22">
        <v>-3.8351400000000001E-2</v>
      </c>
      <c r="AV375">
        <f t="shared" si="68"/>
        <v>15.6372</v>
      </c>
      <c r="AW375">
        <f t="shared" si="69"/>
        <v>-0.59412603168</v>
      </c>
      <c r="AX375" s="9"/>
      <c r="AY375" s="22">
        <v>1.7379800000000001</v>
      </c>
      <c r="AZ375" s="22">
        <v>75.501000000000005</v>
      </c>
      <c r="BA375" s="22">
        <v>-6.5612799999999996E-4</v>
      </c>
      <c r="BB375" s="22">
        <v>365</v>
      </c>
      <c r="BC375" s="22">
        <v>1.7373700000000001</v>
      </c>
      <c r="BD375">
        <f t="shared" si="70"/>
        <v>0.65612799999999993</v>
      </c>
      <c r="BE375">
        <f t="shared" si="71"/>
        <v>1.14033734144</v>
      </c>
    </row>
    <row r="376" spans="6:57">
      <c r="F376" s="9"/>
      <c r="G376" s="22">
        <v>-4.30298E-2</v>
      </c>
      <c r="H376" s="22">
        <v>10.4033</v>
      </c>
      <c r="I376" s="22">
        <v>-1.5725699999999999E-2</v>
      </c>
      <c r="J376" s="22">
        <v>366</v>
      </c>
      <c r="K376" s="22">
        <v>-4.3402099999999999E-2</v>
      </c>
      <c r="L376">
        <f t="shared" si="60"/>
        <v>15.725699999999998</v>
      </c>
      <c r="M376">
        <f t="shared" si="61"/>
        <v>-0.67667372585999996</v>
      </c>
      <c r="N376" s="9"/>
      <c r="O376" s="22">
        <v>1.7430099999999999</v>
      </c>
      <c r="P376" s="22">
        <v>49.878599999999999</v>
      </c>
      <c r="Q376" s="22">
        <v>-5.9539800000000002E-4</v>
      </c>
      <c r="R376" s="22">
        <v>366</v>
      </c>
      <c r="S376" s="22">
        <v>1.7422500000000001</v>
      </c>
      <c r="T376">
        <f t="shared" si="62"/>
        <v>0.59539799999999998</v>
      </c>
      <c r="U376">
        <f t="shared" si="63"/>
        <v>1.03778466798</v>
      </c>
      <c r="X376" s="9"/>
      <c r="Y376" s="22">
        <v>-4.30298E-2</v>
      </c>
      <c r="Z376" s="22">
        <v>57.690199999999997</v>
      </c>
      <c r="AA376" s="22">
        <v>-1.57501E-2</v>
      </c>
      <c r="AB376" s="22">
        <v>366</v>
      </c>
      <c r="AC376" s="22">
        <v>-4.3402099999999999E-2</v>
      </c>
      <c r="AD376">
        <f t="shared" si="64"/>
        <v>15.7501</v>
      </c>
      <c r="AE376">
        <f t="shared" si="65"/>
        <v>-0.67772365298000004</v>
      </c>
      <c r="AF376" s="9"/>
      <c r="AG376" s="22">
        <v>1.7430099999999999</v>
      </c>
      <c r="AH376" s="22">
        <v>63.2348</v>
      </c>
      <c r="AI376" s="22">
        <v>-5.5877699999999999E-4</v>
      </c>
      <c r="AJ376" s="22">
        <v>366</v>
      </c>
      <c r="AK376" s="22">
        <v>1.74255</v>
      </c>
      <c r="AL376">
        <f t="shared" si="66"/>
        <v>0.55877699999999997</v>
      </c>
      <c r="AM376">
        <f t="shared" si="67"/>
        <v>0.97395389876999994</v>
      </c>
      <c r="AP376" s="9"/>
      <c r="AQ376" s="22">
        <v>-4.30298E-2</v>
      </c>
      <c r="AR376" s="22">
        <v>70.234499999999997</v>
      </c>
      <c r="AS376" s="22">
        <v>-1.5661600000000001E-2</v>
      </c>
      <c r="AT376" s="22">
        <v>366</v>
      </c>
      <c r="AU376" s="22">
        <v>-4.3405199999999998E-2</v>
      </c>
      <c r="AV376">
        <f t="shared" si="68"/>
        <v>15.661600000000002</v>
      </c>
      <c r="AW376">
        <f t="shared" si="69"/>
        <v>-0.67391551568000008</v>
      </c>
      <c r="AX376" s="9"/>
      <c r="AY376" s="22">
        <v>1.7430099999999999</v>
      </c>
      <c r="AZ376" s="22">
        <v>75.511099999999999</v>
      </c>
      <c r="BA376" s="22">
        <v>-5.4962200000000004E-4</v>
      </c>
      <c r="BB376" s="22">
        <v>366</v>
      </c>
      <c r="BC376" s="22">
        <v>1.7422500000000001</v>
      </c>
      <c r="BD376">
        <f t="shared" si="70"/>
        <v>0.54962200000000005</v>
      </c>
      <c r="BE376">
        <f t="shared" si="71"/>
        <v>0.95799664222000003</v>
      </c>
    </row>
    <row r="377" spans="6:57">
      <c r="F377" s="9"/>
      <c r="G377" s="22">
        <v>-4.8065200000000002E-2</v>
      </c>
      <c r="H377" s="22">
        <v>10.413399999999999</v>
      </c>
      <c r="I377" s="22">
        <v>-1.57501E-2</v>
      </c>
      <c r="J377" s="22">
        <v>367</v>
      </c>
      <c r="K377" s="22">
        <v>-4.8434400000000002E-2</v>
      </c>
      <c r="L377">
        <f t="shared" si="60"/>
        <v>15.7501</v>
      </c>
      <c r="M377">
        <f t="shared" si="61"/>
        <v>-0.75703170652000007</v>
      </c>
      <c r="N377" s="9"/>
      <c r="O377" s="22">
        <v>1.7480500000000001</v>
      </c>
      <c r="P377" s="22">
        <v>49.8887</v>
      </c>
      <c r="Q377" s="22">
        <v>-4.8388700000000001E-4</v>
      </c>
      <c r="R377" s="22">
        <v>367</v>
      </c>
      <c r="S377" s="22">
        <v>1.7474400000000001</v>
      </c>
      <c r="T377">
        <f t="shared" si="62"/>
        <v>0.48388700000000001</v>
      </c>
      <c r="U377">
        <f t="shared" si="63"/>
        <v>0.84585867035000006</v>
      </c>
      <c r="X377" s="9"/>
      <c r="Y377" s="22">
        <v>-4.8065200000000002E-2</v>
      </c>
      <c r="Z377" s="22">
        <v>57.700299999999999</v>
      </c>
      <c r="AA377" s="22">
        <v>-1.5768399999999998E-2</v>
      </c>
      <c r="AB377" s="22">
        <v>367</v>
      </c>
      <c r="AC377" s="22">
        <v>-4.8471100000000003E-2</v>
      </c>
      <c r="AD377">
        <f t="shared" si="64"/>
        <v>15.768399999999998</v>
      </c>
      <c r="AE377">
        <f t="shared" si="65"/>
        <v>-0.75791129967999993</v>
      </c>
      <c r="AF377" s="9"/>
      <c r="AG377" s="22">
        <v>1.7480500000000001</v>
      </c>
      <c r="AH377" s="22">
        <v>63.244900000000001</v>
      </c>
      <c r="AI377" s="22">
        <v>-4.5172099999999998E-4</v>
      </c>
      <c r="AJ377" s="22">
        <v>367</v>
      </c>
      <c r="AK377" s="22">
        <v>1.7477400000000001</v>
      </c>
      <c r="AL377">
        <f t="shared" si="66"/>
        <v>0.45172099999999998</v>
      </c>
      <c r="AM377">
        <f t="shared" si="67"/>
        <v>0.78963089404999998</v>
      </c>
      <c r="AP377" s="9"/>
      <c r="AQ377" s="22">
        <v>-4.8065200000000002E-2</v>
      </c>
      <c r="AR377" s="22">
        <v>70.244500000000002</v>
      </c>
      <c r="AS377" s="22">
        <v>-1.56799E-2</v>
      </c>
      <c r="AT377" s="22">
        <v>367</v>
      </c>
      <c r="AU377" s="22">
        <v>-4.8431399999999999E-2</v>
      </c>
      <c r="AV377">
        <f t="shared" si="68"/>
        <v>15.6799</v>
      </c>
      <c r="AW377">
        <f t="shared" si="69"/>
        <v>-0.75365752948000009</v>
      </c>
      <c r="AX377" s="9"/>
      <c r="AY377" s="22">
        <v>1.7480500000000001</v>
      </c>
      <c r="AZ377" s="22">
        <v>75.521199999999993</v>
      </c>
      <c r="BA377" s="22">
        <v>-4.4244400000000001E-4</v>
      </c>
      <c r="BB377" s="22">
        <v>367</v>
      </c>
      <c r="BC377" s="22">
        <v>1.7471300000000001</v>
      </c>
      <c r="BD377">
        <f t="shared" si="70"/>
        <v>0.442444</v>
      </c>
      <c r="BE377">
        <f t="shared" si="71"/>
        <v>0.77341423420000011</v>
      </c>
    </row>
    <row r="378" spans="6:57">
      <c r="F378" s="9"/>
      <c r="G378" s="22">
        <v>-5.3100599999999998E-2</v>
      </c>
      <c r="H378" s="22">
        <v>10.423500000000001</v>
      </c>
      <c r="I378" s="22">
        <v>-1.5765399999999999E-2</v>
      </c>
      <c r="J378" s="22">
        <v>368</v>
      </c>
      <c r="K378" s="22">
        <v>-5.36499E-2</v>
      </c>
      <c r="L378">
        <f t="shared" si="60"/>
        <v>15.7654</v>
      </c>
      <c r="M378">
        <f t="shared" si="61"/>
        <v>-0.83715219923999995</v>
      </c>
      <c r="N378" s="9"/>
      <c r="O378" s="22">
        <v>1.75308</v>
      </c>
      <c r="P378" s="22">
        <v>49.898699999999998</v>
      </c>
      <c r="Q378" s="22">
        <v>-3.7109399999999998E-4</v>
      </c>
      <c r="R378" s="22">
        <v>368</v>
      </c>
      <c r="S378" s="22">
        <v>1.7523200000000001</v>
      </c>
      <c r="T378">
        <f t="shared" si="62"/>
        <v>0.37109399999999998</v>
      </c>
      <c r="U378">
        <f t="shared" si="63"/>
        <v>0.65055746951999993</v>
      </c>
      <c r="X378" s="9"/>
      <c r="Y378" s="22">
        <v>-5.3100599999999998E-2</v>
      </c>
      <c r="Z378" s="22">
        <v>57.7104</v>
      </c>
      <c r="AA378" s="22">
        <v>-1.5786700000000001E-2</v>
      </c>
      <c r="AB378" s="22">
        <v>368</v>
      </c>
      <c r="AC378" s="22">
        <v>-5.3619399999999998E-2</v>
      </c>
      <c r="AD378">
        <f t="shared" si="64"/>
        <v>15.786700000000002</v>
      </c>
      <c r="AE378">
        <f t="shared" si="65"/>
        <v>-0.83828324202000004</v>
      </c>
      <c r="AF378" s="9"/>
      <c r="AG378" s="22">
        <v>1.75308</v>
      </c>
      <c r="AH378" s="22">
        <v>63.255000000000003</v>
      </c>
      <c r="AI378" s="22">
        <v>-3.4197999999999997E-4</v>
      </c>
      <c r="AJ378" s="22">
        <v>368</v>
      </c>
      <c r="AK378" s="22">
        <v>1.7520100000000001</v>
      </c>
      <c r="AL378">
        <f t="shared" si="66"/>
        <v>0.34197999999999995</v>
      </c>
      <c r="AM378">
        <f t="shared" si="67"/>
        <v>0.59951829839999993</v>
      </c>
      <c r="AP378" s="9"/>
      <c r="AQ378" s="22">
        <v>-5.3100599999999998E-2</v>
      </c>
      <c r="AR378" s="22">
        <v>70.254599999999996</v>
      </c>
      <c r="AS378" s="22">
        <v>-1.5701300000000001E-2</v>
      </c>
      <c r="AT378" s="22">
        <v>368</v>
      </c>
      <c r="AU378" s="22">
        <v>-5.3588900000000002E-2</v>
      </c>
      <c r="AV378">
        <f t="shared" si="68"/>
        <v>15.701300000000002</v>
      </c>
      <c r="AW378">
        <f t="shared" si="69"/>
        <v>-0.83374845078000004</v>
      </c>
      <c r="AX378" s="9"/>
      <c r="AY378" s="22">
        <v>1.75308</v>
      </c>
      <c r="AZ378" s="22">
        <v>75.531199999999998</v>
      </c>
      <c r="BA378" s="22">
        <v>-3.32916E-4</v>
      </c>
      <c r="BB378" s="22">
        <v>368</v>
      </c>
      <c r="BC378" s="22">
        <v>1.7523200000000001</v>
      </c>
      <c r="BD378">
        <f t="shared" si="70"/>
        <v>0.33291599999999999</v>
      </c>
      <c r="BE378">
        <f t="shared" si="71"/>
        <v>0.58362838127999994</v>
      </c>
    </row>
    <row r="379" spans="6:57">
      <c r="F379" s="9"/>
      <c r="G379" s="22">
        <v>-5.8136E-2</v>
      </c>
      <c r="H379" s="22">
        <v>10.4336</v>
      </c>
      <c r="I379" s="22">
        <v>-1.5783700000000001E-2</v>
      </c>
      <c r="J379" s="22">
        <v>369</v>
      </c>
      <c r="K379" s="22">
        <v>-5.8746300000000001E-2</v>
      </c>
      <c r="L379">
        <f t="shared" si="60"/>
        <v>15.783700000000001</v>
      </c>
      <c r="M379">
        <f t="shared" si="61"/>
        <v>-0.91760118320000006</v>
      </c>
      <c r="N379" s="9"/>
      <c r="O379" s="22">
        <v>1.7581199999999999</v>
      </c>
      <c r="P379" s="22">
        <v>49.908799999999999</v>
      </c>
      <c r="Q379" s="22">
        <v>-2.5884999999999998E-4</v>
      </c>
      <c r="R379" s="22">
        <v>369</v>
      </c>
      <c r="S379" s="22">
        <v>1.7572000000000001</v>
      </c>
      <c r="T379">
        <f t="shared" si="62"/>
        <v>0.25884999999999997</v>
      </c>
      <c r="U379">
        <f t="shared" si="63"/>
        <v>0.45508936199999994</v>
      </c>
      <c r="X379" s="9"/>
      <c r="Y379" s="22">
        <v>-5.8136E-2</v>
      </c>
      <c r="Z379" s="22">
        <v>57.720399999999998</v>
      </c>
      <c r="AA379" s="22">
        <v>-1.5795900000000002E-2</v>
      </c>
      <c r="AB379" s="22">
        <v>369</v>
      </c>
      <c r="AC379" s="22">
        <v>-5.8593800000000001E-2</v>
      </c>
      <c r="AD379">
        <f t="shared" si="64"/>
        <v>15.795900000000001</v>
      </c>
      <c r="AE379">
        <f t="shared" si="65"/>
        <v>-0.91831044240000004</v>
      </c>
      <c r="AF379" s="9"/>
      <c r="AG379" s="22">
        <v>1.7581199999999999</v>
      </c>
      <c r="AH379" s="22">
        <v>63.265099999999997</v>
      </c>
      <c r="AI379" s="22">
        <v>-2.3126200000000001E-4</v>
      </c>
      <c r="AJ379" s="22">
        <v>369</v>
      </c>
      <c r="AK379" s="22">
        <v>1.7575099999999999</v>
      </c>
      <c r="AL379">
        <f t="shared" si="66"/>
        <v>0.23126200000000002</v>
      </c>
      <c r="AM379">
        <f t="shared" si="67"/>
        <v>0.40658634744</v>
      </c>
      <c r="AP379" s="9"/>
      <c r="AQ379" s="22">
        <v>-5.8136E-2</v>
      </c>
      <c r="AR379" s="22">
        <v>70.264700000000005</v>
      </c>
      <c r="AS379" s="22">
        <v>-1.5704300000000001E-2</v>
      </c>
      <c r="AT379" s="22">
        <v>369</v>
      </c>
      <c r="AU379" s="22">
        <v>-5.8715799999999999E-2</v>
      </c>
      <c r="AV379">
        <f t="shared" si="68"/>
        <v>15.704300000000002</v>
      </c>
      <c r="AW379">
        <f t="shared" si="69"/>
        <v>-0.91298518480000013</v>
      </c>
      <c r="AX379" s="9"/>
      <c r="AY379" s="22">
        <v>1.7581199999999999</v>
      </c>
      <c r="AZ379" s="22">
        <v>75.541300000000007</v>
      </c>
      <c r="BA379" s="22">
        <v>-2.23389E-4</v>
      </c>
      <c r="BB379" s="22">
        <v>369</v>
      </c>
      <c r="BC379" s="22">
        <v>1.7575099999999999</v>
      </c>
      <c r="BD379">
        <f t="shared" si="70"/>
        <v>0.223389</v>
      </c>
      <c r="BE379">
        <f t="shared" si="71"/>
        <v>0.39274466867999996</v>
      </c>
    </row>
    <row r="380" spans="6:57">
      <c r="F380" s="9"/>
      <c r="G380" s="22">
        <v>-6.3171400000000003E-2</v>
      </c>
      <c r="H380" s="22">
        <v>10.4436</v>
      </c>
      <c r="I380" s="22">
        <v>-1.5805099999999999E-2</v>
      </c>
      <c r="J380" s="22">
        <v>370</v>
      </c>
      <c r="K380" s="22">
        <v>-6.3690200000000002E-2</v>
      </c>
      <c r="L380">
        <f t="shared" si="60"/>
        <v>15.805099999999999</v>
      </c>
      <c r="M380">
        <f t="shared" si="61"/>
        <v>-0.99843029414000006</v>
      </c>
      <c r="N380" s="9"/>
      <c r="O380" s="22">
        <v>1.76315</v>
      </c>
      <c r="P380" s="22">
        <v>49.918900000000001</v>
      </c>
      <c r="Q380" s="22">
        <v>-1.4556899999999999E-4</v>
      </c>
      <c r="R380" s="22">
        <v>370</v>
      </c>
      <c r="S380" s="22">
        <v>1.7626999999999999</v>
      </c>
      <c r="T380">
        <f t="shared" si="62"/>
        <v>0.14556899999999998</v>
      </c>
      <c r="U380">
        <f t="shared" si="63"/>
        <v>0.25665998234999998</v>
      </c>
      <c r="X380" s="9"/>
      <c r="Y380" s="22">
        <v>-6.3171400000000003E-2</v>
      </c>
      <c r="Z380" s="22">
        <v>57.730499999999999</v>
      </c>
      <c r="AA380" s="22">
        <v>-1.5799000000000001E-2</v>
      </c>
      <c r="AB380" s="22">
        <v>370</v>
      </c>
      <c r="AC380" s="22">
        <v>-6.3720700000000005E-2</v>
      </c>
      <c r="AD380">
        <f t="shared" si="64"/>
        <v>15.799000000000001</v>
      </c>
      <c r="AE380">
        <f t="shared" si="65"/>
        <v>-0.99804494860000015</v>
      </c>
      <c r="AF380" s="9"/>
      <c r="AG380" s="22">
        <v>1.76315</v>
      </c>
      <c r="AH380" s="22">
        <v>63.275100000000002</v>
      </c>
      <c r="AI380" s="22">
        <v>-1.21002E-4</v>
      </c>
      <c r="AJ380" s="22">
        <v>370</v>
      </c>
      <c r="AK380" s="22">
        <v>1.7629999999999999</v>
      </c>
      <c r="AL380">
        <f t="shared" si="66"/>
        <v>0.121002</v>
      </c>
      <c r="AM380">
        <f t="shared" si="67"/>
        <v>0.21334467630000001</v>
      </c>
      <c r="AP380" s="9"/>
      <c r="AQ380" s="22">
        <v>-6.3171400000000003E-2</v>
      </c>
      <c r="AR380" s="22">
        <v>70.274799999999999</v>
      </c>
      <c r="AS380" s="22">
        <v>-1.5710399999999999E-2</v>
      </c>
      <c r="AT380" s="22">
        <v>370</v>
      </c>
      <c r="AU380" s="22">
        <v>-6.3629199999999997E-2</v>
      </c>
      <c r="AV380">
        <f t="shared" si="68"/>
        <v>15.7104</v>
      </c>
      <c r="AW380">
        <f t="shared" si="69"/>
        <v>-0.99244796256000001</v>
      </c>
      <c r="AX380" s="9"/>
      <c r="AY380" s="22">
        <v>1.76315</v>
      </c>
      <c r="AZ380" s="22">
        <v>75.551400000000001</v>
      </c>
      <c r="BA380" s="22">
        <v>-1.14258E-4</v>
      </c>
      <c r="BB380" s="22">
        <v>370</v>
      </c>
      <c r="BC380" s="22">
        <v>1.7626999999999999</v>
      </c>
      <c r="BD380">
        <f t="shared" si="70"/>
        <v>0.114258</v>
      </c>
      <c r="BE380">
        <f t="shared" si="71"/>
        <v>0.2014539927</v>
      </c>
    </row>
    <row r="381" spans="6:57">
      <c r="F381" s="9"/>
      <c r="G381" s="22">
        <v>-6.8206799999999998E-2</v>
      </c>
      <c r="H381" s="22">
        <v>10.4537</v>
      </c>
      <c r="I381" s="22">
        <v>-1.58295E-2</v>
      </c>
      <c r="J381" s="22">
        <v>371</v>
      </c>
      <c r="K381" s="22">
        <v>-6.8756100000000001E-2</v>
      </c>
      <c r="L381">
        <f t="shared" si="60"/>
        <v>15.829499999999999</v>
      </c>
      <c r="M381">
        <f t="shared" si="61"/>
        <v>-1.0796795405999999</v>
      </c>
      <c r="N381" s="9"/>
      <c r="O381" s="22">
        <v>1.7681899999999999</v>
      </c>
      <c r="P381" s="22">
        <v>49.928899999999999</v>
      </c>
      <c r="Q381" s="25">
        <v>-3.0029300000000001E-5</v>
      </c>
      <c r="R381" s="22">
        <v>371</v>
      </c>
      <c r="S381" s="22">
        <v>1.7678799999999999</v>
      </c>
      <c r="T381">
        <f t="shared" si="62"/>
        <v>3.0029300000000002E-2</v>
      </c>
      <c r="U381">
        <f t="shared" si="63"/>
        <v>5.3097507967000003E-2</v>
      </c>
      <c r="X381" s="9"/>
      <c r="Y381" s="22">
        <v>-6.8206799999999998E-2</v>
      </c>
      <c r="Z381" s="22">
        <v>57.740600000000001</v>
      </c>
      <c r="AA381" s="22">
        <v>-1.58142E-2</v>
      </c>
      <c r="AB381" s="22">
        <v>371</v>
      </c>
      <c r="AC381" s="22">
        <v>-6.8756100000000001E-2</v>
      </c>
      <c r="AD381">
        <f t="shared" si="64"/>
        <v>15.8142</v>
      </c>
      <c r="AE381">
        <f t="shared" si="65"/>
        <v>-1.07863597656</v>
      </c>
      <c r="AF381" s="9"/>
      <c r="AG381" s="22">
        <v>1.7681899999999999</v>
      </c>
      <c r="AH381" s="22">
        <v>63.285200000000003</v>
      </c>
      <c r="AI381" s="25">
        <v>-9.8877000000000002E-6</v>
      </c>
      <c r="AJ381" s="22">
        <v>371</v>
      </c>
      <c r="AK381" s="22">
        <v>1.7672699999999999</v>
      </c>
      <c r="AL381">
        <f t="shared" si="66"/>
        <v>9.887700000000001E-3</v>
      </c>
      <c r="AM381">
        <f t="shared" si="67"/>
        <v>1.7483332263000001E-2</v>
      </c>
      <c r="AP381" s="9"/>
      <c r="AQ381" s="22">
        <v>-6.8206799999999998E-2</v>
      </c>
      <c r="AR381" s="22">
        <v>70.284800000000004</v>
      </c>
      <c r="AS381" s="22">
        <v>-1.5725699999999999E-2</v>
      </c>
      <c r="AT381" s="22">
        <v>371</v>
      </c>
      <c r="AU381" s="22">
        <v>-6.8817100000000006E-2</v>
      </c>
      <c r="AV381">
        <f t="shared" si="68"/>
        <v>15.725699999999998</v>
      </c>
      <c r="AW381">
        <f t="shared" si="69"/>
        <v>-1.0725996747599997</v>
      </c>
      <c r="AX381" s="9"/>
      <c r="AY381" s="22">
        <v>1.7681899999999999</v>
      </c>
      <c r="AZ381" s="22">
        <v>75.561400000000006</v>
      </c>
      <c r="BA381" s="25">
        <v>-3.8147000000000001E-6</v>
      </c>
      <c r="BB381" s="22">
        <v>371</v>
      </c>
      <c r="BC381" s="22">
        <v>1.7675799999999999</v>
      </c>
      <c r="BD381">
        <f t="shared" si="70"/>
        <v>3.8147000000000003E-3</v>
      </c>
      <c r="BE381">
        <f t="shared" si="71"/>
        <v>6.7451143930000006E-3</v>
      </c>
    </row>
    <row r="382" spans="6:57">
      <c r="F382" s="9"/>
      <c r="G382" s="22">
        <v>-7.3242199999999993E-2</v>
      </c>
      <c r="H382" s="22">
        <v>10.463800000000001</v>
      </c>
      <c r="I382" s="22">
        <v>-1.5850800000000002E-2</v>
      </c>
      <c r="J382" s="22">
        <v>372</v>
      </c>
      <c r="K382" s="22">
        <v>-7.3760999999999993E-2</v>
      </c>
      <c r="L382">
        <f t="shared" si="60"/>
        <v>15.850800000000001</v>
      </c>
      <c r="M382">
        <f t="shared" si="61"/>
        <v>-1.1609474637599999</v>
      </c>
      <c r="N382" s="9"/>
      <c r="O382" s="22">
        <v>1.77322</v>
      </c>
      <c r="P382" s="22">
        <v>49.939</v>
      </c>
      <c r="Q382" s="25">
        <v>8.5205100000000002E-5</v>
      </c>
      <c r="R382" s="22">
        <v>372</v>
      </c>
      <c r="S382" s="22">
        <v>1.7724599999999999</v>
      </c>
      <c r="T382">
        <f t="shared" si="62"/>
        <v>-8.5205100000000006E-2</v>
      </c>
      <c r="U382">
        <f t="shared" si="63"/>
        <v>-0.15108738742200001</v>
      </c>
      <c r="X382" s="9"/>
      <c r="Y382" s="22">
        <v>-7.3242199999999993E-2</v>
      </c>
      <c r="Z382" s="22">
        <v>57.750599999999999</v>
      </c>
      <c r="AA382" s="22">
        <v>-1.5832499999999999E-2</v>
      </c>
      <c r="AB382" s="22">
        <v>372</v>
      </c>
      <c r="AC382" s="22">
        <v>-7.3760999999999993E-2</v>
      </c>
      <c r="AD382">
        <f t="shared" si="64"/>
        <v>15.8325</v>
      </c>
      <c r="AE382">
        <f t="shared" si="65"/>
        <v>-1.1596071314999998</v>
      </c>
      <c r="AF382" s="9"/>
      <c r="AG382" s="22">
        <v>1.77322</v>
      </c>
      <c r="AH382" s="22">
        <v>63.295299999999997</v>
      </c>
      <c r="AI382" s="22">
        <v>1.01959E-4</v>
      </c>
      <c r="AJ382" s="22">
        <v>372</v>
      </c>
      <c r="AK382" s="22">
        <v>1.77277</v>
      </c>
      <c r="AL382">
        <f t="shared" si="66"/>
        <v>-0.10195900000000001</v>
      </c>
      <c r="AM382">
        <f t="shared" si="67"/>
        <v>-0.18079573798000001</v>
      </c>
      <c r="AP382" s="9"/>
      <c r="AQ382" s="22">
        <v>-7.3242199999999993E-2</v>
      </c>
      <c r="AR382" s="22">
        <v>70.294899999999998</v>
      </c>
      <c r="AS382" s="22">
        <v>-1.5741000000000002E-2</v>
      </c>
      <c r="AT382" s="22">
        <v>372</v>
      </c>
      <c r="AU382" s="22">
        <v>-7.3760999999999993E-2</v>
      </c>
      <c r="AV382">
        <f t="shared" si="68"/>
        <v>15.741000000000001</v>
      </c>
      <c r="AW382">
        <f t="shared" si="69"/>
        <v>-1.1529054701999999</v>
      </c>
      <c r="AX382" s="9"/>
      <c r="AY382" s="22">
        <v>1.77322</v>
      </c>
      <c r="AZ382" s="22">
        <v>75.5715</v>
      </c>
      <c r="BA382" s="22">
        <v>1.06659E-4</v>
      </c>
      <c r="BB382" s="22">
        <v>372</v>
      </c>
      <c r="BC382" s="22">
        <v>1.77216</v>
      </c>
      <c r="BD382">
        <f t="shared" si="70"/>
        <v>-0.10665899999999999</v>
      </c>
      <c r="BE382">
        <f t="shared" si="71"/>
        <v>-0.18912987197999998</v>
      </c>
    </row>
    <row r="383" spans="6:57">
      <c r="F383" s="9"/>
      <c r="G383" s="22">
        <v>-7.8277600000000003E-2</v>
      </c>
      <c r="H383" s="22">
        <v>10.473800000000001</v>
      </c>
      <c r="I383" s="22">
        <v>-1.58844E-2</v>
      </c>
      <c r="J383" s="22">
        <v>373</v>
      </c>
      <c r="K383" s="22">
        <v>-7.8826900000000005E-2</v>
      </c>
      <c r="L383">
        <f t="shared" si="60"/>
        <v>15.884399999999999</v>
      </c>
      <c r="M383">
        <f t="shared" si="61"/>
        <v>-1.2433927094399999</v>
      </c>
      <c r="N383" s="9"/>
      <c r="O383" s="22">
        <v>1.77826</v>
      </c>
      <c r="P383" s="22">
        <v>49.949100000000001</v>
      </c>
      <c r="Q383" s="22">
        <v>2.0165999999999999E-4</v>
      </c>
      <c r="R383" s="22">
        <v>373</v>
      </c>
      <c r="S383" s="22">
        <v>1.7779499999999999</v>
      </c>
      <c r="T383">
        <f t="shared" si="62"/>
        <v>-0.20165999999999998</v>
      </c>
      <c r="U383">
        <f t="shared" si="63"/>
        <v>-0.35860391159999994</v>
      </c>
      <c r="X383" s="9"/>
      <c r="Y383" s="22">
        <v>-7.8277600000000003E-2</v>
      </c>
      <c r="Z383" s="22">
        <v>57.7607</v>
      </c>
      <c r="AA383" s="22">
        <v>-1.58447E-2</v>
      </c>
      <c r="AB383" s="22">
        <v>373</v>
      </c>
      <c r="AC383" s="22">
        <v>-7.8857399999999994E-2</v>
      </c>
      <c r="AD383">
        <f t="shared" si="64"/>
        <v>15.8447</v>
      </c>
      <c r="AE383">
        <f t="shared" si="65"/>
        <v>-1.2402850887200001</v>
      </c>
      <c r="AF383" s="9"/>
      <c r="AG383" s="22">
        <v>1.77826</v>
      </c>
      <c r="AH383" s="22">
        <v>63.305300000000003</v>
      </c>
      <c r="AI383" s="22">
        <v>2.14081E-4</v>
      </c>
      <c r="AJ383" s="22">
        <v>373</v>
      </c>
      <c r="AK383" s="22">
        <v>1.77765</v>
      </c>
      <c r="AL383">
        <f t="shared" si="66"/>
        <v>-0.21408099999999999</v>
      </c>
      <c r="AM383">
        <f t="shared" si="67"/>
        <v>-0.38069167905999995</v>
      </c>
      <c r="AP383" s="9"/>
      <c r="AQ383" s="22">
        <v>-7.8277600000000003E-2</v>
      </c>
      <c r="AR383" s="22">
        <v>70.305000000000007</v>
      </c>
      <c r="AS383" s="22">
        <v>-1.57623E-2</v>
      </c>
      <c r="AT383" s="22">
        <v>373</v>
      </c>
      <c r="AU383" s="22">
        <v>-7.8826900000000005E-2</v>
      </c>
      <c r="AV383">
        <f t="shared" si="68"/>
        <v>15.7623</v>
      </c>
      <c r="AW383">
        <f t="shared" si="69"/>
        <v>-1.2338350144800001</v>
      </c>
      <c r="AX383" s="9"/>
      <c r="AY383" s="22">
        <v>1.77826</v>
      </c>
      <c r="AZ383" s="22">
        <v>75.581599999999995</v>
      </c>
      <c r="BA383" s="22">
        <v>2.1777299999999999E-4</v>
      </c>
      <c r="BB383" s="22">
        <v>373</v>
      </c>
      <c r="BC383" s="22">
        <v>1.77765</v>
      </c>
      <c r="BD383">
        <f t="shared" si="70"/>
        <v>-0.21777299999999999</v>
      </c>
      <c r="BE383">
        <f t="shared" si="71"/>
        <v>-0.38725701497999998</v>
      </c>
    </row>
    <row r="384" spans="6:57">
      <c r="F384" s="9"/>
      <c r="G384" s="22">
        <v>-8.3312999999999998E-2</v>
      </c>
      <c r="H384" s="22">
        <v>10.4839</v>
      </c>
      <c r="I384" s="22">
        <v>-1.58966E-2</v>
      </c>
      <c r="J384" s="22">
        <v>374</v>
      </c>
      <c r="K384" s="22">
        <v>-8.3862300000000001E-2</v>
      </c>
      <c r="L384">
        <f t="shared" si="60"/>
        <v>15.896600000000001</v>
      </c>
      <c r="M384">
        <f t="shared" si="61"/>
        <v>-1.3243934358</v>
      </c>
      <c r="N384" s="9"/>
      <c r="O384" s="22">
        <v>1.78329</v>
      </c>
      <c r="P384" s="22">
        <v>49.959099999999999</v>
      </c>
      <c r="Q384" s="22">
        <v>3.1744400000000001E-4</v>
      </c>
      <c r="R384" s="22">
        <v>374</v>
      </c>
      <c r="S384" s="22">
        <v>1.78284</v>
      </c>
      <c r="T384">
        <f t="shared" si="62"/>
        <v>-0.317444</v>
      </c>
      <c r="U384">
        <f t="shared" si="63"/>
        <v>-0.56609471076000006</v>
      </c>
      <c r="X384" s="9"/>
      <c r="Y384" s="22">
        <v>-8.3312999999999998E-2</v>
      </c>
      <c r="Z384" s="22">
        <v>57.770800000000001</v>
      </c>
      <c r="AA384" s="22">
        <v>-1.5862999999999999E-2</v>
      </c>
      <c r="AB384" s="22">
        <v>374</v>
      </c>
      <c r="AC384" s="22">
        <v>-8.3923300000000006E-2</v>
      </c>
      <c r="AD384">
        <f t="shared" si="64"/>
        <v>15.862999999999998</v>
      </c>
      <c r="AE384">
        <f t="shared" si="65"/>
        <v>-1.3215941189999998</v>
      </c>
      <c r="AF384" s="9"/>
      <c r="AG384" s="22">
        <v>1.78329</v>
      </c>
      <c r="AH384" s="22">
        <v>63.315399999999997</v>
      </c>
      <c r="AI384" s="22">
        <v>3.2617200000000001E-4</v>
      </c>
      <c r="AJ384" s="22">
        <v>374</v>
      </c>
      <c r="AK384" s="22">
        <v>1.78223</v>
      </c>
      <c r="AL384">
        <f t="shared" si="66"/>
        <v>-0.32617200000000002</v>
      </c>
      <c r="AM384">
        <f t="shared" si="67"/>
        <v>-0.58165926588000005</v>
      </c>
      <c r="AP384" s="9"/>
      <c r="AQ384" s="22">
        <v>-8.3312999999999998E-2</v>
      </c>
      <c r="AR384" s="22">
        <v>70.314999999999998</v>
      </c>
      <c r="AS384" s="22">
        <v>-1.57745E-2</v>
      </c>
      <c r="AT384" s="22">
        <v>374</v>
      </c>
      <c r="AU384" s="22">
        <v>-8.3862300000000001E-2</v>
      </c>
      <c r="AV384">
        <f t="shared" si="68"/>
        <v>15.7745</v>
      </c>
      <c r="AW384">
        <f t="shared" si="69"/>
        <v>-1.3142209185</v>
      </c>
      <c r="AX384" s="9"/>
      <c r="AY384" s="22">
        <v>1.78329</v>
      </c>
      <c r="AZ384" s="22">
        <v>75.591700000000003</v>
      </c>
      <c r="BA384" s="22">
        <v>3.2943700000000002E-4</v>
      </c>
      <c r="BB384" s="22">
        <v>374</v>
      </c>
      <c r="BC384" s="22">
        <v>1.78223</v>
      </c>
      <c r="BD384">
        <f t="shared" si="70"/>
        <v>-0.32943700000000004</v>
      </c>
      <c r="BE384">
        <f t="shared" si="71"/>
        <v>-0.58748170773000008</v>
      </c>
    </row>
    <row r="385" spans="6:57">
      <c r="F385" s="9"/>
      <c r="G385" s="22">
        <v>-8.8348399999999994E-2</v>
      </c>
      <c r="H385" s="22">
        <v>10.494</v>
      </c>
      <c r="I385" s="22">
        <v>-1.5914899999999999E-2</v>
      </c>
      <c r="J385" s="22">
        <v>375</v>
      </c>
      <c r="K385" s="22">
        <v>-8.8867199999999993E-2</v>
      </c>
      <c r="L385">
        <f t="shared" si="60"/>
        <v>15.914899999999999</v>
      </c>
      <c r="M385">
        <f t="shared" si="61"/>
        <v>-1.4060559511599999</v>
      </c>
      <c r="N385" s="9"/>
      <c r="O385" s="22">
        <v>1.78833</v>
      </c>
      <c r="P385" s="22">
        <v>49.969200000000001</v>
      </c>
      <c r="Q385" s="22">
        <v>4.3396E-4</v>
      </c>
      <c r="R385" s="22">
        <v>375</v>
      </c>
      <c r="S385" s="22">
        <v>1.78772</v>
      </c>
      <c r="T385">
        <f t="shared" si="62"/>
        <v>-0.43396000000000001</v>
      </c>
      <c r="U385">
        <f t="shared" si="63"/>
        <v>-0.77606368680000004</v>
      </c>
      <c r="X385" s="9"/>
      <c r="Y385" s="22">
        <v>-8.8348399999999994E-2</v>
      </c>
      <c r="Z385" s="22">
        <v>57.780900000000003</v>
      </c>
      <c r="AA385" s="22">
        <v>-1.58722E-2</v>
      </c>
      <c r="AB385" s="22">
        <v>375</v>
      </c>
      <c r="AC385" s="22">
        <v>-8.8928199999999999E-2</v>
      </c>
      <c r="AD385">
        <f t="shared" si="64"/>
        <v>15.872199999999999</v>
      </c>
      <c r="AE385">
        <f t="shared" si="65"/>
        <v>-1.4022834744799999</v>
      </c>
      <c r="AF385" s="9"/>
      <c r="AG385" s="22">
        <v>1.78833</v>
      </c>
      <c r="AH385" s="22">
        <v>63.325499999999998</v>
      </c>
      <c r="AI385" s="22">
        <v>4.3856800000000002E-4</v>
      </c>
      <c r="AJ385" s="22">
        <v>375</v>
      </c>
      <c r="AK385" s="22">
        <v>1.7874099999999999</v>
      </c>
      <c r="AL385">
        <f t="shared" si="66"/>
        <v>-0.43856800000000001</v>
      </c>
      <c r="AM385">
        <f t="shared" si="67"/>
        <v>-0.78430431144000001</v>
      </c>
      <c r="AP385" s="9"/>
      <c r="AQ385" s="22">
        <v>-8.8348399999999994E-2</v>
      </c>
      <c r="AR385" s="22">
        <v>70.325100000000006</v>
      </c>
      <c r="AS385" s="22">
        <v>-1.5802E-2</v>
      </c>
      <c r="AT385" s="22">
        <v>375</v>
      </c>
      <c r="AU385" s="22">
        <v>-8.8867199999999993E-2</v>
      </c>
      <c r="AV385">
        <f t="shared" si="68"/>
        <v>15.802</v>
      </c>
      <c r="AW385">
        <f t="shared" si="69"/>
        <v>-1.3960814168</v>
      </c>
      <c r="AX385" s="9"/>
      <c r="AY385" s="22">
        <v>1.78833</v>
      </c>
      <c r="AZ385" s="22">
        <v>75.601699999999994</v>
      </c>
      <c r="BA385" s="22">
        <v>4.4235200000000002E-4</v>
      </c>
      <c r="BB385" s="22">
        <v>375</v>
      </c>
      <c r="BC385" s="22">
        <v>1.7874099999999999</v>
      </c>
      <c r="BD385">
        <f t="shared" si="70"/>
        <v>-0.44235200000000002</v>
      </c>
      <c r="BE385">
        <f t="shared" si="71"/>
        <v>-0.79107135216000002</v>
      </c>
    </row>
    <row r="386" spans="6:57">
      <c r="F386" s="9"/>
      <c r="G386" s="22">
        <v>-9.3383800000000003E-2</v>
      </c>
      <c r="H386" s="22">
        <v>10.504</v>
      </c>
      <c r="I386" s="22">
        <v>-1.5933200000000002E-2</v>
      </c>
      <c r="J386" s="22">
        <v>376</v>
      </c>
      <c r="K386" s="22">
        <v>-9.3994099999999997E-2</v>
      </c>
      <c r="L386">
        <f t="shared" si="60"/>
        <v>15.933200000000001</v>
      </c>
      <c r="M386">
        <f t="shared" si="61"/>
        <v>-1.4879027621600001</v>
      </c>
      <c r="N386" s="9"/>
      <c r="O386" s="22">
        <v>1.7933699999999999</v>
      </c>
      <c r="P386" s="22">
        <v>49.979300000000002</v>
      </c>
      <c r="Q386" s="22">
        <v>5.4962200000000004E-4</v>
      </c>
      <c r="R386" s="22">
        <v>376</v>
      </c>
      <c r="S386" s="22">
        <v>1.79291</v>
      </c>
      <c r="T386">
        <f t="shared" si="62"/>
        <v>-0.54962200000000005</v>
      </c>
      <c r="U386">
        <f t="shared" si="63"/>
        <v>-0.98567560614000005</v>
      </c>
      <c r="X386" s="9"/>
      <c r="Y386" s="22">
        <v>-9.3383800000000003E-2</v>
      </c>
      <c r="Z386" s="22">
        <v>57.790900000000001</v>
      </c>
      <c r="AA386" s="22">
        <v>-1.5887499999999999E-2</v>
      </c>
      <c r="AB386" s="22">
        <v>376</v>
      </c>
      <c r="AC386" s="22">
        <v>-9.3902600000000003E-2</v>
      </c>
      <c r="AD386">
        <f t="shared" si="64"/>
        <v>15.887499999999999</v>
      </c>
      <c r="AE386">
        <f t="shared" si="65"/>
        <v>-1.4836351225</v>
      </c>
      <c r="AF386" s="9"/>
      <c r="AG386" s="22">
        <v>1.7933699999999999</v>
      </c>
      <c r="AH386" s="22">
        <v>63.335599999999999</v>
      </c>
      <c r="AI386" s="22">
        <v>5.5053700000000003E-4</v>
      </c>
      <c r="AJ386" s="22">
        <v>376</v>
      </c>
      <c r="AK386" s="22">
        <v>1.79321</v>
      </c>
      <c r="AL386">
        <f t="shared" si="66"/>
        <v>-0.55053700000000005</v>
      </c>
      <c r="AM386">
        <f t="shared" si="67"/>
        <v>-0.98731653968999999</v>
      </c>
      <c r="AP386" s="9"/>
      <c r="AQ386" s="22">
        <v>-9.3383800000000003E-2</v>
      </c>
      <c r="AR386" s="22">
        <v>70.3352</v>
      </c>
      <c r="AS386" s="22">
        <v>-1.5823400000000001E-2</v>
      </c>
      <c r="AT386" s="22">
        <v>376</v>
      </c>
      <c r="AU386" s="22">
        <v>-9.3902600000000003E-2</v>
      </c>
      <c r="AV386">
        <f t="shared" si="68"/>
        <v>15.823400000000001</v>
      </c>
      <c r="AW386">
        <f t="shared" si="69"/>
        <v>-1.4776492209200001</v>
      </c>
      <c r="AX386" s="9"/>
      <c r="AY386" s="22">
        <v>1.7933699999999999</v>
      </c>
      <c r="AZ386" s="22">
        <v>75.611800000000002</v>
      </c>
      <c r="BA386" s="22">
        <v>5.5450400000000004E-4</v>
      </c>
      <c r="BB386" s="22">
        <v>376</v>
      </c>
      <c r="BC386" s="22">
        <v>1.79291</v>
      </c>
      <c r="BD386">
        <f t="shared" si="70"/>
        <v>-0.554504</v>
      </c>
      <c r="BE386">
        <f t="shared" si="71"/>
        <v>-0.99443083847999991</v>
      </c>
    </row>
    <row r="387" spans="6:57">
      <c r="F387" s="9"/>
      <c r="G387" s="22">
        <v>-9.8419199999999998E-2</v>
      </c>
      <c r="H387" s="22">
        <v>10.514099999999999</v>
      </c>
      <c r="I387" s="22">
        <v>-1.59515E-2</v>
      </c>
      <c r="J387" s="22">
        <v>377</v>
      </c>
      <c r="K387" s="22">
        <v>-9.8968500000000001E-2</v>
      </c>
      <c r="L387">
        <f t="shared" si="60"/>
        <v>15.951500000000001</v>
      </c>
      <c r="M387">
        <f t="shared" si="61"/>
        <v>-1.5699338688000002</v>
      </c>
      <c r="N387" s="9"/>
      <c r="O387" s="22">
        <v>1.7984</v>
      </c>
      <c r="P387" s="22">
        <v>49.989400000000003</v>
      </c>
      <c r="Q387" s="22">
        <v>6.6711400000000001E-4</v>
      </c>
      <c r="R387" s="22">
        <v>377</v>
      </c>
      <c r="S387" s="22">
        <v>1.79749</v>
      </c>
      <c r="T387">
        <f t="shared" si="62"/>
        <v>-0.66711399999999998</v>
      </c>
      <c r="U387">
        <f t="shared" si="63"/>
        <v>-1.1997378176</v>
      </c>
      <c r="X387" s="9"/>
      <c r="Y387" s="22">
        <v>-9.8419199999999998E-2</v>
      </c>
      <c r="Z387" s="22">
        <v>57.801000000000002</v>
      </c>
      <c r="AA387" s="22">
        <v>-1.5914899999999999E-2</v>
      </c>
      <c r="AB387" s="22">
        <v>377</v>
      </c>
      <c r="AC387" s="22">
        <v>-9.9029500000000006E-2</v>
      </c>
      <c r="AD387">
        <f t="shared" si="64"/>
        <v>15.914899999999999</v>
      </c>
      <c r="AE387">
        <f t="shared" si="65"/>
        <v>-1.5663317260799998</v>
      </c>
      <c r="AF387" s="9"/>
      <c r="AG387" s="22">
        <v>1.7984</v>
      </c>
      <c r="AH387" s="22">
        <v>63.345599999999997</v>
      </c>
      <c r="AI387" s="22">
        <v>6.6558800000000005E-4</v>
      </c>
      <c r="AJ387" s="22">
        <v>377</v>
      </c>
      <c r="AK387" s="22">
        <v>1.79779</v>
      </c>
      <c r="AL387">
        <f t="shared" si="66"/>
        <v>-0.66558800000000007</v>
      </c>
      <c r="AM387">
        <f t="shared" si="67"/>
        <v>-1.1969934592000002</v>
      </c>
      <c r="AP387" s="9"/>
      <c r="AQ387" s="22">
        <v>-9.8419199999999998E-2</v>
      </c>
      <c r="AR387" s="22">
        <v>70.345299999999995</v>
      </c>
      <c r="AS387" s="22">
        <v>-1.5847799999999999E-2</v>
      </c>
      <c r="AT387" s="22">
        <v>377</v>
      </c>
      <c r="AU387" s="22">
        <v>-9.8999000000000004E-2</v>
      </c>
      <c r="AV387">
        <f t="shared" si="68"/>
        <v>15.847799999999999</v>
      </c>
      <c r="AW387">
        <f t="shared" si="69"/>
        <v>-1.5597277977599999</v>
      </c>
      <c r="AX387" s="9"/>
      <c r="AY387" s="22">
        <v>1.7984</v>
      </c>
      <c r="AZ387" s="22">
        <v>75.621899999999997</v>
      </c>
      <c r="BA387" s="22">
        <v>6.6803000000000001E-4</v>
      </c>
      <c r="BB387" s="22">
        <v>377</v>
      </c>
      <c r="BC387" s="22">
        <v>1.79749</v>
      </c>
      <c r="BD387">
        <f t="shared" si="70"/>
        <v>-0.66803000000000001</v>
      </c>
      <c r="BE387">
        <f t="shared" si="71"/>
        <v>-1.2013851520000001</v>
      </c>
    </row>
    <row r="388" spans="6:57">
      <c r="F388" s="9"/>
      <c r="G388" s="22">
        <v>-0.10345500000000001</v>
      </c>
      <c r="H388" s="22">
        <v>10.5242</v>
      </c>
      <c r="I388" s="22">
        <v>-1.5976000000000001E-2</v>
      </c>
      <c r="J388" s="22">
        <v>378</v>
      </c>
      <c r="K388" s="22">
        <v>-0.103912</v>
      </c>
      <c r="L388">
        <f t="shared" si="60"/>
        <v>15.976000000000001</v>
      </c>
      <c r="M388">
        <f t="shared" si="61"/>
        <v>-1.6527970800000003</v>
      </c>
      <c r="N388" s="9"/>
      <c r="O388" s="22">
        <v>1.8034399999999999</v>
      </c>
      <c r="P388" s="22">
        <v>49.999400000000001</v>
      </c>
      <c r="Q388" s="22">
        <v>7.8460699999999999E-4</v>
      </c>
      <c r="R388" s="22">
        <v>378</v>
      </c>
      <c r="S388" s="22">
        <v>1.80267</v>
      </c>
      <c r="T388">
        <f t="shared" si="62"/>
        <v>-0.78460699999999994</v>
      </c>
      <c r="U388">
        <f t="shared" si="63"/>
        <v>-1.4149916480799998</v>
      </c>
      <c r="X388" s="9"/>
      <c r="Y388" s="22">
        <v>-0.10345500000000001</v>
      </c>
      <c r="Z388" s="22">
        <v>57.811100000000003</v>
      </c>
      <c r="AA388" s="22">
        <v>-1.59363E-2</v>
      </c>
      <c r="AB388" s="22">
        <v>378</v>
      </c>
      <c r="AC388" s="22">
        <v>-0.103912</v>
      </c>
      <c r="AD388">
        <f t="shared" si="64"/>
        <v>15.936300000000001</v>
      </c>
      <c r="AE388">
        <f t="shared" si="65"/>
        <v>-1.6486899165000002</v>
      </c>
      <c r="AF388" s="9"/>
      <c r="AG388" s="22">
        <v>1.8034399999999999</v>
      </c>
      <c r="AH388" s="22">
        <v>63.355699999999999</v>
      </c>
      <c r="AI388" s="22">
        <v>7.7972399999999998E-4</v>
      </c>
      <c r="AJ388" s="22">
        <v>378</v>
      </c>
      <c r="AK388" s="22">
        <v>1.80176</v>
      </c>
      <c r="AL388">
        <f t="shared" si="66"/>
        <v>-0.77972399999999997</v>
      </c>
      <c r="AM388">
        <f t="shared" si="67"/>
        <v>-1.40618545056</v>
      </c>
      <c r="AP388" s="9"/>
      <c r="AQ388" s="22">
        <v>-0.10345500000000001</v>
      </c>
      <c r="AR388" s="22">
        <v>70.3553</v>
      </c>
      <c r="AS388" s="22">
        <v>-1.5862999999999999E-2</v>
      </c>
      <c r="AT388" s="22">
        <v>378</v>
      </c>
      <c r="AU388" s="22">
        <v>-0.103912</v>
      </c>
      <c r="AV388">
        <f t="shared" si="68"/>
        <v>15.862999999999998</v>
      </c>
      <c r="AW388">
        <f t="shared" si="69"/>
        <v>-1.6411066649999999</v>
      </c>
      <c r="AX388" s="9"/>
      <c r="AY388" s="22">
        <v>1.8034399999999999</v>
      </c>
      <c r="AZ388" s="22">
        <v>75.631900000000002</v>
      </c>
      <c r="BA388" s="22">
        <v>7.8094500000000001E-4</v>
      </c>
      <c r="BB388" s="22">
        <v>378</v>
      </c>
      <c r="BC388" s="22">
        <v>1.80237</v>
      </c>
      <c r="BD388">
        <f t="shared" si="70"/>
        <v>-0.780945</v>
      </c>
      <c r="BE388">
        <f t="shared" si="71"/>
        <v>-1.4083874508000001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839.48360655688884</v>
      </c>
      <c r="H2" s="2"/>
      <c r="I2" s="6" t="s">
        <v>12</v>
      </c>
      <c r="J2" s="2"/>
      <c r="K2" s="7" t="s">
        <v>13</v>
      </c>
      <c r="L2" s="3">
        <f>L4*I6*L9/100*100</f>
        <v>15.430230655999999</v>
      </c>
      <c r="M2" s="8" t="s">
        <v>14</v>
      </c>
      <c r="N2" s="9"/>
      <c r="O2" s="2">
        <f>ABS(S7-S6)/ABS(T7-T6)*1000</f>
        <v>833.97983606606033</v>
      </c>
      <c r="P2" s="2"/>
      <c r="Q2" s="6" t="s">
        <v>15</v>
      </c>
      <c r="R2" s="2"/>
      <c r="S2" s="7" t="s">
        <v>13</v>
      </c>
      <c r="T2" s="3">
        <f>T4*Q6*T9/100*100</f>
        <v>13.927686912000004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15.856576328999999</v>
      </c>
      <c r="AE2" s="8" t="s">
        <v>14</v>
      </c>
      <c r="AF2" s="9"/>
      <c r="AG2" s="2">
        <f>ABS(AK7-AK6)/ABS(AL7-AL6)*1000</f>
        <v>1691.6893333332694</v>
      </c>
      <c r="AH2" s="2"/>
      <c r="AI2" s="6" t="s">
        <v>15</v>
      </c>
      <c r="AJ2" s="2"/>
      <c r="AK2" s="7" t="s">
        <v>13</v>
      </c>
      <c r="AL2" s="3">
        <f>AL4*AI6*AL9/100*100</f>
        <v>14.237259512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15.925795896</v>
      </c>
      <c r="AW2" s="8" t="s">
        <v>14</v>
      </c>
      <c r="AX2" s="9"/>
      <c r="AY2" s="2">
        <f>ABS(BC7-BC6)/ABS(BD7-BD6)*1000</f>
        <v>4895.6161290380578</v>
      </c>
      <c r="AZ2" s="2"/>
      <c r="BA2" s="6" t="s">
        <v>15</v>
      </c>
      <c r="BB2" s="2"/>
      <c r="BC2" s="7" t="s">
        <v>13</v>
      </c>
      <c r="BD2" s="3">
        <f>BD4*BA6*BD9/100*100</f>
        <v>14.374612791999999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-3.1189000000000001E-2</v>
      </c>
      <c r="L3" s="35" t="s">
        <v>16</v>
      </c>
      <c r="M3" s="11">
        <f>M9</f>
        <v>15.430230655999999</v>
      </c>
      <c r="N3" s="9"/>
      <c r="O3" s="2" t="s">
        <v>44</v>
      </c>
      <c r="P3" s="2"/>
      <c r="Q3" s="2">
        <f>INDEX(S11:S1056,MATCH(0,T11:T1056,-1))</f>
        <v>1.7923</v>
      </c>
      <c r="R3" s="2"/>
      <c r="S3" s="10">
        <f>INDEX(T11:T1056,MATCH(Q3,S11:S1056,0))</f>
        <v>7.6019299999999998E-2</v>
      </c>
      <c r="T3" s="35" t="s">
        <v>16</v>
      </c>
      <c r="U3" s="11">
        <f>U9</f>
        <v>13.927686912</v>
      </c>
      <c r="X3" s="9"/>
      <c r="Y3" s="2" t="s">
        <v>44</v>
      </c>
      <c r="Z3" s="2"/>
      <c r="AA3" s="2">
        <f>INDEX(AC11:AC856,MATCH(0,AD11:AD856,1))</f>
        <v>1.80328</v>
      </c>
      <c r="AB3" s="2"/>
      <c r="AC3" s="10">
        <f>INDEX(AD11:AD1056,MATCH(AA3,AC11:AC1056,0))</f>
        <v>-8.4320099999999995E-2</v>
      </c>
      <c r="AD3" s="35" t="s">
        <v>16</v>
      </c>
      <c r="AE3" s="11">
        <f>AE9</f>
        <v>15.856576328999999</v>
      </c>
      <c r="AF3" s="9"/>
      <c r="AG3" s="2" t="s">
        <v>44</v>
      </c>
      <c r="AH3" s="2"/>
      <c r="AI3" s="2">
        <f>INDEX(AK11:AK1056,MATCH(0,AL11:AL1056,-1))</f>
        <v>1.78223</v>
      </c>
      <c r="AJ3" s="2"/>
      <c r="AK3" s="10">
        <f>INDEX(AL11:AL1056,MATCH(AI3,AK11:AK1056,0))</f>
        <v>0.17514000000000002</v>
      </c>
      <c r="AL3" s="35" t="s">
        <v>16</v>
      </c>
      <c r="AM3" s="11">
        <f>AM9</f>
        <v>14.237259512000001</v>
      </c>
      <c r="AP3" s="9"/>
      <c r="AQ3" s="2" t="s">
        <v>44</v>
      </c>
      <c r="AR3" s="2"/>
      <c r="AS3" s="2">
        <f>INDEX(AU11:AU856,MATCH(0,AV11:AV856,1))</f>
        <v>1.80389</v>
      </c>
      <c r="AT3" s="2"/>
      <c r="AU3" s="10">
        <f>INDEX(AV11:AV1056,MATCH(AS3,AU11:AU1056,0))</f>
        <v>-0.20419300000000001</v>
      </c>
      <c r="AV3" s="35" t="s">
        <v>16</v>
      </c>
      <c r="AW3" s="11">
        <f>AW9</f>
        <v>15.925795895999999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8.7066700000000011E-2</v>
      </c>
      <c r="BD3" s="35" t="s">
        <v>16</v>
      </c>
      <c r="BE3" s="11">
        <f>BE9</f>
        <v>14.374612792000001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26.103096533316197</v>
      </c>
      <c r="H4" s="2"/>
      <c r="I4" s="2">
        <f>INDEX(K11:K1000,1+MATCH(0,L11:L856,1))</f>
        <v>1.8042</v>
      </c>
      <c r="J4" s="2"/>
      <c r="K4" s="10">
        <f>INDEX(L11:L1056,MATCH(I4,K11:K1056,0))</f>
        <v>0.15576199999999998</v>
      </c>
      <c r="L4" s="34">
        <f>M3/(I6*L9)</f>
        <v>0.52710626159564833</v>
      </c>
      <c r="M4" s="8" t="s">
        <v>17</v>
      </c>
      <c r="N4" s="9"/>
      <c r="O4" s="2">
        <f>ABS(Q3-Q4)/ABS(S3-S4)*1000</f>
        <v>33.770649922001446</v>
      </c>
      <c r="P4" s="2"/>
      <c r="Q4" s="2">
        <f>INDEX(S11:S856,1+MATCH(0,T11:T856,-1))</f>
        <v>1.79779</v>
      </c>
      <c r="R4" s="2"/>
      <c r="S4" s="10">
        <f>INDEX(T11:T856,MATCH(Q4,S11:S856,0))</f>
        <v>-8.6547900000000011E-2</v>
      </c>
      <c r="T4" s="34">
        <f>U3/(Q6*T9)</f>
        <v>0.47676780864701179</v>
      </c>
      <c r="U4" s="8" t="s">
        <v>17</v>
      </c>
      <c r="X4" s="9"/>
      <c r="Y4" s="2">
        <f>ABS(AA3-AA4)/ABS(AC3-AC4)*1000</f>
        <v>19.32696291907402</v>
      </c>
      <c r="Z4" s="2"/>
      <c r="AA4" s="2">
        <f>INDEX(AC11:AC1000,1+MATCH(0,AD11:AD856,1))</f>
        <v>1.79932</v>
      </c>
      <c r="AB4" s="2"/>
      <c r="AC4" s="10">
        <f>INDEX(AD11:AD1056,MATCH(AA4,AC11:AC1056,0))</f>
        <v>0.120575</v>
      </c>
      <c r="AD4" s="34">
        <f>AE3/(AA6*AD9)</f>
        <v>0.54424441176980098</v>
      </c>
      <c r="AE4" s="8" t="s">
        <v>17</v>
      </c>
      <c r="AF4" s="9"/>
      <c r="AG4" s="2">
        <f>ABS(AI3-AI4)/ABS(AK3-AK4)*1000</f>
        <v>27.790786675392944</v>
      </c>
      <c r="AH4" s="2"/>
      <c r="AI4" s="2">
        <f>INDEX(AK11:AK856,1+MATCH(0,AL11:AL856,-1))</f>
        <v>1.78711</v>
      </c>
      <c r="AJ4" s="2"/>
      <c r="AK4" s="10">
        <f>INDEX(AL11:AL856,MATCH(AI4,AK11:AK856,0))</f>
        <v>-4.5776399999999999E-4</v>
      </c>
      <c r="AL4" s="34">
        <f>AM3/(AI6*AL9)</f>
        <v>0.49013454830488196</v>
      </c>
      <c r="AM4" s="8" t="s">
        <v>17</v>
      </c>
      <c r="AP4" s="9"/>
      <c r="AQ4" s="2">
        <f>ABS(AS3-AS4)/ABS(AU3-AU4)*1000</f>
        <v>24.564158095490374</v>
      </c>
      <c r="AR4" s="2"/>
      <c r="AS4" s="2">
        <f>INDEX(AU11:AU1000,1+MATCH(0,AV11:AV856,1))</f>
        <v>1.79871</v>
      </c>
      <c r="AT4" s="2"/>
      <c r="AU4" s="10">
        <f>INDEX(AV11:AV1056,MATCH(AS4,AU11:AU1056,0))</f>
        <v>6.6833500000000002E-3</v>
      </c>
      <c r="AV4" s="34">
        <f>AW3/(AS6*AV9)</f>
        <v>0.54705111476437762</v>
      </c>
      <c r="AW4" s="8" t="s">
        <v>17</v>
      </c>
      <c r="AX4" s="9"/>
      <c r="AY4" s="2">
        <f>ABS(BA3-BA4)/ABS(BC3-BC4)*1000</f>
        <v>31.811980754575572</v>
      </c>
      <c r="AZ4" s="2"/>
      <c r="BA4" s="2">
        <f>INDEX(BC11:BC856,1+MATCH(0,BD11:BD856,-1))</f>
        <v>1.7880199999999999</v>
      </c>
      <c r="BB4" s="2"/>
      <c r="BC4" s="10">
        <f>INDEX(BD11:BD856,MATCH(BA4,BC11:BC856,0))</f>
        <v>-9.4940200000000002E-2</v>
      </c>
      <c r="BD4" s="34">
        <f>BE3/(BA6*BD9)</f>
        <v>0.49557877528697308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12.747199999999999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11.7126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12.5763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12.023900000000001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12.6312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12.139900000000001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1.8082658705222223</v>
      </c>
      <c r="J6" s="34"/>
      <c r="K6" s="13">
        <f>INDEX(K11:K1056,MATCH(L6,L11:L1056,0))</f>
        <v>1.8463100000000001E-3</v>
      </c>
      <c r="L6" s="10">
        <f>INDEX(L11:L1056,MATCH(0,K11:K1056,-1))</f>
        <v>16.186499999999999</v>
      </c>
      <c r="M6" s="8" t="s">
        <v>22</v>
      </c>
      <c r="N6" s="9"/>
      <c r="O6" s="2"/>
      <c r="P6" s="2"/>
      <c r="Q6" s="36">
        <f>(Q3-Q4)/(S3-S4)*(-S4)+Q4</f>
        <v>1.7948672211676155</v>
      </c>
      <c r="R6" s="36"/>
      <c r="S6" s="13">
        <f>INDEX(S11:S1056,MATCH(T6,T11:T1056,0))</f>
        <v>-4.5013400000000004E-3</v>
      </c>
      <c r="T6" s="10">
        <f>INDEX(T11:T1056,MATCH(0,S11:S1056,1))</f>
        <v>16.281099999999999</v>
      </c>
      <c r="U6" s="8" t="s">
        <v>22</v>
      </c>
      <c r="X6" s="9"/>
      <c r="Y6" s="2"/>
      <c r="Z6" s="2"/>
      <c r="AA6" s="34">
        <f>(AA3-AA4)/(AC3-AC4)*(-AC4)+AA4</f>
        <v>1.8016503485539674</v>
      </c>
      <c r="AB6" s="34"/>
      <c r="AC6" s="13">
        <f>INDEX(AC11:AC1056,MATCH(AD6,AD11:AD1056,0))</f>
        <v>6.6955600000000004E-2</v>
      </c>
      <c r="AD6" s="10">
        <f>INDEX(AD11:AD1056,MATCH(0,AC11:AC1056,-1))</f>
        <v>16.171299999999999</v>
      </c>
      <c r="AE6" s="8" t="s">
        <v>22</v>
      </c>
      <c r="AF6" s="9"/>
      <c r="AG6" s="2"/>
      <c r="AH6" s="2"/>
      <c r="AI6" s="36">
        <f>(AI3-AI4)/(AK3-AK4)*(-AK4)+AI4</f>
        <v>1.7870972783783283</v>
      </c>
      <c r="AJ6" s="36"/>
      <c r="AK6" s="13">
        <f>INDEX(AK11:AK1056,MATCH(AL6,AL11:AL1056,0))</f>
        <v>-4.40063E-3</v>
      </c>
      <c r="AL6" s="10">
        <f>INDEX(AL11:AL1056,MATCH(0,AK11:AK1056,1))</f>
        <v>16.256699999999999</v>
      </c>
      <c r="AM6" s="8" t="s">
        <v>22</v>
      </c>
      <c r="AP6" s="9"/>
      <c r="AQ6" s="2"/>
      <c r="AR6" s="2"/>
      <c r="AS6" s="34">
        <f>(AS3-AS4)/(AU3-AU4)*(-AU4)+AS4</f>
        <v>1.7988741708660074</v>
      </c>
      <c r="AT6" s="34"/>
      <c r="AU6" s="13">
        <f>INDEX(AU11:AU1056,MATCH(AV6,AV11:AV1056,0))</f>
        <v>1.87378E-3</v>
      </c>
      <c r="AV6" s="10">
        <f>INDEX(AV11:AV1056,MATCH(0,AU11:AU1056,-1))</f>
        <v>16.183499999999999</v>
      </c>
      <c r="AW6" s="8" t="s">
        <v>22</v>
      </c>
      <c r="AX6" s="9"/>
      <c r="AY6" s="2"/>
      <c r="AZ6" s="2"/>
      <c r="BA6" s="36">
        <f>(BA3-BA4)/(BC3-BC4)*(-BC4)+BA4</f>
        <v>1.7849997641847644</v>
      </c>
      <c r="BB6" s="36"/>
      <c r="BC6" s="13">
        <f>INDEX(BC11:BC1056,MATCH(BD6,BD11:BD1056,0))</f>
        <v>-4.4158899999999996E-3</v>
      </c>
      <c r="BD6" s="10">
        <f>INDEX(BD11:BD1056,MATCH(0,BC11:BC1056,1))</f>
        <v>16.250600000000002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-3.2745399999999998E-3</v>
      </c>
      <c r="L7" s="10">
        <f>INDEX(L11:L856,1+MATCH(0,K11:K856,-1))</f>
        <v>16.192600000000002</v>
      </c>
      <c r="M7" s="12">
        <f>INDEX(K11:K1056,MATCH(M9,M11:M1056,0))</f>
        <v>1.2100200000000001</v>
      </c>
      <c r="N7" s="9"/>
      <c r="O7" s="2"/>
      <c r="P7" s="2"/>
      <c r="Q7" s="2"/>
      <c r="R7" s="2"/>
      <c r="S7" s="13">
        <f>INDEX(S11:S1056,MATCH(T7,T11:T1056,0))</f>
        <v>5.8593700000000002E-4</v>
      </c>
      <c r="T7" s="10">
        <f>INDEX(T11:T1056,1+MATCH(0,S11:S1056,1))</f>
        <v>16.275000000000002</v>
      </c>
      <c r="U7" s="12">
        <f>INDEX(S11:S1056,MATCH(U9,U11:U1056,0))</f>
        <v>1.18835</v>
      </c>
      <c r="X7" s="9"/>
      <c r="Y7" s="2"/>
      <c r="Z7" s="2"/>
      <c r="AA7" s="2"/>
      <c r="AB7" s="2"/>
      <c r="AC7" s="13">
        <f>INDEX(AC11:AC856,MATCH(AD7,AD11:AD856,1))</f>
        <v>-1.3327E-2</v>
      </c>
      <c r="AD7" s="10">
        <f>INDEX(AD11:AD856,1+MATCH(0,AC11:AC856,-1))</f>
        <v>16.171299999999999</v>
      </c>
      <c r="AE7" s="12">
        <f>INDEX(AC11:AC1056,MATCH(AE9,AE11:AE1056,0))</f>
        <v>1.26068</v>
      </c>
      <c r="AF7" s="9"/>
      <c r="AG7" s="2"/>
      <c r="AH7" s="2"/>
      <c r="AI7" s="2"/>
      <c r="AJ7" s="2"/>
      <c r="AK7" s="13">
        <f>INDEX(AK11:AK1056,MATCH(AL7,AL11:AL1056,0))</f>
        <v>6.7443799999999997E-4</v>
      </c>
      <c r="AL7" s="10">
        <f>INDEX(AL11:AL1056,1+MATCH(0,AK11:AK1056,1))</f>
        <v>16.253699999999998</v>
      </c>
      <c r="AM7" s="12">
        <f>INDEX(AK11:AK1056,MATCH(AM9,AM11:AM1056,0))</f>
        <v>1.1831700000000001</v>
      </c>
      <c r="AP7" s="9"/>
      <c r="AQ7" s="2"/>
      <c r="AR7" s="2"/>
      <c r="AS7" s="2"/>
      <c r="AT7" s="2"/>
      <c r="AU7" s="13">
        <f>INDEX(AU11:AU856,MATCH(AV7,AV11:AV856,1))</f>
        <v>-8.2672100000000005E-3</v>
      </c>
      <c r="AV7" s="10">
        <f>INDEX(AV11:AV856,1+MATCH(0,AU11:AU856,-1))</f>
        <v>16.183499999999999</v>
      </c>
      <c r="AW7" s="12">
        <f>INDEX(AU11:AU1056,MATCH(AW9,AW11:AW1056,0))</f>
        <v>1.2597700000000001</v>
      </c>
      <c r="AX7" s="9"/>
      <c r="AY7" s="2"/>
      <c r="AZ7" s="2"/>
      <c r="BA7" s="2"/>
      <c r="BB7" s="2"/>
      <c r="BC7" s="13">
        <f>INDEX(BC11:BC1056,MATCH(BD7,BD11:BD1056,0))</f>
        <v>-1.95923E-2</v>
      </c>
      <c r="BD7" s="10">
        <f>INDEX(BD11:BD1056,1+MATCH(0,BC11:BC1056,1))</f>
        <v>16.253699999999998</v>
      </c>
      <c r="BE7" s="12">
        <f>INDEX(BC11:BC1056,MATCH(BE9,BE11:BE1056,0))</f>
        <v>1.18347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9.7376622391301417</v>
      </c>
      <c r="J9" s="2"/>
      <c r="K9" s="2"/>
      <c r="L9" s="3">
        <f>(L6-L7)/(K6-K7)*(-K7)+L7</f>
        <v>16.188699340148609</v>
      </c>
      <c r="M9" s="16">
        <f>MAX(M11:M1056)</f>
        <v>15.430230655999999</v>
      </c>
      <c r="N9" s="9"/>
      <c r="O9" s="2"/>
      <c r="P9" s="2"/>
      <c r="Q9" s="2"/>
      <c r="R9" s="2"/>
      <c r="S9" s="2"/>
      <c r="T9" s="3">
        <f>(T6-T7)/(S6-S7)*(-S7)+T7</f>
        <v>16.275702579336649</v>
      </c>
      <c r="U9" s="16">
        <f>MAX(U11:U1056)</f>
        <v>13.927686912</v>
      </c>
      <c r="X9" s="9"/>
      <c r="Y9" s="2"/>
      <c r="Z9" s="2"/>
      <c r="AA9" s="15">
        <f>(MAX(AD2,AL2)-MIN(AD2,AL2))/MAX(AD2,AL2)%</f>
        <v>10.21227270882202</v>
      </c>
      <c r="AB9" s="2"/>
      <c r="AC9" s="2"/>
      <c r="AD9" s="3">
        <f>(AD6-AD7)/(AC6-AC7)*(-AC7)+AD7</f>
        <v>16.171299999999999</v>
      </c>
      <c r="AE9" s="16">
        <f>MAX(AE11:AE1056)</f>
        <v>15.856576328999999</v>
      </c>
      <c r="AF9" s="9"/>
      <c r="AG9" s="2"/>
      <c r="AH9" s="2"/>
      <c r="AI9" s="2"/>
      <c r="AJ9" s="2"/>
      <c r="AK9" s="2"/>
      <c r="AL9" s="3">
        <f>(AL6-AL7)/(AK6-AK7)*(-AK7)+AL7</f>
        <v>16.254098677219694</v>
      </c>
      <c r="AM9" s="16">
        <f>MAX(AM11:AM1056)</f>
        <v>14.237259512000001</v>
      </c>
      <c r="AP9" s="9"/>
      <c r="AQ9" s="2"/>
      <c r="AR9" s="2"/>
      <c r="AS9" s="15">
        <f>(MAX(AV2,BD2)-MIN(AV2,BD2))/MAX(AV2,BD2)%</f>
        <v>9.7400664565191626</v>
      </c>
      <c r="AT9" s="2"/>
      <c r="AU9" s="2"/>
      <c r="AV9" s="3">
        <f>(AV6-AV7)/(AU6-AU7)*(-AU7)+AV7</f>
        <v>16.183499999999999</v>
      </c>
      <c r="AW9" s="16">
        <f>MAX(AW11:AW1056)</f>
        <v>15.925795895999999</v>
      </c>
      <c r="AX9" s="9"/>
      <c r="AY9" s="2"/>
      <c r="AZ9" s="2"/>
      <c r="BA9" s="2"/>
      <c r="BB9" s="2"/>
      <c r="BC9" s="2"/>
      <c r="BD9" s="3">
        <f>(BD6-BD7)/(BC6-BC7)*(-BC7)+BD7</f>
        <v>16.249697990960975</v>
      </c>
      <c r="BE9" s="16">
        <f>MAX(BE11:BE1056)</f>
        <v>14.374612792000001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1.8082658705222223</v>
      </c>
      <c r="B11" s="19">
        <f>IFERROR(L9,0)</f>
        <v>16.188699340148609</v>
      </c>
      <c r="C11" s="20">
        <f>IFERROR(L4,0)</f>
        <v>0.52710626159564833</v>
      </c>
      <c r="D11" s="21">
        <f>IFERROR(L2,0)</f>
        <v>15.430230655999999</v>
      </c>
      <c r="E11" s="21">
        <f>IFERROR(I9,0)</f>
        <v>9.7376622391301417</v>
      </c>
      <c r="F11" s="9"/>
      <c r="G11" s="22">
        <v>1.84494</v>
      </c>
      <c r="H11" s="22">
        <v>49.252200000000002</v>
      </c>
      <c r="I11" s="22">
        <v>1.34369E-3</v>
      </c>
      <c r="J11" s="22">
        <v>1</v>
      </c>
      <c r="K11" s="22">
        <v>1.8438699999999999</v>
      </c>
      <c r="L11">
        <f>-I11/$F$2*1000</f>
        <v>-1.3436900000000001</v>
      </c>
      <c r="M11">
        <f>L11*G11</f>
        <v>-2.4790274286000002</v>
      </c>
      <c r="N11" s="9"/>
      <c r="O11" s="22">
        <v>-9.49097E-2</v>
      </c>
      <c r="P11" s="22">
        <v>67.135099999999994</v>
      </c>
      <c r="Q11" s="22">
        <v>-1.6381799999999998E-2</v>
      </c>
      <c r="R11" s="22">
        <v>1</v>
      </c>
      <c r="S11" s="22">
        <v>-9.5306399999999999E-2</v>
      </c>
      <c r="T11">
        <f>-Q11/$F$2*1000</f>
        <v>16.381799999999998</v>
      </c>
      <c r="U11">
        <f>T11*O11</f>
        <v>-1.5547917234599999</v>
      </c>
      <c r="V11" s="23"/>
      <c r="W11" s="24"/>
      <c r="X11" s="9"/>
      <c r="Y11" s="22">
        <v>1.84494</v>
      </c>
      <c r="Z11" s="22">
        <v>116.694</v>
      </c>
      <c r="AA11" s="22">
        <v>1.7864999999999999E-3</v>
      </c>
      <c r="AB11" s="22">
        <v>1</v>
      </c>
      <c r="AC11" s="22">
        <v>1.8441799999999999</v>
      </c>
      <c r="AD11">
        <f>-AA11/$F$2*1000</f>
        <v>-1.7865</v>
      </c>
      <c r="AE11">
        <f>AD11*Y11</f>
        <v>-3.2959853099999998</v>
      </c>
      <c r="AF11" s="9"/>
      <c r="AG11" s="22">
        <v>-9.49097E-2</v>
      </c>
      <c r="AH11" s="22">
        <v>135.66900000000001</v>
      </c>
      <c r="AI11" s="22">
        <v>-1.63483E-2</v>
      </c>
      <c r="AJ11" s="22">
        <v>1</v>
      </c>
      <c r="AK11" s="22">
        <v>-9.5367400000000005E-2</v>
      </c>
      <c r="AL11">
        <f>-AI11/$F$2*1000</f>
        <v>16.348299999999998</v>
      </c>
      <c r="AM11">
        <f>AL11*AG11</f>
        <v>-1.5516122485099999</v>
      </c>
      <c r="AP11" s="9"/>
      <c r="AQ11" s="22">
        <v>1.84494</v>
      </c>
      <c r="AR11" s="22">
        <v>158.31399999999999</v>
      </c>
      <c r="AS11" s="22">
        <v>1.9674699999999998E-3</v>
      </c>
      <c r="AT11" s="22">
        <v>1</v>
      </c>
      <c r="AU11" s="22">
        <v>1.8438699999999999</v>
      </c>
      <c r="AV11">
        <f>-AS11/$F$2*1000</f>
        <v>-1.9674699999999998</v>
      </c>
      <c r="AW11">
        <f>AV11*AQ11</f>
        <v>-3.6298641017999995</v>
      </c>
      <c r="AX11" s="9"/>
      <c r="AY11" s="22">
        <v>-9.49097E-2</v>
      </c>
      <c r="AZ11" s="22">
        <v>181.17500000000001</v>
      </c>
      <c r="BA11" s="22">
        <v>-1.6345200000000001E-2</v>
      </c>
      <c r="BB11" s="22">
        <v>1</v>
      </c>
      <c r="BC11" s="22">
        <v>-9.5306399999999999E-2</v>
      </c>
      <c r="BD11">
        <f>-BA11/$F$2*1000</f>
        <v>16.345200000000002</v>
      </c>
      <c r="BE11">
        <f>BD11*AY11</f>
        <v>-1.5513180284400001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1.7948672211676155</v>
      </c>
      <c r="B12" s="19">
        <f>IFERROR(T9,0)</f>
        <v>16.275702579336649</v>
      </c>
      <c r="C12" s="20">
        <f>IFERROR(T4,0)</f>
        <v>0.47676780864701179</v>
      </c>
      <c r="D12" s="21">
        <f>IFERROR(T2,0)</f>
        <v>13.927686912000004</v>
      </c>
      <c r="E12" s="21"/>
      <c r="F12" s="9"/>
      <c r="G12" s="22">
        <v>1.8399000000000001</v>
      </c>
      <c r="H12" s="22">
        <v>49.262300000000003</v>
      </c>
      <c r="I12" s="22">
        <v>1.15204E-3</v>
      </c>
      <c r="J12" s="22">
        <v>2</v>
      </c>
      <c r="K12" s="22">
        <v>1.8392900000000001</v>
      </c>
      <c r="L12">
        <f t="shared" ref="L12:L75" si="0">-I12/$F$2*1000</f>
        <v>-1.15204</v>
      </c>
      <c r="M12">
        <f t="shared" ref="M12:M75" si="1">L12*G12</f>
        <v>-2.119638396</v>
      </c>
      <c r="N12" s="9"/>
      <c r="O12" s="22">
        <v>-8.9874300000000004E-2</v>
      </c>
      <c r="P12" s="22">
        <v>67.145099999999999</v>
      </c>
      <c r="Q12" s="22">
        <v>-1.63757E-2</v>
      </c>
      <c r="R12" s="22">
        <v>2</v>
      </c>
      <c r="S12" s="22">
        <v>-9.0301500000000007E-2</v>
      </c>
      <c r="T12">
        <f t="shared" ref="T12:T75" si="2">-Q12/$F$2*1000</f>
        <v>16.375699999999998</v>
      </c>
      <c r="U12">
        <f t="shared" ref="U12:U75" si="3">T12*O12</f>
        <v>-1.47175457451</v>
      </c>
      <c r="V12" s="23"/>
      <c r="W12" s="24"/>
      <c r="X12" s="9"/>
      <c r="Y12" s="22">
        <v>1.8399000000000001</v>
      </c>
      <c r="Z12" s="22">
        <v>116.705</v>
      </c>
      <c r="AA12" s="22">
        <v>1.56372E-3</v>
      </c>
      <c r="AB12" s="22">
        <v>2</v>
      </c>
      <c r="AC12" s="22">
        <v>1.8392900000000001</v>
      </c>
      <c r="AD12">
        <f t="shared" ref="AD12:AD75" si="4">-AA12/$F$2*1000</f>
        <v>-1.56372</v>
      </c>
      <c r="AE12">
        <f t="shared" ref="AE12:AE75" si="5">AD12*Y12</f>
        <v>-2.877088428</v>
      </c>
      <c r="AF12" s="9"/>
      <c r="AG12" s="22">
        <v>-8.9874300000000004E-2</v>
      </c>
      <c r="AH12" s="22">
        <v>135.679</v>
      </c>
      <c r="AI12" s="22">
        <v>-1.6336099999999999E-2</v>
      </c>
      <c r="AJ12" s="22">
        <v>2</v>
      </c>
      <c r="AK12" s="22">
        <v>-9.0301500000000007E-2</v>
      </c>
      <c r="AL12">
        <f t="shared" ref="AL12:AL75" si="6">-AI12/$F$2*1000</f>
        <v>16.336099999999998</v>
      </c>
      <c r="AM12">
        <f t="shared" ref="AM12:AM75" si="7">AL12*AG12</f>
        <v>-1.4681955522299999</v>
      </c>
      <c r="AP12" s="9"/>
      <c r="AQ12" s="22">
        <v>1.8399000000000001</v>
      </c>
      <c r="AR12" s="22">
        <v>158.32400000000001</v>
      </c>
      <c r="AS12" s="22">
        <v>1.73676E-3</v>
      </c>
      <c r="AT12" s="22">
        <v>2</v>
      </c>
      <c r="AU12" s="22">
        <v>1.8389899999999999</v>
      </c>
      <c r="AV12">
        <f t="shared" ref="AV12:AV75" si="8">-AS12/$F$2*1000</f>
        <v>-1.7367599999999999</v>
      </c>
      <c r="AW12">
        <f t="shared" ref="AW12:AW75" si="9">AV12*AQ12</f>
        <v>-3.1954647239999998</v>
      </c>
      <c r="AX12" s="9"/>
      <c r="AY12" s="22">
        <v>-8.9874300000000004E-2</v>
      </c>
      <c r="AZ12" s="22">
        <v>181.185</v>
      </c>
      <c r="BA12" s="22">
        <v>-1.6326899999999998E-2</v>
      </c>
      <c r="BB12" s="22">
        <v>2</v>
      </c>
      <c r="BC12" s="22">
        <v>-9.0331999999999996E-2</v>
      </c>
      <c r="BD12">
        <f t="shared" ref="BD12:BD75" si="10">-BA12/$F$2*1000</f>
        <v>16.326899999999998</v>
      </c>
      <c r="BE12">
        <f t="shared" ref="BE12:BE75" si="11">BD12*AY12</f>
        <v>-1.46736870867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1.8016503485539674</v>
      </c>
      <c r="B13" s="19">
        <f>IFERROR(AD9,0)</f>
        <v>16.171299999999999</v>
      </c>
      <c r="C13" s="20">
        <f>IFERROR(AD4,0)</f>
        <v>0.54424441176980098</v>
      </c>
      <c r="D13" s="21">
        <f>IFERROR(AD2,0)</f>
        <v>15.856576328999999</v>
      </c>
      <c r="E13" s="21">
        <f>IFERROR(AA9,0)</f>
        <v>10.21227270882202</v>
      </c>
      <c r="F13" s="9"/>
      <c r="G13" s="22">
        <v>1.83487</v>
      </c>
      <c r="H13" s="22">
        <v>49.272399999999998</v>
      </c>
      <c r="I13" s="22">
        <v>9.6099900000000003E-4</v>
      </c>
      <c r="J13" s="22">
        <v>3</v>
      </c>
      <c r="K13" s="22">
        <v>1.8341099999999999</v>
      </c>
      <c r="L13">
        <f t="shared" si="0"/>
        <v>-0.96099900000000005</v>
      </c>
      <c r="M13">
        <f t="shared" si="1"/>
        <v>-1.76330823513</v>
      </c>
      <c r="N13" s="9"/>
      <c r="O13" s="22">
        <v>-8.4838899999999995E-2</v>
      </c>
      <c r="P13" s="22">
        <v>67.155199999999994</v>
      </c>
      <c r="Q13" s="22">
        <v>-1.6369600000000002E-2</v>
      </c>
      <c r="R13" s="22">
        <v>3</v>
      </c>
      <c r="S13" s="22">
        <v>-8.5327100000000003E-2</v>
      </c>
      <c r="T13">
        <f t="shared" si="2"/>
        <v>16.369600000000002</v>
      </c>
      <c r="U13">
        <f t="shared" si="3"/>
        <v>-1.3887788574400002</v>
      </c>
      <c r="V13" s="23"/>
      <c r="W13" s="24"/>
      <c r="X13" s="9"/>
      <c r="Y13" s="22">
        <v>1.83487</v>
      </c>
      <c r="Z13" s="22">
        <v>116.715</v>
      </c>
      <c r="AA13" s="22">
        <v>1.3449099999999999E-3</v>
      </c>
      <c r="AB13" s="22">
        <v>3</v>
      </c>
      <c r="AC13" s="22">
        <v>1.8344100000000001</v>
      </c>
      <c r="AD13">
        <f t="shared" si="4"/>
        <v>-1.34491</v>
      </c>
      <c r="AE13">
        <f t="shared" si="5"/>
        <v>-2.4677350117000003</v>
      </c>
      <c r="AF13" s="9"/>
      <c r="AG13" s="22">
        <v>-8.4838899999999995E-2</v>
      </c>
      <c r="AH13" s="22">
        <v>135.68899999999999</v>
      </c>
      <c r="AI13" s="22">
        <v>-1.6330000000000001E-2</v>
      </c>
      <c r="AJ13" s="22">
        <v>3</v>
      </c>
      <c r="AK13" s="22">
        <v>-8.52966E-2</v>
      </c>
      <c r="AL13">
        <f t="shared" si="6"/>
        <v>16.330000000000002</v>
      </c>
      <c r="AM13">
        <f t="shared" si="7"/>
        <v>-1.385419237</v>
      </c>
      <c r="AP13" s="9"/>
      <c r="AQ13" s="22">
        <v>1.83487</v>
      </c>
      <c r="AR13" s="22">
        <v>158.334</v>
      </c>
      <c r="AS13" s="22">
        <v>1.50848E-3</v>
      </c>
      <c r="AT13" s="22">
        <v>3</v>
      </c>
      <c r="AU13" s="22">
        <v>1.8344100000000001</v>
      </c>
      <c r="AV13">
        <f t="shared" si="8"/>
        <v>-1.50848</v>
      </c>
      <c r="AW13">
        <f t="shared" si="9"/>
        <v>-2.7678646975999999</v>
      </c>
      <c r="AX13" s="9"/>
      <c r="AY13" s="22">
        <v>-8.4838899999999995E-2</v>
      </c>
      <c r="AZ13" s="22">
        <v>181.19499999999999</v>
      </c>
      <c r="BA13" s="22">
        <v>-1.6323899999999999E-2</v>
      </c>
      <c r="BB13" s="22">
        <v>3</v>
      </c>
      <c r="BC13" s="22">
        <v>-8.52966E-2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1.7870972783783283</v>
      </c>
      <c r="B14" s="19">
        <f>IFERROR(AL9,0)</f>
        <v>16.254098677219694</v>
      </c>
      <c r="C14" s="20">
        <f>IFERROR(AL4,0)</f>
        <v>0.49013454830488196</v>
      </c>
      <c r="D14" s="21">
        <f>IFERROR(AL2,0)</f>
        <v>14.237259512</v>
      </c>
      <c r="E14" s="21"/>
      <c r="F14" s="9"/>
      <c r="G14" s="22">
        <v>1.8298300000000001</v>
      </c>
      <c r="H14" s="22">
        <v>49.282400000000003</v>
      </c>
      <c r="I14" s="22">
        <v>7.7300999999999997E-4</v>
      </c>
      <c r="J14" s="22">
        <v>4</v>
      </c>
      <c r="K14" s="22">
        <v>1.8292200000000001</v>
      </c>
      <c r="L14">
        <f t="shared" si="0"/>
        <v>-0.77300999999999997</v>
      </c>
      <c r="M14">
        <f t="shared" si="1"/>
        <v>-1.4144768883000001</v>
      </c>
      <c r="N14" s="9"/>
      <c r="O14" s="22">
        <v>-7.9803499999999999E-2</v>
      </c>
      <c r="P14" s="22">
        <v>67.165300000000002</v>
      </c>
      <c r="Q14" s="22">
        <v>-1.63727E-2</v>
      </c>
      <c r="R14" s="22">
        <v>4</v>
      </c>
      <c r="S14" s="22">
        <v>-8.0322299999999999E-2</v>
      </c>
      <c r="T14">
        <f t="shared" si="2"/>
        <v>16.372700000000002</v>
      </c>
      <c r="U14">
        <f t="shared" si="3"/>
        <v>-1.3065987644500001</v>
      </c>
      <c r="V14" s="23"/>
      <c r="W14" s="24"/>
      <c r="X14" s="9"/>
      <c r="Y14" s="22">
        <v>1.8298300000000001</v>
      </c>
      <c r="Z14" s="22">
        <v>116.72499999999999</v>
      </c>
      <c r="AA14" s="22">
        <v>1.1297600000000001E-3</v>
      </c>
      <c r="AB14" s="22">
        <v>4</v>
      </c>
      <c r="AC14" s="22">
        <v>1.8295300000000001</v>
      </c>
      <c r="AD14">
        <f t="shared" si="4"/>
        <v>-1.1297600000000001</v>
      </c>
      <c r="AE14">
        <f t="shared" si="5"/>
        <v>-2.0672687408000003</v>
      </c>
      <c r="AF14" s="9"/>
      <c r="AG14" s="22">
        <v>-7.9803499999999999E-2</v>
      </c>
      <c r="AH14" s="22">
        <v>135.69999999999999</v>
      </c>
      <c r="AI14" s="22">
        <v>-1.63208E-2</v>
      </c>
      <c r="AJ14" s="22">
        <v>4</v>
      </c>
      <c r="AK14" s="22">
        <v>-8.0230700000000002E-2</v>
      </c>
      <c r="AL14">
        <f t="shared" si="6"/>
        <v>16.320799999999998</v>
      </c>
      <c r="AM14">
        <f t="shared" si="7"/>
        <v>-1.3024569627999998</v>
      </c>
      <c r="AP14" s="9"/>
      <c r="AQ14" s="22">
        <v>1.8298300000000001</v>
      </c>
      <c r="AR14" s="22">
        <v>158.34399999999999</v>
      </c>
      <c r="AS14" s="22">
        <v>1.28601E-3</v>
      </c>
      <c r="AT14" s="22">
        <v>4</v>
      </c>
      <c r="AU14" s="22">
        <v>1.8289200000000001</v>
      </c>
      <c r="AV14">
        <f t="shared" si="8"/>
        <v>-1.2860099999999999</v>
      </c>
      <c r="AW14">
        <f t="shared" si="9"/>
        <v>-2.3531796783000001</v>
      </c>
      <c r="AX14" s="9"/>
      <c r="AY14" s="22">
        <v>-7.9803499999999999E-2</v>
      </c>
      <c r="AZ14" s="22">
        <v>181.20500000000001</v>
      </c>
      <c r="BA14" s="22">
        <v>-1.6330000000000001E-2</v>
      </c>
      <c r="BB14" s="22">
        <v>4</v>
      </c>
      <c r="BC14" s="22">
        <v>-8.0291699999999994E-2</v>
      </c>
      <c r="BD14">
        <f t="shared" si="10"/>
        <v>16.330000000000002</v>
      </c>
      <c r="BE14">
        <f t="shared" si="11"/>
        <v>-1.3031911550000002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1.7988741708660074</v>
      </c>
      <c r="B15" s="19">
        <f>IFERROR(AV9,0)</f>
        <v>16.183499999999999</v>
      </c>
      <c r="C15" s="20">
        <f>IFERROR(AV4,0)</f>
        <v>0.54705111476437762</v>
      </c>
      <c r="D15" s="21">
        <f>IFERROR(AV2,0)</f>
        <v>15.925795896</v>
      </c>
      <c r="E15" s="21">
        <f>IFERROR(AS9,0)</f>
        <v>9.7400664565191626</v>
      </c>
      <c r="F15" s="9"/>
      <c r="G15" s="22">
        <v>1.8248</v>
      </c>
      <c r="H15" s="22">
        <v>49.292499999999997</v>
      </c>
      <c r="I15" s="22">
        <v>5.8593800000000004E-4</v>
      </c>
      <c r="J15" s="22">
        <v>5</v>
      </c>
      <c r="K15" s="22">
        <v>1.8240400000000001</v>
      </c>
      <c r="L15">
        <f t="shared" si="0"/>
        <v>-0.58593800000000007</v>
      </c>
      <c r="M15">
        <f t="shared" si="1"/>
        <v>-1.0692196624000001</v>
      </c>
      <c r="N15" s="9"/>
      <c r="O15" s="22">
        <v>-7.4768100000000004E-2</v>
      </c>
      <c r="P15" s="22">
        <v>67.175299999999993</v>
      </c>
      <c r="Q15" s="22">
        <v>-1.63727E-2</v>
      </c>
      <c r="R15" s="22">
        <v>5</v>
      </c>
      <c r="S15" s="22">
        <v>-7.5164800000000004E-2</v>
      </c>
      <c r="T15">
        <f t="shared" si="2"/>
        <v>16.372700000000002</v>
      </c>
      <c r="U15">
        <f t="shared" si="3"/>
        <v>-1.2241556708700001</v>
      </c>
      <c r="V15" s="23"/>
      <c r="W15" s="24"/>
      <c r="X15" s="9"/>
      <c r="Y15" s="22">
        <v>1.8248</v>
      </c>
      <c r="Z15" s="22">
        <v>116.735</v>
      </c>
      <c r="AA15" s="22">
        <v>9.17664E-4</v>
      </c>
      <c r="AB15" s="22">
        <v>5</v>
      </c>
      <c r="AC15" s="22">
        <v>1.8240400000000001</v>
      </c>
      <c r="AD15">
        <f t="shared" si="4"/>
        <v>-0.91766400000000004</v>
      </c>
      <c r="AE15">
        <f t="shared" si="5"/>
        <v>-1.6745532672000001</v>
      </c>
      <c r="AF15" s="9"/>
      <c r="AG15" s="22">
        <v>-7.4768100000000004E-2</v>
      </c>
      <c r="AH15" s="22">
        <v>135.71</v>
      </c>
      <c r="AI15" s="22">
        <v>-1.6311599999999999E-2</v>
      </c>
      <c r="AJ15" s="22">
        <v>5</v>
      </c>
      <c r="AK15" s="22">
        <v>-7.5195300000000007E-2</v>
      </c>
      <c r="AL15">
        <f t="shared" si="6"/>
        <v>16.311599999999999</v>
      </c>
      <c r="AM15">
        <f t="shared" si="7"/>
        <v>-1.2195873399599999</v>
      </c>
      <c r="AP15" s="9"/>
      <c r="AQ15" s="22">
        <v>1.8248</v>
      </c>
      <c r="AR15" s="22">
        <v>158.35499999999999</v>
      </c>
      <c r="AS15" s="22">
        <v>1.0647600000000001E-3</v>
      </c>
      <c r="AT15" s="22">
        <v>5</v>
      </c>
      <c r="AU15" s="22">
        <v>1.8240400000000001</v>
      </c>
      <c r="AV15">
        <f t="shared" si="8"/>
        <v>-1.0647600000000002</v>
      </c>
      <c r="AW15">
        <f t="shared" si="9"/>
        <v>-1.9429740480000002</v>
      </c>
      <c r="AX15" s="9"/>
      <c r="AY15" s="22">
        <v>-7.4768100000000004E-2</v>
      </c>
      <c r="AZ15" s="22">
        <v>181.215</v>
      </c>
      <c r="BA15" s="22">
        <v>-1.6333E-2</v>
      </c>
      <c r="BB15" s="22">
        <v>5</v>
      </c>
      <c r="BC15" s="22">
        <v>-7.5134300000000001E-2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1.7849997641847644</v>
      </c>
      <c r="B16" s="19">
        <f>IFERROR(BD9,0)</f>
        <v>16.249697990960975</v>
      </c>
      <c r="C16" s="20">
        <f>IFERROR(BD4,0)</f>
        <v>0.49557877528697308</v>
      </c>
      <c r="D16" s="21">
        <f>IFERROR(BD2,0)</f>
        <v>14.374612791999999</v>
      </c>
      <c r="E16" s="21"/>
      <c r="F16" s="9"/>
      <c r="G16" s="22">
        <v>1.81976</v>
      </c>
      <c r="H16" s="22">
        <v>49.302599999999998</v>
      </c>
      <c r="I16" s="22">
        <v>4.0112299999999997E-4</v>
      </c>
      <c r="J16" s="22">
        <v>6</v>
      </c>
      <c r="K16" s="22">
        <v>1.81915</v>
      </c>
      <c r="L16">
        <f t="shared" si="0"/>
        <v>-0.40112299999999995</v>
      </c>
      <c r="M16">
        <f t="shared" si="1"/>
        <v>-0.72994759047999991</v>
      </c>
      <c r="N16" s="9"/>
      <c r="O16" s="22">
        <v>-6.9732699999999995E-2</v>
      </c>
      <c r="P16" s="22">
        <v>67.185400000000001</v>
      </c>
      <c r="Q16" s="22">
        <v>-1.6369600000000002E-2</v>
      </c>
      <c r="R16" s="22">
        <v>6</v>
      </c>
      <c r="S16" s="22">
        <v>-7.0251499999999995E-2</v>
      </c>
      <c r="T16">
        <f t="shared" si="2"/>
        <v>16.369600000000002</v>
      </c>
      <c r="U16">
        <f t="shared" si="3"/>
        <v>-1.1414964059200001</v>
      </c>
      <c r="V16" s="23"/>
      <c r="W16" s="24"/>
      <c r="X16" s="9"/>
      <c r="Y16" s="22">
        <v>1.81976</v>
      </c>
      <c r="Z16" s="22">
        <v>116.745</v>
      </c>
      <c r="AA16" s="22">
        <v>7.0678699999999995E-4</v>
      </c>
      <c r="AB16" s="22">
        <v>6</v>
      </c>
      <c r="AC16" s="22">
        <v>1.8188500000000001</v>
      </c>
      <c r="AD16">
        <f t="shared" si="4"/>
        <v>-0.70678699999999994</v>
      </c>
      <c r="AE16">
        <f t="shared" si="5"/>
        <v>-1.2861827111199999</v>
      </c>
      <c r="AF16" s="9"/>
      <c r="AG16" s="22">
        <v>-6.9732699999999995E-2</v>
      </c>
      <c r="AH16" s="22">
        <v>135.72</v>
      </c>
      <c r="AI16" s="22">
        <v>-1.6311599999999999E-2</v>
      </c>
      <c r="AJ16" s="22">
        <v>6</v>
      </c>
      <c r="AK16" s="22">
        <v>-7.0373500000000005E-2</v>
      </c>
      <c r="AL16">
        <f t="shared" si="6"/>
        <v>16.311599999999999</v>
      </c>
      <c r="AM16">
        <f t="shared" si="7"/>
        <v>-1.1374519093199997</v>
      </c>
      <c r="AP16" s="9"/>
      <c r="AQ16" s="22">
        <v>1.81976</v>
      </c>
      <c r="AR16" s="22">
        <v>158.36500000000001</v>
      </c>
      <c r="AS16" s="22">
        <v>8.4716800000000003E-4</v>
      </c>
      <c r="AT16" s="22">
        <v>6</v>
      </c>
      <c r="AU16" s="22">
        <v>1.81915</v>
      </c>
      <c r="AV16">
        <f t="shared" si="8"/>
        <v>-0.84716800000000003</v>
      </c>
      <c r="AW16">
        <f t="shared" si="9"/>
        <v>-1.5416424396800001</v>
      </c>
      <c r="AX16" s="9"/>
      <c r="AY16" s="22">
        <v>-6.9732699999999995E-2</v>
      </c>
      <c r="AZ16" s="22">
        <v>181.226</v>
      </c>
      <c r="BA16" s="22">
        <v>-1.63208E-2</v>
      </c>
      <c r="BB16" s="22">
        <v>6</v>
      </c>
      <c r="BC16" s="22">
        <v>-7.0159899999999997E-2</v>
      </c>
      <c r="BD16">
        <f t="shared" si="10"/>
        <v>16.320799999999998</v>
      </c>
      <c r="BE16">
        <f t="shared" si="11"/>
        <v>-1.1380934501599997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49.312600000000003</v>
      </c>
      <c r="I17" s="22">
        <v>2.1472200000000001E-4</v>
      </c>
      <c r="J17" s="22">
        <v>7</v>
      </c>
      <c r="K17" s="22">
        <v>1.81427</v>
      </c>
      <c r="L17">
        <f t="shared" si="0"/>
        <v>-0.214722</v>
      </c>
      <c r="M17">
        <f t="shared" si="1"/>
        <v>-0.38966245505999997</v>
      </c>
      <c r="N17" s="9"/>
      <c r="O17" s="22">
        <v>-6.4697299999999999E-2</v>
      </c>
      <c r="P17" s="22">
        <v>67.195499999999996</v>
      </c>
      <c r="Q17" s="22">
        <v>-1.63605E-2</v>
      </c>
      <c r="R17" s="22">
        <v>7</v>
      </c>
      <c r="S17" s="22">
        <v>-6.5155000000000005E-2</v>
      </c>
      <c r="T17">
        <f t="shared" si="2"/>
        <v>16.360500000000002</v>
      </c>
      <c r="U17">
        <f t="shared" si="3"/>
        <v>-1.05848017665</v>
      </c>
      <c r="V17" s="23"/>
      <c r="W17" s="24"/>
      <c r="X17" s="9"/>
      <c r="Y17" s="22">
        <v>1.81473</v>
      </c>
      <c r="Z17" s="22">
        <v>116.755</v>
      </c>
      <c r="AA17" s="22">
        <v>4.9743699999999999E-4</v>
      </c>
      <c r="AB17" s="22">
        <v>7</v>
      </c>
      <c r="AC17" s="22">
        <v>1.81427</v>
      </c>
      <c r="AD17">
        <f t="shared" si="4"/>
        <v>-0.49743699999999996</v>
      </c>
      <c r="AE17">
        <f t="shared" si="5"/>
        <v>-0.9027138470099999</v>
      </c>
      <c r="AF17" s="9"/>
      <c r="AG17" s="22">
        <v>-6.4697299999999999E-2</v>
      </c>
      <c r="AH17" s="22">
        <v>135.72999999999999</v>
      </c>
      <c r="AI17" s="22">
        <v>-1.6311599999999999E-2</v>
      </c>
      <c r="AJ17" s="22">
        <v>7</v>
      </c>
      <c r="AK17" s="22">
        <v>-6.5155000000000005E-2</v>
      </c>
      <c r="AL17">
        <f t="shared" si="6"/>
        <v>16.311599999999999</v>
      </c>
      <c r="AM17">
        <f t="shared" si="7"/>
        <v>-1.05531647868</v>
      </c>
      <c r="AP17" s="9"/>
      <c r="AQ17" s="22">
        <v>1.81473</v>
      </c>
      <c r="AR17" s="22">
        <v>158.375</v>
      </c>
      <c r="AS17" s="22">
        <v>6.3049299999999998E-4</v>
      </c>
      <c r="AT17" s="22">
        <v>7</v>
      </c>
      <c r="AU17" s="22">
        <v>1.81427</v>
      </c>
      <c r="AV17">
        <f t="shared" si="8"/>
        <v>-0.63049299999999997</v>
      </c>
      <c r="AW17">
        <f t="shared" si="9"/>
        <v>-1.1441745618899999</v>
      </c>
      <c r="AX17" s="9"/>
      <c r="AY17" s="22">
        <v>-6.4697299999999999E-2</v>
      </c>
      <c r="AZ17" s="22">
        <v>181.23599999999999</v>
      </c>
      <c r="BA17" s="22">
        <v>-1.6308599999999999E-2</v>
      </c>
      <c r="BB17" s="22">
        <v>7</v>
      </c>
      <c r="BC17" s="22">
        <v>-6.5124500000000002E-2</v>
      </c>
      <c r="BD17">
        <f t="shared" si="10"/>
        <v>16.308599999999998</v>
      </c>
      <c r="BE17">
        <f t="shared" si="11"/>
        <v>-1.0551223867799999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49.322699999999998</v>
      </c>
      <c r="I18" s="25">
        <v>3.1189000000000002E-5</v>
      </c>
      <c r="J18" s="22">
        <v>8</v>
      </c>
      <c r="K18" s="22">
        <v>1.80908</v>
      </c>
      <c r="L18">
        <f t="shared" si="0"/>
        <v>-3.1189000000000001E-2</v>
      </c>
      <c r="M18">
        <f t="shared" si="1"/>
        <v>-5.6442421410000006E-2</v>
      </c>
      <c r="N18" s="9"/>
      <c r="O18" s="22">
        <v>-5.9661899999999997E-2</v>
      </c>
      <c r="P18" s="22">
        <v>67.205500000000001</v>
      </c>
      <c r="Q18" s="22">
        <v>-1.63483E-2</v>
      </c>
      <c r="R18" s="22">
        <v>8</v>
      </c>
      <c r="S18" s="22">
        <v>-6.0089099999999999E-2</v>
      </c>
      <c r="T18">
        <f t="shared" si="2"/>
        <v>16.348299999999998</v>
      </c>
      <c r="U18">
        <f t="shared" si="3"/>
        <v>-0.97537063976999983</v>
      </c>
      <c r="V18" s="23"/>
      <c r="W18" s="24"/>
      <c r="X18" s="9"/>
      <c r="Y18" s="22">
        <v>1.80969</v>
      </c>
      <c r="Z18" s="22">
        <v>116.765</v>
      </c>
      <c r="AA18" s="22">
        <v>2.9278600000000001E-4</v>
      </c>
      <c r="AB18" s="22">
        <v>8</v>
      </c>
      <c r="AC18" s="22">
        <v>1.80847</v>
      </c>
      <c r="AD18">
        <f t="shared" si="4"/>
        <v>-0.29278599999999999</v>
      </c>
      <c r="AE18">
        <f t="shared" si="5"/>
        <v>-0.52985189633999996</v>
      </c>
      <c r="AF18" s="9"/>
      <c r="AG18" s="22">
        <v>-5.9661899999999997E-2</v>
      </c>
      <c r="AH18" s="22">
        <v>135.74</v>
      </c>
      <c r="AI18" s="22">
        <v>-1.6305500000000001E-2</v>
      </c>
      <c r="AJ18" s="22">
        <v>8</v>
      </c>
      <c r="AK18" s="22">
        <v>-6.0150099999999998E-2</v>
      </c>
      <c r="AL18">
        <f t="shared" si="6"/>
        <v>16.305500000000002</v>
      </c>
      <c r="AM18">
        <f t="shared" si="7"/>
        <v>-0.97281711045000008</v>
      </c>
      <c r="AP18" s="9"/>
      <c r="AQ18" s="22">
        <v>1.80969</v>
      </c>
      <c r="AR18" s="22">
        <v>158.38499999999999</v>
      </c>
      <c r="AS18" s="22">
        <v>4.1891500000000001E-4</v>
      </c>
      <c r="AT18" s="22">
        <v>8</v>
      </c>
      <c r="AU18" s="22">
        <v>1.80908</v>
      </c>
      <c r="AV18">
        <f t="shared" si="8"/>
        <v>-0.41891500000000004</v>
      </c>
      <c r="AW18">
        <f t="shared" si="9"/>
        <v>-0.7581062863500001</v>
      </c>
      <c r="AX18" s="9"/>
      <c r="AY18" s="22">
        <v>-5.9661899999999997E-2</v>
      </c>
      <c r="AZ18" s="22">
        <v>181.24600000000001</v>
      </c>
      <c r="BA18" s="22">
        <v>-1.6296399999999999E-2</v>
      </c>
      <c r="BB18" s="22">
        <v>8</v>
      </c>
      <c r="BC18" s="22">
        <v>-6.0089099999999999E-2</v>
      </c>
      <c r="BD18">
        <f t="shared" si="10"/>
        <v>16.296399999999998</v>
      </c>
      <c r="BE18">
        <f t="shared" si="11"/>
        <v>-0.9722741871599998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49.332799999999999</v>
      </c>
      <c r="I19" s="22">
        <v>-1.5576199999999999E-4</v>
      </c>
      <c r="J19" s="22">
        <v>9</v>
      </c>
      <c r="K19" s="22">
        <v>1.8042</v>
      </c>
      <c r="L19">
        <f t="shared" si="0"/>
        <v>0.15576199999999998</v>
      </c>
      <c r="M19">
        <f t="shared" si="1"/>
        <v>0.28109745091999994</v>
      </c>
      <c r="N19" s="9"/>
      <c r="O19" s="22">
        <v>-5.4626500000000001E-2</v>
      </c>
      <c r="P19" s="22">
        <v>67.215599999999995</v>
      </c>
      <c r="Q19" s="22">
        <v>-1.6342200000000001E-2</v>
      </c>
      <c r="R19" s="22">
        <v>9</v>
      </c>
      <c r="S19" s="22">
        <v>-5.50842E-2</v>
      </c>
      <c r="T19">
        <f t="shared" si="2"/>
        <v>16.342200000000002</v>
      </c>
      <c r="U19">
        <f t="shared" si="3"/>
        <v>-0.89271718830000013</v>
      </c>
      <c r="V19" s="23"/>
      <c r="W19" s="24"/>
      <c r="X19" s="9"/>
      <c r="Y19" s="22">
        <v>1.8046599999999999</v>
      </c>
      <c r="Z19" s="22">
        <v>116.77500000000001</v>
      </c>
      <c r="AA19" s="25">
        <v>8.4320099999999999E-5</v>
      </c>
      <c r="AB19" s="22">
        <v>9</v>
      </c>
      <c r="AC19" s="22">
        <v>1.80328</v>
      </c>
      <c r="AD19">
        <f t="shared" si="4"/>
        <v>-8.4320099999999995E-2</v>
      </c>
      <c r="AE19">
        <f t="shared" si="5"/>
        <v>-0.15216911166599997</v>
      </c>
      <c r="AF19" s="9"/>
      <c r="AG19" s="22">
        <v>-5.4626500000000001E-2</v>
      </c>
      <c r="AH19" s="22">
        <v>135.75</v>
      </c>
      <c r="AI19" s="22">
        <v>-1.6302500000000001E-2</v>
      </c>
      <c r="AJ19" s="22">
        <v>9</v>
      </c>
      <c r="AK19" s="22">
        <v>-5.5145300000000001E-2</v>
      </c>
      <c r="AL19">
        <f t="shared" si="6"/>
        <v>16.302500000000002</v>
      </c>
      <c r="AM19">
        <f t="shared" si="7"/>
        <v>-0.89054851625000009</v>
      </c>
      <c r="AP19" s="9"/>
      <c r="AQ19" s="22">
        <v>1.8046599999999999</v>
      </c>
      <c r="AR19" s="22">
        <v>158.39500000000001</v>
      </c>
      <c r="AS19" s="22">
        <v>2.04193E-4</v>
      </c>
      <c r="AT19" s="22">
        <v>9</v>
      </c>
      <c r="AU19" s="22">
        <v>1.80389</v>
      </c>
      <c r="AV19">
        <f t="shared" si="8"/>
        <v>-0.20419300000000001</v>
      </c>
      <c r="AW19">
        <f t="shared" si="9"/>
        <v>-0.36849893938</v>
      </c>
      <c r="AX19" s="9"/>
      <c r="AY19" s="22">
        <v>-5.4626500000000001E-2</v>
      </c>
      <c r="AZ19" s="22">
        <v>181.256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49.342799999999997</v>
      </c>
      <c r="I20" s="22">
        <v>-3.3963E-4</v>
      </c>
      <c r="J20" s="22">
        <v>10</v>
      </c>
      <c r="K20" s="22">
        <v>1.79901</v>
      </c>
      <c r="L20">
        <f t="shared" si="0"/>
        <v>0.33962999999999999</v>
      </c>
      <c r="M20">
        <f t="shared" si="1"/>
        <v>0.61120494059999997</v>
      </c>
      <c r="N20" s="9"/>
      <c r="O20" s="22">
        <v>-4.9591099999999999E-2</v>
      </c>
      <c r="P20" s="22">
        <v>67.225700000000003</v>
      </c>
      <c r="Q20" s="22">
        <v>-1.6333E-2</v>
      </c>
      <c r="R20" s="22">
        <v>10</v>
      </c>
      <c r="S20" s="22">
        <v>-4.9987799999999999E-2</v>
      </c>
      <c r="T20">
        <f t="shared" si="2"/>
        <v>16.333000000000002</v>
      </c>
      <c r="U20">
        <f t="shared" si="3"/>
        <v>-0.80997143630000012</v>
      </c>
      <c r="V20" s="23"/>
      <c r="W20" s="24"/>
      <c r="X20" s="9"/>
      <c r="Y20" s="22">
        <v>1.79962</v>
      </c>
      <c r="Z20" s="22">
        <v>116.785</v>
      </c>
      <c r="AA20" s="22">
        <v>-1.20575E-4</v>
      </c>
      <c r="AB20" s="22">
        <v>10</v>
      </c>
      <c r="AC20" s="22">
        <v>1.79932</v>
      </c>
      <c r="AD20">
        <f t="shared" si="4"/>
        <v>0.120575</v>
      </c>
      <c r="AE20">
        <f t="shared" si="5"/>
        <v>0.21698918149999999</v>
      </c>
      <c r="AF20" s="9"/>
      <c r="AG20" s="22">
        <v>-4.9591099999999999E-2</v>
      </c>
      <c r="AH20" s="22">
        <v>135.76</v>
      </c>
      <c r="AI20" s="22">
        <v>-1.6302500000000001E-2</v>
      </c>
      <c r="AJ20" s="22">
        <v>10</v>
      </c>
      <c r="AK20" s="22">
        <v>-5.0170899999999997E-2</v>
      </c>
      <c r="AL20">
        <f t="shared" si="6"/>
        <v>16.302500000000002</v>
      </c>
      <c r="AM20">
        <f t="shared" si="7"/>
        <v>-0.80845890775000007</v>
      </c>
      <c r="AP20" s="9"/>
      <c r="AQ20" s="22">
        <v>1.79962</v>
      </c>
      <c r="AR20" s="22">
        <v>158.405</v>
      </c>
      <c r="AS20" s="25">
        <v>-6.6833500000000001E-6</v>
      </c>
      <c r="AT20" s="22">
        <v>10</v>
      </c>
      <c r="AU20" s="22">
        <v>1.79871</v>
      </c>
      <c r="AV20">
        <f t="shared" si="8"/>
        <v>6.6833500000000002E-3</v>
      </c>
      <c r="AW20">
        <f t="shared" si="9"/>
        <v>1.2027490327E-2</v>
      </c>
      <c r="AX20" s="9"/>
      <c r="AY20" s="22">
        <v>-4.9591099999999999E-2</v>
      </c>
      <c r="AZ20" s="22">
        <v>181.26599999999999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49.352899999999998</v>
      </c>
      <c r="I21" s="22">
        <v>-5.2429199999999999E-4</v>
      </c>
      <c r="J21" s="22">
        <v>11</v>
      </c>
      <c r="K21" s="22">
        <v>1.79382</v>
      </c>
      <c r="L21">
        <f t="shared" si="0"/>
        <v>0.52429199999999998</v>
      </c>
      <c r="M21">
        <f t="shared" si="1"/>
        <v>0.9408891802799999</v>
      </c>
      <c r="N21" s="9"/>
      <c r="O21" s="22">
        <v>-4.4555699999999997E-2</v>
      </c>
      <c r="P21" s="22">
        <v>67.235799999999998</v>
      </c>
      <c r="Q21" s="22">
        <v>-1.6330000000000001E-2</v>
      </c>
      <c r="R21" s="22">
        <v>11</v>
      </c>
      <c r="S21" s="22">
        <v>-4.4833400000000002E-2</v>
      </c>
      <c r="T21">
        <f t="shared" si="2"/>
        <v>16.330000000000002</v>
      </c>
      <c r="U21">
        <f t="shared" si="3"/>
        <v>-0.72759458100000007</v>
      </c>
      <c r="V21" s="23"/>
      <c r="W21" s="24"/>
      <c r="X21" s="9"/>
      <c r="Y21" s="22">
        <v>1.7945899999999999</v>
      </c>
      <c r="Z21" s="22">
        <v>116.795</v>
      </c>
      <c r="AA21" s="22">
        <v>-3.2656900000000002E-4</v>
      </c>
      <c r="AB21" s="22">
        <v>11</v>
      </c>
      <c r="AC21" s="22">
        <v>1.79382</v>
      </c>
      <c r="AD21">
        <f t="shared" si="4"/>
        <v>0.326569</v>
      </c>
      <c r="AE21">
        <f t="shared" si="5"/>
        <v>0.58605746170999995</v>
      </c>
      <c r="AF21" s="9"/>
      <c r="AG21" s="22">
        <v>-4.4555699999999997E-2</v>
      </c>
      <c r="AH21" s="22">
        <v>135.77000000000001</v>
      </c>
      <c r="AI21" s="22">
        <v>-1.6305500000000001E-2</v>
      </c>
      <c r="AJ21" s="22">
        <v>11</v>
      </c>
      <c r="AK21" s="22">
        <v>-4.48425E-2</v>
      </c>
      <c r="AL21">
        <f t="shared" si="6"/>
        <v>16.305500000000002</v>
      </c>
      <c r="AM21">
        <f t="shared" si="7"/>
        <v>-0.72650296635</v>
      </c>
      <c r="AP21" s="9"/>
      <c r="AQ21" s="22">
        <v>1.7945899999999999</v>
      </c>
      <c r="AR21" s="22">
        <v>158.41499999999999</v>
      </c>
      <c r="AS21" s="22">
        <v>-2.1935999999999999E-4</v>
      </c>
      <c r="AT21" s="22">
        <v>11</v>
      </c>
      <c r="AU21" s="22">
        <v>1.79382</v>
      </c>
      <c r="AV21">
        <f t="shared" si="8"/>
        <v>0.21936</v>
      </c>
      <c r="AW21">
        <f t="shared" si="9"/>
        <v>0.39366126239999999</v>
      </c>
      <c r="AX21" s="9"/>
      <c r="AY21" s="22">
        <v>-4.4555699999999997E-2</v>
      </c>
      <c r="AZ21" s="22">
        <v>181.27600000000001</v>
      </c>
      <c r="BA21" s="22">
        <v>-1.62781E-2</v>
      </c>
      <c r="BB21" s="22">
        <v>11</v>
      </c>
      <c r="BC21" s="22">
        <v>-4.4821199999999999E-2</v>
      </c>
      <c r="BD21">
        <f t="shared" si="10"/>
        <v>16.278099999999998</v>
      </c>
      <c r="BE21">
        <f t="shared" si="11"/>
        <v>-0.72528214016999992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49.363</v>
      </c>
      <c r="I22" s="22">
        <v>-7.0739700000000002E-4</v>
      </c>
      <c r="J22" s="22">
        <v>12</v>
      </c>
      <c r="K22" s="22">
        <v>1.78925</v>
      </c>
      <c r="L22">
        <f t="shared" si="0"/>
        <v>0.70739700000000005</v>
      </c>
      <c r="M22">
        <f t="shared" si="1"/>
        <v>1.2659223013500001</v>
      </c>
      <c r="N22" s="9"/>
      <c r="O22" s="22">
        <v>-3.9520300000000001E-2</v>
      </c>
      <c r="P22" s="22">
        <v>67.245800000000003</v>
      </c>
      <c r="Q22" s="22">
        <v>-1.6326899999999998E-2</v>
      </c>
      <c r="R22" s="22">
        <v>12</v>
      </c>
      <c r="S22" s="22">
        <v>-3.9801000000000003E-2</v>
      </c>
      <c r="T22">
        <f t="shared" si="2"/>
        <v>16.326899999999998</v>
      </c>
      <c r="U22">
        <f t="shared" si="3"/>
        <v>-0.64524398607</v>
      </c>
      <c r="V22" s="23"/>
      <c r="W22" s="24"/>
      <c r="X22" s="9"/>
      <c r="Y22" s="22">
        <v>1.78955</v>
      </c>
      <c r="Z22" s="22">
        <v>116.80500000000001</v>
      </c>
      <c r="AA22" s="22">
        <v>-5.3008999999999999E-4</v>
      </c>
      <c r="AB22" s="22">
        <v>12</v>
      </c>
      <c r="AC22" s="22">
        <v>1.78925</v>
      </c>
      <c r="AD22">
        <f t="shared" si="4"/>
        <v>0.53008999999999995</v>
      </c>
      <c r="AE22">
        <f t="shared" si="5"/>
        <v>0.94862255949999985</v>
      </c>
      <c r="AF22" s="9"/>
      <c r="AG22" s="22">
        <v>-3.9520300000000001E-2</v>
      </c>
      <c r="AH22" s="22">
        <v>135.78</v>
      </c>
      <c r="AI22" s="22">
        <v>-1.6305500000000001E-2</v>
      </c>
      <c r="AJ22" s="22">
        <v>12</v>
      </c>
      <c r="AK22" s="22">
        <v>-3.9788799999999999E-2</v>
      </c>
      <c r="AL22">
        <f t="shared" si="6"/>
        <v>16.305500000000002</v>
      </c>
      <c r="AM22">
        <f t="shared" si="7"/>
        <v>-0.64439825165000009</v>
      </c>
      <c r="AP22" s="9"/>
      <c r="AQ22" s="22">
        <v>1.78955</v>
      </c>
      <c r="AR22" s="22">
        <v>158.42500000000001</v>
      </c>
      <c r="AS22" s="22">
        <v>-4.2932099999999998E-4</v>
      </c>
      <c r="AT22" s="22">
        <v>12</v>
      </c>
      <c r="AU22" s="22">
        <v>1.78864</v>
      </c>
      <c r="AV22">
        <f t="shared" si="8"/>
        <v>0.42932099999999995</v>
      </c>
      <c r="AW22">
        <f t="shared" si="9"/>
        <v>0.76829139554999992</v>
      </c>
      <c r="AX22" s="9"/>
      <c r="AY22" s="22">
        <v>-3.9520300000000001E-2</v>
      </c>
      <c r="AZ22" s="22">
        <v>181.286</v>
      </c>
      <c r="BA22" s="22">
        <v>-1.62781E-2</v>
      </c>
      <c r="BB22" s="22">
        <v>12</v>
      </c>
      <c r="BC22" s="22">
        <v>-3.9730799999999997E-2</v>
      </c>
      <c r="BD22">
        <f t="shared" si="10"/>
        <v>16.278099999999998</v>
      </c>
      <c r="BE22">
        <f t="shared" si="11"/>
        <v>-0.64331539542999994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49.373100000000001</v>
      </c>
      <c r="I23" s="22">
        <v>-8.9111300000000002E-4</v>
      </c>
      <c r="J23" s="22">
        <v>13</v>
      </c>
      <c r="K23" s="22">
        <v>1.7837499999999999</v>
      </c>
      <c r="L23">
        <f t="shared" si="0"/>
        <v>0.89111300000000004</v>
      </c>
      <c r="M23">
        <f t="shared" si="1"/>
        <v>1.5902089707600002</v>
      </c>
      <c r="N23" s="9"/>
      <c r="O23" s="22">
        <v>-3.4484899999999999E-2</v>
      </c>
      <c r="P23" s="22">
        <v>67.255899999999997</v>
      </c>
      <c r="Q23" s="22">
        <v>-1.6323899999999999E-2</v>
      </c>
      <c r="R23" s="22">
        <v>13</v>
      </c>
      <c r="S23" s="22">
        <v>-3.4732100000000002E-2</v>
      </c>
      <c r="T23">
        <f t="shared" si="2"/>
        <v>16.323899999999998</v>
      </c>
      <c r="U23">
        <f t="shared" si="3"/>
        <v>-0.56292805910999988</v>
      </c>
      <c r="V23" s="23"/>
      <c r="W23" s="24"/>
      <c r="X23" s="9"/>
      <c r="Y23" s="22">
        <v>1.7845200000000001</v>
      </c>
      <c r="Z23" s="22">
        <v>116.815</v>
      </c>
      <c r="AA23" s="22">
        <v>-7.3089599999999998E-4</v>
      </c>
      <c r="AB23" s="22">
        <v>13</v>
      </c>
      <c r="AC23" s="22">
        <v>1.7837499999999999</v>
      </c>
      <c r="AD23">
        <f t="shared" si="4"/>
        <v>0.73089599999999999</v>
      </c>
      <c r="AE23">
        <f t="shared" si="5"/>
        <v>1.3042985299200001</v>
      </c>
      <c r="AF23" s="9"/>
      <c r="AG23" s="22">
        <v>-3.4484899999999999E-2</v>
      </c>
      <c r="AH23" s="22">
        <v>135.79</v>
      </c>
      <c r="AI23" s="22">
        <v>-1.6299399999999999E-2</v>
      </c>
      <c r="AJ23" s="22">
        <v>13</v>
      </c>
      <c r="AK23" s="22">
        <v>-3.4716799999999999E-2</v>
      </c>
      <c r="AL23">
        <f t="shared" si="6"/>
        <v>16.299399999999999</v>
      </c>
      <c r="AM23">
        <f t="shared" si="7"/>
        <v>-0.56208317905999994</v>
      </c>
      <c r="AP23" s="9"/>
      <c r="AQ23" s="22">
        <v>1.7845200000000001</v>
      </c>
      <c r="AR23" s="22">
        <v>158.435</v>
      </c>
      <c r="AS23" s="22">
        <v>-6.3781700000000005E-4</v>
      </c>
      <c r="AT23" s="22">
        <v>13</v>
      </c>
      <c r="AU23" s="22">
        <v>1.78406</v>
      </c>
      <c r="AV23">
        <f t="shared" si="8"/>
        <v>0.63781700000000008</v>
      </c>
      <c r="AW23">
        <f t="shared" si="9"/>
        <v>1.1381971928400003</v>
      </c>
      <c r="AX23" s="9"/>
      <c r="AY23" s="22">
        <v>-3.4484899999999999E-2</v>
      </c>
      <c r="AZ23" s="22">
        <v>181.29599999999999</v>
      </c>
      <c r="BA23" s="22">
        <v>-1.62781E-2</v>
      </c>
      <c r="BB23" s="22">
        <v>13</v>
      </c>
      <c r="BC23" s="22">
        <v>-3.4689299999999999E-2</v>
      </c>
      <c r="BD23">
        <f t="shared" si="10"/>
        <v>16.278099999999998</v>
      </c>
      <c r="BE23">
        <f t="shared" si="11"/>
        <v>-0.56134865068999995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49.383099999999999</v>
      </c>
      <c r="I24" s="22">
        <v>-1.07391E-3</v>
      </c>
      <c r="J24" s="22">
        <v>14</v>
      </c>
      <c r="K24" s="22">
        <v>1.77887</v>
      </c>
      <c r="L24">
        <f t="shared" si="0"/>
        <v>1.0739099999999999</v>
      </c>
      <c r="M24">
        <f t="shared" si="1"/>
        <v>1.9110013667999999</v>
      </c>
      <c r="N24" s="9"/>
      <c r="O24" s="22">
        <v>-2.94495E-2</v>
      </c>
      <c r="P24" s="22">
        <v>67.266000000000005</v>
      </c>
      <c r="Q24" s="22">
        <v>-1.6314700000000001E-2</v>
      </c>
      <c r="R24" s="22">
        <v>14</v>
      </c>
      <c r="S24" s="22">
        <v>-2.9782099999999999E-2</v>
      </c>
      <c r="T24">
        <f t="shared" si="2"/>
        <v>16.314700000000002</v>
      </c>
      <c r="U24">
        <f t="shared" si="3"/>
        <v>-0.48045975765000004</v>
      </c>
      <c r="V24" s="23"/>
      <c r="W24" s="24"/>
      <c r="X24" s="9"/>
      <c r="Y24" s="22">
        <v>1.77948</v>
      </c>
      <c r="Z24" s="22">
        <v>116.825</v>
      </c>
      <c r="AA24" s="22">
        <v>-9.3231200000000003E-4</v>
      </c>
      <c r="AB24" s="22">
        <v>14</v>
      </c>
      <c r="AC24" s="22">
        <v>1.7791699999999999</v>
      </c>
      <c r="AD24">
        <f t="shared" si="4"/>
        <v>0.93231200000000003</v>
      </c>
      <c r="AE24">
        <f t="shared" si="5"/>
        <v>1.65903055776</v>
      </c>
      <c r="AF24" s="9"/>
      <c r="AG24" s="22">
        <v>-2.94495E-2</v>
      </c>
      <c r="AH24" s="22">
        <v>135.80000000000001</v>
      </c>
      <c r="AI24" s="22">
        <v>-1.62933E-2</v>
      </c>
      <c r="AJ24" s="22">
        <v>14</v>
      </c>
      <c r="AK24" s="22">
        <v>-2.9748500000000001E-2</v>
      </c>
      <c r="AL24">
        <f t="shared" si="6"/>
        <v>16.293299999999999</v>
      </c>
      <c r="AM24">
        <f t="shared" si="7"/>
        <v>-0.47982953834999997</v>
      </c>
      <c r="AP24" s="9"/>
      <c r="AQ24" s="22">
        <v>1.77948</v>
      </c>
      <c r="AR24" s="22">
        <v>158.44499999999999</v>
      </c>
      <c r="AS24" s="22">
        <v>-8.4442100000000004E-4</v>
      </c>
      <c r="AT24" s="22">
        <v>14</v>
      </c>
      <c r="AU24" s="22">
        <v>1.77887</v>
      </c>
      <c r="AV24">
        <f t="shared" si="8"/>
        <v>0.84442100000000009</v>
      </c>
      <c r="AW24">
        <f t="shared" si="9"/>
        <v>1.5026302810800001</v>
      </c>
      <c r="AX24" s="9"/>
      <c r="AY24" s="22">
        <v>-2.94495E-2</v>
      </c>
      <c r="AZ24" s="22">
        <v>181.30600000000001</v>
      </c>
      <c r="BA24" s="22">
        <v>-1.6271999999999998E-2</v>
      </c>
      <c r="BB24" s="22">
        <v>14</v>
      </c>
      <c r="BC24" s="22">
        <v>-2.9702800000000001E-2</v>
      </c>
      <c r="BD24">
        <f t="shared" si="10"/>
        <v>16.271999999999998</v>
      </c>
      <c r="BE24">
        <f t="shared" si="11"/>
        <v>-0.47920226399999993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49.3932</v>
      </c>
      <c r="I25" s="22">
        <v>-1.2558000000000001E-3</v>
      </c>
      <c r="J25" s="22">
        <v>15</v>
      </c>
      <c r="K25" s="22">
        <v>1.77399</v>
      </c>
      <c r="L25">
        <f t="shared" si="0"/>
        <v>1.2558</v>
      </c>
      <c r="M25">
        <f t="shared" si="1"/>
        <v>2.228341752</v>
      </c>
      <c r="N25" s="9"/>
      <c r="O25" s="22">
        <v>-2.4414100000000001E-2</v>
      </c>
      <c r="P25" s="22">
        <v>67.275999999999996</v>
      </c>
      <c r="Q25" s="22">
        <v>-1.6308599999999999E-2</v>
      </c>
      <c r="R25" s="22">
        <v>15</v>
      </c>
      <c r="S25" s="22">
        <v>-2.46246E-2</v>
      </c>
      <c r="T25">
        <f t="shared" si="2"/>
        <v>16.308599999999998</v>
      </c>
      <c r="U25">
        <f t="shared" si="3"/>
        <v>-0.39815979126000001</v>
      </c>
      <c r="V25" s="23"/>
      <c r="W25" s="24"/>
      <c r="X25" s="9"/>
      <c r="Y25" s="22">
        <v>1.77444</v>
      </c>
      <c r="Z25" s="22">
        <v>116.83499999999999</v>
      </c>
      <c r="AA25" s="22">
        <v>-1.1318999999999999E-3</v>
      </c>
      <c r="AB25" s="22">
        <v>15</v>
      </c>
      <c r="AC25" s="22">
        <v>1.7742899999999999</v>
      </c>
      <c r="AD25">
        <f t="shared" si="4"/>
        <v>1.1318999999999999</v>
      </c>
      <c r="AE25">
        <f t="shared" si="5"/>
        <v>2.008488636</v>
      </c>
      <c r="AF25" s="9"/>
      <c r="AG25" s="22">
        <v>-2.4414100000000001E-2</v>
      </c>
      <c r="AH25" s="22">
        <v>135.81</v>
      </c>
      <c r="AI25" s="22">
        <v>-1.6287200000000002E-2</v>
      </c>
      <c r="AJ25" s="22">
        <v>15</v>
      </c>
      <c r="AK25" s="22">
        <v>-2.4642899999999999E-2</v>
      </c>
      <c r="AL25">
        <f t="shared" si="6"/>
        <v>16.287200000000002</v>
      </c>
      <c r="AM25">
        <f t="shared" si="7"/>
        <v>-0.39763732952000008</v>
      </c>
      <c r="AP25" s="9"/>
      <c r="AQ25" s="22">
        <v>1.77444</v>
      </c>
      <c r="AR25" s="22">
        <v>158.45500000000001</v>
      </c>
      <c r="AS25" s="22">
        <v>-1.05042E-3</v>
      </c>
      <c r="AT25" s="22">
        <v>15</v>
      </c>
      <c r="AU25" s="22">
        <v>1.7742899999999999</v>
      </c>
      <c r="AV25">
        <f t="shared" si="8"/>
        <v>1.0504200000000001</v>
      </c>
      <c r="AW25">
        <f t="shared" si="9"/>
        <v>1.8639072648000004</v>
      </c>
      <c r="AX25" s="9"/>
      <c r="AY25" s="22">
        <v>-2.4414100000000001E-2</v>
      </c>
      <c r="AZ25" s="22">
        <v>181.316</v>
      </c>
      <c r="BA25" s="22">
        <v>-1.62659E-2</v>
      </c>
      <c r="BB25" s="22">
        <v>15</v>
      </c>
      <c r="BC25" s="22">
        <v>-2.4615499999999998E-2</v>
      </c>
      <c r="BD25">
        <f t="shared" si="10"/>
        <v>16.265899999999998</v>
      </c>
      <c r="BE25">
        <f t="shared" si="11"/>
        <v>-0.39711730918999999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49.403300000000002</v>
      </c>
      <c r="I26" s="22">
        <v>-1.4370699999999999E-3</v>
      </c>
      <c r="J26" s="22">
        <v>16</v>
      </c>
      <c r="K26" s="22">
        <v>1.7687999999999999</v>
      </c>
      <c r="L26">
        <f t="shared" si="0"/>
        <v>1.4370699999999998</v>
      </c>
      <c r="M26">
        <f t="shared" si="1"/>
        <v>2.5427660286999996</v>
      </c>
      <c r="N26" s="9"/>
      <c r="O26" s="22">
        <v>-1.9378699999999999E-2</v>
      </c>
      <c r="P26" s="22">
        <v>67.286100000000005</v>
      </c>
      <c r="Q26" s="22">
        <v>-1.6302500000000001E-2</v>
      </c>
      <c r="R26" s="22">
        <v>16</v>
      </c>
      <c r="S26" s="22">
        <v>-1.9601400000000001E-2</v>
      </c>
      <c r="T26">
        <f t="shared" si="2"/>
        <v>16.302500000000002</v>
      </c>
      <c r="U26">
        <f t="shared" si="3"/>
        <v>-0.31592125674999999</v>
      </c>
      <c r="V26" s="23"/>
      <c r="W26" s="24"/>
      <c r="X26" s="9"/>
      <c r="Y26" s="22">
        <v>1.7694099999999999</v>
      </c>
      <c r="Z26" s="22">
        <v>116.846</v>
      </c>
      <c r="AA26" s="22">
        <v>-1.3305700000000001E-3</v>
      </c>
      <c r="AB26" s="22">
        <v>16</v>
      </c>
      <c r="AC26" s="22">
        <v>1.7681899999999999</v>
      </c>
      <c r="AD26">
        <f t="shared" si="4"/>
        <v>1.33057</v>
      </c>
      <c r="AE26">
        <f t="shared" si="5"/>
        <v>2.3543238636999999</v>
      </c>
      <c r="AF26" s="9"/>
      <c r="AG26" s="22">
        <v>-1.9378699999999999E-2</v>
      </c>
      <c r="AH26" s="22">
        <v>135.82</v>
      </c>
      <c r="AI26" s="22">
        <v>-1.62781E-2</v>
      </c>
      <c r="AJ26" s="22">
        <v>16</v>
      </c>
      <c r="AK26" s="22">
        <v>-1.96045E-2</v>
      </c>
      <c r="AL26">
        <f t="shared" si="6"/>
        <v>16.278099999999998</v>
      </c>
      <c r="AM26">
        <f t="shared" si="7"/>
        <v>-0.31544841646999994</v>
      </c>
      <c r="AP26" s="9"/>
      <c r="AQ26" s="22">
        <v>1.7694099999999999</v>
      </c>
      <c r="AR26" s="22">
        <v>158.465</v>
      </c>
      <c r="AS26" s="22">
        <v>-1.25519E-3</v>
      </c>
      <c r="AT26" s="22">
        <v>16</v>
      </c>
      <c r="AU26" s="22">
        <v>1.7684899999999999</v>
      </c>
      <c r="AV26">
        <f t="shared" si="8"/>
        <v>1.25519</v>
      </c>
      <c r="AW26">
        <f t="shared" si="9"/>
        <v>2.2209457379000002</v>
      </c>
      <c r="AX26" s="9"/>
      <c r="AY26" s="22">
        <v>-1.9378699999999999E-2</v>
      </c>
      <c r="AZ26" s="22">
        <v>181.32599999999999</v>
      </c>
      <c r="BA26" s="22">
        <v>-1.6253699999999999E-2</v>
      </c>
      <c r="BB26" s="22">
        <v>16</v>
      </c>
      <c r="BC26" s="22">
        <v>-1.95923E-2</v>
      </c>
      <c r="BD26">
        <f t="shared" si="10"/>
        <v>16.253699999999998</v>
      </c>
      <c r="BE26">
        <f t="shared" si="11"/>
        <v>-0.31497557618999994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49.4133</v>
      </c>
      <c r="I27" s="22">
        <v>-1.61713E-3</v>
      </c>
      <c r="J27" s="22">
        <v>17</v>
      </c>
      <c r="K27" s="22">
        <v>1.7639199999999999</v>
      </c>
      <c r="L27">
        <f t="shared" si="0"/>
        <v>1.61713</v>
      </c>
      <c r="M27">
        <f t="shared" si="1"/>
        <v>2.8532156580999999</v>
      </c>
      <c r="N27" s="9"/>
      <c r="O27" s="22">
        <v>-1.43433E-2</v>
      </c>
      <c r="P27" s="22">
        <v>67.296199999999999</v>
      </c>
      <c r="Q27" s="22">
        <v>-1.62933E-2</v>
      </c>
      <c r="R27" s="22">
        <v>17</v>
      </c>
      <c r="S27" s="22">
        <v>-1.45386E-2</v>
      </c>
      <c r="T27">
        <f t="shared" si="2"/>
        <v>16.293299999999999</v>
      </c>
      <c r="U27">
        <f t="shared" si="3"/>
        <v>-0.23369968988999998</v>
      </c>
      <c r="X27" s="9"/>
      <c r="Y27" s="22">
        <v>1.76437</v>
      </c>
      <c r="Z27" s="22">
        <v>116.85599999999999</v>
      </c>
      <c r="AA27" s="22">
        <v>-1.52863E-3</v>
      </c>
      <c r="AB27" s="22">
        <v>17</v>
      </c>
      <c r="AC27" s="22">
        <v>1.7636099999999999</v>
      </c>
      <c r="AD27">
        <f t="shared" si="4"/>
        <v>1.5286299999999999</v>
      </c>
      <c r="AE27">
        <f t="shared" si="5"/>
        <v>2.6970689130999999</v>
      </c>
      <c r="AF27" s="9"/>
      <c r="AG27" s="22">
        <v>-1.43433E-2</v>
      </c>
      <c r="AH27" s="22">
        <v>135.83000000000001</v>
      </c>
      <c r="AI27" s="22">
        <v>-1.6271999999999998E-2</v>
      </c>
      <c r="AJ27" s="22">
        <v>17</v>
      </c>
      <c r="AK27" s="22">
        <v>-1.4462300000000001E-2</v>
      </c>
      <c r="AL27">
        <f t="shared" si="6"/>
        <v>16.271999999999998</v>
      </c>
      <c r="AM27">
        <f t="shared" si="7"/>
        <v>-0.23339417759999997</v>
      </c>
      <c r="AP27" s="9"/>
      <c r="AQ27" s="22">
        <v>1.76437</v>
      </c>
      <c r="AR27" s="22">
        <v>158.47499999999999</v>
      </c>
      <c r="AS27" s="22">
        <v>-1.4575199999999999E-3</v>
      </c>
      <c r="AT27" s="22">
        <v>17</v>
      </c>
      <c r="AU27" s="22">
        <v>1.7639199999999999</v>
      </c>
      <c r="AV27">
        <f t="shared" si="8"/>
        <v>1.4575199999999999</v>
      </c>
      <c r="AW27">
        <f t="shared" si="9"/>
        <v>2.5716045623999997</v>
      </c>
      <c r="AX27" s="9"/>
      <c r="AY27" s="22">
        <v>-1.43433E-2</v>
      </c>
      <c r="AZ27" s="22">
        <v>181.33600000000001</v>
      </c>
      <c r="BA27" s="22">
        <v>-1.6244499999999999E-2</v>
      </c>
      <c r="BB27" s="22">
        <v>17</v>
      </c>
      <c r="BC27" s="22">
        <v>-1.4523299999999999E-2</v>
      </c>
      <c r="BD27">
        <f t="shared" si="10"/>
        <v>16.244499999999999</v>
      </c>
      <c r="BE27">
        <f t="shared" si="11"/>
        <v>-0.23299973684999997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49.423400000000001</v>
      </c>
      <c r="I28" s="22">
        <v>-1.79565E-3</v>
      </c>
      <c r="J28" s="22">
        <v>18</v>
      </c>
      <c r="K28" s="22">
        <v>1.7587299999999999</v>
      </c>
      <c r="L28">
        <f t="shared" si="0"/>
        <v>1.79565</v>
      </c>
      <c r="M28">
        <f t="shared" si="1"/>
        <v>3.1591588709999998</v>
      </c>
      <c r="N28" s="9"/>
      <c r="O28" s="22">
        <v>-9.3078599999999994E-3</v>
      </c>
      <c r="P28" s="22">
        <v>67.306299999999993</v>
      </c>
      <c r="Q28" s="22">
        <v>-1.6287200000000002E-2</v>
      </c>
      <c r="R28" s="22">
        <v>18</v>
      </c>
      <c r="S28" s="22">
        <v>-9.4390900000000007E-3</v>
      </c>
      <c r="T28">
        <f t="shared" si="2"/>
        <v>16.287200000000002</v>
      </c>
      <c r="U28">
        <f t="shared" si="3"/>
        <v>-0.15159897739200001</v>
      </c>
      <c r="X28" s="9"/>
      <c r="Y28" s="22">
        <v>1.7593399999999999</v>
      </c>
      <c r="Z28" s="22">
        <v>116.866</v>
      </c>
      <c r="AA28" s="22">
        <v>-1.7254600000000001E-3</v>
      </c>
      <c r="AB28" s="22">
        <v>18</v>
      </c>
      <c r="AC28" s="22">
        <v>1.7590300000000001</v>
      </c>
      <c r="AD28">
        <f t="shared" si="4"/>
        <v>1.72546</v>
      </c>
      <c r="AE28">
        <f t="shared" si="5"/>
        <v>3.0356707963999998</v>
      </c>
      <c r="AF28" s="9"/>
      <c r="AG28" s="22">
        <v>-9.3078599999999994E-3</v>
      </c>
      <c r="AH28" s="22">
        <v>135.84100000000001</v>
      </c>
      <c r="AI28" s="22">
        <v>-1.62659E-2</v>
      </c>
      <c r="AJ28" s="22">
        <v>18</v>
      </c>
      <c r="AK28" s="22">
        <v>-9.4787599999999993E-3</v>
      </c>
      <c r="AL28">
        <f t="shared" si="6"/>
        <v>16.265899999999998</v>
      </c>
      <c r="AM28">
        <f t="shared" si="7"/>
        <v>-0.15140071997399998</v>
      </c>
      <c r="AP28" s="9"/>
      <c r="AQ28" s="22">
        <v>1.7593399999999999</v>
      </c>
      <c r="AR28" s="22">
        <v>158.48500000000001</v>
      </c>
      <c r="AS28" s="22">
        <v>-1.6561900000000001E-3</v>
      </c>
      <c r="AT28" s="22">
        <v>18</v>
      </c>
      <c r="AU28" s="22">
        <v>1.7584200000000001</v>
      </c>
      <c r="AV28">
        <f t="shared" si="8"/>
        <v>1.6561900000000001</v>
      </c>
      <c r="AW28">
        <f t="shared" si="9"/>
        <v>2.9138013146000001</v>
      </c>
      <c r="AX28" s="9"/>
      <c r="AY28" s="22">
        <v>-9.3078599999999994E-3</v>
      </c>
      <c r="AZ28" s="22">
        <v>181.346</v>
      </c>
      <c r="BA28" s="22">
        <v>-1.6247600000000001E-2</v>
      </c>
      <c r="BB28" s="22">
        <v>18</v>
      </c>
      <c r="BC28" s="22">
        <v>-9.38721E-3</v>
      </c>
      <c r="BD28">
        <f t="shared" si="10"/>
        <v>16.247600000000002</v>
      </c>
      <c r="BE28">
        <f t="shared" si="11"/>
        <v>-0.15123038613600001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49.433500000000002</v>
      </c>
      <c r="I29" s="22">
        <v>-1.9732700000000001E-3</v>
      </c>
      <c r="J29" s="22">
        <v>19</v>
      </c>
      <c r="K29" s="22">
        <v>1.7535400000000001</v>
      </c>
      <c r="L29">
        <f t="shared" si="0"/>
        <v>1.9732700000000001</v>
      </c>
      <c r="M29">
        <f t="shared" si="1"/>
        <v>3.4617075609999999</v>
      </c>
      <c r="N29" s="9"/>
      <c r="O29" s="22">
        <v>-4.2724599999999996E-3</v>
      </c>
      <c r="P29" s="22">
        <v>67.316299999999998</v>
      </c>
      <c r="Q29" s="22">
        <v>-1.62811E-2</v>
      </c>
      <c r="R29" s="22">
        <v>19</v>
      </c>
      <c r="S29" s="22">
        <v>-4.5013400000000004E-3</v>
      </c>
      <c r="T29">
        <f t="shared" si="2"/>
        <v>16.281099999999999</v>
      </c>
      <c r="U29">
        <f t="shared" si="3"/>
        <v>-6.9560348505999986E-2</v>
      </c>
      <c r="X29" s="9"/>
      <c r="Y29" s="22">
        <v>1.7543</v>
      </c>
      <c r="Z29" s="22">
        <v>116.876</v>
      </c>
      <c r="AA29" s="22">
        <v>-1.9223000000000001E-3</v>
      </c>
      <c r="AB29" s="22">
        <v>19</v>
      </c>
      <c r="AC29" s="22">
        <v>1.7532300000000001</v>
      </c>
      <c r="AD29">
        <f t="shared" si="4"/>
        <v>1.9223000000000001</v>
      </c>
      <c r="AE29">
        <f t="shared" si="5"/>
        <v>3.3722908900000004</v>
      </c>
      <c r="AF29" s="9"/>
      <c r="AG29" s="22">
        <v>-4.2724599999999996E-3</v>
      </c>
      <c r="AH29" s="22">
        <v>135.851</v>
      </c>
      <c r="AI29" s="22">
        <v>-1.6256699999999999E-2</v>
      </c>
      <c r="AJ29" s="22">
        <v>19</v>
      </c>
      <c r="AK29" s="22">
        <v>-4.40063E-3</v>
      </c>
      <c r="AL29">
        <f t="shared" si="6"/>
        <v>16.256699999999999</v>
      </c>
      <c r="AM29">
        <f t="shared" si="7"/>
        <v>-6.9456100481999988E-2</v>
      </c>
      <c r="AP29" s="9"/>
      <c r="AQ29" s="22">
        <v>1.7543</v>
      </c>
      <c r="AR29" s="22">
        <v>158.49600000000001</v>
      </c>
      <c r="AS29" s="22">
        <v>-1.8563799999999999E-3</v>
      </c>
      <c r="AT29" s="22">
        <v>19</v>
      </c>
      <c r="AU29" s="22">
        <v>1.7535400000000001</v>
      </c>
      <c r="AV29">
        <f t="shared" si="8"/>
        <v>1.8563799999999999</v>
      </c>
      <c r="AW29">
        <f t="shared" si="9"/>
        <v>3.256647434</v>
      </c>
      <c r="AX29" s="9"/>
      <c r="AY29" s="22">
        <v>-4.2724599999999996E-3</v>
      </c>
      <c r="AZ29" s="22">
        <v>181.35599999999999</v>
      </c>
      <c r="BA29" s="22">
        <v>-1.62506E-2</v>
      </c>
      <c r="BB29" s="22">
        <v>19</v>
      </c>
      <c r="BC29" s="22">
        <v>-4.4158899999999996E-3</v>
      </c>
      <c r="BD29">
        <f t="shared" si="10"/>
        <v>16.250600000000002</v>
      </c>
      <c r="BE29">
        <f t="shared" si="11"/>
        <v>-6.9430038476000003E-2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49.443600000000004</v>
      </c>
      <c r="I30" s="22">
        <v>-2.14935E-3</v>
      </c>
      <c r="J30" s="22">
        <v>20</v>
      </c>
      <c r="K30" s="22">
        <v>1.7483500000000001</v>
      </c>
      <c r="L30">
        <f t="shared" si="0"/>
        <v>2.1493500000000001</v>
      </c>
      <c r="M30">
        <f t="shared" si="1"/>
        <v>3.7597934745000003</v>
      </c>
      <c r="N30" s="9"/>
      <c r="O30" s="22">
        <v>7.6293900000000002E-4</v>
      </c>
      <c r="P30" s="22">
        <v>67.326400000000007</v>
      </c>
      <c r="Q30" s="22">
        <v>-1.6275000000000001E-2</v>
      </c>
      <c r="R30" s="22">
        <v>20</v>
      </c>
      <c r="S30" s="22">
        <v>5.8593700000000002E-4</v>
      </c>
      <c r="T30">
        <f t="shared" si="2"/>
        <v>16.275000000000002</v>
      </c>
      <c r="U30">
        <f t="shared" si="3"/>
        <v>1.2416832225000002E-2</v>
      </c>
      <c r="X30" s="9"/>
      <c r="Y30" s="22">
        <v>1.7492700000000001</v>
      </c>
      <c r="Z30" s="22">
        <v>116.886</v>
      </c>
      <c r="AA30" s="22">
        <v>-2.117E-3</v>
      </c>
      <c r="AB30" s="22">
        <v>20</v>
      </c>
      <c r="AC30" s="22">
        <v>1.7492700000000001</v>
      </c>
      <c r="AD30">
        <f t="shared" si="4"/>
        <v>2.117</v>
      </c>
      <c r="AE30">
        <f t="shared" si="5"/>
        <v>3.7032045900000004</v>
      </c>
      <c r="AF30" s="9"/>
      <c r="AG30" s="22">
        <v>7.6293900000000002E-4</v>
      </c>
      <c r="AH30" s="22">
        <v>135.86099999999999</v>
      </c>
      <c r="AI30" s="22">
        <v>-1.6253699999999999E-2</v>
      </c>
      <c r="AJ30" s="22">
        <v>20</v>
      </c>
      <c r="AK30" s="22">
        <v>6.7443799999999997E-4</v>
      </c>
      <c r="AL30">
        <f t="shared" si="6"/>
        <v>16.253699999999998</v>
      </c>
      <c r="AM30">
        <f t="shared" si="7"/>
        <v>1.24005816243E-2</v>
      </c>
      <c r="AP30" s="9"/>
      <c r="AQ30" s="22">
        <v>1.7492700000000001</v>
      </c>
      <c r="AR30" s="22">
        <v>158.506</v>
      </c>
      <c r="AS30" s="22">
        <v>-2.0547500000000002E-3</v>
      </c>
      <c r="AT30" s="22">
        <v>20</v>
      </c>
      <c r="AU30" s="22">
        <v>1.7483500000000001</v>
      </c>
      <c r="AV30">
        <f t="shared" si="8"/>
        <v>2.0547500000000003</v>
      </c>
      <c r="AW30">
        <f t="shared" si="9"/>
        <v>3.5943125325000009</v>
      </c>
      <c r="AX30" s="9"/>
      <c r="AY30" s="22">
        <v>7.6293900000000002E-4</v>
      </c>
      <c r="AZ30" s="22">
        <v>181.36699999999999</v>
      </c>
      <c r="BA30" s="22">
        <v>-1.6253699999999999E-2</v>
      </c>
      <c r="BB30" s="22">
        <v>20</v>
      </c>
      <c r="BC30" s="22">
        <v>6.1950700000000004E-4</v>
      </c>
      <c r="BD30">
        <f t="shared" si="10"/>
        <v>16.253699999999998</v>
      </c>
      <c r="BE30">
        <f t="shared" si="11"/>
        <v>1.24005816243E-2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49.453600000000002</v>
      </c>
      <c r="I31" s="22">
        <v>-2.3245200000000001E-3</v>
      </c>
      <c r="J31" s="22">
        <v>21</v>
      </c>
      <c r="K31" s="22">
        <v>1.7440800000000001</v>
      </c>
      <c r="L31">
        <f t="shared" si="0"/>
        <v>2.3245200000000001</v>
      </c>
      <c r="M31">
        <f t="shared" si="1"/>
        <v>4.0544975195999999</v>
      </c>
      <c r="N31" s="9"/>
      <c r="O31" s="22">
        <v>5.7983399999999999E-3</v>
      </c>
      <c r="P31" s="22">
        <v>67.336500000000001</v>
      </c>
      <c r="Q31" s="22">
        <v>-1.62781E-2</v>
      </c>
      <c r="R31" s="22">
        <v>21</v>
      </c>
      <c r="S31" s="22">
        <v>5.6152299999999997E-3</v>
      </c>
      <c r="T31">
        <f t="shared" si="2"/>
        <v>16.278099999999998</v>
      </c>
      <c r="U31">
        <f t="shared" si="3"/>
        <v>9.4385958353999988E-2</v>
      </c>
      <c r="X31" s="9"/>
      <c r="Y31" s="22">
        <v>1.7442299999999999</v>
      </c>
      <c r="Z31" s="22">
        <v>116.896</v>
      </c>
      <c r="AA31" s="22">
        <v>-2.3086500000000002E-3</v>
      </c>
      <c r="AB31" s="22">
        <v>21</v>
      </c>
      <c r="AC31" s="22">
        <v>1.7434700000000001</v>
      </c>
      <c r="AD31">
        <f t="shared" si="4"/>
        <v>2.3086500000000001</v>
      </c>
      <c r="AE31">
        <f t="shared" si="5"/>
        <v>4.0268165895000001</v>
      </c>
      <c r="AF31" s="9"/>
      <c r="AG31" s="22">
        <v>5.7983399999999999E-3</v>
      </c>
      <c r="AH31" s="22">
        <v>135.87100000000001</v>
      </c>
      <c r="AI31" s="22">
        <v>-1.6253699999999999E-2</v>
      </c>
      <c r="AJ31" s="22">
        <v>21</v>
      </c>
      <c r="AK31" s="22">
        <v>5.6762699999999998E-3</v>
      </c>
      <c r="AL31">
        <f t="shared" si="6"/>
        <v>16.253699999999998</v>
      </c>
      <c r="AM31">
        <f t="shared" si="7"/>
        <v>9.4244478857999983E-2</v>
      </c>
      <c r="AP31" s="9"/>
      <c r="AQ31" s="22">
        <v>1.7442299999999999</v>
      </c>
      <c r="AR31" s="22">
        <v>158.51599999999999</v>
      </c>
      <c r="AS31" s="22">
        <v>-2.25128E-3</v>
      </c>
      <c r="AT31" s="22">
        <v>21</v>
      </c>
      <c r="AU31" s="22">
        <v>1.7434700000000001</v>
      </c>
      <c r="AV31">
        <f t="shared" si="8"/>
        <v>2.2512799999999999</v>
      </c>
      <c r="AW31">
        <f t="shared" si="9"/>
        <v>3.9267501143999999</v>
      </c>
      <c r="AX31" s="9"/>
      <c r="AY31" s="22">
        <v>5.7983399999999999E-3</v>
      </c>
      <c r="AZ31" s="22">
        <v>181.37700000000001</v>
      </c>
      <c r="BA31" s="22">
        <v>-1.62506E-2</v>
      </c>
      <c r="BB31" s="22">
        <v>21</v>
      </c>
      <c r="BC31" s="22">
        <v>5.74341E-3</v>
      </c>
      <c r="BD31">
        <f t="shared" si="10"/>
        <v>16.250600000000002</v>
      </c>
      <c r="BE31">
        <f t="shared" si="11"/>
        <v>9.4226504004000011E-2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49.463700000000003</v>
      </c>
      <c r="I32" s="22">
        <v>-2.49847E-3</v>
      </c>
      <c r="J32" s="22">
        <v>22</v>
      </c>
      <c r="K32" s="22">
        <v>1.73889</v>
      </c>
      <c r="L32">
        <f t="shared" si="0"/>
        <v>2.4984700000000002</v>
      </c>
      <c r="M32">
        <f t="shared" si="1"/>
        <v>4.3453390240000003</v>
      </c>
      <c r="N32" s="9"/>
      <c r="O32" s="22">
        <v>1.08337E-2</v>
      </c>
      <c r="P32" s="22">
        <v>67.346500000000006</v>
      </c>
      <c r="Q32" s="22">
        <v>-1.62781E-2</v>
      </c>
      <c r="R32" s="22">
        <v>22</v>
      </c>
      <c r="S32" s="22">
        <v>1.0711699999999999E-2</v>
      </c>
      <c r="T32">
        <f t="shared" si="2"/>
        <v>16.278099999999998</v>
      </c>
      <c r="U32">
        <f t="shared" si="3"/>
        <v>0.17635205196999998</v>
      </c>
      <c r="X32" s="9"/>
      <c r="Y32" s="22">
        <v>1.7392000000000001</v>
      </c>
      <c r="Z32" s="22">
        <v>116.90600000000001</v>
      </c>
      <c r="AA32" s="22">
        <v>-2.4981700000000001E-3</v>
      </c>
      <c r="AB32" s="22">
        <v>22</v>
      </c>
      <c r="AC32" s="22">
        <v>1.7385900000000001</v>
      </c>
      <c r="AD32">
        <f t="shared" si="4"/>
        <v>2.49817</v>
      </c>
      <c r="AE32">
        <f t="shared" si="5"/>
        <v>4.3448172640000005</v>
      </c>
      <c r="AF32" s="9"/>
      <c r="AG32" s="22">
        <v>1.08337E-2</v>
      </c>
      <c r="AH32" s="22">
        <v>135.881</v>
      </c>
      <c r="AI32" s="22">
        <v>-1.6253699999999999E-2</v>
      </c>
      <c r="AJ32" s="22">
        <v>22</v>
      </c>
      <c r="AK32" s="22">
        <v>1.0800199999999999E-2</v>
      </c>
      <c r="AL32">
        <f t="shared" si="6"/>
        <v>16.253699999999998</v>
      </c>
      <c r="AM32">
        <f t="shared" si="7"/>
        <v>0.17608770968999998</v>
      </c>
      <c r="AP32" s="9"/>
      <c r="AQ32" s="22">
        <v>1.7392000000000001</v>
      </c>
      <c r="AR32" s="22">
        <v>158.52600000000001</v>
      </c>
      <c r="AS32" s="22">
        <v>-2.44568E-3</v>
      </c>
      <c r="AT32" s="22">
        <v>22</v>
      </c>
      <c r="AU32" s="22">
        <v>1.7385900000000001</v>
      </c>
      <c r="AV32">
        <f t="shared" si="8"/>
        <v>2.4456799999999999</v>
      </c>
      <c r="AW32">
        <f t="shared" si="9"/>
        <v>4.253526656</v>
      </c>
      <c r="AX32" s="9"/>
      <c r="AY32" s="22">
        <v>1.08337E-2</v>
      </c>
      <c r="AZ32" s="22">
        <v>181.387</v>
      </c>
      <c r="BA32" s="22">
        <v>-1.6247600000000001E-2</v>
      </c>
      <c r="BB32" s="22">
        <v>22</v>
      </c>
      <c r="BC32" s="22">
        <v>1.0714700000000001E-2</v>
      </c>
      <c r="BD32">
        <f t="shared" si="10"/>
        <v>16.247600000000002</v>
      </c>
      <c r="BE32">
        <f t="shared" si="11"/>
        <v>0.17602162412000003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49.473799999999997</v>
      </c>
      <c r="I33" s="22">
        <v>-2.6693699999999999E-3</v>
      </c>
      <c r="J33" s="22">
        <v>23</v>
      </c>
      <c r="K33" s="22">
        <v>1.7334000000000001</v>
      </c>
      <c r="L33">
        <f t="shared" si="0"/>
        <v>2.6693699999999998</v>
      </c>
      <c r="M33">
        <f t="shared" si="1"/>
        <v>4.6291146791999997</v>
      </c>
      <c r="N33" s="9"/>
      <c r="O33" s="22">
        <v>1.5869100000000001E-2</v>
      </c>
      <c r="P33" s="22">
        <v>67.3566</v>
      </c>
      <c r="Q33" s="22">
        <v>-1.6275000000000001E-2</v>
      </c>
      <c r="R33" s="22">
        <v>23</v>
      </c>
      <c r="S33" s="22">
        <v>1.5835599999999998E-2</v>
      </c>
      <c r="T33">
        <f t="shared" si="2"/>
        <v>16.275000000000002</v>
      </c>
      <c r="U33">
        <f t="shared" si="3"/>
        <v>0.25826960250000003</v>
      </c>
      <c r="X33" s="9"/>
      <c r="Y33" s="22">
        <v>1.7341599999999999</v>
      </c>
      <c r="Z33" s="22">
        <v>116.916</v>
      </c>
      <c r="AA33" s="22">
        <v>-2.68433E-3</v>
      </c>
      <c r="AB33" s="22">
        <v>23</v>
      </c>
      <c r="AC33" s="22">
        <v>1.7337</v>
      </c>
      <c r="AD33">
        <f t="shared" si="4"/>
        <v>2.6843300000000001</v>
      </c>
      <c r="AE33">
        <f t="shared" si="5"/>
        <v>4.6550577127999997</v>
      </c>
      <c r="AF33" s="9"/>
      <c r="AG33" s="22">
        <v>1.5869100000000001E-2</v>
      </c>
      <c r="AH33" s="22">
        <v>135.89099999999999</v>
      </c>
      <c r="AI33" s="22">
        <v>-1.6259800000000001E-2</v>
      </c>
      <c r="AJ33" s="22">
        <v>23</v>
      </c>
      <c r="AK33" s="22">
        <v>1.57623E-2</v>
      </c>
      <c r="AL33">
        <f t="shared" si="6"/>
        <v>16.259800000000002</v>
      </c>
      <c r="AM33">
        <f t="shared" si="7"/>
        <v>0.25802839218000007</v>
      </c>
      <c r="AP33" s="9"/>
      <c r="AQ33" s="22">
        <v>1.7341599999999999</v>
      </c>
      <c r="AR33" s="22">
        <v>158.536</v>
      </c>
      <c r="AS33" s="22">
        <v>-2.6358000000000002E-3</v>
      </c>
      <c r="AT33" s="22">
        <v>23</v>
      </c>
      <c r="AU33" s="22">
        <v>1.7334000000000001</v>
      </c>
      <c r="AV33">
        <f t="shared" si="8"/>
        <v>2.6358000000000001</v>
      </c>
      <c r="AW33">
        <f t="shared" si="9"/>
        <v>4.5708989280000001</v>
      </c>
      <c r="AX33" s="9"/>
      <c r="AY33" s="22">
        <v>1.5869100000000001E-2</v>
      </c>
      <c r="AZ33" s="22">
        <v>181.39699999999999</v>
      </c>
      <c r="BA33" s="22">
        <v>-1.6244499999999999E-2</v>
      </c>
      <c r="BB33" s="22">
        <v>23</v>
      </c>
      <c r="BC33" s="22">
        <v>1.5893600000000001E-2</v>
      </c>
      <c r="BD33">
        <f t="shared" si="10"/>
        <v>16.244499999999999</v>
      </c>
      <c r="BE33">
        <f t="shared" si="11"/>
        <v>0.25778559494999997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49.483800000000002</v>
      </c>
      <c r="I34" s="22">
        <v>-2.8384399999999998E-3</v>
      </c>
      <c r="J34" s="22">
        <v>24</v>
      </c>
      <c r="K34" s="22">
        <v>1.72882</v>
      </c>
      <c r="L34">
        <f t="shared" si="0"/>
        <v>2.8384399999999999</v>
      </c>
      <c r="M34">
        <f t="shared" si="1"/>
        <v>4.9080317571999998</v>
      </c>
      <c r="N34" s="9"/>
      <c r="O34" s="22">
        <v>2.0904499999999999E-2</v>
      </c>
      <c r="P34" s="22">
        <v>67.366699999999994</v>
      </c>
      <c r="Q34" s="22">
        <v>-1.6271999999999998E-2</v>
      </c>
      <c r="R34" s="22">
        <v>24</v>
      </c>
      <c r="S34" s="22">
        <v>2.0785499999999998E-2</v>
      </c>
      <c r="T34">
        <f t="shared" si="2"/>
        <v>16.271999999999998</v>
      </c>
      <c r="U34">
        <f t="shared" si="3"/>
        <v>0.34015802399999995</v>
      </c>
      <c r="X34" s="9"/>
      <c r="Y34" s="22">
        <v>1.7291300000000001</v>
      </c>
      <c r="Z34" s="22">
        <v>116.926</v>
      </c>
      <c r="AA34" s="22">
        <v>-2.8680400000000001E-3</v>
      </c>
      <c r="AB34" s="22">
        <v>24</v>
      </c>
      <c r="AC34" s="22">
        <v>1.72882</v>
      </c>
      <c r="AD34">
        <f t="shared" si="4"/>
        <v>2.8680400000000001</v>
      </c>
      <c r="AE34">
        <f t="shared" si="5"/>
        <v>4.9592140052000007</v>
      </c>
      <c r="AF34" s="9"/>
      <c r="AG34" s="22">
        <v>2.0904499999999999E-2</v>
      </c>
      <c r="AH34" s="22">
        <v>135.90100000000001</v>
      </c>
      <c r="AI34" s="22">
        <v>-1.6259800000000001E-2</v>
      </c>
      <c r="AJ34" s="22">
        <v>24</v>
      </c>
      <c r="AK34" s="22">
        <v>2.0855700000000001E-2</v>
      </c>
      <c r="AL34">
        <f t="shared" si="6"/>
        <v>16.259800000000002</v>
      </c>
      <c r="AM34">
        <f t="shared" si="7"/>
        <v>0.33990298910000005</v>
      </c>
      <c r="AP34" s="9"/>
      <c r="AQ34" s="22">
        <v>1.7291300000000001</v>
      </c>
      <c r="AR34" s="22">
        <v>158.54599999999999</v>
      </c>
      <c r="AS34" s="22">
        <v>-2.8250100000000002E-3</v>
      </c>
      <c r="AT34" s="22">
        <v>24</v>
      </c>
      <c r="AU34" s="22">
        <v>1.72882</v>
      </c>
      <c r="AV34">
        <f t="shared" si="8"/>
        <v>2.8250100000000002</v>
      </c>
      <c r="AW34">
        <f t="shared" si="9"/>
        <v>4.884809541300001</v>
      </c>
      <c r="AX34" s="9"/>
      <c r="AY34" s="22">
        <v>2.0904499999999999E-2</v>
      </c>
      <c r="AZ34" s="22">
        <v>181.40700000000001</v>
      </c>
      <c r="BA34" s="22">
        <v>-1.6241499999999999E-2</v>
      </c>
      <c r="BB34" s="22">
        <v>24</v>
      </c>
      <c r="BC34" s="22">
        <v>2.08191E-2</v>
      </c>
      <c r="BD34">
        <f t="shared" si="10"/>
        <v>16.241499999999998</v>
      </c>
      <c r="BE34">
        <f t="shared" si="11"/>
        <v>0.33952043674999999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49.493899999999996</v>
      </c>
      <c r="I35" s="22">
        <v>-3.0050699999999999E-3</v>
      </c>
      <c r="J35" s="22">
        <v>25</v>
      </c>
      <c r="K35" s="22">
        <v>1.72302</v>
      </c>
      <c r="L35">
        <f t="shared" si="0"/>
        <v>3.0050699999999999</v>
      </c>
      <c r="M35">
        <f t="shared" si="1"/>
        <v>5.1810111362999995</v>
      </c>
      <c r="N35" s="9"/>
      <c r="O35" s="22">
        <v>2.5939899999999998E-2</v>
      </c>
      <c r="P35" s="22">
        <v>67.376800000000003</v>
      </c>
      <c r="Q35" s="22">
        <v>-1.6268899999999999E-2</v>
      </c>
      <c r="R35" s="22">
        <v>25</v>
      </c>
      <c r="S35" s="22">
        <v>2.5924699999999998E-2</v>
      </c>
      <c r="T35">
        <f t="shared" si="2"/>
        <v>16.268899999999999</v>
      </c>
      <c r="U35">
        <f t="shared" si="3"/>
        <v>0.42201363910999995</v>
      </c>
      <c r="X35" s="9"/>
      <c r="Y35" s="22">
        <v>1.7240899999999999</v>
      </c>
      <c r="Z35" s="22">
        <v>116.93600000000001</v>
      </c>
      <c r="AA35" s="22">
        <v>-3.05054E-3</v>
      </c>
      <c r="AB35" s="22">
        <v>25</v>
      </c>
      <c r="AC35" s="22">
        <v>1.72333</v>
      </c>
      <c r="AD35">
        <f t="shared" si="4"/>
        <v>3.0505399999999998</v>
      </c>
      <c r="AE35">
        <f t="shared" si="5"/>
        <v>5.2594055085999996</v>
      </c>
      <c r="AF35" s="9"/>
      <c r="AG35" s="22">
        <v>2.5939899999999998E-2</v>
      </c>
      <c r="AH35" s="22">
        <v>135.911</v>
      </c>
      <c r="AI35" s="22">
        <v>-1.6253699999999999E-2</v>
      </c>
      <c r="AJ35" s="22">
        <v>25</v>
      </c>
      <c r="AK35" s="22">
        <v>2.5943000000000001E-2</v>
      </c>
      <c r="AL35">
        <f t="shared" si="6"/>
        <v>16.253699999999998</v>
      </c>
      <c r="AM35">
        <f t="shared" si="7"/>
        <v>0.42161935262999994</v>
      </c>
      <c r="AP35" s="9"/>
      <c r="AQ35" s="22">
        <v>1.7240899999999999</v>
      </c>
      <c r="AR35" s="22">
        <v>158.55600000000001</v>
      </c>
      <c r="AS35" s="22">
        <v>-3.0120799999999999E-3</v>
      </c>
      <c r="AT35" s="22">
        <v>25</v>
      </c>
      <c r="AU35" s="22">
        <v>1.72363</v>
      </c>
      <c r="AV35">
        <f t="shared" si="8"/>
        <v>3.0120800000000001</v>
      </c>
      <c r="AW35">
        <f t="shared" si="9"/>
        <v>5.1930970071999996</v>
      </c>
      <c r="AX35" s="9"/>
      <c r="AY35" s="22">
        <v>2.5939899999999998E-2</v>
      </c>
      <c r="AZ35" s="22">
        <v>181.417</v>
      </c>
      <c r="BA35" s="22">
        <v>-1.6229199999999999E-2</v>
      </c>
      <c r="BB35" s="22">
        <v>25</v>
      </c>
      <c r="BC35" s="22">
        <v>2.5787399999999999E-2</v>
      </c>
      <c r="BD35">
        <f t="shared" si="10"/>
        <v>16.229199999999999</v>
      </c>
      <c r="BE35">
        <f t="shared" si="11"/>
        <v>0.42098382507999993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49.503999999999998</v>
      </c>
      <c r="I36" s="22">
        <v>-3.1713900000000001E-3</v>
      </c>
      <c r="J36" s="22">
        <v>26</v>
      </c>
      <c r="K36" s="22">
        <v>1.71906</v>
      </c>
      <c r="L36">
        <f t="shared" si="0"/>
        <v>3.1713900000000002</v>
      </c>
      <c r="M36">
        <f t="shared" si="1"/>
        <v>5.4518096934000004</v>
      </c>
      <c r="N36" s="9"/>
      <c r="O36" s="22">
        <v>3.0975300000000001E-2</v>
      </c>
      <c r="P36" s="22">
        <v>67.386799999999994</v>
      </c>
      <c r="Q36" s="22">
        <v>-1.62659E-2</v>
      </c>
      <c r="R36" s="22">
        <v>26</v>
      </c>
      <c r="S36" s="22">
        <v>3.0810500000000001E-2</v>
      </c>
      <c r="T36">
        <f t="shared" si="2"/>
        <v>16.265899999999998</v>
      </c>
      <c r="U36">
        <f t="shared" si="3"/>
        <v>0.50384113226999994</v>
      </c>
      <c r="X36" s="9"/>
      <c r="Y36" s="22">
        <v>1.71906</v>
      </c>
      <c r="Z36" s="22">
        <v>116.946</v>
      </c>
      <c r="AA36" s="22">
        <v>-3.22968E-3</v>
      </c>
      <c r="AB36" s="22">
        <v>26</v>
      </c>
      <c r="AC36" s="22">
        <v>1.71844</v>
      </c>
      <c r="AD36">
        <f t="shared" si="4"/>
        <v>3.2296800000000001</v>
      </c>
      <c r="AE36">
        <f t="shared" si="5"/>
        <v>5.5520137007999999</v>
      </c>
      <c r="AF36" s="9"/>
      <c r="AG36" s="22">
        <v>3.0975300000000001E-2</v>
      </c>
      <c r="AH36" s="22">
        <v>135.92099999999999</v>
      </c>
      <c r="AI36" s="22">
        <v>-1.6244499999999999E-2</v>
      </c>
      <c r="AJ36" s="22">
        <v>26</v>
      </c>
      <c r="AK36" s="22">
        <v>3.0776999999999999E-2</v>
      </c>
      <c r="AL36">
        <f t="shared" si="6"/>
        <v>16.244499999999999</v>
      </c>
      <c r="AM36">
        <f t="shared" si="7"/>
        <v>0.50317826084999995</v>
      </c>
      <c r="AP36" s="9"/>
      <c r="AQ36" s="22">
        <v>1.71906</v>
      </c>
      <c r="AR36" s="22">
        <v>158.566</v>
      </c>
      <c r="AS36" s="22">
        <v>-3.1948900000000001E-3</v>
      </c>
      <c r="AT36" s="22">
        <v>26</v>
      </c>
      <c r="AU36" s="22">
        <v>1.71844</v>
      </c>
      <c r="AV36">
        <f t="shared" si="8"/>
        <v>3.19489</v>
      </c>
      <c r="AW36">
        <f t="shared" si="9"/>
        <v>5.4922076033999998</v>
      </c>
      <c r="AX36" s="9"/>
      <c r="AY36" s="22">
        <v>3.0975300000000001E-2</v>
      </c>
      <c r="AZ36" s="22">
        <v>181.42699999999999</v>
      </c>
      <c r="BA36" s="22">
        <v>-1.6229199999999999E-2</v>
      </c>
      <c r="BB36" s="22">
        <v>26</v>
      </c>
      <c r="BC36" s="22">
        <v>3.0835000000000001E-2</v>
      </c>
      <c r="BD36">
        <f t="shared" si="10"/>
        <v>16.229199999999999</v>
      </c>
      <c r="BE36">
        <f t="shared" si="11"/>
        <v>0.50270433875999998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49.514099999999999</v>
      </c>
      <c r="I37" s="22">
        <v>-3.3355699999999999E-3</v>
      </c>
      <c r="J37" s="22">
        <v>27</v>
      </c>
      <c r="K37" s="22">
        <v>1.71356</v>
      </c>
      <c r="L37">
        <f t="shared" si="0"/>
        <v>3.3355700000000001</v>
      </c>
      <c r="M37">
        <f t="shared" si="1"/>
        <v>5.7172336914000006</v>
      </c>
      <c r="N37" s="9"/>
      <c r="O37" s="22">
        <v>3.60107E-2</v>
      </c>
      <c r="P37" s="22">
        <v>67.396900000000002</v>
      </c>
      <c r="Q37" s="22">
        <v>-1.6259800000000001E-2</v>
      </c>
      <c r="R37" s="22">
        <v>27</v>
      </c>
      <c r="S37" s="22">
        <v>3.6029100000000001E-2</v>
      </c>
      <c r="T37">
        <f t="shared" si="2"/>
        <v>16.259800000000002</v>
      </c>
      <c r="U37">
        <f t="shared" si="3"/>
        <v>0.58552677986000001</v>
      </c>
      <c r="X37" s="9"/>
      <c r="Y37" s="22">
        <v>1.7140200000000001</v>
      </c>
      <c r="Z37" s="22">
        <v>116.956</v>
      </c>
      <c r="AA37" s="22">
        <v>-3.4079000000000002E-3</v>
      </c>
      <c r="AB37" s="22">
        <v>27</v>
      </c>
      <c r="AC37" s="22">
        <v>1.71356</v>
      </c>
      <c r="AD37">
        <f t="shared" si="4"/>
        <v>3.4079000000000002</v>
      </c>
      <c r="AE37">
        <f t="shared" si="5"/>
        <v>5.8412087580000005</v>
      </c>
      <c r="AF37" s="9"/>
      <c r="AG37" s="22">
        <v>3.60107E-2</v>
      </c>
      <c r="AH37" s="22">
        <v>135.93100000000001</v>
      </c>
      <c r="AI37" s="22">
        <v>-1.6232300000000002E-2</v>
      </c>
      <c r="AJ37" s="22">
        <v>27</v>
      </c>
      <c r="AK37" s="22">
        <v>3.5888700000000003E-2</v>
      </c>
      <c r="AL37">
        <f t="shared" si="6"/>
        <v>16.232300000000002</v>
      </c>
      <c r="AM37">
        <f t="shared" si="7"/>
        <v>0.58453648561000005</v>
      </c>
      <c r="AP37" s="9"/>
      <c r="AQ37" s="22">
        <v>1.7140200000000001</v>
      </c>
      <c r="AR37" s="22">
        <v>158.57599999999999</v>
      </c>
      <c r="AS37" s="22">
        <v>-3.3773800000000001E-3</v>
      </c>
      <c r="AT37" s="22">
        <v>27</v>
      </c>
      <c r="AU37" s="22">
        <v>1.71295</v>
      </c>
      <c r="AV37">
        <f t="shared" si="8"/>
        <v>3.37738</v>
      </c>
      <c r="AW37">
        <f t="shared" si="9"/>
        <v>5.7888968676000001</v>
      </c>
      <c r="AX37" s="9"/>
      <c r="AY37" s="22">
        <v>3.60107E-2</v>
      </c>
      <c r="AZ37" s="22">
        <v>181.43700000000001</v>
      </c>
      <c r="BA37" s="22">
        <v>-1.6232300000000002E-2</v>
      </c>
      <c r="BB37" s="22">
        <v>27</v>
      </c>
      <c r="BC37" s="22">
        <v>3.5980199999999997E-2</v>
      </c>
      <c r="BD37">
        <f t="shared" si="10"/>
        <v>16.232300000000002</v>
      </c>
      <c r="BE37">
        <f t="shared" si="11"/>
        <v>0.58453648561000005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49.524099999999997</v>
      </c>
      <c r="I38" s="22">
        <v>-3.49731E-3</v>
      </c>
      <c r="J38" s="22">
        <v>28</v>
      </c>
      <c r="K38" s="22">
        <v>1.70868</v>
      </c>
      <c r="L38">
        <f t="shared" si="0"/>
        <v>3.4973100000000001</v>
      </c>
      <c r="M38">
        <f t="shared" si="1"/>
        <v>5.9768328438000005</v>
      </c>
      <c r="N38" s="9"/>
      <c r="O38" s="22">
        <v>4.1046100000000002E-2</v>
      </c>
      <c r="P38" s="22">
        <v>67.406999999999996</v>
      </c>
      <c r="Q38" s="22">
        <v>-1.6259800000000001E-2</v>
      </c>
      <c r="R38" s="22">
        <v>28</v>
      </c>
      <c r="S38" s="22">
        <v>4.1018699999999998E-2</v>
      </c>
      <c r="T38">
        <f t="shared" si="2"/>
        <v>16.259800000000002</v>
      </c>
      <c r="U38">
        <f t="shared" si="3"/>
        <v>0.66740137678000011</v>
      </c>
      <c r="X38" s="9"/>
      <c r="Y38" s="22">
        <v>1.7089799999999999</v>
      </c>
      <c r="Z38" s="22">
        <v>116.96599999999999</v>
      </c>
      <c r="AA38" s="22">
        <v>-3.58246E-3</v>
      </c>
      <c r="AB38" s="22">
        <v>28</v>
      </c>
      <c r="AC38" s="22">
        <v>1.7083699999999999</v>
      </c>
      <c r="AD38">
        <f t="shared" si="4"/>
        <v>3.5824600000000002</v>
      </c>
      <c r="AE38">
        <f t="shared" si="5"/>
        <v>6.1223524908</v>
      </c>
      <c r="AF38" s="9"/>
      <c r="AG38" s="22">
        <v>4.1046100000000002E-2</v>
      </c>
      <c r="AH38" s="22">
        <v>135.941</v>
      </c>
      <c r="AI38" s="22">
        <v>-1.6213999999999999E-2</v>
      </c>
      <c r="AJ38" s="22">
        <v>28</v>
      </c>
      <c r="AK38" s="22">
        <v>4.1006500000000001E-2</v>
      </c>
      <c r="AL38">
        <f t="shared" si="6"/>
        <v>16.213999999999999</v>
      </c>
      <c r="AM38">
        <f t="shared" si="7"/>
        <v>0.66552146540000001</v>
      </c>
      <c r="AP38" s="9"/>
      <c r="AQ38" s="22">
        <v>1.7089799999999999</v>
      </c>
      <c r="AR38" s="22">
        <v>158.58600000000001</v>
      </c>
      <c r="AS38" s="22">
        <v>-3.55865E-3</v>
      </c>
      <c r="AT38" s="22">
        <v>28</v>
      </c>
      <c r="AU38" s="22">
        <v>1.70807</v>
      </c>
      <c r="AV38">
        <f t="shared" si="8"/>
        <v>3.5586500000000001</v>
      </c>
      <c r="AW38">
        <f t="shared" si="9"/>
        <v>6.0816616769999996</v>
      </c>
      <c r="AX38" s="9"/>
      <c r="AY38" s="22">
        <v>4.1046100000000002E-2</v>
      </c>
      <c r="AZ38" s="22">
        <v>181.447</v>
      </c>
      <c r="BA38" s="22">
        <v>-1.6232300000000002E-2</v>
      </c>
      <c r="BB38" s="22">
        <v>28</v>
      </c>
      <c r="BC38" s="22">
        <v>4.1009499999999997E-2</v>
      </c>
      <c r="BD38">
        <f t="shared" si="10"/>
        <v>16.232300000000002</v>
      </c>
      <c r="BE38">
        <f t="shared" si="11"/>
        <v>0.66627260903000007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49.534199999999998</v>
      </c>
      <c r="I39" s="22">
        <v>-3.6569200000000001E-3</v>
      </c>
      <c r="J39" s="22">
        <v>29</v>
      </c>
      <c r="K39" s="22">
        <v>1.7034899999999999</v>
      </c>
      <c r="L39">
        <f t="shared" si="0"/>
        <v>3.6569199999999999</v>
      </c>
      <c r="M39">
        <f t="shared" si="1"/>
        <v>6.2312088340000003</v>
      </c>
      <c r="N39" s="9"/>
      <c r="O39" s="22">
        <v>4.6081499999999997E-2</v>
      </c>
      <c r="P39" s="22">
        <v>67.417000000000002</v>
      </c>
      <c r="Q39" s="22">
        <v>-1.6256699999999999E-2</v>
      </c>
      <c r="R39" s="22">
        <v>29</v>
      </c>
      <c r="S39" s="22">
        <v>4.6047999999999999E-2</v>
      </c>
      <c r="T39">
        <f t="shared" si="2"/>
        <v>16.256699999999999</v>
      </c>
      <c r="U39">
        <f t="shared" si="3"/>
        <v>0.74913312104999985</v>
      </c>
      <c r="X39" s="9"/>
      <c r="Y39" s="22">
        <v>1.7039500000000001</v>
      </c>
      <c r="Z39" s="22">
        <v>116.976</v>
      </c>
      <c r="AA39" s="22">
        <v>-3.7542700000000001E-3</v>
      </c>
      <c r="AB39" s="22">
        <v>29</v>
      </c>
      <c r="AC39" s="22">
        <v>1.70319</v>
      </c>
      <c r="AD39">
        <f t="shared" si="4"/>
        <v>3.75427</v>
      </c>
      <c r="AE39">
        <f t="shared" si="5"/>
        <v>6.3970883665000002</v>
      </c>
      <c r="AF39" s="9"/>
      <c r="AG39" s="22">
        <v>4.6081499999999997E-2</v>
      </c>
      <c r="AH39" s="22">
        <v>135.95099999999999</v>
      </c>
      <c r="AI39" s="22">
        <v>-1.6207900000000001E-2</v>
      </c>
      <c r="AJ39" s="22">
        <v>29</v>
      </c>
      <c r="AK39" s="22">
        <v>4.6011400000000001E-2</v>
      </c>
      <c r="AL39">
        <f t="shared" si="6"/>
        <v>16.207900000000002</v>
      </c>
      <c r="AM39">
        <f t="shared" si="7"/>
        <v>0.74688434385000002</v>
      </c>
      <c r="AP39" s="9"/>
      <c r="AQ39" s="22">
        <v>1.7039500000000001</v>
      </c>
      <c r="AR39" s="22">
        <v>158.596</v>
      </c>
      <c r="AS39" s="22">
        <v>-3.7371800000000001E-3</v>
      </c>
      <c r="AT39" s="22">
        <v>29</v>
      </c>
      <c r="AU39" s="22">
        <v>1.70258</v>
      </c>
      <c r="AV39">
        <f t="shared" si="8"/>
        <v>3.7371799999999999</v>
      </c>
      <c r="AW39">
        <f t="shared" si="9"/>
        <v>6.3679678610000003</v>
      </c>
      <c r="AX39" s="9"/>
      <c r="AY39" s="22">
        <v>4.6081499999999997E-2</v>
      </c>
      <c r="AZ39" s="22">
        <v>181.45699999999999</v>
      </c>
      <c r="BA39" s="22">
        <v>-1.6229199999999999E-2</v>
      </c>
      <c r="BB39" s="22">
        <v>29</v>
      </c>
      <c r="BC39" s="22">
        <v>4.6020499999999999E-2</v>
      </c>
      <c r="BD39">
        <f t="shared" si="10"/>
        <v>16.229199999999999</v>
      </c>
      <c r="BE39">
        <f t="shared" si="11"/>
        <v>0.74786587979999986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49.5443</v>
      </c>
      <c r="I40" s="22">
        <v>-3.8162199999999999E-3</v>
      </c>
      <c r="J40" s="22">
        <v>30</v>
      </c>
      <c r="K40" s="22">
        <v>1.698</v>
      </c>
      <c r="L40">
        <f t="shared" si="0"/>
        <v>3.8162199999999999</v>
      </c>
      <c r="M40">
        <f t="shared" si="1"/>
        <v>6.4834143201999996</v>
      </c>
      <c r="N40" s="9"/>
      <c r="O40" s="22">
        <v>5.11169E-2</v>
      </c>
      <c r="P40" s="22">
        <v>67.427099999999996</v>
      </c>
      <c r="Q40" s="22">
        <v>-1.6262800000000001E-2</v>
      </c>
      <c r="R40" s="22">
        <v>30</v>
      </c>
      <c r="S40" s="22">
        <v>5.1095599999999998E-2</v>
      </c>
      <c r="T40">
        <f t="shared" si="2"/>
        <v>16.262800000000002</v>
      </c>
      <c r="U40">
        <f t="shared" si="3"/>
        <v>0.83130392132000008</v>
      </c>
      <c r="X40" s="9"/>
      <c r="Y40" s="22">
        <v>1.6989099999999999</v>
      </c>
      <c r="Z40" s="22">
        <v>116.98699999999999</v>
      </c>
      <c r="AA40" s="22">
        <v>-3.92334E-3</v>
      </c>
      <c r="AB40" s="22">
        <v>30</v>
      </c>
      <c r="AC40" s="22">
        <v>1.6976899999999999</v>
      </c>
      <c r="AD40">
        <f t="shared" si="4"/>
        <v>3.92334</v>
      </c>
      <c r="AE40">
        <f t="shared" si="5"/>
        <v>6.6654015593999993</v>
      </c>
      <c r="AF40" s="9"/>
      <c r="AG40" s="22">
        <v>5.11169E-2</v>
      </c>
      <c r="AH40" s="22">
        <v>135.96100000000001</v>
      </c>
      <c r="AI40" s="22">
        <v>-1.62109E-2</v>
      </c>
      <c r="AJ40" s="22">
        <v>30</v>
      </c>
      <c r="AK40" s="22">
        <v>5.1104700000000003E-2</v>
      </c>
      <c r="AL40">
        <f t="shared" si="6"/>
        <v>16.210899999999999</v>
      </c>
      <c r="AM40">
        <f t="shared" si="7"/>
        <v>0.8286509542099999</v>
      </c>
      <c r="AP40" s="9"/>
      <c r="AQ40" s="22">
        <v>1.6989099999999999</v>
      </c>
      <c r="AR40" s="22">
        <v>158.60599999999999</v>
      </c>
      <c r="AS40" s="22">
        <v>-3.9141799999999997E-3</v>
      </c>
      <c r="AT40" s="22">
        <v>30</v>
      </c>
      <c r="AU40" s="22">
        <v>1.6982999999999999</v>
      </c>
      <c r="AV40">
        <f t="shared" si="8"/>
        <v>3.9141799999999995</v>
      </c>
      <c r="AW40">
        <f t="shared" si="9"/>
        <v>6.6498395437999989</v>
      </c>
      <c r="AX40" s="9"/>
      <c r="AY40" s="22">
        <v>5.11169E-2</v>
      </c>
      <c r="AZ40" s="22">
        <v>181.46700000000001</v>
      </c>
      <c r="BA40" s="22">
        <v>-1.6213999999999999E-2</v>
      </c>
      <c r="BB40" s="22">
        <v>30</v>
      </c>
      <c r="BC40" s="22">
        <v>5.1062000000000003E-2</v>
      </c>
      <c r="BD40">
        <f t="shared" si="10"/>
        <v>16.213999999999999</v>
      </c>
      <c r="BE40">
        <f t="shared" si="11"/>
        <v>0.82880941659999996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49.554299999999998</v>
      </c>
      <c r="I41" s="22">
        <v>-3.9736900000000002E-3</v>
      </c>
      <c r="J41" s="22">
        <v>31</v>
      </c>
      <c r="K41" s="22">
        <v>1.6934199999999999</v>
      </c>
      <c r="L41">
        <f t="shared" si="0"/>
        <v>3.9736900000000004</v>
      </c>
      <c r="M41">
        <f t="shared" si="1"/>
        <v>6.7309540172000011</v>
      </c>
      <c r="N41" s="9"/>
      <c r="O41" s="22">
        <v>5.6152300000000002E-2</v>
      </c>
      <c r="P41" s="22">
        <v>67.437200000000004</v>
      </c>
      <c r="Q41" s="22">
        <v>-1.6262800000000001E-2</v>
      </c>
      <c r="R41" s="22">
        <v>31</v>
      </c>
      <c r="S41" s="22">
        <v>5.5603E-2</v>
      </c>
      <c r="T41">
        <f t="shared" si="2"/>
        <v>16.262800000000002</v>
      </c>
      <c r="U41">
        <f t="shared" si="3"/>
        <v>0.91319362444000018</v>
      </c>
      <c r="X41" s="9"/>
      <c r="Y41" s="22">
        <v>1.6938800000000001</v>
      </c>
      <c r="Z41" s="22">
        <v>116.997</v>
      </c>
      <c r="AA41" s="22">
        <v>-4.0917999999999996E-3</v>
      </c>
      <c r="AB41" s="22">
        <v>31</v>
      </c>
      <c r="AC41" s="22">
        <v>1.69312</v>
      </c>
      <c r="AD41">
        <f t="shared" si="4"/>
        <v>4.0917999999999992</v>
      </c>
      <c r="AE41">
        <f t="shared" si="5"/>
        <v>6.9310181839999991</v>
      </c>
      <c r="AF41" s="9"/>
      <c r="AG41" s="22">
        <v>5.6152300000000002E-2</v>
      </c>
      <c r="AH41" s="22">
        <v>135.971</v>
      </c>
      <c r="AI41" s="22">
        <v>-1.6213999999999999E-2</v>
      </c>
      <c r="AJ41" s="22">
        <v>31</v>
      </c>
      <c r="AK41" s="22">
        <v>5.5572499999999997E-2</v>
      </c>
      <c r="AL41">
        <f t="shared" si="6"/>
        <v>16.213999999999999</v>
      </c>
      <c r="AM41">
        <f t="shared" si="7"/>
        <v>0.91045339219999999</v>
      </c>
      <c r="AP41" s="9"/>
      <c r="AQ41" s="22">
        <v>1.6938800000000001</v>
      </c>
      <c r="AR41" s="22">
        <v>158.61600000000001</v>
      </c>
      <c r="AS41" s="22">
        <v>-4.0875199999999999E-3</v>
      </c>
      <c r="AT41" s="22">
        <v>31</v>
      </c>
      <c r="AU41" s="22">
        <v>1.69312</v>
      </c>
      <c r="AV41">
        <f t="shared" si="8"/>
        <v>4.0875199999999996</v>
      </c>
      <c r="AW41">
        <f t="shared" si="9"/>
        <v>6.9237683775999992</v>
      </c>
      <c r="AX41" s="9"/>
      <c r="AY41" s="22">
        <v>5.6152300000000002E-2</v>
      </c>
      <c r="AZ41" s="22">
        <v>181.477</v>
      </c>
      <c r="BA41" s="22">
        <v>-1.6204799999999998E-2</v>
      </c>
      <c r="BB41" s="22">
        <v>31</v>
      </c>
      <c r="BC41" s="22">
        <v>5.5633500000000002E-2</v>
      </c>
      <c r="BD41">
        <f t="shared" si="10"/>
        <v>16.204799999999999</v>
      </c>
      <c r="BE41">
        <f t="shared" si="11"/>
        <v>0.90993679103999991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49.564399999999999</v>
      </c>
      <c r="I42" s="22">
        <v>-4.1320799999999998E-3</v>
      </c>
      <c r="J42" s="22">
        <v>32</v>
      </c>
      <c r="K42" s="22">
        <v>1.6882299999999999</v>
      </c>
      <c r="L42">
        <f t="shared" si="0"/>
        <v>4.1320800000000002</v>
      </c>
      <c r="M42">
        <f t="shared" si="1"/>
        <v>6.9784219872</v>
      </c>
      <c r="N42" s="9"/>
      <c r="O42" s="22">
        <v>6.1187699999999998E-2</v>
      </c>
      <c r="P42" s="22">
        <v>67.447299999999998</v>
      </c>
      <c r="Q42" s="22">
        <v>-1.6253699999999999E-2</v>
      </c>
      <c r="R42" s="22">
        <v>32</v>
      </c>
      <c r="S42" s="22">
        <v>6.0607899999999999E-2</v>
      </c>
      <c r="T42">
        <f t="shared" si="2"/>
        <v>16.253699999999998</v>
      </c>
      <c r="U42">
        <f t="shared" si="3"/>
        <v>0.99452651948999982</v>
      </c>
      <c r="X42" s="9"/>
      <c r="Y42" s="22">
        <v>1.6888399999999999</v>
      </c>
      <c r="Z42" s="22">
        <v>117.00700000000001</v>
      </c>
      <c r="AA42" s="22">
        <v>-4.2614699999999998E-3</v>
      </c>
      <c r="AB42" s="22">
        <v>32</v>
      </c>
      <c r="AC42" s="22">
        <v>1.6882299999999999</v>
      </c>
      <c r="AD42">
        <f t="shared" si="4"/>
        <v>4.2614700000000001</v>
      </c>
      <c r="AE42">
        <f t="shared" si="5"/>
        <v>7.1969409947999994</v>
      </c>
      <c r="AF42" s="9"/>
      <c r="AG42" s="22">
        <v>6.1187699999999998E-2</v>
      </c>
      <c r="AH42" s="22">
        <v>135.982</v>
      </c>
      <c r="AI42" s="22">
        <v>-1.6213999999999999E-2</v>
      </c>
      <c r="AJ42" s="22">
        <v>32</v>
      </c>
      <c r="AK42" s="22">
        <v>6.0699500000000003E-2</v>
      </c>
      <c r="AL42">
        <f t="shared" si="6"/>
        <v>16.213999999999999</v>
      </c>
      <c r="AM42">
        <f t="shared" si="7"/>
        <v>0.99209736779999991</v>
      </c>
      <c r="AP42" s="9"/>
      <c r="AQ42" s="22">
        <v>1.6888399999999999</v>
      </c>
      <c r="AR42" s="22">
        <v>158.626</v>
      </c>
      <c r="AS42" s="22">
        <v>-4.2590299999999996E-3</v>
      </c>
      <c r="AT42" s="22">
        <v>32</v>
      </c>
      <c r="AU42" s="22">
        <v>1.6882299999999999</v>
      </c>
      <c r="AV42">
        <f t="shared" si="8"/>
        <v>4.2590299999999992</v>
      </c>
      <c r="AW42">
        <f t="shared" si="9"/>
        <v>7.1928202251999984</v>
      </c>
      <c r="AX42" s="9"/>
      <c r="AY42" s="22">
        <v>6.1187699999999998E-2</v>
      </c>
      <c r="AZ42" s="22">
        <v>181.48699999999999</v>
      </c>
      <c r="BA42" s="22">
        <v>-1.61957E-2</v>
      </c>
      <c r="BB42" s="22">
        <v>32</v>
      </c>
      <c r="BC42" s="22">
        <v>6.0790999999999998E-2</v>
      </c>
      <c r="BD42">
        <f t="shared" si="10"/>
        <v>16.195699999999999</v>
      </c>
      <c r="BE42">
        <f t="shared" si="11"/>
        <v>0.99097763288999985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49.5745</v>
      </c>
      <c r="I43" s="22">
        <v>-4.28467E-3</v>
      </c>
      <c r="J43" s="22">
        <v>33</v>
      </c>
      <c r="K43" s="22">
        <v>1.6833499999999999</v>
      </c>
      <c r="L43">
        <f t="shared" si="0"/>
        <v>4.2846700000000002</v>
      </c>
      <c r="M43">
        <f t="shared" si="1"/>
        <v>7.2145701927000001</v>
      </c>
      <c r="N43" s="9"/>
      <c r="O43" s="22">
        <v>6.6223099999999993E-2</v>
      </c>
      <c r="P43" s="22">
        <v>67.457300000000004</v>
      </c>
      <c r="Q43" s="22">
        <v>-1.6244499999999999E-2</v>
      </c>
      <c r="R43" s="22">
        <v>33</v>
      </c>
      <c r="S43" s="22">
        <v>6.5704299999999993E-2</v>
      </c>
      <c r="T43">
        <f t="shared" si="2"/>
        <v>16.244499999999999</v>
      </c>
      <c r="U43">
        <f t="shared" si="3"/>
        <v>1.0757611479499998</v>
      </c>
      <c r="X43" s="9"/>
      <c r="Y43" s="22">
        <v>1.68381</v>
      </c>
      <c r="Z43" s="22">
        <v>117.017</v>
      </c>
      <c r="AA43" s="22">
        <v>-4.4253499999999998E-3</v>
      </c>
      <c r="AB43" s="22">
        <v>33</v>
      </c>
      <c r="AC43" s="22">
        <v>1.6830400000000001</v>
      </c>
      <c r="AD43">
        <f t="shared" si="4"/>
        <v>4.4253499999999999</v>
      </c>
      <c r="AE43">
        <f t="shared" si="5"/>
        <v>7.4514485835000004</v>
      </c>
      <c r="AF43" s="9"/>
      <c r="AG43" s="22">
        <v>6.6223099999999993E-2</v>
      </c>
      <c r="AH43" s="22">
        <v>135.99199999999999</v>
      </c>
      <c r="AI43" s="22">
        <v>-1.62109E-2</v>
      </c>
      <c r="AJ43" s="22">
        <v>33</v>
      </c>
      <c r="AK43" s="22">
        <v>6.5826399999999993E-2</v>
      </c>
      <c r="AL43">
        <f t="shared" si="6"/>
        <v>16.210899999999999</v>
      </c>
      <c r="AM43">
        <f t="shared" si="7"/>
        <v>1.0735360517899999</v>
      </c>
      <c r="AP43" s="9"/>
      <c r="AQ43" s="22">
        <v>1.68381</v>
      </c>
      <c r="AR43" s="22">
        <v>158.637</v>
      </c>
      <c r="AS43" s="22">
        <v>-4.4253499999999998E-3</v>
      </c>
      <c r="AT43" s="22">
        <v>33</v>
      </c>
      <c r="AU43" s="22">
        <v>1.6827399999999999</v>
      </c>
      <c r="AV43">
        <f t="shared" si="8"/>
        <v>4.4253499999999999</v>
      </c>
      <c r="AW43">
        <f t="shared" si="9"/>
        <v>7.4514485835000004</v>
      </c>
      <c r="AX43" s="9"/>
      <c r="AY43" s="22">
        <v>6.6223099999999993E-2</v>
      </c>
      <c r="AZ43" s="22">
        <v>181.49700000000001</v>
      </c>
      <c r="BA43" s="22">
        <v>-1.6189599999999998E-2</v>
      </c>
      <c r="BB43" s="22">
        <v>33</v>
      </c>
      <c r="BC43" s="22">
        <v>6.5826399999999993E-2</v>
      </c>
      <c r="BD43">
        <f t="shared" si="10"/>
        <v>16.189599999999999</v>
      </c>
      <c r="BE43">
        <f t="shared" si="11"/>
        <v>1.0721254997599998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49.584600000000002</v>
      </c>
      <c r="I44" s="22">
        <v>-4.43787E-3</v>
      </c>
      <c r="J44" s="22">
        <v>34</v>
      </c>
      <c r="K44" s="22">
        <v>1.6781600000000001</v>
      </c>
      <c r="L44">
        <f t="shared" si="0"/>
        <v>4.4378700000000002</v>
      </c>
      <c r="M44">
        <f t="shared" si="1"/>
        <v>7.4501630199000006</v>
      </c>
      <c r="N44" s="9"/>
      <c r="O44" s="22">
        <v>7.1258500000000002E-2</v>
      </c>
      <c r="P44" s="22">
        <v>67.467399999999998</v>
      </c>
      <c r="Q44" s="22">
        <v>-1.62384E-2</v>
      </c>
      <c r="R44" s="22">
        <v>34</v>
      </c>
      <c r="S44" s="22">
        <v>7.08313E-2</v>
      </c>
      <c r="T44">
        <f t="shared" si="2"/>
        <v>16.238399999999999</v>
      </c>
      <c r="U44">
        <f t="shared" si="3"/>
        <v>1.1571240264</v>
      </c>
      <c r="X44" s="9"/>
      <c r="Y44" s="22">
        <v>1.6787700000000001</v>
      </c>
      <c r="Z44" s="22">
        <v>117.027</v>
      </c>
      <c r="AA44" s="22">
        <v>-4.5904500000000003E-3</v>
      </c>
      <c r="AB44" s="22">
        <v>34</v>
      </c>
      <c r="AC44" s="22">
        <v>1.6781600000000001</v>
      </c>
      <c r="AD44">
        <f t="shared" si="4"/>
        <v>4.5904500000000006</v>
      </c>
      <c r="AE44">
        <f t="shared" si="5"/>
        <v>7.7063097465000014</v>
      </c>
      <c r="AF44" s="9"/>
      <c r="AG44" s="22">
        <v>7.1258500000000002E-2</v>
      </c>
      <c r="AH44" s="22">
        <v>136.00200000000001</v>
      </c>
      <c r="AI44" s="22">
        <v>-1.62109E-2</v>
      </c>
      <c r="AJ44" s="22">
        <v>34</v>
      </c>
      <c r="AK44" s="22">
        <v>7.0739700000000003E-2</v>
      </c>
      <c r="AL44">
        <f t="shared" si="6"/>
        <v>16.210899999999999</v>
      </c>
      <c r="AM44">
        <f t="shared" si="7"/>
        <v>1.15516441765</v>
      </c>
      <c r="AP44" s="9"/>
      <c r="AQ44" s="22">
        <v>1.6787700000000001</v>
      </c>
      <c r="AR44" s="22">
        <v>158.64699999999999</v>
      </c>
      <c r="AS44" s="22">
        <v>-4.59167E-3</v>
      </c>
      <c r="AT44" s="22">
        <v>34</v>
      </c>
      <c r="AU44" s="22">
        <v>1.6787700000000001</v>
      </c>
      <c r="AV44">
        <f t="shared" si="8"/>
        <v>4.5916699999999997</v>
      </c>
      <c r="AW44">
        <f t="shared" si="9"/>
        <v>7.7083578459000002</v>
      </c>
      <c r="AX44" s="9"/>
      <c r="AY44" s="22">
        <v>7.1258500000000002E-2</v>
      </c>
      <c r="AZ44" s="22">
        <v>181.50800000000001</v>
      </c>
      <c r="BA44" s="22">
        <v>-1.6180400000000001E-2</v>
      </c>
      <c r="BB44" s="22">
        <v>34</v>
      </c>
      <c r="BC44" s="22">
        <v>7.0800799999999997E-2</v>
      </c>
      <c r="BD44">
        <f t="shared" si="10"/>
        <v>16.180400000000002</v>
      </c>
      <c r="BE44">
        <f t="shared" si="11"/>
        <v>1.1529910334000002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49.5946</v>
      </c>
      <c r="I45" s="22">
        <v>-4.5874000000000002E-3</v>
      </c>
      <c r="J45" s="22">
        <v>35</v>
      </c>
      <c r="K45" s="22">
        <v>1.6729700000000001</v>
      </c>
      <c r="L45">
        <f t="shared" si="0"/>
        <v>4.5874000000000006</v>
      </c>
      <c r="M45">
        <f t="shared" si="1"/>
        <v>7.6781148760000013</v>
      </c>
      <c r="N45" s="9"/>
      <c r="O45" s="22">
        <v>7.6293899999999998E-2</v>
      </c>
      <c r="P45" s="22">
        <v>67.477500000000006</v>
      </c>
      <c r="Q45" s="22">
        <v>-1.6241499999999999E-2</v>
      </c>
      <c r="R45" s="22">
        <v>35</v>
      </c>
      <c r="S45" s="22">
        <v>7.5775099999999998E-2</v>
      </c>
      <c r="T45">
        <f t="shared" si="2"/>
        <v>16.241499999999998</v>
      </c>
      <c r="U45">
        <f t="shared" si="3"/>
        <v>1.2391273768499997</v>
      </c>
      <c r="X45" s="9"/>
      <c r="Y45" s="22">
        <v>1.67374</v>
      </c>
      <c r="Z45" s="22">
        <v>117.03700000000001</v>
      </c>
      <c r="AA45" s="22">
        <v>-4.7506700000000002E-3</v>
      </c>
      <c r="AB45" s="22">
        <v>35</v>
      </c>
      <c r="AC45" s="22">
        <v>1.6726700000000001</v>
      </c>
      <c r="AD45">
        <f t="shared" si="4"/>
        <v>4.7506700000000004</v>
      </c>
      <c r="AE45">
        <f t="shared" si="5"/>
        <v>7.951386405800001</v>
      </c>
      <c r="AF45" s="9"/>
      <c r="AG45" s="22">
        <v>7.6293899999999998E-2</v>
      </c>
      <c r="AH45" s="22">
        <v>136.012</v>
      </c>
      <c r="AI45" s="22">
        <v>-1.6207900000000001E-2</v>
      </c>
      <c r="AJ45" s="22">
        <v>35</v>
      </c>
      <c r="AK45" s="22">
        <v>7.5805700000000004E-2</v>
      </c>
      <c r="AL45">
        <f t="shared" si="6"/>
        <v>16.207900000000002</v>
      </c>
      <c r="AM45">
        <f t="shared" si="7"/>
        <v>1.2365639018100001</v>
      </c>
      <c r="AP45" s="9"/>
      <c r="AQ45" s="22">
        <v>1.67374</v>
      </c>
      <c r="AR45" s="22">
        <v>158.65700000000001</v>
      </c>
      <c r="AS45" s="22">
        <v>-4.7534200000000004E-3</v>
      </c>
      <c r="AT45" s="22">
        <v>35</v>
      </c>
      <c r="AU45" s="22">
        <v>1.6729700000000001</v>
      </c>
      <c r="AV45">
        <f t="shared" si="8"/>
        <v>4.7534200000000002</v>
      </c>
      <c r="AW45">
        <f t="shared" si="9"/>
        <v>7.9559891908000004</v>
      </c>
      <c r="AX45" s="9"/>
      <c r="AY45" s="22">
        <v>7.6293899999999998E-2</v>
      </c>
      <c r="AZ45" s="22">
        <v>181.518</v>
      </c>
      <c r="BA45" s="22">
        <v>-1.6174299999999999E-2</v>
      </c>
      <c r="BB45" s="22">
        <v>35</v>
      </c>
      <c r="BC45" s="22">
        <v>7.5958300000000006E-2</v>
      </c>
      <c r="BD45">
        <f t="shared" si="10"/>
        <v>16.174299999999999</v>
      </c>
      <c r="BE45">
        <f t="shared" si="11"/>
        <v>1.2340004267699998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49.604700000000001</v>
      </c>
      <c r="I46" s="22">
        <v>-4.7347999999999999E-3</v>
      </c>
      <c r="J46" s="22">
        <v>36</v>
      </c>
      <c r="K46" s="22">
        <v>1.6677900000000001</v>
      </c>
      <c r="L46">
        <f t="shared" si="0"/>
        <v>4.7347999999999999</v>
      </c>
      <c r="M46">
        <f t="shared" si="1"/>
        <v>7.9009607600000002</v>
      </c>
      <c r="N46" s="9"/>
      <c r="O46" s="22">
        <v>8.1329299999999993E-2</v>
      </c>
      <c r="P46" s="22">
        <v>67.487499999999997</v>
      </c>
      <c r="Q46" s="22">
        <v>-1.6241499999999999E-2</v>
      </c>
      <c r="R46" s="22">
        <v>36</v>
      </c>
      <c r="S46" s="22">
        <v>8.0871600000000002E-2</v>
      </c>
      <c r="T46">
        <f t="shared" si="2"/>
        <v>16.241499999999998</v>
      </c>
      <c r="U46">
        <f t="shared" si="3"/>
        <v>1.3209098259499998</v>
      </c>
      <c r="X46" s="9"/>
      <c r="Y46" s="22">
        <v>1.6687000000000001</v>
      </c>
      <c r="Z46" s="22">
        <v>117.047</v>
      </c>
      <c r="AA46" s="22">
        <v>-4.9105800000000003E-3</v>
      </c>
      <c r="AB46" s="22">
        <v>36</v>
      </c>
      <c r="AC46" s="22">
        <v>1.6680900000000001</v>
      </c>
      <c r="AD46">
        <f t="shared" si="4"/>
        <v>4.9105800000000004</v>
      </c>
      <c r="AE46">
        <f t="shared" si="5"/>
        <v>8.1942848460000004</v>
      </c>
      <c r="AF46" s="9"/>
      <c r="AG46" s="22">
        <v>8.1329299999999993E-2</v>
      </c>
      <c r="AH46" s="22">
        <v>136.02199999999999</v>
      </c>
      <c r="AI46" s="22">
        <v>-1.6207900000000001E-2</v>
      </c>
      <c r="AJ46" s="22">
        <v>36</v>
      </c>
      <c r="AK46" s="22">
        <v>8.0871600000000002E-2</v>
      </c>
      <c r="AL46">
        <f t="shared" si="6"/>
        <v>16.207900000000002</v>
      </c>
      <c r="AM46">
        <f t="shared" si="7"/>
        <v>1.31817716147</v>
      </c>
      <c r="AP46" s="9"/>
      <c r="AQ46" s="22">
        <v>1.6687000000000001</v>
      </c>
      <c r="AR46" s="22">
        <v>158.667</v>
      </c>
      <c r="AS46" s="22">
        <v>-4.9136400000000004E-3</v>
      </c>
      <c r="AT46" s="22">
        <v>36</v>
      </c>
      <c r="AU46" s="22">
        <v>1.6677900000000001</v>
      </c>
      <c r="AV46">
        <f t="shared" si="8"/>
        <v>4.91364</v>
      </c>
      <c r="AW46">
        <f t="shared" si="9"/>
        <v>8.1993910680000006</v>
      </c>
      <c r="AX46" s="9"/>
      <c r="AY46" s="22">
        <v>8.1329299999999993E-2</v>
      </c>
      <c r="AZ46" s="22">
        <v>181.52799999999999</v>
      </c>
      <c r="BA46" s="22">
        <v>-1.6174299999999999E-2</v>
      </c>
      <c r="BB46" s="22">
        <v>36</v>
      </c>
      <c r="BC46" s="22">
        <v>8.0841099999999999E-2</v>
      </c>
      <c r="BD46">
        <f t="shared" si="10"/>
        <v>16.174299999999999</v>
      </c>
      <c r="BE46">
        <f t="shared" si="11"/>
        <v>1.3154444969899999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49.614800000000002</v>
      </c>
      <c r="I47" s="22">
        <v>-4.8794600000000004E-3</v>
      </c>
      <c r="J47" s="22">
        <v>37</v>
      </c>
      <c r="K47" s="22">
        <v>1.6629</v>
      </c>
      <c r="L47">
        <f t="shared" si="0"/>
        <v>4.8794600000000008</v>
      </c>
      <c r="M47">
        <f t="shared" si="1"/>
        <v>8.1178112182000017</v>
      </c>
      <c r="N47" s="9"/>
      <c r="O47" s="22">
        <v>8.6364700000000003E-2</v>
      </c>
      <c r="P47" s="22">
        <v>67.497600000000006</v>
      </c>
      <c r="Q47" s="22">
        <v>-1.6229199999999999E-2</v>
      </c>
      <c r="R47" s="22">
        <v>37</v>
      </c>
      <c r="S47" s="22">
        <v>8.5845900000000003E-2</v>
      </c>
      <c r="T47">
        <f t="shared" si="2"/>
        <v>16.229199999999999</v>
      </c>
      <c r="U47">
        <f t="shared" si="3"/>
        <v>1.4016299892399999</v>
      </c>
      <c r="X47" s="9"/>
      <c r="Y47" s="22">
        <v>1.66367</v>
      </c>
      <c r="Z47" s="22">
        <v>117.057</v>
      </c>
      <c r="AA47" s="22">
        <v>-5.0659199999999998E-3</v>
      </c>
      <c r="AB47" s="22">
        <v>37</v>
      </c>
      <c r="AC47" s="22">
        <v>1.6632100000000001</v>
      </c>
      <c r="AD47">
        <f t="shared" si="4"/>
        <v>5.0659200000000002</v>
      </c>
      <c r="AE47">
        <f t="shared" si="5"/>
        <v>8.4280191264000006</v>
      </c>
      <c r="AF47" s="9"/>
      <c r="AG47" s="22">
        <v>8.6364700000000003E-2</v>
      </c>
      <c r="AH47" s="22">
        <v>136.03200000000001</v>
      </c>
      <c r="AI47" s="22">
        <v>-1.62109E-2</v>
      </c>
      <c r="AJ47" s="22">
        <v>37</v>
      </c>
      <c r="AK47" s="22">
        <v>8.59375E-2</v>
      </c>
      <c r="AL47">
        <f t="shared" si="6"/>
        <v>16.210899999999999</v>
      </c>
      <c r="AM47">
        <f t="shared" si="7"/>
        <v>1.4000495152299999</v>
      </c>
      <c r="AP47" s="9"/>
      <c r="AQ47" s="22">
        <v>1.66367</v>
      </c>
      <c r="AR47" s="22">
        <v>158.67699999999999</v>
      </c>
      <c r="AS47" s="22">
        <v>-5.0689699999999999E-3</v>
      </c>
      <c r="AT47" s="22">
        <v>37</v>
      </c>
      <c r="AU47" s="22">
        <v>1.6632100000000001</v>
      </c>
      <c r="AV47">
        <f t="shared" si="8"/>
        <v>5.0689700000000002</v>
      </c>
      <c r="AW47">
        <f t="shared" si="9"/>
        <v>8.4330933199000011</v>
      </c>
      <c r="AX47" s="9"/>
      <c r="AY47" s="22">
        <v>8.6364700000000003E-2</v>
      </c>
      <c r="AZ47" s="22">
        <v>181.53800000000001</v>
      </c>
      <c r="BA47" s="22">
        <v>-1.61713E-2</v>
      </c>
      <c r="BB47" s="22">
        <v>37</v>
      </c>
      <c r="BC47" s="22">
        <v>8.5845900000000003E-2</v>
      </c>
      <c r="BD47">
        <f t="shared" si="10"/>
        <v>16.171299999999999</v>
      </c>
      <c r="BE47">
        <f t="shared" si="11"/>
        <v>1.39662947311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49.6248</v>
      </c>
      <c r="I48" s="22">
        <v>-5.0231900000000003E-3</v>
      </c>
      <c r="J48" s="22">
        <v>38</v>
      </c>
      <c r="K48" s="22">
        <v>1.65802</v>
      </c>
      <c r="L48">
        <f t="shared" si="0"/>
        <v>5.0231900000000005</v>
      </c>
      <c r="M48">
        <f t="shared" si="1"/>
        <v>8.3316136297000014</v>
      </c>
      <c r="N48" s="9"/>
      <c r="O48" s="22">
        <v>9.1400099999999998E-2</v>
      </c>
      <c r="P48" s="22">
        <v>67.5077</v>
      </c>
      <c r="Q48" s="22">
        <v>-1.62262E-2</v>
      </c>
      <c r="R48" s="22">
        <v>38</v>
      </c>
      <c r="S48" s="22">
        <v>9.0911900000000004E-2</v>
      </c>
      <c r="T48">
        <f t="shared" si="2"/>
        <v>16.226199999999999</v>
      </c>
      <c r="U48">
        <f t="shared" si="3"/>
        <v>1.4830763026199998</v>
      </c>
      <c r="X48" s="9"/>
      <c r="Y48" s="22">
        <v>1.65863</v>
      </c>
      <c r="Z48" s="22">
        <v>117.06699999999999</v>
      </c>
      <c r="AA48" s="22">
        <v>-5.21851E-3</v>
      </c>
      <c r="AB48" s="22">
        <v>38</v>
      </c>
      <c r="AC48" s="22">
        <v>1.65771</v>
      </c>
      <c r="AD48">
        <f t="shared" si="4"/>
        <v>5.2185100000000002</v>
      </c>
      <c r="AE48">
        <f t="shared" si="5"/>
        <v>8.6555772413000014</v>
      </c>
      <c r="AF48" s="9"/>
      <c r="AG48" s="22">
        <v>9.1400099999999998E-2</v>
      </c>
      <c r="AH48" s="22">
        <v>136.042</v>
      </c>
      <c r="AI48" s="22">
        <v>-1.6204799999999998E-2</v>
      </c>
      <c r="AJ48" s="22">
        <v>38</v>
      </c>
      <c r="AK48" s="22">
        <v>9.0911900000000004E-2</v>
      </c>
      <c r="AL48">
        <f t="shared" si="6"/>
        <v>16.204799999999999</v>
      </c>
      <c r="AM48">
        <f t="shared" si="7"/>
        <v>1.48112034048</v>
      </c>
      <c r="AP48" s="9"/>
      <c r="AQ48" s="22">
        <v>1.65863</v>
      </c>
      <c r="AR48" s="22">
        <v>158.68700000000001</v>
      </c>
      <c r="AS48" s="22">
        <v>-5.2276600000000003E-3</v>
      </c>
      <c r="AT48" s="22">
        <v>38</v>
      </c>
      <c r="AU48" s="22">
        <v>1.65741</v>
      </c>
      <c r="AV48">
        <f t="shared" si="8"/>
        <v>5.2276600000000002</v>
      </c>
      <c r="AW48">
        <f t="shared" si="9"/>
        <v>8.670753705800001</v>
      </c>
      <c r="AX48" s="9"/>
      <c r="AY48" s="22">
        <v>9.1400099999999998E-2</v>
      </c>
      <c r="AZ48" s="22">
        <v>181.548</v>
      </c>
      <c r="BA48" s="22">
        <v>-1.6162099999999999E-2</v>
      </c>
      <c r="BB48" s="22">
        <v>38</v>
      </c>
      <c r="BC48" s="22">
        <v>9.0881299999999998E-2</v>
      </c>
      <c r="BD48">
        <f t="shared" si="10"/>
        <v>16.162099999999999</v>
      </c>
      <c r="BE48">
        <f t="shared" si="11"/>
        <v>1.4772175562099998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49.634900000000002</v>
      </c>
      <c r="I49" s="22">
        <v>-5.1666300000000002E-3</v>
      </c>
      <c r="J49" s="22">
        <v>39</v>
      </c>
      <c r="K49" s="22">
        <v>1.6531400000000001</v>
      </c>
      <c r="L49">
        <f t="shared" si="0"/>
        <v>5.1666300000000005</v>
      </c>
      <c r="M49">
        <f t="shared" si="1"/>
        <v>8.5434877017000002</v>
      </c>
      <c r="N49" s="9"/>
      <c r="O49" s="22">
        <v>9.6435499999999993E-2</v>
      </c>
      <c r="P49" s="22">
        <v>67.517700000000005</v>
      </c>
      <c r="Q49" s="22">
        <v>-1.6213999999999999E-2</v>
      </c>
      <c r="R49" s="22">
        <v>39</v>
      </c>
      <c r="S49" s="22">
        <v>9.5947299999999999E-2</v>
      </c>
      <c r="T49">
        <f t="shared" si="2"/>
        <v>16.213999999999999</v>
      </c>
      <c r="U49">
        <f t="shared" si="3"/>
        <v>1.5636051969999998</v>
      </c>
      <c r="X49" s="9"/>
      <c r="Y49" s="22">
        <v>1.6535899999999999</v>
      </c>
      <c r="Z49" s="22">
        <v>117.077</v>
      </c>
      <c r="AA49" s="22">
        <v>-5.3710900000000002E-3</v>
      </c>
      <c r="AB49" s="22">
        <v>39</v>
      </c>
      <c r="AC49" s="22">
        <v>1.65283</v>
      </c>
      <c r="AD49">
        <f t="shared" si="4"/>
        <v>5.3710900000000006</v>
      </c>
      <c r="AE49">
        <f t="shared" si="5"/>
        <v>8.8815807131</v>
      </c>
      <c r="AF49" s="9"/>
      <c r="AG49" s="22">
        <v>9.6435499999999993E-2</v>
      </c>
      <c r="AH49" s="22">
        <v>136.05199999999999</v>
      </c>
      <c r="AI49" s="22">
        <v>-1.61957E-2</v>
      </c>
      <c r="AJ49" s="22">
        <v>39</v>
      </c>
      <c r="AK49" s="22">
        <v>9.5977800000000002E-2</v>
      </c>
      <c r="AL49">
        <f t="shared" si="6"/>
        <v>16.195699999999999</v>
      </c>
      <c r="AM49">
        <f t="shared" si="7"/>
        <v>1.5618404273499997</v>
      </c>
      <c r="AP49" s="9"/>
      <c r="AQ49" s="22">
        <v>1.6535899999999999</v>
      </c>
      <c r="AR49" s="22">
        <v>158.697</v>
      </c>
      <c r="AS49" s="22">
        <v>-5.3802499999999996E-3</v>
      </c>
      <c r="AT49" s="22">
        <v>39</v>
      </c>
      <c r="AU49" s="22">
        <v>1.65283</v>
      </c>
      <c r="AV49">
        <f t="shared" si="8"/>
        <v>5.3802499999999993</v>
      </c>
      <c r="AW49">
        <f t="shared" si="9"/>
        <v>8.8967275974999982</v>
      </c>
      <c r="AX49" s="9"/>
      <c r="AY49" s="22">
        <v>9.6435499999999993E-2</v>
      </c>
      <c r="AZ49" s="22">
        <v>181.55799999999999</v>
      </c>
      <c r="BA49" s="22">
        <v>-1.6156E-2</v>
      </c>
      <c r="BB49" s="22">
        <v>39</v>
      </c>
      <c r="BC49" s="22">
        <v>9.5977800000000002E-2</v>
      </c>
      <c r="BD49">
        <f t="shared" si="10"/>
        <v>16.155999999999999</v>
      </c>
      <c r="BE49">
        <f t="shared" si="11"/>
        <v>1.5580119379999997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49.645000000000003</v>
      </c>
      <c r="I50" s="22">
        <v>-5.3100600000000001E-3</v>
      </c>
      <c r="J50" s="22">
        <v>40</v>
      </c>
      <c r="K50" s="22">
        <v>1.64764</v>
      </c>
      <c r="L50">
        <f t="shared" si="0"/>
        <v>5.31006</v>
      </c>
      <c r="M50">
        <f t="shared" si="1"/>
        <v>8.7539525135999998</v>
      </c>
      <c r="N50" s="9"/>
      <c r="O50" s="22">
        <v>0.10147100000000001</v>
      </c>
      <c r="P50" s="22">
        <v>67.527799999999999</v>
      </c>
      <c r="Q50" s="22">
        <v>-1.62109E-2</v>
      </c>
      <c r="R50" s="22">
        <v>40</v>
      </c>
      <c r="S50" s="22">
        <v>0.100922</v>
      </c>
      <c r="T50">
        <f t="shared" si="2"/>
        <v>16.210899999999999</v>
      </c>
      <c r="U50">
        <f t="shared" si="3"/>
        <v>1.6449362339</v>
      </c>
      <c r="X50" s="9"/>
      <c r="Y50" s="22">
        <v>1.64856</v>
      </c>
      <c r="Z50" s="22">
        <v>117.087</v>
      </c>
      <c r="AA50" s="22">
        <v>-5.5206300000000003E-3</v>
      </c>
      <c r="AB50" s="22">
        <v>40</v>
      </c>
      <c r="AC50" s="22">
        <v>1.64856</v>
      </c>
      <c r="AD50">
        <f t="shared" si="4"/>
        <v>5.5206300000000006</v>
      </c>
      <c r="AE50">
        <f t="shared" si="5"/>
        <v>9.1010897928000016</v>
      </c>
      <c r="AF50" s="9"/>
      <c r="AG50" s="22">
        <v>0.10147100000000001</v>
      </c>
      <c r="AH50" s="22">
        <v>136.06200000000001</v>
      </c>
      <c r="AI50" s="22">
        <v>-1.6180400000000001E-2</v>
      </c>
      <c r="AJ50" s="22">
        <v>40</v>
      </c>
      <c r="AK50" s="22">
        <v>0.10104399999999999</v>
      </c>
      <c r="AL50">
        <f t="shared" si="6"/>
        <v>16.180400000000002</v>
      </c>
      <c r="AM50">
        <f t="shared" si="7"/>
        <v>1.6418413684000004</v>
      </c>
      <c r="AP50" s="9"/>
      <c r="AQ50" s="22">
        <v>1.64856</v>
      </c>
      <c r="AR50" s="22">
        <v>158.70699999999999</v>
      </c>
      <c r="AS50" s="22">
        <v>-5.5328399999999998E-3</v>
      </c>
      <c r="AT50" s="22">
        <v>40</v>
      </c>
      <c r="AU50" s="22">
        <v>1.64825</v>
      </c>
      <c r="AV50">
        <f t="shared" si="8"/>
        <v>5.5328400000000002</v>
      </c>
      <c r="AW50">
        <f t="shared" si="9"/>
        <v>9.1212187104000009</v>
      </c>
      <c r="AX50" s="9"/>
      <c r="AY50" s="22">
        <v>0.10147100000000001</v>
      </c>
      <c r="AZ50" s="22">
        <v>181.56800000000001</v>
      </c>
      <c r="BA50" s="22">
        <v>-1.6146899999999999E-2</v>
      </c>
      <c r="BB50" s="22">
        <v>40</v>
      </c>
      <c r="BC50" s="22">
        <v>0.100952</v>
      </c>
      <c r="BD50">
        <f t="shared" si="10"/>
        <v>16.146899999999999</v>
      </c>
      <c r="BE50">
        <f t="shared" si="11"/>
        <v>1.6384420899000001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49.655099999999997</v>
      </c>
      <c r="I51" s="22">
        <v>-5.4473899999999999E-3</v>
      </c>
      <c r="J51" s="22">
        <v>41</v>
      </c>
      <c r="K51" s="22">
        <v>1.64276</v>
      </c>
      <c r="L51">
        <f t="shared" si="0"/>
        <v>5.4473899999999995</v>
      </c>
      <c r="M51">
        <f t="shared" si="1"/>
        <v>8.9528944127999992</v>
      </c>
      <c r="N51" s="9"/>
      <c r="O51" s="22">
        <v>0.106506</v>
      </c>
      <c r="P51" s="22">
        <v>67.537899999999993</v>
      </c>
      <c r="Q51" s="22">
        <v>-1.6201799999999999E-2</v>
      </c>
      <c r="R51" s="22">
        <v>41</v>
      </c>
      <c r="S51" s="22">
        <v>0.105988</v>
      </c>
      <c r="T51">
        <f t="shared" si="2"/>
        <v>16.201799999999999</v>
      </c>
      <c r="U51">
        <f t="shared" si="3"/>
        <v>1.7255889108</v>
      </c>
      <c r="X51" s="9"/>
      <c r="Y51" s="22">
        <v>1.6435200000000001</v>
      </c>
      <c r="Z51" s="22">
        <v>117.09699999999999</v>
      </c>
      <c r="AA51" s="22">
        <v>-5.6701700000000004E-3</v>
      </c>
      <c r="AB51" s="22">
        <v>41</v>
      </c>
      <c r="AC51" s="22">
        <v>1.64307</v>
      </c>
      <c r="AD51">
        <f t="shared" si="4"/>
        <v>5.6701700000000006</v>
      </c>
      <c r="AE51">
        <f t="shared" si="5"/>
        <v>9.3190377984000019</v>
      </c>
      <c r="AF51" s="9"/>
      <c r="AG51" s="22">
        <v>0.106506</v>
      </c>
      <c r="AH51" s="22">
        <v>136.072</v>
      </c>
      <c r="AI51" s="22">
        <v>-1.61713E-2</v>
      </c>
      <c r="AJ51" s="22">
        <v>41</v>
      </c>
      <c r="AK51" s="22">
        <v>0.105988</v>
      </c>
      <c r="AL51">
        <f t="shared" si="6"/>
        <v>16.171299999999999</v>
      </c>
      <c r="AM51">
        <f t="shared" si="7"/>
        <v>1.7223404778</v>
      </c>
      <c r="AP51" s="9"/>
      <c r="AQ51" s="22">
        <v>1.6435200000000001</v>
      </c>
      <c r="AR51" s="22">
        <v>158.71700000000001</v>
      </c>
      <c r="AS51" s="22">
        <v>-5.68237E-3</v>
      </c>
      <c r="AT51" s="22">
        <v>41</v>
      </c>
      <c r="AU51" s="22">
        <v>1.64276</v>
      </c>
      <c r="AV51">
        <f t="shared" si="8"/>
        <v>5.6823699999999997</v>
      </c>
      <c r="AW51">
        <f t="shared" si="9"/>
        <v>9.3390887423999995</v>
      </c>
      <c r="AX51" s="9"/>
      <c r="AY51" s="22">
        <v>0.106506</v>
      </c>
      <c r="AZ51" s="22">
        <v>181.578</v>
      </c>
      <c r="BA51" s="22">
        <v>-1.61438E-2</v>
      </c>
      <c r="BB51" s="22">
        <v>41</v>
      </c>
      <c r="BC51" s="22">
        <v>0.105988</v>
      </c>
      <c r="BD51">
        <f t="shared" si="10"/>
        <v>16.143799999999999</v>
      </c>
      <c r="BE51">
        <f t="shared" si="11"/>
        <v>1.7194115628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49.665100000000002</v>
      </c>
      <c r="I52" s="22">
        <v>-5.5847199999999996E-3</v>
      </c>
      <c r="J52" s="22">
        <v>42</v>
      </c>
      <c r="K52" s="22">
        <v>1.63757</v>
      </c>
      <c r="L52">
        <f t="shared" si="0"/>
        <v>5.5847199999999999</v>
      </c>
      <c r="M52">
        <f t="shared" si="1"/>
        <v>9.1505078728000004</v>
      </c>
      <c r="N52" s="9"/>
      <c r="O52" s="22">
        <v>0.111542</v>
      </c>
      <c r="P52" s="22">
        <v>67.548000000000002</v>
      </c>
      <c r="Q52" s="22">
        <v>-1.61957E-2</v>
      </c>
      <c r="R52" s="22">
        <v>42</v>
      </c>
      <c r="S52" s="22">
        <v>0.110931</v>
      </c>
      <c r="T52">
        <f t="shared" si="2"/>
        <v>16.195699999999999</v>
      </c>
      <c r="U52">
        <f t="shared" si="3"/>
        <v>1.8065007693999999</v>
      </c>
      <c r="X52" s="9"/>
      <c r="Y52" s="22">
        <v>1.63849</v>
      </c>
      <c r="Z52" s="22">
        <v>117.107</v>
      </c>
      <c r="AA52" s="22">
        <v>-5.8166499999999996E-3</v>
      </c>
      <c r="AB52" s="22">
        <v>42</v>
      </c>
      <c r="AC52" s="22">
        <v>1.63818</v>
      </c>
      <c r="AD52">
        <f t="shared" si="4"/>
        <v>5.8166499999999992</v>
      </c>
      <c r="AE52">
        <f t="shared" si="5"/>
        <v>9.5305228584999995</v>
      </c>
      <c r="AF52" s="9"/>
      <c r="AG52" s="22">
        <v>0.111542</v>
      </c>
      <c r="AH52" s="22">
        <v>136.08199999999999</v>
      </c>
      <c r="AI52" s="22">
        <v>-1.6165200000000001E-2</v>
      </c>
      <c r="AJ52" s="22">
        <v>42</v>
      </c>
      <c r="AK52" s="22">
        <v>0.111023</v>
      </c>
      <c r="AL52">
        <f t="shared" si="6"/>
        <v>16.165200000000002</v>
      </c>
      <c r="AM52">
        <f t="shared" si="7"/>
        <v>1.8030987384000003</v>
      </c>
      <c r="AP52" s="9"/>
      <c r="AQ52" s="22">
        <v>1.63849</v>
      </c>
      <c r="AR52" s="22">
        <v>158.727</v>
      </c>
      <c r="AS52" s="22">
        <v>-5.8288599999999999E-3</v>
      </c>
      <c r="AT52" s="22">
        <v>42</v>
      </c>
      <c r="AU52" s="22">
        <v>1.63788</v>
      </c>
      <c r="AV52">
        <f t="shared" si="8"/>
        <v>5.8288599999999997</v>
      </c>
      <c r="AW52">
        <f t="shared" si="9"/>
        <v>9.5505288214000004</v>
      </c>
      <c r="AX52" s="9"/>
      <c r="AY52" s="22">
        <v>0.111542</v>
      </c>
      <c r="AZ52" s="22">
        <v>181.58799999999999</v>
      </c>
      <c r="BA52" s="22">
        <v>-1.61438E-2</v>
      </c>
      <c r="BB52" s="22">
        <v>42</v>
      </c>
      <c r="BC52" s="22">
        <v>0.111084</v>
      </c>
      <c r="BD52">
        <f t="shared" si="10"/>
        <v>16.143799999999999</v>
      </c>
      <c r="BE52">
        <f t="shared" si="11"/>
        <v>1.8007117395999999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49.675199999999997</v>
      </c>
      <c r="I53" s="22">
        <v>-5.7220500000000002E-3</v>
      </c>
      <c r="J53" s="22">
        <v>43</v>
      </c>
      <c r="K53" s="22">
        <v>1.63208</v>
      </c>
      <c r="L53">
        <f t="shared" si="0"/>
        <v>5.7220500000000003</v>
      </c>
      <c r="M53">
        <f t="shared" si="1"/>
        <v>9.3466825725000007</v>
      </c>
      <c r="N53" s="9"/>
      <c r="O53" s="22">
        <v>0.116577</v>
      </c>
      <c r="P53" s="22">
        <v>67.558000000000007</v>
      </c>
      <c r="Q53" s="22">
        <v>-1.6192600000000001E-2</v>
      </c>
      <c r="R53" s="22">
        <v>43</v>
      </c>
      <c r="S53" s="22">
        <v>0.115997</v>
      </c>
      <c r="T53">
        <f t="shared" si="2"/>
        <v>16.192600000000002</v>
      </c>
      <c r="U53">
        <f t="shared" si="3"/>
        <v>1.8876847302000004</v>
      </c>
      <c r="X53" s="9"/>
      <c r="Y53" s="22">
        <v>1.6334500000000001</v>
      </c>
      <c r="Z53" s="22">
        <v>117.117</v>
      </c>
      <c r="AA53" s="22">
        <v>-5.9600800000000004E-3</v>
      </c>
      <c r="AB53" s="22">
        <v>43</v>
      </c>
      <c r="AC53" s="22">
        <v>1.633</v>
      </c>
      <c r="AD53">
        <f t="shared" si="4"/>
        <v>5.9600800000000005</v>
      </c>
      <c r="AE53">
        <f t="shared" si="5"/>
        <v>9.7354926760000016</v>
      </c>
      <c r="AF53" s="9"/>
      <c r="AG53" s="22">
        <v>0.116577</v>
      </c>
      <c r="AH53" s="22">
        <v>136.09200000000001</v>
      </c>
      <c r="AI53" s="22">
        <v>-1.6156E-2</v>
      </c>
      <c r="AJ53" s="22">
        <v>43</v>
      </c>
      <c r="AK53" s="22">
        <v>0.11605799999999999</v>
      </c>
      <c r="AL53">
        <f t="shared" si="6"/>
        <v>16.155999999999999</v>
      </c>
      <c r="AM53">
        <f t="shared" si="7"/>
        <v>1.8834180119999999</v>
      </c>
      <c r="AP53" s="9"/>
      <c r="AQ53" s="22">
        <v>1.6334500000000001</v>
      </c>
      <c r="AR53" s="22">
        <v>158.73699999999999</v>
      </c>
      <c r="AS53" s="22">
        <v>-5.97534E-3</v>
      </c>
      <c r="AT53" s="22">
        <v>43</v>
      </c>
      <c r="AU53" s="22">
        <v>1.63269</v>
      </c>
      <c r="AV53">
        <f t="shared" si="8"/>
        <v>5.9753400000000001</v>
      </c>
      <c r="AW53">
        <f t="shared" si="9"/>
        <v>9.7604191230000001</v>
      </c>
      <c r="AX53" s="9"/>
      <c r="AY53" s="22">
        <v>0.116577</v>
      </c>
      <c r="AZ53" s="22">
        <v>181.59800000000001</v>
      </c>
      <c r="BA53" s="22">
        <v>-1.6153000000000001E-2</v>
      </c>
      <c r="BB53" s="22">
        <v>43</v>
      </c>
      <c r="BC53" s="22">
        <v>0.116089</v>
      </c>
      <c r="BD53">
        <f t="shared" si="10"/>
        <v>16.153000000000002</v>
      </c>
      <c r="BE53">
        <f t="shared" si="11"/>
        <v>1.8830682810000003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49.685299999999998</v>
      </c>
      <c r="I54" s="22">
        <v>-5.8563199999999999E-3</v>
      </c>
      <c r="J54" s="22">
        <v>44</v>
      </c>
      <c r="K54" s="22">
        <v>1.6274999999999999</v>
      </c>
      <c r="L54">
        <f t="shared" si="0"/>
        <v>5.8563200000000002</v>
      </c>
      <c r="M54">
        <f t="shared" si="1"/>
        <v>9.5365486144000009</v>
      </c>
      <c r="N54" s="9"/>
      <c r="O54" s="22">
        <v>0.121613</v>
      </c>
      <c r="P54" s="22">
        <v>67.568100000000001</v>
      </c>
      <c r="Q54" s="22">
        <v>-1.6189599999999998E-2</v>
      </c>
      <c r="R54" s="22">
        <v>44</v>
      </c>
      <c r="S54" s="22">
        <v>0.121124</v>
      </c>
      <c r="T54">
        <f t="shared" si="2"/>
        <v>16.189599999999999</v>
      </c>
      <c r="U54">
        <f t="shared" si="3"/>
        <v>1.9688658247999997</v>
      </c>
      <c r="X54" s="9"/>
      <c r="Y54" s="22">
        <v>1.62842</v>
      </c>
      <c r="Z54" s="22">
        <v>117.128</v>
      </c>
      <c r="AA54" s="22">
        <v>-6.1035200000000003E-3</v>
      </c>
      <c r="AB54" s="22">
        <v>44</v>
      </c>
      <c r="AC54" s="22">
        <v>1.62781</v>
      </c>
      <c r="AD54">
        <f t="shared" si="4"/>
        <v>6.1035200000000005</v>
      </c>
      <c r="AE54">
        <f t="shared" si="5"/>
        <v>9.9390940384000004</v>
      </c>
      <c r="AF54" s="9"/>
      <c r="AG54" s="22">
        <v>0.121613</v>
      </c>
      <c r="AH54" s="22">
        <v>136.102</v>
      </c>
      <c r="AI54" s="22">
        <v>-1.6149899999999998E-2</v>
      </c>
      <c r="AJ54" s="22">
        <v>44</v>
      </c>
      <c r="AK54" s="22">
        <v>0.121124</v>
      </c>
      <c r="AL54">
        <f t="shared" si="6"/>
        <v>16.149899999999999</v>
      </c>
      <c r="AM54">
        <f t="shared" si="7"/>
        <v>1.9640377886999998</v>
      </c>
      <c r="AP54" s="9"/>
      <c r="AQ54" s="22">
        <v>1.62842</v>
      </c>
      <c r="AR54" s="22">
        <v>158.74700000000001</v>
      </c>
      <c r="AS54" s="22">
        <v>-6.1187699999999999E-3</v>
      </c>
      <c r="AT54" s="22">
        <v>44</v>
      </c>
      <c r="AU54" s="22">
        <v>1.62781</v>
      </c>
      <c r="AV54">
        <f t="shared" si="8"/>
        <v>6.1187699999999996</v>
      </c>
      <c r="AW54">
        <f t="shared" si="9"/>
        <v>9.9639274433999994</v>
      </c>
      <c r="AX54" s="9"/>
      <c r="AY54" s="22">
        <v>0.121613</v>
      </c>
      <c r="AZ54" s="22">
        <v>181.608</v>
      </c>
      <c r="BA54" s="22">
        <v>-1.6153000000000001E-2</v>
      </c>
      <c r="BB54" s="22">
        <v>44</v>
      </c>
      <c r="BC54" s="22">
        <v>0.121216</v>
      </c>
      <c r="BD54">
        <f t="shared" si="10"/>
        <v>16.153000000000002</v>
      </c>
      <c r="BE54">
        <f t="shared" si="11"/>
        <v>1.9644147890000003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49.695300000000003</v>
      </c>
      <c r="I55" s="22">
        <v>-5.9905999999999996E-3</v>
      </c>
      <c r="J55" s="22">
        <v>45</v>
      </c>
      <c r="K55" s="22">
        <v>1.62354</v>
      </c>
      <c r="L55">
        <f t="shared" si="0"/>
        <v>5.9905999999999997</v>
      </c>
      <c r="M55">
        <f t="shared" si="1"/>
        <v>9.725020228</v>
      </c>
      <c r="N55" s="9"/>
      <c r="O55" s="22">
        <v>0.12664800000000001</v>
      </c>
      <c r="P55" s="22">
        <v>67.578199999999995</v>
      </c>
      <c r="Q55" s="22">
        <v>-1.6186499999999999E-2</v>
      </c>
      <c r="R55" s="22">
        <v>45</v>
      </c>
      <c r="S55" s="22">
        <v>0.12612899999999999</v>
      </c>
      <c r="T55">
        <f t="shared" si="2"/>
        <v>16.186499999999999</v>
      </c>
      <c r="U55">
        <f t="shared" si="3"/>
        <v>2.0499878520000001</v>
      </c>
      <c r="X55" s="9"/>
      <c r="Y55" s="22">
        <v>1.62338</v>
      </c>
      <c r="Z55" s="22">
        <v>117.13800000000001</v>
      </c>
      <c r="AA55" s="22">
        <v>-6.2439000000000001E-3</v>
      </c>
      <c r="AB55" s="22">
        <v>45</v>
      </c>
      <c r="AC55" s="22">
        <v>1.6229199999999999</v>
      </c>
      <c r="AD55">
        <f t="shared" si="4"/>
        <v>6.2439</v>
      </c>
      <c r="AE55">
        <f t="shared" si="5"/>
        <v>10.136222382</v>
      </c>
      <c r="AF55" s="9"/>
      <c r="AG55" s="22">
        <v>0.12664800000000001</v>
      </c>
      <c r="AH55" s="22">
        <v>136.11199999999999</v>
      </c>
      <c r="AI55" s="22">
        <v>-1.6149899999999998E-2</v>
      </c>
      <c r="AJ55" s="22">
        <v>45</v>
      </c>
      <c r="AK55" s="22">
        <v>0.12606800000000001</v>
      </c>
      <c r="AL55">
        <f t="shared" si="6"/>
        <v>16.149899999999999</v>
      </c>
      <c r="AM55">
        <f t="shared" si="7"/>
        <v>2.0453525352000002</v>
      </c>
      <c r="AP55" s="9"/>
      <c r="AQ55" s="22">
        <v>1.62338</v>
      </c>
      <c r="AR55" s="22">
        <v>158.75700000000001</v>
      </c>
      <c r="AS55" s="22">
        <v>-6.2652599999999999E-3</v>
      </c>
      <c r="AT55" s="22">
        <v>45</v>
      </c>
      <c r="AU55" s="22">
        <v>1.62262</v>
      </c>
      <c r="AV55">
        <f t="shared" si="8"/>
        <v>6.2652599999999996</v>
      </c>
      <c r="AW55">
        <f t="shared" si="9"/>
        <v>10.170897778799999</v>
      </c>
      <c r="AX55" s="9"/>
      <c r="AY55" s="22">
        <v>0.12664800000000001</v>
      </c>
      <c r="AZ55" s="22">
        <v>181.61799999999999</v>
      </c>
      <c r="BA55" s="22">
        <v>-1.6149899999999998E-2</v>
      </c>
      <c r="BB55" s="22">
        <v>45</v>
      </c>
      <c r="BC55" s="22">
        <v>0.12606800000000001</v>
      </c>
      <c r="BD55">
        <f t="shared" si="10"/>
        <v>16.149899999999999</v>
      </c>
      <c r="BE55">
        <f t="shared" si="11"/>
        <v>2.0453525352000002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49.705399999999997</v>
      </c>
      <c r="I56" s="22">
        <v>-6.12183E-3</v>
      </c>
      <c r="J56" s="22">
        <v>46</v>
      </c>
      <c r="K56" s="22">
        <v>1.61774</v>
      </c>
      <c r="L56">
        <f t="shared" si="0"/>
        <v>6.1218300000000001</v>
      </c>
      <c r="M56">
        <f t="shared" si="1"/>
        <v>9.9072635805000004</v>
      </c>
      <c r="N56" s="9"/>
      <c r="O56" s="22">
        <v>0.13168299999999999</v>
      </c>
      <c r="P56" s="22">
        <v>67.588200000000001</v>
      </c>
      <c r="Q56" s="22">
        <v>-1.6180400000000001E-2</v>
      </c>
      <c r="R56" s="22">
        <v>46</v>
      </c>
      <c r="S56" s="22">
        <v>0.13125600000000001</v>
      </c>
      <c r="T56">
        <f t="shared" si="2"/>
        <v>16.180400000000002</v>
      </c>
      <c r="U56">
        <f t="shared" si="3"/>
        <v>2.1306836132000004</v>
      </c>
      <c r="X56" s="9"/>
      <c r="Y56" s="22">
        <v>1.61835</v>
      </c>
      <c r="Z56" s="22">
        <v>117.148</v>
      </c>
      <c r="AA56" s="22">
        <v>-6.3812299999999999E-3</v>
      </c>
      <c r="AB56" s="22">
        <v>46</v>
      </c>
      <c r="AC56" s="22">
        <v>1.61774</v>
      </c>
      <c r="AD56">
        <f t="shared" si="4"/>
        <v>6.3812299999999995</v>
      </c>
      <c r="AE56">
        <f t="shared" si="5"/>
        <v>10.327063570499998</v>
      </c>
      <c r="AF56" s="9"/>
      <c r="AG56" s="22">
        <v>0.13168299999999999</v>
      </c>
      <c r="AH56" s="22">
        <v>136.12299999999999</v>
      </c>
      <c r="AI56" s="22">
        <v>-1.6153000000000001E-2</v>
      </c>
      <c r="AJ56" s="22">
        <v>46</v>
      </c>
      <c r="AK56" s="22">
        <v>0.13119500000000001</v>
      </c>
      <c r="AL56">
        <f t="shared" si="6"/>
        <v>16.153000000000002</v>
      </c>
      <c r="AM56">
        <f t="shared" si="7"/>
        <v>2.127075499</v>
      </c>
      <c r="AP56" s="9"/>
      <c r="AQ56" s="22">
        <v>1.61835</v>
      </c>
      <c r="AR56" s="22">
        <v>158.767</v>
      </c>
      <c r="AS56" s="22">
        <v>-6.4086899999999999E-3</v>
      </c>
      <c r="AT56" s="22">
        <v>46</v>
      </c>
      <c r="AU56" s="22">
        <v>1.6180399999999999</v>
      </c>
      <c r="AV56">
        <f t="shared" si="8"/>
        <v>6.40869</v>
      </c>
      <c r="AW56">
        <f t="shared" si="9"/>
        <v>10.3715034615</v>
      </c>
      <c r="AX56" s="9"/>
      <c r="AY56" s="22">
        <v>0.13168299999999999</v>
      </c>
      <c r="AZ56" s="22">
        <v>181.62799999999999</v>
      </c>
      <c r="BA56" s="22">
        <v>-1.6153000000000001E-2</v>
      </c>
      <c r="BB56" s="22">
        <v>46</v>
      </c>
      <c r="BC56" s="22">
        <v>0.13122600000000001</v>
      </c>
      <c r="BD56">
        <f t="shared" si="10"/>
        <v>16.153000000000002</v>
      </c>
      <c r="BE56">
        <f t="shared" si="11"/>
        <v>2.127075499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49.715499999999999</v>
      </c>
      <c r="I57" s="22">
        <v>-6.2500000000000003E-3</v>
      </c>
      <c r="J57" s="22">
        <v>47</v>
      </c>
      <c r="K57" s="22">
        <v>1.6125499999999999</v>
      </c>
      <c r="L57">
        <f t="shared" si="0"/>
        <v>6.25</v>
      </c>
      <c r="M57">
        <f t="shared" si="1"/>
        <v>10.083187499999999</v>
      </c>
      <c r="N57" s="9"/>
      <c r="O57" s="22">
        <v>0.13671900000000001</v>
      </c>
      <c r="P57" s="22">
        <v>67.598299999999995</v>
      </c>
      <c r="Q57" s="22">
        <v>-1.61713E-2</v>
      </c>
      <c r="R57" s="22">
        <v>47</v>
      </c>
      <c r="S57" s="22">
        <v>0.136322</v>
      </c>
      <c r="T57">
        <f t="shared" si="2"/>
        <v>16.171299999999999</v>
      </c>
      <c r="U57">
        <f t="shared" si="3"/>
        <v>2.2109239647000001</v>
      </c>
      <c r="X57" s="9"/>
      <c r="Y57" s="22">
        <v>1.61331</v>
      </c>
      <c r="Z57" s="22">
        <v>117.158</v>
      </c>
      <c r="AA57" s="22">
        <v>-6.5185499999999997E-3</v>
      </c>
      <c r="AB57" s="22">
        <v>47</v>
      </c>
      <c r="AC57" s="22">
        <v>1.6125499999999999</v>
      </c>
      <c r="AD57">
        <f t="shared" si="4"/>
        <v>6.5185499999999994</v>
      </c>
      <c r="AE57">
        <f t="shared" si="5"/>
        <v>10.516441900499998</v>
      </c>
      <c r="AF57" s="9"/>
      <c r="AG57" s="22">
        <v>0.13671900000000001</v>
      </c>
      <c r="AH57" s="22">
        <v>136.13300000000001</v>
      </c>
      <c r="AI57" s="22">
        <v>-1.6159099999999999E-2</v>
      </c>
      <c r="AJ57" s="22">
        <v>47</v>
      </c>
      <c r="AK57" s="22">
        <v>0.13616900000000001</v>
      </c>
      <c r="AL57">
        <f t="shared" si="6"/>
        <v>16.159099999999999</v>
      </c>
      <c r="AM57">
        <f t="shared" si="7"/>
        <v>2.2092559928999997</v>
      </c>
      <c r="AP57" s="9"/>
      <c r="AQ57" s="22">
        <v>1.61331</v>
      </c>
      <c r="AR57" s="22">
        <v>158.77799999999999</v>
      </c>
      <c r="AS57" s="22">
        <v>-6.5460199999999996E-3</v>
      </c>
      <c r="AT57" s="22">
        <v>47</v>
      </c>
      <c r="AU57" s="22">
        <v>1.6128499999999999</v>
      </c>
      <c r="AV57">
        <f t="shared" si="8"/>
        <v>6.5460199999999995</v>
      </c>
      <c r="AW57">
        <f t="shared" si="9"/>
        <v>10.5607595262</v>
      </c>
      <c r="AX57" s="9"/>
      <c r="AY57" s="22">
        <v>0.13671900000000001</v>
      </c>
      <c r="AZ57" s="22">
        <v>181.63800000000001</v>
      </c>
      <c r="BA57" s="22">
        <v>-1.6153000000000001E-2</v>
      </c>
      <c r="BB57" s="22">
        <v>47</v>
      </c>
      <c r="BC57" s="22">
        <v>0.13613900000000001</v>
      </c>
      <c r="BD57">
        <f t="shared" si="10"/>
        <v>16.153000000000002</v>
      </c>
      <c r="BE57">
        <f t="shared" si="11"/>
        <v>2.2084220070000002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49.725499999999997</v>
      </c>
      <c r="I58" s="22">
        <v>-6.3781699999999998E-3</v>
      </c>
      <c r="J58" s="22">
        <v>48</v>
      </c>
      <c r="K58" s="22">
        <v>1.6076699999999999</v>
      </c>
      <c r="L58">
        <f t="shared" si="0"/>
        <v>6.3781699999999999</v>
      </c>
      <c r="M58">
        <f t="shared" si="1"/>
        <v>10.257883247599999</v>
      </c>
      <c r="N58" s="9"/>
      <c r="O58" s="22">
        <v>0.14175399999999999</v>
      </c>
      <c r="P58" s="22">
        <v>67.608400000000003</v>
      </c>
      <c r="Q58" s="22">
        <v>-1.6165200000000001E-2</v>
      </c>
      <c r="R58" s="22">
        <v>48</v>
      </c>
      <c r="S58" s="22">
        <v>0.141205</v>
      </c>
      <c r="T58">
        <f t="shared" si="2"/>
        <v>16.165200000000002</v>
      </c>
      <c r="U58">
        <f t="shared" si="3"/>
        <v>2.2914817608</v>
      </c>
      <c r="X58" s="9"/>
      <c r="Y58" s="22">
        <v>1.6082799999999999</v>
      </c>
      <c r="Z58" s="22">
        <v>117.16800000000001</v>
      </c>
      <c r="AA58" s="22">
        <v>-6.6528300000000002E-3</v>
      </c>
      <c r="AB58" s="22">
        <v>48</v>
      </c>
      <c r="AC58" s="22">
        <v>1.6076699999999999</v>
      </c>
      <c r="AD58">
        <f t="shared" si="4"/>
        <v>6.6528299999999998</v>
      </c>
      <c r="AE58">
        <f t="shared" si="5"/>
        <v>10.6996134324</v>
      </c>
      <c r="AF58" s="9"/>
      <c r="AG58" s="22">
        <v>0.14175399999999999</v>
      </c>
      <c r="AH58" s="22">
        <v>136.143</v>
      </c>
      <c r="AI58" s="22">
        <v>-1.6153000000000001E-2</v>
      </c>
      <c r="AJ58" s="22">
        <v>48</v>
      </c>
      <c r="AK58" s="22">
        <v>0.141266</v>
      </c>
      <c r="AL58">
        <f t="shared" si="6"/>
        <v>16.153000000000002</v>
      </c>
      <c r="AM58">
        <f t="shared" si="7"/>
        <v>2.2897523620000002</v>
      </c>
      <c r="AP58" s="9"/>
      <c r="AQ58" s="22">
        <v>1.6082799999999999</v>
      </c>
      <c r="AR58" s="22">
        <v>158.78800000000001</v>
      </c>
      <c r="AS58" s="22">
        <v>-6.6833500000000002E-3</v>
      </c>
      <c r="AT58" s="22">
        <v>48</v>
      </c>
      <c r="AU58" s="22">
        <v>1.6076699999999999</v>
      </c>
      <c r="AV58">
        <f t="shared" si="8"/>
        <v>6.6833499999999999</v>
      </c>
      <c r="AW58">
        <f t="shared" si="9"/>
        <v>10.748698138</v>
      </c>
      <c r="AX58" s="9"/>
      <c r="AY58" s="22">
        <v>0.14175399999999999</v>
      </c>
      <c r="AZ58" s="22">
        <v>181.649</v>
      </c>
      <c r="BA58" s="22">
        <v>-1.6149899999999998E-2</v>
      </c>
      <c r="BB58" s="22">
        <v>48</v>
      </c>
      <c r="BC58" s="22">
        <v>0.141266</v>
      </c>
      <c r="BD58">
        <f t="shared" si="10"/>
        <v>16.149899999999999</v>
      </c>
      <c r="BE58">
        <f t="shared" si="11"/>
        <v>2.2893129245999999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49.735599999999998</v>
      </c>
      <c r="I59" s="22">
        <v>-6.5033000000000001E-3</v>
      </c>
      <c r="J59" s="22">
        <v>49</v>
      </c>
      <c r="K59" s="22">
        <v>1.6030899999999999</v>
      </c>
      <c r="L59">
        <f t="shared" si="0"/>
        <v>6.5033000000000003</v>
      </c>
      <c r="M59">
        <f t="shared" si="1"/>
        <v>10.426350692</v>
      </c>
      <c r="N59" s="9"/>
      <c r="O59" s="22">
        <v>0.14679</v>
      </c>
      <c r="P59" s="22">
        <v>67.618499999999997</v>
      </c>
      <c r="Q59" s="22">
        <v>-1.6165200000000001E-2</v>
      </c>
      <c r="R59" s="22">
        <v>49</v>
      </c>
      <c r="S59" s="22">
        <v>0.14630099999999999</v>
      </c>
      <c r="T59">
        <f t="shared" si="2"/>
        <v>16.165200000000002</v>
      </c>
      <c r="U59">
        <f t="shared" si="3"/>
        <v>2.3728897080000002</v>
      </c>
      <c r="X59" s="9"/>
      <c r="Y59" s="22">
        <v>1.60324</v>
      </c>
      <c r="Z59" s="22">
        <v>117.178</v>
      </c>
      <c r="AA59" s="22">
        <v>-6.7871099999999998E-3</v>
      </c>
      <c r="AB59" s="22">
        <v>49</v>
      </c>
      <c r="AC59" s="22">
        <v>1.6024799999999999</v>
      </c>
      <c r="AD59">
        <f t="shared" si="4"/>
        <v>6.7871100000000002</v>
      </c>
      <c r="AE59">
        <f t="shared" si="5"/>
        <v>10.8813662364</v>
      </c>
      <c r="AF59" s="9"/>
      <c r="AG59" s="22">
        <v>0.14679</v>
      </c>
      <c r="AH59" s="22">
        <v>136.15299999999999</v>
      </c>
      <c r="AI59" s="22">
        <v>-1.6149899999999998E-2</v>
      </c>
      <c r="AJ59" s="22">
        <v>49</v>
      </c>
      <c r="AK59" s="22">
        <v>0.14630099999999999</v>
      </c>
      <c r="AL59">
        <f t="shared" si="6"/>
        <v>16.149899999999999</v>
      </c>
      <c r="AM59">
        <f t="shared" si="7"/>
        <v>2.3706438209999998</v>
      </c>
      <c r="AP59" s="9"/>
      <c r="AQ59" s="22">
        <v>1.60324</v>
      </c>
      <c r="AR59" s="22">
        <v>158.798</v>
      </c>
      <c r="AS59" s="22">
        <v>-6.8176299999999999E-3</v>
      </c>
      <c r="AT59" s="22">
        <v>49</v>
      </c>
      <c r="AU59" s="22">
        <v>1.6024799999999999</v>
      </c>
      <c r="AV59">
        <f t="shared" si="8"/>
        <v>6.8176300000000003</v>
      </c>
      <c r="AW59">
        <f t="shared" si="9"/>
        <v>10.930297121200001</v>
      </c>
      <c r="AX59" s="9"/>
      <c r="AY59" s="22">
        <v>0.14679</v>
      </c>
      <c r="AZ59" s="22">
        <v>181.65899999999999</v>
      </c>
      <c r="BA59" s="22">
        <v>-1.6153000000000001E-2</v>
      </c>
      <c r="BB59" s="22">
        <v>49</v>
      </c>
      <c r="BC59" s="22">
        <v>0.14627100000000001</v>
      </c>
      <c r="BD59">
        <f t="shared" si="10"/>
        <v>16.153000000000002</v>
      </c>
      <c r="BE59">
        <f t="shared" si="11"/>
        <v>2.3710988700000004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49.745699999999999</v>
      </c>
      <c r="I60" s="22">
        <v>-6.6314700000000004E-3</v>
      </c>
      <c r="J60" s="22">
        <v>50</v>
      </c>
      <c r="K60" s="22">
        <v>1.5975999999999999</v>
      </c>
      <c r="L60">
        <f t="shared" si="0"/>
        <v>6.6314700000000002</v>
      </c>
      <c r="M60">
        <f t="shared" si="1"/>
        <v>10.5984816687</v>
      </c>
      <c r="N60" s="9"/>
      <c r="O60" s="22">
        <v>0.15182499999999999</v>
      </c>
      <c r="P60" s="22">
        <v>67.628500000000003</v>
      </c>
      <c r="Q60" s="22">
        <v>-1.6162099999999999E-2</v>
      </c>
      <c r="R60" s="22">
        <v>50</v>
      </c>
      <c r="S60" s="22">
        <v>0.15127599999999999</v>
      </c>
      <c r="T60">
        <f t="shared" si="2"/>
        <v>16.162099999999999</v>
      </c>
      <c r="U60">
        <f t="shared" si="3"/>
        <v>2.4538108324999994</v>
      </c>
      <c r="X60" s="9"/>
      <c r="Y60" s="22">
        <v>1.5982099999999999</v>
      </c>
      <c r="Z60" s="22">
        <v>117.188</v>
      </c>
      <c r="AA60" s="22">
        <v>-6.9213900000000004E-3</v>
      </c>
      <c r="AB60" s="22">
        <v>50</v>
      </c>
      <c r="AC60" s="22">
        <v>1.5975999999999999</v>
      </c>
      <c r="AD60">
        <f t="shared" si="4"/>
        <v>6.9213900000000006</v>
      </c>
      <c r="AE60">
        <f t="shared" si="5"/>
        <v>11.0618347119</v>
      </c>
      <c r="AF60" s="9"/>
      <c r="AG60" s="22">
        <v>0.15182499999999999</v>
      </c>
      <c r="AH60" s="22">
        <v>136.16300000000001</v>
      </c>
      <c r="AI60" s="22">
        <v>-1.6153000000000001E-2</v>
      </c>
      <c r="AJ60" s="22">
        <v>50</v>
      </c>
      <c r="AK60" s="22">
        <v>0.15124499999999999</v>
      </c>
      <c r="AL60">
        <f t="shared" si="6"/>
        <v>16.153000000000002</v>
      </c>
      <c r="AM60">
        <f t="shared" si="7"/>
        <v>2.4524292249999999</v>
      </c>
      <c r="AP60" s="9"/>
      <c r="AQ60" s="22">
        <v>1.5982099999999999</v>
      </c>
      <c r="AR60" s="22">
        <v>158.80799999999999</v>
      </c>
      <c r="AS60" s="22">
        <v>-6.9518999999999996E-3</v>
      </c>
      <c r="AT60" s="22">
        <v>50</v>
      </c>
      <c r="AU60" s="22">
        <v>1.5975999999999999</v>
      </c>
      <c r="AV60">
        <f t="shared" si="8"/>
        <v>6.9518999999999993</v>
      </c>
      <c r="AW60">
        <f t="shared" si="9"/>
        <v>11.110596098999999</v>
      </c>
      <c r="AX60" s="9"/>
      <c r="AY60" s="22">
        <v>0.15182499999999999</v>
      </c>
      <c r="AZ60" s="22">
        <v>181.66900000000001</v>
      </c>
      <c r="BA60" s="22">
        <v>-1.6153000000000001E-2</v>
      </c>
      <c r="BB60" s="22">
        <v>50</v>
      </c>
      <c r="BC60" s="22">
        <v>0.15124499999999999</v>
      </c>
      <c r="BD60">
        <f t="shared" si="10"/>
        <v>16.153000000000002</v>
      </c>
      <c r="BE60">
        <f t="shared" si="11"/>
        <v>2.4524292249999999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49.755800000000001</v>
      </c>
      <c r="I61" s="22">
        <v>-6.7565899999999998E-3</v>
      </c>
      <c r="J61" s="22">
        <v>51</v>
      </c>
      <c r="K61" s="22">
        <v>1.5921000000000001</v>
      </c>
      <c r="L61">
        <f t="shared" si="0"/>
        <v>6.7565900000000001</v>
      </c>
      <c r="M61">
        <f t="shared" si="1"/>
        <v>10.764396490299999</v>
      </c>
      <c r="N61" s="9"/>
      <c r="O61" s="22">
        <v>0.15686</v>
      </c>
      <c r="P61" s="22">
        <v>67.638599999999997</v>
      </c>
      <c r="Q61" s="22">
        <v>-1.6162099999999999E-2</v>
      </c>
      <c r="R61" s="22">
        <v>51</v>
      </c>
      <c r="S61" s="22">
        <v>0.15637200000000001</v>
      </c>
      <c r="T61">
        <f t="shared" si="2"/>
        <v>16.162099999999999</v>
      </c>
      <c r="U61">
        <f t="shared" si="3"/>
        <v>2.5351870059999997</v>
      </c>
      <c r="X61" s="9"/>
      <c r="Y61" s="22">
        <v>1.59317</v>
      </c>
      <c r="Z61" s="22">
        <v>117.19799999999999</v>
      </c>
      <c r="AA61" s="22">
        <v>-7.0465099999999998E-3</v>
      </c>
      <c r="AB61" s="22">
        <v>51</v>
      </c>
      <c r="AC61" s="22">
        <v>1.5914900000000001</v>
      </c>
      <c r="AD61">
        <f t="shared" si="4"/>
        <v>7.0465099999999996</v>
      </c>
      <c r="AE61">
        <f t="shared" si="5"/>
        <v>11.2262883367</v>
      </c>
      <c r="AF61" s="9"/>
      <c r="AG61" s="22">
        <v>0.15686</v>
      </c>
      <c r="AH61" s="22">
        <v>136.173</v>
      </c>
      <c r="AI61" s="22">
        <v>-1.6153000000000001E-2</v>
      </c>
      <c r="AJ61" s="22">
        <v>51</v>
      </c>
      <c r="AK61" s="22">
        <v>0.15631100000000001</v>
      </c>
      <c r="AL61">
        <f t="shared" si="6"/>
        <v>16.153000000000002</v>
      </c>
      <c r="AM61">
        <f t="shared" si="7"/>
        <v>2.5337595800000003</v>
      </c>
      <c r="AP61" s="9"/>
      <c r="AQ61" s="22">
        <v>1.59317</v>
      </c>
      <c r="AR61" s="22">
        <v>158.81800000000001</v>
      </c>
      <c r="AS61" s="22">
        <v>-7.08313E-3</v>
      </c>
      <c r="AT61" s="22">
        <v>51</v>
      </c>
      <c r="AU61" s="22">
        <v>1.5927100000000001</v>
      </c>
      <c r="AV61">
        <f t="shared" si="8"/>
        <v>7.0831299999999997</v>
      </c>
      <c r="AW61">
        <f t="shared" si="9"/>
        <v>11.284630222099999</v>
      </c>
      <c r="AX61" s="9"/>
      <c r="AY61" s="22">
        <v>0.15686</v>
      </c>
      <c r="AZ61" s="22">
        <v>181.679</v>
      </c>
      <c r="BA61" s="22">
        <v>-1.6153000000000001E-2</v>
      </c>
      <c r="BB61" s="22">
        <v>51</v>
      </c>
      <c r="BC61" s="22">
        <v>0.15640299999999999</v>
      </c>
      <c r="BD61">
        <f t="shared" si="10"/>
        <v>16.153000000000002</v>
      </c>
      <c r="BE61">
        <f t="shared" si="11"/>
        <v>2.5337595800000003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49.765799999999999</v>
      </c>
      <c r="I62" s="22">
        <v>-6.8817100000000001E-3</v>
      </c>
      <c r="J62" s="22">
        <v>52</v>
      </c>
      <c r="K62" s="22">
        <v>1.5872200000000001</v>
      </c>
      <c r="L62">
        <f t="shared" si="0"/>
        <v>6.88171</v>
      </c>
      <c r="M62">
        <f t="shared" si="1"/>
        <v>10.9290501023</v>
      </c>
      <c r="N62" s="9"/>
      <c r="O62" s="22">
        <v>0.16189600000000001</v>
      </c>
      <c r="P62" s="22">
        <v>67.648700000000005</v>
      </c>
      <c r="Q62" s="22">
        <v>-1.6156E-2</v>
      </c>
      <c r="R62" s="22">
        <v>52</v>
      </c>
      <c r="S62" s="22">
        <v>0.16134599999999999</v>
      </c>
      <c r="T62">
        <f t="shared" si="2"/>
        <v>16.155999999999999</v>
      </c>
      <c r="U62">
        <f t="shared" si="3"/>
        <v>2.615591776</v>
      </c>
      <c r="X62" s="9"/>
      <c r="Y62" s="22">
        <v>1.58813</v>
      </c>
      <c r="Z62" s="22">
        <v>117.208</v>
      </c>
      <c r="AA62" s="22">
        <v>-7.1777300000000002E-3</v>
      </c>
      <c r="AB62" s="22">
        <v>52</v>
      </c>
      <c r="AC62" s="22">
        <v>1.5872200000000001</v>
      </c>
      <c r="AD62">
        <f t="shared" si="4"/>
        <v>7.1777300000000004</v>
      </c>
      <c r="AE62">
        <f t="shared" si="5"/>
        <v>11.399168344900001</v>
      </c>
      <c r="AF62" s="9"/>
      <c r="AG62" s="22">
        <v>0.16189600000000001</v>
      </c>
      <c r="AH62" s="22">
        <v>136.18299999999999</v>
      </c>
      <c r="AI62" s="22">
        <v>-1.6146899999999999E-2</v>
      </c>
      <c r="AJ62" s="22">
        <v>52</v>
      </c>
      <c r="AK62" s="22">
        <v>0.16137699999999999</v>
      </c>
      <c r="AL62">
        <f t="shared" si="6"/>
        <v>16.146899999999999</v>
      </c>
      <c r="AM62">
        <f t="shared" si="7"/>
        <v>2.6141185224000001</v>
      </c>
      <c r="AP62" s="9"/>
      <c r="AQ62" s="22">
        <v>1.58813</v>
      </c>
      <c r="AR62" s="22">
        <v>158.828</v>
      </c>
      <c r="AS62" s="22">
        <v>-7.2113000000000003E-3</v>
      </c>
      <c r="AT62" s="22">
        <v>52</v>
      </c>
      <c r="AU62" s="22">
        <v>1.5878300000000001</v>
      </c>
      <c r="AV62">
        <f t="shared" si="8"/>
        <v>7.2113000000000005</v>
      </c>
      <c r="AW62">
        <f t="shared" si="9"/>
        <v>11.452481869000001</v>
      </c>
      <c r="AX62" s="9"/>
      <c r="AY62" s="22">
        <v>0.16189600000000001</v>
      </c>
      <c r="AZ62" s="22">
        <v>181.68899999999999</v>
      </c>
      <c r="BA62" s="22">
        <v>-1.6146899999999999E-2</v>
      </c>
      <c r="BB62" s="22">
        <v>52</v>
      </c>
      <c r="BC62" s="22">
        <v>0.161438</v>
      </c>
      <c r="BD62">
        <f t="shared" si="10"/>
        <v>16.146899999999999</v>
      </c>
      <c r="BE62">
        <f t="shared" si="11"/>
        <v>2.6141185224000001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49.7759</v>
      </c>
      <c r="I63" s="22">
        <v>-7.0007300000000001E-3</v>
      </c>
      <c r="J63" s="22">
        <v>53</v>
      </c>
      <c r="K63" s="22">
        <v>1.58264</v>
      </c>
      <c r="L63">
        <f t="shared" si="0"/>
        <v>7.0007299999999999</v>
      </c>
      <c r="M63">
        <f t="shared" si="1"/>
        <v>11.082855663</v>
      </c>
      <c r="N63" s="9"/>
      <c r="O63" s="22">
        <v>0.166931</v>
      </c>
      <c r="P63" s="22">
        <v>67.658699999999996</v>
      </c>
      <c r="Q63" s="22">
        <v>-1.6146899999999999E-2</v>
      </c>
      <c r="R63" s="22">
        <v>53</v>
      </c>
      <c r="S63" s="22">
        <v>0.166382</v>
      </c>
      <c r="T63">
        <f t="shared" si="2"/>
        <v>16.146899999999999</v>
      </c>
      <c r="U63">
        <f t="shared" si="3"/>
        <v>2.6954181638999999</v>
      </c>
      <c r="X63" s="9"/>
      <c r="Y63" s="22">
        <v>1.5831</v>
      </c>
      <c r="Z63" s="22">
        <v>117.218</v>
      </c>
      <c r="AA63" s="22">
        <v>-7.3028600000000004E-3</v>
      </c>
      <c r="AB63" s="22">
        <v>53</v>
      </c>
      <c r="AC63" s="22">
        <v>1.58264</v>
      </c>
      <c r="AD63">
        <f t="shared" si="4"/>
        <v>7.3028600000000008</v>
      </c>
      <c r="AE63">
        <f t="shared" si="5"/>
        <v>11.561157666000001</v>
      </c>
      <c r="AF63" s="9"/>
      <c r="AG63" s="22">
        <v>0.166931</v>
      </c>
      <c r="AH63" s="22">
        <v>136.19300000000001</v>
      </c>
      <c r="AI63" s="22">
        <v>-1.6137700000000001E-2</v>
      </c>
      <c r="AJ63" s="22">
        <v>53</v>
      </c>
      <c r="AK63" s="22">
        <v>0.166321</v>
      </c>
      <c r="AL63">
        <f t="shared" si="6"/>
        <v>16.137700000000002</v>
      </c>
      <c r="AM63">
        <f t="shared" si="7"/>
        <v>2.6938823987000005</v>
      </c>
      <c r="AP63" s="9"/>
      <c r="AQ63" s="22">
        <v>1.5831</v>
      </c>
      <c r="AR63" s="22">
        <v>158.83799999999999</v>
      </c>
      <c r="AS63" s="22">
        <v>-7.3394799999999998E-3</v>
      </c>
      <c r="AT63" s="22">
        <v>53</v>
      </c>
      <c r="AU63" s="22">
        <v>1.58203</v>
      </c>
      <c r="AV63">
        <f t="shared" si="8"/>
        <v>7.33948</v>
      </c>
      <c r="AW63">
        <f t="shared" si="9"/>
        <v>11.619130788</v>
      </c>
      <c r="AX63" s="9"/>
      <c r="AY63" s="22">
        <v>0.166931</v>
      </c>
      <c r="AZ63" s="22">
        <v>181.69900000000001</v>
      </c>
      <c r="BA63" s="22">
        <v>-1.6140700000000001E-2</v>
      </c>
      <c r="BB63" s="22">
        <v>53</v>
      </c>
      <c r="BC63" s="22">
        <v>0.16647300000000001</v>
      </c>
      <c r="BD63">
        <f t="shared" si="10"/>
        <v>16.140700000000002</v>
      </c>
      <c r="BE63">
        <f t="shared" si="11"/>
        <v>2.6943831917000005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49.786000000000001</v>
      </c>
      <c r="I64" s="22">
        <v>-7.1228000000000003E-3</v>
      </c>
      <c r="J64" s="22">
        <v>54</v>
      </c>
      <c r="K64" s="22">
        <v>1.57745</v>
      </c>
      <c r="L64">
        <f t="shared" si="0"/>
        <v>7.1228000000000007</v>
      </c>
      <c r="M64">
        <f t="shared" si="1"/>
        <v>11.240205768000001</v>
      </c>
      <c r="N64" s="9"/>
      <c r="O64" s="22">
        <v>0.17196700000000001</v>
      </c>
      <c r="P64" s="22">
        <v>67.668800000000005</v>
      </c>
      <c r="Q64" s="22">
        <v>-1.6137700000000001E-2</v>
      </c>
      <c r="R64" s="22">
        <v>54</v>
      </c>
      <c r="S64" s="22">
        <v>0.17138700000000001</v>
      </c>
      <c r="T64">
        <f t="shared" si="2"/>
        <v>16.137700000000002</v>
      </c>
      <c r="U64">
        <f t="shared" si="3"/>
        <v>2.7751518559000004</v>
      </c>
      <c r="X64" s="9"/>
      <c r="Y64" s="22">
        <v>1.57806</v>
      </c>
      <c r="Z64" s="22">
        <v>117.22799999999999</v>
      </c>
      <c r="AA64" s="22">
        <v>-7.4249299999999997E-3</v>
      </c>
      <c r="AB64" s="22">
        <v>54</v>
      </c>
      <c r="AC64" s="22">
        <v>1.5777600000000001</v>
      </c>
      <c r="AD64">
        <f t="shared" si="4"/>
        <v>7.4249299999999998</v>
      </c>
      <c r="AE64">
        <f t="shared" si="5"/>
        <v>11.716985035800001</v>
      </c>
      <c r="AF64" s="9"/>
      <c r="AG64" s="22">
        <v>0.17196700000000001</v>
      </c>
      <c r="AH64" s="22">
        <v>136.203</v>
      </c>
      <c r="AI64" s="22">
        <v>-1.6131599999999999E-2</v>
      </c>
      <c r="AJ64" s="22">
        <v>54</v>
      </c>
      <c r="AK64" s="22">
        <v>0.17150899999999999</v>
      </c>
      <c r="AL64">
        <f t="shared" si="6"/>
        <v>16.131599999999999</v>
      </c>
      <c r="AM64">
        <f t="shared" si="7"/>
        <v>2.7741028571999999</v>
      </c>
      <c r="AP64" s="9"/>
      <c r="AQ64" s="22">
        <v>1.57806</v>
      </c>
      <c r="AR64" s="22">
        <v>158.84800000000001</v>
      </c>
      <c r="AS64" s="22">
        <v>-7.4707000000000003E-3</v>
      </c>
      <c r="AT64" s="22">
        <v>54</v>
      </c>
      <c r="AU64" s="22">
        <v>1.5777600000000001</v>
      </c>
      <c r="AV64">
        <f t="shared" si="8"/>
        <v>7.4706999999999999</v>
      </c>
      <c r="AW64">
        <f t="shared" si="9"/>
        <v>11.789212842</v>
      </c>
      <c r="AX64" s="9"/>
      <c r="AY64" s="22">
        <v>0.17196700000000001</v>
      </c>
      <c r="AZ64" s="22">
        <v>181.709</v>
      </c>
      <c r="BA64" s="22">
        <v>-1.6131599999999999E-2</v>
      </c>
      <c r="BB64" s="22">
        <v>54</v>
      </c>
      <c r="BC64" s="22">
        <v>0.17132600000000001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49.795999999999999</v>
      </c>
      <c r="I65" s="22">
        <v>-7.2387700000000003E-3</v>
      </c>
      <c r="J65" s="22">
        <v>55</v>
      </c>
      <c r="K65" s="22">
        <v>1.5728800000000001</v>
      </c>
      <c r="L65">
        <f t="shared" si="0"/>
        <v>7.2387700000000006</v>
      </c>
      <c r="M65">
        <f t="shared" si="1"/>
        <v>11.3868023731</v>
      </c>
      <c r="N65" s="9"/>
      <c r="O65" s="22">
        <v>0.17700199999999999</v>
      </c>
      <c r="P65" s="22">
        <v>67.678899999999999</v>
      </c>
      <c r="Q65" s="22">
        <v>-1.61285E-2</v>
      </c>
      <c r="R65" s="22">
        <v>55</v>
      </c>
      <c r="S65" s="22">
        <v>0.176483</v>
      </c>
      <c r="T65">
        <f t="shared" si="2"/>
        <v>16.128499999999999</v>
      </c>
      <c r="U65">
        <f t="shared" si="3"/>
        <v>2.8547767569999998</v>
      </c>
      <c r="X65" s="9"/>
      <c r="Y65" s="22">
        <v>1.5730299999999999</v>
      </c>
      <c r="Z65" s="22">
        <v>117.238</v>
      </c>
      <c r="AA65" s="22">
        <v>-7.5531000000000001E-3</v>
      </c>
      <c r="AB65" s="22">
        <v>55</v>
      </c>
      <c r="AC65" s="22">
        <v>1.5722700000000001</v>
      </c>
      <c r="AD65">
        <f t="shared" si="4"/>
        <v>7.5530999999999997</v>
      </c>
      <c r="AE65">
        <f t="shared" si="5"/>
        <v>11.881252892999999</v>
      </c>
      <c r="AF65" s="9"/>
      <c r="AG65" s="22">
        <v>0.17700199999999999</v>
      </c>
      <c r="AH65" s="22">
        <v>136.21299999999999</v>
      </c>
      <c r="AI65" s="22">
        <v>-1.6119399999999999E-2</v>
      </c>
      <c r="AJ65" s="22">
        <v>55</v>
      </c>
      <c r="AK65" s="22">
        <v>0.176514</v>
      </c>
      <c r="AL65">
        <f t="shared" si="6"/>
        <v>16.119399999999999</v>
      </c>
      <c r="AM65">
        <f t="shared" si="7"/>
        <v>2.8531660387999995</v>
      </c>
      <c r="AP65" s="9"/>
      <c r="AQ65" s="22">
        <v>1.5730299999999999</v>
      </c>
      <c r="AR65" s="22">
        <v>158.858</v>
      </c>
      <c r="AS65" s="22">
        <v>-7.5927700000000004E-3</v>
      </c>
      <c r="AT65" s="22">
        <v>55</v>
      </c>
      <c r="AU65" s="22">
        <v>1.57196</v>
      </c>
      <c r="AV65">
        <f t="shared" si="8"/>
        <v>7.5927700000000007</v>
      </c>
      <c r="AW65">
        <f t="shared" si="9"/>
        <v>11.943654993100001</v>
      </c>
      <c r="AX65" s="9"/>
      <c r="AY65" s="22">
        <v>0.17700199999999999</v>
      </c>
      <c r="AZ65" s="22">
        <v>181.71899999999999</v>
      </c>
      <c r="BA65" s="22">
        <v>-1.6125500000000001E-2</v>
      </c>
      <c r="BB65" s="22">
        <v>55</v>
      </c>
      <c r="BC65" s="22">
        <v>0.17654400000000001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49.806100000000001</v>
      </c>
      <c r="I66" s="22">
        <v>-7.3547400000000002E-3</v>
      </c>
      <c r="J66" s="22">
        <v>56</v>
      </c>
      <c r="K66" s="22">
        <v>1.56708</v>
      </c>
      <c r="L66">
        <f t="shared" si="0"/>
        <v>7.3547400000000005</v>
      </c>
      <c r="M66">
        <f t="shared" si="1"/>
        <v>11.532158772600001</v>
      </c>
      <c r="N66" s="9"/>
      <c r="O66" s="22">
        <v>0.182037</v>
      </c>
      <c r="P66" s="22">
        <v>67.688999999999993</v>
      </c>
      <c r="Q66" s="22">
        <v>-1.6122399999999999E-2</v>
      </c>
      <c r="R66" s="22">
        <v>56</v>
      </c>
      <c r="S66" s="22">
        <v>0.18148800000000001</v>
      </c>
      <c r="T66">
        <f t="shared" si="2"/>
        <v>16.122399999999999</v>
      </c>
      <c r="U66">
        <f t="shared" si="3"/>
        <v>2.9348733287999997</v>
      </c>
      <c r="X66" s="9"/>
      <c r="Y66" s="22">
        <v>1.56799</v>
      </c>
      <c r="Z66" s="22">
        <v>117.248</v>
      </c>
      <c r="AA66" s="22">
        <v>-7.6751700000000003E-3</v>
      </c>
      <c r="AB66" s="22">
        <v>56</v>
      </c>
      <c r="AC66" s="22">
        <v>1.56738</v>
      </c>
      <c r="AD66">
        <f t="shared" si="4"/>
        <v>7.6751700000000005</v>
      </c>
      <c r="AE66">
        <f t="shared" si="5"/>
        <v>12.034589808300002</v>
      </c>
      <c r="AF66" s="9"/>
      <c r="AG66" s="22">
        <v>0.182037</v>
      </c>
      <c r="AH66" s="22">
        <v>136.22300000000001</v>
      </c>
      <c r="AI66" s="22">
        <v>-1.61041E-2</v>
      </c>
      <c r="AJ66" s="22">
        <v>56</v>
      </c>
      <c r="AK66" s="22">
        <v>0.18145800000000001</v>
      </c>
      <c r="AL66">
        <f t="shared" si="6"/>
        <v>16.104099999999999</v>
      </c>
      <c r="AM66">
        <f t="shared" si="7"/>
        <v>2.9315420516999997</v>
      </c>
      <c r="AP66" s="9"/>
      <c r="AQ66" s="22">
        <v>1.56799</v>
      </c>
      <c r="AR66" s="22">
        <v>158.86799999999999</v>
      </c>
      <c r="AS66" s="22">
        <v>-7.7117899999999996E-3</v>
      </c>
      <c r="AT66" s="22">
        <v>56</v>
      </c>
      <c r="AU66" s="22">
        <v>1.56708</v>
      </c>
      <c r="AV66">
        <f t="shared" si="8"/>
        <v>7.7117899999999997</v>
      </c>
      <c r="AW66">
        <f t="shared" si="9"/>
        <v>12.092009602099999</v>
      </c>
      <c r="AX66" s="9"/>
      <c r="AY66" s="22">
        <v>0.182037</v>
      </c>
      <c r="AZ66" s="22">
        <v>181.72900000000001</v>
      </c>
      <c r="BA66" s="22">
        <v>-1.6122399999999999E-2</v>
      </c>
      <c r="BB66" s="22">
        <v>56</v>
      </c>
      <c r="BC66" s="22">
        <v>0.18148800000000001</v>
      </c>
      <c r="BD66">
        <f t="shared" si="10"/>
        <v>16.122399999999999</v>
      </c>
      <c r="BE66">
        <f t="shared" si="11"/>
        <v>2.9348733287999997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49.816200000000002</v>
      </c>
      <c r="I67" s="22">
        <v>-7.4707000000000003E-3</v>
      </c>
      <c r="J67" s="22">
        <v>57</v>
      </c>
      <c r="K67" s="22">
        <v>1.5625</v>
      </c>
      <c r="L67">
        <f t="shared" si="0"/>
        <v>7.4706999999999999</v>
      </c>
      <c r="M67">
        <f t="shared" si="1"/>
        <v>11.676405271999998</v>
      </c>
      <c r="N67" s="9"/>
      <c r="O67" s="22">
        <v>0.18707299999999999</v>
      </c>
      <c r="P67" s="22">
        <v>67.698999999999998</v>
      </c>
      <c r="Q67" s="22">
        <v>-1.61163E-2</v>
      </c>
      <c r="R67" s="22">
        <v>57</v>
      </c>
      <c r="S67" s="22">
        <v>0.186584</v>
      </c>
      <c r="T67">
        <f t="shared" si="2"/>
        <v>16.116299999999999</v>
      </c>
      <c r="U67">
        <f t="shared" si="3"/>
        <v>3.0149245898999997</v>
      </c>
      <c r="X67" s="9"/>
      <c r="Y67" s="22">
        <v>1.5629599999999999</v>
      </c>
      <c r="Z67" s="22">
        <v>117.258</v>
      </c>
      <c r="AA67" s="22">
        <v>-7.7911400000000002E-3</v>
      </c>
      <c r="AB67" s="22">
        <v>57</v>
      </c>
      <c r="AC67" s="22">
        <v>1.56219</v>
      </c>
      <c r="AD67">
        <f t="shared" si="4"/>
        <v>7.7911400000000004</v>
      </c>
      <c r="AE67">
        <f t="shared" si="5"/>
        <v>12.1772401744</v>
      </c>
      <c r="AF67" s="9"/>
      <c r="AG67" s="22">
        <v>0.18707299999999999</v>
      </c>
      <c r="AH67" s="22">
        <v>136.233</v>
      </c>
      <c r="AI67" s="22">
        <v>-1.6091899999999999E-2</v>
      </c>
      <c r="AJ67" s="22">
        <v>57</v>
      </c>
      <c r="AK67" s="22">
        <v>0.18640100000000001</v>
      </c>
      <c r="AL67">
        <f t="shared" si="6"/>
        <v>16.091899999999999</v>
      </c>
      <c r="AM67">
        <f t="shared" si="7"/>
        <v>3.0103600086999998</v>
      </c>
      <c r="AP67" s="9"/>
      <c r="AQ67" s="22">
        <v>1.5629599999999999</v>
      </c>
      <c r="AR67" s="22">
        <v>158.87799999999999</v>
      </c>
      <c r="AS67" s="22">
        <v>-7.8308100000000005E-3</v>
      </c>
      <c r="AT67" s="22">
        <v>57</v>
      </c>
      <c r="AU67" s="22">
        <v>1.56219</v>
      </c>
      <c r="AV67">
        <f t="shared" si="8"/>
        <v>7.8308100000000005</v>
      </c>
      <c r="AW67">
        <f t="shared" si="9"/>
        <v>12.239242797599999</v>
      </c>
      <c r="AX67" s="9"/>
      <c r="AY67" s="22">
        <v>0.18707299999999999</v>
      </c>
      <c r="AZ67" s="22">
        <v>181.739</v>
      </c>
      <c r="BA67" s="22">
        <v>-1.6113300000000001E-2</v>
      </c>
      <c r="BB67" s="22">
        <v>57</v>
      </c>
      <c r="BC67" s="22">
        <v>0.18646199999999999</v>
      </c>
      <c r="BD67">
        <f t="shared" si="10"/>
        <v>16.113299999999999</v>
      </c>
      <c r="BE67">
        <f t="shared" si="11"/>
        <v>3.0143633708999995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49.826300000000003</v>
      </c>
      <c r="I68" s="22">
        <v>-7.5836200000000001E-3</v>
      </c>
      <c r="J68" s="22">
        <v>58</v>
      </c>
      <c r="K68" s="22">
        <v>1.55731</v>
      </c>
      <c r="L68">
        <f t="shared" si="0"/>
        <v>7.5836199999999998</v>
      </c>
      <c r="M68">
        <f t="shared" si="1"/>
        <v>11.8146732704</v>
      </c>
      <c r="N68" s="9"/>
      <c r="O68" s="22">
        <v>0.192108</v>
      </c>
      <c r="P68" s="22">
        <v>67.709100000000007</v>
      </c>
      <c r="Q68" s="22">
        <v>-1.61163E-2</v>
      </c>
      <c r="R68" s="22">
        <v>58</v>
      </c>
      <c r="S68" s="22">
        <v>0.19155900000000001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117.26900000000001</v>
      </c>
      <c r="AA68" s="22">
        <v>-7.9132100000000004E-3</v>
      </c>
      <c r="AB68" s="22">
        <v>58</v>
      </c>
      <c r="AC68" s="22">
        <v>1.55731</v>
      </c>
      <c r="AD68">
        <f t="shared" si="4"/>
        <v>7.9132100000000003</v>
      </c>
      <c r="AE68">
        <f t="shared" si="5"/>
        <v>12.3281481232</v>
      </c>
      <c r="AF68" s="9"/>
      <c r="AG68" s="22">
        <v>0.192108</v>
      </c>
      <c r="AH68" s="22">
        <v>136.24299999999999</v>
      </c>
      <c r="AI68" s="22">
        <v>-1.6095000000000002E-2</v>
      </c>
      <c r="AJ68" s="22">
        <v>58</v>
      </c>
      <c r="AK68" s="22">
        <v>0.191498</v>
      </c>
      <c r="AL68">
        <f t="shared" si="6"/>
        <v>16.095000000000002</v>
      </c>
      <c r="AM68">
        <f t="shared" si="7"/>
        <v>3.0919782600000003</v>
      </c>
      <c r="AP68" s="9"/>
      <c r="AQ68" s="22">
        <v>1.55792</v>
      </c>
      <c r="AR68" s="22">
        <v>158.88800000000001</v>
      </c>
      <c r="AS68" s="22">
        <v>-7.9559299999999999E-3</v>
      </c>
      <c r="AT68" s="22">
        <v>58</v>
      </c>
      <c r="AU68" s="22">
        <v>1.55731</v>
      </c>
      <c r="AV68">
        <f t="shared" si="8"/>
        <v>7.9559300000000004</v>
      </c>
      <c r="AW68">
        <f t="shared" si="9"/>
        <v>12.3947024656</v>
      </c>
      <c r="AX68" s="9"/>
      <c r="AY68" s="22">
        <v>0.192108</v>
      </c>
      <c r="AZ68" s="22">
        <v>181.749</v>
      </c>
      <c r="BA68" s="22">
        <v>-1.6107199999999999E-2</v>
      </c>
      <c r="BB68" s="22">
        <v>58</v>
      </c>
      <c r="BC68" s="22">
        <v>0.19162000000000001</v>
      </c>
      <c r="BD68">
        <f t="shared" si="10"/>
        <v>16.107199999999999</v>
      </c>
      <c r="BE68">
        <f t="shared" si="11"/>
        <v>3.0943219775999999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49.836300000000001</v>
      </c>
      <c r="I69" s="22">
        <v>-7.69653E-3</v>
      </c>
      <c r="J69" s="22">
        <v>59</v>
      </c>
      <c r="K69" s="22">
        <v>1.55243</v>
      </c>
      <c r="L69">
        <f t="shared" si="0"/>
        <v>7.6965300000000001</v>
      </c>
      <c r="M69">
        <f t="shared" si="1"/>
        <v>11.9518644717</v>
      </c>
      <c r="N69" s="9"/>
      <c r="O69" s="22">
        <v>0.19714400000000001</v>
      </c>
      <c r="P69" s="22">
        <v>67.719200000000001</v>
      </c>
      <c r="Q69" s="22">
        <v>-1.6113300000000001E-2</v>
      </c>
      <c r="R69" s="22">
        <v>59</v>
      </c>
      <c r="S69" s="22">
        <v>0.196655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117.279</v>
      </c>
      <c r="AA69" s="22">
        <v>-8.0322299999999996E-3</v>
      </c>
      <c r="AB69" s="22">
        <v>59</v>
      </c>
      <c r="AC69" s="22">
        <v>1.5533399999999999</v>
      </c>
      <c r="AD69">
        <f t="shared" si="4"/>
        <v>8.0322300000000002</v>
      </c>
      <c r="AE69">
        <f t="shared" si="5"/>
        <v>12.4731696447</v>
      </c>
      <c r="AF69" s="9"/>
      <c r="AG69" s="22">
        <v>0.19714400000000001</v>
      </c>
      <c r="AH69" s="22">
        <v>136.25299999999999</v>
      </c>
      <c r="AI69" s="22">
        <v>-1.61011E-2</v>
      </c>
      <c r="AJ69" s="22">
        <v>59</v>
      </c>
      <c r="AK69" s="22">
        <v>0.19656399999999999</v>
      </c>
      <c r="AL69">
        <f t="shared" si="6"/>
        <v>16.101099999999999</v>
      </c>
      <c r="AM69">
        <f t="shared" si="7"/>
        <v>3.1742352584</v>
      </c>
      <c r="AP69" s="9"/>
      <c r="AQ69" s="22">
        <v>1.5528900000000001</v>
      </c>
      <c r="AR69" s="22">
        <v>158.898</v>
      </c>
      <c r="AS69" s="22">
        <v>-8.0749499999999991E-3</v>
      </c>
      <c r="AT69" s="22">
        <v>59</v>
      </c>
      <c r="AU69" s="22">
        <v>1.55243</v>
      </c>
      <c r="AV69">
        <f t="shared" si="8"/>
        <v>8.0749499999999994</v>
      </c>
      <c r="AW69">
        <f t="shared" si="9"/>
        <v>12.539509105500001</v>
      </c>
      <c r="AX69" s="9"/>
      <c r="AY69" s="22">
        <v>0.19714400000000001</v>
      </c>
      <c r="AZ69" s="22">
        <v>181.75899999999999</v>
      </c>
      <c r="BA69" s="22">
        <v>-1.61041E-2</v>
      </c>
      <c r="BB69" s="22">
        <v>59</v>
      </c>
      <c r="BC69" s="22">
        <v>0.19653300000000001</v>
      </c>
      <c r="BD69">
        <f t="shared" si="10"/>
        <v>16.104099999999999</v>
      </c>
      <c r="BE69">
        <f t="shared" si="11"/>
        <v>3.1748266904000002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49.846400000000003</v>
      </c>
      <c r="I70" s="22">
        <v>-7.8063999999999998E-3</v>
      </c>
      <c r="J70" s="22">
        <v>60</v>
      </c>
      <c r="K70" s="22">
        <v>1.54755</v>
      </c>
      <c r="L70">
        <f t="shared" si="0"/>
        <v>7.8064</v>
      </c>
      <c r="M70">
        <f t="shared" si="1"/>
        <v>12.08313624</v>
      </c>
      <c r="N70" s="9"/>
      <c r="O70" s="22">
        <v>0.202179</v>
      </c>
      <c r="P70" s="22">
        <v>67.729200000000006</v>
      </c>
      <c r="Q70" s="22">
        <v>-1.6110200000000002E-2</v>
      </c>
      <c r="R70" s="22">
        <v>60</v>
      </c>
      <c r="S70" s="22">
        <v>0.20166000000000001</v>
      </c>
      <c r="T70">
        <f t="shared" si="2"/>
        <v>16.110200000000003</v>
      </c>
      <c r="U70">
        <f t="shared" si="3"/>
        <v>3.2571441258000005</v>
      </c>
      <c r="X70" s="9"/>
      <c r="Y70" s="22">
        <v>1.5478499999999999</v>
      </c>
      <c r="Z70" s="22">
        <v>117.289</v>
      </c>
      <c r="AA70" s="22">
        <v>-8.1481899999999996E-3</v>
      </c>
      <c r="AB70" s="22">
        <v>60</v>
      </c>
      <c r="AC70" s="22">
        <v>1.5472399999999999</v>
      </c>
      <c r="AD70">
        <f t="shared" si="4"/>
        <v>8.1481899999999996</v>
      </c>
      <c r="AE70">
        <f t="shared" si="5"/>
        <v>12.6121758915</v>
      </c>
      <c r="AF70" s="9"/>
      <c r="AG70" s="22">
        <v>0.202179</v>
      </c>
      <c r="AH70" s="22">
        <v>136.26400000000001</v>
      </c>
      <c r="AI70" s="22">
        <v>-1.61041E-2</v>
      </c>
      <c r="AJ70" s="22">
        <v>60</v>
      </c>
      <c r="AK70" s="22">
        <v>0.20163</v>
      </c>
      <c r="AL70">
        <f t="shared" si="6"/>
        <v>16.104099999999999</v>
      </c>
      <c r="AM70">
        <f t="shared" si="7"/>
        <v>3.2559108338999998</v>
      </c>
      <c r="AP70" s="9"/>
      <c r="AQ70" s="22">
        <v>1.5478499999999999</v>
      </c>
      <c r="AR70" s="22">
        <v>158.90799999999999</v>
      </c>
      <c r="AS70" s="22">
        <v>-8.1939700000000001E-3</v>
      </c>
      <c r="AT70" s="22">
        <v>60</v>
      </c>
      <c r="AU70" s="22">
        <v>1.5472399999999999</v>
      </c>
      <c r="AV70">
        <f t="shared" si="8"/>
        <v>8.1939700000000002</v>
      </c>
      <c r="AW70">
        <f t="shared" si="9"/>
        <v>12.683036464500001</v>
      </c>
      <c r="AX70" s="9"/>
      <c r="AY70" s="22">
        <v>0.202179</v>
      </c>
      <c r="AZ70" s="22">
        <v>181.76900000000001</v>
      </c>
      <c r="BA70" s="22">
        <v>-1.6095000000000002E-2</v>
      </c>
      <c r="BB70" s="22">
        <v>60</v>
      </c>
      <c r="BC70" s="22">
        <v>0.20163</v>
      </c>
      <c r="BD70">
        <f t="shared" si="10"/>
        <v>16.095000000000002</v>
      </c>
      <c r="BE70">
        <f t="shared" si="11"/>
        <v>3.2540710050000006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49.856499999999997</v>
      </c>
      <c r="I71" s="22">
        <v>-7.9162599999999996E-3</v>
      </c>
      <c r="J71" s="22">
        <v>61</v>
      </c>
      <c r="K71" s="22">
        <v>1.5420499999999999</v>
      </c>
      <c r="L71">
        <f t="shared" si="0"/>
        <v>7.9162599999999994</v>
      </c>
      <c r="M71">
        <f t="shared" si="1"/>
        <v>12.2133642532</v>
      </c>
      <c r="N71" s="9"/>
      <c r="O71" s="22">
        <v>0.20721400000000001</v>
      </c>
      <c r="P71" s="22">
        <v>67.7393</v>
      </c>
      <c r="Q71" s="22">
        <v>-1.6110200000000002E-2</v>
      </c>
      <c r="R71" s="22">
        <v>61</v>
      </c>
      <c r="S71" s="22">
        <v>0.20660400000000001</v>
      </c>
      <c r="T71">
        <f t="shared" si="2"/>
        <v>16.110200000000003</v>
      </c>
      <c r="U71">
        <f t="shared" si="3"/>
        <v>3.3382589828000007</v>
      </c>
      <c r="X71" s="9"/>
      <c r="Y71" s="22">
        <v>1.5428200000000001</v>
      </c>
      <c r="Z71" s="22">
        <v>117.29900000000001</v>
      </c>
      <c r="AA71" s="22">
        <v>-8.2611100000000003E-3</v>
      </c>
      <c r="AB71" s="22">
        <v>61</v>
      </c>
      <c r="AC71" s="22">
        <v>1.54175</v>
      </c>
      <c r="AD71">
        <f t="shared" si="4"/>
        <v>8.2611100000000004</v>
      </c>
      <c r="AE71">
        <f t="shared" si="5"/>
        <v>12.745405730200002</v>
      </c>
      <c r="AF71" s="9"/>
      <c r="AG71" s="22">
        <v>0.20721400000000001</v>
      </c>
      <c r="AH71" s="22">
        <v>136.274</v>
      </c>
      <c r="AI71" s="22">
        <v>-1.6107199999999999E-2</v>
      </c>
      <c r="AJ71" s="22">
        <v>61</v>
      </c>
      <c r="AK71" s="22">
        <v>0.20669599999999999</v>
      </c>
      <c r="AL71">
        <f t="shared" si="6"/>
        <v>16.107199999999999</v>
      </c>
      <c r="AM71">
        <f t="shared" si="7"/>
        <v>3.3376373407999997</v>
      </c>
      <c r="AP71" s="9"/>
      <c r="AQ71" s="22">
        <v>1.5428200000000001</v>
      </c>
      <c r="AR71" s="22">
        <v>158.91900000000001</v>
      </c>
      <c r="AS71" s="22">
        <v>-8.30994E-3</v>
      </c>
      <c r="AT71" s="22">
        <v>61</v>
      </c>
      <c r="AU71" s="22">
        <v>1.54175</v>
      </c>
      <c r="AV71">
        <f t="shared" si="8"/>
        <v>8.3099399999999992</v>
      </c>
      <c r="AW71">
        <f t="shared" si="9"/>
        <v>12.820741630799999</v>
      </c>
      <c r="AX71" s="9"/>
      <c r="AY71" s="22">
        <v>0.20721400000000001</v>
      </c>
      <c r="AZ71" s="22">
        <v>181.779</v>
      </c>
      <c r="BA71" s="22">
        <v>-1.60889E-2</v>
      </c>
      <c r="BB71" s="22">
        <v>61</v>
      </c>
      <c r="BC71" s="22">
        <v>0.20669599999999999</v>
      </c>
      <c r="BD71">
        <f t="shared" si="10"/>
        <v>16.088899999999999</v>
      </c>
      <c r="BE71">
        <f t="shared" si="11"/>
        <v>3.3338453245999999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49.866500000000002</v>
      </c>
      <c r="I72" s="22">
        <v>-8.0230700000000002E-3</v>
      </c>
      <c r="J72" s="22">
        <v>62</v>
      </c>
      <c r="K72" s="22">
        <v>1.5377799999999999</v>
      </c>
      <c r="L72">
        <f t="shared" si="0"/>
        <v>8.0230700000000006</v>
      </c>
      <c r="M72">
        <f t="shared" si="1"/>
        <v>12.337716584600001</v>
      </c>
      <c r="N72" s="9"/>
      <c r="O72" s="22">
        <v>0.21224999999999999</v>
      </c>
      <c r="P72" s="22">
        <v>67.749399999999994</v>
      </c>
      <c r="Q72" s="22">
        <v>-1.6107199999999999E-2</v>
      </c>
      <c r="R72" s="22">
        <v>62</v>
      </c>
      <c r="S72" s="22">
        <v>0.211761</v>
      </c>
      <c r="T72">
        <f t="shared" si="2"/>
        <v>16.107199999999999</v>
      </c>
      <c r="U72">
        <f t="shared" si="3"/>
        <v>3.4187531999999998</v>
      </c>
      <c r="X72" s="9"/>
      <c r="Y72" s="22">
        <v>1.5377799999999999</v>
      </c>
      <c r="Z72" s="22">
        <v>117.309</v>
      </c>
      <c r="AA72" s="22">
        <v>-8.3740199999999994E-3</v>
      </c>
      <c r="AB72" s="22">
        <v>62</v>
      </c>
      <c r="AC72" s="22">
        <v>1.53687</v>
      </c>
      <c r="AD72">
        <f t="shared" si="4"/>
        <v>8.3740199999999998</v>
      </c>
      <c r="AE72">
        <f t="shared" si="5"/>
        <v>12.877400475599998</v>
      </c>
      <c r="AF72" s="9"/>
      <c r="AG72" s="22">
        <v>0.21224999999999999</v>
      </c>
      <c r="AH72" s="22">
        <v>136.28399999999999</v>
      </c>
      <c r="AI72" s="22">
        <v>-1.6098000000000001E-2</v>
      </c>
      <c r="AJ72" s="22">
        <v>62</v>
      </c>
      <c r="AK72" s="22">
        <v>0.2117</v>
      </c>
      <c r="AL72">
        <f t="shared" si="6"/>
        <v>16.098000000000003</v>
      </c>
      <c r="AM72">
        <f t="shared" si="7"/>
        <v>3.4168005000000004</v>
      </c>
      <c r="AP72" s="9"/>
      <c r="AQ72" s="22">
        <v>1.5377799999999999</v>
      </c>
      <c r="AR72" s="22">
        <v>158.929</v>
      </c>
      <c r="AS72" s="22">
        <v>-8.4228500000000008E-3</v>
      </c>
      <c r="AT72" s="22">
        <v>62</v>
      </c>
      <c r="AU72" s="22">
        <v>1.53748</v>
      </c>
      <c r="AV72">
        <f t="shared" si="8"/>
        <v>8.4228500000000004</v>
      </c>
      <c r="AW72">
        <f t="shared" si="9"/>
        <v>12.952490273</v>
      </c>
      <c r="AX72" s="9"/>
      <c r="AY72" s="22">
        <v>0.21224999999999999</v>
      </c>
      <c r="AZ72" s="22">
        <v>181.79</v>
      </c>
      <c r="BA72" s="22">
        <v>-1.6082800000000001E-2</v>
      </c>
      <c r="BB72" s="22">
        <v>62</v>
      </c>
      <c r="BC72" s="22">
        <v>0.211731</v>
      </c>
      <c r="BD72">
        <f t="shared" si="10"/>
        <v>16.082800000000002</v>
      </c>
      <c r="BE72">
        <f t="shared" si="11"/>
        <v>3.4135743000000005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49.876600000000003</v>
      </c>
      <c r="I73" s="22">
        <v>-8.13293E-3</v>
      </c>
      <c r="J73" s="22">
        <v>63</v>
      </c>
      <c r="K73" s="22">
        <v>1.5313699999999999</v>
      </c>
      <c r="L73">
        <f t="shared" si="0"/>
        <v>8.13293</v>
      </c>
      <c r="M73">
        <f t="shared" si="1"/>
        <v>12.4657484575</v>
      </c>
      <c r="N73" s="9"/>
      <c r="O73" s="22">
        <v>0.21728500000000001</v>
      </c>
      <c r="P73" s="22">
        <v>67.759500000000003</v>
      </c>
      <c r="Q73" s="22">
        <v>-1.6098000000000001E-2</v>
      </c>
      <c r="R73" s="22">
        <v>63</v>
      </c>
      <c r="S73" s="22">
        <v>0.21673600000000001</v>
      </c>
      <c r="T73">
        <f t="shared" si="2"/>
        <v>16.098000000000003</v>
      </c>
      <c r="U73">
        <f t="shared" si="3"/>
        <v>3.4978539300000007</v>
      </c>
      <c r="X73" s="9"/>
      <c r="Y73" s="22">
        <v>1.5327500000000001</v>
      </c>
      <c r="Z73" s="22">
        <v>117.319</v>
      </c>
      <c r="AA73" s="22">
        <v>-8.4838899999999991E-3</v>
      </c>
      <c r="AB73" s="22">
        <v>63</v>
      </c>
      <c r="AC73" s="22">
        <v>1.5319799999999999</v>
      </c>
      <c r="AD73">
        <f t="shared" si="4"/>
        <v>8.4838899999999988</v>
      </c>
      <c r="AE73">
        <f t="shared" si="5"/>
        <v>13.003682397499999</v>
      </c>
      <c r="AF73" s="9"/>
      <c r="AG73" s="22">
        <v>0.21728500000000001</v>
      </c>
      <c r="AH73" s="22">
        <v>136.29400000000001</v>
      </c>
      <c r="AI73" s="22">
        <v>-1.60889E-2</v>
      </c>
      <c r="AJ73" s="22">
        <v>63</v>
      </c>
      <c r="AK73" s="22">
        <v>0.21676599999999999</v>
      </c>
      <c r="AL73">
        <f t="shared" si="6"/>
        <v>16.088899999999999</v>
      </c>
      <c r="AM73">
        <f t="shared" si="7"/>
        <v>3.4958766364999998</v>
      </c>
      <c r="AP73" s="9"/>
      <c r="AQ73" s="22">
        <v>1.5327500000000001</v>
      </c>
      <c r="AR73" s="22">
        <v>158.93899999999999</v>
      </c>
      <c r="AS73" s="22">
        <v>-8.5327100000000006E-3</v>
      </c>
      <c r="AT73" s="22">
        <v>63</v>
      </c>
      <c r="AU73" s="22">
        <v>1.5322899999999999</v>
      </c>
      <c r="AV73">
        <f t="shared" si="8"/>
        <v>8.5327099999999998</v>
      </c>
      <c r="AW73">
        <f t="shared" si="9"/>
        <v>13.0785112525</v>
      </c>
      <c r="AX73" s="9"/>
      <c r="AY73" s="22">
        <v>0.21728500000000001</v>
      </c>
      <c r="AZ73" s="22">
        <v>181.8</v>
      </c>
      <c r="BA73" s="22">
        <v>-1.60736E-2</v>
      </c>
      <c r="BB73" s="22">
        <v>63</v>
      </c>
      <c r="BC73" s="22">
        <v>0.21676599999999999</v>
      </c>
      <c r="BD73">
        <f t="shared" si="10"/>
        <v>16.073599999999999</v>
      </c>
      <c r="BE73">
        <f t="shared" si="11"/>
        <v>3.4925521759999998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49.886699999999998</v>
      </c>
      <c r="I74" s="22">
        <v>-8.2366899999999996E-3</v>
      </c>
      <c r="J74" s="22">
        <v>64</v>
      </c>
      <c r="K74" s="22">
        <v>1.5274000000000001</v>
      </c>
      <c r="L74">
        <f t="shared" si="0"/>
        <v>8.2366899999999994</v>
      </c>
      <c r="M74">
        <f t="shared" si="1"/>
        <v>12.583273679899998</v>
      </c>
      <c r="N74" s="9"/>
      <c r="O74" s="22">
        <v>0.22232099999999999</v>
      </c>
      <c r="P74" s="22">
        <v>67.769499999999994</v>
      </c>
      <c r="Q74" s="22">
        <v>-1.6098000000000001E-2</v>
      </c>
      <c r="R74" s="22">
        <v>64</v>
      </c>
      <c r="S74" s="22">
        <v>0.22170999999999999</v>
      </c>
      <c r="T74">
        <f t="shared" si="2"/>
        <v>16.098000000000003</v>
      </c>
      <c r="U74">
        <f t="shared" si="3"/>
        <v>3.5789234580000002</v>
      </c>
      <c r="X74" s="9"/>
      <c r="Y74" s="22">
        <v>1.5277099999999999</v>
      </c>
      <c r="Z74" s="22">
        <v>117.32899999999999</v>
      </c>
      <c r="AA74" s="22">
        <v>-8.5876500000000005E-3</v>
      </c>
      <c r="AB74" s="22">
        <v>64</v>
      </c>
      <c r="AC74" s="22">
        <v>1.5264899999999999</v>
      </c>
      <c r="AD74">
        <f t="shared" si="4"/>
        <v>8.58765</v>
      </c>
      <c r="AE74">
        <f t="shared" si="5"/>
        <v>13.1194387815</v>
      </c>
      <c r="AF74" s="9"/>
      <c r="AG74" s="22">
        <v>0.22232099999999999</v>
      </c>
      <c r="AH74" s="22">
        <v>136.304</v>
      </c>
      <c r="AI74" s="22">
        <v>-1.6079699999999999E-2</v>
      </c>
      <c r="AJ74" s="22">
        <v>64</v>
      </c>
      <c r="AK74" s="22">
        <v>0.221802</v>
      </c>
      <c r="AL74">
        <f t="shared" si="6"/>
        <v>16.079699999999999</v>
      </c>
      <c r="AM74">
        <f t="shared" si="7"/>
        <v>3.5748549836999994</v>
      </c>
      <c r="AP74" s="9"/>
      <c r="AQ74" s="22">
        <v>1.5277099999999999</v>
      </c>
      <c r="AR74" s="22">
        <v>158.94900000000001</v>
      </c>
      <c r="AS74" s="22">
        <v>-8.6395299999999994E-3</v>
      </c>
      <c r="AT74" s="22">
        <v>64</v>
      </c>
      <c r="AU74" s="22">
        <v>1.5274000000000001</v>
      </c>
      <c r="AV74">
        <f t="shared" si="8"/>
        <v>8.6395299999999988</v>
      </c>
      <c r="AW74">
        <f t="shared" si="9"/>
        <v>13.198696376299997</v>
      </c>
      <c r="AX74" s="9"/>
      <c r="AY74" s="22">
        <v>0.22232099999999999</v>
      </c>
      <c r="AZ74" s="22">
        <v>181.81</v>
      </c>
      <c r="BA74" s="22">
        <v>-1.6067499999999998E-2</v>
      </c>
      <c r="BB74" s="22">
        <v>64</v>
      </c>
      <c r="BC74" s="22">
        <v>0.221863</v>
      </c>
      <c r="BD74">
        <f t="shared" si="10"/>
        <v>16.067499999999999</v>
      </c>
      <c r="BE74">
        <f t="shared" si="11"/>
        <v>3.5721426674999996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49.896799999999999</v>
      </c>
      <c r="I75" s="22">
        <v>-8.3404499999999993E-3</v>
      </c>
      <c r="J75" s="22">
        <v>65</v>
      </c>
      <c r="K75" s="22">
        <v>1.5219100000000001</v>
      </c>
      <c r="L75">
        <f t="shared" si="0"/>
        <v>8.3404499999999988</v>
      </c>
      <c r="M75">
        <f t="shared" si="1"/>
        <v>12.699753001499998</v>
      </c>
      <c r="N75" s="9"/>
      <c r="O75" s="22">
        <v>0.227356</v>
      </c>
      <c r="P75" s="22">
        <v>67.779600000000002</v>
      </c>
      <c r="Q75" s="22">
        <v>-1.60889E-2</v>
      </c>
      <c r="R75" s="22">
        <v>65</v>
      </c>
      <c r="S75" s="22">
        <v>0.226746</v>
      </c>
      <c r="T75">
        <f t="shared" si="2"/>
        <v>16.088899999999999</v>
      </c>
      <c r="U75">
        <f t="shared" si="3"/>
        <v>3.6579079483999997</v>
      </c>
      <c r="X75" s="9"/>
      <c r="Y75" s="22">
        <v>1.52267</v>
      </c>
      <c r="Z75" s="22">
        <v>117.339</v>
      </c>
      <c r="AA75" s="22">
        <v>-8.6914100000000001E-3</v>
      </c>
      <c r="AB75" s="22">
        <v>65</v>
      </c>
      <c r="AC75" s="22">
        <v>1.5219100000000001</v>
      </c>
      <c r="AD75">
        <f t="shared" si="4"/>
        <v>8.6914099999999994</v>
      </c>
      <c r="AE75">
        <f t="shared" si="5"/>
        <v>13.234149264699999</v>
      </c>
      <c r="AF75" s="9"/>
      <c r="AG75" s="22">
        <v>0.227356</v>
      </c>
      <c r="AH75" s="22">
        <v>136.31399999999999</v>
      </c>
      <c r="AI75" s="22">
        <v>-1.6076699999999999E-2</v>
      </c>
      <c r="AJ75" s="22">
        <v>65</v>
      </c>
      <c r="AK75" s="22">
        <v>0.22686799999999999</v>
      </c>
      <c r="AL75">
        <f t="shared" si="6"/>
        <v>16.076699999999999</v>
      </c>
      <c r="AM75">
        <f t="shared" si="7"/>
        <v>3.6551342052</v>
      </c>
      <c r="AP75" s="9"/>
      <c r="AQ75" s="22">
        <v>1.52267</v>
      </c>
      <c r="AR75" s="22">
        <v>158.959</v>
      </c>
      <c r="AS75" s="22">
        <v>-8.74634E-3</v>
      </c>
      <c r="AT75" s="22">
        <v>65</v>
      </c>
      <c r="AU75" s="22">
        <v>1.5216099999999999</v>
      </c>
      <c r="AV75">
        <f t="shared" si="8"/>
        <v>8.74634</v>
      </c>
      <c r="AW75">
        <f t="shared" si="9"/>
        <v>13.3177895278</v>
      </c>
      <c r="AX75" s="9"/>
      <c r="AY75" s="22">
        <v>0.227356</v>
      </c>
      <c r="AZ75" s="22">
        <v>181.82</v>
      </c>
      <c r="BA75" s="22">
        <v>-1.6067499999999998E-2</v>
      </c>
      <c r="BB75" s="22">
        <v>65</v>
      </c>
      <c r="BC75" s="22">
        <v>0.22683700000000001</v>
      </c>
      <c r="BD75">
        <f t="shared" si="10"/>
        <v>16.067499999999999</v>
      </c>
      <c r="BE75">
        <f t="shared" si="11"/>
        <v>3.65304253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49.906799999999997</v>
      </c>
      <c r="I76" s="22">
        <v>-8.4442100000000006E-3</v>
      </c>
      <c r="J76" s="22">
        <v>66</v>
      </c>
      <c r="K76" s="22">
        <v>1.5173300000000001</v>
      </c>
      <c r="L76">
        <f t="shared" ref="L76:L139" si="12">-I76/$F$2*1000</f>
        <v>8.44421</v>
      </c>
      <c r="M76">
        <f t="shared" ref="M76:M139" si="13">L76*G76</f>
        <v>12.8152708644</v>
      </c>
      <c r="N76" s="9"/>
      <c r="O76" s="22">
        <v>0.23239099999999999</v>
      </c>
      <c r="P76" s="22">
        <v>67.789699999999996</v>
      </c>
      <c r="Q76" s="22">
        <v>-1.6079699999999999E-2</v>
      </c>
      <c r="R76" s="22">
        <v>66</v>
      </c>
      <c r="S76" s="22">
        <v>0.231934</v>
      </c>
      <c r="T76">
        <f t="shared" ref="T76:T139" si="14">-Q76/$F$2*1000</f>
        <v>16.079699999999999</v>
      </c>
      <c r="U76">
        <f t="shared" ref="U76:U139" si="15">T76*O76</f>
        <v>3.7367775626999995</v>
      </c>
      <c r="X76" s="9"/>
      <c r="Y76" s="22">
        <v>1.5176400000000001</v>
      </c>
      <c r="Z76" s="22">
        <v>117.349</v>
      </c>
      <c r="AA76" s="22">
        <v>-8.7921100000000005E-3</v>
      </c>
      <c r="AB76" s="22">
        <v>66</v>
      </c>
      <c r="AC76" s="22">
        <v>1.5173300000000001</v>
      </c>
      <c r="AD76">
        <f t="shared" ref="AD76:AD139" si="16">-AA76/$F$2*1000</f>
        <v>8.792110000000001</v>
      </c>
      <c r="AE76">
        <f t="shared" ref="AE76:AE139" si="17">AD76*Y76</f>
        <v>13.343257820400002</v>
      </c>
      <c r="AF76" s="9"/>
      <c r="AG76" s="22">
        <v>0.23239099999999999</v>
      </c>
      <c r="AH76" s="22">
        <v>136.32400000000001</v>
      </c>
      <c r="AI76" s="22">
        <v>-1.6070600000000001E-2</v>
      </c>
      <c r="AJ76" s="22">
        <v>66</v>
      </c>
      <c r="AK76" s="22">
        <v>0.23184199999999999</v>
      </c>
      <c r="AL76">
        <f t="shared" ref="AL76:AL139" si="18">-AI76/$F$2*1000</f>
        <v>16.070600000000002</v>
      </c>
      <c r="AM76">
        <f t="shared" ref="AM76:AM139" si="19">AL76*AG76</f>
        <v>3.7346628046000006</v>
      </c>
      <c r="AP76" s="9"/>
      <c r="AQ76" s="22">
        <v>1.5176400000000001</v>
      </c>
      <c r="AR76" s="22">
        <v>158.96899999999999</v>
      </c>
      <c r="AS76" s="22">
        <v>-8.8531500000000006E-3</v>
      </c>
      <c r="AT76" s="22">
        <v>66</v>
      </c>
      <c r="AU76" s="22">
        <v>1.5164200000000001</v>
      </c>
      <c r="AV76">
        <f t="shared" ref="AV76:AV139" si="20">-AS76/$F$2*1000</f>
        <v>8.8531500000000012</v>
      </c>
      <c r="AW76">
        <f t="shared" ref="AW76:AW139" si="21">AV76*AQ76</f>
        <v>13.435894566000004</v>
      </c>
      <c r="AX76" s="9"/>
      <c r="AY76" s="22">
        <v>0.23239099999999999</v>
      </c>
      <c r="AZ76" s="22">
        <v>181.83</v>
      </c>
      <c r="BA76" s="22">
        <v>-1.6070600000000001E-2</v>
      </c>
      <c r="BB76" s="22">
        <v>66</v>
      </c>
      <c r="BC76" s="22">
        <v>0.231903</v>
      </c>
      <c r="BD76">
        <f t="shared" ref="BD76:BD139" si="22">-BA76/$F$2*1000</f>
        <v>16.070600000000002</v>
      </c>
      <c r="BE76">
        <f t="shared" ref="BE76:BE139" si="23">BD76*AY76</f>
        <v>3.7346628046000006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49.916899999999998</v>
      </c>
      <c r="I77" s="22">
        <v>-8.5510299999999994E-3</v>
      </c>
      <c r="J77" s="22">
        <v>67</v>
      </c>
      <c r="K77" s="22">
        <v>1.5118400000000001</v>
      </c>
      <c r="L77">
        <f t="shared" si="12"/>
        <v>8.551029999999999</v>
      </c>
      <c r="M77">
        <f t="shared" si="13"/>
        <v>12.934287977999999</v>
      </c>
      <c r="N77" s="9"/>
      <c r="O77" s="22">
        <v>0.237427</v>
      </c>
      <c r="P77" s="22">
        <v>67.799700000000001</v>
      </c>
      <c r="Q77" s="22">
        <v>-1.60736E-2</v>
      </c>
      <c r="R77" s="22">
        <v>67</v>
      </c>
      <c r="S77" s="22">
        <v>0.236877</v>
      </c>
      <c r="T77">
        <f t="shared" si="14"/>
        <v>16.073599999999999</v>
      </c>
      <c r="U77">
        <f t="shared" si="15"/>
        <v>3.8163066271999999</v>
      </c>
      <c r="X77" s="9"/>
      <c r="Y77" s="22">
        <v>1.5125999999999999</v>
      </c>
      <c r="Z77" s="22">
        <v>117.35899999999999</v>
      </c>
      <c r="AA77" s="22">
        <v>-8.8958700000000002E-3</v>
      </c>
      <c r="AB77" s="22">
        <v>67</v>
      </c>
      <c r="AC77" s="22">
        <v>1.5121500000000001</v>
      </c>
      <c r="AD77">
        <f t="shared" si="16"/>
        <v>8.8958700000000004</v>
      </c>
      <c r="AE77">
        <f t="shared" si="17"/>
        <v>13.455892962</v>
      </c>
      <c r="AF77" s="9"/>
      <c r="AG77" s="22">
        <v>0.237427</v>
      </c>
      <c r="AH77" s="22">
        <v>136.334</v>
      </c>
      <c r="AI77" s="22">
        <v>-1.60614E-2</v>
      </c>
      <c r="AJ77" s="22">
        <v>67</v>
      </c>
      <c r="AK77" s="22">
        <v>0.23693800000000001</v>
      </c>
      <c r="AL77">
        <f t="shared" si="18"/>
        <v>16.061399999999999</v>
      </c>
      <c r="AM77">
        <f t="shared" si="19"/>
        <v>3.8134100177999999</v>
      </c>
      <c r="AP77" s="9"/>
      <c r="AQ77" s="22">
        <v>1.5125999999999999</v>
      </c>
      <c r="AR77" s="22">
        <v>158.97900000000001</v>
      </c>
      <c r="AS77" s="22">
        <v>-8.9569100000000002E-3</v>
      </c>
      <c r="AT77" s="22">
        <v>67</v>
      </c>
      <c r="AU77" s="22">
        <v>1.5115400000000001</v>
      </c>
      <c r="AV77">
        <f t="shared" si="20"/>
        <v>8.9569100000000006</v>
      </c>
      <c r="AW77">
        <f t="shared" si="21"/>
        <v>13.548222066000001</v>
      </c>
      <c r="AX77" s="9"/>
      <c r="AY77" s="22">
        <v>0.237427</v>
      </c>
      <c r="AZ77" s="22">
        <v>181.84</v>
      </c>
      <c r="BA77" s="22">
        <v>-1.6070600000000001E-2</v>
      </c>
      <c r="BB77" s="22">
        <v>67</v>
      </c>
      <c r="BC77" s="22">
        <v>0.236877</v>
      </c>
      <c r="BD77">
        <f t="shared" si="22"/>
        <v>16.070600000000002</v>
      </c>
      <c r="BE77">
        <f t="shared" si="23"/>
        <v>3.8155943462000006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49.927</v>
      </c>
      <c r="I78" s="22">
        <v>-8.6456299999999996E-3</v>
      </c>
      <c r="J78" s="22">
        <v>68</v>
      </c>
      <c r="K78" s="22">
        <v>1.5063500000000001</v>
      </c>
      <c r="L78">
        <f t="shared" si="12"/>
        <v>8.6456299999999988</v>
      </c>
      <c r="M78">
        <f t="shared" si="13"/>
        <v>13.033892419099999</v>
      </c>
      <c r="N78" s="9"/>
      <c r="O78" s="22">
        <v>0.24246200000000001</v>
      </c>
      <c r="P78" s="22">
        <v>67.809799999999996</v>
      </c>
      <c r="Q78" s="22">
        <v>-1.60736E-2</v>
      </c>
      <c r="R78" s="22">
        <v>68</v>
      </c>
      <c r="S78" s="22">
        <v>0.24191299999999999</v>
      </c>
      <c r="T78">
        <f t="shared" si="14"/>
        <v>16.073599999999999</v>
      </c>
      <c r="U78">
        <f t="shared" si="15"/>
        <v>3.8972372032</v>
      </c>
      <c r="X78" s="9"/>
      <c r="Y78" s="22">
        <v>1.5075700000000001</v>
      </c>
      <c r="Z78" s="22">
        <v>117.369</v>
      </c>
      <c r="AA78" s="22">
        <v>-8.9965800000000005E-3</v>
      </c>
      <c r="AB78" s="22">
        <v>68</v>
      </c>
      <c r="AC78" s="22">
        <v>1.50665</v>
      </c>
      <c r="AD78">
        <f t="shared" si="16"/>
        <v>8.9965799999999998</v>
      </c>
      <c r="AE78">
        <f t="shared" si="17"/>
        <v>13.562974110600001</v>
      </c>
      <c r="AF78" s="9"/>
      <c r="AG78" s="22">
        <v>0.24246200000000001</v>
      </c>
      <c r="AH78" s="22">
        <v>136.34399999999999</v>
      </c>
      <c r="AI78" s="22">
        <v>-1.60492E-2</v>
      </c>
      <c r="AJ78" s="22">
        <v>68</v>
      </c>
      <c r="AK78" s="22">
        <v>0.24188200000000001</v>
      </c>
      <c r="AL78">
        <f t="shared" si="18"/>
        <v>16.049199999999999</v>
      </c>
      <c r="AM78">
        <f t="shared" si="19"/>
        <v>3.8913211303999997</v>
      </c>
      <c r="AP78" s="9"/>
      <c r="AQ78" s="22">
        <v>1.5075700000000001</v>
      </c>
      <c r="AR78" s="22">
        <v>158.989</v>
      </c>
      <c r="AS78" s="22">
        <v>-9.0576200000000006E-3</v>
      </c>
      <c r="AT78" s="22">
        <v>68</v>
      </c>
      <c r="AU78" s="22">
        <v>1.5063500000000001</v>
      </c>
      <c r="AV78">
        <f t="shared" si="20"/>
        <v>9.05762</v>
      </c>
      <c r="AW78">
        <f t="shared" si="21"/>
        <v>13.654996183400002</v>
      </c>
      <c r="AX78" s="9"/>
      <c r="AY78" s="22">
        <v>0.24246200000000001</v>
      </c>
      <c r="AZ78" s="22">
        <v>181.85</v>
      </c>
      <c r="BA78" s="22">
        <v>-1.60736E-2</v>
      </c>
      <c r="BB78" s="22">
        <v>68</v>
      </c>
      <c r="BC78" s="22">
        <v>0.24185200000000001</v>
      </c>
      <c r="BD78">
        <f t="shared" si="22"/>
        <v>16.073599999999999</v>
      </c>
      <c r="BE78">
        <f t="shared" si="23"/>
        <v>3.8972372032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49.936999999999998</v>
      </c>
      <c r="I79" s="22">
        <v>-8.7432900000000008E-3</v>
      </c>
      <c r="J79" s="22">
        <v>69</v>
      </c>
      <c r="K79" s="22">
        <v>1.5020800000000001</v>
      </c>
      <c r="L79">
        <f t="shared" si="12"/>
        <v>8.74329</v>
      </c>
      <c r="M79">
        <f t="shared" si="13"/>
        <v>13.137055523699999</v>
      </c>
      <c r="N79" s="9"/>
      <c r="O79" s="22">
        <v>0.247498</v>
      </c>
      <c r="P79" s="22">
        <v>67.819900000000004</v>
      </c>
      <c r="Q79" s="22">
        <v>-1.6076699999999999E-2</v>
      </c>
      <c r="R79" s="22">
        <v>69</v>
      </c>
      <c r="S79" s="22">
        <v>0.246979</v>
      </c>
      <c r="T79">
        <f t="shared" si="14"/>
        <v>16.076699999999999</v>
      </c>
      <c r="U79">
        <f t="shared" si="15"/>
        <v>3.9789510965999995</v>
      </c>
      <c r="X79" s="9"/>
      <c r="Y79" s="22">
        <v>1.5025299999999999</v>
      </c>
      <c r="Z79" s="22">
        <v>117.379</v>
      </c>
      <c r="AA79" s="22">
        <v>-9.1003400000000002E-3</v>
      </c>
      <c r="AB79" s="22">
        <v>69</v>
      </c>
      <c r="AC79" s="22">
        <v>1.50146</v>
      </c>
      <c r="AD79">
        <f t="shared" si="16"/>
        <v>9.100340000000001</v>
      </c>
      <c r="AE79">
        <f t="shared" si="17"/>
        <v>13.673533860200001</v>
      </c>
      <c r="AF79" s="9"/>
      <c r="AG79" s="22">
        <v>0.247498</v>
      </c>
      <c r="AH79" s="22">
        <v>136.35400000000001</v>
      </c>
      <c r="AI79" s="22">
        <v>-1.6036999999999999E-2</v>
      </c>
      <c r="AJ79" s="22">
        <v>69</v>
      </c>
      <c r="AK79" s="22">
        <v>0.246948</v>
      </c>
      <c r="AL79">
        <f t="shared" si="18"/>
        <v>16.036999999999999</v>
      </c>
      <c r="AM79">
        <f t="shared" si="19"/>
        <v>3.9691254259999997</v>
      </c>
      <c r="AP79" s="9"/>
      <c r="AQ79" s="22">
        <v>1.5025299999999999</v>
      </c>
      <c r="AR79" s="22">
        <v>158.999</v>
      </c>
      <c r="AS79" s="22">
        <v>-9.1552700000000001E-3</v>
      </c>
      <c r="AT79" s="22">
        <v>69</v>
      </c>
      <c r="AU79" s="22">
        <v>1.5020800000000001</v>
      </c>
      <c r="AV79">
        <f t="shared" si="20"/>
        <v>9.1552699999999998</v>
      </c>
      <c r="AW79">
        <f t="shared" si="21"/>
        <v>13.756067833099999</v>
      </c>
      <c r="AX79" s="9"/>
      <c r="AY79" s="22">
        <v>0.247498</v>
      </c>
      <c r="AZ79" s="22">
        <v>181.86</v>
      </c>
      <c r="BA79" s="22">
        <v>-1.60736E-2</v>
      </c>
      <c r="BB79" s="22">
        <v>69</v>
      </c>
      <c r="BC79" s="22">
        <v>0.24700900000000001</v>
      </c>
      <c r="BD79">
        <f t="shared" si="22"/>
        <v>16.073599999999999</v>
      </c>
      <c r="BE79">
        <f t="shared" si="23"/>
        <v>3.9781838527999995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49.947099999999999</v>
      </c>
      <c r="I80" s="22">
        <v>-8.8348400000000001E-3</v>
      </c>
      <c r="J80" s="22">
        <v>70</v>
      </c>
      <c r="K80" s="22">
        <v>1.49719</v>
      </c>
      <c r="L80">
        <f t="shared" si="12"/>
        <v>8.8348399999999998</v>
      </c>
      <c r="M80">
        <f t="shared" si="13"/>
        <v>13.230172899999999</v>
      </c>
      <c r="N80" s="9"/>
      <c r="O80" s="22">
        <v>0.25253300000000001</v>
      </c>
      <c r="P80" s="22">
        <v>67.83</v>
      </c>
      <c r="Q80" s="22">
        <v>-1.60736E-2</v>
      </c>
      <c r="R80" s="22">
        <v>70</v>
      </c>
      <c r="S80" s="22">
        <v>0.25192300000000001</v>
      </c>
      <c r="T80">
        <f t="shared" si="14"/>
        <v>16.073599999999999</v>
      </c>
      <c r="U80">
        <f t="shared" si="15"/>
        <v>4.0591144288000001</v>
      </c>
      <c r="X80" s="9"/>
      <c r="Y80" s="22">
        <v>1.4975000000000001</v>
      </c>
      <c r="Z80" s="22">
        <v>117.389</v>
      </c>
      <c r="AA80" s="22">
        <v>-9.1949500000000003E-3</v>
      </c>
      <c r="AB80" s="22">
        <v>70</v>
      </c>
      <c r="AC80" s="22">
        <v>1.4968900000000001</v>
      </c>
      <c r="AD80">
        <f t="shared" si="16"/>
        <v>9.1949500000000004</v>
      </c>
      <c r="AE80">
        <f t="shared" si="17"/>
        <v>13.769437625000002</v>
      </c>
      <c r="AF80" s="9"/>
      <c r="AG80" s="22">
        <v>0.25253300000000001</v>
      </c>
      <c r="AH80" s="22">
        <v>136.364</v>
      </c>
      <c r="AI80" s="22">
        <v>-1.6030900000000001E-2</v>
      </c>
      <c r="AJ80" s="22">
        <v>70</v>
      </c>
      <c r="AK80" s="22">
        <v>0.25195299999999998</v>
      </c>
      <c r="AL80">
        <f t="shared" si="18"/>
        <v>16.030899999999999</v>
      </c>
      <c r="AM80">
        <f t="shared" si="19"/>
        <v>4.0483312697000002</v>
      </c>
      <c r="AP80" s="9"/>
      <c r="AQ80" s="22">
        <v>1.4975000000000001</v>
      </c>
      <c r="AR80" s="22">
        <v>159.00899999999999</v>
      </c>
      <c r="AS80" s="22">
        <v>-9.2590299999999997E-3</v>
      </c>
      <c r="AT80" s="22">
        <v>70</v>
      </c>
      <c r="AU80" s="22">
        <v>1.49719</v>
      </c>
      <c r="AV80">
        <f t="shared" si="20"/>
        <v>9.2590299999999992</v>
      </c>
      <c r="AW80">
        <f t="shared" si="21"/>
        <v>13.865397424999999</v>
      </c>
      <c r="AX80" s="9"/>
      <c r="AY80" s="22">
        <v>0.25253300000000001</v>
      </c>
      <c r="AZ80" s="22">
        <v>181.87</v>
      </c>
      <c r="BA80" s="22">
        <v>-1.6070600000000001E-2</v>
      </c>
      <c r="BB80" s="22">
        <v>70</v>
      </c>
      <c r="BC80" s="22">
        <v>0.25198399999999999</v>
      </c>
      <c r="BD80">
        <f t="shared" si="22"/>
        <v>16.070600000000002</v>
      </c>
      <c r="BE80">
        <f t="shared" si="23"/>
        <v>4.058356829800001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49.9572</v>
      </c>
      <c r="I81" s="22">
        <v>-8.9324999999999995E-3</v>
      </c>
      <c r="J81" s="22">
        <v>71</v>
      </c>
      <c r="K81" s="22">
        <v>1.492</v>
      </c>
      <c r="L81">
        <f t="shared" si="12"/>
        <v>8.9324999999999992</v>
      </c>
      <c r="M81">
        <f t="shared" si="13"/>
        <v>13.331398949999999</v>
      </c>
      <c r="N81" s="9"/>
      <c r="O81" s="22">
        <v>0.25756800000000002</v>
      </c>
      <c r="P81" s="22">
        <v>67.84</v>
      </c>
      <c r="Q81" s="22">
        <v>-1.6070600000000001E-2</v>
      </c>
      <c r="R81" s="22">
        <v>71</v>
      </c>
      <c r="S81" s="22">
        <v>0.25692700000000002</v>
      </c>
      <c r="T81">
        <f t="shared" si="14"/>
        <v>16.070600000000002</v>
      </c>
      <c r="U81">
        <f t="shared" si="15"/>
        <v>4.139272300800001</v>
      </c>
      <c r="X81" s="9"/>
      <c r="Y81" s="22">
        <v>1.4924599999999999</v>
      </c>
      <c r="Z81" s="22">
        <v>117.399</v>
      </c>
      <c r="AA81" s="22">
        <v>-9.2956500000000008E-3</v>
      </c>
      <c r="AB81" s="22">
        <v>71</v>
      </c>
      <c r="AC81" s="22">
        <v>1.4917</v>
      </c>
      <c r="AD81">
        <f t="shared" si="16"/>
        <v>9.2956500000000002</v>
      </c>
      <c r="AE81">
        <f t="shared" si="17"/>
        <v>13.873385798999999</v>
      </c>
      <c r="AF81" s="9"/>
      <c r="AG81" s="22">
        <v>0.25756800000000002</v>
      </c>
      <c r="AH81" s="22">
        <v>136.374</v>
      </c>
      <c r="AI81" s="22">
        <v>-1.6027799999999998E-2</v>
      </c>
      <c r="AJ81" s="22">
        <v>71</v>
      </c>
      <c r="AK81" s="22">
        <v>0.257019</v>
      </c>
      <c r="AL81">
        <f t="shared" si="18"/>
        <v>16.027799999999999</v>
      </c>
      <c r="AM81">
        <f t="shared" si="19"/>
        <v>4.1282483904000005</v>
      </c>
      <c r="AP81" s="9"/>
      <c r="AQ81" s="22">
        <v>1.4924599999999999</v>
      </c>
      <c r="AR81" s="22">
        <v>159.01900000000001</v>
      </c>
      <c r="AS81" s="22">
        <v>-9.3566900000000008E-3</v>
      </c>
      <c r="AT81" s="22">
        <v>71</v>
      </c>
      <c r="AU81" s="22">
        <v>1.4917</v>
      </c>
      <c r="AV81">
        <f t="shared" si="20"/>
        <v>9.3566900000000004</v>
      </c>
      <c r="AW81">
        <f t="shared" si="21"/>
        <v>13.9644855574</v>
      </c>
      <c r="AX81" s="9"/>
      <c r="AY81" s="22">
        <v>0.25756800000000002</v>
      </c>
      <c r="AZ81" s="22">
        <v>181.88</v>
      </c>
      <c r="BA81" s="22">
        <v>-1.6058300000000001E-2</v>
      </c>
      <c r="BB81" s="22">
        <v>71</v>
      </c>
      <c r="BC81" s="22">
        <v>0.25707999999999998</v>
      </c>
      <c r="BD81">
        <f t="shared" si="22"/>
        <v>16.058300000000003</v>
      </c>
      <c r="BE81">
        <f t="shared" si="23"/>
        <v>4.1361042144000013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49.967300000000002</v>
      </c>
      <c r="I82" s="22">
        <v>-9.0270999999999997E-3</v>
      </c>
      <c r="J82" s="22">
        <v>72</v>
      </c>
      <c r="K82" s="22">
        <v>1.48682</v>
      </c>
      <c r="L82">
        <f t="shared" si="12"/>
        <v>9.027099999999999</v>
      </c>
      <c r="M82">
        <f t="shared" si="13"/>
        <v>13.427179353</v>
      </c>
      <c r="N82" s="9"/>
      <c r="O82" s="22">
        <v>0.262604</v>
      </c>
      <c r="P82" s="22">
        <v>67.850099999999998</v>
      </c>
      <c r="Q82" s="22">
        <v>-1.6064499999999999E-2</v>
      </c>
      <c r="R82" s="22">
        <v>72</v>
      </c>
      <c r="S82" s="22">
        <v>0.261963</v>
      </c>
      <c r="T82">
        <f t="shared" si="14"/>
        <v>16.064499999999999</v>
      </c>
      <c r="U82">
        <f t="shared" si="15"/>
        <v>4.2186019579999998</v>
      </c>
      <c r="X82" s="9"/>
      <c r="Y82" s="22">
        <v>1.48743</v>
      </c>
      <c r="Z82" s="22">
        <v>117.41</v>
      </c>
      <c r="AA82" s="22">
        <v>-9.3933100000000002E-3</v>
      </c>
      <c r="AB82" s="22">
        <v>72</v>
      </c>
      <c r="AC82" s="22">
        <v>1.48682</v>
      </c>
      <c r="AD82">
        <f t="shared" si="16"/>
        <v>9.3933099999999996</v>
      </c>
      <c r="AE82">
        <f t="shared" si="17"/>
        <v>13.9718910933</v>
      </c>
      <c r="AF82" s="9"/>
      <c r="AG82" s="22">
        <v>0.262604</v>
      </c>
      <c r="AH82" s="22">
        <v>136.38399999999999</v>
      </c>
      <c r="AI82" s="22">
        <v>-1.6027799999999998E-2</v>
      </c>
      <c r="AJ82" s="22">
        <v>72</v>
      </c>
      <c r="AK82" s="22">
        <v>0.26205400000000001</v>
      </c>
      <c r="AL82">
        <f t="shared" si="18"/>
        <v>16.027799999999999</v>
      </c>
      <c r="AM82">
        <f t="shared" si="19"/>
        <v>4.2089643911999994</v>
      </c>
      <c r="AP82" s="9"/>
      <c r="AQ82" s="22">
        <v>1.48743</v>
      </c>
      <c r="AR82" s="22">
        <v>159.029</v>
      </c>
      <c r="AS82" s="22">
        <v>-9.4543500000000003E-3</v>
      </c>
      <c r="AT82" s="22">
        <v>72</v>
      </c>
      <c r="AU82" s="22">
        <v>1.48682</v>
      </c>
      <c r="AV82">
        <f t="shared" si="20"/>
        <v>9.4543499999999998</v>
      </c>
      <c r="AW82">
        <f t="shared" si="21"/>
        <v>14.0626838205</v>
      </c>
      <c r="AX82" s="9"/>
      <c r="AY82" s="22">
        <v>0.262604</v>
      </c>
      <c r="AZ82" s="22">
        <v>181.89</v>
      </c>
      <c r="BA82" s="22">
        <v>-1.6039999999999999E-2</v>
      </c>
      <c r="BB82" s="22">
        <v>72</v>
      </c>
      <c r="BC82" s="22">
        <v>0.26199299999999998</v>
      </c>
      <c r="BD82">
        <f t="shared" si="22"/>
        <v>16.04</v>
      </c>
      <c r="BE82">
        <f t="shared" si="23"/>
        <v>4.2121681600000001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49.9773</v>
      </c>
      <c r="I83" s="22">
        <v>-9.1216999999999999E-3</v>
      </c>
      <c r="J83" s="22">
        <v>73</v>
      </c>
      <c r="K83" s="22">
        <v>1.48163</v>
      </c>
      <c r="L83">
        <f t="shared" si="12"/>
        <v>9.1217000000000006</v>
      </c>
      <c r="M83">
        <f t="shared" si="13"/>
        <v>13.521916863000001</v>
      </c>
      <c r="N83" s="9"/>
      <c r="O83" s="22">
        <v>0.26763900000000002</v>
      </c>
      <c r="P83" s="22">
        <v>67.860200000000006</v>
      </c>
      <c r="Q83" s="22">
        <v>-1.6064499999999999E-2</v>
      </c>
      <c r="R83" s="22">
        <v>73</v>
      </c>
      <c r="S83" s="22">
        <v>0.26705899999999999</v>
      </c>
      <c r="T83">
        <f t="shared" si="14"/>
        <v>16.064499999999999</v>
      </c>
      <c r="U83">
        <f t="shared" si="15"/>
        <v>4.2994867154999996</v>
      </c>
      <c r="X83" s="9"/>
      <c r="Y83" s="22">
        <v>1.4823900000000001</v>
      </c>
      <c r="Z83" s="22">
        <v>117.42</v>
      </c>
      <c r="AA83" s="22">
        <v>-9.4848599999999995E-3</v>
      </c>
      <c r="AB83" s="22">
        <v>73</v>
      </c>
      <c r="AC83" s="22">
        <v>1.48163</v>
      </c>
      <c r="AD83">
        <f t="shared" si="16"/>
        <v>9.4848599999999994</v>
      </c>
      <c r="AE83">
        <f t="shared" si="17"/>
        <v>14.0602616154</v>
      </c>
      <c r="AF83" s="9"/>
      <c r="AG83" s="22">
        <v>0.26763900000000002</v>
      </c>
      <c r="AH83" s="22">
        <v>136.39400000000001</v>
      </c>
      <c r="AI83" s="22">
        <v>-1.6030900000000001E-2</v>
      </c>
      <c r="AJ83" s="22">
        <v>73</v>
      </c>
      <c r="AK83" s="22">
        <v>0.26693699999999998</v>
      </c>
      <c r="AL83">
        <f t="shared" si="18"/>
        <v>16.030899999999999</v>
      </c>
      <c r="AM83">
        <f t="shared" si="19"/>
        <v>4.2904940451</v>
      </c>
      <c r="AP83" s="9"/>
      <c r="AQ83" s="22">
        <v>1.4823900000000001</v>
      </c>
      <c r="AR83" s="22">
        <v>159.03899999999999</v>
      </c>
      <c r="AS83" s="22">
        <v>-9.5489500000000005E-3</v>
      </c>
      <c r="AT83" s="22">
        <v>73</v>
      </c>
      <c r="AU83" s="22">
        <v>1.48193</v>
      </c>
      <c r="AV83">
        <f t="shared" si="20"/>
        <v>9.5489500000000014</v>
      </c>
      <c r="AW83">
        <f t="shared" si="21"/>
        <v>14.155267990500002</v>
      </c>
      <c r="AX83" s="9"/>
      <c r="AY83" s="22">
        <v>0.26763900000000002</v>
      </c>
      <c r="AZ83" s="22">
        <v>181.9</v>
      </c>
      <c r="BA83" s="22">
        <v>-1.6015600000000001E-2</v>
      </c>
      <c r="BB83" s="22">
        <v>73</v>
      </c>
      <c r="BC83" s="22">
        <v>0.26702900000000002</v>
      </c>
      <c r="BD83">
        <f t="shared" si="22"/>
        <v>16.015600000000003</v>
      </c>
      <c r="BE83">
        <f t="shared" si="23"/>
        <v>4.2863991684000009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49.987400000000001</v>
      </c>
      <c r="I84" s="22">
        <v>-9.2132599999999992E-3</v>
      </c>
      <c r="J84" s="22">
        <v>74</v>
      </c>
      <c r="K84" s="22">
        <v>1.47644</v>
      </c>
      <c r="L84">
        <f t="shared" si="12"/>
        <v>9.21326</v>
      </c>
      <c r="M84">
        <f t="shared" si="13"/>
        <v>13.611301793600001</v>
      </c>
      <c r="N84" s="9"/>
      <c r="O84" s="22">
        <v>0.272675</v>
      </c>
      <c r="P84" s="22">
        <v>67.870199999999997</v>
      </c>
      <c r="Q84" s="22">
        <v>-1.6058300000000001E-2</v>
      </c>
      <c r="R84" s="22">
        <v>74</v>
      </c>
      <c r="S84" s="22">
        <v>0.27206399999999997</v>
      </c>
      <c r="T84">
        <f t="shared" si="14"/>
        <v>16.058300000000003</v>
      </c>
      <c r="U84">
        <f t="shared" si="15"/>
        <v>4.3786969525000004</v>
      </c>
      <c r="X84" s="9"/>
      <c r="Y84" s="22">
        <v>1.47736</v>
      </c>
      <c r="Z84" s="22">
        <v>117.43</v>
      </c>
      <c r="AA84" s="22">
        <v>-9.5825200000000006E-3</v>
      </c>
      <c r="AB84" s="22">
        <v>74</v>
      </c>
      <c r="AC84" s="22">
        <v>1.47675</v>
      </c>
      <c r="AD84">
        <f t="shared" si="16"/>
        <v>9.5825200000000006</v>
      </c>
      <c r="AE84">
        <f t="shared" si="17"/>
        <v>14.156831747200002</v>
      </c>
      <c r="AF84" s="9"/>
      <c r="AG84" s="22">
        <v>0.272675</v>
      </c>
      <c r="AH84" s="22">
        <v>136.405</v>
      </c>
      <c r="AI84" s="22">
        <v>-1.6030900000000001E-2</v>
      </c>
      <c r="AJ84" s="22">
        <v>74</v>
      </c>
      <c r="AK84" s="22">
        <v>0.27215600000000001</v>
      </c>
      <c r="AL84">
        <f t="shared" si="18"/>
        <v>16.030899999999999</v>
      </c>
      <c r="AM84">
        <f t="shared" si="19"/>
        <v>4.3712256575000001</v>
      </c>
      <c r="AP84" s="9"/>
      <c r="AQ84" s="22">
        <v>1.47736</v>
      </c>
      <c r="AR84" s="22">
        <v>159.04900000000001</v>
      </c>
      <c r="AS84" s="22">
        <v>-9.6404999999999998E-3</v>
      </c>
      <c r="AT84" s="22">
        <v>74</v>
      </c>
      <c r="AU84" s="22">
        <v>1.47736</v>
      </c>
      <c r="AV84">
        <f t="shared" si="20"/>
        <v>9.6404999999999994</v>
      </c>
      <c r="AW84">
        <f t="shared" si="21"/>
        <v>14.242489079999999</v>
      </c>
      <c r="AX84" s="9"/>
      <c r="AY84" s="22">
        <v>0.272675</v>
      </c>
      <c r="AZ84" s="22">
        <v>181.91</v>
      </c>
      <c r="BA84" s="22">
        <v>-1.5994299999999999E-2</v>
      </c>
      <c r="BB84" s="22">
        <v>74</v>
      </c>
      <c r="BC84" s="22">
        <v>0.27212500000000001</v>
      </c>
      <c r="BD84">
        <f t="shared" si="22"/>
        <v>15.994299999999999</v>
      </c>
      <c r="BE84">
        <f t="shared" si="23"/>
        <v>4.3612457524999995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49.997500000000002</v>
      </c>
      <c r="I85" s="22">
        <v>-9.3048100000000002E-3</v>
      </c>
      <c r="J85" s="22">
        <v>75</v>
      </c>
      <c r="K85" s="22">
        <v>1.47217</v>
      </c>
      <c r="L85">
        <f t="shared" si="12"/>
        <v>9.3048099999999998</v>
      </c>
      <c r="M85">
        <f t="shared" si="13"/>
        <v>13.6996578592</v>
      </c>
      <c r="N85" s="9"/>
      <c r="O85" s="22">
        <v>0.27771000000000001</v>
      </c>
      <c r="P85" s="22">
        <v>67.880300000000005</v>
      </c>
      <c r="Q85" s="22">
        <v>-1.60492E-2</v>
      </c>
      <c r="R85" s="22">
        <v>75</v>
      </c>
      <c r="S85" s="22">
        <v>0.277252</v>
      </c>
      <c r="T85">
        <f t="shared" si="14"/>
        <v>16.049199999999999</v>
      </c>
      <c r="U85">
        <f t="shared" si="15"/>
        <v>4.4570233320000003</v>
      </c>
      <c r="X85" s="9"/>
      <c r="Y85" s="22">
        <v>1.4723200000000001</v>
      </c>
      <c r="Z85" s="22">
        <v>117.44</v>
      </c>
      <c r="AA85" s="22">
        <v>-9.68018E-3</v>
      </c>
      <c r="AB85" s="22">
        <v>75</v>
      </c>
      <c r="AC85" s="22">
        <v>1.4718599999999999</v>
      </c>
      <c r="AD85">
        <f t="shared" si="16"/>
        <v>9.68018</v>
      </c>
      <c r="AE85">
        <f t="shared" si="17"/>
        <v>14.252322617600001</v>
      </c>
      <c r="AF85" s="9"/>
      <c r="AG85" s="22">
        <v>0.27771000000000001</v>
      </c>
      <c r="AH85" s="22">
        <v>136.41499999999999</v>
      </c>
      <c r="AI85" s="22">
        <v>-1.6030900000000001E-2</v>
      </c>
      <c r="AJ85" s="22">
        <v>75</v>
      </c>
      <c r="AK85" s="22">
        <v>0.27710000000000001</v>
      </c>
      <c r="AL85">
        <f t="shared" si="18"/>
        <v>16.030899999999999</v>
      </c>
      <c r="AM85">
        <f t="shared" si="19"/>
        <v>4.4519412389999999</v>
      </c>
      <c r="AP85" s="9"/>
      <c r="AQ85" s="22">
        <v>1.4723200000000001</v>
      </c>
      <c r="AR85" s="22">
        <v>159.06</v>
      </c>
      <c r="AS85" s="22">
        <v>-9.7320600000000007E-3</v>
      </c>
      <c r="AT85" s="22">
        <v>75</v>
      </c>
      <c r="AU85" s="22">
        <v>1.4718599999999999</v>
      </c>
      <c r="AV85">
        <f t="shared" si="20"/>
        <v>9.7320600000000006</v>
      </c>
      <c r="AW85">
        <f t="shared" si="21"/>
        <v>14.328706579200002</v>
      </c>
      <c r="AX85" s="9"/>
      <c r="AY85" s="22">
        <v>0.27771000000000001</v>
      </c>
      <c r="AZ85" s="22">
        <v>181.92</v>
      </c>
      <c r="BA85" s="22">
        <v>-1.5985099999999999E-2</v>
      </c>
      <c r="BB85" s="22">
        <v>75</v>
      </c>
      <c r="BC85" s="22">
        <v>0.27710000000000001</v>
      </c>
      <c r="BD85">
        <f t="shared" si="22"/>
        <v>15.985099999999999</v>
      </c>
      <c r="BE85">
        <f t="shared" si="23"/>
        <v>4.4392221210000002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50.0075</v>
      </c>
      <c r="I86" s="22">
        <v>-9.3902599999999992E-3</v>
      </c>
      <c r="J86" s="22">
        <v>76</v>
      </c>
      <c r="K86" s="22">
        <v>1.46637</v>
      </c>
      <c r="L86">
        <f t="shared" si="12"/>
        <v>9.3902599999999996</v>
      </c>
      <c r="M86">
        <f t="shared" si="13"/>
        <v>13.778234595399999</v>
      </c>
      <c r="N86" s="9"/>
      <c r="O86" s="22">
        <v>0.28274500000000002</v>
      </c>
      <c r="P86" s="22">
        <v>67.8904</v>
      </c>
      <c r="Q86" s="22">
        <v>-1.60339E-2</v>
      </c>
      <c r="R86" s="22">
        <v>76</v>
      </c>
      <c r="S86" s="22">
        <v>0.28213500000000002</v>
      </c>
      <c r="T86">
        <f t="shared" si="14"/>
        <v>16.033899999999999</v>
      </c>
      <c r="U86">
        <f t="shared" si="15"/>
        <v>4.5335050555</v>
      </c>
      <c r="X86" s="9"/>
      <c r="Y86" s="22">
        <v>1.46729</v>
      </c>
      <c r="Z86" s="22">
        <v>117.45</v>
      </c>
      <c r="AA86" s="22">
        <v>-9.7747800000000003E-3</v>
      </c>
      <c r="AB86" s="22">
        <v>76</v>
      </c>
      <c r="AC86" s="22">
        <v>1.46637</v>
      </c>
      <c r="AD86">
        <f t="shared" si="16"/>
        <v>9.7747799999999998</v>
      </c>
      <c r="AE86">
        <f t="shared" si="17"/>
        <v>14.342436946199999</v>
      </c>
      <c r="AF86" s="9"/>
      <c r="AG86" s="22">
        <v>0.28274500000000002</v>
      </c>
      <c r="AH86" s="22">
        <v>136.42500000000001</v>
      </c>
      <c r="AI86" s="22">
        <v>-1.6030900000000001E-2</v>
      </c>
      <c r="AJ86" s="22">
        <v>76</v>
      </c>
      <c r="AK86" s="22">
        <v>0.28213500000000002</v>
      </c>
      <c r="AL86">
        <f t="shared" si="18"/>
        <v>16.030899999999999</v>
      </c>
      <c r="AM86">
        <f t="shared" si="19"/>
        <v>4.5326568204999997</v>
      </c>
      <c r="AP86" s="9"/>
      <c r="AQ86" s="22">
        <v>1.46729</v>
      </c>
      <c r="AR86" s="22">
        <v>159.07</v>
      </c>
      <c r="AS86" s="22">
        <v>-9.82361E-3</v>
      </c>
      <c r="AT86" s="22">
        <v>76</v>
      </c>
      <c r="AU86" s="22">
        <v>1.4666699999999999</v>
      </c>
      <c r="AV86">
        <f t="shared" si="20"/>
        <v>9.8236100000000004</v>
      </c>
      <c r="AW86">
        <f t="shared" si="21"/>
        <v>14.4140847169</v>
      </c>
      <c r="AX86" s="9"/>
      <c r="AY86" s="22">
        <v>0.28274500000000002</v>
      </c>
      <c r="AZ86" s="22">
        <v>181.93100000000001</v>
      </c>
      <c r="BA86" s="22">
        <v>-1.5985099999999999E-2</v>
      </c>
      <c r="BB86" s="22">
        <v>76</v>
      </c>
      <c r="BC86" s="22">
        <v>0.28210400000000002</v>
      </c>
      <c r="BD86">
        <f t="shared" si="22"/>
        <v>15.985099999999999</v>
      </c>
      <c r="BE86">
        <f t="shared" si="23"/>
        <v>4.5197070995000006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50.017600000000002</v>
      </c>
      <c r="I87" s="22">
        <v>-9.4787599999999993E-3</v>
      </c>
      <c r="J87" s="22">
        <v>77</v>
      </c>
      <c r="K87" s="22">
        <v>1.46149</v>
      </c>
      <c r="L87">
        <f t="shared" si="12"/>
        <v>9.4787599999999994</v>
      </c>
      <c r="M87">
        <f t="shared" si="13"/>
        <v>13.86031681</v>
      </c>
      <c r="N87" s="9"/>
      <c r="O87" s="22">
        <v>0.28778100000000001</v>
      </c>
      <c r="P87" s="22">
        <v>67.900400000000005</v>
      </c>
      <c r="Q87" s="22">
        <v>-1.6024799999999999E-2</v>
      </c>
      <c r="R87" s="22">
        <v>77</v>
      </c>
      <c r="S87" s="22">
        <v>0.28723100000000001</v>
      </c>
      <c r="T87">
        <f t="shared" si="14"/>
        <v>16.024799999999999</v>
      </c>
      <c r="U87">
        <f t="shared" si="15"/>
        <v>4.6116329687999995</v>
      </c>
      <c r="X87" s="9"/>
      <c r="Y87" s="22">
        <v>1.46225</v>
      </c>
      <c r="Z87" s="22">
        <v>117.46</v>
      </c>
      <c r="AA87" s="22">
        <v>-9.8663299999999995E-3</v>
      </c>
      <c r="AB87" s="22">
        <v>77</v>
      </c>
      <c r="AC87" s="22">
        <v>1.4611799999999999</v>
      </c>
      <c r="AD87">
        <f t="shared" si="16"/>
        <v>9.8663299999999996</v>
      </c>
      <c r="AE87">
        <f t="shared" si="17"/>
        <v>14.427041042499999</v>
      </c>
      <c r="AF87" s="9"/>
      <c r="AG87" s="22">
        <v>0.28778100000000001</v>
      </c>
      <c r="AH87" s="22">
        <v>136.435</v>
      </c>
      <c r="AI87" s="22">
        <v>-1.60187E-2</v>
      </c>
      <c r="AJ87" s="22">
        <v>77</v>
      </c>
      <c r="AK87" s="22">
        <v>0.28726200000000002</v>
      </c>
      <c r="AL87">
        <f t="shared" si="18"/>
        <v>16.018699999999999</v>
      </c>
      <c r="AM87">
        <f t="shared" si="19"/>
        <v>4.6098775047</v>
      </c>
      <c r="AP87" s="9"/>
      <c r="AQ87" s="22">
        <v>1.46225</v>
      </c>
      <c r="AR87" s="22">
        <v>159.08000000000001</v>
      </c>
      <c r="AS87" s="22">
        <v>-9.91211E-3</v>
      </c>
      <c r="AT87" s="22">
        <v>77</v>
      </c>
      <c r="AU87" s="22">
        <v>1.4611799999999999</v>
      </c>
      <c r="AV87">
        <f t="shared" si="20"/>
        <v>9.9121100000000002</v>
      </c>
      <c r="AW87">
        <f t="shared" si="21"/>
        <v>14.493982847500002</v>
      </c>
      <c r="AX87" s="9"/>
      <c r="AY87" s="22">
        <v>0.28778100000000001</v>
      </c>
      <c r="AZ87" s="22">
        <v>181.941</v>
      </c>
      <c r="BA87" s="22">
        <v>-1.5991200000000001E-2</v>
      </c>
      <c r="BB87" s="22">
        <v>77</v>
      </c>
      <c r="BC87" s="22">
        <v>0.28716999999999998</v>
      </c>
      <c r="BD87">
        <f t="shared" si="22"/>
        <v>15.991200000000001</v>
      </c>
      <c r="BE87">
        <f t="shared" si="23"/>
        <v>4.6019635272000006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50.027700000000003</v>
      </c>
      <c r="I88" s="22">
        <v>-9.5642100000000001E-3</v>
      </c>
      <c r="J88" s="22">
        <v>78</v>
      </c>
      <c r="K88" s="22">
        <v>1.4572099999999999</v>
      </c>
      <c r="L88">
        <f t="shared" si="12"/>
        <v>9.5642099999999992</v>
      </c>
      <c r="M88">
        <f t="shared" si="13"/>
        <v>13.937062454099998</v>
      </c>
      <c r="N88" s="9"/>
      <c r="O88" s="22">
        <v>0.29281600000000002</v>
      </c>
      <c r="P88" s="22">
        <v>67.910499999999999</v>
      </c>
      <c r="Q88" s="22">
        <v>-1.6024799999999999E-2</v>
      </c>
      <c r="R88" s="22">
        <v>78</v>
      </c>
      <c r="S88" s="22">
        <v>0.29217500000000002</v>
      </c>
      <c r="T88">
        <f t="shared" si="14"/>
        <v>16.024799999999999</v>
      </c>
      <c r="U88">
        <f t="shared" si="15"/>
        <v>4.6923178368</v>
      </c>
      <c r="X88" s="9"/>
      <c r="Y88" s="22">
        <v>1.4572099999999999</v>
      </c>
      <c r="Z88" s="22">
        <v>117.47</v>
      </c>
      <c r="AA88" s="22">
        <v>-9.9517800000000003E-3</v>
      </c>
      <c r="AB88" s="22">
        <v>78</v>
      </c>
      <c r="AC88" s="22">
        <v>1.4569099999999999</v>
      </c>
      <c r="AD88">
        <f t="shared" si="16"/>
        <v>9.9517800000000012</v>
      </c>
      <c r="AE88">
        <f t="shared" si="17"/>
        <v>14.501833333800001</v>
      </c>
      <c r="AF88" s="9"/>
      <c r="AG88" s="22">
        <v>0.29281600000000002</v>
      </c>
      <c r="AH88" s="22">
        <v>136.44499999999999</v>
      </c>
      <c r="AI88" s="22">
        <v>-1.6015600000000001E-2</v>
      </c>
      <c r="AJ88" s="22">
        <v>78</v>
      </c>
      <c r="AK88" s="22">
        <v>0.292236</v>
      </c>
      <c r="AL88">
        <f t="shared" si="18"/>
        <v>16.015600000000003</v>
      </c>
      <c r="AM88">
        <f t="shared" si="19"/>
        <v>4.6896239296000015</v>
      </c>
      <c r="AP88" s="9"/>
      <c r="AQ88" s="22">
        <v>1.4572099999999999</v>
      </c>
      <c r="AR88" s="22">
        <v>159.09</v>
      </c>
      <c r="AS88" s="22">
        <v>-1.0003700000000001E-2</v>
      </c>
      <c r="AT88" s="22">
        <v>78</v>
      </c>
      <c r="AU88" s="22">
        <v>1.4562999999999999</v>
      </c>
      <c r="AV88">
        <f t="shared" si="20"/>
        <v>10.0037</v>
      </c>
      <c r="AW88">
        <f t="shared" si="21"/>
        <v>14.577491676999999</v>
      </c>
      <c r="AX88" s="9"/>
      <c r="AY88" s="22">
        <v>0.29281600000000002</v>
      </c>
      <c r="AZ88" s="22">
        <v>181.95099999999999</v>
      </c>
      <c r="BA88" s="22">
        <v>-1.5985099999999999E-2</v>
      </c>
      <c r="BB88" s="22">
        <v>78</v>
      </c>
      <c r="BC88" s="22">
        <v>0.292236</v>
      </c>
      <c r="BD88">
        <f t="shared" si="22"/>
        <v>15.985099999999999</v>
      </c>
      <c r="BE88">
        <f t="shared" si="23"/>
        <v>4.6806930415999997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50.037700000000001</v>
      </c>
      <c r="I89" s="22">
        <v>-9.6557599999999993E-3</v>
      </c>
      <c r="J89" s="22">
        <v>79</v>
      </c>
      <c r="K89" s="22">
        <v>1.4514199999999999</v>
      </c>
      <c r="L89">
        <f t="shared" si="12"/>
        <v>9.655759999999999</v>
      </c>
      <c r="M89">
        <f t="shared" si="13"/>
        <v>14.0219015568</v>
      </c>
      <c r="N89" s="9"/>
      <c r="O89" s="22">
        <v>0.29785200000000001</v>
      </c>
      <c r="P89" s="22">
        <v>67.920599999999993</v>
      </c>
      <c r="Q89" s="22">
        <v>-1.60187E-2</v>
      </c>
      <c r="R89" s="22">
        <v>79</v>
      </c>
      <c r="S89" s="22">
        <v>0.29733300000000001</v>
      </c>
      <c r="T89">
        <f t="shared" si="14"/>
        <v>16.018699999999999</v>
      </c>
      <c r="U89">
        <f t="shared" si="15"/>
        <v>4.7712018324000001</v>
      </c>
      <c r="X89" s="9"/>
      <c r="Y89" s="22">
        <v>1.45218</v>
      </c>
      <c r="Z89" s="22">
        <v>117.48</v>
      </c>
      <c r="AA89" s="22">
        <v>-1.00372E-2</v>
      </c>
      <c r="AB89" s="22">
        <v>79</v>
      </c>
      <c r="AC89" s="22">
        <v>1.4517199999999999</v>
      </c>
      <c r="AD89">
        <f t="shared" si="16"/>
        <v>10.0372</v>
      </c>
      <c r="AE89">
        <f t="shared" si="17"/>
        <v>14.575821096</v>
      </c>
      <c r="AF89" s="9"/>
      <c r="AG89" s="22">
        <v>0.29785200000000001</v>
      </c>
      <c r="AH89" s="22">
        <v>136.45500000000001</v>
      </c>
      <c r="AI89" s="22">
        <v>-1.6003400000000001E-2</v>
      </c>
      <c r="AJ89" s="22">
        <v>79</v>
      </c>
      <c r="AK89" s="22">
        <v>0.29727199999999998</v>
      </c>
      <c r="AL89">
        <f t="shared" si="18"/>
        <v>16.003399999999999</v>
      </c>
      <c r="AM89">
        <f t="shared" si="19"/>
        <v>4.7666446968000002</v>
      </c>
      <c r="AP89" s="9"/>
      <c r="AQ89" s="22">
        <v>1.45218</v>
      </c>
      <c r="AR89" s="22">
        <v>159.1</v>
      </c>
      <c r="AS89" s="22">
        <v>-1.0092200000000001E-2</v>
      </c>
      <c r="AT89" s="22">
        <v>79</v>
      </c>
      <c r="AU89" s="22">
        <v>1.4517199999999999</v>
      </c>
      <c r="AV89">
        <f t="shared" si="20"/>
        <v>10.0922</v>
      </c>
      <c r="AW89">
        <f t="shared" si="21"/>
        <v>14.655690996000001</v>
      </c>
      <c r="AX89" s="9"/>
      <c r="AY89" s="22">
        <v>0.29785200000000001</v>
      </c>
      <c r="AZ89" s="22">
        <v>181.96100000000001</v>
      </c>
      <c r="BA89" s="22">
        <v>-1.5976000000000001E-2</v>
      </c>
      <c r="BB89" s="22">
        <v>79</v>
      </c>
      <c r="BC89" s="22">
        <v>0.29724099999999998</v>
      </c>
      <c r="BD89">
        <f t="shared" si="22"/>
        <v>15.976000000000001</v>
      </c>
      <c r="BE89">
        <f t="shared" si="23"/>
        <v>4.7584835520000004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50.047800000000002</v>
      </c>
      <c r="I90" s="22">
        <v>-9.7412100000000001E-3</v>
      </c>
      <c r="J90" s="22">
        <v>80</v>
      </c>
      <c r="K90" s="22">
        <v>1.4465300000000001</v>
      </c>
      <c r="L90">
        <f t="shared" si="12"/>
        <v>9.7412100000000006</v>
      </c>
      <c r="M90">
        <f t="shared" si="13"/>
        <v>14.096894639400002</v>
      </c>
      <c r="N90" s="9"/>
      <c r="O90" s="22">
        <v>0.30288700000000002</v>
      </c>
      <c r="P90" s="22">
        <v>67.930700000000002</v>
      </c>
      <c r="Q90" s="22">
        <v>-1.6009499999999999E-2</v>
      </c>
      <c r="R90" s="22">
        <v>80</v>
      </c>
      <c r="S90" s="22">
        <v>0.30236800000000003</v>
      </c>
      <c r="T90">
        <f t="shared" si="14"/>
        <v>16.009499999999999</v>
      </c>
      <c r="U90">
        <f t="shared" si="15"/>
        <v>4.8490694264999998</v>
      </c>
      <c r="X90" s="9"/>
      <c r="Y90" s="22">
        <v>1.4471400000000001</v>
      </c>
      <c r="Z90" s="22">
        <v>117.49</v>
      </c>
      <c r="AA90" s="22">
        <v>-1.01227E-2</v>
      </c>
      <c r="AB90" s="22">
        <v>80</v>
      </c>
      <c r="AC90" s="22">
        <v>1.4465300000000001</v>
      </c>
      <c r="AD90">
        <f t="shared" si="16"/>
        <v>10.1227</v>
      </c>
      <c r="AE90">
        <f t="shared" si="17"/>
        <v>14.648964078000001</v>
      </c>
      <c r="AF90" s="9"/>
      <c r="AG90" s="22">
        <v>0.30288700000000002</v>
      </c>
      <c r="AH90" s="22">
        <v>136.465</v>
      </c>
      <c r="AI90" s="22">
        <v>-1.5994299999999999E-2</v>
      </c>
      <c r="AJ90" s="22">
        <v>80</v>
      </c>
      <c r="AK90" s="22">
        <v>0.30230699999999999</v>
      </c>
      <c r="AL90">
        <f t="shared" si="18"/>
        <v>15.994299999999999</v>
      </c>
      <c r="AM90">
        <f t="shared" si="19"/>
        <v>4.8444655441000002</v>
      </c>
      <c r="AP90" s="9"/>
      <c r="AQ90" s="22">
        <v>1.4471400000000001</v>
      </c>
      <c r="AR90" s="22">
        <v>159.11000000000001</v>
      </c>
      <c r="AS90" s="22">
        <v>-1.01776E-2</v>
      </c>
      <c r="AT90" s="22">
        <v>80</v>
      </c>
      <c r="AU90" s="22">
        <v>1.4465300000000001</v>
      </c>
      <c r="AV90">
        <f t="shared" si="20"/>
        <v>10.1776</v>
      </c>
      <c r="AW90">
        <f t="shared" si="21"/>
        <v>14.728412064</v>
      </c>
      <c r="AX90" s="9"/>
      <c r="AY90" s="22">
        <v>0.30288700000000002</v>
      </c>
      <c r="AZ90" s="22">
        <v>181.971</v>
      </c>
      <c r="BA90" s="22">
        <v>-1.5979E-2</v>
      </c>
      <c r="BB90" s="22">
        <v>80</v>
      </c>
      <c r="BC90" s="22">
        <v>0.30227700000000002</v>
      </c>
      <c r="BD90">
        <f t="shared" si="22"/>
        <v>15.979000000000001</v>
      </c>
      <c r="BE90">
        <f t="shared" si="23"/>
        <v>4.8398313730000009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50.057899999999997</v>
      </c>
      <c r="I91" s="22">
        <v>-9.82361E-3</v>
      </c>
      <c r="J91" s="22">
        <v>81</v>
      </c>
      <c r="K91" s="22">
        <v>1.4410400000000001</v>
      </c>
      <c r="L91">
        <f t="shared" si="12"/>
        <v>9.8236100000000004</v>
      </c>
      <c r="M91">
        <f t="shared" si="13"/>
        <v>14.166726217100001</v>
      </c>
      <c r="N91" s="9"/>
      <c r="O91" s="22">
        <v>0.30792199999999997</v>
      </c>
      <c r="P91" s="22">
        <v>67.940700000000007</v>
      </c>
      <c r="Q91" s="22">
        <v>-1.6003400000000001E-2</v>
      </c>
      <c r="R91" s="22">
        <v>81</v>
      </c>
      <c r="S91" s="22">
        <v>0.30734299999999998</v>
      </c>
      <c r="T91">
        <f t="shared" si="14"/>
        <v>16.003399999999999</v>
      </c>
      <c r="U91">
        <f t="shared" si="15"/>
        <v>4.9277989347999993</v>
      </c>
      <c r="X91" s="9"/>
      <c r="Y91" s="22">
        <v>1.44211</v>
      </c>
      <c r="Z91" s="22">
        <v>117.5</v>
      </c>
      <c r="AA91" s="22">
        <v>-1.02051E-2</v>
      </c>
      <c r="AB91" s="22">
        <v>81</v>
      </c>
      <c r="AC91" s="22">
        <v>1.4413499999999999</v>
      </c>
      <c r="AD91">
        <f t="shared" si="16"/>
        <v>10.2051</v>
      </c>
      <c r="AE91">
        <f t="shared" si="17"/>
        <v>14.716876761</v>
      </c>
      <c r="AF91" s="9"/>
      <c r="AG91" s="22">
        <v>0.30792199999999997</v>
      </c>
      <c r="AH91" s="22">
        <v>136.47499999999999</v>
      </c>
      <c r="AI91" s="22">
        <v>-1.5982099999999999E-2</v>
      </c>
      <c r="AJ91" s="22">
        <v>81</v>
      </c>
      <c r="AK91" s="22">
        <v>0.30734299999999998</v>
      </c>
      <c r="AL91">
        <f t="shared" si="18"/>
        <v>15.982099999999999</v>
      </c>
      <c r="AM91">
        <f t="shared" si="19"/>
        <v>4.9212401961999994</v>
      </c>
      <c r="AP91" s="9"/>
      <c r="AQ91" s="22">
        <v>1.44211</v>
      </c>
      <c r="AR91" s="22">
        <v>159.12</v>
      </c>
      <c r="AS91" s="22">
        <v>-1.0263100000000001E-2</v>
      </c>
      <c r="AT91" s="22">
        <v>81</v>
      </c>
      <c r="AU91" s="22">
        <v>1.4410400000000001</v>
      </c>
      <c r="AV91">
        <f t="shared" si="20"/>
        <v>10.263100000000001</v>
      </c>
      <c r="AW91">
        <f t="shared" si="21"/>
        <v>14.800519141000002</v>
      </c>
      <c r="AX91" s="9"/>
      <c r="AY91" s="22">
        <v>0.30792199999999997</v>
      </c>
      <c r="AZ91" s="22">
        <v>181.98099999999999</v>
      </c>
      <c r="BA91" s="22">
        <v>-1.5963700000000001E-2</v>
      </c>
      <c r="BB91" s="22">
        <v>81</v>
      </c>
      <c r="BC91" s="22">
        <v>0.30737300000000001</v>
      </c>
      <c r="BD91">
        <f t="shared" si="22"/>
        <v>15.963700000000001</v>
      </c>
      <c r="BE91">
        <f t="shared" si="23"/>
        <v>4.9155744313999996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50.067999999999998</v>
      </c>
      <c r="I92" s="22">
        <v>-9.9090600000000008E-3</v>
      </c>
      <c r="J92" s="22">
        <v>82</v>
      </c>
      <c r="K92" s="22">
        <v>1.4361600000000001</v>
      </c>
      <c r="L92">
        <f t="shared" si="12"/>
        <v>9.9090600000000002</v>
      </c>
      <c r="M92">
        <f t="shared" si="13"/>
        <v>14.240012854200002</v>
      </c>
      <c r="N92" s="9"/>
      <c r="O92" s="22">
        <v>0.31295800000000001</v>
      </c>
      <c r="P92" s="22">
        <v>67.950800000000001</v>
      </c>
      <c r="Q92" s="22">
        <v>-1.6000400000000001E-2</v>
      </c>
      <c r="R92" s="22">
        <v>82</v>
      </c>
      <c r="S92" s="22">
        <v>0.31234699999999999</v>
      </c>
      <c r="T92">
        <f t="shared" si="14"/>
        <v>16.000400000000003</v>
      </c>
      <c r="U92">
        <f t="shared" si="15"/>
        <v>5.0074531832000009</v>
      </c>
      <c r="X92" s="9"/>
      <c r="Y92" s="22">
        <v>1.4370700000000001</v>
      </c>
      <c r="Z92" s="22">
        <v>117.51</v>
      </c>
      <c r="AA92" s="22">
        <v>-1.02875E-2</v>
      </c>
      <c r="AB92" s="22">
        <v>82</v>
      </c>
      <c r="AC92" s="22">
        <v>1.4361600000000001</v>
      </c>
      <c r="AD92">
        <f t="shared" si="16"/>
        <v>10.2875</v>
      </c>
      <c r="AE92">
        <f t="shared" si="17"/>
        <v>14.783857625</v>
      </c>
      <c r="AF92" s="9"/>
      <c r="AG92" s="22">
        <v>0.31295800000000001</v>
      </c>
      <c r="AH92" s="22">
        <v>136.48500000000001</v>
      </c>
      <c r="AI92" s="22">
        <v>-1.5969799999999999E-2</v>
      </c>
      <c r="AJ92" s="22">
        <v>82</v>
      </c>
      <c r="AK92" s="22">
        <v>0.31243900000000002</v>
      </c>
      <c r="AL92">
        <f t="shared" si="18"/>
        <v>15.969799999999999</v>
      </c>
      <c r="AM92">
        <f t="shared" si="19"/>
        <v>4.9978766684</v>
      </c>
      <c r="AP92" s="9"/>
      <c r="AQ92" s="22">
        <v>1.4370700000000001</v>
      </c>
      <c r="AR92" s="22">
        <v>159.13</v>
      </c>
      <c r="AS92" s="22">
        <v>-1.03485E-2</v>
      </c>
      <c r="AT92" s="22">
        <v>82</v>
      </c>
      <c r="AU92" s="22">
        <v>1.4367700000000001</v>
      </c>
      <c r="AV92">
        <f t="shared" si="20"/>
        <v>10.3485</v>
      </c>
      <c r="AW92">
        <f t="shared" si="21"/>
        <v>14.871518894999999</v>
      </c>
      <c r="AX92" s="9"/>
      <c r="AY92" s="22">
        <v>0.31295800000000001</v>
      </c>
      <c r="AZ92" s="22">
        <v>181.99100000000001</v>
      </c>
      <c r="BA92" s="22">
        <v>-1.5948500000000001E-2</v>
      </c>
      <c r="BB92" s="22">
        <v>82</v>
      </c>
      <c r="BC92" s="22">
        <v>0.31234699999999999</v>
      </c>
      <c r="BD92">
        <f t="shared" si="22"/>
        <v>15.948500000000001</v>
      </c>
      <c r="BE92">
        <f t="shared" si="23"/>
        <v>4.9912106630000004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50.078000000000003</v>
      </c>
      <c r="I93" s="22">
        <v>-9.9945099999999999E-3</v>
      </c>
      <c r="J93" s="22">
        <v>83</v>
      </c>
      <c r="K93" s="22">
        <v>1.43127</v>
      </c>
      <c r="L93">
        <f t="shared" si="12"/>
        <v>9.99451</v>
      </c>
      <c r="M93">
        <f t="shared" si="13"/>
        <v>14.312538100399999</v>
      </c>
      <c r="N93" s="9"/>
      <c r="O93" s="22">
        <v>0.31799300000000003</v>
      </c>
      <c r="P93" s="22">
        <v>67.960899999999995</v>
      </c>
      <c r="Q93" s="22">
        <v>-1.5994299999999999E-2</v>
      </c>
      <c r="R93" s="22">
        <v>83</v>
      </c>
      <c r="S93" s="22">
        <v>0.31729099999999999</v>
      </c>
      <c r="T93">
        <f t="shared" si="14"/>
        <v>15.994299999999999</v>
      </c>
      <c r="U93">
        <f t="shared" si="15"/>
        <v>5.0860754399000001</v>
      </c>
      <c r="X93" s="9"/>
      <c r="Y93" s="22">
        <v>1.43204</v>
      </c>
      <c r="Z93" s="22">
        <v>117.52</v>
      </c>
      <c r="AA93" s="22">
        <v>-1.0366800000000001E-2</v>
      </c>
      <c r="AB93" s="22">
        <v>83</v>
      </c>
      <c r="AC93" s="22">
        <v>1.4315800000000001</v>
      </c>
      <c r="AD93">
        <f t="shared" si="16"/>
        <v>10.366800000000001</v>
      </c>
      <c r="AE93">
        <f t="shared" si="17"/>
        <v>14.845672272000002</v>
      </c>
      <c r="AF93" s="9"/>
      <c r="AG93" s="22">
        <v>0.31799300000000003</v>
      </c>
      <c r="AH93" s="22">
        <v>136.495</v>
      </c>
      <c r="AI93" s="22">
        <v>-1.59668E-2</v>
      </c>
      <c r="AJ93" s="22">
        <v>83</v>
      </c>
      <c r="AK93" s="22">
        <v>0.31732199999999999</v>
      </c>
      <c r="AL93">
        <f t="shared" si="18"/>
        <v>15.966799999999999</v>
      </c>
      <c r="AM93">
        <f t="shared" si="19"/>
        <v>5.0773306323999998</v>
      </c>
      <c r="AP93" s="9"/>
      <c r="AQ93" s="22">
        <v>1.43204</v>
      </c>
      <c r="AR93" s="22">
        <v>159.13999999999999</v>
      </c>
      <c r="AS93" s="22">
        <v>-1.0434000000000001E-2</v>
      </c>
      <c r="AT93" s="22">
        <v>83</v>
      </c>
      <c r="AU93" s="22">
        <v>1.4315800000000001</v>
      </c>
      <c r="AV93">
        <f t="shared" si="20"/>
        <v>10.434000000000001</v>
      </c>
      <c r="AW93">
        <f t="shared" si="21"/>
        <v>14.941905360000002</v>
      </c>
      <c r="AX93" s="9"/>
      <c r="AY93" s="22">
        <v>0.31799300000000003</v>
      </c>
      <c r="AZ93" s="22">
        <v>182.001</v>
      </c>
      <c r="BA93" s="22">
        <v>-1.59363E-2</v>
      </c>
      <c r="BB93" s="22">
        <v>83</v>
      </c>
      <c r="BC93" s="22">
        <v>0.31735200000000002</v>
      </c>
      <c r="BD93">
        <f t="shared" si="22"/>
        <v>15.936300000000001</v>
      </c>
      <c r="BE93">
        <f t="shared" si="23"/>
        <v>5.0676318459000012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50.088099999999997</v>
      </c>
      <c r="I94" s="22">
        <v>-1.00769E-2</v>
      </c>
      <c r="J94" s="22">
        <v>84</v>
      </c>
      <c r="K94" s="22">
        <v>1.4260900000000001</v>
      </c>
      <c r="L94">
        <f t="shared" si="12"/>
        <v>10.0769</v>
      </c>
      <c r="M94">
        <f t="shared" si="13"/>
        <v>14.379736300000001</v>
      </c>
      <c r="N94" s="9"/>
      <c r="O94" s="22">
        <v>0.32302900000000001</v>
      </c>
      <c r="P94" s="22">
        <v>67.9709</v>
      </c>
      <c r="Q94" s="22">
        <v>-1.5982099999999999E-2</v>
      </c>
      <c r="R94" s="22">
        <v>84</v>
      </c>
      <c r="S94" s="22">
        <v>0.32238800000000001</v>
      </c>
      <c r="T94">
        <f t="shared" si="14"/>
        <v>15.982099999999999</v>
      </c>
      <c r="U94">
        <f t="shared" si="15"/>
        <v>5.1626817808999999</v>
      </c>
      <c r="X94" s="9"/>
      <c r="Y94" s="22">
        <v>1.427</v>
      </c>
      <c r="Z94" s="22">
        <v>117.53</v>
      </c>
      <c r="AA94" s="22">
        <v>-1.0446199999999999E-2</v>
      </c>
      <c r="AB94" s="22">
        <v>84</v>
      </c>
      <c r="AC94" s="22">
        <v>1.4260900000000001</v>
      </c>
      <c r="AD94">
        <f t="shared" si="16"/>
        <v>10.446199999999999</v>
      </c>
      <c r="AE94">
        <f t="shared" si="17"/>
        <v>14.906727399999999</v>
      </c>
      <c r="AF94" s="9"/>
      <c r="AG94" s="22">
        <v>0.32302900000000001</v>
      </c>
      <c r="AH94" s="22">
        <v>136.505</v>
      </c>
      <c r="AI94" s="22">
        <v>-1.5963700000000001E-2</v>
      </c>
      <c r="AJ94" s="22">
        <v>84</v>
      </c>
      <c r="AK94" s="22">
        <v>0.32244899999999999</v>
      </c>
      <c r="AL94">
        <f t="shared" si="18"/>
        <v>15.963700000000001</v>
      </c>
      <c r="AM94">
        <f t="shared" si="19"/>
        <v>5.1567380473000002</v>
      </c>
      <c r="AP94" s="9"/>
      <c r="AQ94" s="22">
        <v>1.427</v>
      </c>
      <c r="AR94" s="22">
        <v>159.15</v>
      </c>
      <c r="AS94" s="22">
        <v>-1.05164E-2</v>
      </c>
      <c r="AT94" s="22">
        <v>84</v>
      </c>
      <c r="AU94" s="22">
        <v>1.42639</v>
      </c>
      <c r="AV94">
        <f t="shared" si="20"/>
        <v>10.516400000000001</v>
      </c>
      <c r="AW94">
        <f t="shared" si="21"/>
        <v>15.006902800000002</v>
      </c>
      <c r="AX94" s="9"/>
      <c r="AY94" s="22">
        <v>0.32302900000000001</v>
      </c>
      <c r="AZ94" s="22">
        <v>182.011</v>
      </c>
      <c r="BA94" s="22">
        <v>-1.59241E-2</v>
      </c>
      <c r="BB94" s="22">
        <v>84</v>
      </c>
      <c r="BC94" s="22">
        <v>0.32244899999999999</v>
      </c>
      <c r="BD94">
        <f t="shared" si="22"/>
        <v>15.924099999999999</v>
      </c>
      <c r="BE94">
        <f t="shared" si="23"/>
        <v>5.1439460988999999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50.098199999999999</v>
      </c>
      <c r="I95" s="22">
        <v>-1.01563E-2</v>
      </c>
      <c r="J95" s="22">
        <v>85</v>
      </c>
      <c r="K95" s="22">
        <v>1.4212</v>
      </c>
      <c r="L95">
        <f t="shared" si="12"/>
        <v>10.1563</v>
      </c>
      <c r="M95">
        <f t="shared" si="13"/>
        <v>14.441953910999999</v>
      </c>
      <c r="N95" s="9"/>
      <c r="O95" s="22">
        <v>0.32806400000000002</v>
      </c>
      <c r="P95" s="22">
        <v>67.980999999999995</v>
      </c>
      <c r="Q95" s="22">
        <v>-1.5972900000000002E-2</v>
      </c>
      <c r="R95" s="22">
        <v>85</v>
      </c>
      <c r="S95" s="22">
        <v>0.32745400000000002</v>
      </c>
      <c r="T95">
        <f t="shared" si="14"/>
        <v>15.972900000000001</v>
      </c>
      <c r="U95">
        <f t="shared" si="15"/>
        <v>5.2401334656000005</v>
      </c>
      <c r="X95" s="9"/>
      <c r="Y95" s="22">
        <v>1.42197</v>
      </c>
      <c r="Z95" s="22">
        <v>117.54</v>
      </c>
      <c r="AA95" s="22">
        <v>-1.0522500000000001E-2</v>
      </c>
      <c r="AB95" s="22">
        <v>85</v>
      </c>
      <c r="AC95" s="22">
        <v>1.42181</v>
      </c>
      <c r="AD95">
        <f t="shared" si="16"/>
        <v>10.522500000000001</v>
      </c>
      <c r="AE95">
        <f t="shared" si="17"/>
        <v>14.962679325</v>
      </c>
      <c r="AF95" s="9"/>
      <c r="AG95" s="22">
        <v>0.32806400000000002</v>
      </c>
      <c r="AH95" s="22">
        <v>136.51499999999999</v>
      </c>
      <c r="AI95" s="22">
        <v>-1.5963700000000001E-2</v>
      </c>
      <c r="AJ95" s="22">
        <v>85</v>
      </c>
      <c r="AK95" s="22">
        <v>0.32739299999999999</v>
      </c>
      <c r="AL95">
        <f t="shared" si="18"/>
        <v>15.963700000000001</v>
      </c>
      <c r="AM95">
        <f t="shared" si="19"/>
        <v>5.2371152768000009</v>
      </c>
      <c r="AP95" s="9"/>
      <c r="AQ95" s="22">
        <v>1.42197</v>
      </c>
      <c r="AR95" s="22">
        <v>159.16</v>
      </c>
      <c r="AS95" s="22">
        <v>-1.05988E-2</v>
      </c>
      <c r="AT95" s="22">
        <v>85</v>
      </c>
      <c r="AU95" s="22">
        <v>1.42181</v>
      </c>
      <c r="AV95">
        <f t="shared" si="20"/>
        <v>10.598800000000001</v>
      </c>
      <c r="AW95">
        <f t="shared" si="21"/>
        <v>15.071175636000001</v>
      </c>
      <c r="AX95" s="9"/>
      <c r="AY95" s="22">
        <v>0.32806400000000002</v>
      </c>
      <c r="AZ95" s="22">
        <v>182.02099999999999</v>
      </c>
      <c r="BA95" s="22">
        <v>-1.5914899999999999E-2</v>
      </c>
      <c r="BB95" s="22">
        <v>85</v>
      </c>
      <c r="BC95" s="22">
        <v>0.327484</v>
      </c>
      <c r="BD95">
        <f t="shared" si="22"/>
        <v>15.914899999999999</v>
      </c>
      <c r="BE95">
        <f t="shared" si="23"/>
        <v>5.2211057535999998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50.108199999999997</v>
      </c>
      <c r="I96" s="22">
        <v>-1.02325E-2</v>
      </c>
      <c r="J96" s="22">
        <v>86</v>
      </c>
      <c r="K96" s="22">
        <v>1.41693</v>
      </c>
      <c r="L96">
        <f t="shared" si="12"/>
        <v>10.2325</v>
      </c>
      <c r="M96">
        <f t="shared" si="13"/>
        <v>14.498736225</v>
      </c>
      <c r="N96" s="9"/>
      <c r="O96" s="22">
        <v>0.33309899999999998</v>
      </c>
      <c r="P96" s="22">
        <v>67.991100000000003</v>
      </c>
      <c r="Q96" s="22">
        <v>-1.5969799999999999E-2</v>
      </c>
      <c r="R96" s="22">
        <v>86</v>
      </c>
      <c r="S96" s="22">
        <v>0.33255000000000001</v>
      </c>
      <c r="T96">
        <f t="shared" si="14"/>
        <v>15.969799999999999</v>
      </c>
      <c r="U96">
        <f t="shared" si="15"/>
        <v>5.3195244101999997</v>
      </c>
      <c r="X96" s="9"/>
      <c r="Y96" s="22">
        <v>1.41693</v>
      </c>
      <c r="Z96" s="22">
        <v>117.551</v>
      </c>
      <c r="AA96" s="22">
        <v>-1.06018E-2</v>
      </c>
      <c r="AB96" s="22">
        <v>86</v>
      </c>
      <c r="AC96" s="22">
        <v>1.41571</v>
      </c>
      <c r="AD96">
        <f t="shared" si="16"/>
        <v>10.601799999999999</v>
      </c>
      <c r="AE96">
        <f t="shared" si="17"/>
        <v>15.022008473999998</v>
      </c>
      <c r="AF96" s="9"/>
      <c r="AG96" s="22">
        <v>0.33309899999999998</v>
      </c>
      <c r="AH96" s="22">
        <v>136.52500000000001</v>
      </c>
      <c r="AI96" s="22">
        <v>-1.5954599999999999E-2</v>
      </c>
      <c r="AJ96" s="22">
        <v>86</v>
      </c>
      <c r="AK96" s="22">
        <v>0.33248899999999998</v>
      </c>
      <c r="AL96">
        <f t="shared" si="18"/>
        <v>15.954599999999999</v>
      </c>
      <c r="AM96">
        <f t="shared" si="19"/>
        <v>5.3144613053999992</v>
      </c>
      <c r="AP96" s="9"/>
      <c r="AQ96" s="22">
        <v>1.41693</v>
      </c>
      <c r="AR96" s="22">
        <v>159.16999999999999</v>
      </c>
      <c r="AS96" s="22">
        <v>-1.0671999999999999E-2</v>
      </c>
      <c r="AT96" s="22">
        <v>86</v>
      </c>
      <c r="AU96" s="22">
        <v>1.41632</v>
      </c>
      <c r="AV96">
        <f t="shared" si="20"/>
        <v>10.671999999999999</v>
      </c>
      <c r="AW96">
        <f t="shared" si="21"/>
        <v>15.121476959999999</v>
      </c>
      <c r="AX96" s="9"/>
      <c r="AY96" s="22">
        <v>0.33309899999999998</v>
      </c>
      <c r="AZ96" s="22">
        <v>182.03100000000001</v>
      </c>
      <c r="BA96" s="22">
        <v>-1.5905800000000001E-2</v>
      </c>
      <c r="BB96" s="22">
        <v>86</v>
      </c>
      <c r="BC96" s="22">
        <v>0.33245799999999998</v>
      </c>
      <c r="BD96">
        <f t="shared" si="22"/>
        <v>15.905800000000001</v>
      </c>
      <c r="BE96">
        <f t="shared" si="23"/>
        <v>5.2982060742000003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50.118299999999998</v>
      </c>
      <c r="I97" s="22">
        <v>-1.03088E-2</v>
      </c>
      <c r="J97" s="22">
        <v>87</v>
      </c>
      <c r="K97" s="22">
        <v>1.41113</v>
      </c>
      <c r="L97">
        <f t="shared" si="12"/>
        <v>10.3088</v>
      </c>
      <c r="M97">
        <f t="shared" si="13"/>
        <v>14.55499472</v>
      </c>
      <c r="N97" s="9"/>
      <c r="O97" s="22">
        <v>0.33813500000000002</v>
      </c>
      <c r="P97" s="22">
        <v>68.001199999999997</v>
      </c>
      <c r="Q97" s="22">
        <v>-1.5963700000000001E-2</v>
      </c>
      <c r="R97" s="22">
        <v>87</v>
      </c>
      <c r="S97" s="22">
        <v>0.33761600000000003</v>
      </c>
      <c r="T97">
        <f t="shared" si="14"/>
        <v>15.963700000000001</v>
      </c>
      <c r="U97">
        <f t="shared" si="15"/>
        <v>5.3978856995000006</v>
      </c>
      <c r="X97" s="9"/>
      <c r="Y97" s="22">
        <v>1.4118999999999999</v>
      </c>
      <c r="Z97" s="22">
        <v>117.56100000000001</v>
      </c>
      <c r="AA97" s="22">
        <v>-1.06842E-2</v>
      </c>
      <c r="AB97" s="22">
        <v>87</v>
      </c>
      <c r="AC97" s="22">
        <v>1.41113</v>
      </c>
      <c r="AD97">
        <f t="shared" si="16"/>
        <v>10.684199999999999</v>
      </c>
      <c r="AE97">
        <f t="shared" si="17"/>
        <v>15.085021979999997</v>
      </c>
      <c r="AF97" s="9"/>
      <c r="AG97" s="22">
        <v>0.33813500000000002</v>
      </c>
      <c r="AH97" s="22">
        <v>136.535</v>
      </c>
      <c r="AI97" s="22">
        <v>-1.5942399999999999E-2</v>
      </c>
      <c r="AJ97" s="22">
        <v>87</v>
      </c>
      <c r="AK97" s="22">
        <v>0.33752399999999999</v>
      </c>
      <c r="AL97">
        <f t="shared" si="18"/>
        <v>15.942399999999999</v>
      </c>
      <c r="AM97">
        <f t="shared" si="19"/>
        <v>5.3906834239999997</v>
      </c>
      <c r="AP97" s="9"/>
      <c r="AQ97" s="22">
        <v>1.4118999999999999</v>
      </c>
      <c r="AR97" s="22">
        <v>159.18</v>
      </c>
      <c r="AS97" s="22">
        <v>-1.0748300000000001E-2</v>
      </c>
      <c r="AT97" s="22">
        <v>87</v>
      </c>
      <c r="AU97" s="22">
        <v>1.41113</v>
      </c>
      <c r="AV97">
        <f t="shared" si="20"/>
        <v>10.7483</v>
      </c>
      <c r="AW97">
        <f t="shared" si="21"/>
        <v>15.175524769999999</v>
      </c>
      <c r="AX97" s="9"/>
      <c r="AY97" s="22">
        <v>0.33813500000000002</v>
      </c>
      <c r="AZ97" s="22">
        <v>182.041</v>
      </c>
      <c r="BA97" s="22">
        <v>-1.5902699999999999E-2</v>
      </c>
      <c r="BB97" s="22">
        <v>87</v>
      </c>
      <c r="BC97" s="22">
        <v>0.33755499999999999</v>
      </c>
      <c r="BD97">
        <f t="shared" si="22"/>
        <v>15.902699999999999</v>
      </c>
      <c r="BE97">
        <f t="shared" si="23"/>
        <v>5.3772594644999998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50.128399999999999</v>
      </c>
      <c r="I98" s="22">
        <v>-1.03851E-2</v>
      </c>
      <c r="J98" s="22">
        <v>88</v>
      </c>
      <c r="K98" s="22">
        <v>1.40625</v>
      </c>
      <c r="L98">
        <f t="shared" si="12"/>
        <v>10.3851</v>
      </c>
      <c r="M98">
        <f t="shared" si="13"/>
        <v>14.610381786</v>
      </c>
      <c r="N98" s="9"/>
      <c r="O98" s="22">
        <v>0.34316999999999998</v>
      </c>
      <c r="P98" s="22">
        <v>68.011200000000002</v>
      </c>
      <c r="Q98" s="22">
        <v>-1.5954599999999999E-2</v>
      </c>
      <c r="R98" s="22">
        <v>88</v>
      </c>
      <c r="S98" s="22">
        <v>0.34271200000000002</v>
      </c>
      <c r="T98">
        <f t="shared" si="14"/>
        <v>15.954599999999999</v>
      </c>
      <c r="U98">
        <f t="shared" si="15"/>
        <v>5.4751400819999994</v>
      </c>
      <c r="X98" s="9"/>
      <c r="Y98" s="22">
        <v>1.40686</v>
      </c>
      <c r="Z98" s="22">
        <v>117.571</v>
      </c>
      <c r="AA98" s="22">
        <v>-1.0754400000000001E-2</v>
      </c>
      <c r="AB98" s="22">
        <v>88</v>
      </c>
      <c r="AC98" s="22">
        <v>1.40594</v>
      </c>
      <c r="AD98">
        <f t="shared" si="16"/>
        <v>10.7544</v>
      </c>
      <c r="AE98">
        <f t="shared" si="17"/>
        <v>15.129935184000001</v>
      </c>
      <c r="AF98" s="9"/>
      <c r="AG98" s="22">
        <v>0.34316999999999998</v>
      </c>
      <c r="AH98" s="22">
        <v>136.54599999999999</v>
      </c>
      <c r="AI98" s="22">
        <v>-1.5930199999999999E-2</v>
      </c>
      <c r="AJ98" s="22">
        <v>88</v>
      </c>
      <c r="AK98" s="22">
        <v>0.34252899999999997</v>
      </c>
      <c r="AL98">
        <f t="shared" si="18"/>
        <v>15.930199999999999</v>
      </c>
      <c r="AM98">
        <f t="shared" si="19"/>
        <v>5.4667667339999992</v>
      </c>
      <c r="AP98" s="9"/>
      <c r="AQ98" s="22">
        <v>1.40686</v>
      </c>
      <c r="AR98" s="22">
        <v>159.19</v>
      </c>
      <c r="AS98" s="22">
        <v>-1.08215E-2</v>
      </c>
      <c r="AT98" s="22">
        <v>88</v>
      </c>
      <c r="AU98" s="22">
        <v>1.40594</v>
      </c>
      <c r="AV98">
        <f t="shared" si="20"/>
        <v>10.8215</v>
      </c>
      <c r="AW98">
        <f t="shared" si="21"/>
        <v>15.22433549</v>
      </c>
      <c r="AX98" s="9"/>
      <c r="AY98" s="22">
        <v>0.34316999999999998</v>
      </c>
      <c r="AZ98" s="22">
        <v>182.05099999999999</v>
      </c>
      <c r="BA98" s="22">
        <v>-1.5902699999999999E-2</v>
      </c>
      <c r="BB98" s="22">
        <v>88</v>
      </c>
      <c r="BC98" s="22">
        <v>0.34262100000000001</v>
      </c>
      <c r="BD98">
        <f t="shared" si="22"/>
        <v>15.902699999999999</v>
      </c>
      <c r="BE98">
        <f t="shared" si="23"/>
        <v>5.4573295589999997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50.138500000000001</v>
      </c>
      <c r="I99" s="22">
        <v>-1.0461399999999999E-2</v>
      </c>
      <c r="J99" s="22">
        <v>89</v>
      </c>
      <c r="K99" s="22">
        <v>1.40106</v>
      </c>
      <c r="L99">
        <f t="shared" si="12"/>
        <v>10.461399999999999</v>
      </c>
      <c r="M99">
        <f t="shared" si="13"/>
        <v>14.664999748</v>
      </c>
      <c r="N99" s="9"/>
      <c r="O99" s="22">
        <v>0.34820600000000002</v>
      </c>
      <c r="P99" s="22">
        <v>68.021299999999997</v>
      </c>
      <c r="Q99" s="22">
        <v>-1.5942399999999999E-2</v>
      </c>
      <c r="R99" s="22">
        <v>89</v>
      </c>
      <c r="S99" s="22">
        <v>0.34759499999999999</v>
      </c>
      <c r="T99">
        <f t="shared" si="14"/>
        <v>15.942399999999999</v>
      </c>
      <c r="U99">
        <f t="shared" si="15"/>
        <v>5.5512393343999999</v>
      </c>
      <c r="X99" s="9"/>
      <c r="Y99" s="22">
        <v>1.4018200000000001</v>
      </c>
      <c r="Z99" s="22">
        <v>117.581</v>
      </c>
      <c r="AA99" s="22">
        <v>-1.08276E-2</v>
      </c>
      <c r="AB99" s="22">
        <v>89</v>
      </c>
      <c r="AC99" s="22">
        <v>1.40106</v>
      </c>
      <c r="AD99">
        <f t="shared" si="16"/>
        <v>10.8276</v>
      </c>
      <c r="AE99">
        <f t="shared" si="17"/>
        <v>15.178346232000001</v>
      </c>
      <c r="AF99" s="9"/>
      <c r="AG99" s="22">
        <v>0.34820600000000002</v>
      </c>
      <c r="AH99" s="22">
        <v>136.55600000000001</v>
      </c>
      <c r="AI99" s="22">
        <v>-1.5914899999999999E-2</v>
      </c>
      <c r="AJ99" s="22">
        <v>89</v>
      </c>
      <c r="AK99" s="22">
        <v>0.34756500000000001</v>
      </c>
      <c r="AL99">
        <f t="shared" si="18"/>
        <v>15.914899999999999</v>
      </c>
      <c r="AM99">
        <f t="shared" si="19"/>
        <v>5.5416636694000001</v>
      </c>
      <c r="AP99" s="9"/>
      <c r="AQ99" s="22">
        <v>1.4018200000000001</v>
      </c>
      <c r="AR99" s="22">
        <v>159.20099999999999</v>
      </c>
      <c r="AS99" s="22">
        <v>-1.08948E-2</v>
      </c>
      <c r="AT99" s="22">
        <v>89</v>
      </c>
      <c r="AU99" s="22">
        <v>1.40076</v>
      </c>
      <c r="AV99">
        <f t="shared" si="20"/>
        <v>10.8948</v>
      </c>
      <c r="AW99">
        <f t="shared" si="21"/>
        <v>15.272548536</v>
      </c>
      <c r="AX99" s="9"/>
      <c r="AY99" s="22">
        <v>0.34820600000000002</v>
      </c>
      <c r="AZ99" s="22">
        <v>182.06100000000001</v>
      </c>
      <c r="BA99" s="22">
        <v>-1.5905800000000001E-2</v>
      </c>
      <c r="BB99" s="22">
        <v>89</v>
      </c>
      <c r="BC99" s="22">
        <v>0.34762599999999999</v>
      </c>
      <c r="BD99">
        <f t="shared" si="22"/>
        <v>15.905800000000001</v>
      </c>
      <c r="BE99">
        <f t="shared" si="23"/>
        <v>5.5384949948000006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50.148499999999999</v>
      </c>
      <c r="I100" s="22">
        <v>-1.0534699999999999E-2</v>
      </c>
      <c r="J100" s="22">
        <v>90</v>
      </c>
      <c r="K100" s="22">
        <v>1.3958699999999999</v>
      </c>
      <c r="L100">
        <f t="shared" si="12"/>
        <v>10.534699999999999</v>
      </c>
      <c r="M100">
        <f t="shared" si="13"/>
        <v>14.714763612999999</v>
      </c>
      <c r="N100" s="9"/>
      <c r="O100" s="22">
        <v>0.35324100000000003</v>
      </c>
      <c r="P100" s="22">
        <v>68.031400000000005</v>
      </c>
      <c r="Q100" s="22">
        <v>-1.59241E-2</v>
      </c>
      <c r="R100" s="22">
        <v>90</v>
      </c>
      <c r="S100" s="22">
        <v>0.352661</v>
      </c>
      <c r="T100">
        <f t="shared" si="14"/>
        <v>15.924099999999999</v>
      </c>
      <c r="U100">
        <f t="shared" si="15"/>
        <v>5.6250450080999999</v>
      </c>
      <c r="X100" s="9"/>
      <c r="Y100" s="22">
        <v>1.39679</v>
      </c>
      <c r="Z100" s="22">
        <v>117.59099999999999</v>
      </c>
      <c r="AA100" s="22">
        <v>-1.08948E-2</v>
      </c>
      <c r="AB100" s="22">
        <v>90</v>
      </c>
      <c r="AC100" s="22">
        <v>1.3958699999999999</v>
      </c>
      <c r="AD100">
        <f t="shared" si="16"/>
        <v>10.8948</v>
      </c>
      <c r="AE100">
        <f t="shared" si="17"/>
        <v>15.217747692</v>
      </c>
      <c r="AF100" s="9"/>
      <c r="AG100" s="22">
        <v>0.35324100000000003</v>
      </c>
      <c r="AH100" s="22">
        <v>136.566</v>
      </c>
      <c r="AI100" s="22">
        <v>-1.5908800000000001E-2</v>
      </c>
      <c r="AJ100" s="22">
        <v>90</v>
      </c>
      <c r="AK100" s="22">
        <v>0.35260000000000002</v>
      </c>
      <c r="AL100">
        <f t="shared" si="18"/>
        <v>15.908800000000001</v>
      </c>
      <c r="AM100">
        <f t="shared" si="19"/>
        <v>5.6196404208000006</v>
      </c>
      <c r="AP100" s="9"/>
      <c r="AQ100" s="22">
        <v>1.39679</v>
      </c>
      <c r="AR100" s="22">
        <v>159.21100000000001</v>
      </c>
      <c r="AS100" s="22">
        <v>-1.0965000000000001E-2</v>
      </c>
      <c r="AT100" s="22">
        <v>90</v>
      </c>
      <c r="AU100" s="22">
        <v>1.39618</v>
      </c>
      <c r="AV100">
        <f t="shared" si="20"/>
        <v>10.965000000000002</v>
      </c>
      <c r="AW100">
        <f t="shared" si="21"/>
        <v>15.315802350000002</v>
      </c>
      <c r="AX100" s="9"/>
      <c r="AY100" s="22">
        <v>0.35324100000000003</v>
      </c>
      <c r="AZ100" s="22">
        <v>182.072</v>
      </c>
      <c r="BA100" s="22">
        <v>-1.5908800000000001E-2</v>
      </c>
      <c r="BB100" s="22">
        <v>90</v>
      </c>
      <c r="BC100" s="22">
        <v>0.35263100000000003</v>
      </c>
      <c r="BD100">
        <f t="shared" si="22"/>
        <v>15.908800000000001</v>
      </c>
      <c r="BE100">
        <f t="shared" si="23"/>
        <v>5.6196404208000006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50.1586</v>
      </c>
      <c r="I101" s="22">
        <v>-1.06049E-2</v>
      </c>
      <c r="J101" s="22">
        <v>91</v>
      </c>
      <c r="K101" s="22">
        <v>1.3913</v>
      </c>
      <c r="L101">
        <f t="shared" si="12"/>
        <v>10.604900000000001</v>
      </c>
      <c r="M101">
        <f t="shared" si="13"/>
        <v>14.759369575000001</v>
      </c>
      <c r="N101" s="9"/>
      <c r="O101" s="22">
        <v>0.35827599999999998</v>
      </c>
      <c r="P101" s="22">
        <v>68.041399999999996</v>
      </c>
      <c r="Q101" s="22">
        <v>-1.5914899999999999E-2</v>
      </c>
      <c r="R101" s="22">
        <v>91</v>
      </c>
      <c r="S101" s="22">
        <v>0.35772700000000002</v>
      </c>
      <c r="T101">
        <f t="shared" si="14"/>
        <v>15.914899999999999</v>
      </c>
      <c r="U101">
        <f t="shared" si="15"/>
        <v>5.7019267123999997</v>
      </c>
      <c r="X101" s="9"/>
      <c r="Y101" s="22">
        <v>1.39175</v>
      </c>
      <c r="Z101" s="22">
        <v>117.601</v>
      </c>
      <c r="AA101" s="22">
        <v>-1.0968E-2</v>
      </c>
      <c r="AB101" s="22">
        <v>91</v>
      </c>
      <c r="AC101" s="22">
        <v>1.3909899999999999</v>
      </c>
      <c r="AD101">
        <f t="shared" si="16"/>
        <v>10.968</v>
      </c>
      <c r="AE101">
        <f t="shared" si="17"/>
        <v>15.264714</v>
      </c>
      <c r="AF101" s="9"/>
      <c r="AG101" s="22">
        <v>0.35827599999999998</v>
      </c>
      <c r="AH101" s="22">
        <v>136.57599999999999</v>
      </c>
      <c r="AI101" s="22">
        <v>-1.5899699999999999E-2</v>
      </c>
      <c r="AJ101" s="22">
        <v>91</v>
      </c>
      <c r="AK101" s="22">
        <v>0.35775800000000002</v>
      </c>
      <c r="AL101">
        <f t="shared" si="18"/>
        <v>15.899699999999999</v>
      </c>
      <c r="AM101">
        <f t="shared" si="19"/>
        <v>5.6964809171999997</v>
      </c>
      <c r="AP101" s="9"/>
      <c r="AQ101" s="22">
        <v>1.39175</v>
      </c>
      <c r="AR101" s="22">
        <v>159.221</v>
      </c>
      <c r="AS101" s="22">
        <v>-1.10352E-2</v>
      </c>
      <c r="AT101" s="22">
        <v>91</v>
      </c>
      <c r="AU101" s="22">
        <v>1.39069</v>
      </c>
      <c r="AV101">
        <f t="shared" si="20"/>
        <v>11.0352</v>
      </c>
      <c r="AW101">
        <f t="shared" si="21"/>
        <v>15.358239599999999</v>
      </c>
      <c r="AX101" s="9"/>
      <c r="AY101" s="22">
        <v>0.35827599999999998</v>
      </c>
      <c r="AZ101" s="22">
        <v>182.08199999999999</v>
      </c>
      <c r="BA101" s="22">
        <v>-1.5902699999999999E-2</v>
      </c>
      <c r="BB101" s="22">
        <v>91</v>
      </c>
      <c r="BC101" s="22">
        <v>0.35766599999999998</v>
      </c>
      <c r="BD101">
        <f t="shared" si="22"/>
        <v>15.902699999999999</v>
      </c>
      <c r="BE101">
        <f t="shared" si="23"/>
        <v>5.6975557451999999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50.168700000000001</v>
      </c>
      <c r="I102" s="22">
        <v>-1.0678099999999999E-2</v>
      </c>
      <c r="J102" s="22">
        <v>92</v>
      </c>
      <c r="K102" s="22">
        <v>1.3864099999999999</v>
      </c>
      <c r="L102">
        <f t="shared" si="12"/>
        <v>10.678099999999999</v>
      </c>
      <c r="M102">
        <f t="shared" si="13"/>
        <v>14.807534831999998</v>
      </c>
      <c r="N102" s="9"/>
      <c r="O102" s="22">
        <v>0.36331200000000002</v>
      </c>
      <c r="P102" s="22">
        <v>68.051500000000004</v>
      </c>
      <c r="Q102" s="22">
        <v>-1.5899699999999999E-2</v>
      </c>
      <c r="R102" s="22">
        <v>92</v>
      </c>
      <c r="S102" s="22">
        <v>0.36260999999999999</v>
      </c>
      <c r="T102">
        <f t="shared" si="14"/>
        <v>15.899699999999999</v>
      </c>
      <c r="U102">
        <f t="shared" si="15"/>
        <v>5.7765518064000005</v>
      </c>
      <c r="X102" s="9"/>
      <c r="Y102" s="22">
        <v>1.38672</v>
      </c>
      <c r="Z102" s="22">
        <v>117.611</v>
      </c>
      <c r="AA102" s="22">
        <v>-1.10443E-2</v>
      </c>
      <c r="AB102" s="22">
        <v>92</v>
      </c>
      <c r="AC102" s="22">
        <v>1.3855</v>
      </c>
      <c r="AD102">
        <f t="shared" si="16"/>
        <v>11.0443</v>
      </c>
      <c r="AE102">
        <f t="shared" si="17"/>
        <v>15.315351695999999</v>
      </c>
      <c r="AF102" s="9"/>
      <c r="AG102" s="22">
        <v>0.36331200000000002</v>
      </c>
      <c r="AH102" s="22">
        <v>136.58600000000001</v>
      </c>
      <c r="AI102" s="22">
        <v>-1.5890499999999998E-2</v>
      </c>
      <c r="AJ102" s="22">
        <v>92</v>
      </c>
      <c r="AK102" s="22">
        <v>0.362701</v>
      </c>
      <c r="AL102">
        <f t="shared" si="18"/>
        <v>15.890499999999998</v>
      </c>
      <c r="AM102">
        <f t="shared" si="19"/>
        <v>5.7732093359999999</v>
      </c>
      <c r="AP102" s="9"/>
      <c r="AQ102" s="22">
        <v>1.38672</v>
      </c>
      <c r="AR102" s="22">
        <v>159.23099999999999</v>
      </c>
      <c r="AS102" s="22">
        <v>-1.11115E-2</v>
      </c>
      <c r="AT102" s="22">
        <v>92</v>
      </c>
      <c r="AU102" s="22">
        <v>1.3855</v>
      </c>
      <c r="AV102">
        <f t="shared" si="20"/>
        <v>11.111499999999999</v>
      </c>
      <c r="AW102">
        <f t="shared" si="21"/>
        <v>15.408539279999999</v>
      </c>
      <c r="AX102" s="9"/>
      <c r="AY102" s="22">
        <v>0.36331200000000002</v>
      </c>
      <c r="AZ102" s="22">
        <v>182.09200000000001</v>
      </c>
      <c r="BA102" s="22">
        <v>-1.58966E-2</v>
      </c>
      <c r="BB102" s="22">
        <v>92</v>
      </c>
      <c r="BC102" s="22">
        <v>0.36276199999999997</v>
      </c>
      <c r="BD102">
        <f t="shared" si="22"/>
        <v>15.896600000000001</v>
      </c>
      <c r="BE102">
        <f t="shared" si="23"/>
        <v>5.7754255392000005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50.178699999999999</v>
      </c>
      <c r="I103" s="22">
        <v>-1.07513E-2</v>
      </c>
      <c r="J103" s="22">
        <v>93</v>
      </c>
      <c r="K103" s="22">
        <v>1.3809199999999999</v>
      </c>
      <c r="L103">
        <f t="shared" si="12"/>
        <v>10.751300000000001</v>
      </c>
      <c r="M103">
        <f t="shared" si="13"/>
        <v>14.854856184000001</v>
      </c>
      <c r="N103" s="9"/>
      <c r="O103" s="22">
        <v>0.36834699999999998</v>
      </c>
      <c r="P103" s="22">
        <v>68.061599999999999</v>
      </c>
      <c r="Q103" s="22">
        <v>-1.5887499999999999E-2</v>
      </c>
      <c r="R103" s="22">
        <v>93</v>
      </c>
      <c r="S103" s="22">
        <v>0.36779800000000001</v>
      </c>
      <c r="T103">
        <f t="shared" si="14"/>
        <v>15.887499999999999</v>
      </c>
      <c r="U103">
        <f t="shared" si="15"/>
        <v>5.8521129624999997</v>
      </c>
      <c r="X103" s="9"/>
      <c r="Y103" s="22">
        <v>1.38168</v>
      </c>
      <c r="Z103" s="22">
        <v>117.621</v>
      </c>
      <c r="AA103" s="22">
        <v>-1.1114499999999999E-2</v>
      </c>
      <c r="AB103" s="22">
        <v>93</v>
      </c>
      <c r="AC103" s="22">
        <v>1.38062</v>
      </c>
      <c r="AD103">
        <f t="shared" si="16"/>
        <v>11.1145</v>
      </c>
      <c r="AE103">
        <f t="shared" si="17"/>
        <v>15.356682359999999</v>
      </c>
      <c r="AF103" s="9"/>
      <c r="AG103" s="22">
        <v>0.36834699999999998</v>
      </c>
      <c r="AH103" s="22">
        <v>136.596</v>
      </c>
      <c r="AI103" s="22">
        <v>-1.5890499999999998E-2</v>
      </c>
      <c r="AJ103" s="22">
        <v>93</v>
      </c>
      <c r="AK103" s="22">
        <v>0.36770599999999998</v>
      </c>
      <c r="AL103">
        <f t="shared" si="18"/>
        <v>15.890499999999998</v>
      </c>
      <c r="AM103">
        <f t="shared" si="19"/>
        <v>5.8532180034999985</v>
      </c>
      <c r="AP103" s="9"/>
      <c r="AQ103" s="22">
        <v>1.38168</v>
      </c>
      <c r="AR103" s="22">
        <v>159.24100000000001</v>
      </c>
      <c r="AS103" s="22">
        <v>-1.11816E-2</v>
      </c>
      <c r="AT103" s="22">
        <v>93</v>
      </c>
      <c r="AU103" s="22">
        <v>1.3815299999999999</v>
      </c>
      <c r="AV103">
        <f t="shared" si="20"/>
        <v>11.1816</v>
      </c>
      <c r="AW103">
        <f t="shared" si="21"/>
        <v>15.449393087999999</v>
      </c>
      <c r="AX103" s="9"/>
      <c r="AY103" s="22">
        <v>0.36834699999999998</v>
      </c>
      <c r="AZ103" s="22">
        <v>182.102</v>
      </c>
      <c r="BA103" s="22">
        <v>-1.5893600000000001E-2</v>
      </c>
      <c r="BB103" s="22">
        <v>93</v>
      </c>
      <c r="BC103" s="22">
        <v>0.36770599999999998</v>
      </c>
      <c r="BD103">
        <f t="shared" si="22"/>
        <v>15.893600000000001</v>
      </c>
      <c r="BE103">
        <f t="shared" si="23"/>
        <v>5.8543598792000004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50.188800000000001</v>
      </c>
      <c r="I104" s="22">
        <v>-1.08246E-2</v>
      </c>
      <c r="J104" s="22">
        <v>94</v>
      </c>
      <c r="K104" s="22">
        <v>1.3754299999999999</v>
      </c>
      <c r="L104">
        <f t="shared" si="12"/>
        <v>10.8246</v>
      </c>
      <c r="M104">
        <f t="shared" si="13"/>
        <v>14.90168559</v>
      </c>
      <c r="N104" s="9"/>
      <c r="O104" s="22">
        <v>0.37338300000000002</v>
      </c>
      <c r="P104" s="22">
        <v>68.071700000000007</v>
      </c>
      <c r="Q104" s="22">
        <v>-1.58722E-2</v>
      </c>
      <c r="R104" s="22">
        <v>94</v>
      </c>
      <c r="S104" s="22">
        <v>0.37277199999999999</v>
      </c>
      <c r="T104">
        <f t="shared" si="14"/>
        <v>15.872199999999999</v>
      </c>
      <c r="U104">
        <f t="shared" si="15"/>
        <v>5.9264096526000003</v>
      </c>
      <c r="X104" s="9"/>
      <c r="Y104" s="22">
        <v>1.3766499999999999</v>
      </c>
      <c r="Z104" s="22">
        <v>117.631</v>
      </c>
      <c r="AA104" s="22">
        <v>-1.11877E-2</v>
      </c>
      <c r="AB104" s="22">
        <v>94</v>
      </c>
      <c r="AC104" s="22">
        <v>1.3760399999999999</v>
      </c>
      <c r="AD104">
        <f t="shared" si="16"/>
        <v>11.1877</v>
      </c>
      <c r="AE104">
        <f t="shared" si="17"/>
        <v>15.401547204999998</v>
      </c>
      <c r="AF104" s="9"/>
      <c r="AG104" s="22">
        <v>0.37338300000000002</v>
      </c>
      <c r="AH104" s="22">
        <v>136.60599999999999</v>
      </c>
      <c r="AI104" s="22">
        <v>-1.5890499999999998E-2</v>
      </c>
      <c r="AJ104" s="22">
        <v>94</v>
      </c>
      <c r="AK104" s="22">
        <v>0.372803</v>
      </c>
      <c r="AL104">
        <f t="shared" si="18"/>
        <v>15.890499999999998</v>
      </c>
      <c r="AM104">
        <f t="shared" si="19"/>
        <v>5.9332425614999993</v>
      </c>
      <c r="AP104" s="9"/>
      <c r="AQ104" s="22">
        <v>1.3766499999999999</v>
      </c>
      <c r="AR104" s="22">
        <v>159.251</v>
      </c>
      <c r="AS104" s="22">
        <v>-1.12549E-2</v>
      </c>
      <c r="AT104" s="22">
        <v>94</v>
      </c>
      <c r="AU104" s="22">
        <v>1.3760399999999999</v>
      </c>
      <c r="AV104">
        <f t="shared" si="20"/>
        <v>11.254899999999999</v>
      </c>
      <c r="AW104">
        <f t="shared" si="21"/>
        <v>15.494058084999999</v>
      </c>
      <c r="AX104" s="9"/>
      <c r="AY104" s="22">
        <v>0.37338300000000002</v>
      </c>
      <c r="AZ104" s="22">
        <v>182.11199999999999</v>
      </c>
      <c r="BA104" s="22">
        <v>-1.5890499999999998E-2</v>
      </c>
      <c r="BB104" s="22">
        <v>94</v>
      </c>
      <c r="BC104" s="22">
        <v>0.37277199999999999</v>
      </c>
      <c r="BD104">
        <f t="shared" si="22"/>
        <v>15.890499999999998</v>
      </c>
      <c r="BE104">
        <f t="shared" si="23"/>
        <v>5.9332425614999993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50.198900000000002</v>
      </c>
      <c r="I105" s="22">
        <v>-1.0888699999999999E-2</v>
      </c>
      <c r="J105" s="22">
        <v>95</v>
      </c>
      <c r="K105" s="22">
        <v>1.3714599999999999</v>
      </c>
      <c r="L105">
        <f t="shared" si="12"/>
        <v>10.8887</v>
      </c>
      <c r="M105">
        <f t="shared" si="13"/>
        <v>14.935049807</v>
      </c>
      <c r="N105" s="9"/>
      <c r="O105" s="22">
        <v>0.37841799999999998</v>
      </c>
      <c r="P105" s="22">
        <v>68.081699999999998</v>
      </c>
      <c r="Q105" s="22">
        <v>-1.5869100000000001E-2</v>
      </c>
      <c r="R105" s="22">
        <v>95</v>
      </c>
      <c r="S105" s="22">
        <v>0.37786900000000001</v>
      </c>
      <c r="T105">
        <f t="shared" si="14"/>
        <v>15.869100000000001</v>
      </c>
      <c r="U105">
        <f t="shared" si="15"/>
        <v>6.0051530837999998</v>
      </c>
      <c r="X105" s="9"/>
      <c r="Y105" s="22">
        <v>1.37161</v>
      </c>
      <c r="Z105" s="22">
        <v>117.64100000000001</v>
      </c>
      <c r="AA105" s="22">
        <v>-1.12549E-2</v>
      </c>
      <c r="AB105" s="22">
        <v>95</v>
      </c>
      <c r="AC105" s="22">
        <v>1.3708499999999999</v>
      </c>
      <c r="AD105">
        <f t="shared" si="16"/>
        <v>11.254899999999999</v>
      </c>
      <c r="AE105">
        <f t="shared" si="17"/>
        <v>15.437333388999999</v>
      </c>
      <c r="AF105" s="9"/>
      <c r="AG105" s="22">
        <v>0.37841799999999998</v>
      </c>
      <c r="AH105" s="22">
        <v>136.61600000000001</v>
      </c>
      <c r="AI105" s="22">
        <v>-1.5878300000000001E-2</v>
      </c>
      <c r="AJ105" s="22">
        <v>95</v>
      </c>
      <c r="AK105" s="22">
        <v>0.37789899999999998</v>
      </c>
      <c r="AL105">
        <f t="shared" si="18"/>
        <v>15.878300000000001</v>
      </c>
      <c r="AM105">
        <f t="shared" si="19"/>
        <v>6.0086345294000001</v>
      </c>
      <c r="AP105" s="9"/>
      <c r="AQ105" s="22">
        <v>1.37161</v>
      </c>
      <c r="AR105" s="22">
        <v>159.261</v>
      </c>
      <c r="AS105" s="22">
        <v>-1.1325099999999999E-2</v>
      </c>
      <c r="AT105" s="22">
        <v>95</v>
      </c>
      <c r="AU105" s="22">
        <v>1.3708499999999999</v>
      </c>
      <c r="AV105">
        <f t="shared" si="20"/>
        <v>11.325099999999999</v>
      </c>
      <c r="AW105">
        <f t="shared" si="21"/>
        <v>15.533620410999999</v>
      </c>
      <c r="AX105" s="9"/>
      <c r="AY105" s="22">
        <v>0.37841799999999998</v>
      </c>
      <c r="AZ105" s="22">
        <v>182.12200000000001</v>
      </c>
      <c r="BA105" s="22">
        <v>-1.5887499999999999E-2</v>
      </c>
      <c r="BB105" s="22">
        <v>95</v>
      </c>
      <c r="BC105" s="22">
        <v>0.37786900000000001</v>
      </c>
      <c r="BD105">
        <f t="shared" si="22"/>
        <v>15.887499999999999</v>
      </c>
      <c r="BE105">
        <f t="shared" si="23"/>
        <v>6.0121159749999995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50.209000000000003</v>
      </c>
      <c r="I106" s="22">
        <v>-1.0958900000000001E-2</v>
      </c>
      <c r="J106" s="22">
        <v>96</v>
      </c>
      <c r="K106" s="22">
        <v>1.3662700000000001</v>
      </c>
      <c r="L106">
        <f t="shared" si="12"/>
        <v>10.9589</v>
      </c>
      <c r="M106">
        <f t="shared" si="13"/>
        <v>14.976213561999998</v>
      </c>
      <c r="N106" s="9"/>
      <c r="O106" s="22">
        <v>0.38345299999999999</v>
      </c>
      <c r="P106" s="22">
        <v>68.091800000000006</v>
      </c>
      <c r="Q106" s="22">
        <v>-1.5862999999999999E-2</v>
      </c>
      <c r="R106" s="22">
        <v>96</v>
      </c>
      <c r="S106" s="22">
        <v>0.38275100000000001</v>
      </c>
      <c r="T106">
        <f t="shared" si="14"/>
        <v>15.862999999999998</v>
      </c>
      <c r="U106">
        <f t="shared" si="15"/>
        <v>6.0827149389999988</v>
      </c>
      <c r="X106" s="9"/>
      <c r="Y106" s="22">
        <v>1.3665799999999999</v>
      </c>
      <c r="Z106" s="22">
        <v>117.651</v>
      </c>
      <c r="AA106" s="22">
        <v>-1.1328100000000001E-2</v>
      </c>
      <c r="AB106" s="22">
        <v>96</v>
      </c>
      <c r="AC106" s="22">
        <v>1.3656600000000001</v>
      </c>
      <c r="AD106">
        <f t="shared" si="16"/>
        <v>11.328100000000001</v>
      </c>
      <c r="AE106">
        <f t="shared" si="17"/>
        <v>15.480754898000001</v>
      </c>
      <c r="AF106" s="9"/>
      <c r="AG106" s="22">
        <v>0.38345299999999999</v>
      </c>
      <c r="AH106" s="22">
        <v>136.626</v>
      </c>
      <c r="AI106" s="22">
        <v>-1.5869100000000001E-2</v>
      </c>
      <c r="AJ106" s="22">
        <v>96</v>
      </c>
      <c r="AK106" s="22">
        <v>0.38293500000000003</v>
      </c>
      <c r="AL106">
        <f t="shared" si="18"/>
        <v>15.869100000000001</v>
      </c>
      <c r="AM106">
        <f t="shared" si="19"/>
        <v>6.0850540023000006</v>
      </c>
      <c r="AP106" s="9"/>
      <c r="AQ106" s="22">
        <v>1.3665799999999999</v>
      </c>
      <c r="AR106" s="22">
        <v>159.27099999999999</v>
      </c>
      <c r="AS106" s="22">
        <v>-1.1395300000000001E-2</v>
      </c>
      <c r="AT106" s="22">
        <v>96</v>
      </c>
      <c r="AU106" s="22">
        <v>1.3653599999999999</v>
      </c>
      <c r="AV106">
        <f t="shared" si="20"/>
        <v>11.395300000000001</v>
      </c>
      <c r="AW106">
        <f t="shared" si="21"/>
        <v>15.572589074</v>
      </c>
      <c r="AX106" s="9"/>
      <c r="AY106" s="22">
        <v>0.38345299999999999</v>
      </c>
      <c r="AZ106" s="22">
        <v>182.13200000000001</v>
      </c>
      <c r="BA106" s="22">
        <v>-1.5875199999999999E-2</v>
      </c>
      <c r="BB106" s="22">
        <v>96</v>
      </c>
      <c r="BC106" s="22">
        <v>0.38284299999999999</v>
      </c>
      <c r="BD106">
        <f t="shared" si="22"/>
        <v>15.8752</v>
      </c>
      <c r="BE106">
        <f t="shared" si="23"/>
        <v>6.0873930655999997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50.219000000000001</v>
      </c>
      <c r="I107" s="22">
        <v>-1.1025999999999999E-2</v>
      </c>
      <c r="J107" s="22">
        <v>97</v>
      </c>
      <c r="K107" s="22">
        <v>1.3604700000000001</v>
      </c>
      <c r="L107">
        <f t="shared" si="12"/>
        <v>11.026</v>
      </c>
      <c r="M107">
        <f t="shared" si="13"/>
        <v>15.01234004</v>
      </c>
      <c r="N107" s="9"/>
      <c r="O107" s="22">
        <v>0.38848899999999997</v>
      </c>
      <c r="P107" s="22">
        <v>68.101900000000001</v>
      </c>
      <c r="Q107" s="22">
        <v>-1.58569E-2</v>
      </c>
      <c r="R107" s="22">
        <v>97</v>
      </c>
      <c r="S107" s="22">
        <v>0.38793899999999998</v>
      </c>
      <c r="T107">
        <f t="shared" si="14"/>
        <v>15.8569</v>
      </c>
      <c r="U107">
        <f t="shared" si="15"/>
        <v>6.1602312240999995</v>
      </c>
      <c r="X107" s="9"/>
      <c r="Y107" s="22">
        <v>1.36154</v>
      </c>
      <c r="Z107" s="22">
        <v>117.661</v>
      </c>
      <c r="AA107" s="22">
        <v>-1.1395300000000001E-2</v>
      </c>
      <c r="AB107" s="22">
        <v>97</v>
      </c>
      <c r="AC107" s="22">
        <v>1.3607800000000001</v>
      </c>
      <c r="AD107">
        <f t="shared" si="16"/>
        <v>11.395300000000001</v>
      </c>
      <c r="AE107">
        <f t="shared" si="17"/>
        <v>15.515156762</v>
      </c>
      <c r="AF107" s="9"/>
      <c r="AG107" s="22">
        <v>0.38848899999999997</v>
      </c>
      <c r="AH107" s="22">
        <v>136.636</v>
      </c>
      <c r="AI107" s="22">
        <v>-1.5862999999999999E-2</v>
      </c>
      <c r="AJ107" s="22">
        <v>97</v>
      </c>
      <c r="AK107" s="22">
        <v>0.387878</v>
      </c>
      <c r="AL107">
        <f t="shared" si="18"/>
        <v>15.862999999999998</v>
      </c>
      <c r="AM107">
        <f t="shared" si="19"/>
        <v>6.1626010069999984</v>
      </c>
      <c r="AP107" s="9"/>
      <c r="AQ107" s="22">
        <v>1.36154</v>
      </c>
      <c r="AR107" s="22">
        <v>159.28100000000001</v>
      </c>
      <c r="AS107" s="22">
        <v>-1.14716E-2</v>
      </c>
      <c r="AT107" s="22">
        <v>97</v>
      </c>
      <c r="AU107" s="22">
        <v>1.3616900000000001</v>
      </c>
      <c r="AV107">
        <f t="shared" si="20"/>
        <v>11.4716</v>
      </c>
      <c r="AW107">
        <f t="shared" si="21"/>
        <v>15.619042264000001</v>
      </c>
      <c r="AX107" s="9"/>
      <c r="AY107" s="22">
        <v>0.38848899999999997</v>
      </c>
      <c r="AZ107" s="22">
        <v>182.142</v>
      </c>
      <c r="BA107" s="22">
        <v>-1.5853900000000001E-2</v>
      </c>
      <c r="BB107" s="22">
        <v>97</v>
      </c>
      <c r="BC107" s="22">
        <v>0.387878</v>
      </c>
      <c r="BD107">
        <f t="shared" si="22"/>
        <v>15.853900000000001</v>
      </c>
      <c r="BE107">
        <f t="shared" si="23"/>
        <v>6.1590657571000005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50.229100000000003</v>
      </c>
      <c r="I108" s="22">
        <v>-1.10931E-2</v>
      </c>
      <c r="J108" s="22">
        <v>98</v>
      </c>
      <c r="K108" s="22">
        <v>1.3559000000000001</v>
      </c>
      <c r="L108">
        <f t="shared" si="12"/>
        <v>11.0931</v>
      </c>
      <c r="M108">
        <f t="shared" si="13"/>
        <v>15.047901081000001</v>
      </c>
      <c r="N108" s="9"/>
      <c r="O108" s="22">
        <v>0.39352399999999998</v>
      </c>
      <c r="P108" s="22">
        <v>68.111900000000006</v>
      </c>
      <c r="Q108" s="22">
        <v>-1.58447E-2</v>
      </c>
      <c r="R108" s="22">
        <v>98</v>
      </c>
      <c r="S108" s="22">
        <v>0.39300499999999999</v>
      </c>
      <c r="T108">
        <f t="shared" si="14"/>
        <v>15.8447</v>
      </c>
      <c r="U108">
        <f t="shared" si="15"/>
        <v>6.2352697228</v>
      </c>
      <c r="X108" s="9"/>
      <c r="Y108" s="22">
        <v>1.3565100000000001</v>
      </c>
      <c r="Z108" s="22">
        <v>117.67100000000001</v>
      </c>
      <c r="AA108" s="22">
        <v>-1.14594E-2</v>
      </c>
      <c r="AB108" s="22">
        <v>98</v>
      </c>
      <c r="AC108" s="22">
        <v>1.3555900000000001</v>
      </c>
      <c r="AD108">
        <f t="shared" si="16"/>
        <v>11.4594</v>
      </c>
      <c r="AE108">
        <f t="shared" si="17"/>
        <v>15.544790694000001</v>
      </c>
      <c r="AF108" s="9"/>
      <c r="AG108" s="22">
        <v>0.39352399999999998</v>
      </c>
      <c r="AH108" s="22">
        <v>136.64599999999999</v>
      </c>
      <c r="AI108" s="22">
        <v>-1.5853900000000001E-2</v>
      </c>
      <c r="AJ108" s="22">
        <v>98</v>
      </c>
      <c r="AK108" s="22">
        <v>0.39294400000000002</v>
      </c>
      <c r="AL108">
        <f t="shared" si="18"/>
        <v>15.853900000000001</v>
      </c>
      <c r="AM108">
        <f t="shared" si="19"/>
        <v>6.2388901435999999</v>
      </c>
      <c r="AP108" s="9"/>
      <c r="AQ108" s="22">
        <v>1.3565100000000001</v>
      </c>
      <c r="AR108" s="22">
        <v>159.291</v>
      </c>
      <c r="AS108" s="22">
        <v>-1.15417E-2</v>
      </c>
      <c r="AT108" s="22">
        <v>98</v>
      </c>
      <c r="AU108" s="22">
        <v>1.3552900000000001</v>
      </c>
      <c r="AV108">
        <f t="shared" si="20"/>
        <v>11.541700000000001</v>
      </c>
      <c r="AW108">
        <f t="shared" si="21"/>
        <v>15.656431467000003</v>
      </c>
      <c r="AX108" s="9"/>
      <c r="AY108" s="22">
        <v>0.39352399999999998</v>
      </c>
      <c r="AZ108" s="22">
        <v>182.15199999999999</v>
      </c>
      <c r="BA108" s="22">
        <v>-1.58447E-2</v>
      </c>
      <c r="BB108" s="22">
        <v>98</v>
      </c>
      <c r="BC108" s="22">
        <v>0.39297500000000002</v>
      </c>
      <c r="BD108">
        <f t="shared" si="22"/>
        <v>15.8447</v>
      </c>
      <c r="BE108">
        <f t="shared" si="23"/>
        <v>6.2352697228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50.239199999999997</v>
      </c>
      <c r="I109" s="22">
        <v>-1.1157200000000001E-2</v>
      </c>
      <c r="J109" s="22">
        <v>99</v>
      </c>
      <c r="K109" s="22">
        <v>1.35101</v>
      </c>
      <c r="L109">
        <f t="shared" si="12"/>
        <v>11.157200000000001</v>
      </c>
      <c r="M109">
        <f t="shared" si="13"/>
        <v>15.078621084000002</v>
      </c>
      <c r="N109" s="9"/>
      <c r="O109" s="22">
        <v>0.39856000000000003</v>
      </c>
      <c r="P109" s="22">
        <v>68.122</v>
      </c>
      <c r="Q109" s="22">
        <v>-1.5832499999999999E-2</v>
      </c>
      <c r="R109" s="22">
        <v>99</v>
      </c>
      <c r="S109" s="22">
        <v>0.39798</v>
      </c>
      <c r="T109">
        <f t="shared" si="14"/>
        <v>15.8325</v>
      </c>
      <c r="U109">
        <f t="shared" si="15"/>
        <v>6.3102011999999998</v>
      </c>
      <c r="X109" s="9"/>
      <c r="Y109" s="22">
        <v>1.3514699999999999</v>
      </c>
      <c r="Z109" s="22">
        <v>117.681</v>
      </c>
      <c r="AA109" s="22">
        <v>-1.15234E-2</v>
      </c>
      <c r="AB109" s="22">
        <v>99</v>
      </c>
      <c r="AC109" s="22">
        <v>1.3507100000000001</v>
      </c>
      <c r="AD109">
        <f t="shared" si="16"/>
        <v>11.523399999999999</v>
      </c>
      <c r="AE109">
        <f t="shared" si="17"/>
        <v>15.573529397999998</v>
      </c>
      <c r="AF109" s="9"/>
      <c r="AG109" s="22">
        <v>0.39856000000000003</v>
      </c>
      <c r="AH109" s="22">
        <v>136.65600000000001</v>
      </c>
      <c r="AI109" s="22">
        <v>-1.58417E-2</v>
      </c>
      <c r="AJ109" s="22">
        <v>99</v>
      </c>
      <c r="AK109" s="22">
        <v>0.39788800000000002</v>
      </c>
      <c r="AL109">
        <f t="shared" si="18"/>
        <v>15.841699999999999</v>
      </c>
      <c r="AM109">
        <f t="shared" si="19"/>
        <v>6.3138679519999998</v>
      </c>
      <c r="AP109" s="9"/>
      <c r="AQ109" s="22">
        <v>1.3514699999999999</v>
      </c>
      <c r="AR109" s="22">
        <v>159.30099999999999</v>
      </c>
      <c r="AS109" s="22">
        <v>-1.1605799999999999E-2</v>
      </c>
      <c r="AT109" s="22">
        <v>99</v>
      </c>
      <c r="AU109" s="22">
        <v>1.3507100000000001</v>
      </c>
      <c r="AV109">
        <f t="shared" si="20"/>
        <v>11.605799999999999</v>
      </c>
      <c r="AW109">
        <f t="shared" si="21"/>
        <v>15.684890525999997</v>
      </c>
      <c r="AX109" s="9"/>
      <c r="AY109" s="22">
        <v>0.39856000000000003</v>
      </c>
      <c r="AZ109" s="22">
        <v>182.16200000000001</v>
      </c>
      <c r="BA109" s="22">
        <v>-1.58447E-2</v>
      </c>
      <c r="BB109" s="22">
        <v>99</v>
      </c>
      <c r="BC109" s="22">
        <v>0.397949</v>
      </c>
      <c r="BD109">
        <f t="shared" si="22"/>
        <v>15.8447</v>
      </c>
      <c r="BE109">
        <f t="shared" si="23"/>
        <v>6.3150636320000002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50.249200000000002</v>
      </c>
      <c r="I110" s="22">
        <v>-1.12274E-2</v>
      </c>
      <c r="J110" s="22">
        <v>100</v>
      </c>
      <c r="K110" s="22">
        <v>1.3458300000000001</v>
      </c>
      <c r="L110">
        <f t="shared" si="12"/>
        <v>11.227399999999999</v>
      </c>
      <c r="M110">
        <f t="shared" si="13"/>
        <v>15.117020456000001</v>
      </c>
      <c r="N110" s="9"/>
      <c r="O110" s="22">
        <v>0.40359499999999998</v>
      </c>
      <c r="P110" s="22">
        <v>68.132099999999994</v>
      </c>
      <c r="Q110" s="22">
        <v>-1.58295E-2</v>
      </c>
      <c r="R110" s="22">
        <v>100</v>
      </c>
      <c r="S110" s="22">
        <v>0.40304600000000002</v>
      </c>
      <c r="T110">
        <f t="shared" si="14"/>
        <v>15.829499999999999</v>
      </c>
      <c r="U110">
        <f t="shared" si="15"/>
        <v>6.3887070524999992</v>
      </c>
      <c r="X110" s="9"/>
      <c r="Y110" s="22">
        <v>1.3464400000000001</v>
      </c>
      <c r="Z110" s="22">
        <v>117.691</v>
      </c>
      <c r="AA110" s="22">
        <v>-1.15906E-2</v>
      </c>
      <c r="AB110" s="22">
        <v>100</v>
      </c>
      <c r="AC110" s="22">
        <v>1.3458300000000001</v>
      </c>
      <c r="AD110">
        <f t="shared" si="16"/>
        <v>11.5906</v>
      </c>
      <c r="AE110">
        <f t="shared" si="17"/>
        <v>15.606047464000001</v>
      </c>
      <c r="AF110" s="9"/>
      <c r="AG110" s="22">
        <v>0.40359499999999998</v>
      </c>
      <c r="AH110" s="22">
        <v>136.666</v>
      </c>
      <c r="AI110" s="22">
        <v>-1.5835599999999998E-2</v>
      </c>
      <c r="AJ110" s="22">
        <v>100</v>
      </c>
      <c r="AK110" s="22">
        <v>0.40301500000000001</v>
      </c>
      <c r="AL110">
        <f t="shared" si="18"/>
        <v>15.835599999999998</v>
      </c>
      <c r="AM110">
        <f t="shared" si="19"/>
        <v>6.3911689819999991</v>
      </c>
      <c r="AP110" s="9"/>
      <c r="AQ110" s="22">
        <v>1.3464400000000001</v>
      </c>
      <c r="AR110" s="22">
        <v>159.31100000000001</v>
      </c>
      <c r="AS110" s="22">
        <v>-1.1672999999999999E-2</v>
      </c>
      <c r="AT110" s="22">
        <v>100</v>
      </c>
      <c r="AU110" s="22">
        <v>1.3458300000000001</v>
      </c>
      <c r="AV110">
        <f t="shared" si="20"/>
        <v>11.673</v>
      </c>
      <c r="AW110">
        <f t="shared" si="21"/>
        <v>15.716994120000001</v>
      </c>
      <c r="AX110" s="9"/>
      <c r="AY110" s="22">
        <v>0.40359499999999998</v>
      </c>
      <c r="AZ110" s="22">
        <v>182.172</v>
      </c>
      <c r="BA110" s="22">
        <v>-1.5838600000000001E-2</v>
      </c>
      <c r="BB110" s="22">
        <v>100</v>
      </c>
      <c r="BC110" s="22">
        <v>0.40301500000000001</v>
      </c>
      <c r="BD110">
        <f t="shared" si="22"/>
        <v>15.838600000000001</v>
      </c>
      <c r="BE110">
        <f t="shared" si="23"/>
        <v>6.3923797670000004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50.259300000000003</v>
      </c>
      <c r="I111" s="22">
        <v>-1.12946E-2</v>
      </c>
      <c r="J111" s="22">
        <v>101</v>
      </c>
      <c r="K111" s="22">
        <v>1.3406400000000001</v>
      </c>
      <c r="L111">
        <f t="shared" si="12"/>
        <v>11.294600000000001</v>
      </c>
      <c r="M111">
        <f t="shared" si="13"/>
        <v>15.15057644</v>
      </c>
      <c r="N111" s="9"/>
      <c r="O111" s="22">
        <v>0.40862999999999999</v>
      </c>
      <c r="P111" s="22">
        <v>68.142200000000003</v>
      </c>
      <c r="Q111" s="22">
        <v>-1.5826400000000001E-2</v>
      </c>
      <c r="R111" s="22">
        <v>101</v>
      </c>
      <c r="S111" s="22">
        <v>0.40799000000000002</v>
      </c>
      <c r="T111">
        <f t="shared" si="14"/>
        <v>15.826400000000001</v>
      </c>
      <c r="U111">
        <f t="shared" si="15"/>
        <v>6.4671418320000003</v>
      </c>
      <c r="X111" s="9"/>
      <c r="Y111" s="22">
        <v>1.3413999999999999</v>
      </c>
      <c r="Z111" s="22">
        <v>117.702</v>
      </c>
      <c r="AA111" s="22">
        <v>-1.16516E-2</v>
      </c>
      <c r="AB111" s="22">
        <v>101</v>
      </c>
      <c r="AC111" s="22">
        <v>1.3406400000000001</v>
      </c>
      <c r="AD111">
        <f t="shared" si="16"/>
        <v>11.6516</v>
      </c>
      <c r="AE111">
        <f t="shared" si="17"/>
        <v>15.62945624</v>
      </c>
      <c r="AF111" s="9"/>
      <c r="AG111" s="22">
        <v>0.40862999999999999</v>
      </c>
      <c r="AH111" s="22">
        <v>136.67599999999999</v>
      </c>
      <c r="AI111" s="22">
        <v>-1.5832499999999999E-2</v>
      </c>
      <c r="AJ111" s="22">
        <v>101</v>
      </c>
      <c r="AK111" s="22">
        <v>0.40801999999999999</v>
      </c>
      <c r="AL111">
        <f t="shared" si="18"/>
        <v>15.8325</v>
      </c>
      <c r="AM111">
        <f t="shared" si="19"/>
        <v>6.4696344749999994</v>
      </c>
      <c r="AP111" s="9"/>
      <c r="AQ111" s="22">
        <v>1.3413999999999999</v>
      </c>
      <c r="AR111" s="22">
        <v>159.321</v>
      </c>
      <c r="AS111" s="22">
        <v>-1.17371E-2</v>
      </c>
      <c r="AT111" s="22">
        <v>101</v>
      </c>
      <c r="AU111" s="22">
        <v>1.3406400000000001</v>
      </c>
      <c r="AV111">
        <f t="shared" si="20"/>
        <v>11.7371</v>
      </c>
      <c r="AW111">
        <f t="shared" si="21"/>
        <v>15.744145939999999</v>
      </c>
      <c r="AX111" s="9"/>
      <c r="AY111" s="22">
        <v>0.40862999999999999</v>
      </c>
      <c r="AZ111" s="22">
        <v>182.18199999999999</v>
      </c>
      <c r="BA111" s="22">
        <v>-1.5835599999999998E-2</v>
      </c>
      <c r="BB111" s="22">
        <v>101</v>
      </c>
      <c r="BC111" s="22">
        <v>0.40795900000000002</v>
      </c>
      <c r="BD111">
        <f t="shared" si="22"/>
        <v>15.835599999999998</v>
      </c>
      <c r="BE111">
        <f t="shared" si="23"/>
        <v>6.4709012279999989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50.269399999999997</v>
      </c>
      <c r="I112" s="22">
        <v>-1.13556E-2</v>
      </c>
      <c r="J112" s="22">
        <v>102</v>
      </c>
      <c r="K112" s="22">
        <v>1.33575</v>
      </c>
      <c r="L112">
        <f t="shared" si="12"/>
        <v>11.355600000000001</v>
      </c>
      <c r="M112">
        <f t="shared" si="13"/>
        <v>15.175169616000002</v>
      </c>
      <c r="N112" s="9"/>
      <c r="O112" s="22">
        <v>0.41366599999999998</v>
      </c>
      <c r="P112" s="22">
        <v>68.152199999999993</v>
      </c>
      <c r="Q112" s="22">
        <v>-1.5817299999999999E-2</v>
      </c>
      <c r="R112" s="22">
        <v>102</v>
      </c>
      <c r="S112" s="22">
        <v>0.41299400000000003</v>
      </c>
      <c r="T112">
        <f t="shared" si="14"/>
        <v>15.817299999999999</v>
      </c>
      <c r="U112">
        <f t="shared" si="15"/>
        <v>6.5430792217999993</v>
      </c>
      <c r="X112" s="9"/>
      <c r="Y112" s="22">
        <v>1.33636</v>
      </c>
      <c r="Z112" s="22">
        <v>117.712</v>
      </c>
      <c r="AA112" s="22">
        <v>-1.17126E-2</v>
      </c>
      <c r="AB112" s="22">
        <v>102</v>
      </c>
      <c r="AC112" s="22">
        <v>1.33514</v>
      </c>
      <c r="AD112">
        <f t="shared" si="16"/>
        <v>11.7126</v>
      </c>
      <c r="AE112">
        <f t="shared" si="17"/>
        <v>15.652250135999999</v>
      </c>
      <c r="AF112" s="9"/>
      <c r="AG112" s="22">
        <v>0.41366599999999998</v>
      </c>
      <c r="AH112" s="22">
        <v>136.68700000000001</v>
      </c>
      <c r="AI112" s="22">
        <v>-1.5817299999999999E-2</v>
      </c>
      <c r="AJ112" s="22">
        <v>102</v>
      </c>
      <c r="AK112" s="22">
        <v>0.41311599999999998</v>
      </c>
      <c r="AL112">
        <f t="shared" si="18"/>
        <v>15.817299999999999</v>
      </c>
      <c r="AM112">
        <f t="shared" si="19"/>
        <v>6.5430792217999993</v>
      </c>
      <c r="AP112" s="9"/>
      <c r="AQ112" s="22">
        <v>1.33636</v>
      </c>
      <c r="AR112" s="22">
        <v>159.33099999999999</v>
      </c>
      <c r="AS112" s="22">
        <v>-1.1798100000000001E-2</v>
      </c>
      <c r="AT112" s="22">
        <v>102</v>
      </c>
      <c r="AU112" s="22">
        <v>1.33575</v>
      </c>
      <c r="AV112">
        <f t="shared" si="20"/>
        <v>11.7981</v>
      </c>
      <c r="AW112">
        <f t="shared" si="21"/>
        <v>15.766508915999999</v>
      </c>
      <c r="AX112" s="9"/>
      <c r="AY112" s="22">
        <v>0.41366599999999998</v>
      </c>
      <c r="AZ112" s="22">
        <v>182.19200000000001</v>
      </c>
      <c r="BA112" s="22">
        <v>-1.5823400000000001E-2</v>
      </c>
      <c r="BB112" s="22">
        <v>102</v>
      </c>
      <c r="BC112" s="22">
        <v>0.41308600000000001</v>
      </c>
      <c r="BD112">
        <f t="shared" si="22"/>
        <v>15.823400000000001</v>
      </c>
      <c r="BE112">
        <f t="shared" si="23"/>
        <v>6.5456025844000001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50.279499999999999</v>
      </c>
      <c r="I113" s="22">
        <v>-1.1416600000000001E-2</v>
      </c>
      <c r="J113" s="22">
        <v>103</v>
      </c>
      <c r="K113" s="22">
        <v>1.33118</v>
      </c>
      <c r="L113">
        <f t="shared" si="12"/>
        <v>11.416600000000001</v>
      </c>
      <c r="M113">
        <f t="shared" si="13"/>
        <v>15.199262078</v>
      </c>
      <c r="N113" s="9"/>
      <c r="O113" s="22">
        <v>0.41870099999999999</v>
      </c>
      <c r="P113" s="22">
        <v>68.162300000000002</v>
      </c>
      <c r="Q113" s="22">
        <v>-1.5805099999999999E-2</v>
      </c>
      <c r="R113" s="22">
        <v>103</v>
      </c>
      <c r="S113" s="22">
        <v>0.418182</v>
      </c>
      <c r="T113">
        <f t="shared" si="14"/>
        <v>15.805099999999999</v>
      </c>
      <c r="U113">
        <f t="shared" si="15"/>
        <v>6.6176111750999995</v>
      </c>
      <c r="X113" s="9"/>
      <c r="Y113" s="22">
        <v>1.3313299999999999</v>
      </c>
      <c r="Z113" s="22">
        <v>117.72199999999999</v>
      </c>
      <c r="AA113" s="22">
        <v>-1.17737E-2</v>
      </c>
      <c r="AB113" s="22">
        <v>103</v>
      </c>
      <c r="AC113" s="22">
        <v>1.33026</v>
      </c>
      <c r="AD113">
        <f t="shared" si="16"/>
        <v>11.7737</v>
      </c>
      <c r="AE113">
        <f t="shared" si="17"/>
        <v>15.674680020999999</v>
      </c>
      <c r="AF113" s="9"/>
      <c r="AG113" s="22">
        <v>0.41870099999999999</v>
      </c>
      <c r="AH113" s="22">
        <v>136.697</v>
      </c>
      <c r="AI113" s="22">
        <v>-1.5805099999999999E-2</v>
      </c>
      <c r="AJ113" s="22">
        <v>103</v>
      </c>
      <c r="AK113" s="22">
        <v>0.41803000000000001</v>
      </c>
      <c r="AL113">
        <f t="shared" si="18"/>
        <v>15.805099999999999</v>
      </c>
      <c r="AM113">
        <f t="shared" si="19"/>
        <v>6.6176111750999995</v>
      </c>
      <c r="AP113" s="9"/>
      <c r="AQ113" s="22">
        <v>1.3313299999999999</v>
      </c>
      <c r="AR113" s="22">
        <v>159.34100000000001</v>
      </c>
      <c r="AS113" s="22">
        <v>-1.1853000000000001E-2</v>
      </c>
      <c r="AT113" s="22">
        <v>103</v>
      </c>
      <c r="AU113" s="22">
        <v>1.33057</v>
      </c>
      <c r="AV113">
        <f t="shared" si="20"/>
        <v>11.853000000000002</v>
      </c>
      <c r="AW113">
        <f t="shared" si="21"/>
        <v>15.780254490000001</v>
      </c>
      <c r="AX113" s="9"/>
      <c r="AY113" s="22">
        <v>0.41870099999999999</v>
      </c>
      <c r="AZ113" s="22">
        <v>182.202</v>
      </c>
      <c r="BA113" s="22">
        <v>-1.5811200000000001E-2</v>
      </c>
      <c r="BB113" s="22">
        <v>103</v>
      </c>
      <c r="BC113" s="22">
        <v>0.41805999999999999</v>
      </c>
      <c r="BD113">
        <f t="shared" si="22"/>
        <v>15.811200000000001</v>
      </c>
      <c r="BE113">
        <f t="shared" si="23"/>
        <v>6.6201652512000004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50.289499999999997</v>
      </c>
      <c r="I114" s="22">
        <v>-1.1483800000000001E-2</v>
      </c>
      <c r="J114" s="22">
        <v>104</v>
      </c>
      <c r="K114" s="22">
        <v>1.32568</v>
      </c>
      <c r="L114">
        <f t="shared" si="12"/>
        <v>11.4838</v>
      </c>
      <c r="M114">
        <f t="shared" si="13"/>
        <v>15.230849102000001</v>
      </c>
      <c r="N114" s="9"/>
      <c r="O114" s="22">
        <v>0.42373699999999997</v>
      </c>
      <c r="P114" s="22">
        <v>68.172399999999996</v>
      </c>
      <c r="Q114" s="22">
        <v>-1.5792799999999999E-2</v>
      </c>
      <c r="R114" s="22">
        <v>104</v>
      </c>
      <c r="S114" s="22">
        <v>0.42315700000000001</v>
      </c>
      <c r="T114">
        <f t="shared" si="14"/>
        <v>15.7928</v>
      </c>
      <c r="U114">
        <f t="shared" si="15"/>
        <v>6.6919936935999997</v>
      </c>
      <c r="X114" s="9"/>
      <c r="Y114" s="22">
        <v>1.32629</v>
      </c>
      <c r="Z114" s="22">
        <v>117.732</v>
      </c>
      <c r="AA114" s="22">
        <v>-1.18286E-2</v>
      </c>
      <c r="AB114" s="22">
        <v>104</v>
      </c>
      <c r="AC114" s="22">
        <v>1.32568</v>
      </c>
      <c r="AD114">
        <f t="shared" si="16"/>
        <v>11.8286</v>
      </c>
      <c r="AE114">
        <f t="shared" si="17"/>
        <v>15.688153893999999</v>
      </c>
      <c r="AF114" s="9"/>
      <c r="AG114" s="22">
        <v>0.42373699999999997</v>
      </c>
      <c r="AH114" s="22">
        <v>136.70699999999999</v>
      </c>
      <c r="AI114" s="22">
        <v>-1.5802E-2</v>
      </c>
      <c r="AJ114" s="22">
        <v>104</v>
      </c>
      <c r="AK114" s="22">
        <v>0.42315700000000001</v>
      </c>
      <c r="AL114">
        <f t="shared" si="18"/>
        <v>15.802</v>
      </c>
      <c r="AM114">
        <f t="shared" si="19"/>
        <v>6.6958920739999996</v>
      </c>
      <c r="AP114" s="9"/>
      <c r="AQ114" s="22">
        <v>1.32629</v>
      </c>
      <c r="AR114" s="22">
        <v>159.352</v>
      </c>
      <c r="AS114" s="22">
        <v>-1.19171E-2</v>
      </c>
      <c r="AT114" s="22">
        <v>104</v>
      </c>
      <c r="AU114" s="22">
        <v>1.32599</v>
      </c>
      <c r="AV114">
        <f t="shared" si="20"/>
        <v>11.9171</v>
      </c>
      <c r="AW114">
        <f t="shared" si="21"/>
        <v>15.805530558999999</v>
      </c>
      <c r="AX114" s="9"/>
      <c r="AY114" s="22">
        <v>0.42373699999999997</v>
      </c>
      <c r="AZ114" s="22">
        <v>182.21299999999999</v>
      </c>
      <c r="BA114" s="22">
        <v>-1.5792799999999999E-2</v>
      </c>
      <c r="BB114" s="22">
        <v>104</v>
      </c>
      <c r="BC114" s="22">
        <v>0.42309600000000003</v>
      </c>
      <c r="BD114">
        <f t="shared" si="22"/>
        <v>15.7928</v>
      </c>
      <c r="BE114">
        <f t="shared" si="23"/>
        <v>6.6919936935999997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50.299599999999998</v>
      </c>
      <c r="I115" s="22">
        <v>-1.15479E-2</v>
      </c>
      <c r="J115" s="22">
        <v>105</v>
      </c>
      <c r="K115" s="22">
        <v>1.32019</v>
      </c>
      <c r="L115">
        <f t="shared" si="12"/>
        <v>11.5479</v>
      </c>
      <c r="M115">
        <f t="shared" si="13"/>
        <v>15.257778354000001</v>
      </c>
      <c r="N115" s="9"/>
      <c r="O115" s="22">
        <v>0.42877199999999999</v>
      </c>
      <c r="P115" s="22">
        <v>68.182400000000001</v>
      </c>
      <c r="Q115" s="22">
        <v>-1.5780599999999999E-2</v>
      </c>
      <c r="R115" s="22">
        <v>105</v>
      </c>
      <c r="S115" s="22">
        <v>0.42819200000000002</v>
      </c>
      <c r="T115">
        <f t="shared" si="14"/>
        <v>15.780599999999998</v>
      </c>
      <c r="U115">
        <f t="shared" si="15"/>
        <v>6.7662794231999985</v>
      </c>
      <c r="X115" s="9"/>
      <c r="Y115" s="22">
        <v>1.3212600000000001</v>
      </c>
      <c r="Z115" s="22">
        <v>117.742</v>
      </c>
      <c r="AA115" s="22">
        <v>-1.1886600000000001E-2</v>
      </c>
      <c r="AB115" s="22">
        <v>105</v>
      </c>
      <c r="AC115" s="22">
        <v>1.3205</v>
      </c>
      <c r="AD115">
        <f t="shared" si="16"/>
        <v>11.886600000000001</v>
      </c>
      <c r="AE115">
        <f t="shared" si="17"/>
        <v>15.705289116000003</v>
      </c>
      <c r="AF115" s="9"/>
      <c r="AG115" s="22">
        <v>0.42877199999999999</v>
      </c>
      <c r="AH115" s="22">
        <v>136.71700000000001</v>
      </c>
      <c r="AI115" s="22">
        <v>-1.5799000000000001E-2</v>
      </c>
      <c r="AJ115" s="22">
        <v>105</v>
      </c>
      <c r="AK115" s="22">
        <v>0.428284</v>
      </c>
      <c r="AL115">
        <f t="shared" si="18"/>
        <v>15.799000000000001</v>
      </c>
      <c r="AM115">
        <f t="shared" si="19"/>
        <v>6.7741688280000005</v>
      </c>
      <c r="AP115" s="9"/>
      <c r="AQ115" s="22">
        <v>1.3212600000000001</v>
      </c>
      <c r="AR115" s="22">
        <v>159.36199999999999</v>
      </c>
      <c r="AS115" s="22">
        <v>-1.1972E-2</v>
      </c>
      <c r="AT115" s="22">
        <v>105</v>
      </c>
      <c r="AU115" s="22">
        <v>1.32019</v>
      </c>
      <c r="AV115">
        <f t="shared" si="20"/>
        <v>11.972</v>
      </c>
      <c r="AW115">
        <f t="shared" si="21"/>
        <v>15.81812472</v>
      </c>
      <c r="AX115" s="9"/>
      <c r="AY115" s="22">
        <v>0.42877199999999999</v>
      </c>
      <c r="AZ115" s="22">
        <v>182.22300000000001</v>
      </c>
      <c r="BA115" s="22">
        <v>-1.5783700000000001E-2</v>
      </c>
      <c r="BB115" s="22">
        <v>105</v>
      </c>
      <c r="BC115" s="22">
        <v>0.42819200000000002</v>
      </c>
      <c r="BD115">
        <f t="shared" si="22"/>
        <v>15.783700000000001</v>
      </c>
      <c r="BE115">
        <f t="shared" si="23"/>
        <v>6.7676086164000004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50.309699999999999</v>
      </c>
      <c r="I116" s="22">
        <v>-1.1615E-2</v>
      </c>
      <c r="J116" s="22">
        <v>106</v>
      </c>
      <c r="K116" s="22">
        <v>1.3149999999999999</v>
      </c>
      <c r="L116">
        <f t="shared" si="12"/>
        <v>11.615</v>
      </c>
      <c r="M116">
        <f t="shared" si="13"/>
        <v>15.287895299999999</v>
      </c>
      <c r="N116" s="9"/>
      <c r="O116" s="22">
        <v>0.433807</v>
      </c>
      <c r="P116" s="22">
        <v>68.192499999999995</v>
      </c>
      <c r="Q116" s="22">
        <v>-1.5768399999999998E-2</v>
      </c>
      <c r="R116" s="22">
        <v>106</v>
      </c>
      <c r="S116" s="22">
        <v>0.43331900000000001</v>
      </c>
      <c r="T116">
        <f t="shared" si="14"/>
        <v>15.768399999999998</v>
      </c>
      <c r="U116">
        <f t="shared" si="15"/>
        <v>6.8404422987999993</v>
      </c>
      <c r="X116" s="9"/>
      <c r="Y116" s="22">
        <v>1.3162199999999999</v>
      </c>
      <c r="Z116" s="22">
        <v>117.752</v>
      </c>
      <c r="AA116" s="22">
        <v>-1.19446E-2</v>
      </c>
      <c r="AB116" s="22">
        <v>106</v>
      </c>
      <c r="AC116" s="22">
        <v>1.31592</v>
      </c>
      <c r="AD116">
        <f t="shared" si="16"/>
        <v>11.944599999999999</v>
      </c>
      <c r="AE116">
        <f t="shared" si="17"/>
        <v>15.721721411999999</v>
      </c>
      <c r="AF116" s="9"/>
      <c r="AG116" s="22">
        <v>0.433807</v>
      </c>
      <c r="AH116" s="22">
        <v>136.727</v>
      </c>
      <c r="AI116" s="22">
        <v>-1.57898E-2</v>
      </c>
      <c r="AJ116" s="22">
        <v>106</v>
      </c>
      <c r="AK116" s="22">
        <v>0.43316700000000002</v>
      </c>
      <c r="AL116">
        <f t="shared" si="18"/>
        <v>15.7898</v>
      </c>
      <c r="AM116">
        <f t="shared" si="19"/>
        <v>6.8497257685999999</v>
      </c>
      <c r="AP116" s="9"/>
      <c r="AQ116" s="22">
        <v>1.3162199999999999</v>
      </c>
      <c r="AR116" s="22">
        <v>159.37200000000001</v>
      </c>
      <c r="AS116" s="22">
        <v>-1.2026999999999999E-2</v>
      </c>
      <c r="AT116" s="22">
        <v>106</v>
      </c>
      <c r="AU116" s="22">
        <v>1.3156099999999999</v>
      </c>
      <c r="AV116">
        <f t="shared" si="20"/>
        <v>12.026999999999999</v>
      </c>
      <c r="AW116">
        <f t="shared" si="21"/>
        <v>15.830177939999999</v>
      </c>
      <c r="AX116" s="9"/>
      <c r="AY116" s="22">
        <v>0.433807</v>
      </c>
      <c r="AZ116" s="22">
        <v>182.233</v>
      </c>
      <c r="BA116" s="22">
        <v>-1.5765399999999999E-2</v>
      </c>
      <c r="BB116" s="22">
        <v>106</v>
      </c>
      <c r="BC116" s="22">
        <v>0.43331900000000001</v>
      </c>
      <c r="BD116">
        <f t="shared" si="22"/>
        <v>15.7654</v>
      </c>
      <c r="BE116">
        <f t="shared" si="23"/>
        <v>6.8391408778000002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50.319699999999997</v>
      </c>
      <c r="I117" s="22">
        <v>-1.1682100000000001E-2</v>
      </c>
      <c r="J117" s="22">
        <v>107</v>
      </c>
      <c r="K117" s="22">
        <v>1.31012</v>
      </c>
      <c r="L117">
        <f t="shared" si="12"/>
        <v>11.6821</v>
      </c>
      <c r="M117">
        <f t="shared" si="13"/>
        <v>15.317452699</v>
      </c>
      <c r="N117" s="9"/>
      <c r="O117" s="22">
        <v>0.43884299999999998</v>
      </c>
      <c r="P117" s="22">
        <v>68.202600000000004</v>
      </c>
      <c r="Q117" s="22">
        <v>-1.5756200000000001E-2</v>
      </c>
      <c r="R117" s="22">
        <v>107</v>
      </c>
      <c r="S117" s="22">
        <v>0.43826300000000001</v>
      </c>
      <c r="T117">
        <f t="shared" si="14"/>
        <v>15.756200000000002</v>
      </c>
      <c r="U117">
        <f t="shared" si="15"/>
        <v>6.9144980766000002</v>
      </c>
      <c r="X117" s="9"/>
      <c r="Y117" s="22">
        <v>1.3111900000000001</v>
      </c>
      <c r="Z117" s="22">
        <v>117.762</v>
      </c>
      <c r="AA117" s="22">
        <v>-1.2008700000000001E-2</v>
      </c>
      <c r="AB117" s="22">
        <v>107</v>
      </c>
      <c r="AC117" s="22">
        <v>1.31012</v>
      </c>
      <c r="AD117">
        <f t="shared" si="16"/>
        <v>12.008700000000001</v>
      </c>
      <c r="AE117">
        <f t="shared" si="17"/>
        <v>15.745687353000003</v>
      </c>
      <c r="AF117" s="9"/>
      <c r="AG117" s="22">
        <v>0.43884299999999998</v>
      </c>
      <c r="AH117" s="22">
        <v>136.73699999999999</v>
      </c>
      <c r="AI117" s="22">
        <v>-1.5780599999999999E-2</v>
      </c>
      <c r="AJ117" s="22">
        <v>107</v>
      </c>
      <c r="AK117" s="22">
        <v>0.43820199999999998</v>
      </c>
      <c r="AL117">
        <f t="shared" si="18"/>
        <v>15.780599999999998</v>
      </c>
      <c r="AM117">
        <f t="shared" si="19"/>
        <v>6.925205845799999</v>
      </c>
      <c r="AP117" s="9"/>
      <c r="AQ117" s="22">
        <v>1.3111900000000001</v>
      </c>
      <c r="AR117" s="22">
        <v>159.38200000000001</v>
      </c>
      <c r="AS117" s="22">
        <v>-1.2088E-2</v>
      </c>
      <c r="AT117" s="22">
        <v>107</v>
      </c>
      <c r="AU117" s="22">
        <v>1.31104</v>
      </c>
      <c r="AV117">
        <f t="shared" si="20"/>
        <v>12.087999999999999</v>
      </c>
      <c r="AW117">
        <f t="shared" si="21"/>
        <v>15.84966472</v>
      </c>
      <c r="AX117" s="9"/>
      <c r="AY117" s="22">
        <v>0.43884299999999998</v>
      </c>
      <c r="AZ117" s="22">
        <v>182.24299999999999</v>
      </c>
      <c r="BA117" s="22">
        <v>-1.57501E-2</v>
      </c>
      <c r="BB117" s="22">
        <v>107</v>
      </c>
      <c r="BC117" s="22">
        <v>0.43826300000000001</v>
      </c>
      <c r="BD117">
        <f t="shared" si="22"/>
        <v>15.7501</v>
      </c>
      <c r="BE117">
        <f t="shared" si="23"/>
        <v>6.9118211342999993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50.329799999999999</v>
      </c>
      <c r="I118" s="22">
        <v>-1.17401E-2</v>
      </c>
      <c r="J118" s="22">
        <v>108</v>
      </c>
      <c r="K118" s="22">
        <v>1.3049299999999999</v>
      </c>
      <c r="L118">
        <f t="shared" si="12"/>
        <v>11.7401</v>
      </c>
      <c r="M118">
        <f t="shared" si="13"/>
        <v>15.334331614999998</v>
      </c>
      <c r="N118" s="9"/>
      <c r="O118" s="22">
        <v>0.44387799999999999</v>
      </c>
      <c r="P118" s="22">
        <v>68.212599999999995</v>
      </c>
      <c r="Q118" s="22">
        <v>-1.5744000000000001E-2</v>
      </c>
      <c r="R118" s="22">
        <v>108</v>
      </c>
      <c r="S118" s="22">
        <v>0.44332899999999997</v>
      </c>
      <c r="T118">
        <f t="shared" si="14"/>
        <v>15.744000000000002</v>
      </c>
      <c r="U118">
        <f t="shared" si="15"/>
        <v>6.9884152320000004</v>
      </c>
      <c r="X118" s="9"/>
      <c r="Y118" s="22">
        <v>1.3061499999999999</v>
      </c>
      <c r="Z118" s="22">
        <v>117.77200000000001</v>
      </c>
      <c r="AA118" s="22">
        <v>-1.2075799999999999E-2</v>
      </c>
      <c r="AB118" s="22">
        <v>108</v>
      </c>
      <c r="AC118" s="22">
        <v>1.30524</v>
      </c>
      <c r="AD118">
        <f t="shared" si="16"/>
        <v>12.075799999999999</v>
      </c>
      <c r="AE118">
        <f t="shared" si="17"/>
        <v>15.772806169999997</v>
      </c>
      <c r="AF118" s="9"/>
      <c r="AG118" s="22">
        <v>0.44387799999999999</v>
      </c>
      <c r="AH118" s="22">
        <v>136.74700000000001</v>
      </c>
      <c r="AI118" s="22">
        <v>-1.57745E-2</v>
      </c>
      <c r="AJ118" s="22">
        <v>108</v>
      </c>
      <c r="AK118" s="22">
        <v>0.44329800000000003</v>
      </c>
      <c r="AL118">
        <f t="shared" si="18"/>
        <v>15.7745</v>
      </c>
      <c r="AM118">
        <f t="shared" si="19"/>
        <v>7.001953511</v>
      </c>
      <c r="AP118" s="9"/>
      <c r="AQ118" s="22">
        <v>1.3061499999999999</v>
      </c>
      <c r="AR118" s="22">
        <v>159.392</v>
      </c>
      <c r="AS118" s="22">
        <v>-1.2146000000000001E-2</v>
      </c>
      <c r="AT118" s="22">
        <v>108</v>
      </c>
      <c r="AU118" s="22">
        <v>1.3055399999999999</v>
      </c>
      <c r="AV118">
        <f t="shared" si="20"/>
        <v>12.146000000000001</v>
      </c>
      <c r="AW118">
        <f t="shared" si="21"/>
        <v>15.8644979</v>
      </c>
      <c r="AX118" s="9"/>
      <c r="AY118" s="22">
        <v>0.44387799999999999</v>
      </c>
      <c r="AZ118" s="22">
        <v>182.25299999999999</v>
      </c>
      <c r="BA118" s="22">
        <v>-1.5737899999999999E-2</v>
      </c>
      <c r="BB118" s="22">
        <v>108</v>
      </c>
      <c r="BC118" s="22">
        <v>0.44332899999999997</v>
      </c>
      <c r="BD118">
        <f t="shared" si="22"/>
        <v>15.7379</v>
      </c>
      <c r="BE118">
        <f t="shared" si="23"/>
        <v>6.9857075761999994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50.3399</v>
      </c>
      <c r="I119" s="22">
        <v>-1.1804200000000001E-2</v>
      </c>
      <c r="J119" s="22">
        <v>109</v>
      </c>
      <c r="K119" s="22">
        <v>1.3000499999999999</v>
      </c>
      <c r="L119">
        <f t="shared" si="12"/>
        <v>11.804200000000002</v>
      </c>
      <c r="M119">
        <f t="shared" si="13"/>
        <v>15.358680704000003</v>
      </c>
      <c r="N119" s="9"/>
      <c r="O119" s="22">
        <v>0.44891399999999998</v>
      </c>
      <c r="P119" s="22">
        <v>68.222700000000003</v>
      </c>
      <c r="Q119" s="22">
        <v>-1.5731800000000001E-2</v>
      </c>
      <c r="R119" s="22">
        <v>109</v>
      </c>
      <c r="S119" s="22">
        <v>0.44830300000000001</v>
      </c>
      <c r="T119">
        <f t="shared" si="14"/>
        <v>15.7318</v>
      </c>
      <c r="U119">
        <f t="shared" si="15"/>
        <v>7.0622252651999995</v>
      </c>
      <c r="X119" s="9"/>
      <c r="Y119" s="22">
        <v>1.3011200000000001</v>
      </c>
      <c r="Z119" s="22">
        <v>117.782</v>
      </c>
      <c r="AA119" s="22">
        <v>-1.21368E-2</v>
      </c>
      <c r="AB119" s="22">
        <v>109</v>
      </c>
      <c r="AC119" s="22">
        <v>1.3009599999999999</v>
      </c>
      <c r="AD119">
        <f t="shared" si="16"/>
        <v>12.136799999999999</v>
      </c>
      <c r="AE119">
        <f t="shared" si="17"/>
        <v>15.791433216</v>
      </c>
      <c r="AF119" s="9"/>
      <c r="AG119" s="22">
        <v>0.44891399999999998</v>
      </c>
      <c r="AH119" s="22">
        <v>136.75700000000001</v>
      </c>
      <c r="AI119" s="22">
        <v>-1.5768399999999998E-2</v>
      </c>
      <c r="AJ119" s="22">
        <v>109</v>
      </c>
      <c r="AK119" s="22">
        <v>0.44833400000000001</v>
      </c>
      <c r="AL119">
        <f t="shared" si="18"/>
        <v>15.768399999999998</v>
      </c>
      <c r="AM119">
        <f t="shared" si="19"/>
        <v>7.0786555175999988</v>
      </c>
      <c r="AP119" s="9"/>
      <c r="AQ119" s="22">
        <v>1.3011200000000001</v>
      </c>
      <c r="AR119" s="22">
        <v>159.40199999999999</v>
      </c>
      <c r="AS119" s="22">
        <v>-1.2200900000000001E-2</v>
      </c>
      <c r="AT119" s="22">
        <v>109</v>
      </c>
      <c r="AU119" s="22">
        <v>1.3006599999999999</v>
      </c>
      <c r="AV119">
        <f t="shared" si="20"/>
        <v>12.200900000000001</v>
      </c>
      <c r="AW119">
        <f t="shared" si="21"/>
        <v>15.874835008000002</v>
      </c>
      <c r="AX119" s="9"/>
      <c r="AY119" s="22">
        <v>0.44891399999999998</v>
      </c>
      <c r="AZ119" s="22">
        <v>182.26300000000001</v>
      </c>
      <c r="BA119" s="22">
        <v>-1.5725699999999999E-2</v>
      </c>
      <c r="BB119" s="22">
        <v>109</v>
      </c>
      <c r="BC119" s="22">
        <v>0.448212</v>
      </c>
      <c r="BD119">
        <f t="shared" si="22"/>
        <v>15.725699999999998</v>
      </c>
      <c r="BE119">
        <f t="shared" si="23"/>
        <v>7.0594868897999987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50.349899999999998</v>
      </c>
      <c r="I120" s="22">
        <v>-1.18683E-2</v>
      </c>
      <c r="J120" s="22">
        <v>110</v>
      </c>
      <c r="K120" s="22">
        <v>1.2954699999999999</v>
      </c>
      <c r="L120">
        <f t="shared" si="12"/>
        <v>11.8683</v>
      </c>
      <c r="M120">
        <f t="shared" si="13"/>
        <v>15.382266263999998</v>
      </c>
      <c r="N120" s="9"/>
      <c r="O120" s="22">
        <v>0.45394899999999999</v>
      </c>
      <c r="P120" s="22">
        <v>68.232799999999997</v>
      </c>
      <c r="Q120" s="22">
        <v>-1.5722699999999999E-2</v>
      </c>
      <c r="R120" s="22">
        <v>110</v>
      </c>
      <c r="S120" s="22">
        <v>0.45336900000000002</v>
      </c>
      <c r="T120">
        <f t="shared" si="14"/>
        <v>15.7227</v>
      </c>
      <c r="U120">
        <f t="shared" si="15"/>
        <v>7.1373039423</v>
      </c>
      <c r="X120" s="9"/>
      <c r="Y120" s="22">
        <v>1.2960799999999999</v>
      </c>
      <c r="Z120" s="22">
        <v>117.792</v>
      </c>
      <c r="AA120" s="22">
        <v>-1.21948E-2</v>
      </c>
      <c r="AB120" s="22">
        <v>110</v>
      </c>
      <c r="AC120" s="22">
        <v>1.2951699999999999</v>
      </c>
      <c r="AD120">
        <f t="shared" si="16"/>
        <v>12.194800000000001</v>
      </c>
      <c r="AE120">
        <f t="shared" si="17"/>
        <v>15.805436384</v>
      </c>
      <c r="AF120" s="9"/>
      <c r="AG120" s="22">
        <v>0.45394899999999999</v>
      </c>
      <c r="AH120" s="22">
        <v>136.767</v>
      </c>
      <c r="AI120" s="22">
        <v>-1.5744000000000001E-2</v>
      </c>
      <c r="AJ120" s="22">
        <v>110</v>
      </c>
      <c r="AK120" s="22">
        <v>0.45336900000000002</v>
      </c>
      <c r="AL120">
        <f t="shared" si="18"/>
        <v>15.744000000000002</v>
      </c>
      <c r="AM120">
        <f t="shared" si="19"/>
        <v>7.1469730560000002</v>
      </c>
      <c r="AP120" s="9"/>
      <c r="AQ120" s="22">
        <v>1.2960799999999999</v>
      </c>
      <c r="AR120" s="22">
        <v>159.41200000000001</v>
      </c>
      <c r="AS120" s="22">
        <v>-1.22559E-2</v>
      </c>
      <c r="AT120" s="22">
        <v>110</v>
      </c>
      <c r="AU120" s="22">
        <v>1.2951699999999999</v>
      </c>
      <c r="AV120">
        <f t="shared" si="20"/>
        <v>12.2559</v>
      </c>
      <c r="AW120">
        <f t="shared" si="21"/>
        <v>15.884626872</v>
      </c>
      <c r="AX120" s="9"/>
      <c r="AY120" s="22">
        <v>0.45394899999999999</v>
      </c>
      <c r="AZ120" s="22">
        <v>182.273</v>
      </c>
      <c r="BA120" s="22">
        <v>-1.5704300000000001E-2</v>
      </c>
      <c r="BB120" s="22">
        <v>110</v>
      </c>
      <c r="BC120" s="22">
        <v>0.45343</v>
      </c>
      <c r="BD120">
        <f t="shared" si="22"/>
        <v>15.704300000000002</v>
      </c>
      <c r="BE120">
        <f t="shared" si="23"/>
        <v>7.1289512807000008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50.36</v>
      </c>
      <c r="I121" s="22">
        <v>-1.1926300000000001E-2</v>
      </c>
      <c r="J121" s="22">
        <v>111</v>
      </c>
      <c r="K121" s="22">
        <v>1.2902800000000001</v>
      </c>
      <c r="L121">
        <f t="shared" si="12"/>
        <v>11.926300000000001</v>
      </c>
      <c r="M121">
        <f t="shared" si="13"/>
        <v>15.397449615000001</v>
      </c>
      <c r="N121" s="9"/>
      <c r="O121" s="22">
        <v>0.458984</v>
      </c>
      <c r="P121" s="22">
        <v>68.242900000000006</v>
      </c>
      <c r="Q121" s="22">
        <v>-1.5713499999999998E-2</v>
      </c>
      <c r="R121" s="22">
        <v>111</v>
      </c>
      <c r="S121" s="22">
        <v>0.45840500000000001</v>
      </c>
      <c r="T121">
        <f t="shared" si="14"/>
        <v>15.713499999999998</v>
      </c>
      <c r="U121">
        <f t="shared" si="15"/>
        <v>7.2122450839999992</v>
      </c>
      <c r="X121" s="9"/>
      <c r="Y121" s="22">
        <v>1.29105</v>
      </c>
      <c r="Z121" s="22">
        <v>117.80200000000001</v>
      </c>
      <c r="AA121" s="22">
        <v>-1.22498E-2</v>
      </c>
      <c r="AB121" s="22">
        <v>111</v>
      </c>
      <c r="AC121" s="22">
        <v>1.2905899999999999</v>
      </c>
      <c r="AD121">
        <f t="shared" si="16"/>
        <v>12.2498</v>
      </c>
      <c r="AE121">
        <f t="shared" si="17"/>
        <v>15.815104290000001</v>
      </c>
      <c r="AF121" s="9"/>
      <c r="AG121" s="22">
        <v>0.458984</v>
      </c>
      <c r="AH121" s="22">
        <v>136.77699999999999</v>
      </c>
      <c r="AI121" s="22">
        <v>-1.57349E-2</v>
      </c>
      <c r="AJ121" s="22">
        <v>111</v>
      </c>
      <c r="AK121" s="22">
        <v>0.45846599999999998</v>
      </c>
      <c r="AL121">
        <f t="shared" si="18"/>
        <v>15.7349</v>
      </c>
      <c r="AM121">
        <f t="shared" si="19"/>
        <v>7.2220673415999999</v>
      </c>
      <c r="AP121" s="9"/>
      <c r="AQ121" s="22">
        <v>1.29105</v>
      </c>
      <c r="AR121" s="22">
        <v>159.422</v>
      </c>
      <c r="AS121" s="22">
        <v>-1.23138E-2</v>
      </c>
      <c r="AT121" s="22">
        <v>111</v>
      </c>
      <c r="AU121" s="22">
        <v>1.2905899999999999</v>
      </c>
      <c r="AV121">
        <f t="shared" si="20"/>
        <v>12.313800000000001</v>
      </c>
      <c r="AW121">
        <f t="shared" si="21"/>
        <v>15.897731490000002</v>
      </c>
      <c r="AX121" s="9"/>
      <c r="AY121" s="22">
        <v>0.458984</v>
      </c>
      <c r="AZ121" s="22">
        <v>182.28299999999999</v>
      </c>
      <c r="BA121" s="22">
        <v>-1.5685999999999999E-2</v>
      </c>
      <c r="BB121" s="22">
        <v>111</v>
      </c>
      <c r="BC121" s="22">
        <v>0.458374</v>
      </c>
      <c r="BD121">
        <f t="shared" si="22"/>
        <v>15.685999999999998</v>
      </c>
      <c r="BE121">
        <f t="shared" si="23"/>
        <v>7.1996230239999992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50.370100000000001</v>
      </c>
      <c r="I122" s="22">
        <v>-1.1981199999999999E-2</v>
      </c>
      <c r="J122" s="22">
        <v>112</v>
      </c>
      <c r="K122" s="22">
        <v>1.2841800000000001</v>
      </c>
      <c r="L122">
        <f t="shared" si="12"/>
        <v>11.981199999999999</v>
      </c>
      <c r="M122">
        <f t="shared" si="13"/>
        <v>15.407943012</v>
      </c>
      <c r="N122" s="9"/>
      <c r="O122" s="22">
        <v>0.46401999999999999</v>
      </c>
      <c r="P122" s="22">
        <v>68.252899999999997</v>
      </c>
      <c r="Q122" s="22">
        <v>-1.5710399999999999E-2</v>
      </c>
      <c r="R122" s="22">
        <v>112</v>
      </c>
      <c r="S122" s="22">
        <v>0.46340900000000002</v>
      </c>
      <c r="T122">
        <f t="shared" si="14"/>
        <v>15.7104</v>
      </c>
      <c r="U122">
        <f t="shared" si="15"/>
        <v>7.2899398079999997</v>
      </c>
      <c r="X122" s="9"/>
      <c r="Y122" s="22">
        <v>1.2860100000000001</v>
      </c>
      <c r="Z122" s="22">
        <v>117.812</v>
      </c>
      <c r="AA122" s="22">
        <v>-1.23047E-2</v>
      </c>
      <c r="AB122" s="22">
        <v>112</v>
      </c>
      <c r="AC122" s="22">
        <v>1.2854000000000001</v>
      </c>
      <c r="AD122">
        <f t="shared" si="16"/>
        <v>12.3047</v>
      </c>
      <c r="AE122">
        <f t="shared" si="17"/>
        <v>15.823967247000002</v>
      </c>
      <c r="AF122" s="9"/>
      <c r="AG122" s="22">
        <v>0.46401999999999999</v>
      </c>
      <c r="AH122" s="22">
        <v>136.78700000000001</v>
      </c>
      <c r="AI122" s="22">
        <v>-1.5731800000000001E-2</v>
      </c>
      <c r="AJ122" s="22">
        <v>112</v>
      </c>
      <c r="AK122" s="22">
        <v>0.46346999999999999</v>
      </c>
      <c r="AL122">
        <f t="shared" si="18"/>
        <v>15.7318</v>
      </c>
      <c r="AM122">
        <f t="shared" si="19"/>
        <v>7.2998698360000001</v>
      </c>
      <c r="AP122" s="9"/>
      <c r="AQ122" s="22">
        <v>1.2860100000000001</v>
      </c>
      <c r="AR122" s="22">
        <v>159.43199999999999</v>
      </c>
      <c r="AS122" s="22">
        <v>-1.2368799999999999E-2</v>
      </c>
      <c r="AT122" s="22">
        <v>112</v>
      </c>
      <c r="AU122" s="22">
        <v>1.2850999999999999</v>
      </c>
      <c r="AV122">
        <f t="shared" si="20"/>
        <v>12.368799999999998</v>
      </c>
      <c r="AW122">
        <f t="shared" si="21"/>
        <v>15.906400487999999</v>
      </c>
      <c r="AX122" s="9"/>
      <c r="AY122" s="22">
        <v>0.46401999999999999</v>
      </c>
      <c r="AZ122" s="22">
        <v>182.29300000000001</v>
      </c>
      <c r="BA122" s="22">
        <v>-1.5673800000000002E-2</v>
      </c>
      <c r="BB122" s="22">
        <v>112</v>
      </c>
      <c r="BC122" s="22">
        <v>0.46344000000000002</v>
      </c>
      <c r="BD122">
        <f t="shared" si="22"/>
        <v>15.673800000000002</v>
      </c>
      <c r="BE122">
        <f t="shared" si="23"/>
        <v>7.2729566760000006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50.380200000000002</v>
      </c>
      <c r="I123" s="22">
        <v>-1.2030000000000001E-2</v>
      </c>
      <c r="J123" s="22">
        <v>113</v>
      </c>
      <c r="K123" s="22">
        <v>1.2805200000000001</v>
      </c>
      <c r="L123">
        <f t="shared" si="12"/>
        <v>12.030000000000001</v>
      </c>
      <c r="M123">
        <f t="shared" si="13"/>
        <v>15.410189400000002</v>
      </c>
      <c r="N123" s="9"/>
      <c r="O123" s="22">
        <v>0.469055</v>
      </c>
      <c r="P123" s="22">
        <v>68.263000000000005</v>
      </c>
      <c r="Q123" s="22">
        <v>-1.5695199999999999E-2</v>
      </c>
      <c r="R123" s="22">
        <v>113</v>
      </c>
      <c r="S123" s="22">
        <v>0.468445</v>
      </c>
      <c r="T123">
        <f t="shared" si="14"/>
        <v>15.6952</v>
      </c>
      <c r="U123">
        <f t="shared" si="15"/>
        <v>7.3619120359999997</v>
      </c>
      <c r="X123" s="9"/>
      <c r="Y123" s="22">
        <v>1.28098</v>
      </c>
      <c r="Z123" s="22">
        <v>117.822</v>
      </c>
      <c r="AA123" s="22">
        <v>-1.2362700000000001E-2</v>
      </c>
      <c r="AB123" s="22">
        <v>113</v>
      </c>
      <c r="AC123" s="22">
        <v>1.2799100000000001</v>
      </c>
      <c r="AD123">
        <f t="shared" si="16"/>
        <v>12.3627</v>
      </c>
      <c r="AE123">
        <f t="shared" si="17"/>
        <v>15.836371446000001</v>
      </c>
      <c r="AF123" s="9"/>
      <c r="AG123" s="22">
        <v>0.469055</v>
      </c>
      <c r="AH123" s="22">
        <v>136.797</v>
      </c>
      <c r="AI123" s="22">
        <v>-1.5722699999999999E-2</v>
      </c>
      <c r="AJ123" s="22">
        <v>113</v>
      </c>
      <c r="AK123" s="22">
        <v>0.468445</v>
      </c>
      <c r="AL123">
        <f t="shared" si="18"/>
        <v>15.7227</v>
      </c>
      <c r="AM123">
        <f t="shared" si="19"/>
        <v>7.3748110484999998</v>
      </c>
      <c r="AP123" s="9"/>
      <c r="AQ123" s="22">
        <v>1.28098</v>
      </c>
      <c r="AR123" s="22">
        <v>159.44200000000001</v>
      </c>
      <c r="AS123" s="22">
        <v>-1.2417600000000001E-2</v>
      </c>
      <c r="AT123" s="22">
        <v>113</v>
      </c>
      <c r="AU123" s="22">
        <v>1.2802100000000001</v>
      </c>
      <c r="AV123">
        <f t="shared" si="20"/>
        <v>12.4176</v>
      </c>
      <c r="AW123">
        <f t="shared" si="21"/>
        <v>15.906697248</v>
      </c>
      <c r="AX123" s="9"/>
      <c r="AY123" s="22">
        <v>0.469055</v>
      </c>
      <c r="AZ123" s="22">
        <v>182.303</v>
      </c>
      <c r="BA123" s="22">
        <v>-1.56677E-2</v>
      </c>
      <c r="BB123" s="22">
        <v>113</v>
      </c>
      <c r="BC123" s="22">
        <v>0.468445</v>
      </c>
      <c r="BD123">
        <f t="shared" si="22"/>
        <v>15.6677</v>
      </c>
      <c r="BE123">
        <f t="shared" si="23"/>
        <v>7.3490130235000004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50.3902</v>
      </c>
      <c r="I124" s="22">
        <v>-1.2085E-2</v>
      </c>
      <c r="J124" s="22">
        <v>114</v>
      </c>
      <c r="K124" s="22">
        <v>1.27502</v>
      </c>
      <c r="L124">
        <f t="shared" si="12"/>
        <v>12.085000000000001</v>
      </c>
      <c r="M124">
        <f t="shared" si="13"/>
        <v>15.419734900000002</v>
      </c>
      <c r="N124" s="9"/>
      <c r="O124" s="22">
        <v>0.47409099999999998</v>
      </c>
      <c r="P124" s="22">
        <v>68.273099999999999</v>
      </c>
      <c r="Q124" s="22">
        <v>-1.5670799999999999E-2</v>
      </c>
      <c r="R124" s="22">
        <v>114</v>
      </c>
      <c r="S124" s="22">
        <v>0.47341899999999998</v>
      </c>
      <c r="T124">
        <f t="shared" si="14"/>
        <v>15.670799999999998</v>
      </c>
      <c r="U124">
        <f t="shared" si="15"/>
        <v>7.4293852427999987</v>
      </c>
      <c r="X124" s="9"/>
      <c r="Y124" s="22">
        <v>1.2759400000000001</v>
      </c>
      <c r="Z124" s="22">
        <v>117.83199999999999</v>
      </c>
      <c r="AA124" s="22">
        <v>-1.2411500000000001E-2</v>
      </c>
      <c r="AB124" s="22">
        <v>114</v>
      </c>
      <c r="AC124" s="22">
        <v>1.27502</v>
      </c>
      <c r="AD124">
        <f t="shared" si="16"/>
        <v>12.4115</v>
      </c>
      <c r="AE124">
        <f t="shared" si="17"/>
        <v>15.836329310000002</v>
      </c>
      <c r="AF124" s="9"/>
      <c r="AG124" s="22">
        <v>0.47409099999999998</v>
      </c>
      <c r="AH124" s="22">
        <v>136.80699999999999</v>
      </c>
      <c r="AI124" s="22">
        <v>-1.5710399999999999E-2</v>
      </c>
      <c r="AJ124" s="22">
        <v>114</v>
      </c>
      <c r="AK124" s="22">
        <v>0.47348000000000001</v>
      </c>
      <c r="AL124">
        <f t="shared" si="18"/>
        <v>15.7104</v>
      </c>
      <c r="AM124">
        <f t="shared" si="19"/>
        <v>7.4481592463999995</v>
      </c>
      <c r="AP124" s="9"/>
      <c r="AQ124" s="22">
        <v>1.2759400000000001</v>
      </c>
      <c r="AR124" s="22">
        <v>159.452</v>
      </c>
      <c r="AS124" s="22">
        <v>-1.2472499999999999E-2</v>
      </c>
      <c r="AT124" s="22">
        <v>114</v>
      </c>
      <c r="AU124" s="22">
        <v>1.27502</v>
      </c>
      <c r="AV124">
        <f t="shared" si="20"/>
        <v>12.472499999999998</v>
      </c>
      <c r="AW124">
        <f t="shared" si="21"/>
        <v>15.914161649999999</v>
      </c>
      <c r="AX124" s="9"/>
      <c r="AY124" s="22">
        <v>0.47409099999999998</v>
      </c>
      <c r="AZ124" s="22">
        <v>182.31299999999999</v>
      </c>
      <c r="BA124" s="22">
        <v>-1.5658600000000002E-2</v>
      </c>
      <c r="BB124" s="22">
        <v>114</v>
      </c>
      <c r="BC124" s="22">
        <v>0.47351100000000002</v>
      </c>
      <c r="BD124">
        <f t="shared" si="22"/>
        <v>15.658600000000002</v>
      </c>
      <c r="BE124">
        <f t="shared" si="23"/>
        <v>7.4236013326000005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50.400300000000001</v>
      </c>
      <c r="I125" s="22">
        <v>-1.21338E-2</v>
      </c>
      <c r="J125" s="22">
        <v>115</v>
      </c>
      <c r="K125" s="22">
        <v>1.2704500000000001</v>
      </c>
      <c r="L125">
        <f t="shared" si="12"/>
        <v>12.133800000000001</v>
      </c>
      <c r="M125">
        <f t="shared" si="13"/>
        <v>15.42084642</v>
      </c>
      <c r="N125" s="9"/>
      <c r="O125" s="22">
        <v>0.479126</v>
      </c>
      <c r="P125" s="22">
        <v>68.283100000000005</v>
      </c>
      <c r="Q125" s="22">
        <v>-1.5661600000000001E-2</v>
      </c>
      <c r="R125" s="22">
        <v>115</v>
      </c>
      <c r="S125" s="22">
        <v>0.47854600000000003</v>
      </c>
      <c r="T125">
        <f t="shared" si="14"/>
        <v>15.661600000000002</v>
      </c>
      <c r="U125">
        <f t="shared" si="15"/>
        <v>7.5038797616000004</v>
      </c>
      <c r="X125" s="9"/>
      <c r="Y125" s="22">
        <v>1.2708999999999999</v>
      </c>
      <c r="Z125" s="22">
        <v>117.843</v>
      </c>
      <c r="AA125" s="22">
        <v>-1.2463399999999999E-2</v>
      </c>
      <c r="AB125" s="22">
        <v>115</v>
      </c>
      <c r="AC125" s="22">
        <v>1.2704500000000001</v>
      </c>
      <c r="AD125">
        <f t="shared" si="16"/>
        <v>12.4634</v>
      </c>
      <c r="AE125">
        <f t="shared" si="17"/>
        <v>15.839735059999999</v>
      </c>
      <c r="AF125" s="9"/>
      <c r="AG125" s="22">
        <v>0.479126</v>
      </c>
      <c r="AH125" s="22">
        <v>136.81700000000001</v>
      </c>
      <c r="AI125" s="22">
        <v>-1.5695199999999999E-2</v>
      </c>
      <c r="AJ125" s="22">
        <v>115</v>
      </c>
      <c r="AK125" s="22">
        <v>0.478607</v>
      </c>
      <c r="AL125">
        <f t="shared" si="18"/>
        <v>15.6952</v>
      </c>
      <c r="AM125">
        <f t="shared" si="19"/>
        <v>7.5199783951999999</v>
      </c>
      <c r="AP125" s="9"/>
      <c r="AQ125" s="22">
        <v>1.2708999999999999</v>
      </c>
      <c r="AR125" s="22">
        <v>159.46199999999999</v>
      </c>
      <c r="AS125" s="22">
        <v>-1.25305E-2</v>
      </c>
      <c r="AT125" s="22">
        <v>115</v>
      </c>
      <c r="AU125" s="22">
        <v>1.27014</v>
      </c>
      <c r="AV125">
        <f t="shared" si="20"/>
        <v>12.5305</v>
      </c>
      <c r="AW125">
        <f t="shared" si="21"/>
        <v>15.925012449999999</v>
      </c>
      <c r="AX125" s="9"/>
      <c r="AY125" s="22">
        <v>0.479126</v>
      </c>
      <c r="AZ125" s="22">
        <v>182.32300000000001</v>
      </c>
      <c r="BA125" s="22">
        <v>-1.5649400000000001E-2</v>
      </c>
      <c r="BB125" s="22">
        <v>115</v>
      </c>
      <c r="BC125" s="22">
        <v>0.47845500000000002</v>
      </c>
      <c r="BD125">
        <f t="shared" si="22"/>
        <v>15.6494</v>
      </c>
      <c r="BE125">
        <f t="shared" si="23"/>
        <v>7.4980344244000001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50.410400000000003</v>
      </c>
      <c r="I126" s="22">
        <v>-1.21796E-2</v>
      </c>
      <c r="J126" s="22">
        <v>116</v>
      </c>
      <c r="K126" s="22">
        <v>1.2652600000000001</v>
      </c>
      <c r="L126">
        <f t="shared" si="12"/>
        <v>12.179600000000001</v>
      </c>
      <c r="M126">
        <f t="shared" si="13"/>
        <v>15.417790252000001</v>
      </c>
      <c r="N126" s="9"/>
      <c r="O126" s="22">
        <v>0.48416100000000001</v>
      </c>
      <c r="P126" s="22">
        <v>68.293199999999999</v>
      </c>
      <c r="Q126" s="22">
        <v>-1.56525E-2</v>
      </c>
      <c r="R126" s="22">
        <v>116</v>
      </c>
      <c r="S126" s="22">
        <v>0.48358200000000001</v>
      </c>
      <c r="T126">
        <f t="shared" si="14"/>
        <v>15.6525</v>
      </c>
      <c r="U126">
        <f t="shared" si="15"/>
        <v>7.5783300525000001</v>
      </c>
      <c r="X126" s="9"/>
      <c r="Y126" s="22">
        <v>1.2658700000000001</v>
      </c>
      <c r="Z126" s="22">
        <v>117.85299999999999</v>
      </c>
      <c r="AA126" s="22">
        <v>-1.25214E-2</v>
      </c>
      <c r="AB126" s="22">
        <v>116</v>
      </c>
      <c r="AC126" s="22">
        <v>1.26495</v>
      </c>
      <c r="AD126">
        <f t="shared" si="16"/>
        <v>12.5214</v>
      </c>
      <c r="AE126">
        <f t="shared" si="17"/>
        <v>15.850464618</v>
      </c>
      <c r="AF126" s="9"/>
      <c r="AG126" s="22">
        <v>0.48416100000000001</v>
      </c>
      <c r="AH126" s="22">
        <v>136.828</v>
      </c>
      <c r="AI126" s="22">
        <v>-1.5682999999999999E-2</v>
      </c>
      <c r="AJ126" s="22">
        <v>116</v>
      </c>
      <c r="AK126" s="22">
        <v>0.48358200000000001</v>
      </c>
      <c r="AL126">
        <f t="shared" si="18"/>
        <v>15.683</v>
      </c>
      <c r="AM126">
        <f t="shared" si="19"/>
        <v>7.5930969629999998</v>
      </c>
      <c r="AP126" s="9"/>
      <c r="AQ126" s="22">
        <v>1.2658700000000001</v>
      </c>
      <c r="AR126" s="22">
        <v>159.47200000000001</v>
      </c>
      <c r="AS126" s="22">
        <v>-1.25793E-2</v>
      </c>
      <c r="AT126" s="22">
        <v>116</v>
      </c>
      <c r="AU126" s="22">
        <v>1.26495</v>
      </c>
      <c r="AV126">
        <f t="shared" si="20"/>
        <v>12.5793</v>
      </c>
      <c r="AW126">
        <f t="shared" si="21"/>
        <v>15.923758491000001</v>
      </c>
      <c r="AX126" s="9"/>
      <c r="AY126" s="22">
        <v>0.48416100000000001</v>
      </c>
      <c r="AZ126" s="22">
        <v>182.333</v>
      </c>
      <c r="BA126" s="22">
        <v>-1.5634200000000001E-2</v>
      </c>
      <c r="BB126" s="22">
        <v>116</v>
      </c>
      <c r="BC126" s="22">
        <v>0.48355100000000001</v>
      </c>
      <c r="BD126">
        <f t="shared" si="22"/>
        <v>15.634200000000002</v>
      </c>
      <c r="BE126">
        <f t="shared" si="23"/>
        <v>7.569469906200001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50.420400000000001</v>
      </c>
      <c r="I127" s="22">
        <v>-1.22253E-2</v>
      </c>
      <c r="J127" s="22">
        <v>117</v>
      </c>
      <c r="K127" s="22">
        <v>1.26007</v>
      </c>
      <c r="L127">
        <f t="shared" si="12"/>
        <v>12.225299999999999</v>
      </c>
      <c r="M127">
        <f t="shared" si="13"/>
        <v>15.414024998999997</v>
      </c>
      <c r="N127" s="9"/>
      <c r="O127" s="22">
        <v>0.48919699999999999</v>
      </c>
      <c r="P127" s="22">
        <v>68.303299999999993</v>
      </c>
      <c r="Q127" s="22">
        <v>-1.5643299999999999E-2</v>
      </c>
      <c r="R127" s="22">
        <v>117</v>
      </c>
      <c r="S127" s="22">
        <v>0.48861700000000002</v>
      </c>
      <c r="T127">
        <f t="shared" si="14"/>
        <v>15.643299999999998</v>
      </c>
      <c r="U127">
        <f t="shared" si="15"/>
        <v>7.6526554300999994</v>
      </c>
      <c r="X127" s="9"/>
      <c r="Y127" s="22">
        <v>1.2608299999999999</v>
      </c>
      <c r="Z127" s="22">
        <v>117.863</v>
      </c>
      <c r="AA127" s="22">
        <v>-1.25763E-2</v>
      </c>
      <c r="AB127" s="22">
        <v>117</v>
      </c>
      <c r="AC127" s="22">
        <v>1.26068</v>
      </c>
      <c r="AD127">
        <f t="shared" si="16"/>
        <v>12.5763</v>
      </c>
      <c r="AE127">
        <f t="shared" si="17"/>
        <v>15.856576328999999</v>
      </c>
      <c r="AF127" s="9"/>
      <c r="AG127" s="22">
        <v>0.48919699999999999</v>
      </c>
      <c r="AH127" s="22">
        <v>136.83799999999999</v>
      </c>
      <c r="AI127" s="22">
        <v>-1.56677E-2</v>
      </c>
      <c r="AJ127" s="22">
        <v>117</v>
      </c>
      <c r="AK127" s="22">
        <v>0.48861700000000002</v>
      </c>
      <c r="AL127">
        <f t="shared" si="18"/>
        <v>15.6677</v>
      </c>
      <c r="AM127">
        <f t="shared" si="19"/>
        <v>7.6645918368999997</v>
      </c>
      <c r="AP127" s="9"/>
      <c r="AQ127" s="22">
        <v>1.2608299999999999</v>
      </c>
      <c r="AR127" s="22">
        <v>159.482</v>
      </c>
      <c r="AS127" s="22">
        <v>-1.26312E-2</v>
      </c>
      <c r="AT127" s="22">
        <v>117</v>
      </c>
      <c r="AU127" s="22">
        <v>1.2597700000000001</v>
      </c>
      <c r="AV127">
        <f t="shared" si="20"/>
        <v>12.6312</v>
      </c>
      <c r="AW127">
        <f t="shared" si="21"/>
        <v>15.925795895999999</v>
      </c>
      <c r="AX127" s="9"/>
      <c r="AY127" s="22">
        <v>0.48919699999999999</v>
      </c>
      <c r="AZ127" s="22">
        <v>182.34299999999999</v>
      </c>
      <c r="BA127" s="22">
        <v>-1.56189E-2</v>
      </c>
      <c r="BB127" s="22">
        <v>117</v>
      </c>
      <c r="BC127" s="22">
        <v>0.48849500000000001</v>
      </c>
      <c r="BD127">
        <f t="shared" si="22"/>
        <v>15.6189</v>
      </c>
      <c r="BE127">
        <f t="shared" si="23"/>
        <v>7.6407190233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50.430500000000002</v>
      </c>
      <c r="I128" s="22">
        <v>-1.2274200000000001E-2</v>
      </c>
      <c r="J128" s="22">
        <v>118</v>
      </c>
      <c r="K128" s="22">
        <v>1.25519</v>
      </c>
      <c r="L128">
        <f t="shared" si="12"/>
        <v>12.2742</v>
      </c>
      <c r="M128">
        <f t="shared" si="13"/>
        <v>15.413940360000002</v>
      </c>
      <c r="N128" s="9"/>
      <c r="O128" s="22">
        <v>0.494232</v>
      </c>
      <c r="P128" s="22">
        <v>68.313400000000001</v>
      </c>
      <c r="Q128" s="22">
        <v>-1.5628099999999999E-2</v>
      </c>
      <c r="R128" s="22">
        <v>118</v>
      </c>
      <c r="S128" s="22">
        <v>0.49365199999999998</v>
      </c>
      <c r="T128">
        <f t="shared" si="14"/>
        <v>15.628099999999998</v>
      </c>
      <c r="U128">
        <f t="shared" si="15"/>
        <v>7.7239071191999988</v>
      </c>
      <c r="X128" s="9"/>
      <c r="Y128" s="22">
        <v>1.2558</v>
      </c>
      <c r="Z128" s="22">
        <v>117.873</v>
      </c>
      <c r="AA128" s="22">
        <v>-1.26251E-2</v>
      </c>
      <c r="AB128" s="22">
        <v>118</v>
      </c>
      <c r="AC128" s="22">
        <v>1.25519</v>
      </c>
      <c r="AD128">
        <f t="shared" si="16"/>
        <v>12.6251</v>
      </c>
      <c r="AE128">
        <f t="shared" si="17"/>
        <v>15.85460058</v>
      </c>
      <c r="AF128" s="9"/>
      <c r="AG128" s="22">
        <v>0.494232</v>
      </c>
      <c r="AH128" s="22">
        <v>136.84800000000001</v>
      </c>
      <c r="AI128" s="22">
        <v>-1.5646400000000001E-2</v>
      </c>
      <c r="AJ128" s="22">
        <v>118</v>
      </c>
      <c r="AK128" s="22">
        <v>0.49368299999999998</v>
      </c>
      <c r="AL128">
        <f t="shared" si="18"/>
        <v>15.646400000000002</v>
      </c>
      <c r="AM128">
        <f t="shared" si="19"/>
        <v>7.7329515648000005</v>
      </c>
      <c r="AP128" s="9"/>
      <c r="AQ128" s="22">
        <v>1.2558</v>
      </c>
      <c r="AR128" s="22">
        <v>159.49299999999999</v>
      </c>
      <c r="AS128" s="22">
        <v>-1.2677000000000001E-2</v>
      </c>
      <c r="AT128" s="22">
        <v>118</v>
      </c>
      <c r="AU128" s="22">
        <v>1.25549</v>
      </c>
      <c r="AV128">
        <f t="shared" si="20"/>
        <v>12.677000000000001</v>
      </c>
      <c r="AW128">
        <f t="shared" si="21"/>
        <v>15.919776600000002</v>
      </c>
      <c r="AX128" s="9"/>
      <c r="AY128" s="22">
        <v>0.494232</v>
      </c>
      <c r="AZ128" s="22">
        <v>182.35400000000001</v>
      </c>
      <c r="BA128" s="22">
        <v>-1.5609700000000001E-2</v>
      </c>
      <c r="BB128" s="22">
        <v>118</v>
      </c>
      <c r="BC128" s="22">
        <v>0.49353000000000002</v>
      </c>
      <c r="BD128">
        <f t="shared" si="22"/>
        <v>15.6097</v>
      </c>
      <c r="BE128">
        <f t="shared" si="23"/>
        <v>7.7148132503999998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50.440600000000003</v>
      </c>
      <c r="I129" s="22">
        <v>-1.2323000000000001E-2</v>
      </c>
      <c r="J129" s="22">
        <v>119</v>
      </c>
      <c r="K129" s="22">
        <v>1.24969</v>
      </c>
      <c r="L129">
        <f t="shared" si="12"/>
        <v>12.323</v>
      </c>
      <c r="M129">
        <f t="shared" si="13"/>
        <v>15.413115480000002</v>
      </c>
      <c r="N129" s="9"/>
      <c r="O129" s="22">
        <v>0.49926799999999999</v>
      </c>
      <c r="P129" s="22">
        <v>68.323400000000007</v>
      </c>
      <c r="Q129" s="22">
        <v>-1.5609700000000001E-2</v>
      </c>
      <c r="R129" s="22">
        <v>119</v>
      </c>
      <c r="S129" s="22">
        <v>0.49865700000000002</v>
      </c>
      <c r="T129">
        <f t="shared" si="14"/>
        <v>15.6097</v>
      </c>
      <c r="U129">
        <f t="shared" si="15"/>
        <v>7.7934236995999999</v>
      </c>
      <c r="X129" s="9"/>
      <c r="Y129" s="22">
        <v>1.2507600000000001</v>
      </c>
      <c r="Z129" s="22">
        <v>117.883</v>
      </c>
      <c r="AA129" s="22">
        <v>-1.26648E-2</v>
      </c>
      <c r="AB129" s="22">
        <v>119</v>
      </c>
      <c r="AC129" s="22">
        <v>1.24939</v>
      </c>
      <c r="AD129">
        <f t="shared" si="16"/>
        <v>12.6648</v>
      </c>
      <c r="AE129">
        <f t="shared" si="17"/>
        <v>15.840625248</v>
      </c>
      <c r="AF129" s="9"/>
      <c r="AG129" s="22">
        <v>0.49926799999999999</v>
      </c>
      <c r="AH129" s="22">
        <v>136.858</v>
      </c>
      <c r="AI129" s="22">
        <v>-1.5625E-2</v>
      </c>
      <c r="AJ129" s="22">
        <v>119</v>
      </c>
      <c r="AK129" s="22">
        <v>0.49862699999999999</v>
      </c>
      <c r="AL129">
        <f t="shared" si="18"/>
        <v>15.625</v>
      </c>
      <c r="AM129">
        <f t="shared" si="19"/>
        <v>7.8010624999999996</v>
      </c>
      <c r="AP129" s="9"/>
      <c r="AQ129" s="22">
        <v>1.2507600000000001</v>
      </c>
      <c r="AR129" s="22">
        <v>159.50299999999999</v>
      </c>
      <c r="AS129" s="22">
        <v>-1.2725800000000001E-2</v>
      </c>
      <c r="AT129" s="22">
        <v>119</v>
      </c>
      <c r="AU129" s="22">
        <v>1.24939</v>
      </c>
      <c r="AV129">
        <f t="shared" si="20"/>
        <v>12.725800000000001</v>
      </c>
      <c r="AW129">
        <f t="shared" si="21"/>
        <v>15.916921608000003</v>
      </c>
      <c r="AX129" s="9"/>
      <c r="AY129" s="22">
        <v>0.49926799999999999</v>
      </c>
      <c r="AZ129" s="22">
        <v>182.364</v>
      </c>
      <c r="BA129" s="22">
        <v>-1.56036E-2</v>
      </c>
      <c r="BB129" s="22">
        <v>119</v>
      </c>
      <c r="BC129" s="22">
        <v>0.49862699999999999</v>
      </c>
      <c r="BD129">
        <f t="shared" si="22"/>
        <v>15.6036</v>
      </c>
      <c r="BE129">
        <f t="shared" si="23"/>
        <v>7.7903781647999999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50.450699999999998</v>
      </c>
      <c r="I130" s="22">
        <v>-1.2371800000000001E-2</v>
      </c>
      <c r="J130" s="22">
        <v>120</v>
      </c>
      <c r="K130" s="22">
        <v>1.24481</v>
      </c>
      <c r="L130">
        <f t="shared" si="12"/>
        <v>12.3718</v>
      </c>
      <c r="M130">
        <f t="shared" si="13"/>
        <v>15.411922414000001</v>
      </c>
      <c r="N130" s="9"/>
      <c r="O130" s="22">
        <v>0.50430299999999995</v>
      </c>
      <c r="P130" s="22">
        <v>68.333500000000001</v>
      </c>
      <c r="Q130" s="22">
        <v>-1.5588400000000001E-2</v>
      </c>
      <c r="R130" s="22">
        <v>120</v>
      </c>
      <c r="S130" s="22">
        <v>0.50360099999999997</v>
      </c>
      <c r="T130">
        <f t="shared" si="14"/>
        <v>15.5884</v>
      </c>
      <c r="U130">
        <f t="shared" si="15"/>
        <v>7.8612768851999988</v>
      </c>
      <c r="X130" s="9"/>
      <c r="Y130" s="22">
        <v>1.24573</v>
      </c>
      <c r="Z130" s="22">
        <v>117.893</v>
      </c>
      <c r="AA130" s="22">
        <v>-1.2704500000000001E-2</v>
      </c>
      <c r="AB130" s="22">
        <v>120</v>
      </c>
      <c r="AC130" s="22">
        <v>1.24481</v>
      </c>
      <c r="AD130">
        <f t="shared" si="16"/>
        <v>12.704500000000001</v>
      </c>
      <c r="AE130">
        <f t="shared" si="17"/>
        <v>15.826376785000001</v>
      </c>
      <c r="AF130" s="9"/>
      <c r="AG130" s="22">
        <v>0.50430299999999995</v>
      </c>
      <c r="AH130" s="22">
        <v>136.86799999999999</v>
      </c>
      <c r="AI130" s="22">
        <v>-1.5615800000000001E-2</v>
      </c>
      <c r="AJ130" s="22">
        <v>120</v>
      </c>
      <c r="AK130" s="22">
        <v>0.50369299999999995</v>
      </c>
      <c r="AL130">
        <f t="shared" si="18"/>
        <v>15.6158</v>
      </c>
      <c r="AM130">
        <f t="shared" si="19"/>
        <v>7.8750947873999992</v>
      </c>
      <c r="AP130" s="9"/>
      <c r="AQ130" s="22">
        <v>1.24573</v>
      </c>
      <c r="AR130" s="22">
        <v>159.51300000000001</v>
      </c>
      <c r="AS130" s="22">
        <v>-1.2777699999999999E-2</v>
      </c>
      <c r="AT130" s="22">
        <v>120</v>
      </c>
      <c r="AU130" s="22">
        <v>1.24512</v>
      </c>
      <c r="AV130">
        <f t="shared" si="20"/>
        <v>12.777699999999999</v>
      </c>
      <c r="AW130">
        <f t="shared" si="21"/>
        <v>15.917564220999999</v>
      </c>
      <c r="AX130" s="9"/>
      <c r="AY130" s="22">
        <v>0.50430299999999995</v>
      </c>
      <c r="AZ130" s="22">
        <v>182.374</v>
      </c>
      <c r="BA130" s="22">
        <v>-1.5594500000000001E-2</v>
      </c>
      <c r="BB130" s="22">
        <v>120</v>
      </c>
      <c r="BC130" s="22">
        <v>0.50372300000000003</v>
      </c>
      <c r="BD130">
        <f t="shared" si="22"/>
        <v>15.5945</v>
      </c>
      <c r="BE130">
        <f t="shared" si="23"/>
        <v>7.864353133499999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50.460700000000003</v>
      </c>
      <c r="I131" s="22">
        <v>-1.2423699999999999E-2</v>
      </c>
      <c r="J131" s="22">
        <v>121</v>
      </c>
      <c r="K131" s="22">
        <v>1.2396199999999999</v>
      </c>
      <c r="L131">
        <f t="shared" si="12"/>
        <v>12.4237</v>
      </c>
      <c r="M131">
        <f t="shared" si="13"/>
        <v>15.413960353</v>
      </c>
      <c r="N131" s="9"/>
      <c r="O131" s="22">
        <v>0.50933799999999996</v>
      </c>
      <c r="P131" s="22">
        <v>68.343599999999995</v>
      </c>
      <c r="Q131" s="22">
        <v>-1.55762E-2</v>
      </c>
      <c r="R131" s="22">
        <v>121</v>
      </c>
      <c r="S131" s="22">
        <v>0.50875899999999996</v>
      </c>
      <c r="T131">
        <f t="shared" si="14"/>
        <v>15.5762</v>
      </c>
      <c r="U131">
        <f t="shared" si="15"/>
        <v>7.9335505555999992</v>
      </c>
      <c r="X131" s="9"/>
      <c r="Y131" s="22">
        <v>1.2406900000000001</v>
      </c>
      <c r="Z131" s="22">
        <v>117.90300000000001</v>
      </c>
      <c r="AA131" s="22">
        <v>-1.27411E-2</v>
      </c>
      <c r="AB131" s="22">
        <v>121</v>
      </c>
      <c r="AC131" s="22">
        <v>1.23993</v>
      </c>
      <c r="AD131">
        <f t="shared" si="16"/>
        <v>12.741099999999999</v>
      </c>
      <c r="AE131">
        <f t="shared" si="17"/>
        <v>15.807755359</v>
      </c>
      <c r="AF131" s="9"/>
      <c r="AG131" s="22">
        <v>0.50933799999999996</v>
      </c>
      <c r="AH131" s="22">
        <v>136.87799999999999</v>
      </c>
      <c r="AI131" s="22">
        <v>-1.5594500000000001E-2</v>
      </c>
      <c r="AJ131" s="22">
        <v>121</v>
      </c>
      <c r="AK131" s="22">
        <v>0.50866699999999998</v>
      </c>
      <c r="AL131">
        <f t="shared" si="18"/>
        <v>15.5945</v>
      </c>
      <c r="AM131">
        <f t="shared" si="19"/>
        <v>7.9428714409999994</v>
      </c>
      <c r="AP131" s="9"/>
      <c r="AQ131" s="22">
        <v>1.2406900000000001</v>
      </c>
      <c r="AR131" s="22">
        <v>159.523</v>
      </c>
      <c r="AS131" s="22">
        <v>-1.28326E-2</v>
      </c>
      <c r="AT131" s="22">
        <v>121</v>
      </c>
      <c r="AU131" s="22">
        <v>1.2396199999999999</v>
      </c>
      <c r="AV131">
        <f t="shared" si="20"/>
        <v>12.832599999999999</v>
      </c>
      <c r="AW131">
        <f t="shared" si="21"/>
        <v>15.921278494000001</v>
      </c>
      <c r="AX131" s="9"/>
      <c r="AY131" s="22">
        <v>0.50933799999999996</v>
      </c>
      <c r="AZ131" s="22">
        <v>182.38399999999999</v>
      </c>
      <c r="BA131" s="22">
        <v>-1.55914E-2</v>
      </c>
      <c r="BB131" s="22">
        <v>121</v>
      </c>
      <c r="BC131" s="22">
        <v>0.50872799999999996</v>
      </c>
      <c r="BD131">
        <f t="shared" si="22"/>
        <v>15.5914</v>
      </c>
      <c r="BE131">
        <f t="shared" si="23"/>
        <v>7.9412924931999997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50.470799999999997</v>
      </c>
      <c r="I132" s="22">
        <v>-1.2478599999999999E-2</v>
      </c>
      <c r="J132" s="22">
        <v>122</v>
      </c>
      <c r="K132" s="22">
        <v>1.23444</v>
      </c>
      <c r="L132">
        <f t="shared" si="12"/>
        <v>12.4786</v>
      </c>
      <c r="M132">
        <f t="shared" si="13"/>
        <v>15.419306876</v>
      </c>
      <c r="N132" s="9"/>
      <c r="O132" s="22">
        <v>0.514374</v>
      </c>
      <c r="P132" s="22">
        <v>68.3536</v>
      </c>
      <c r="Q132" s="22">
        <v>-1.5564E-2</v>
      </c>
      <c r="R132" s="22">
        <v>122</v>
      </c>
      <c r="S132" s="22">
        <v>0.51367200000000002</v>
      </c>
      <c r="T132">
        <f t="shared" si="14"/>
        <v>15.564</v>
      </c>
      <c r="U132">
        <f t="shared" si="15"/>
        <v>8.0057169360000007</v>
      </c>
      <c r="X132" s="9"/>
      <c r="Y132" s="22">
        <v>1.23566</v>
      </c>
      <c r="Z132" s="22">
        <v>117.913</v>
      </c>
      <c r="AA132" s="22">
        <v>-1.27808E-2</v>
      </c>
      <c r="AB132" s="22">
        <v>122</v>
      </c>
      <c r="AC132" s="22">
        <v>1.2347399999999999</v>
      </c>
      <c r="AD132">
        <f t="shared" si="16"/>
        <v>12.780799999999999</v>
      </c>
      <c r="AE132">
        <f t="shared" si="17"/>
        <v>15.792723327999999</v>
      </c>
      <c r="AF132" s="9"/>
      <c r="AG132" s="22">
        <v>0.514374</v>
      </c>
      <c r="AH132" s="22">
        <v>136.88800000000001</v>
      </c>
      <c r="AI132" s="22">
        <v>-1.55823E-2</v>
      </c>
      <c r="AJ132" s="22">
        <v>122</v>
      </c>
      <c r="AK132" s="22">
        <v>0.51376299999999997</v>
      </c>
      <c r="AL132">
        <f t="shared" si="18"/>
        <v>15.5823</v>
      </c>
      <c r="AM132">
        <f t="shared" si="19"/>
        <v>8.0151299801999993</v>
      </c>
      <c r="AP132" s="9"/>
      <c r="AQ132" s="22">
        <v>1.23566</v>
      </c>
      <c r="AR132" s="22">
        <v>159.53299999999999</v>
      </c>
      <c r="AS132" s="22">
        <v>-1.2887600000000001E-2</v>
      </c>
      <c r="AT132" s="22">
        <v>122</v>
      </c>
      <c r="AU132" s="22">
        <v>1.2353499999999999</v>
      </c>
      <c r="AV132">
        <f t="shared" si="20"/>
        <v>12.887600000000001</v>
      </c>
      <c r="AW132">
        <f t="shared" si="21"/>
        <v>15.924691816000001</v>
      </c>
      <c r="AX132" s="9"/>
      <c r="AY132" s="22">
        <v>0.514374</v>
      </c>
      <c r="AZ132" s="22">
        <v>182.39400000000001</v>
      </c>
      <c r="BA132" s="22">
        <v>-1.5573099999999999E-2</v>
      </c>
      <c r="BB132" s="22">
        <v>122</v>
      </c>
      <c r="BC132" s="22">
        <v>0.513733</v>
      </c>
      <c r="BD132">
        <f t="shared" si="22"/>
        <v>15.5731</v>
      </c>
      <c r="BE132">
        <f t="shared" si="23"/>
        <v>8.0103977394000001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50.480899999999998</v>
      </c>
      <c r="I133" s="22">
        <v>-1.2533600000000001E-2</v>
      </c>
      <c r="J133" s="22">
        <v>123</v>
      </c>
      <c r="K133" s="22">
        <v>1.2301599999999999</v>
      </c>
      <c r="L133">
        <f t="shared" si="12"/>
        <v>12.5336</v>
      </c>
      <c r="M133">
        <f t="shared" si="13"/>
        <v>15.424098832</v>
      </c>
      <c r="N133" s="9"/>
      <c r="O133" s="22">
        <v>0.51940900000000001</v>
      </c>
      <c r="P133" s="22">
        <v>68.363699999999994</v>
      </c>
      <c r="Q133" s="22">
        <v>-1.5551799999999999E-2</v>
      </c>
      <c r="R133" s="22">
        <v>123</v>
      </c>
      <c r="S133" s="22">
        <v>0.51876800000000001</v>
      </c>
      <c r="T133">
        <f t="shared" si="14"/>
        <v>15.5518</v>
      </c>
      <c r="U133">
        <f t="shared" si="15"/>
        <v>8.0777448861999996</v>
      </c>
      <c r="X133" s="9"/>
      <c r="Y133" s="22">
        <v>1.23062</v>
      </c>
      <c r="Z133" s="22">
        <v>117.923</v>
      </c>
      <c r="AA133" s="22">
        <v>-1.28235E-2</v>
      </c>
      <c r="AB133" s="22">
        <v>123</v>
      </c>
      <c r="AC133" s="22">
        <v>1.2301599999999999</v>
      </c>
      <c r="AD133">
        <f t="shared" si="16"/>
        <v>12.823499999999999</v>
      </c>
      <c r="AE133">
        <f t="shared" si="17"/>
        <v>15.78085557</v>
      </c>
      <c r="AF133" s="9"/>
      <c r="AG133" s="22">
        <v>0.51940900000000001</v>
      </c>
      <c r="AH133" s="22">
        <v>136.898</v>
      </c>
      <c r="AI133" s="22">
        <v>-1.55853E-2</v>
      </c>
      <c r="AJ133" s="22">
        <v>123</v>
      </c>
      <c r="AK133" s="22">
        <v>0.51879900000000001</v>
      </c>
      <c r="AL133">
        <f t="shared" si="18"/>
        <v>15.5853</v>
      </c>
      <c r="AM133">
        <f t="shared" si="19"/>
        <v>8.0951450877000006</v>
      </c>
      <c r="AP133" s="9"/>
      <c r="AQ133" s="22">
        <v>1.23062</v>
      </c>
      <c r="AR133" s="22">
        <v>159.54300000000001</v>
      </c>
      <c r="AS133" s="22">
        <v>-1.29333E-2</v>
      </c>
      <c r="AT133" s="22">
        <v>123</v>
      </c>
      <c r="AU133" s="22">
        <v>1.2301599999999999</v>
      </c>
      <c r="AV133">
        <f t="shared" si="20"/>
        <v>12.933299999999999</v>
      </c>
      <c r="AW133">
        <f t="shared" si="21"/>
        <v>15.915977646</v>
      </c>
      <c r="AX133" s="9"/>
      <c r="AY133" s="22">
        <v>0.51940900000000001</v>
      </c>
      <c r="AZ133" s="22">
        <v>182.404</v>
      </c>
      <c r="BA133" s="22">
        <v>-1.5566999999999999E-2</v>
      </c>
      <c r="BB133" s="22">
        <v>123</v>
      </c>
      <c r="BC133" s="22">
        <v>0.51876800000000001</v>
      </c>
      <c r="BD133">
        <f t="shared" si="22"/>
        <v>15.566999999999998</v>
      </c>
      <c r="BE133">
        <f t="shared" si="23"/>
        <v>8.0856399029999988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50.490900000000003</v>
      </c>
      <c r="I134" s="22">
        <v>-1.2588500000000001E-2</v>
      </c>
      <c r="J134" s="22">
        <v>124</v>
      </c>
      <c r="K134" s="22">
        <v>1.2246699999999999</v>
      </c>
      <c r="L134">
        <f t="shared" si="12"/>
        <v>12.588500000000002</v>
      </c>
      <c r="M134">
        <f t="shared" si="13"/>
        <v>15.428339715000002</v>
      </c>
      <c r="N134" s="9"/>
      <c r="O134" s="22">
        <v>0.52444500000000005</v>
      </c>
      <c r="P134" s="22">
        <v>68.373800000000003</v>
      </c>
      <c r="Q134" s="22">
        <v>-1.55304E-2</v>
      </c>
      <c r="R134" s="22">
        <v>124</v>
      </c>
      <c r="S134" s="22">
        <v>0.52374299999999996</v>
      </c>
      <c r="T134">
        <f t="shared" si="14"/>
        <v>15.5304</v>
      </c>
      <c r="U134">
        <f t="shared" si="15"/>
        <v>8.1448406280000007</v>
      </c>
      <c r="X134" s="9"/>
      <c r="Y134" s="22">
        <v>1.22559</v>
      </c>
      <c r="Z134" s="22">
        <v>117.93300000000001</v>
      </c>
      <c r="AA134" s="22">
        <v>-1.28693E-2</v>
      </c>
      <c r="AB134" s="22">
        <v>124</v>
      </c>
      <c r="AC134" s="22">
        <v>1.22437</v>
      </c>
      <c r="AD134">
        <f t="shared" si="16"/>
        <v>12.869300000000001</v>
      </c>
      <c r="AE134">
        <f t="shared" si="17"/>
        <v>15.772485387</v>
      </c>
      <c r="AF134" s="9"/>
      <c r="AG134" s="22">
        <v>0.52444500000000005</v>
      </c>
      <c r="AH134" s="22">
        <v>136.90799999999999</v>
      </c>
      <c r="AI134" s="22">
        <v>-1.55823E-2</v>
      </c>
      <c r="AJ134" s="22">
        <v>124</v>
      </c>
      <c r="AK134" s="22">
        <v>0.52383400000000002</v>
      </c>
      <c r="AL134">
        <f t="shared" si="18"/>
        <v>15.5823</v>
      </c>
      <c r="AM134">
        <f t="shared" si="19"/>
        <v>8.172059323500001</v>
      </c>
      <c r="AP134" s="9"/>
      <c r="AQ134" s="22">
        <v>1.22559</v>
      </c>
      <c r="AR134" s="22">
        <v>159.553</v>
      </c>
      <c r="AS134" s="22">
        <v>-1.29791E-2</v>
      </c>
      <c r="AT134" s="22">
        <v>124</v>
      </c>
      <c r="AU134" s="22">
        <v>1.22498</v>
      </c>
      <c r="AV134">
        <f t="shared" si="20"/>
        <v>12.979100000000001</v>
      </c>
      <c r="AW134">
        <f t="shared" si="21"/>
        <v>15.907055168999999</v>
      </c>
      <c r="AX134" s="9"/>
      <c r="AY134" s="22">
        <v>0.52444500000000005</v>
      </c>
      <c r="AZ134" s="22">
        <v>182.41399999999999</v>
      </c>
      <c r="BA134" s="22">
        <v>-1.5554800000000001E-2</v>
      </c>
      <c r="BB134" s="22">
        <v>124</v>
      </c>
      <c r="BC134" s="22">
        <v>0.52380400000000005</v>
      </c>
      <c r="BD134">
        <f t="shared" si="22"/>
        <v>15.5548</v>
      </c>
      <c r="BE134">
        <f t="shared" si="23"/>
        <v>8.1576370860000011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50.500999999999998</v>
      </c>
      <c r="I135" s="22">
        <v>-1.26404E-2</v>
      </c>
      <c r="J135" s="22">
        <v>125</v>
      </c>
      <c r="K135" s="22">
        <v>1.2191799999999999</v>
      </c>
      <c r="L135">
        <f t="shared" si="12"/>
        <v>12.6404</v>
      </c>
      <c r="M135">
        <f t="shared" si="13"/>
        <v>15.428240219999999</v>
      </c>
      <c r="N135" s="9"/>
      <c r="O135" s="22">
        <v>0.52947999999999995</v>
      </c>
      <c r="P135" s="22">
        <v>68.383899999999997</v>
      </c>
      <c r="Q135" s="22">
        <v>-1.55029E-2</v>
      </c>
      <c r="R135" s="22">
        <v>125</v>
      </c>
      <c r="S135" s="22">
        <v>0.52886999999999995</v>
      </c>
      <c r="T135">
        <f t="shared" si="14"/>
        <v>15.5029</v>
      </c>
      <c r="U135">
        <f t="shared" si="15"/>
        <v>8.2084754919999998</v>
      </c>
      <c r="X135" s="9"/>
      <c r="Y135" s="22">
        <v>1.22055</v>
      </c>
      <c r="Z135" s="22">
        <v>117.943</v>
      </c>
      <c r="AA135" s="22">
        <v>-1.2908899999999999E-2</v>
      </c>
      <c r="AB135" s="22">
        <v>125</v>
      </c>
      <c r="AC135" s="22">
        <v>1.2197899999999999</v>
      </c>
      <c r="AD135">
        <f t="shared" si="16"/>
        <v>12.908899999999999</v>
      </c>
      <c r="AE135">
        <f t="shared" si="17"/>
        <v>15.755957895</v>
      </c>
      <c r="AF135" s="9"/>
      <c r="AG135" s="22">
        <v>0.52947999999999995</v>
      </c>
      <c r="AH135" s="22">
        <v>136.91800000000001</v>
      </c>
      <c r="AI135" s="22">
        <v>-1.55762E-2</v>
      </c>
      <c r="AJ135" s="22">
        <v>125</v>
      </c>
      <c r="AK135" s="22">
        <v>0.52880899999999997</v>
      </c>
      <c r="AL135">
        <f t="shared" si="18"/>
        <v>15.5762</v>
      </c>
      <c r="AM135">
        <f t="shared" si="19"/>
        <v>8.2472863759999999</v>
      </c>
      <c r="AP135" s="9"/>
      <c r="AQ135" s="22">
        <v>1.22055</v>
      </c>
      <c r="AR135" s="22">
        <v>159.56299999999999</v>
      </c>
      <c r="AS135" s="22">
        <v>-1.3021899999999999E-2</v>
      </c>
      <c r="AT135" s="22">
        <v>125</v>
      </c>
      <c r="AU135" s="22">
        <v>1.2194799999999999</v>
      </c>
      <c r="AV135">
        <f t="shared" si="20"/>
        <v>13.021899999999999</v>
      </c>
      <c r="AW135">
        <f t="shared" si="21"/>
        <v>15.893880045</v>
      </c>
      <c r="AX135" s="9"/>
      <c r="AY135" s="22">
        <v>0.52947999999999995</v>
      </c>
      <c r="AZ135" s="22">
        <v>182.42400000000001</v>
      </c>
      <c r="BA135" s="22">
        <v>-1.55426E-2</v>
      </c>
      <c r="BB135" s="22">
        <v>125</v>
      </c>
      <c r="BC135" s="22">
        <v>0.52883899999999995</v>
      </c>
      <c r="BD135">
        <f t="shared" si="22"/>
        <v>15.5426</v>
      </c>
      <c r="BE135">
        <f t="shared" si="23"/>
        <v>8.2294958479999991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50.511099999999999</v>
      </c>
      <c r="I136" s="22">
        <v>-1.26923E-2</v>
      </c>
      <c r="J136" s="22">
        <v>126</v>
      </c>
      <c r="K136" s="22">
        <v>1.2145999999999999</v>
      </c>
      <c r="L136">
        <f t="shared" si="12"/>
        <v>12.692299999999999</v>
      </c>
      <c r="M136">
        <f t="shared" si="13"/>
        <v>15.427744495999999</v>
      </c>
      <c r="N136" s="9"/>
      <c r="O136" s="22">
        <v>0.53451499999999996</v>
      </c>
      <c r="P136" s="22">
        <v>68.393900000000002</v>
      </c>
      <c r="Q136" s="22">
        <v>-1.54907E-2</v>
      </c>
      <c r="R136" s="22">
        <v>126</v>
      </c>
      <c r="S136" s="22">
        <v>0.53390499999999996</v>
      </c>
      <c r="T136">
        <f t="shared" si="14"/>
        <v>15.4907</v>
      </c>
      <c r="U136">
        <f t="shared" si="15"/>
        <v>8.2800115104999996</v>
      </c>
      <c r="X136" s="9"/>
      <c r="Y136" s="22">
        <v>1.2155199999999999</v>
      </c>
      <c r="Z136" s="22">
        <v>117.953</v>
      </c>
      <c r="AA136" s="22">
        <v>-1.2942499999999999E-2</v>
      </c>
      <c r="AB136" s="22">
        <v>126</v>
      </c>
      <c r="AC136" s="22">
        <v>1.2145999999999999</v>
      </c>
      <c r="AD136">
        <f t="shared" si="16"/>
        <v>12.942499999999999</v>
      </c>
      <c r="AE136">
        <f t="shared" si="17"/>
        <v>15.731867599999998</v>
      </c>
      <c r="AF136" s="9"/>
      <c r="AG136" s="22">
        <v>0.53451499999999996</v>
      </c>
      <c r="AH136" s="22">
        <v>136.928</v>
      </c>
      <c r="AI136" s="22">
        <v>-1.5573099999999999E-2</v>
      </c>
      <c r="AJ136" s="22">
        <v>126</v>
      </c>
      <c r="AK136" s="22">
        <v>0.53384399999999999</v>
      </c>
      <c r="AL136">
        <f t="shared" si="18"/>
        <v>15.5731</v>
      </c>
      <c r="AM136">
        <f t="shared" si="19"/>
        <v>8.3240555465000003</v>
      </c>
      <c r="AP136" s="9"/>
      <c r="AQ136" s="22">
        <v>1.2155199999999999</v>
      </c>
      <c r="AR136" s="22">
        <v>159.57300000000001</v>
      </c>
      <c r="AS136" s="22">
        <v>-1.30554E-2</v>
      </c>
      <c r="AT136" s="22">
        <v>126</v>
      </c>
      <c r="AU136" s="22">
        <v>1.2152099999999999</v>
      </c>
      <c r="AV136">
        <f t="shared" si="20"/>
        <v>13.055400000000001</v>
      </c>
      <c r="AW136">
        <f t="shared" si="21"/>
        <v>15.869099808</v>
      </c>
      <c r="AX136" s="9"/>
      <c r="AY136" s="22">
        <v>0.53451499999999996</v>
      </c>
      <c r="AZ136" s="22">
        <v>182.434</v>
      </c>
      <c r="BA136" s="22">
        <v>-1.5527300000000001E-2</v>
      </c>
      <c r="BB136" s="22">
        <v>126</v>
      </c>
      <c r="BC136" s="22">
        <v>0.53384399999999999</v>
      </c>
      <c r="BD136">
        <f t="shared" si="22"/>
        <v>15.5273</v>
      </c>
      <c r="BE136">
        <f t="shared" si="23"/>
        <v>8.2995747595000005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50.5212</v>
      </c>
      <c r="I137" s="22">
        <v>-1.27472E-2</v>
      </c>
      <c r="J137" s="22">
        <v>127</v>
      </c>
      <c r="K137" s="22">
        <v>1.2100200000000001</v>
      </c>
      <c r="L137">
        <f t="shared" si="12"/>
        <v>12.747199999999999</v>
      </c>
      <c r="M137">
        <f t="shared" si="13"/>
        <v>15.430230655999999</v>
      </c>
      <c r="N137" s="9"/>
      <c r="O137" s="22">
        <v>0.539551</v>
      </c>
      <c r="P137" s="22">
        <v>68.403999999999996</v>
      </c>
      <c r="Q137" s="22">
        <v>-1.5469399999999999E-2</v>
      </c>
      <c r="R137" s="22">
        <v>127</v>
      </c>
      <c r="S137" s="22">
        <v>0.53891</v>
      </c>
      <c r="T137">
        <f t="shared" si="14"/>
        <v>15.4694</v>
      </c>
      <c r="U137">
        <f t="shared" si="15"/>
        <v>8.3465302393999998</v>
      </c>
      <c r="X137" s="9"/>
      <c r="Y137" s="22">
        <v>1.21048</v>
      </c>
      <c r="Z137" s="22">
        <v>117.96299999999999</v>
      </c>
      <c r="AA137" s="22">
        <v>-1.2982199999999999E-2</v>
      </c>
      <c r="AB137" s="22">
        <v>127</v>
      </c>
      <c r="AC137" s="22">
        <v>1.2100200000000001</v>
      </c>
      <c r="AD137">
        <f t="shared" si="16"/>
        <v>12.982199999999999</v>
      </c>
      <c r="AE137">
        <f t="shared" si="17"/>
        <v>15.714693455999999</v>
      </c>
      <c r="AF137" s="9"/>
      <c r="AG137" s="22">
        <v>0.539551</v>
      </c>
      <c r="AH137" s="22">
        <v>136.93799999999999</v>
      </c>
      <c r="AI137" s="22">
        <v>-1.5560900000000001E-2</v>
      </c>
      <c r="AJ137" s="22">
        <v>127</v>
      </c>
      <c r="AK137" s="22">
        <v>0.53891</v>
      </c>
      <c r="AL137">
        <f t="shared" si="18"/>
        <v>15.5609</v>
      </c>
      <c r="AM137">
        <f t="shared" si="19"/>
        <v>8.3958991559000005</v>
      </c>
      <c r="AP137" s="9"/>
      <c r="AQ137" s="22">
        <v>1.21048</v>
      </c>
      <c r="AR137" s="22">
        <v>159.583</v>
      </c>
      <c r="AS137" s="22">
        <v>-1.30829E-2</v>
      </c>
      <c r="AT137" s="22">
        <v>127</v>
      </c>
      <c r="AU137" s="22">
        <v>1.2094100000000001</v>
      </c>
      <c r="AV137">
        <f t="shared" si="20"/>
        <v>13.0829</v>
      </c>
      <c r="AW137">
        <f t="shared" si="21"/>
        <v>15.836588792000001</v>
      </c>
      <c r="AX137" s="9"/>
      <c r="AY137" s="22">
        <v>0.539551</v>
      </c>
      <c r="AZ137" s="22">
        <v>182.44399999999999</v>
      </c>
      <c r="BA137" s="22">
        <v>-1.55243E-2</v>
      </c>
      <c r="BB137" s="22">
        <v>127</v>
      </c>
      <c r="BC137" s="22">
        <v>0.53891</v>
      </c>
      <c r="BD137">
        <f t="shared" si="22"/>
        <v>15.5243</v>
      </c>
      <c r="BE137">
        <f t="shared" si="23"/>
        <v>8.3761515893000009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50.531199999999998</v>
      </c>
      <c r="I138" s="22">
        <v>-1.2793000000000001E-2</v>
      </c>
      <c r="J138" s="22">
        <v>128</v>
      </c>
      <c r="K138" s="22">
        <v>1.2048300000000001</v>
      </c>
      <c r="L138">
        <f t="shared" si="12"/>
        <v>12.793000000000001</v>
      </c>
      <c r="M138">
        <f t="shared" si="13"/>
        <v>15.421193920000002</v>
      </c>
      <c r="N138" s="9"/>
      <c r="O138" s="22">
        <v>0.54458600000000001</v>
      </c>
      <c r="P138" s="22">
        <v>68.414100000000005</v>
      </c>
      <c r="Q138" s="22">
        <v>-1.54541E-2</v>
      </c>
      <c r="R138" s="22">
        <v>128</v>
      </c>
      <c r="S138" s="22">
        <v>0.54391500000000004</v>
      </c>
      <c r="T138">
        <f t="shared" si="14"/>
        <v>15.4541</v>
      </c>
      <c r="U138">
        <f t="shared" si="15"/>
        <v>8.4160865026000007</v>
      </c>
      <c r="X138" s="9"/>
      <c r="Y138" s="22">
        <v>1.2054400000000001</v>
      </c>
      <c r="Z138" s="22">
        <v>117.973</v>
      </c>
      <c r="AA138" s="22">
        <v>-1.3018800000000001E-2</v>
      </c>
      <c r="AB138" s="22">
        <v>128</v>
      </c>
      <c r="AC138" s="22">
        <v>1.2051400000000001</v>
      </c>
      <c r="AD138">
        <f t="shared" si="16"/>
        <v>13.018800000000001</v>
      </c>
      <c r="AE138">
        <f t="shared" si="17"/>
        <v>15.693382272000001</v>
      </c>
      <c r="AF138" s="9"/>
      <c r="AG138" s="22">
        <v>0.54458600000000001</v>
      </c>
      <c r="AH138" s="22">
        <v>136.94800000000001</v>
      </c>
      <c r="AI138" s="22">
        <v>-1.55365E-2</v>
      </c>
      <c r="AJ138" s="22">
        <v>128</v>
      </c>
      <c r="AK138" s="22">
        <v>0.54400599999999999</v>
      </c>
      <c r="AL138">
        <f t="shared" si="18"/>
        <v>15.5365</v>
      </c>
      <c r="AM138">
        <f t="shared" si="19"/>
        <v>8.4609603890000002</v>
      </c>
      <c r="AP138" s="9"/>
      <c r="AQ138" s="22">
        <v>1.2054400000000001</v>
      </c>
      <c r="AR138" s="22">
        <v>159.59299999999999</v>
      </c>
      <c r="AS138" s="22">
        <v>-1.3119499999999999E-2</v>
      </c>
      <c r="AT138" s="22">
        <v>128</v>
      </c>
      <c r="AU138" s="22">
        <v>1.2054400000000001</v>
      </c>
      <c r="AV138">
        <f t="shared" si="20"/>
        <v>13.119499999999999</v>
      </c>
      <c r="AW138">
        <f t="shared" si="21"/>
        <v>15.814770079999999</v>
      </c>
      <c r="AX138" s="9"/>
      <c r="AY138" s="22">
        <v>0.54458600000000001</v>
      </c>
      <c r="AZ138" s="22">
        <v>182.45400000000001</v>
      </c>
      <c r="BA138" s="22">
        <v>-1.5512099999999999E-2</v>
      </c>
      <c r="BB138" s="22">
        <v>128</v>
      </c>
      <c r="BC138" s="22">
        <v>0.54397600000000002</v>
      </c>
      <c r="BD138">
        <f t="shared" si="22"/>
        <v>15.512099999999998</v>
      </c>
      <c r="BE138">
        <f t="shared" si="23"/>
        <v>8.4476724905999987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50.5413</v>
      </c>
      <c r="I139" s="22">
        <v>-1.28418E-2</v>
      </c>
      <c r="J139" s="22">
        <v>129</v>
      </c>
      <c r="K139" s="22">
        <v>1.1993400000000001</v>
      </c>
      <c r="L139">
        <f t="shared" si="12"/>
        <v>12.841800000000001</v>
      </c>
      <c r="M139">
        <f t="shared" si="13"/>
        <v>15.415425138000002</v>
      </c>
      <c r="N139" s="9"/>
      <c r="O139" s="22">
        <v>0.54962200000000005</v>
      </c>
      <c r="P139" s="22">
        <v>68.424099999999996</v>
      </c>
      <c r="Q139" s="22">
        <v>-1.5438800000000001E-2</v>
      </c>
      <c r="R139" s="22">
        <v>129</v>
      </c>
      <c r="S139" s="22">
        <v>0.54904200000000003</v>
      </c>
      <c r="T139">
        <f t="shared" si="14"/>
        <v>15.438800000000001</v>
      </c>
      <c r="U139">
        <f t="shared" si="15"/>
        <v>8.485504133600001</v>
      </c>
      <c r="X139" s="9"/>
      <c r="Y139" s="22">
        <v>1.20041</v>
      </c>
      <c r="Z139" s="22">
        <v>117.98399999999999</v>
      </c>
      <c r="AA139" s="22">
        <v>-1.3064600000000001E-2</v>
      </c>
      <c r="AB139" s="22">
        <v>129</v>
      </c>
      <c r="AC139" s="22">
        <v>1.1996500000000001</v>
      </c>
      <c r="AD139">
        <f t="shared" si="16"/>
        <v>13.0646</v>
      </c>
      <c r="AE139">
        <f t="shared" si="17"/>
        <v>15.682876486</v>
      </c>
      <c r="AF139" s="9"/>
      <c r="AG139" s="22">
        <v>0.54962200000000005</v>
      </c>
      <c r="AH139" s="22">
        <v>136.958</v>
      </c>
      <c r="AI139" s="22">
        <v>-1.5512099999999999E-2</v>
      </c>
      <c r="AJ139" s="22">
        <v>129</v>
      </c>
      <c r="AK139" s="22">
        <v>0.54898100000000005</v>
      </c>
      <c r="AL139">
        <f t="shared" si="18"/>
        <v>15.512099999999998</v>
      </c>
      <c r="AM139">
        <f t="shared" si="19"/>
        <v>8.5257914261999996</v>
      </c>
      <c r="AP139" s="9"/>
      <c r="AQ139" s="22">
        <v>1.20041</v>
      </c>
      <c r="AR139" s="22">
        <v>159.60300000000001</v>
      </c>
      <c r="AS139" s="22">
        <v>-1.31561E-2</v>
      </c>
      <c r="AT139" s="22">
        <v>129</v>
      </c>
      <c r="AU139" s="22">
        <v>1.1996500000000001</v>
      </c>
      <c r="AV139">
        <f t="shared" si="20"/>
        <v>13.1561</v>
      </c>
      <c r="AW139">
        <f t="shared" si="21"/>
        <v>15.792714001</v>
      </c>
      <c r="AX139" s="9"/>
      <c r="AY139" s="22">
        <v>0.54962200000000005</v>
      </c>
      <c r="AZ139" s="22">
        <v>182.464</v>
      </c>
      <c r="BA139" s="22">
        <v>-1.54877E-2</v>
      </c>
      <c r="BB139" s="22">
        <v>129</v>
      </c>
      <c r="BC139" s="22">
        <v>0.54904200000000003</v>
      </c>
      <c r="BD139">
        <f t="shared" si="22"/>
        <v>15.4877</v>
      </c>
      <c r="BE139">
        <f t="shared" si="23"/>
        <v>8.5123806494000007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50.551400000000001</v>
      </c>
      <c r="I140" s="22">
        <v>-1.28906E-2</v>
      </c>
      <c r="J140" s="22">
        <v>130</v>
      </c>
      <c r="K140" s="22">
        <v>1.1950700000000001</v>
      </c>
      <c r="L140">
        <f t="shared" ref="L140:L203" si="24">-I140/$F$2*1000</f>
        <v>12.890600000000001</v>
      </c>
      <c r="M140">
        <f t="shared" ref="M140:M203" si="25">L140*G140</f>
        <v>15.409036522000001</v>
      </c>
      <c r="N140" s="9"/>
      <c r="O140" s="22">
        <v>0.55465699999999996</v>
      </c>
      <c r="P140" s="22">
        <v>68.434200000000004</v>
      </c>
      <c r="Q140" s="22">
        <v>-1.54205E-2</v>
      </c>
      <c r="R140" s="22">
        <v>130</v>
      </c>
      <c r="S140" s="22">
        <v>0.55401599999999995</v>
      </c>
      <c r="T140">
        <f t="shared" ref="T140:T203" si="26">-Q140/$F$2*1000</f>
        <v>15.420500000000001</v>
      </c>
      <c r="U140">
        <f t="shared" ref="U140:U203" si="27">T140*O140</f>
        <v>8.5530882684999998</v>
      </c>
      <c r="X140" s="9"/>
      <c r="Y140" s="22">
        <v>1.19537</v>
      </c>
      <c r="Z140" s="22">
        <v>117.994</v>
      </c>
      <c r="AA140" s="22">
        <v>-1.3113400000000001E-2</v>
      </c>
      <c r="AB140" s="22">
        <v>130</v>
      </c>
      <c r="AC140" s="22">
        <v>1.19415</v>
      </c>
      <c r="AD140">
        <f t="shared" ref="AD140:AD203" si="28">-AA140/$F$2*1000</f>
        <v>13.1134</v>
      </c>
      <c r="AE140">
        <f t="shared" ref="AE140:AE203" si="29">AD140*Y140</f>
        <v>15.675364958000001</v>
      </c>
      <c r="AF140" s="9"/>
      <c r="AG140" s="22">
        <v>0.55465699999999996</v>
      </c>
      <c r="AH140" s="22">
        <v>136.96799999999999</v>
      </c>
      <c r="AI140" s="22">
        <v>-1.54938E-2</v>
      </c>
      <c r="AJ140" s="22">
        <v>130</v>
      </c>
      <c r="AK140" s="22">
        <v>0.55401599999999995</v>
      </c>
      <c r="AL140">
        <f t="shared" ref="AL140:AL203" si="30">-AI140/$F$2*1000</f>
        <v>15.4938</v>
      </c>
      <c r="AM140">
        <f t="shared" ref="AM140:AM203" si="31">AL140*AG140</f>
        <v>8.5937446265999995</v>
      </c>
      <c r="AP140" s="9"/>
      <c r="AQ140" s="22">
        <v>1.19537</v>
      </c>
      <c r="AR140" s="22">
        <v>159.613</v>
      </c>
      <c r="AS140" s="22">
        <v>-1.31927E-2</v>
      </c>
      <c r="AT140" s="22">
        <v>130</v>
      </c>
      <c r="AU140" s="22">
        <v>1.1944600000000001</v>
      </c>
      <c r="AV140">
        <f t="shared" ref="AV140:AV203" si="32">-AS140/$F$2*1000</f>
        <v>13.1927</v>
      </c>
      <c r="AW140">
        <f t="shared" ref="AW140:AW203" si="33">AV140*AQ140</f>
        <v>15.770157799000001</v>
      </c>
      <c r="AX140" s="9"/>
      <c r="AY140" s="22">
        <v>0.55465699999999996</v>
      </c>
      <c r="AZ140" s="22">
        <v>182.47399999999999</v>
      </c>
      <c r="BA140" s="22">
        <v>-1.5478499999999999E-2</v>
      </c>
      <c r="BB140" s="22">
        <v>130</v>
      </c>
      <c r="BC140" s="22">
        <v>0.55401599999999995</v>
      </c>
      <c r="BD140">
        <f t="shared" ref="BD140:BD203" si="34">-BA140/$F$2*1000</f>
        <v>15.478499999999999</v>
      </c>
      <c r="BE140">
        <f t="shared" ref="BE140:BE203" si="35">BD140*AY140</f>
        <v>8.5852583744999986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50.561399999999999</v>
      </c>
      <c r="I141" s="22">
        <v>-1.29303E-2</v>
      </c>
      <c r="J141" s="22">
        <v>131</v>
      </c>
      <c r="K141" s="22">
        <v>1.18896</v>
      </c>
      <c r="L141">
        <f t="shared" si="24"/>
        <v>12.930300000000001</v>
      </c>
      <c r="M141">
        <f t="shared" si="25"/>
        <v>15.391453302</v>
      </c>
      <c r="N141" s="9"/>
      <c r="O141" s="22">
        <v>0.55969199999999997</v>
      </c>
      <c r="P141" s="22">
        <v>68.444299999999998</v>
      </c>
      <c r="Q141" s="22">
        <v>-1.54083E-2</v>
      </c>
      <c r="R141" s="22">
        <v>131</v>
      </c>
      <c r="S141" s="22">
        <v>0.55908199999999997</v>
      </c>
      <c r="T141">
        <f t="shared" si="26"/>
        <v>15.408300000000001</v>
      </c>
      <c r="U141">
        <f t="shared" si="27"/>
        <v>8.6239022435999999</v>
      </c>
      <c r="X141" s="9"/>
      <c r="Y141" s="22">
        <v>1.19034</v>
      </c>
      <c r="Z141" s="22">
        <v>118.004</v>
      </c>
      <c r="AA141" s="22">
        <v>-1.3159199999999999E-2</v>
      </c>
      <c r="AB141" s="22">
        <v>131</v>
      </c>
      <c r="AC141" s="22">
        <v>1.18927</v>
      </c>
      <c r="AD141">
        <f t="shared" si="28"/>
        <v>13.1592</v>
      </c>
      <c r="AE141">
        <f t="shared" si="29"/>
        <v>15.663922127999999</v>
      </c>
      <c r="AF141" s="9"/>
      <c r="AG141" s="22">
        <v>0.55969199999999997</v>
      </c>
      <c r="AH141" s="22">
        <v>136.97900000000001</v>
      </c>
      <c r="AI141" s="22">
        <v>-1.5484599999999999E-2</v>
      </c>
      <c r="AJ141" s="22">
        <v>131</v>
      </c>
      <c r="AK141" s="22">
        <v>0.55908199999999997</v>
      </c>
      <c r="AL141">
        <f t="shared" si="30"/>
        <v>15.484599999999999</v>
      </c>
      <c r="AM141">
        <f t="shared" si="31"/>
        <v>8.6666067431999991</v>
      </c>
      <c r="AP141" s="9"/>
      <c r="AQ141" s="22">
        <v>1.19034</v>
      </c>
      <c r="AR141" s="22">
        <v>159.62299999999999</v>
      </c>
      <c r="AS141" s="22">
        <v>-1.3229400000000001E-2</v>
      </c>
      <c r="AT141" s="22">
        <v>131</v>
      </c>
      <c r="AU141" s="22">
        <v>1.1895800000000001</v>
      </c>
      <c r="AV141">
        <f t="shared" si="32"/>
        <v>13.2294</v>
      </c>
      <c r="AW141">
        <f t="shared" si="33"/>
        <v>15.747483996</v>
      </c>
      <c r="AX141" s="9"/>
      <c r="AY141" s="22">
        <v>0.55969199999999997</v>
      </c>
      <c r="AZ141" s="22">
        <v>182.48400000000001</v>
      </c>
      <c r="BA141" s="22">
        <v>-1.5457200000000001E-2</v>
      </c>
      <c r="BB141" s="22">
        <v>131</v>
      </c>
      <c r="BC141" s="22">
        <v>0.55902099999999999</v>
      </c>
      <c r="BD141">
        <f t="shared" si="34"/>
        <v>15.4572</v>
      </c>
      <c r="BE141">
        <f t="shared" si="35"/>
        <v>8.6512711824000004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50.5715</v>
      </c>
      <c r="I142" s="22">
        <v>-1.2970000000000001E-2</v>
      </c>
      <c r="J142" s="22">
        <v>132</v>
      </c>
      <c r="K142" s="22">
        <v>1.18469</v>
      </c>
      <c r="L142">
        <f t="shared" si="24"/>
        <v>12.97</v>
      </c>
      <c r="M142">
        <f t="shared" si="25"/>
        <v>15.373341000000002</v>
      </c>
      <c r="N142" s="9"/>
      <c r="O142" s="22">
        <v>0.56472800000000001</v>
      </c>
      <c r="P142" s="22">
        <v>68.454400000000007</v>
      </c>
      <c r="Q142" s="22">
        <v>-1.53931E-2</v>
      </c>
      <c r="R142" s="22">
        <v>132</v>
      </c>
      <c r="S142" s="22">
        <v>0.56414799999999998</v>
      </c>
      <c r="T142">
        <f t="shared" si="26"/>
        <v>15.3931</v>
      </c>
      <c r="U142">
        <f t="shared" si="27"/>
        <v>8.6929145767999998</v>
      </c>
      <c r="X142" s="9"/>
      <c r="Y142" s="22">
        <v>1.1853</v>
      </c>
      <c r="Z142" s="22">
        <v>118.014</v>
      </c>
      <c r="AA142" s="22">
        <v>-1.3207999999999999E-2</v>
      </c>
      <c r="AB142" s="22">
        <v>132</v>
      </c>
      <c r="AC142" s="22">
        <v>1.1843900000000001</v>
      </c>
      <c r="AD142">
        <f t="shared" si="28"/>
        <v>13.207999999999998</v>
      </c>
      <c r="AE142">
        <f t="shared" si="29"/>
        <v>15.655442399999998</v>
      </c>
      <c r="AF142" s="9"/>
      <c r="AG142" s="22">
        <v>0.56472800000000001</v>
      </c>
      <c r="AH142" s="22">
        <v>136.989</v>
      </c>
      <c r="AI142" s="22">
        <v>-1.5478499999999999E-2</v>
      </c>
      <c r="AJ142" s="22">
        <v>132</v>
      </c>
      <c r="AK142" s="22">
        <v>0.56411699999999998</v>
      </c>
      <c r="AL142">
        <f t="shared" si="30"/>
        <v>15.478499999999999</v>
      </c>
      <c r="AM142">
        <f t="shared" si="31"/>
        <v>8.7411423479999986</v>
      </c>
      <c r="AP142" s="9"/>
      <c r="AQ142" s="22">
        <v>1.1853</v>
      </c>
      <c r="AR142" s="22">
        <v>159.63399999999999</v>
      </c>
      <c r="AS142" s="22">
        <v>-1.3262899999999999E-2</v>
      </c>
      <c r="AT142" s="22">
        <v>132</v>
      </c>
      <c r="AU142" s="22">
        <v>1.18469</v>
      </c>
      <c r="AV142">
        <f t="shared" si="32"/>
        <v>13.2629</v>
      </c>
      <c r="AW142">
        <f t="shared" si="33"/>
        <v>15.720515370000001</v>
      </c>
      <c r="AX142" s="9"/>
      <c r="AY142" s="22">
        <v>0.56472800000000001</v>
      </c>
      <c r="AZ142" s="22">
        <v>182.495</v>
      </c>
      <c r="BA142" s="22">
        <v>-1.5444899999999999E-2</v>
      </c>
      <c r="BB142" s="22">
        <v>132</v>
      </c>
      <c r="BC142" s="22">
        <v>0.56414799999999998</v>
      </c>
      <c r="BD142">
        <f t="shared" si="34"/>
        <v>15.444899999999999</v>
      </c>
      <c r="BE142">
        <f t="shared" si="35"/>
        <v>8.7221674872000001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50.581600000000002</v>
      </c>
      <c r="I143" s="22">
        <v>-1.30127E-2</v>
      </c>
      <c r="J143" s="22">
        <v>133</v>
      </c>
      <c r="K143" s="22">
        <v>1.1792</v>
      </c>
      <c r="L143">
        <f t="shared" si="24"/>
        <v>13.012700000000001</v>
      </c>
      <c r="M143">
        <f t="shared" si="25"/>
        <v>15.358499429</v>
      </c>
      <c r="N143" s="9"/>
      <c r="O143" s="22">
        <v>0.56976300000000002</v>
      </c>
      <c r="P143" s="22">
        <v>68.464399999999998</v>
      </c>
      <c r="Q143" s="22">
        <v>-1.53778E-2</v>
      </c>
      <c r="R143" s="22">
        <v>133</v>
      </c>
      <c r="S143" s="22">
        <v>0.56906100000000004</v>
      </c>
      <c r="T143">
        <f t="shared" si="26"/>
        <v>15.377800000000001</v>
      </c>
      <c r="U143">
        <f t="shared" si="27"/>
        <v>8.7617014614000013</v>
      </c>
      <c r="X143" s="9"/>
      <c r="Y143" s="22">
        <v>1.1802699999999999</v>
      </c>
      <c r="Z143" s="22">
        <v>118.024</v>
      </c>
      <c r="AA143" s="22">
        <v>-1.3247699999999999E-2</v>
      </c>
      <c r="AB143" s="22">
        <v>133</v>
      </c>
      <c r="AC143" s="22">
        <v>1.17981</v>
      </c>
      <c r="AD143">
        <f t="shared" si="28"/>
        <v>13.2477</v>
      </c>
      <c r="AE143">
        <f t="shared" si="29"/>
        <v>15.635862878999999</v>
      </c>
      <c r="AF143" s="9"/>
      <c r="AG143" s="22">
        <v>0.56976300000000002</v>
      </c>
      <c r="AH143" s="22">
        <v>136.999</v>
      </c>
      <c r="AI143" s="22">
        <v>-1.5472400000000001E-2</v>
      </c>
      <c r="AJ143" s="22">
        <v>133</v>
      </c>
      <c r="AK143" s="22">
        <v>0.56915300000000002</v>
      </c>
      <c r="AL143">
        <f t="shared" si="30"/>
        <v>15.4724</v>
      </c>
      <c r="AM143">
        <f t="shared" si="31"/>
        <v>8.8156010412000008</v>
      </c>
      <c r="AP143" s="9"/>
      <c r="AQ143" s="22">
        <v>1.1802699999999999</v>
      </c>
      <c r="AR143" s="22">
        <v>159.64400000000001</v>
      </c>
      <c r="AS143" s="22">
        <v>-1.33087E-2</v>
      </c>
      <c r="AT143" s="22">
        <v>133</v>
      </c>
      <c r="AU143" s="22">
        <v>1.17889</v>
      </c>
      <c r="AV143">
        <f t="shared" si="32"/>
        <v>13.3087</v>
      </c>
      <c r="AW143">
        <f t="shared" si="33"/>
        <v>15.707859349</v>
      </c>
      <c r="AX143" s="9"/>
      <c r="AY143" s="22">
        <v>0.56976300000000002</v>
      </c>
      <c r="AZ143" s="22">
        <v>182.505</v>
      </c>
      <c r="BA143" s="22">
        <v>-1.5438800000000001E-2</v>
      </c>
      <c r="BB143" s="22">
        <v>133</v>
      </c>
      <c r="BC143" s="22">
        <v>0.56912200000000002</v>
      </c>
      <c r="BD143">
        <f t="shared" si="34"/>
        <v>15.438800000000001</v>
      </c>
      <c r="BE143">
        <f t="shared" si="35"/>
        <v>8.7964570044000006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50.591700000000003</v>
      </c>
      <c r="I144" s="22">
        <v>-1.30554E-2</v>
      </c>
      <c r="J144" s="22">
        <v>134</v>
      </c>
      <c r="K144" s="22">
        <v>1.17432</v>
      </c>
      <c r="L144">
        <f t="shared" si="24"/>
        <v>13.055400000000001</v>
      </c>
      <c r="M144">
        <f t="shared" si="25"/>
        <v>15.343097742000001</v>
      </c>
      <c r="N144" s="9"/>
      <c r="O144" s="22">
        <v>0.57479899999999995</v>
      </c>
      <c r="P144" s="22">
        <v>68.474500000000006</v>
      </c>
      <c r="Q144" s="22">
        <v>-1.5368700000000001E-2</v>
      </c>
      <c r="R144" s="22">
        <v>134</v>
      </c>
      <c r="S144" s="22">
        <v>0.57415799999999995</v>
      </c>
      <c r="T144">
        <f t="shared" si="26"/>
        <v>15.3687</v>
      </c>
      <c r="U144">
        <f t="shared" si="27"/>
        <v>8.8339133912999994</v>
      </c>
      <c r="X144" s="9"/>
      <c r="Y144" s="22">
        <v>1.17523</v>
      </c>
      <c r="Z144" s="22">
        <v>118.03400000000001</v>
      </c>
      <c r="AA144" s="22">
        <v>-1.3290400000000001E-2</v>
      </c>
      <c r="AB144" s="22">
        <v>134</v>
      </c>
      <c r="AC144" s="22">
        <v>1.17462</v>
      </c>
      <c r="AD144">
        <f t="shared" si="28"/>
        <v>13.2904</v>
      </c>
      <c r="AE144">
        <f t="shared" si="29"/>
        <v>15.619276791999999</v>
      </c>
      <c r="AF144" s="9"/>
      <c r="AG144" s="22">
        <v>0.57479899999999995</v>
      </c>
      <c r="AH144" s="22">
        <v>137.00899999999999</v>
      </c>
      <c r="AI144" s="22">
        <v>-1.5472400000000001E-2</v>
      </c>
      <c r="AJ144" s="22">
        <v>134</v>
      </c>
      <c r="AK144" s="22">
        <v>0.57421900000000003</v>
      </c>
      <c r="AL144">
        <f t="shared" si="30"/>
        <v>15.4724</v>
      </c>
      <c r="AM144">
        <f t="shared" si="31"/>
        <v>8.8935200475999991</v>
      </c>
      <c r="AP144" s="9"/>
      <c r="AQ144" s="22">
        <v>1.17523</v>
      </c>
      <c r="AR144" s="22">
        <v>159.654</v>
      </c>
      <c r="AS144" s="22">
        <v>-1.3351399999999999E-2</v>
      </c>
      <c r="AT144" s="22">
        <v>134</v>
      </c>
      <c r="AU144" s="22">
        <v>1.17462</v>
      </c>
      <c r="AV144">
        <f t="shared" si="32"/>
        <v>13.3514</v>
      </c>
      <c r="AW144">
        <f t="shared" si="33"/>
        <v>15.690965821999999</v>
      </c>
      <c r="AX144" s="9"/>
      <c r="AY144" s="22">
        <v>0.57479899999999995</v>
      </c>
      <c r="AZ144" s="22">
        <v>182.51499999999999</v>
      </c>
      <c r="BA144" s="22">
        <v>-1.5429699999999999E-2</v>
      </c>
      <c r="BB144" s="22">
        <v>134</v>
      </c>
      <c r="BC144" s="22">
        <v>0.57418800000000003</v>
      </c>
      <c r="BD144">
        <f t="shared" si="34"/>
        <v>15.429699999999999</v>
      </c>
      <c r="BE144">
        <f t="shared" si="35"/>
        <v>8.8689761302999983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50.601700000000001</v>
      </c>
      <c r="I145" s="22">
        <v>-1.30951E-2</v>
      </c>
      <c r="J145" s="22">
        <v>135</v>
      </c>
      <c r="K145" s="22">
        <v>1.16974</v>
      </c>
      <c r="L145">
        <f t="shared" si="24"/>
        <v>13.0951</v>
      </c>
      <c r="M145">
        <f t="shared" si="25"/>
        <v>15.32388602</v>
      </c>
      <c r="N145" s="9"/>
      <c r="O145" s="22">
        <v>0.57983399999999996</v>
      </c>
      <c r="P145" s="22">
        <v>68.4846</v>
      </c>
      <c r="Q145" s="22">
        <v>-1.53534E-2</v>
      </c>
      <c r="R145" s="22">
        <v>135</v>
      </c>
      <c r="S145" s="22">
        <v>0.57919299999999996</v>
      </c>
      <c r="T145">
        <f t="shared" si="26"/>
        <v>15.353399999999999</v>
      </c>
      <c r="U145">
        <f t="shared" si="27"/>
        <v>8.9024233355999982</v>
      </c>
      <c r="X145" s="9"/>
      <c r="Y145" s="22">
        <v>1.1701999999999999</v>
      </c>
      <c r="Z145" s="22">
        <v>118.044</v>
      </c>
      <c r="AA145" s="22">
        <v>-1.3330099999999999E-2</v>
      </c>
      <c r="AB145" s="22">
        <v>135</v>
      </c>
      <c r="AC145" s="22">
        <v>1.16974</v>
      </c>
      <c r="AD145">
        <f t="shared" si="28"/>
        <v>13.3301</v>
      </c>
      <c r="AE145">
        <f t="shared" si="29"/>
        <v>15.598883019999999</v>
      </c>
      <c r="AF145" s="9"/>
      <c r="AG145" s="22">
        <v>0.57983399999999996</v>
      </c>
      <c r="AH145" s="22">
        <v>137.01900000000001</v>
      </c>
      <c r="AI145" s="22">
        <v>-1.5448E-2</v>
      </c>
      <c r="AJ145" s="22">
        <v>135</v>
      </c>
      <c r="AK145" s="22">
        <v>0.57919299999999996</v>
      </c>
      <c r="AL145">
        <f t="shared" si="30"/>
        <v>15.448</v>
      </c>
      <c r="AM145">
        <f t="shared" si="31"/>
        <v>8.957275632</v>
      </c>
      <c r="AP145" s="9"/>
      <c r="AQ145" s="22">
        <v>1.1701999999999999</v>
      </c>
      <c r="AR145" s="22">
        <v>159.66399999999999</v>
      </c>
      <c r="AS145" s="22">
        <v>-1.33972E-2</v>
      </c>
      <c r="AT145" s="22">
        <v>135</v>
      </c>
      <c r="AU145" s="22">
        <v>1.16913</v>
      </c>
      <c r="AV145">
        <f t="shared" si="32"/>
        <v>13.3972</v>
      </c>
      <c r="AW145">
        <f t="shared" si="33"/>
        <v>15.677403439999999</v>
      </c>
      <c r="AX145" s="9"/>
      <c r="AY145" s="22">
        <v>0.57983399999999996</v>
      </c>
      <c r="AZ145" s="22">
        <v>182.52500000000001</v>
      </c>
      <c r="BA145" s="22">
        <v>-1.54205E-2</v>
      </c>
      <c r="BB145" s="22">
        <v>135</v>
      </c>
      <c r="BC145" s="22">
        <v>0.57925400000000005</v>
      </c>
      <c r="BD145">
        <f t="shared" si="34"/>
        <v>15.420500000000001</v>
      </c>
      <c r="BE145">
        <f t="shared" si="35"/>
        <v>8.9413301969999992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50.611800000000002</v>
      </c>
      <c r="I146" s="22">
        <v>-1.31317E-2</v>
      </c>
      <c r="J146" s="22">
        <v>136</v>
      </c>
      <c r="K146" s="22">
        <v>1.16425</v>
      </c>
      <c r="L146">
        <f t="shared" si="24"/>
        <v>13.1317</v>
      </c>
      <c r="M146">
        <f t="shared" si="25"/>
        <v>15.300531572000001</v>
      </c>
      <c r="N146" s="9"/>
      <c r="O146" s="22">
        <v>0.58486899999999997</v>
      </c>
      <c r="P146" s="22">
        <v>68.494600000000005</v>
      </c>
      <c r="Q146" s="22">
        <v>-1.5341199999999999E-2</v>
      </c>
      <c r="R146" s="22">
        <v>136</v>
      </c>
      <c r="S146" s="22">
        <v>0.584229</v>
      </c>
      <c r="T146">
        <f t="shared" si="26"/>
        <v>15.341199999999999</v>
      </c>
      <c r="U146">
        <f t="shared" si="27"/>
        <v>8.972592302799999</v>
      </c>
      <c r="X146" s="9"/>
      <c r="Y146" s="22">
        <v>1.16516</v>
      </c>
      <c r="Z146" s="22">
        <v>118.054</v>
      </c>
      <c r="AA146" s="22">
        <v>-1.33759E-2</v>
      </c>
      <c r="AB146" s="22">
        <v>136</v>
      </c>
      <c r="AC146" s="22">
        <v>1.16455</v>
      </c>
      <c r="AD146">
        <f t="shared" si="28"/>
        <v>13.3759</v>
      </c>
      <c r="AE146">
        <f t="shared" si="29"/>
        <v>15.585063644</v>
      </c>
      <c r="AF146" s="9"/>
      <c r="AG146" s="22">
        <v>0.58486899999999997</v>
      </c>
      <c r="AH146" s="22">
        <v>137.029</v>
      </c>
      <c r="AI146" s="22">
        <v>-1.54358E-2</v>
      </c>
      <c r="AJ146" s="22">
        <v>136</v>
      </c>
      <c r="AK146" s="22">
        <v>0.58425899999999997</v>
      </c>
      <c r="AL146">
        <f t="shared" si="30"/>
        <v>15.4358</v>
      </c>
      <c r="AM146">
        <f t="shared" si="31"/>
        <v>9.0279209102000006</v>
      </c>
      <c r="AP146" s="9"/>
      <c r="AQ146" s="22">
        <v>1.16516</v>
      </c>
      <c r="AR146" s="22">
        <v>159.67400000000001</v>
      </c>
      <c r="AS146" s="22">
        <v>-1.3433799999999999E-2</v>
      </c>
      <c r="AT146" s="22">
        <v>136</v>
      </c>
      <c r="AU146" s="22">
        <v>1.16425</v>
      </c>
      <c r="AV146">
        <f t="shared" si="32"/>
        <v>13.4338</v>
      </c>
      <c r="AW146">
        <f t="shared" si="33"/>
        <v>15.652526408</v>
      </c>
      <c r="AX146" s="9"/>
      <c r="AY146" s="22">
        <v>0.58486899999999997</v>
      </c>
      <c r="AZ146" s="22">
        <v>182.535</v>
      </c>
      <c r="BA146" s="22">
        <v>-1.54022E-2</v>
      </c>
      <c r="BB146" s="22">
        <v>136</v>
      </c>
      <c r="BC146" s="22">
        <v>0.584229</v>
      </c>
      <c r="BD146">
        <f t="shared" si="34"/>
        <v>15.402199999999999</v>
      </c>
      <c r="BE146">
        <f t="shared" si="35"/>
        <v>9.0082693117999995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50.621899999999997</v>
      </c>
      <c r="I147" s="22">
        <v>-1.31653E-2</v>
      </c>
      <c r="J147" s="22">
        <v>137</v>
      </c>
      <c r="K147" s="22">
        <v>1.15906</v>
      </c>
      <c r="L147">
        <f t="shared" si="24"/>
        <v>13.1653</v>
      </c>
      <c r="M147">
        <f t="shared" si="25"/>
        <v>15.273459489000002</v>
      </c>
      <c r="N147" s="9"/>
      <c r="O147" s="22">
        <v>0.58990500000000001</v>
      </c>
      <c r="P147" s="22">
        <v>68.5047</v>
      </c>
      <c r="Q147" s="22">
        <v>-1.53259E-2</v>
      </c>
      <c r="R147" s="22">
        <v>137</v>
      </c>
      <c r="S147" s="22">
        <v>0.58929399999999998</v>
      </c>
      <c r="T147">
        <f t="shared" si="26"/>
        <v>15.325900000000001</v>
      </c>
      <c r="U147">
        <f t="shared" si="27"/>
        <v>9.0408250395000014</v>
      </c>
      <c r="X147" s="9"/>
      <c r="Y147" s="22">
        <v>1.1601300000000001</v>
      </c>
      <c r="Z147" s="22">
        <v>118.06399999999999</v>
      </c>
      <c r="AA147" s="22">
        <v>-1.3421600000000001E-2</v>
      </c>
      <c r="AB147" s="22">
        <v>137</v>
      </c>
      <c r="AC147" s="22">
        <v>1.15906</v>
      </c>
      <c r="AD147">
        <f t="shared" si="28"/>
        <v>13.4216</v>
      </c>
      <c r="AE147">
        <f t="shared" si="29"/>
        <v>15.570800808000001</v>
      </c>
      <c r="AF147" s="9"/>
      <c r="AG147" s="22">
        <v>0.58990500000000001</v>
      </c>
      <c r="AH147" s="22">
        <v>137.03899999999999</v>
      </c>
      <c r="AI147" s="22">
        <v>-1.54205E-2</v>
      </c>
      <c r="AJ147" s="22">
        <v>137</v>
      </c>
      <c r="AK147" s="22">
        <v>0.58935499999999996</v>
      </c>
      <c r="AL147">
        <f t="shared" si="30"/>
        <v>15.420500000000001</v>
      </c>
      <c r="AM147">
        <f t="shared" si="31"/>
        <v>9.0966300525000001</v>
      </c>
      <c r="AP147" s="9"/>
      <c r="AQ147" s="22">
        <v>1.1601300000000001</v>
      </c>
      <c r="AR147" s="22">
        <v>159.684</v>
      </c>
      <c r="AS147" s="22">
        <v>-1.34644E-2</v>
      </c>
      <c r="AT147" s="22">
        <v>137</v>
      </c>
      <c r="AU147" s="22">
        <v>1.15906</v>
      </c>
      <c r="AV147">
        <f t="shared" si="32"/>
        <v>13.464399999999999</v>
      </c>
      <c r="AW147">
        <f t="shared" si="33"/>
        <v>15.620454372000001</v>
      </c>
      <c r="AX147" s="9"/>
      <c r="AY147" s="22">
        <v>0.58990500000000001</v>
      </c>
      <c r="AZ147" s="22">
        <v>182.54499999999999</v>
      </c>
      <c r="BA147" s="22">
        <v>-1.5389999999999999E-2</v>
      </c>
      <c r="BB147" s="22">
        <v>137</v>
      </c>
      <c r="BC147" s="22">
        <v>0.58941699999999997</v>
      </c>
      <c r="BD147">
        <f t="shared" si="34"/>
        <v>15.389999999999999</v>
      </c>
      <c r="BE147">
        <f t="shared" si="35"/>
        <v>9.0786379499999992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50.631900000000002</v>
      </c>
      <c r="I148" s="22">
        <v>-1.3195800000000001E-2</v>
      </c>
      <c r="J148" s="22">
        <v>138</v>
      </c>
      <c r="K148" s="22">
        <v>1.1541699999999999</v>
      </c>
      <c r="L148">
        <f t="shared" si="24"/>
        <v>13.1958</v>
      </c>
      <c r="M148">
        <f t="shared" si="25"/>
        <v>15.242336622</v>
      </c>
      <c r="N148" s="9"/>
      <c r="O148" s="22">
        <v>0.59494000000000002</v>
      </c>
      <c r="P148" s="22">
        <v>68.514799999999994</v>
      </c>
      <c r="Q148" s="22">
        <v>-1.53107E-2</v>
      </c>
      <c r="R148" s="22">
        <v>138</v>
      </c>
      <c r="S148" s="22">
        <v>0.59433000000000002</v>
      </c>
      <c r="T148">
        <f t="shared" si="26"/>
        <v>15.310700000000001</v>
      </c>
      <c r="U148">
        <f t="shared" si="27"/>
        <v>9.1089478580000005</v>
      </c>
      <c r="X148" s="9"/>
      <c r="Y148" s="22">
        <v>1.15509</v>
      </c>
      <c r="Z148" s="22">
        <v>118.074</v>
      </c>
      <c r="AA148" s="22">
        <v>-1.3461300000000001E-2</v>
      </c>
      <c r="AB148" s="22">
        <v>138</v>
      </c>
      <c r="AC148" s="22">
        <v>1.15509</v>
      </c>
      <c r="AD148">
        <f t="shared" si="28"/>
        <v>13.461300000000001</v>
      </c>
      <c r="AE148">
        <f t="shared" si="29"/>
        <v>15.549013017</v>
      </c>
      <c r="AF148" s="9"/>
      <c r="AG148" s="22">
        <v>0.59494000000000002</v>
      </c>
      <c r="AH148" s="22">
        <v>137.04900000000001</v>
      </c>
      <c r="AI148" s="22">
        <v>-1.54053E-2</v>
      </c>
      <c r="AJ148" s="22">
        <v>138</v>
      </c>
      <c r="AK148" s="22">
        <v>0.59426900000000005</v>
      </c>
      <c r="AL148">
        <f t="shared" si="30"/>
        <v>15.4053</v>
      </c>
      <c r="AM148">
        <f t="shared" si="31"/>
        <v>9.1652291820000009</v>
      </c>
      <c r="AP148" s="9"/>
      <c r="AQ148" s="22">
        <v>1.15509</v>
      </c>
      <c r="AR148" s="22">
        <v>159.69399999999999</v>
      </c>
      <c r="AS148" s="22">
        <v>-1.34979E-2</v>
      </c>
      <c r="AT148" s="22">
        <v>138</v>
      </c>
      <c r="AU148" s="22">
        <v>1.15448</v>
      </c>
      <c r="AV148">
        <f t="shared" si="32"/>
        <v>13.4979</v>
      </c>
      <c r="AW148">
        <f t="shared" si="33"/>
        <v>15.591289310999999</v>
      </c>
      <c r="AX148" s="9"/>
      <c r="AY148" s="22">
        <v>0.59494000000000002</v>
      </c>
      <c r="AZ148" s="22">
        <v>182.55500000000001</v>
      </c>
      <c r="BA148" s="22">
        <v>-1.53778E-2</v>
      </c>
      <c r="BB148" s="22">
        <v>138</v>
      </c>
      <c r="BC148" s="22">
        <v>0.59436</v>
      </c>
      <c r="BD148">
        <f t="shared" si="34"/>
        <v>15.377800000000001</v>
      </c>
      <c r="BE148">
        <f t="shared" si="35"/>
        <v>9.148868332000001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50.642000000000003</v>
      </c>
      <c r="I149" s="22">
        <v>-1.32385E-2</v>
      </c>
      <c r="J149" s="22">
        <v>139</v>
      </c>
      <c r="K149" s="22">
        <v>1.14899</v>
      </c>
      <c r="L149">
        <f t="shared" si="24"/>
        <v>13.2385</v>
      </c>
      <c r="M149">
        <f t="shared" si="25"/>
        <v>15.224936925</v>
      </c>
      <c r="N149" s="9"/>
      <c r="O149" s="22">
        <v>0.59997599999999995</v>
      </c>
      <c r="P149" s="22">
        <v>68.524799999999999</v>
      </c>
      <c r="Q149" s="22">
        <v>-1.5286299999999999E-2</v>
      </c>
      <c r="R149" s="22">
        <v>139</v>
      </c>
      <c r="S149" s="22">
        <v>0.59942600000000001</v>
      </c>
      <c r="T149">
        <f t="shared" si="26"/>
        <v>15.286299999999999</v>
      </c>
      <c r="U149">
        <f t="shared" si="27"/>
        <v>9.1714131287999994</v>
      </c>
      <c r="X149" s="9"/>
      <c r="Y149" s="22">
        <v>1.15005</v>
      </c>
      <c r="Z149" s="22">
        <v>118.084</v>
      </c>
      <c r="AA149" s="22">
        <v>-1.3504E-2</v>
      </c>
      <c r="AB149" s="22">
        <v>139</v>
      </c>
      <c r="AC149" s="22">
        <v>1.14899</v>
      </c>
      <c r="AD149">
        <f t="shared" si="28"/>
        <v>13.504</v>
      </c>
      <c r="AE149">
        <f t="shared" si="29"/>
        <v>15.5302752</v>
      </c>
      <c r="AF149" s="9"/>
      <c r="AG149" s="22">
        <v>0.59997599999999995</v>
      </c>
      <c r="AH149" s="22">
        <v>137.059</v>
      </c>
      <c r="AI149" s="22">
        <v>-1.5380899999999999E-2</v>
      </c>
      <c r="AJ149" s="22">
        <v>139</v>
      </c>
      <c r="AK149" s="22">
        <v>0.59936500000000004</v>
      </c>
      <c r="AL149">
        <f t="shared" si="30"/>
        <v>15.380899999999999</v>
      </c>
      <c r="AM149">
        <f t="shared" si="31"/>
        <v>9.2281708583999986</v>
      </c>
      <c r="AP149" s="9"/>
      <c r="AQ149" s="22">
        <v>1.15005</v>
      </c>
      <c r="AR149" s="22">
        <v>159.70400000000001</v>
      </c>
      <c r="AS149" s="22">
        <v>-1.35376E-2</v>
      </c>
      <c r="AT149" s="22">
        <v>139</v>
      </c>
      <c r="AU149" s="22">
        <v>1.14899</v>
      </c>
      <c r="AV149">
        <f t="shared" si="32"/>
        <v>13.537600000000001</v>
      </c>
      <c r="AW149">
        <f t="shared" si="33"/>
        <v>15.568916880000002</v>
      </c>
      <c r="AX149" s="9"/>
      <c r="AY149" s="22">
        <v>0.59997599999999995</v>
      </c>
      <c r="AZ149" s="22">
        <v>182.565</v>
      </c>
      <c r="BA149" s="22">
        <v>-1.53717E-2</v>
      </c>
      <c r="BB149" s="22">
        <v>139</v>
      </c>
      <c r="BC149" s="22">
        <v>0.59939600000000004</v>
      </c>
      <c r="BD149">
        <f t="shared" si="34"/>
        <v>15.371700000000001</v>
      </c>
      <c r="BE149">
        <f t="shared" si="35"/>
        <v>9.2226510792000003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50.652099999999997</v>
      </c>
      <c r="I150" s="22">
        <v>-1.3281299999999999E-2</v>
      </c>
      <c r="J150" s="22">
        <v>140</v>
      </c>
      <c r="K150" s="22">
        <v>1.1440999999999999</v>
      </c>
      <c r="L150">
        <f t="shared" si="24"/>
        <v>13.2813</v>
      </c>
      <c r="M150">
        <f t="shared" si="25"/>
        <v>15.207354125999998</v>
      </c>
      <c r="N150" s="9"/>
      <c r="O150" s="22">
        <v>0.60501099999999997</v>
      </c>
      <c r="P150" s="22">
        <v>68.534899999999993</v>
      </c>
      <c r="Q150" s="22">
        <v>-1.52649E-2</v>
      </c>
      <c r="R150" s="22">
        <v>140</v>
      </c>
      <c r="S150" s="22">
        <v>0.60436999999999996</v>
      </c>
      <c r="T150">
        <f t="shared" si="26"/>
        <v>15.264899999999999</v>
      </c>
      <c r="U150">
        <f t="shared" si="27"/>
        <v>9.2354324138999981</v>
      </c>
      <c r="X150" s="9"/>
      <c r="Y150" s="22">
        <v>1.1450199999999999</v>
      </c>
      <c r="Z150" s="22">
        <v>118.09399999999999</v>
      </c>
      <c r="AA150" s="22">
        <v>-1.35406E-2</v>
      </c>
      <c r="AB150" s="22">
        <v>140</v>
      </c>
      <c r="AC150" s="22">
        <v>1.1440999999999999</v>
      </c>
      <c r="AD150">
        <f t="shared" si="28"/>
        <v>13.5406</v>
      </c>
      <c r="AE150">
        <f t="shared" si="29"/>
        <v>15.504257811999999</v>
      </c>
      <c r="AF150" s="9"/>
      <c r="AG150" s="22">
        <v>0.60501099999999997</v>
      </c>
      <c r="AH150" s="22">
        <v>137.06899999999999</v>
      </c>
      <c r="AI150" s="22">
        <v>-1.5368700000000001E-2</v>
      </c>
      <c r="AJ150" s="22">
        <v>140</v>
      </c>
      <c r="AK150" s="22">
        <v>0.60443100000000005</v>
      </c>
      <c r="AL150">
        <f t="shared" si="30"/>
        <v>15.3687</v>
      </c>
      <c r="AM150">
        <f t="shared" si="31"/>
        <v>9.2982325557000003</v>
      </c>
      <c r="AP150" s="9"/>
      <c r="AQ150" s="22">
        <v>1.1450199999999999</v>
      </c>
      <c r="AR150" s="22">
        <v>159.714</v>
      </c>
      <c r="AS150" s="22">
        <v>-1.35742E-2</v>
      </c>
      <c r="AT150" s="22">
        <v>140</v>
      </c>
      <c r="AU150" s="22">
        <v>1.1444099999999999</v>
      </c>
      <c r="AV150">
        <f t="shared" si="32"/>
        <v>13.574199999999999</v>
      </c>
      <c r="AW150">
        <f t="shared" si="33"/>
        <v>15.542730483999998</v>
      </c>
      <c r="AX150" s="9"/>
      <c r="AY150" s="22">
        <v>0.60501099999999997</v>
      </c>
      <c r="AZ150" s="22">
        <v>182.57499999999999</v>
      </c>
      <c r="BA150" s="22">
        <v>-1.53595E-2</v>
      </c>
      <c r="BB150" s="22">
        <v>140</v>
      </c>
      <c r="BC150" s="22">
        <v>0.60440099999999997</v>
      </c>
      <c r="BD150">
        <f t="shared" si="34"/>
        <v>15.359500000000001</v>
      </c>
      <c r="BE150">
        <f t="shared" si="35"/>
        <v>9.2926664544999991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50.662199999999999</v>
      </c>
      <c r="I151" s="22">
        <v>-1.33209E-2</v>
      </c>
      <c r="J151" s="22">
        <v>141</v>
      </c>
      <c r="K151" s="22">
        <v>1.1392199999999999</v>
      </c>
      <c r="L151">
        <f t="shared" si="24"/>
        <v>13.3209</v>
      </c>
      <c r="M151">
        <f t="shared" si="25"/>
        <v>15.185559582</v>
      </c>
      <c r="N151" s="9"/>
      <c r="O151" s="22">
        <v>0.61004599999999998</v>
      </c>
      <c r="P151" s="22">
        <v>68.545000000000002</v>
      </c>
      <c r="Q151" s="22">
        <v>-1.5246600000000001E-2</v>
      </c>
      <c r="R151" s="22">
        <v>141</v>
      </c>
      <c r="S151" s="22">
        <v>0.609406</v>
      </c>
      <c r="T151">
        <f t="shared" si="26"/>
        <v>15.246600000000001</v>
      </c>
      <c r="U151">
        <f t="shared" si="27"/>
        <v>9.3011273435999993</v>
      </c>
      <c r="X151" s="9"/>
      <c r="Y151" s="22">
        <v>1.13998</v>
      </c>
      <c r="Z151" s="22">
        <v>118.104</v>
      </c>
      <c r="AA151" s="22">
        <v>-1.35773E-2</v>
      </c>
      <c r="AB151" s="22">
        <v>141</v>
      </c>
      <c r="AC151" s="22">
        <v>1.1395299999999999</v>
      </c>
      <c r="AD151">
        <f t="shared" si="28"/>
        <v>13.577300000000001</v>
      </c>
      <c r="AE151">
        <f t="shared" si="29"/>
        <v>15.477850454</v>
      </c>
      <c r="AF151" s="9"/>
      <c r="AG151" s="22">
        <v>0.61004599999999998</v>
      </c>
      <c r="AH151" s="22">
        <v>137.07900000000001</v>
      </c>
      <c r="AI151" s="22">
        <v>-1.53534E-2</v>
      </c>
      <c r="AJ151" s="22">
        <v>141</v>
      </c>
      <c r="AK151" s="22">
        <v>0.609344</v>
      </c>
      <c r="AL151">
        <f t="shared" si="30"/>
        <v>15.353399999999999</v>
      </c>
      <c r="AM151">
        <f t="shared" si="31"/>
        <v>9.3662802563999996</v>
      </c>
      <c r="AP151" s="9"/>
      <c r="AQ151" s="22">
        <v>1.13998</v>
      </c>
      <c r="AR151" s="22">
        <v>159.72399999999999</v>
      </c>
      <c r="AS151" s="22">
        <v>-1.36078E-2</v>
      </c>
      <c r="AT151" s="22">
        <v>141</v>
      </c>
      <c r="AU151" s="22">
        <v>1.1395299999999999</v>
      </c>
      <c r="AV151">
        <f t="shared" si="32"/>
        <v>13.607799999999999</v>
      </c>
      <c r="AW151">
        <f t="shared" si="33"/>
        <v>15.512619844</v>
      </c>
      <c r="AX151" s="9"/>
      <c r="AY151" s="22">
        <v>0.61004599999999998</v>
      </c>
      <c r="AZ151" s="22">
        <v>182.58500000000001</v>
      </c>
      <c r="BA151" s="22">
        <v>-1.5344200000000001E-2</v>
      </c>
      <c r="BB151" s="22">
        <v>141</v>
      </c>
      <c r="BC151" s="22">
        <v>0.60946699999999998</v>
      </c>
      <c r="BD151">
        <f t="shared" si="34"/>
        <v>15.344200000000001</v>
      </c>
      <c r="BE151">
        <f t="shared" si="35"/>
        <v>9.3606678332000008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50.672199999999997</v>
      </c>
      <c r="I152" s="22">
        <v>-1.33575E-2</v>
      </c>
      <c r="J152" s="22">
        <v>142</v>
      </c>
      <c r="K152" s="22">
        <v>1.1337299999999999</v>
      </c>
      <c r="L152">
        <f t="shared" si="24"/>
        <v>13.3575</v>
      </c>
      <c r="M152">
        <f t="shared" si="25"/>
        <v>15.160094624999999</v>
      </c>
      <c r="N152" s="9"/>
      <c r="O152" s="22">
        <v>0.61508200000000002</v>
      </c>
      <c r="P152" s="22">
        <v>68.555099999999996</v>
      </c>
      <c r="Q152" s="22">
        <v>-1.52283E-2</v>
      </c>
      <c r="R152" s="22">
        <v>142</v>
      </c>
      <c r="S152" s="22">
        <v>0.61444100000000001</v>
      </c>
      <c r="T152">
        <f t="shared" si="26"/>
        <v>15.228300000000001</v>
      </c>
      <c r="U152">
        <f t="shared" si="27"/>
        <v>9.3666532205999999</v>
      </c>
      <c r="X152" s="9"/>
      <c r="Y152" s="22">
        <v>1.1349499999999999</v>
      </c>
      <c r="Z152" s="22">
        <v>118.114</v>
      </c>
      <c r="AA152" s="22">
        <v>-1.3616899999999999E-2</v>
      </c>
      <c r="AB152" s="22">
        <v>142</v>
      </c>
      <c r="AC152" s="22">
        <v>1.1337299999999999</v>
      </c>
      <c r="AD152">
        <f t="shared" si="28"/>
        <v>13.616899999999999</v>
      </c>
      <c r="AE152">
        <f t="shared" si="29"/>
        <v>15.454500654999999</v>
      </c>
      <c r="AF152" s="9"/>
      <c r="AG152" s="22">
        <v>0.61508200000000002</v>
      </c>
      <c r="AH152" s="22">
        <v>137.089</v>
      </c>
      <c r="AI152" s="22">
        <v>-1.5335100000000001E-2</v>
      </c>
      <c r="AJ152" s="22">
        <v>142</v>
      </c>
      <c r="AK152" s="22">
        <v>0.61450199999999999</v>
      </c>
      <c r="AL152">
        <f t="shared" si="30"/>
        <v>15.335100000000001</v>
      </c>
      <c r="AM152">
        <f t="shared" si="31"/>
        <v>9.4323439782000005</v>
      </c>
      <c r="AP152" s="9"/>
      <c r="AQ152" s="22">
        <v>1.1349499999999999</v>
      </c>
      <c r="AR152" s="22">
        <v>159.73400000000001</v>
      </c>
      <c r="AS152" s="22">
        <v>-1.3638300000000001E-2</v>
      </c>
      <c r="AT152" s="22">
        <v>142</v>
      </c>
      <c r="AU152" s="22">
        <v>1.1346400000000001</v>
      </c>
      <c r="AV152">
        <f t="shared" si="32"/>
        <v>13.638300000000001</v>
      </c>
      <c r="AW152">
        <f t="shared" si="33"/>
        <v>15.478788585</v>
      </c>
      <c r="AX152" s="9"/>
      <c r="AY152" s="22">
        <v>0.61508200000000002</v>
      </c>
      <c r="AZ152" s="22">
        <v>182.595</v>
      </c>
      <c r="BA152" s="22">
        <v>-1.5332E-2</v>
      </c>
      <c r="BB152" s="22">
        <v>142</v>
      </c>
      <c r="BC152" s="22">
        <v>0.61447099999999999</v>
      </c>
      <c r="BD152">
        <f t="shared" si="34"/>
        <v>15.332000000000001</v>
      </c>
      <c r="BE152">
        <f t="shared" si="35"/>
        <v>9.4304372240000003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50.682299999999998</v>
      </c>
      <c r="I153" s="22">
        <v>-1.3384999999999999E-2</v>
      </c>
      <c r="J153" s="22">
        <v>143</v>
      </c>
      <c r="K153" s="22">
        <v>1.1285400000000001</v>
      </c>
      <c r="L153">
        <f t="shared" si="24"/>
        <v>13.385</v>
      </c>
      <c r="M153">
        <f t="shared" si="25"/>
        <v>15.12384535</v>
      </c>
      <c r="N153" s="9"/>
      <c r="O153" s="22">
        <v>0.62011700000000003</v>
      </c>
      <c r="P153" s="22">
        <v>68.565100000000001</v>
      </c>
      <c r="Q153" s="22">
        <v>-1.5213000000000001E-2</v>
      </c>
      <c r="R153" s="22">
        <v>143</v>
      </c>
      <c r="S153" s="22">
        <v>0.61944600000000005</v>
      </c>
      <c r="T153">
        <f t="shared" si="26"/>
        <v>15.213000000000001</v>
      </c>
      <c r="U153">
        <f t="shared" si="27"/>
        <v>9.4338399210000006</v>
      </c>
      <c r="X153" s="9"/>
      <c r="Y153" s="22">
        <v>1.12991</v>
      </c>
      <c r="Z153" s="22">
        <v>118.125</v>
      </c>
      <c r="AA153" s="22">
        <v>-1.36536E-2</v>
      </c>
      <c r="AB153" s="22">
        <v>143</v>
      </c>
      <c r="AC153" s="22">
        <v>1.1291500000000001</v>
      </c>
      <c r="AD153">
        <f t="shared" si="28"/>
        <v>13.653600000000001</v>
      </c>
      <c r="AE153">
        <f t="shared" si="29"/>
        <v>15.427339176</v>
      </c>
      <c r="AF153" s="9"/>
      <c r="AG153" s="22">
        <v>0.62011700000000003</v>
      </c>
      <c r="AH153" s="22">
        <v>137.09899999999999</v>
      </c>
      <c r="AI153" s="22">
        <v>-1.53229E-2</v>
      </c>
      <c r="AJ153" s="22">
        <v>143</v>
      </c>
      <c r="AK153" s="22">
        <v>0.61950700000000003</v>
      </c>
      <c r="AL153">
        <f t="shared" si="30"/>
        <v>15.322900000000001</v>
      </c>
      <c r="AM153">
        <f t="shared" si="31"/>
        <v>9.5019907793000016</v>
      </c>
      <c r="AP153" s="9"/>
      <c r="AQ153" s="22">
        <v>1.12991</v>
      </c>
      <c r="AR153" s="22">
        <v>159.744</v>
      </c>
      <c r="AS153" s="22">
        <v>-1.3671900000000001E-2</v>
      </c>
      <c r="AT153" s="22">
        <v>143</v>
      </c>
      <c r="AU153" s="22">
        <v>1.1291500000000001</v>
      </c>
      <c r="AV153">
        <f t="shared" si="32"/>
        <v>13.671900000000001</v>
      </c>
      <c r="AW153">
        <f t="shared" si="33"/>
        <v>15.448016529</v>
      </c>
      <c r="AX153" s="9"/>
      <c r="AY153" s="22">
        <v>0.62011700000000003</v>
      </c>
      <c r="AZ153" s="22">
        <v>182.60499999999999</v>
      </c>
      <c r="BA153" s="22">
        <v>-1.53229E-2</v>
      </c>
      <c r="BB153" s="22">
        <v>143</v>
      </c>
      <c r="BC153" s="22">
        <v>0.61944600000000005</v>
      </c>
      <c r="BD153">
        <f t="shared" si="34"/>
        <v>15.322900000000001</v>
      </c>
      <c r="BE153">
        <f t="shared" si="35"/>
        <v>9.5019907793000016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50.692399999999999</v>
      </c>
      <c r="I154" s="22">
        <v>-1.3418599999999999E-2</v>
      </c>
      <c r="J154" s="22">
        <v>144</v>
      </c>
      <c r="K154" s="22">
        <v>1.1242700000000001</v>
      </c>
      <c r="L154">
        <f t="shared" si="24"/>
        <v>13.4186</v>
      </c>
      <c r="M154">
        <f t="shared" si="25"/>
        <v>15.094314768</v>
      </c>
      <c r="N154" s="9"/>
      <c r="O154" s="22">
        <v>0.62515299999999996</v>
      </c>
      <c r="P154" s="22">
        <v>68.575199999999995</v>
      </c>
      <c r="Q154" s="22">
        <v>-1.5191700000000001E-2</v>
      </c>
      <c r="R154" s="22">
        <v>144</v>
      </c>
      <c r="S154" s="22">
        <v>0.62451199999999996</v>
      </c>
      <c r="T154">
        <f t="shared" si="26"/>
        <v>15.191700000000001</v>
      </c>
      <c r="U154">
        <f t="shared" si="27"/>
        <v>9.4971368301000005</v>
      </c>
      <c r="X154" s="9"/>
      <c r="Y154" s="22">
        <v>1.1248800000000001</v>
      </c>
      <c r="Z154" s="22">
        <v>118.13500000000001</v>
      </c>
      <c r="AA154" s="22">
        <v>-1.36902E-2</v>
      </c>
      <c r="AB154" s="22">
        <v>144</v>
      </c>
      <c r="AC154" s="22">
        <v>1.1239600000000001</v>
      </c>
      <c r="AD154">
        <f t="shared" si="28"/>
        <v>13.690199999999999</v>
      </c>
      <c r="AE154">
        <f t="shared" si="29"/>
        <v>15.399832176</v>
      </c>
      <c r="AF154" s="9"/>
      <c r="AG154" s="22">
        <v>0.62515299999999996</v>
      </c>
      <c r="AH154" s="22">
        <v>137.10900000000001</v>
      </c>
      <c r="AI154" s="22">
        <v>-1.53137E-2</v>
      </c>
      <c r="AJ154" s="22">
        <v>144</v>
      </c>
      <c r="AK154" s="22">
        <v>0.62460300000000002</v>
      </c>
      <c r="AL154">
        <f t="shared" si="30"/>
        <v>15.313699999999999</v>
      </c>
      <c r="AM154">
        <f t="shared" si="31"/>
        <v>9.5734054960999995</v>
      </c>
      <c r="AP154" s="9"/>
      <c r="AQ154" s="22">
        <v>1.1248800000000001</v>
      </c>
      <c r="AR154" s="22">
        <v>159.75399999999999</v>
      </c>
      <c r="AS154" s="22">
        <v>-1.37024E-2</v>
      </c>
      <c r="AT154" s="22">
        <v>144</v>
      </c>
      <c r="AU154" s="22">
        <v>1.1242700000000001</v>
      </c>
      <c r="AV154">
        <f t="shared" si="32"/>
        <v>13.702400000000001</v>
      </c>
      <c r="AW154">
        <f t="shared" si="33"/>
        <v>15.413555712000003</v>
      </c>
      <c r="AX154" s="9"/>
      <c r="AY154" s="22">
        <v>0.62515299999999996</v>
      </c>
      <c r="AZ154" s="22">
        <v>182.61500000000001</v>
      </c>
      <c r="BA154" s="22">
        <v>-1.53046E-2</v>
      </c>
      <c r="BB154" s="22">
        <v>144</v>
      </c>
      <c r="BC154" s="22">
        <v>0.62457300000000004</v>
      </c>
      <c r="BD154">
        <f t="shared" si="34"/>
        <v>15.304600000000001</v>
      </c>
      <c r="BE154">
        <f t="shared" si="35"/>
        <v>9.5677166037999992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50.702399999999997</v>
      </c>
      <c r="I155" s="22">
        <v>-1.34552E-2</v>
      </c>
      <c r="J155" s="22">
        <v>145</v>
      </c>
      <c r="K155" s="22">
        <v>1.11938</v>
      </c>
      <c r="L155">
        <f t="shared" si="24"/>
        <v>13.455200000000001</v>
      </c>
      <c r="M155">
        <f t="shared" si="25"/>
        <v>15.067671168</v>
      </c>
      <c r="N155" s="9"/>
      <c r="O155" s="22">
        <v>0.63018799999999997</v>
      </c>
      <c r="P155" s="22">
        <v>68.585300000000004</v>
      </c>
      <c r="Q155" s="22">
        <v>-1.5173300000000001E-2</v>
      </c>
      <c r="R155" s="22">
        <v>145</v>
      </c>
      <c r="S155" s="22">
        <v>0.62954699999999997</v>
      </c>
      <c r="T155">
        <f t="shared" si="26"/>
        <v>15.173300000000001</v>
      </c>
      <c r="U155">
        <f t="shared" si="27"/>
        <v>9.5620315804000011</v>
      </c>
      <c r="X155" s="9"/>
      <c r="Y155" s="22">
        <v>1.1198399999999999</v>
      </c>
      <c r="Z155" s="22">
        <v>118.145</v>
      </c>
      <c r="AA155" s="22">
        <v>-1.37299E-2</v>
      </c>
      <c r="AB155" s="22">
        <v>145</v>
      </c>
      <c r="AC155" s="22">
        <v>1.11938</v>
      </c>
      <c r="AD155">
        <f t="shared" si="28"/>
        <v>13.729899999999999</v>
      </c>
      <c r="AE155">
        <f t="shared" si="29"/>
        <v>15.375291215999997</v>
      </c>
      <c r="AF155" s="9"/>
      <c r="AG155" s="22">
        <v>0.63018799999999997</v>
      </c>
      <c r="AH155" s="22">
        <v>137.12</v>
      </c>
      <c r="AI155" s="22">
        <v>-1.53046E-2</v>
      </c>
      <c r="AJ155" s="22">
        <v>145</v>
      </c>
      <c r="AK155" s="22">
        <v>0.62957799999999997</v>
      </c>
      <c r="AL155">
        <f t="shared" si="30"/>
        <v>15.304600000000001</v>
      </c>
      <c r="AM155">
        <f t="shared" si="31"/>
        <v>9.6447752647999998</v>
      </c>
      <c r="AP155" s="9"/>
      <c r="AQ155" s="22">
        <v>1.1198399999999999</v>
      </c>
      <c r="AR155" s="22">
        <v>159.76400000000001</v>
      </c>
      <c r="AS155" s="22">
        <v>-1.37421E-2</v>
      </c>
      <c r="AT155" s="22">
        <v>145</v>
      </c>
      <c r="AU155" s="22">
        <v>1.11877</v>
      </c>
      <c r="AV155">
        <f t="shared" si="32"/>
        <v>13.742100000000001</v>
      </c>
      <c r="AW155">
        <f t="shared" si="33"/>
        <v>15.388953264</v>
      </c>
      <c r="AX155" s="9"/>
      <c r="AY155" s="22">
        <v>0.63018799999999997</v>
      </c>
      <c r="AZ155" s="22">
        <v>182.625</v>
      </c>
      <c r="BA155" s="22">
        <v>-1.5286299999999999E-2</v>
      </c>
      <c r="BB155" s="22">
        <v>145</v>
      </c>
      <c r="BC155" s="22">
        <v>0.62954699999999997</v>
      </c>
      <c r="BD155">
        <f t="shared" si="34"/>
        <v>15.286299999999999</v>
      </c>
      <c r="BE155">
        <f t="shared" si="35"/>
        <v>9.6332428243999981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50.712499999999999</v>
      </c>
      <c r="I156" s="22">
        <v>-1.34979E-2</v>
      </c>
      <c r="J156" s="22">
        <v>146</v>
      </c>
      <c r="K156" s="22">
        <v>1.11389</v>
      </c>
      <c r="L156">
        <f t="shared" si="24"/>
        <v>13.4979</v>
      </c>
      <c r="M156">
        <f t="shared" si="25"/>
        <v>15.047593899000001</v>
      </c>
      <c r="N156" s="9"/>
      <c r="O156" s="22">
        <v>0.63522299999999998</v>
      </c>
      <c r="P156" s="22">
        <v>68.595299999999995</v>
      </c>
      <c r="Q156" s="22">
        <v>-1.5158100000000001E-2</v>
      </c>
      <c r="R156" s="22">
        <v>146</v>
      </c>
      <c r="S156" s="22">
        <v>0.63458300000000001</v>
      </c>
      <c r="T156">
        <f t="shared" si="26"/>
        <v>15.158100000000001</v>
      </c>
      <c r="U156">
        <f t="shared" si="27"/>
        <v>9.6287737563000011</v>
      </c>
      <c r="X156" s="9"/>
      <c r="Y156" s="22">
        <v>1.1148100000000001</v>
      </c>
      <c r="Z156" s="22">
        <v>118.155</v>
      </c>
      <c r="AA156" s="22">
        <v>-1.37695E-2</v>
      </c>
      <c r="AB156" s="22">
        <v>146</v>
      </c>
      <c r="AC156" s="22">
        <v>1.1145</v>
      </c>
      <c r="AD156">
        <f t="shared" si="28"/>
        <v>13.769500000000001</v>
      </c>
      <c r="AE156">
        <f t="shared" si="29"/>
        <v>15.350376295000002</v>
      </c>
      <c r="AF156" s="9"/>
      <c r="AG156" s="22">
        <v>0.63522299999999998</v>
      </c>
      <c r="AH156" s="22">
        <v>137.13</v>
      </c>
      <c r="AI156" s="22">
        <v>-1.52893E-2</v>
      </c>
      <c r="AJ156" s="22">
        <v>146</v>
      </c>
      <c r="AK156" s="22">
        <v>0.63458300000000001</v>
      </c>
      <c r="AL156">
        <f t="shared" si="30"/>
        <v>15.289300000000001</v>
      </c>
      <c r="AM156">
        <f t="shared" si="31"/>
        <v>9.7121150139000001</v>
      </c>
      <c r="AP156" s="9"/>
      <c r="AQ156" s="22">
        <v>1.1148100000000001</v>
      </c>
      <c r="AR156" s="22">
        <v>159.77500000000001</v>
      </c>
      <c r="AS156" s="22">
        <v>-1.3781699999999999E-2</v>
      </c>
      <c r="AT156" s="22">
        <v>146</v>
      </c>
      <c r="AU156" s="22">
        <v>1.11389</v>
      </c>
      <c r="AV156">
        <f t="shared" si="32"/>
        <v>13.781699999999999</v>
      </c>
      <c r="AW156">
        <f t="shared" si="33"/>
        <v>15.363976977</v>
      </c>
      <c r="AX156" s="9"/>
      <c r="AY156" s="22">
        <v>0.63522299999999998</v>
      </c>
      <c r="AZ156" s="22">
        <v>182.636</v>
      </c>
      <c r="BA156" s="22">
        <v>-1.5261800000000001E-2</v>
      </c>
      <c r="BB156" s="22">
        <v>146</v>
      </c>
      <c r="BC156" s="22">
        <v>0.63461299999999998</v>
      </c>
      <c r="BD156">
        <f t="shared" si="34"/>
        <v>15.261800000000001</v>
      </c>
      <c r="BE156">
        <f t="shared" si="35"/>
        <v>9.6946463814000001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50.7226</v>
      </c>
      <c r="I157" s="22">
        <v>-1.35406E-2</v>
      </c>
      <c r="J157" s="22">
        <v>147</v>
      </c>
      <c r="K157" s="22">
        <v>1.1090100000000001</v>
      </c>
      <c r="L157">
        <f t="shared" si="24"/>
        <v>13.5406</v>
      </c>
      <c r="M157">
        <f t="shared" si="25"/>
        <v>15.026951661999998</v>
      </c>
      <c r="N157" s="9"/>
      <c r="O157" s="22">
        <v>0.64025900000000002</v>
      </c>
      <c r="P157" s="22">
        <v>68.605400000000003</v>
      </c>
      <c r="Q157" s="22">
        <v>-1.51428E-2</v>
      </c>
      <c r="R157" s="22">
        <v>147</v>
      </c>
      <c r="S157" s="22">
        <v>0.63961800000000002</v>
      </c>
      <c r="T157">
        <f t="shared" si="26"/>
        <v>15.142799999999999</v>
      </c>
      <c r="U157">
        <f t="shared" si="27"/>
        <v>9.6953139852000003</v>
      </c>
      <c r="X157" s="9"/>
      <c r="Y157" s="22">
        <v>1.1097699999999999</v>
      </c>
      <c r="Z157" s="22">
        <v>118.16500000000001</v>
      </c>
      <c r="AA157" s="22">
        <v>-1.3806199999999999E-2</v>
      </c>
      <c r="AB157" s="22">
        <v>147</v>
      </c>
      <c r="AC157" s="22">
        <v>1.1087</v>
      </c>
      <c r="AD157">
        <f t="shared" si="28"/>
        <v>13.806199999999999</v>
      </c>
      <c r="AE157">
        <f t="shared" si="29"/>
        <v>15.321706573999997</v>
      </c>
      <c r="AF157" s="9"/>
      <c r="AG157" s="22">
        <v>0.64025900000000002</v>
      </c>
      <c r="AH157" s="22">
        <v>137.13999999999999</v>
      </c>
      <c r="AI157" s="22">
        <v>-1.5273999999999999E-2</v>
      </c>
      <c r="AJ157" s="22">
        <v>147</v>
      </c>
      <c r="AK157" s="22">
        <v>0.639679</v>
      </c>
      <c r="AL157">
        <f t="shared" si="30"/>
        <v>15.273999999999999</v>
      </c>
      <c r="AM157">
        <f t="shared" si="31"/>
        <v>9.7793159660000004</v>
      </c>
      <c r="AP157" s="9"/>
      <c r="AQ157" s="22">
        <v>1.1097699999999999</v>
      </c>
      <c r="AR157" s="22">
        <v>159.785</v>
      </c>
      <c r="AS157" s="22">
        <v>-1.38184E-2</v>
      </c>
      <c r="AT157" s="22">
        <v>147</v>
      </c>
      <c r="AU157" s="22">
        <v>1.1090100000000001</v>
      </c>
      <c r="AV157">
        <f t="shared" si="32"/>
        <v>13.8184</v>
      </c>
      <c r="AW157">
        <f t="shared" si="33"/>
        <v>15.335245768</v>
      </c>
      <c r="AX157" s="9"/>
      <c r="AY157" s="22">
        <v>0.64025900000000002</v>
      </c>
      <c r="AZ157" s="22">
        <v>182.64599999999999</v>
      </c>
      <c r="BA157" s="22">
        <v>-1.52344E-2</v>
      </c>
      <c r="BB157" s="22">
        <v>147</v>
      </c>
      <c r="BC157" s="22">
        <v>0.63961800000000002</v>
      </c>
      <c r="BD157">
        <f t="shared" si="34"/>
        <v>15.234400000000001</v>
      </c>
      <c r="BE157">
        <f t="shared" si="35"/>
        <v>9.7539617096000004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50.732599999999998</v>
      </c>
      <c r="I158" s="22">
        <v>-1.35803E-2</v>
      </c>
      <c r="J158" s="22">
        <v>148</v>
      </c>
      <c r="K158" s="22">
        <v>1.10382</v>
      </c>
      <c r="L158">
        <f t="shared" si="24"/>
        <v>13.580299999999999</v>
      </c>
      <c r="M158">
        <f t="shared" si="25"/>
        <v>15.002700622000001</v>
      </c>
      <c r="N158" s="9"/>
      <c r="O158" s="22">
        <v>0.64529400000000003</v>
      </c>
      <c r="P158" s="22">
        <v>68.615499999999997</v>
      </c>
      <c r="Q158" s="22">
        <v>-1.5130599999999999E-2</v>
      </c>
      <c r="R158" s="22">
        <v>148</v>
      </c>
      <c r="S158" s="22">
        <v>0.64459200000000005</v>
      </c>
      <c r="T158">
        <f t="shared" si="26"/>
        <v>15.130599999999999</v>
      </c>
      <c r="U158">
        <f t="shared" si="27"/>
        <v>9.7636853963999997</v>
      </c>
      <c r="X158" s="9"/>
      <c r="Y158" s="22">
        <v>1.1047400000000001</v>
      </c>
      <c r="Z158" s="22">
        <v>118.175</v>
      </c>
      <c r="AA158" s="22">
        <v>-1.38367E-2</v>
      </c>
      <c r="AB158" s="22">
        <v>148</v>
      </c>
      <c r="AC158" s="22">
        <v>1.10382</v>
      </c>
      <c r="AD158">
        <f t="shared" si="28"/>
        <v>13.8367</v>
      </c>
      <c r="AE158">
        <f t="shared" si="29"/>
        <v>15.285955958000001</v>
      </c>
      <c r="AF158" s="9"/>
      <c r="AG158" s="22">
        <v>0.64529400000000003</v>
      </c>
      <c r="AH158" s="22">
        <v>137.15</v>
      </c>
      <c r="AI158" s="22">
        <v>-1.5255700000000001E-2</v>
      </c>
      <c r="AJ158" s="22">
        <v>148</v>
      </c>
      <c r="AK158" s="22">
        <v>0.64459200000000005</v>
      </c>
      <c r="AL158">
        <f t="shared" si="30"/>
        <v>15.255700000000001</v>
      </c>
      <c r="AM158">
        <f t="shared" si="31"/>
        <v>9.8444116758000018</v>
      </c>
      <c r="AP158" s="9"/>
      <c r="AQ158" s="22">
        <v>1.1047400000000001</v>
      </c>
      <c r="AR158" s="22">
        <v>159.79499999999999</v>
      </c>
      <c r="AS158" s="22">
        <v>-1.3842800000000001E-2</v>
      </c>
      <c r="AT158" s="22">
        <v>148</v>
      </c>
      <c r="AU158" s="22">
        <v>1.10382</v>
      </c>
      <c r="AV158">
        <f t="shared" si="32"/>
        <v>13.8428</v>
      </c>
      <c r="AW158">
        <f t="shared" si="33"/>
        <v>15.292694872000002</v>
      </c>
      <c r="AX158" s="9"/>
      <c r="AY158" s="22">
        <v>0.64529400000000003</v>
      </c>
      <c r="AZ158" s="22">
        <v>182.65600000000001</v>
      </c>
      <c r="BA158" s="22">
        <v>-1.5219099999999999E-2</v>
      </c>
      <c r="BB158" s="22">
        <v>148</v>
      </c>
      <c r="BC158" s="22">
        <v>0.64465300000000003</v>
      </c>
      <c r="BD158">
        <f t="shared" si="34"/>
        <v>15.219099999999999</v>
      </c>
      <c r="BE158">
        <f t="shared" si="35"/>
        <v>9.8207939153999995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50.742699999999999</v>
      </c>
      <c r="I159" s="22">
        <v>-1.36139E-2</v>
      </c>
      <c r="J159" s="22">
        <v>149</v>
      </c>
      <c r="K159" s="22">
        <v>1.09924</v>
      </c>
      <c r="L159">
        <f t="shared" si="24"/>
        <v>13.613899999999999</v>
      </c>
      <c r="M159">
        <f t="shared" si="25"/>
        <v>14.971205829999997</v>
      </c>
      <c r="N159" s="9"/>
      <c r="O159" s="22">
        <v>0.65032999999999996</v>
      </c>
      <c r="P159" s="22">
        <v>68.625600000000006</v>
      </c>
      <c r="Q159" s="22">
        <v>-1.5115399999999999E-2</v>
      </c>
      <c r="R159" s="22">
        <v>149</v>
      </c>
      <c r="S159" s="22">
        <v>0.64968899999999996</v>
      </c>
      <c r="T159">
        <f t="shared" si="26"/>
        <v>15.115399999999999</v>
      </c>
      <c r="U159">
        <f t="shared" si="27"/>
        <v>9.8299980819999995</v>
      </c>
      <c r="X159" s="9"/>
      <c r="Y159" s="22">
        <v>1.0996999999999999</v>
      </c>
      <c r="Z159" s="22">
        <v>118.185</v>
      </c>
      <c r="AA159" s="22">
        <v>-1.3861099999999999E-2</v>
      </c>
      <c r="AB159" s="22">
        <v>149</v>
      </c>
      <c r="AC159" s="22">
        <v>1.09924</v>
      </c>
      <c r="AD159">
        <f t="shared" si="28"/>
        <v>13.861099999999999</v>
      </c>
      <c r="AE159">
        <f t="shared" si="29"/>
        <v>15.243051669999996</v>
      </c>
      <c r="AF159" s="9"/>
      <c r="AG159" s="22">
        <v>0.65032999999999996</v>
      </c>
      <c r="AH159" s="22">
        <v>137.16</v>
      </c>
      <c r="AI159" s="22">
        <v>-1.52344E-2</v>
      </c>
      <c r="AJ159" s="22">
        <v>149</v>
      </c>
      <c r="AK159" s="22">
        <v>0.64971900000000005</v>
      </c>
      <c r="AL159">
        <f t="shared" si="30"/>
        <v>15.234400000000001</v>
      </c>
      <c r="AM159">
        <f t="shared" si="31"/>
        <v>9.9073873520000006</v>
      </c>
      <c r="AP159" s="9"/>
      <c r="AQ159" s="22">
        <v>1.0996999999999999</v>
      </c>
      <c r="AR159" s="22">
        <v>159.80500000000001</v>
      </c>
      <c r="AS159" s="22">
        <v>-1.3870199999999999E-2</v>
      </c>
      <c r="AT159" s="22">
        <v>149</v>
      </c>
      <c r="AU159" s="22">
        <v>1.09894</v>
      </c>
      <c r="AV159">
        <f t="shared" si="32"/>
        <v>13.870199999999999</v>
      </c>
      <c r="AW159">
        <f t="shared" si="33"/>
        <v>15.253058939999997</v>
      </c>
      <c r="AX159" s="9"/>
      <c r="AY159" s="22">
        <v>0.65032999999999996</v>
      </c>
      <c r="AZ159" s="22">
        <v>182.666</v>
      </c>
      <c r="BA159" s="22">
        <v>-1.5206900000000001E-2</v>
      </c>
      <c r="BB159" s="22">
        <v>149</v>
      </c>
      <c r="BC159" s="22">
        <v>0.64965799999999996</v>
      </c>
      <c r="BD159">
        <f t="shared" si="34"/>
        <v>15.206900000000001</v>
      </c>
      <c r="BE159">
        <f t="shared" si="35"/>
        <v>9.8895032769999993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50.752800000000001</v>
      </c>
      <c r="I160" s="22">
        <v>-1.3644399999999999E-2</v>
      </c>
      <c r="J160" s="22">
        <v>150</v>
      </c>
      <c r="K160" s="22">
        <v>1.09344</v>
      </c>
      <c r="L160">
        <f t="shared" si="24"/>
        <v>13.644399999999999</v>
      </c>
      <c r="M160">
        <f t="shared" si="25"/>
        <v>14.936115348</v>
      </c>
      <c r="N160" s="9"/>
      <c r="O160" s="22">
        <v>0.65536499999999998</v>
      </c>
      <c r="P160" s="22">
        <v>68.635599999999997</v>
      </c>
      <c r="Q160" s="22">
        <v>-1.51031E-2</v>
      </c>
      <c r="R160" s="22">
        <v>150</v>
      </c>
      <c r="S160" s="22">
        <v>0.65484600000000004</v>
      </c>
      <c r="T160">
        <f t="shared" si="26"/>
        <v>15.1031</v>
      </c>
      <c r="U160">
        <f t="shared" si="27"/>
        <v>9.8980431314999997</v>
      </c>
      <c r="X160" s="9"/>
      <c r="Y160" s="22">
        <v>1.09467</v>
      </c>
      <c r="Z160" s="22">
        <v>118.19499999999999</v>
      </c>
      <c r="AA160" s="22">
        <v>-1.38855E-2</v>
      </c>
      <c r="AB160" s="22">
        <v>150</v>
      </c>
      <c r="AC160" s="22">
        <v>1.09436</v>
      </c>
      <c r="AD160">
        <f t="shared" si="28"/>
        <v>13.8855</v>
      </c>
      <c r="AE160">
        <f t="shared" si="29"/>
        <v>15.200040285</v>
      </c>
      <c r="AF160" s="9"/>
      <c r="AG160" s="22">
        <v>0.65536499999999998</v>
      </c>
      <c r="AH160" s="22">
        <v>137.16999999999999</v>
      </c>
      <c r="AI160" s="22">
        <v>-1.5219099999999999E-2</v>
      </c>
      <c r="AJ160" s="22">
        <v>150</v>
      </c>
      <c r="AK160" s="22">
        <v>0.65475499999999998</v>
      </c>
      <c r="AL160">
        <f t="shared" si="30"/>
        <v>15.219099999999999</v>
      </c>
      <c r="AM160">
        <f t="shared" si="31"/>
        <v>9.9740654714999994</v>
      </c>
      <c r="AP160" s="9"/>
      <c r="AQ160" s="22">
        <v>1.09467</v>
      </c>
      <c r="AR160" s="22">
        <v>159.815</v>
      </c>
      <c r="AS160" s="22">
        <v>-1.39008E-2</v>
      </c>
      <c r="AT160" s="22">
        <v>150</v>
      </c>
      <c r="AU160" s="22">
        <v>1.09406</v>
      </c>
      <c r="AV160">
        <f t="shared" si="32"/>
        <v>13.9008</v>
      </c>
      <c r="AW160">
        <f t="shared" si="33"/>
        <v>15.216788736000002</v>
      </c>
      <c r="AX160" s="9"/>
      <c r="AY160" s="22">
        <v>0.65536499999999998</v>
      </c>
      <c r="AZ160" s="22">
        <v>182.67599999999999</v>
      </c>
      <c r="BA160" s="22">
        <v>-1.51886E-2</v>
      </c>
      <c r="BB160" s="22">
        <v>150</v>
      </c>
      <c r="BC160" s="22">
        <v>0.65475499999999998</v>
      </c>
      <c r="BD160">
        <f t="shared" si="34"/>
        <v>15.188599999999999</v>
      </c>
      <c r="BE160">
        <f t="shared" si="35"/>
        <v>9.954076838999999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50.762900000000002</v>
      </c>
      <c r="I161" s="22">
        <v>-1.36688E-2</v>
      </c>
      <c r="J161" s="22">
        <v>151</v>
      </c>
      <c r="K161" s="22">
        <v>1.08887</v>
      </c>
      <c r="L161">
        <f t="shared" si="24"/>
        <v>13.668799999999999</v>
      </c>
      <c r="M161">
        <f t="shared" si="25"/>
        <v>14.893934544</v>
      </c>
      <c r="N161" s="9"/>
      <c r="O161" s="22">
        <v>0.66039999999999999</v>
      </c>
      <c r="P161" s="22">
        <v>68.645700000000005</v>
      </c>
      <c r="Q161" s="22">
        <v>-1.50787E-2</v>
      </c>
      <c r="R161" s="22">
        <v>151</v>
      </c>
      <c r="S161" s="22">
        <v>0.65982099999999999</v>
      </c>
      <c r="T161">
        <f t="shared" si="26"/>
        <v>15.078700000000001</v>
      </c>
      <c r="U161">
        <f t="shared" si="27"/>
        <v>9.9579734800000015</v>
      </c>
      <c r="X161" s="9"/>
      <c r="Y161" s="22">
        <v>1.0896300000000001</v>
      </c>
      <c r="Z161" s="22">
        <v>118.205</v>
      </c>
      <c r="AA161" s="22">
        <v>-1.3916E-2</v>
      </c>
      <c r="AB161" s="22">
        <v>151</v>
      </c>
      <c r="AC161" s="22">
        <v>1.08856</v>
      </c>
      <c r="AD161">
        <f t="shared" si="28"/>
        <v>13.916</v>
      </c>
      <c r="AE161">
        <f t="shared" si="29"/>
        <v>15.163291080000002</v>
      </c>
      <c r="AF161" s="9"/>
      <c r="AG161" s="22">
        <v>0.66039999999999999</v>
      </c>
      <c r="AH161" s="22">
        <v>137.18</v>
      </c>
      <c r="AI161" s="22">
        <v>-1.5197799999999999E-2</v>
      </c>
      <c r="AJ161" s="22">
        <v>151</v>
      </c>
      <c r="AK161" s="22">
        <v>0.65982099999999999</v>
      </c>
      <c r="AL161">
        <f t="shared" si="30"/>
        <v>15.197799999999999</v>
      </c>
      <c r="AM161">
        <f t="shared" si="31"/>
        <v>10.036627119999999</v>
      </c>
      <c r="AP161" s="9"/>
      <c r="AQ161" s="22">
        <v>1.0896300000000001</v>
      </c>
      <c r="AR161" s="22">
        <v>159.82499999999999</v>
      </c>
      <c r="AS161" s="22">
        <v>-1.39343E-2</v>
      </c>
      <c r="AT161" s="22">
        <v>151</v>
      </c>
      <c r="AU161" s="22">
        <v>1.08917</v>
      </c>
      <c r="AV161">
        <f t="shared" si="32"/>
        <v>13.9343</v>
      </c>
      <c r="AW161">
        <f t="shared" si="33"/>
        <v>15.183231309000002</v>
      </c>
      <c r="AX161" s="9"/>
      <c r="AY161" s="22">
        <v>0.66039999999999999</v>
      </c>
      <c r="AZ161" s="22">
        <v>182.68600000000001</v>
      </c>
      <c r="BA161" s="22">
        <v>-1.5173300000000001E-2</v>
      </c>
      <c r="BB161" s="22">
        <v>151</v>
      </c>
      <c r="BC161" s="22">
        <v>0.65976000000000001</v>
      </c>
      <c r="BD161">
        <f t="shared" si="34"/>
        <v>15.173300000000001</v>
      </c>
      <c r="BE161">
        <f t="shared" si="35"/>
        <v>10.020447320000001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50.7729</v>
      </c>
      <c r="I162" s="22">
        <v>-1.36902E-2</v>
      </c>
      <c r="J162" s="22">
        <v>152</v>
      </c>
      <c r="K162" s="22">
        <v>1.0839799999999999</v>
      </c>
      <c r="L162">
        <f t="shared" si="24"/>
        <v>13.690199999999999</v>
      </c>
      <c r="M162">
        <f t="shared" si="25"/>
        <v>14.848254017999999</v>
      </c>
      <c r="N162" s="9"/>
      <c r="O162" s="22">
        <v>0.66543600000000003</v>
      </c>
      <c r="P162" s="22">
        <v>68.655799999999999</v>
      </c>
      <c r="Q162" s="22">
        <v>-1.50543E-2</v>
      </c>
      <c r="R162" s="22">
        <v>152</v>
      </c>
      <c r="S162" s="22">
        <v>0.66479500000000002</v>
      </c>
      <c r="T162">
        <f t="shared" si="26"/>
        <v>15.0543</v>
      </c>
      <c r="U162">
        <f t="shared" si="27"/>
        <v>10.017673174800001</v>
      </c>
      <c r="X162" s="9"/>
      <c r="Y162" s="22">
        <v>1.0845899999999999</v>
      </c>
      <c r="Z162" s="22">
        <v>118.215</v>
      </c>
      <c r="AA162" s="22">
        <v>-1.3943499999999999E-2</v>
      </c>
      <c r="AB162" s="22">
        <v>152</v>
      </c>
      <c r="AC162" s="22">
        <v>1.08368</v>
      </c>
      <c r="AD162">
        <f t="shared" si="28"/>
        <v>13.943499999999998</v>
      </c>
      <c r="AE162">
        <f t="shared" si="29"/>
        <v>15.122980664999998</v>
      </c>
      <c r="AF162" s="9"/>
      <c r="AG162" s="22">
        <v>0.66543600000000003</v>
      </c>
      <c r="AH162" s="22">
        <v>137.19</v>
      </c>
      <c r="AI162" s="22">
        <v>-1.51825E-2</v>
      </c>
      <c r="AJ162" s="22">
        <v>152</v>
      </c>
      <c r="AK162" s="22">
        <v>0.66491699999999998</v>
      </c>
      <c r="AL162">
        <f t="shared" si="30"/>
        <v>15.182499999999999</v>
      </c>
      <c r="AM162">
        <f t="shared" si="31"/>
        <v>10.102982069999999</v>
      </c>
      <c r="AP162" s="9"/>
      <c r="AQ162" s="22">
        <v>1.0845899999999999</v>
      </c>
      <c r="AR162" s="22">
        <v>159.83500000000001</v>
      </c>
      <c r="AS162" s="22">
        <v>-1.3974E-2</v>
      </c>
      <c r="AT162" s="22">
        <v>152</v>
      </c>
      <c r="AU162" s="22">
        <v>1.0833699999999999</v>
      </c>
      <c r="AV162">
        <f t="shared" si="32"/>
        <v>13.974</v>
      </c>
      <c r="AW162">
        <f t="shared" si="33"/>
        <v>15.15606066</v>
      </c>
      <c r="AX162" s="9"/>
      <c r="AY162" s="22">
        <v>0.66543600000000003</v>
      </c>
      <c r="AZ162" s="22">
        <v>182.696</v>
      </c>
      <c r="BA162" s="22">
        <v>-1.51611E-2</v>
      </c>
      <c r="BB162" s="22">
        <v>152</v>
      </c>
      <c r="BC162" s="22">
        <v>0.664856</v>
      </c>
      <c r="BD162">
        <f t="shared" si="34"/>
        <v>15.161100000000001</v>
      </c>
      <c r="BE162">
        <f t="shared" si="35"/>
        <v>10.088741739600001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50.783000000000001</v>
      </c>
      <c r="I163" s="22">
        <v>-1.37146E-2</v>
      </c>
      <c r="J163" s="22">
        <v>153</v>
      </c>
      <c r="K163" s="22">
        <v>1.0788</v>
      </c>
      <c r="L163">
        <f t="shared" si="24"/>
        <v>13.714600000000001</v>
      </c>
      <c r="M163">
        <f t="shared" si="25"/>
        <v>14.805733576000002</v>
      </c>
      <c r="N163" s="9"/>
      <c r="O163" s="22">
        <v>0.67047100000000004</v>
      </c>
      <c r="P163" s="22">
        <v>68.665800000000004</v>
      </c>
      <c r="Q163" s="22">
        <v>-1.5026899999999999E-2</v>
      </c>
      <c r="R163" s="22">
        <v>153</v>
      </c>
      <c r="S163" s="22">
        <v>0.66986100000000004</v>
      </c>
      <c r="T163">
        <f t="shared" si="26"/>
        <v>15.026899999999999</v>
      </c>
      <c r="U163">
        <f t="shared" si="27"/>
        <v>10.075100669899999</v>
      </c>
      <c r="X163" s="9"/>
      <c r="Y163" s="22">
        <v>1.0795600000000001</v>
      </c>
      <c r="Z163" s="22">
        <v>118.22499999999999</v>
      </c>
      <c r="AA163" s="22">
        <v>-1.39679E-2</v>
      </c>
      <c r="AB163" s="22">
        <v>153</v>
      </c>
      <c r="AC163" s="22">
        <v>1.0784899999999999</v>
      </c>
      <c r="AD163">
        <f t="shared" si="28"/>
        <v>13.9679</v>
      </c>
      <c r="AE163">
        <f t="shared" si="29"/>
        <v>15.079186124000001</v>
      </c>
      <c r="AF163" s="9"/>
      <c r="AG163" s="22">
        <v>0.67047100000000004</v>
      </c>
      <c r="AH163" s="22">
        <v>137.19999999999999</v>
      </c>
      <c r="AI163" s="22">
        <v>-1.5164199999999999E-2</v>
      </c>
      <c r="AJ163" s="22">
        <v>153</v>
      </c>
      <c r="AK163" s="22">
        <v>0.66979999999999995</v>
      </c>
      <c r="AL163">
        <f t="shared" si="30"/>
        <v>15.164199999999999</v>
      </c>
      <c r="AM163">
        <f t="shared" si="31"/>
        <v>10.1671563382</v>
      </c>
      <c r="AP163" s="9"/>
      <c r="AQ163" s="22">
        <v>1.0795600000000001</v>
      </c>
      <c r="AR163" s="22">
        <v>159.845</v>
      </c>
      <c r="AS163" s="22">
        <v>-1.40045E-2</v>
      </c>
      <c r="AT163" s="22">
        <v>153</v>
      </c>
      <c r="AU163" s="22">
        <v>1.0788</v>
      </c>
      <c r="AV163">
        <f t="shared" si="32"/>
        <v>14.0045</v>
      </c>
      <c r="AW163">
        <f t="shared" si="33"/>
        <v>15.118698020000002</v>
      </c>
      <c r="AX163" s="9"/>
      <c r="AY163" s="22">
        <v>0.67047100000000004</v>
      </c>
      <c r="AZ163" s="22">
        <v>182.70599999999999</v>
      </c>
      <c r="BA163" s="22">
        <v>-1.51398E-2</v>
      </c>
      <c r="BB163" s="22">
        <v>153</v>
      </c>
      <c r="BC163" s="22">
        <v>0.66989100000000001</v>
      </c>
      <c r="BD163">
        <f t="shared" si="34"/>
        <v>15.139799999999999</v>
      </c>
      <c r="BE163">
        <f t="shared" si="35"/>
        <v>10.1507968458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50.793100000000003</v>
      </c>
      <c r="I164" s="22">
        <v>-1.37451E-2</v>
      </c>
      <c r="J164" s="22">
        <v>154</v>
      </c>
      <c r="K164" s="22">
        <v>1.0732999999999999</v>
      </c>
      <c r="L164">
        <f t="shared" si="24"/>
        <v>13.745099999999999</v>
      </c>
      <c r="M164">
        <f t="shared" si="25"/>
        <v>14.769384851999998</v>
      </c>
      <c r="N164" s="9"/>
      <c r="O164" s="22">
        <v>0.67550699999999997</v>
      </c>
      <c r="P164" s="22">
        <v>68.675899999999999</v>
      </c>
      <c r="Q164" s="22">
        <v>-1.49994E-2</v>
      </c>
      <c r="R164" s="22">
        <v>154</v>
      </c>
      <c r="S164" s="22">
        <v>0.67483499999999996</v>
      </c>
      <c r="T164">
        <f t="shared" si="26"/>
        <v>14.9994</v>
      </c>
      <c r="U164">
        <f t="shared" si="27"/>
        <v>10.132199695799999</v>
      </c>
      <c r="X164" s="9"/>
      <c r="Y164" s="22">
        <v>1.0745199999999999</v>
      </c>
      <c r="Z164" s="22">
        <v>118.235</v>
      </c>
      <c r="AA164" s="22">
        <v>-1.3986200000000001E-2</v>
      </c>
      <c r="AB164" s="22">
        <v>154</v>
      </c>
      <c r="AC164" s="22">
        <v>1.07361</v>
      </c>
      <c r="AD164">
        <f t="shared" si="28"/>
        <v>13.9862</v>
      </c>
      <c r="AE164">
        <f t="shared" si="29"/>
        <v>15.028451623999999</v>
      </c>
      <c r="AF164" s="9"/>
      <c r="AG164" s="22">
        <v>0.67550699999999997</v>
      </c>
      <c r="AH164" s="22">
        <v>137.21</v>
      </c>
      <c r="AI164" s="22">
        <v>-1.51428E-2</v>
      </c>
      <c r="AJ164" s="22">
        <v>154</v>
      </c>
      <c r="AK164" s="22">
        <v>0.67480499999999999</v>
      </c>
      <c r="AL164">
        <f t="shared" si="30"/>
        <v>15.142799999999999</v>
      </c>
      <c r="AM164">
        <f t="shared" si="31"/>
        <v>10.2290673996</v>
      </c>
      <c r="AP164" s="9"/>
      <c r="AQ164" s="22">
        <v>1.0745199999999999</v>
      </c>
      <c r="AR164" s="22">
        <v>159.85499999999999</v>
      </c>
      <c r="AS164" s="22">
        <v>-1.40381E-2</v>
      </c>
      <c r="AT164" s="22">
        <v>154</v>
      </c>
      <c r="AU164" s="22">
        <v>1.0739099999999999</v>
      </c>
      <c r="AV164">
        <f t="shared" si="32"/>
        <v>14.0381</v>
      </c>
      <c r="AW164">
        <f t="shared" si="33"/>
        <v>15.084219211999999</v>
      </c>
      <c r="AX164" s="9"/>
      <c r="AY164" s="22">
        <v>0.67550699999999997</v>
      </c>
      <c r="AZ164" s="22">
        <v>182.71600000000001</v>
      </c>
      <c r="BA164" s="22">
        <v>-1.5118400000000001E-2</v>
      </c>
      <c r="BB164" s="22">
        <v>154</v>
      </c>
      <c r="BC164" s="22">
        <v>0.67486599999999997</v>
      </c>
      <c r="BD164">
        <f t="shared" si="34"/>
        <v>15.118400000000001</v>
      </c>
      <c r="BE164">
        <f t="shared" si="35"/>
        <v>10.2125850288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50.803100000000001</v>
      </c>
      <c r="I165" s="22">
        <v>-1.37848E-2</v>
      </c>
      <c r="J165" s="22">
        <v>155</v>
      </c>
      <c r="K165" s="22">
        <v>1.0684199999999999</v>
      </c>
      <c r="L165">
        <f t="shared" si="24"/>
        <v>13.784800000000001</v>
      </c>
      <c r="M165">
        <f t="shared" si="25"/>
        <v>14.742705752000001</v>
      </c>
      <c r="N165" s="9"/>
      <c r="O165" s="22">
        <v>0.68054199999999998</v>
      </c>
      <c r="P165" s="22">
        <v>68.686000000000007</v>
      </c>
      <c r="Q165" s="22">
        <v>-1.4981100000000001E-2</v>
      </c>
      <c r="R165" s="22">
        <v>155</v>
      </c>
      <c r="S165" s="22">
        <v>0.67990099999999998</v>
      </c>
      <c r="T165">
        <f t="shared" si="26"/>
        <v>14.981100000000001</v>
      </c>
      <c r="U165">
        <f t="shared" si="27"/>
        <v>10.1952677562</v>
      </c>
      <c r="X165" s="9"/>
      <c r="Y165" s="22">
        <v>1.0694900000000001</v>
      </c>
      <c r="Z165" s="22">
        <v>118.245</v>
      </c>
      <c r="AA165" s="22">
        <v>-1.40167E-2</v>
      </c>
      <c r="AB165" s="22">
        <v>155</v>
      </c>
      <c r="AC165" s="22">
        <v>1.06873</v>
      </c>
      <c r="AD165">
        <f t="shared" si="28"/>
        <v>14.0167</v>
      </c>
      <c r="AE165">
        <f t="shared" si="29"/>
        <v>14.990720483</v>
      </c>
      <c r="AF165" s="9"/>
      <c r="AG165" s="22">
        <v>0.68054199999999998</v>
      </c>
      <c r="AH165" s="22">
        <v>137.22</v>
      </c>
      <c r="AI165" s="22">
        <v>-1.51215E-2</v>
      </c>
      <c r="AJ165" s="22">
        <v>155</v>
      </c>
      <c r="AK165" s="22">
        <v>0.67990099999999998</v>
      </c>
      <c r="AL165">
        <f t="shared" si="30"/>
        <v>15.121499999999999</v>
      </c>
      <c r="AM165">
        <f t="shared" si="31"/>
        <v>10.290815853</v>
      </c>
      <c r="AP165" s="9"/>
      <c r="AQ165" s="22">
        <v>1.0694900000000001</v>
      </c>
      <c r="AR165" s="22">
        <v>159.86500000000001</v>
      </c>
      <c r="AS165" s="22">
        <v>-1.4068600000000001E-2</v>
      </c>
      <c r="AT165" s="22">
        <v>155</v>
      </c>
      <c r="AU165" s="22">
        <v>1.0684199999999999</v>
      </c>
      <c r="AV165">
        <f t="shared" si="32"/>
        <v>14.0686</v>
      </c>
      <c r="AW165">
        <f t="shared" si="33"/>
        <v>15.046227014000001</v>
      </c>
      <c r="AX165" s="9"/>
      <c r="AY165" s="22">
        <v>0.68054199999999998</v>
      </c>
      <c r="AZ165" s="22">
        <v>182.726</v>
      </c>
      <c r="BA165" s="22">
        <v>-1.51062E-2</v>
      </c>
      <c r="BB165" s="22">
        <v>155</v>
      </c>
      <c r="BC165" s="22">
        <v>0.679871</v>
      </c>
      <c r="BD165">
        <f t="shared" si="34"/>
        <v>15.106199999999999</v>
      </c>
      <c r="BE165">
        <f t="shared" si="35"/>
        <v>10.2804035604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50.813200000000002</v>
      </c>
      <c r="I166" s="22">
        <v>-1.38306E-2</v>
      </c>
      <c r="J166" s="22">
        <v>156</v>
      </c>
      <c r="K166" s="22">
        <v>1.0635399999999999</v>
      </c>
      <c r="L166">
        <f t="shared" si="24"/>
        <v>13.8306</v>
      </c>
      <c r="M166">
        <f t="shared" si="25"/>
        <v>14.721982169999999</v>
      </c>
      <c r="N166" s="9"/>
      <c r="O166" s="22">
        <v>0.68557699999999999</v>
      </c>
      <c r="P166" s="22">
        <v>68.696100000000001</v>
      </c>
      <c r="Q166" s="22">
        <v>-1.49567E-2</v>
      </c>
      <c r="R166" s="22">
        <v>156</v>
      </c>
      <c r="S166" s="22">
        <v>0.68505899999999997</v>
      </c>
      <c r="T166">
        <f t="shared" si="26"/>
        <v>14.9567</v>
      </c>
      <c r="U166">
        <f t="shared" si="27"/>
        <v>10.2539695159</v>
      </c>
      <c r="X166" s="9"/>
      <c r="Y166" s="22">
        <v>1.0644499999999999</v>
      </c>
      <c r="Z166" s="22">
        <v>118.255</v>
      </c>
      <c r="AA166" s="22">
        <v>-1.40442E-2</v>
      </c>
      <c r="AB166" s="22">
        <v>156</v>
      </c>
      <c r="AC166" s="22">
        <v>1.0629299999999999</v>
      </c>
      <c r="AD166">
        <f t="shared" si="28"/>
        <v>14.0442</v>
      </c>
      <c r="AE166">
        <f t="shared" si="29"/>
        <v>14.949348689999999</v>
      </c>
      <c r="AF166" s="9"/>
      <c r="AG166" s="22">
        <v>0.68557699999999999</v>
      </c>
      <c r="AH166" s="22">
        <v>137.22999999999999</v>
      </c>
      <c r="AI166" s="22">
        <v>-1.5096999999999999E-2</v>
      </c>
      <c r="AJ166" s="22">
        <v>156</v>
      </c>
      <c r="AK166" s="22">
        <v>0.68493700000000002</v>
      </c>
      <c r="AL166">
        <f t="shared" si="30"/>
        <v>15.097</v>
      </c>
      <c r="AM166">
        <f t="shared" si="31"/>
        <v>10.350155968999999</v>
      </c>
      <c r="AP166" s="9"/>
      <c r="AQ166" s="22">
        <v>1.0644499999999999</v>
      </c>
      <c r="AR166" s="22">
        <v>159.875</v>
      </c>
      <c r="AS166" s="22">
        <v>-1.40961E-2</v>
      </c>
      <c r="AT166" s="22">
        <v>156</v>
      </c>
      <c r="AU166" s="22">
        <v>1.0635399999999999</v>
      </c>
      <c r="AV166">
        <f t="shared" si="32"/>
        <v>14.0961</v>
      </c>
      <c r="AW166">
        <f t="shared" si="33"/>
        <v>15.004593644999998</v>
      </c>
      <c r="AX166" s="9"/>
      <c r="AY166" s="22">
        <v>0.68557699999999999</v>
      </c>
      <c r="AZ166" s="22">
        <v>182.73599999999999</v>
      </c>
      <c r="BA166" s="22">
        <v>-1.5094E-2</v>
      </c>
      <c r="BB166" s="22">
        <v>156</v>
      </c>
      <c r="BC166" s="22">
        <v>0.68493700000000002</v>
      </c>
      <c r="BD166">
        <f t="shared" si="34"/>
        <v>15.093999999999999</v>
      </c>
      <c r="BE166">
        <f t="shared" si="35"/>
        <v>10.348099238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50.823300000000003</v>
      </c>
      <c r="I167" s="22">
        <v>-1.38672E-2</v>
      </c>
      <c r="J167" s="22">
        <v>157</v>
      </c>
      <c r="K167" s="22">
        <v>1.0586500000000001</v>
      </c>
      <c r="L167">
        <f t="shared" si="24"/>
        <v>13.8672</v>
      </c>
      <c r="M167">
        <f t="shared" si="25"/>
        <v>14.691189024000002</v>
      </c>
      <c r="N167" s="9"/>
      <c r="O167" s="22">
        <v>0.69061300000000003</v>
      </c>
      <c r="P167" s="22">
        <v>68.706100000000006</v>
      </c>
      <c r="Q167" s="22">
        <v>-1.4932300000000001E-2</v>
      </c>
      <c r="R167" s="22">
        <v>157</v>
      </c>
      <c r="S167" s="22">
        <v>0.68994100000000003</v>
      </c>
      <c r="T167">
        <f t="shared" si="26"/>
        <v>14.932300000000001</v>
      </c>
      <c r="U167">
        <f t="shared" si="27"/>
        <v>10.312440499900001</v>
      </c>
      <c r="X167" s="9"/>
      <c r="Y167" s="22">
        <v>1.05942</v>
      </c>
      <c r="Z167" s="22">
        <v>118.26600000000001</v>
      </c>
      <c r="AA167" s="22">
        <v>-1.4068600000000001E-2</v>
      </c>
      <c r="AB167" s="22">
        <v>157</v>
      </c>
      <c r="AC167" s="22">
        <v>1.0589599999999999</v>
      </c>
      <c r="AD167">
        <f t="shared" si="28"/>
        <v>14.0686</v>
      </c>
      <c r="AE167">
        <f t="shared" si="29"/>
        <v>14.904556212000001</v>
      </c>
      <c r="AF167" s="9"/>
      <c r="AG167" s="22">
        <v>0.69061300000000003</v>
      </c>
      <c r="AH167" s="22">
        <v>137.24</v>
      </c>
      <c r="AI167" s="22">
        <v>-1.5075699999999999E-2</v>
      </c>
      <c r="AJ167" s="22">
        <v>157</v>
      </c>
      <c r="AK167" s="22">
        <v>0.690002</v>
      </c>
      <c r="AL167">
        <f t="shared" si="30"/>
        <v>15.075699999999999</v>
      </c>
      <c r="AM167">
        <f t="shared" si="31"/>
        <v>10.4114744041</v>
      </c>
      <c r="AP167" s="9"/>
      <c r="AQ167" s="22">
        <v>1.05942</v>
      </c>
      <c r="AR167" s="22">
        <v>159.88499999999999</v>
      </c>
      <c r="AS167" s="22">
        <v>-1.41327E-2</v>
      </c>
      <c r="AT167" s="22">
        <v>157</v>
      </c>
      <c r="AU167" s="22">
        <v>1.0589599999999999</v>
      </c>
      <c r="AV167">
        <f t="shared" si="32"/>
        <v>14.1327</v>
      </c>
      <c r="AW167">
        <f t="shared" si="33"/>
        <v>14.972465034000001</v>
      </c>
      <c r="AX167" s="9"/>
      <c r="AY167" s="22">
        <v>0.69061300000000003</v>
      </c>
      <c r="AZ167" s="22">
        <v>182.74600000000001</v>
      </c>
      <c r="BA167" s="22">
        <v>-1.5075699999999999E-2</v>
      </c>
      <c r="BB167" s="22">
        <v>157</v>
      </c>
      <c r="BC167" s="22">
        <v>0.690002</v>
      </c>
      <c r="BD167">
        <f t="shared" si="34"/>
        <v>15.075699999999999</v>
      </c>
      <c r="BE167">
        <f t="shared" si="35"/>
        <v>10.4114744041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50.833399999999997</v>
      </c>
      <c r="I168" s="22">
        <v>-1.3897700000000001E-2</v>
      </c>
      <c r="J168" s="22">
        <v>158</v>
      </c>
      <c r="K168" s="22">
        <v>1.0537700000000001</v>
      </c>
      <c r="L168">
        <f t="shared" si="24"/>
        <v>13.8977</v>
      </c>
      <c r="M168">
        <f t="shared" si="25"/>
        <v>14.653456926000002</v>
      </c>
      <c r="N168" s="9"/>
      <c r="O168" s="22">
        <v>0.69564800000000004</v>
      </c>
      <c r="P168" s="22">
        <v>68.716200000000001</v>
      </c>
      <c r="Q168" s="22">
        <v>-1.4917E-2</v>
      </c>
      <c r="R168" s="22">
        <v>158</v>
      </c>
      <c r="S168" s="22">
        <v>0.69503800000000004</v>
      </c>
      <c r="T168">
        <f t="shared" si="26"/>
        <v>14.917</v>
      </c>
      <c r="U168">
        <f t="shared" si="27"/>
        <v>10.376981216000001</v>
      </c>
      <c r="X168" s="9"/>
      <c r="Y168" s="22">
        <v>1.0543800000000001</v>
      </c>
      <c r="Z168" s="22">
        <v>118.276</v>
      </c>
      <c r="AA168" s="22">
        <v>-1.4093E-2</v>
      </c>
      <c r="AB168" s="22">
        <v>158</v>
      </c>
      <c r="AC168" s="22">
        <v>1.0537700000000001</v>
      </c>
      <c r="AD168">
        <f t="shared" si="28"/>
        <v>14.093</v>
      </c>
      <c r="AE168">
        <f t="shared" si="29"/>
        <v>14.859377340000002</v>
      </c>
      <c r="AF168" s="9"/>
      <c r="AG168" s="22">
        <v>0.69564800000000004</v>
      </c>
      <c r="AH168" s="22">
        <v>137.25</v>
      </c>
      <c r="AI168" s="22">
        <v>-1.50604E-2</v>
      </c>
      <c r="AJ168" s="22">
        <v>158</v>
      </c>
      <c r="AK168" s="22">
        <v>0.69509900000000002</v>
      </c>
      <c r="AL168">
        <f t="shared" si="30"/>
        <v>15.0604</v>
      </c>
      <c r="AM168">
        <f t="shared" si="31"/>
        <v>10.476737139200001</v>
      </c>
      <c r="AP168" s="9"/>
      <c r="AQ168" s="22">
        <v>1.0543800000000001</v>
      </c>
      <c r="AR168" s="22">
        <v>159.89500000000001</v>
      </c>
      <c r="AS168" s="22">
        <v>-1.4163200000000001E-2</v>
      </c>
      <c r="AT168" s="22">
        <v>158</v>
      </c>
      <c r="AU168" s="22">
        <v>1.0531600000000001</v>
      </c>
      <c r="AV168">
        <f t="shared" si="32"/>
        <v>14.163200000000002</v>
      </c>
      <c r="AW168">
        <f t="shared" si="33"/>
        <v>14.933394816000003</v>
      </c>
      <c r="AX168" s="9"/>
      <c r="AY168" s="22">
        <v>0.69564800000000004</v>
      </c>
      <c r="AZ168" s="22">
        <v>182.756</v>
      </c>
      <c r="BA168" s="22">
        <v>-1.50543E-2</v>
      </c>
      <c r="BB168" s="22">
        <v>158</v>
      </c>
      <c r="BC168" s="22">
        <v>0.69500700000000004</v>
      </c>
      <c r="BD168">
        <f t="shared" si="34"/>
        <v>15.0543</v>
      </c>
      <c r="BE168">
        <f t="shared" si="35"/>
        <v>10.4724936864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50.843400000000003</v>
      </c>
      <c r="I169" s="22">
        <v>-1.3931300000000001E-2</v>
      </c>
      <c r="J169" s="22">
        <v>159</v>
      </c>
      <c r="K169" s="22">
        <v>1.0482800000000001</v>
      </c>
      <c r="L169">
        <f t="shared" si="24"/>
        <v>13.9313</v>
      </c>
      <c r="M169">
        <f t="shared" si="25"/>
        <v>14.618809655</v>
      </c>
      <c r="N169" s="9"/>
      <c r="O169" s="22">
        <v>0.70068399999999997</v>
      </c>
      <c r="P169" s="22">
        <v>68.726299999999995</v>
      </c>
      <c r="Q169" s="22">
        <v>-1.49109E-2</v>
      </c>
      <c r="R169" s="22">
        <v>159</v>
      </c>
      <c r="S169" s="22">
        <v>0.70013400000000003</v>
      </c>
      <c r="T169">
        <f t="shared" si="26"/>
        <v>14.9109</v>
      </c>
      <c r="U169">
        <f t="shared" si="27"/>
        <v>10.4478290556</v>
      </c>
      <c r="X169" s="9"/>
      <c r="Y169" s="22">
        <v>1.04935</v>
      </c>
      <c r="Z169" s="22">
        <v>118.286</v>
      </c>
      <c r="AA169" s="22">
        <v>-1.4129600000000001E-2</v>
      </c>
      <c r="AB169" s="22">
        <v>159</v>
      </c>
      <c r="AC169" s="22">
        <v>1.0485800000000001</v>
      </c>
      <c r="AD169">
        <f t="shared" si="28"/>
        <v>14.129600000000002</v>
      </c>
      <c r="AE169">
        <f t="shared" si="29"/>
        <v>14.826895760000001</v>
      </c>
      <c r="AF169" s="9"/>
      <c r="AG169" s="22">
        <v>0.70068399999999997</v>
      </c>
      <c r="AH169" s="22">
        <v>137.261</v>
      </c>
      <c r="AI169" s="22">
        <v>-1.5036000000000001E-2</v>
      </c>
      <c r="AJ169" s="22">
        <v>159</v>
      </c>
      <c r="AK169" s="22">
        <v>0.70001199999999997</v>
      </c>
      <c r="AL169">
        <f t="shared" si="30"/>
        <v>15.036000000000001</v>
      </c>
      <c r="AM169">
        <f t="shared" si="31"/>
        <v>10.535484624</v>
      </c>
      <c r="AP169" s="9"/>
      <c r="AQ169" s="22">
        <v>1.04935</v>
      </c>
      <c r="AR169" s="22">
        <v>159.905</v>
      </c>
      <c r="AS169" s="22">
        <v>-1.4190700000000001E-2</v>
      </c>
      <c r="AT169" s="22">
        <v>159</v>
      </c>
      <c r="AU169" s="22">
        <v>1.0482800000000001</v>
      </c>
      <c r="AV169">
        <f t="shared" si="32"/>
        <v>14.1907</v>
      </c>
      <c r="AW169">
        <f t="shared" si="33"/>
        <v>14.891011044999999</v>
      </c>
      <c r="AX169" s="9"/>
      <c r="AY169" s="22">
        <v>0.70068399999999997</v>
      </c>
      <c r="AZ169" s="22">
        <v>182.76599999999999</v>
      </c>
      <c r="BA169" s="22">
        <v>-1.5029900000000001E-2</v>
      </c>
      <c r="BB169" s="22">
        <v>159</v>
      </c>
      <c r="BC169" s="22">
        <v>0.70007299999999995</v>
      </c>
      <c r="BD169">
        <f t="shared" si="34"/>
        <v>15.029900000000001</v>
      </c>
      <c r="BE169">
        <f t="shared" si="35"/>
        <v>10.5312104516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50.853499999999997</v>
      </c>
      <c r="I170" s="22">
        <v>-1.3958699999999999E-2</v>
      </c>
      <c r="J170" s="22">
        <v>160</v>
      </c>
      <c r="K170" s="22">
        <v>1.0427900000000001</v>
      </c>
      <c r="L170">
        <f t="shared" si="24"/>
        <v>13.958699999999999</v>
      </c>
      <c r="M170">
        <f t="shared" si="25"/>
        <v>14.577209996999999</v>
      </c>
      <c r="N170" s="9"/>
      <c r="O170" s="22">
        <v>0.70571899999999999</v>
      </c>
      <c r="P170" s="22">
        <v>68.7363</v>
      </c>
      <c r="Q170" s="22">
        <v>-1.48895E-2</v>
      </c>
      <c r="R170" s="22">
        <v>160</v>
      </c>
      <c r="S170" s="22">
        <v>0.70516999999999996</v>
      </c>
      <c r="T170">
        <f t="shared" si="26"/>
        <v>14.8895</v>
      </c>
      <c r="U170">
        <f t="shared" si="27"/>
        <v>10.5078030505</v>
      </c>
      <c r="X170" s="9"/>
      <c r="Y170" s="22">
        <v>1.0443100000000001</v>
      </c>
      <c r="Z170" s="22">
        <v>118.29600000000001</v>
      </c>
      <c r="AA170" s="22">
        <v>-1.4169299999999999E-2</v>
      </c>
      <c r="AB170" s="22">
        <v>160</v>
      </c>
      <c r="AC170" s="22">
        <v>1.0434000000000001</v>
      </c>
      <c r="AD170">
        <f t="shared" si="28"/>
        <v>14.1693</v>
      </c>
      <c r="AE170">
        <f t="shared" si="29"/>
        <v>14.797141683000001</v>
      </c>
      <c r="AF170" s="9"/>
      <c r="AG170" s="22">
        <v>0.70571899999999999</v>
      </c>
      <c r="AH170" s="22">
        <v>137.27099999999999</v>
      </c>
      <c r="AI170" s="22">
        <v>-1.5014599999999999E-2</v>
      </c>
      <c r="AJ170" s="22">
        <v>160</v>
      </c>
      <c r="AK170" s="22">
        <v>0.70513899999999996</v>
      </c>
      <c r="AL170">
        <f t="shared" si="30"/>
        <v>15.0146</v>
      </c>
      <c r="AM170">
        <f t="shared" si="31"/>
        <v>10.5960884974</v>
      </c>
      <c r="AP170" s="9"/>
      <c r="AQ170" s="22">
        <v>1.0443100000000001</v>
      </c>
      <c r="AR170" s="22">
        <v>159.916</v>
      </c>
      <c r="AS170" s="22">
        <v>-1.42151E-2</v>
      </c>
      <c r="AT170" s="22">
        <v>160</v>
      </c>
      <c r="AU170" s="22">
        <v>1.0434000000000001</v>
      </c>
      <c r="AV170">
        <f t="shared" si="32"/>
        <v>14.2151</v>
      </c>
      <c r="AW170">
        <f t="shared" si="33"/>
        <v>14.844971081000001</v>
      </c>
      <c r="AX170" s="9"/>
      <c r="AY170" s="22">
        <v>0.70571899999999999</v>
      </c>
      <c r="AZ170" s="22">
        <v>182.77600000000001</v>
      </c>
      <c r="BA170" s="22">
        <v>-1.50116E-2</v>
      </c>
      <c r="BB170" s="22">
        <v>160</v>
      </c>
      <c r="BC170" s="22">
        <v>0.70516999999999996</v>
      </c>
      <c r="BD170">
        <f t="shared" si="34"/>
        <v>15.0116</v>
      </c>
      <c r="BE170">
        <f t="shared" si="35"/>
        <v>10.5939713404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50.863599999999998</v>
      </c>
      <c r="I171" s="22">
        <v>-1.3986200000000001E-2</v>
      </c>
      <c r="J171" s="22">
        <v>161</v>
      </c>
      <c r="K171" s="22">
        <v>1.03851</v>
      </c>
      <c r="L171">
        <f t="shared" si="24"/>
        <v>13.9862</v>
      </c>
      <c r="M171">
        <f t="shared" si="25"/>
        <v>14.535577935999999</v>
      </c>
      <c r="N171" s="9"/>
      <c r="O171" s="22">
        <v>0.710754</v>
      </c>
      <c r="P171" s="22">
        <v>68.746399999999994</v>
      </c>
      <c r="Q171" s="22">
        <v>-1.48621E-2</v>
      </c>
      <c r="R171" s="22">
        <v>161</v>
      </c>
      <c r="S171" s="22">
        <v>0.710175</v>
      </c>
      <c r="T171">
        <f t="shared" si="26"/>
        <v>14.8621</v>
      </c>
      <c r="U171">
        <f t="shared" si="27"/>
        <v>10.563297023400001</v>
      </c>
      <c r="X171" s="9"/>
      <c r="Y171" s="22">
        <v>1.03928</v>
      </c>
      <c r="Z171" s="22">
        <v>118.306</v>
      </c>
      <c r="AA171" s="22">
        <v>-1.4212000000000001E-2</v>
      </c>
      <c r="AB171" s="22">
        <v>161</v>
      </c>
      <c r="AC171" s="22">
        <v>1.0379</v>
      </c>
      <c r="AD171">
        <f t="shared" si="28"/>
        <v>14.212000000000002</v>
      </c>
      <c r="AE171">
        <f t="shared" si="29"/>
        <v>14.770247360000001</v>
      </c>
      <c r="AF171" s="9"/>
      <c r="AG171" s="22">
        <v>0.710754</v>
      </c>
      <c r="AH171" s="22">
        <v>137.28100000000001</v>
      </c>
      <c r="AI171" s="22">
        <v>-1.49994E-2</v>
      </c>
      <c r="AJ171" s="22">
        <v>161</v>
      </c>
      <c r="AK171" s="22">
        <v>0.710144</v>
      </c>
      <c r="AL171">
        <f t="shared" si="30"/>
        <v>14.9994</v>
      </c>
      <c r="AM171">
        <f t="shared" si="31"/>
        <v>10.660883547599999</v>
      </c>
      <c r="AP171" s="9"/>
      <c r="AQ171" s="22">
        <v>1.03928</v>
      </c>
      <c r="AR171" s="22">
        <v>159.92599999999999</v>
      </c>
      <c r="AS171" s="22">
        <v>-1.4236499999999999E-2</v>
      </c>
      <c r="AT171" s="22">
        <v>161</v>
      </c>
      <c r="AU171" s="22">
        <v>1.0382100000000001</v>
      </c>
      <c r="AV171">
        <f t="shared" si="32"/>
        <v>14.236499999999999</v>
      </c>
      <c r="AW171">
        <f t="shared" si="33"/>
        <v>14.79570972</v>
      </c>
      <c r="AX171" s="9"/>
      <c r="AY171" s="22">
        <v>0.710754</v>
      </c>
      <c r="AZ171" s="22">
        <v>182.78700000000001</v>
      </c>
      <c r="BA171" s="22">
        <v>-1.4993299999999999E-2</v>
      </c>
      <c r="BB171" s="22">
        <v>161</v>
      </c>
      <c r="BC171" s="22">
        <v>0.71020499999999998</v>
      </c>
      <c r="BD171">
        <f t="shared" si="34"/>
        <v>14.9933</v>
      </c>
      <c r="BE171">
        <f t="shared" si="35"/>
        <v>10.6565479482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50.873600000000003</v>
      </c>
      <c r="I172" s="22">
        <v>-1.40106E-2</v>
      </c>
      <c r="J172" s="22">
        <v>162</v>
      </c>
      <c r="K172" s="22">
        <v>1.0333300000000001</v>
      </c>
      <c r="L172">
        <f t="shared" si="24"/>
        <v>14.0106</v>
      </c>
      <c r="M172">
        <f t="shared" si="25"/>
        <v>14.490322944000001</v>
      </c>
      <c r="N172" s="9"/>
      <c r="O172" s="22">
        <v>0.71579000000000004</v>
      </c>
      <c r="P172" s="22">
        <v>68.756500000000003</v>
      </c>
      <c r="Q172" s="22">
        <v>-1.48407E-2</v>
      </c>
      <c r="R172" s="22">
        <v>162</v>
      </c>
      <c r="S172" s="22">
        <v>0.71517900000000001</v>
      </c>
      <c r="T172">
        <f t="shared" si="26"/>
        <v>14.8407</v>
      </c>
      <c r="U172">
        <f t="shared" si="27"/>
        <v>10.622824653</v>
      </c>
      <c r="X172" s="9"/>
      <c r="Y172" s="22">
        <v>1.03424</v>
      </c>
      <c r="Z172" s="22">
        <v>118.316</v>
      </c>
      <c r="AA172" s="22">
        <v>-1.42487E-2</v>
      </c>
      <c r="AB172" s="22">
        <v>162</v>
      </c>
      <c r="AC172" s="22">
        <v>1.03271</v>
      </c>
      <c r="AD172">
        <f t="shared" si="28"/>
        <v>14.248699999999999</v>
      </c>
      <c r="AE172">
        <f t="shared" si="29"/>
        <v>14.736575488</v>
      </c>
      <c r="AF172" s="9"/>
      <c r="AG172" s="22">
        <v>0.71579000000000004</v>
      </c>
      <c r="AH172" s="22">
        <v>137.291</v>
      </c>
      <c r="AI172" s="22">
        <v>-1.4981100000000001E-2</v>
      </c>
      <c r="AJ172" s="22">
        <v>162</v>
      </c>
      <c r="AK172" s="22">
        <v>0.71530199999999999</v>
      </c>
      <c r="AL172">
        <f t="shared" si="30"/>
        <v>14.981100000000001</v>
      </c>
      <c r="AM172">
        <f t="shared" si="31"/>
        <v>10.723321569000001</v>
      </c>
      <c r="AP172" s="9"/>
      <c r="AQ172" s="22">
        <v>1.03424</v>
      </c>
      <c r="AR172" s="22">
        <v>159.93600000000001</v>
      </c>
      <c r="AS172" s="22">
        <v>-1.4251700000000001E-2</v>
      </c>
      <c r="AT172" s="22">
        <v>162</v>
      </c>
      <c r="AU172" s="22">
        <v>1.0333300000000001</v>
      </c>
      <c r="AV172">
        <f t="shared" si="32"/>
        <v>14.251700000000001</v>
      </c>
      <c r="AW172">
        <f t="shared" si="33"/>
        <v>14.739678208000003</v>
      </c>
      <c r="AX172" s="9"/>
      <c r="AY172" s="22">
        <v>0.71579000000000004</v>
      </c>
      <c r="AZ172" s="22">
        <v>182.797</v>
      </c>
      <c r="BA172" s="22">
        <v>-1.4975E-2</v>
      </c>
      <c r="BB172" s="22">
        <v>162</v>
      </c>
      <c r="BC172" s="22">
        <v>0.71523999999999999</v>
      </c>
      <c r="BD172">
        <f t="shared" si="34"/>
        <v>14.975</v>
      </c>
      <c r="BE172">
        <f t="shared" si="35"/>
        <v>10.71895525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50.883699999999997</v>
      </c>
      <c r="I173" s="22">
        <v>-1.40381E-2</v>
      </c>
      <c r="J173" s="22">
        <v>163</v>
      </c>
      <c r="K173" s="22">
        <v>1.02783</v>
      </c>
      <c r="L173">
        <f t="shared" si="24"/>
        <v>14.0381</v>
      </c>
      <c r="M173">
        <f t="shared" si="25"/>
        <v>14.448152901</v>
      </c>
      <c r="N173" s="9"/>
      <c r="O173" s="22">
        <v>0.72082500000000005</v>
      </c>
      <c r="P173" s="22">
        <v>68.766599999999997</v>
      </c>
      <c r="Q173" s="22">
        <v>-1.4819300000000001E-2</v>
      </c>
      <c r="R173" s="22">
        <v>163</v>
      </c>
      <c r="S173" s="22">
        <v>0.72024500000000002</v>
      </c>
      <c r="T173">
        <f t="shared" si="26"/>
        <v>14.8193</v>
      </c>
      <c r="U173">
        <f t="shared" si="27"/>
        <v>10.6821219225</v>
      </c>
      <c r="X173" s="9"/>
      <c r="Y173" s="22">
        <v>1.02921</v>
      </c>
      <c r="Z173" s="22">
        <v>118.32599999999999</v>
      </c>
      <c r="AA173" s="22">
        <v>-1.4279200000000001E-2</v>
      </c>
      <c r="AB173" s="22">
        <v>163</v>
      </c>
      <c r="AC173" s="22">
        <v>1.02844</v>
      </c>
      <c r="AD173">
        <f t="shared" si="28"/>
        <v>14.279200000000001</v>
      </c>
      <c r="AE173">
        <f t="shared" si="29"/>
        <v>14.696295432000001</v>
      </c>
      <c r="AF173" s="9"/>
      <c r="AG173" s="22">
        <v>0.72082500000000005</v>
      </c>
      <c r="AH173" s="22">
        <v>137.30099999999999</v>
      </c>
      <c r="AI173" s="22">
        <v>-1.4959699999999999E-2</v>
      </c>
      <c r="AJ173" s="22">
        <v>163</v>
      </c>
      <c r="AK173" s="22">
        <v>0.72024500000000002</v>
      </c>
      <c r="AL173">
        <f t="shared" si="30"/>
        <v>14.9597</v>
      </c>
      <c r="AM173">
        <f t="shared" si="31"/>
        <v>10.7833257525</v>
      </c>
      <c r="AP173" s="9"/>
      <c r="AQ173" s="22">
        <v>1.02921</v>
      </c>
      <c r="AR173" s="22">
        <v>159.946</v>
      </c>
      <c r="AS173" s="22">
        <v>-1.42761E-2</v>
      </c>
      <c r="AT173" s="22">
        <v>163</v>
      </c>
      <c r="AU173" s="22">
        <v>1.02844</v>
      </c>
      <c r="AV173">
        <f t="shared" si="32"/>
        <v>14.2761</v>
      </c>
      <c r="AW173">
        <f t="shared" si="33"/>
        <v>14.693104880999998</v>
      </c>
      <c r="AX173" s="9"/>
      <c r="AY173" s="22">
        <v>0.72082500000000005</v>
      </c>
      <c r="AZ173" s="22">
        <v>182.80699999999999</v>
      </c>
      <c r="BA173" s="22">
        <v>-1.49658E-2</v>
      </c>
      <c r="BB173" s="22">
        <v>163</v>
      </c>
      <c r="BC173" s="22">
        <v>0.72027600000000003</v>
      </c>
      <c r="BD173">
        <f t="shared" si="34"/>
        <v>14.9658</v>
      </c>
      <c r="BE173">
        <f t="shared" si="35"/>
        <v>10.787722785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50.893799999999999</v>
      </c>
      <c r="I174" s="22">
        <v>-1.40625E-2</v>
      </c>
      <c r="J174" s="22">
        <v>164</v>
      </c>
      <c r="K174" s="22">
        <v>1.02295</v>
      </c>
      <c r="L174">
        <f t="shared" si="24"/>
        <v>14.0625</v>
      </c>
      <c r="M174">
        <f t="shared" si="25"/>
        <v>14.402390625000001</v>
      </c>
      <c r="N174" s="9"/>
      <c r="O174" s="22">
        <v>0.72586099999999998</v>
      </c>
      <c r="P174" s="22">
        <v>68.776600000000002</v>
      </c>
      <c r="Q174" s="22">
        <v>-1.4801E-2</v>
      </c>
      <c r="R174" s="22">
        <v>164</v>
      </c>
      <c r="S174" s="22">
        <v>0.72521999999999998</v>
      </c>
      <c r="T174">
        <f t="shared" si="26"/>
        <v>14.801</v>
      </c>
      <c r="U174">
        <f t="shared" si="27"/>
        <v>10.743468661</v>
      </c>
      <c r="X174" s="9"/>
      <c r="Y174" s="22">
        <v>1.02417</v>
      </c>
      <c r="Z174" s="22">
        <v>118.336</v>
      </c>
      <c r="AA174" s="22">
        <v>-1.4294400000000001E-2</v>
      </c>
      <c r="AB174" s="22">
        <v>164</v>
      </c>
      <c r="AC174" s="22">
        <v>1.02325</v>
      </c>
      <c r="AD174">
        <f t="shared" si="28"/>
        <v>14.294400000000001</v>
      </c>
      <c r="AE174">
        <f t="shared" si="29"/>
        <v>14.639895648000001</v>
      </c>
      <c r="AF174" s="9"/>
      <c r="AG174" s="22">
        <v>0.72586099999999998</v>
      </c>
      <c r="AH174" s="22">
        <v>137.31100000000001</v>
      </c>
      <c r="AI174" s="22">
        <v>-1.4941400000000001E-2</v>
      </c>
      <c r="AJ174" s="22">
        <v>164</v>
      </c>
      <c r="AK174" s="22">
        <v>0.72518899999999997</v>
      </c>
      <c r="AL174">
        <f t="shared" si="30"/>
        <v>14.9414</v>
      </c>
      <c r="AM174">
        <f t="shared" si="31"/>
        <v>10.8453795454</v>
      </c>
      <c r="AP174" s="9"/>
      <c r="AQ174" s="22">
        <v>1.02417</v>
      </c>
      <c r="AR174" s="22">
        <v>159.95599999999999</v>
      </c>
      <c r="AS174" s="22">
        <v>-1.43097E-2</v>
      </c>
      <c r="AT174" s="22">
        <v>164</v>
      </c>
      <c r="AU174" s="22">
        <v>1.02325</v>
      </c>
      <c r="AV174">
        <f t="shared" si="32"/>
        <v>14.309699999999999</v>
      </c>
      <c r="AW174">
        <f t="shared" si="33"/>
        <v>14.655565448999999</v>
      </c>
      <c r="AX174" s="9"/>
      <c r="AY174" s="22">
        <v>0.72586099999999998</v>
      </c>
      <c r="AZ174" s="22">
        <v>182.81700000000001</v>
      </c>
      <c r="BA174" s="22">
        <v>-1.4947500000000001E-2</v>
      </c>
      <c r="BB174" s="22">
        <v>164</v>
      </c>
      <c r="BC174" s="22">
        <v>0.72518899999999997</v>
      </c>
      <c r="BD174">
        <f t="shared" si="34"/>
        <v>14.947500000000002</v>
      </c>
      <c r="BE174">
        <f t="shared" si="35"/>
        <v>10.8498072975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50.9039</v>
      </c>
      <c r="I175" s="22">
        <v>-1.40839E-2</v>
      </c>
      <c r="J175" s="22">
        <v>165</v>
      </c>
      <c r="K175" s="22">
        <v>1.01807</v>
      </c>
      <c r="L175">
        <f t="shared" si="24"/>
        <v>14.0839</v>
      </c>
      <c r="M175">
        <f t="shared" si="25"/>
        <v>14.353325007</v>
      </c>
      <c r="N175" s="9"/>
      <c r="O175" s="22">
        <v>0.73089599999999999</v>
      </c>
      <c r="P175" s="22">
        <v>68.786699999999996</v>
      </c>
      <c r="Q175" s="22">
        <v>-1.47888E-2</v>
      </c>
      <c r="R175" s="22">
        <v>165</v>
      </c>
      <c r="S175" s="22">
        <v>0.73028599999999999</v>
      </c>
      <c r="T175">
        <f t="shared" si="26"/>
        <v>14.7888</v>
      </c>
      <c r="U175">
        <f t="shared" si="27"/>
        <v>10.8090747648</v>
      </c>
      <c r="X175" s="9"/>
      <c r="Y175" s="22">
        <v>1.0191300000000001</v>
      </c>
      <c r="Z175" s="22">
        <v>118.346</v>
      </c>
      <c r="AA175" s="22">
        <v>-1.43097E-2</v>
      </c>
      <c r="AB175" s="22">
        <v>165</v>
      </c>
      <c r="AC175" s="22">
        <v>1.01868</v>
      </c>
      <c r="AD175">
        <f t="shared" si="28"/>
        <v>14.309699999999999</v>
      </c>
      <c r="AE175">
        <f t="shared" si="29"/>
        <v>14.583444561</v>
      </c>
      <c r="AF175" s="9"/>
      <c r="AG175" s="22">
        <v>0.73089599999999999</v>
      </c>
      <c r="AH175" s="22">
        <v>137.321</v>
      </c>
      <c r="AI175" s="22">
        <v>-1.4919999999999999E-2</v>
      </c>
      <c r="AJ175" s="22">
        <v>165</v>
      </c>
      <c r="AK175" s="22">
        <v>0.73025499999999999</v>
      </c>
      <c r="AL175">
        <f t="shared" si="30"/>
        <v>14.92</v>
      </c>
      <c r="AM175">
        <f t="shared" si="31"/>
        <v>10.90496832</v>
      </c>
      <c r="AP175" s="9"/>
      <c r="AQ175" s="22">
        <v>1.0191300000000001</v>
      </c>
      <c r="AR175" s="22">
        <v>159.96600000000001</v>
      </c>
      <c r="AS175" s="22">
        <v>-1.4334100000000001E-2</v>
      </c>
      <c r="AT175" s="22">
        <v>165</v>
      </c>
      <c r="AU175" s="22">
        <v>1.01776</v>
      </c>
      <c r="AV175">
        <f t="shared" si="32"/>
        <v>14.334100000000001</v>
      </c>
      <c r="AW175">
        <f t="shared" si="33"/>
        <v>14.608311333000003</v>
      </c>
      <c r="AX175" s="9"/>
      <c r="AY175" s="22">
        <v>0.73089599999999999</v>
      </c>
      <c r="AZ175" s="22">
        <v>182.827</v>
      </c>
      <c r="BA175" s="22">
        <v>-1.49292E-2</v>
      </c>
      <c r="BB175" s="22">
        <v>165</v>
      </c>
      <c r="BC175" s="22">
        <v>0.73025499999999999</v>
      </c>
      <c r="BD175">
        <f t="shared" si="34"/>
        <v>14.9292</v>
      </c>
      <c r="BE175">
        <f t="shared" si="35"/>
        <v>10.911692563199999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50.913899999999998</v>
      </c>
      <c r="I176" s="22">
        <v>-1.41052E-2</v>
      </c>
      <c r="J176" s="22">
        <v>166</v>
      </c>
      <c r="K176" s="22">
        <v>1.01349</v>
      </c>
      <c r="L176">
        <f t="shared" si="24"/>
        <v>14.1052</v>
      </c>
      <c r="M176">
        <f t="shared" si="25"/>
        <v>14.30408332</v>
      </c>
      <c r="N176" s="9"/>
      <c r="O176" s="22">
        <v>0.735931</v>
      </c>
      <c r="P176" s="22">
        <v>68.796800000000005</v>
      </c>
      <c r="Q176" s="22">
        <v>-1.47736E-2</v>
      </c>
      <c r="R176" s="22">
        <v>166</v>
      </c>
      <c r="S176" s="22">
        <v>0.73535200000000001</v>
      </c>
      <c r="T176">
        <f t="shared" si="26"/>
        <v>14.7736</v>
      </c>
      <c r="U176">
        <f t="shared" si="27"/>
        <v>10.8723502216</v>
      </c>
      <c r="X176" s="9"/>
      <c r="Y176" s="22">
        <v>1.0141</v>
      </c>
      <c r="Z176" s="22">
        <v>118.35599999999999</v>
      </c>
      <c r="AA176" s="22">
        <v>-1.4328E-2</v>
      </c>
      <c r="AB176" s="22">
        <v>166</v>
      </c>
      <c r="AC176" s="22">
        <v>1.01288</v>
      </c>
      <c r="AD176">
        <f t="shared" si="28"/>
        <v>14.328000000000001</v>
      </c>
      <c r="AE176">
        <f t="shared" si="29"/>
        <v>14.530024800000001</v>
      </c>
      <c r="AF176" s="9"/>
      <c r="AG176" s="22">
        <v>0.735931</v>
      </c>
      <c r="AH176" s="22">
        <v>137.33099999999999</v>
      </c>
      <c r="AI176" s="22">
        <v>-1.48956E-2</v>
      </c>
      <c r="AJ176" s="22">
        <v>166</v>
      </c>
      <c r="AK176" s="22">
        <v>0.73529100000000003</v>
      </c>
      <c r="AL176">
        <f t="shared" si="30"/>
        <v>14.8956</v>
      </c>
      <c r="AM176">
        <f t="shared" si="31"/>
        <v>10.9621338036</v>
      </c>
      <c r="AP176" s="9"/>
      <c r="AQ176" s="22">
        <v>1.0141</v>
      </c>
      <c r="AR176" s="22">
        <v>159.976</v>
      </c>
      <c r="AS176" s="22">
        <v>-1.43646E-2</v>
      </c>
      <c r="AT176" s="22">
        <v>166</v>
      </c>
      <c r="AU176" s="22">
        <v>1.01318</v>
      </c>
      <c r="AV176">
        <f t="shared" si="32"/>
        <v>14.364599999999999</v>
      </c>
      <c r="AW176">
        <f t="shared" si="33"/>
        <v>14.567140859999999</v>
      </c>
      <c r="AX176" s="9"/>
      <c r="AY176" s="22">
        <v>0.735931</v>
      </c>
      <c r="AZ176" s="22">
        <v>182.83699999999999</v>
      </c>
      <c r="BA176" s="22">
        <v>-1.4919999999999999E-2</v>
      </c>
      <c r="BB176" s="22">
        <v>166</v>
      </c>
      <c r="BC176" s="22">
        <v>0.735321</v>
      </c>
      <c r="BD176">
        <f t="shared" si="34"/>
        <v>14.92</v>
      </c>
      <c r="BE176">
        <f t="shared" si="35"/>
        <v>10.980090519999999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50.923999999999999</v>
      </c>
      <c r="I177" s="22">
        <v>-1.4129600000000001E-2</v>
      </c>
      <c r="J177" s="22">
        <v>167</v>
      </c>
      <c r="K177" s="22">
        <v>1.008</v>
      </c>
      <c r="L177">
        <f t="shared" si="24"/>
        <v>14.129600000000002</v>
      </c>
      <c r="M177">
        <f t="shared" si="25"/>
        <v>14.257614176000002</v>
      </c>
      <c r="N177" s="9"/>
      <c r="O177" s="22">
        <v>0.74096700000000004</v>
      </c>
      <c r="P177" s="22">
        <v>68.806799999999996</v>
      </c>
      <c r="Q177" s="22">
        <v>-1.47552E-2</v>
      </c>
      <c r="R177" s="22">
        <v>167</v>
      </c>
      <c r="S177" s="22">
        <v>0.74035600000000001</v>
      </c>
      <c r="T177">
        <f t="shared" si="26"/>
        <v>14.7552</v>
      </c>
      <c r="U177">
        <f t="shared" si="27"/>
        <v>10.9331162784</v>
      </c>
      <c r="X177" s="9"/>
      <c r="Y177" s="22">
        <v>1.0090600000000001</v>
      </c>
      <c r="Z177" s="22">
        <v>118.366</v>
      </c>
      <c r="AA177" s="22">
        <v>-1.4346299999999999E-2</v>
      </c>
      <c r="AB177" s="22">
        <v>167</v>
      </c>
      <c r="AC177" s="22">
        <v>1.008</v>
      </c>
      <c r="AD177">
        <f t="shared" si="28"/>
        <v>14.346299999999999</v>
      </c>
      <c r="AE177">
        <f t="shared" si="29"/>
        <v>14.476277478</v>
      </c>
      <c r="AF177" s="9"/>
      <c r="AG177" s="22">
        <v>0.74096700000000004</v>
      </c>
      <c r="AH177" s="22">
        <v>137.34100000000001</v>
      </c>
      <c r="AI177" s="22">
        <v>-1.48682E-2</v>
      </c>
      <c r="AJ177" s="22">
        <v>167</v>
      </c>
      <c r="AK177" s="22">
        <v>0.74038700000000002</v>
      </c>
      <c r="AL177">
        <f t="shared" si="30"/>
        <v>14.8682</v>
      </c>
      <c r="AM177">
        <f t="shared" si="31"/>
        <v>11.016845549400001</v>
      </c>
      <c r="AP177" s="9"/>
      <c r="AQ177" s="22">
        <v>1.0090600000000001</v>
      </c>
      <c r="AR177" s="22">
        <v>159.98599999999999</v>
      </c>
      <c r="AS177" s="22">
        <v>-1.4389000000000001E-2</v>
      </c>
      <c r="AT177" s="22">
        <v>167</v>
      </c>
      <c r="AU177" s="22">
        <v>1.008</v>
      </c>
      <c r="AV177">
        <f t="shared" si="32"/>
        <v>14.389000000000001</v>
      </c>
      <c r="AW177">
        <f t="shared" si="33"/>
        <v>14.519364340000003</v>
      </c>
      <c r="AX177" s="9"/>
      <c r="AY177" s="22">
        <v>0.74096700000000004</v>
      </c>
      <c r="AZ177" s="22">
        <v>182.84700000000001</v>
      </c>
      <c r="BA177" s="22">
        <v>-1.4898700000000001E-2</v>
      </c>
      <c r="BB177" s="22">
        <v>167</v>
      </c>
      <c r="BC177" s="22">
        <v>0.74035600000000001</v>
      </c>
      <c r="BD177">
        <f t="shared" si="34"/>
        <v>14.898700000000002</v>
      </c>
      <c r="BE177">
        <f t="shared" si="35"/>
        <v>11.039445042900002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50.934100000000001</v>
      </c>
      <c r="I178" s="22">
        <v>-1.4154099999999999E-2</v>
      </c>
      <c r="J178" s="22">
        <v>168</v>
      </c>
      <c r="K178" s="22">
        <v>1.0031099999999999</v>
      </c>
      <c r="L178">
        <f t="shared" si="24"/>
        <v>14.1541</v>
      </c>
      <c r="M178">
        <f t="shared" si="25"/>
        <v>14.211141023</v>
      </c>
      <c r="N178" s="9"/>
      <c r="O178" s="22">
        <v>0.74600200000000005</v>
      </c>
      <c r="P178" s="22">
        <v>68.816900000000004</v>
      </c>
      <c r="Q178" s="22">
        <v>-1.4733899999999999E-2</v>
      </c>
      <c r="R178" s="22">
        <v>168</v>
      </c>
      <c r="S178" s="22">
        <v>0.74536100000000005</v>
      </c>
      <c r="T178">
        <f t="shared" si="26"/>
        <v>14.7339</v>
      </c>
      <c r="U178">
        <f t="shared" si="27"/>
        <v>10.991518867800002</v>
      </c>
      <c r="X178" s="9"/>
      <c r="Y178" s="22">
        <v>1.00403</v>
      </c>
      <c r="Z178" s="22">
        <v>118.376</v>
      </c>
      <c r="AA178" s="22">
        <v>-1.4367700000000001E-2</v>
      </c>
      <c r="AB178" s="22">
        <v>168</v>
      </c>
      <c r="AC178" s="22">
        <v>1.0031099999999999</v>
      </c>
      <c r="AD178">
        <f t="shared" si="28"/>
        <v>14.367700000000001</v>
      </c>
      <c r="AE178">
        <f t="shared" si="29"/>
        <v>14.425601831000002</v>
      </c>
      <c r="AF178" s="9"/>
      <c r="AG178" s="22">
        <v>0.74600200000000005</v>
      </c>
      <c r="AH178" s="22">
        <v>137.351</v>
      </c>
      <c r="AI178" s="22">
        <v>-1.48468E-2</v>
      </c>
      <c r="AJ178" s="22">
        <v>168</v>
      </c>
      <c r="AK178" s="22">
        <v>0.74542200000000003</v>
      </c>
      <c r="AL178">
        <f t="shared" si="30"/>
        <v>14.8468</v>
      </c>
      <c r="AM178">
        <f t="shared" si="31"/>
        <v>11.0757424936</v>
      </c>
      <c r="AP178" s="9"/>
      <c r="AQ178" s="22">
        <v>1.00403</v>
      </c>
      <c r="AR178" s="22">
        <v>159.99600000000001</v>
      </c>
      <c r="AS178" s="22">
        <v>-1.44073E-2</v>
      </c>
      <c r="AT178" s="22">
        <v>168</v>
      </c>
      <c r="AU178" s="22">
        <v>1.0031099999999999</v>
      </c>
      <c r="AV178">
        <f t="shared" si="32"/>
        <v>14.407299999999999</v>
      </c>
      <c r="AW178">
        <f t="shared" si="33"/>
        <v>14.465361418999999</v>
      </c>
      <c r="AX178" s="9"/>
      <c r="AY178" s="22">
        <v>0.74600200000000005</v>
      </c>
      <c r="AZ178" s="22">
        <v>182.857</v>
      </c>
      <c r="BA178" s="22">
        <v>-1.48773E-2</v>
      </c>
      <c r="BB178" s="22">
        <v>168</v>
      </c>
      <c r="BC178" s="22">
        <v>0.74539200000000005</v>
      </c>
      <c r="BD178">
        <f t="shared" si="34"/>
        <v>14.8773</v>
      </c>
      <c r="BE178">
        <f t="shared" si="35"/>
        <v>11.098495554600001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50.944099999999999</v>
      </c>
      <c r="I179" s="22">
        <v>-1.4175399999999999E-2</v>
      </c>
      <c r="J179" s="22">
        <v>169</v>
      </c>
      <c r="K179" s="22">
        <v>0.99822999999999995</v>
      </c>
      <c r="L179">
        <f t="shared" si="24"/>
        <v>14.1754</v>
      </c>
      <c r="M179">
        <f t="shared" si="25"/>
        <v>14.161125372200001</v>
      </c>
      <c r="N179" s="9"/>
      <c r="O179" s="22">
        <v>0.75103799999999998</v>
      </c>
      <c r="P179" s="22">
        <v>68.826999999999998</v>
      </c>
      <c r="Q179" s="22">
        <v>-1.47125E-2</v>
      </c>
      <c r="R179" s="22">
        <v>169</v>
      </c>
      <c r="S179" s="22">
        <v>0.75036599999999998</v>
      </c>
      <c r="T179">
        <f t="shared" si="26"/>
        <v>14.7125</v>
      </c>
      <c r="U179">
        <f t="shared" si="27"/>
        <v>11.049646575000001</v>
      </c>
      <c r="X179" s="9"/>
      <c r="Y179" s="22">
        <v>0.99899300000000002</v>
      </c>
      <c r="Z179" s="22">
        <v>118.386</v>
      </c>
      <c r="AA179" s="22">
        <v>-1.43921E-2</v>
      </c>
      <c r="AB179" s="22">
        <v>169</v>
      </c>
      <c r="AC179" s="22">
        <v>0.99822999999999995</v>
      </c>
      <c r="AD179">
        <f t="shared" si="28"/>
        <v>14.392099999999999</v>
      </c>
      <c r="AE179">
        <f t="shared" si="29"/>
        <v>14.3776071553</v>
      </c>
      <c r="AF179" s="9"/>
      <c r="AG179" s="22">
        <v>0.75103799999999998</v>
      </c>
      <c r="AH179" s="22">
        <v>137.36099999999999</v>
      </c>
      <c r="AI179" s="22">
        <v>-1.4825400000000001E-2</v>
      </c>
      <c r="AJ179" s="22">
        <v>169</v>
      </c>
      <c r="AK179" s="22">
        <v>0.750336</v>
      </c>
      <c r="AL179">
        <f t="shared" si="30"/>
        <v>14.8254</v>
      </c>
      <c r="AM179">
        <f t="shared" si="31"/>
        <v>11.134438765200001</v>
      </c>
      <c r="AP179" s="9"/>
      <c r="AQ179" s="22">
        <v>0.99899300000000002</v>
      </c>
      <c r="AR179" s="22">
        <v>160.006</v>
      </c>
      <c r="AS179" s="22">
        <v>-1.44379E-2</v>
      </c>
      <c r="AT179" s="22">
        <v>169</v>
      </c>
      <c r="AU179" s="22">
        <v>0.99761999999999995</v>
      </c>
      <c r="AV179">
        <f t="shared" si="32"/>
        <v>14.437900000000001</v>
      </c>
      <c r="AW179">
        <f t="shared" si="33"/>
        <v>14.423361034700001</v>
      </c>
      <c r="AX179" s="9"/>
      <c r="AY179" s="22">
        <v>0.75103799999999998</v>
      </c>
      <c r="AZ179" s="22">
        <v>182.86699999999999</v>
      </c>
      <c r="BA179" s="22">
        <v>-1.48682E-2</v>
      </c>
      <c r="BB179" s="22">
        <v>169</v>
      </c>
      <c r="BC179" s="22">
        <v>0.75042699999999996</v>
      </c>
      <c r="BD179">
        <f t="shared" si="34"/>
        <v>14.8682</v>
      </c>
      <c r="BE179">
        <f t="shared" si="35"/>
        <v>11.166583191599999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50.9542</v>
      </c>
      <c r="I180" s="22">
        <v>-1.4196800000000001E-2</v>
      </c>
      <c r="J180" s="22">
        <v>170</v>
      </c>
      <c r="K180" s="22">
        <v>0.99273699999999998</v>
      </c>
      <c r="L180">
        <f t="shared" si="24"/>
        <v>14.196800000000001</v>
      </c>
      <c r="M180">
        <f t="shared" si="25"/>
        <v>14.111022934400001</v>
      </c>
      <c r="N180" s="9"/>
      <c r="O180" s="22">
        <v>0.756073</v>
      </c>
      <c r="P180" s="22">
        <v>68.837100000000007</v>
      </c>
      <c r="Q180" s="22">
        <v>-1.46912E-2</v>
      </c>
      <c r="R180" s="22">
        <v>170</v>
      </c>
      <c r="S180" s="22">
        <v>0.75500500000000004</v>
      </c>
      <c r="T180">
        <f t="shared" si="26"/>
        <v>14.6912</v>
      </c>
      <c r="U180">
        <f t="shared" si="27"/>
        <v>11.107619657600001</v>
      </c>
      <c r="X180" s="9"/>
      <c r="Y180" s="22">
        <v>0.99395800000000001</v>
      </c>
      <c r="Z180" s="22">
        <v>118.396</v>
      </c>
      <c r="AA180" s="22">
        <v>-1.4422600000000001E-2</v>
      </c>
      <c r="AB180" s="22">
        <v>170</v>
      </c>
      <c r="AC180" s="22">
        <v>0.99304199999999998</v>
      </c>
      <c r="AD180">
        <f t="shared" si="28"/>
        <v>14.422600000000001</v>
      </c>
      <c r="AE180">
        <f t="shared" si="29"/>
        <v>14.335458650800001</v>
      </c>
      <c r="AF180" s="9"/>
      <c r="AG180" s="22">
        <v>0.756073</v>
      </c>
      <c r="AH180" s="22">
        <v>137.37100000000001</v>
      </c>
      <c r="AI180" s="22">
        <v>-1.48071E-2</v>
      </c>
      <c r="AJ180" s="22">
        <v>170</v>
      </c>
      <c r="AK180" s="22">
        <v>0.75561500000000004</v>
      </c>
      <c r="AL180">
        <f t="shared" si="30"/>
        <v>14.8071</v>
      </c>
      <c r="AM180">
        <f t="shared" si="31"/>
        <v>11.1952485183</v>
      </c>
      <c r="AP180" s="9"/>
      <c r="AQ180" s="22">
        <v>0.99395800000000001</v>
      </c>
      <c r="AR180" s="22">
        <v>160.01599999999999</v>
      </c>
      <c r="AS180" s="22">
        <v>-1.44531E-2</v>
      </c>
      <c r="AT180" s="22">
        <v>170</v>
      </c>
      <c r="AU180" s="22">
        <v>0.99334699999999998</v>
      </c>
      <c r="AV180">
        <f t="shared" si="32"/>
        <v>14.453099999999999</v>
      </c>
      <c r="AW180">
        <f t="shared" si="33"/>
        <v>14.365774369799999</v>
      </c>
      <c r="AX180" s="9"/>
      <c r="AY180" s="22">
        <v>0.756073</v>
      </c>
      <c r="AZ180" s="22">
        <v>182.87700000000001</v>
      </c>
      <c r="BA180" s="22">
        <v>-1.48407E-2</v>
      </c>
      <c r="BB180" s="22">
        <v>170</v>
      </c>
      <c r="BC180" s="22">
        <v>0.75531000000000004</v>
      </c>
      <c r="BD180">
        <f t="shared" si="34"/>
        <v>14.8407</v>
      </c>
      <c r="BE180">
        <f t="shared" si="35"/>
        <v>11.2206525711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50.964300000000001</v>
      </c>
      <c r="I181" s="22">
        <v>-1.42212E-2</v>
      </c>
      <c r="J181" s="22">
        <v>171</v>
      </c>
      <c r="K181" s="22">
        <v>0.98815900000000001</v>
      </c>
      <c r="L181">
        <f t="shared" si="24"/>
        <v>14.2212</v>
      </c>
      <c r="M181">
        <f t="shared" si="25"/>
        <v>14.0636575464</v>
      </c>
      <c r="N181" s="9"/>
      <c r="O181" s="22">
        <v>0.76110800000000001</v>
      </c>
      <c r="P181" s="22">
        <v>68.847099999999998</v>
      </c>
      <c r="Q181" s="22">
        <v>-1.46637E-2</v>
      </c>
      <c r="R181" s="22">
        <v>171</v>
      </c>
      <c r="S181" s="22">
        <v>0.76019300000000001</v>
      </c>
      <c r="T181">
        <f t="shared" si="26"/>
        <v>14.6637</v>
      </c>
      <c r="U181">
        <f t="shared" si="27"/>
        <v>11.1606593796</v>
      </c>
      <c r="X181" s="9"/>
      <c r="Y181" s="22">
        <v>0.98892199999999997</v>
      </c>
      <c r="Z181" s="22">
        <v>118.407</v>
      </c>
      <c r="AA181" s="22">
        <v>-1.4456200000000001E-2</v>
      </c>
      <c r="AB181" s="22">
        <v>171</v>
      </c>
      <c r="AC181" s="22">
        <v>0.98815900000000001</v>
      </c>
      <c r="AD181">
        <f t="shared" si="28"/>
        <v>14.456200000000001</v>
      </c>
      <c r="AE181">
        <f t="shared" si="29"/>
        <v>14.2960542164</v>
      </c>
      <c r="AF181" s="9"/>
      <c r="AG181" s="22">
        <v>0.76110800000000001</v>
      </c>
      <c r="AH181" s="22">
        <v>137.381</v>
      </c>
      <c r="AI181" s="22">
        <v>-1.47919E-2</v>
      </c>
      <c r="AJ181" s="22">
        <v>171</v>
      </c>
      <c r="AK181" s="22">
        <v>0.75958300000000001</v>
      </c>
      <c r="AL181">
        <f t="shared" si="30"/>
        <v>14.7919</v>
      </c>
      <c r="AM181">
        <f t="shared" si="31"/>
        <v>11.2582334252</v>
      </c>
      <c r="AP181" s="9"/>
      <c r="AQ181" s="22">
        <v>0.98892199999999997</v>
      </c>
      <c r="AR181" s="22">
        <v>160.02600000000001</v>
      </c>
      <c r="AS181" s="22">
        <v>-1.4471400000000001E-2</v>
      </c>
      <c r="AT181" s="22">
        <v>171</v>
      </c>
      <c r="AU181" s="22">
        <v>0.98785400000000001</v>
      </c>
      <c r="AV181">
        <f t="shared" si="32"/>
        <v>14.471400000000001</v>
      </c>
      <c r="AW181">
        <f t="shared" si="33"/>
        <v>14.3110858308</v>
      </c>
      <c r="AX181" s="9"/>
      <c r="AY181" s="22">
        <v>0.76110800000000001</v>
      </c>
      <c r="AZ181" s="22">
        <v>182.887</v>
      </c>
      <c r="BA181" s="22">
        <v>-1.4822399999999999E-2</v>
      </c>
      <c r="BB181" s="22">
        <v>171</v>
      </c>
      <c r="BC181" s="22">
        <v>0.76049800000000001</v>
      </c>
      <c r="BD181">
        <f t="shared" si="34"/>
        <v>14.8224</v>
      </c>
      <c r="BE181">
        <f t="shared" si="35"/>
        <v>11.2814472192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50.974400000000003</v>
      </c>
      <c r="I182" s="22">
        <v>-1.4245600000000001E-2</v>
      </c>
      <c r="J182" s="22">
        <v>172</v>
      </c>
      <c r="K182" s="22">
        <v>0.98297100000000004</v>
      </c>
      <c r="L182">
        <f t="shared" si="24"/>
        <v>14.245600000000001</v>
      </c>
      <c r="M182">
        <f t="shared" si="25"/>
        <v>14.016060647200002</v>
      </c>
      <c r="N182" s="9"/>
      <c r="O182" s="22">
        <v>0.76614400000000005</v>
      </c>
      <c r="P182" s="22">
        <v>68.857200000000006</v>
      </c>
      <c r="Q182" s="22">
        <v>-1.4648400000000001E-2</v>
      </c>
      <c r="R182" s="22">
        <v>172</v>
      </c>
      <c r="S182" s="22">
        <v>0.76477099999999998</v>
      </c>
      <c r="T182">
        <f t="shared" si="26"/>
        <v>14.648400000000001</v>
      </c>
      <c r="U182">
        <f t="shared" si="27"/>
        <v>11.222783769600001</v>
      </c>
      <c r="X182" s="9"/>
      <c r="Y182" s="22">
        <v>0.98388699999999996</v>
      </c>
      <c r="Z182" s="22">
        <v>118.417</v>
      </c>
      <c r="AA182" s="22">
        <v>-1.44867E-2</v>
      </c>
      <c r="AB182" s="22">
        <v>172</v>
      </c>
      <c r="AC182" s="22">
        <v>0.98266600000000004</v>
      </c>
      <c r="AD182">
        <f t="shared" si="28"/>
        <v>14.486700000000001</v>
      </c>
      <c r="AE182">
        <f t="shared" si="29"/>
        <v>14.253275802899999</v>
      </c>
      <c r="AF182" s="9"/>
      <c r="AG182" s="22">
        <v>0.76614400000000005</v>
      </c>
      <c r="AH182" s="22">
        <v>137.39099999999999</v>
      </c>
      <c r="AI182" s="22">
        <v>-1.47736E-2</v>
      </c>
      <c r="AJ182" s="22">
        <v>172</v>
      </c>
      <c r="AK182" s="22">
        <v>0.76629599999999998</v>
      </c>
      <c r="AL182">
        <f t="shared" si="30"/>
        <v>14.7736</v>
      </c>
      <c r="AM182">
        <f t="shared" si="31"/>
        <v>11.318704998400001</v>
      </c>
      <c r="AP182" s="9"/>
      <c r="AQ182" s="22">
        <v>0.98388699999999996</v>
      </c>
      <c r="AR182" s="22">
        <v>160.036</v>
      </c>
      <c r="AS182" s="22">
        <v>-1.44958E-2</v>
      </c>
      <c r="AT182" s="22">
        <v>172</v>
      </c>
      <c r="AU182" s="22">
        <v>0.98327600000000004</v>
      </c>
      <c r="AV182">
        <f t="shared" si="32"/>
        <v>14.495799999999999</v>
      </c>
      <c r="AW182">
        <f t="shared" si="33"/>
        <v>14.262229174599998</v>
      </c>
      <c r="AX182" s="9"/>
      <c r="AY182" s="22">
        <v>0.76614400000000005</v>
      </c>
      <c r="AZ182" s="22">
        <v>182.89699999999999</v>
      </c>
      <c r="BA182" s="22">
        <v>-1.4801E-2</v>
      </c>
      <c r="BB182" s="22">
        <v>172</v>
      </c>
      <c r="BC182" s="22">
        <v>0.76538099999999998</v>
      </c>
      <c r="BD182">
        <f t="shared" si="34"/>
        <v>14.801</v>
      </c>
      <c r="BE182">
        <f t="shared" si="35"/>
        <v>11.339697344000001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50.984400000000001</v>
      </c>
      <c r="I183" s="22">
        <v>-1.42761E-2</v>
      </c>
      <c r="J183" s="22">
        <v>173</v>
      </c>
      <c r="K183" s="22">
        <v>0.97778299999999996</v>
      </c>
      <c r="L183">
        <f t="shared" si="24"/>
        <v>14.2761</v>
      </c>
      <c r="M183">
        <f t="shared" si="25"/>
        <v>13.9741747611</v>
      </c>
      <c r="N183" s="9"/>
      <c r="O183" s="22">
        <v>0.77117899999999995</v>
      </c>
      <c r="P183" s="22">
        <v>68.8673</v>
      </c>
      <c r="Q183" s="22">
        <v>-1.4621E-2</v>
      </c>
      <c r="R183" s="22">
        <v>173</v>
      </c>
      <c r="S183" s="22">
        <v>0.76995800000000003</v>
      </c>
      <c r="T183">
        <f t="shared" si="26"/>
        <v>14.621</v>
      </c>
      <c r="U183">
        <f t="shared" si="27"/>
        <v>11.275408158999999</v>
      </c>
      <c r="X183" s="9"/>
      <c r="Y183" s="22">
        <v>0.97885100000000003</v>
      </c>
      <c r="Z183" s="22">
        <v>118.42700000000001</v>
      </c>
      <c r="AA183" s="22">
        <v>-1.4517199999999999E-2</v>
      </c>
      <c r="AB183" s="22">
        <v>173</v>
      </c>
      <c r="AC183" s="22">
        <v>0.97839399999999999</v>
      </c>
      <c r="AD183">
        <f t="shared" si="28"/>
        <v>14.517199999999999</v>
      </c>
      <c r="AE183">
        <f t="shared" si="29"/>
        <v>14.2101757372</v>
      </c>
      <c r="AF183" s="9"/>
      <c r="AG183" s="22">
        <v>0.77117899999999995</v>
      </c>
      <c r="AH183" s="22">
        <v>137.40199999999999</v>
      </c>
      <c r="AI183" s="22">
        <v>-1.47522E-2</v>
      </c>
      <c r="AJ183" s="22">
        <v>173</v>
      </c>
      <c r="AK183" s="22">
        <v>0.77056899999999995</v>
      </c>
      <c r="AL183">
        <f t="shared" si="30"/>
        <v>14.7522</v>
      </c>
      <c r="AM183">
        <f t="shared" si="31"/>
        <v>11.3765868438</v>
      </c>
      <c r="AP183" s="9"/>
      <c r="AQ183" s="22">
        <v>0.97885100000000003</v>
      </c>
      <c r="AR183" s="22">
        <v>160.04599999999999</v>
      </c>
      <c r="AS183" s="22">
        <v>-1.45203E-2</v>
      </c>
      <c r="AT183" s="22">
        <v>173</v>
      </c>
      <c r="AU183" s="22">
        <v>0.97808799999999996</v>
      </c>
      <c r="AV183">
        <f t="shared" si="32"/>
        <v>14.520300000000001</v>
      </c>
      <c r="AW183">
        <f t="shared" si="33"/>
        <v>14.2132101753</v>
      </c>
      <c r="AX183" s="9"/>
      <c r="AY183" s="22">
        <v>0.77117899999999995</v>
      </c>
      <c r="AZ183" s="22">
        <v>182.90700000000001</v>
      </c>
      <c r="BA183" s="22">
        <v>-1.47858E-2</v>
      </c>
      <c r="BB183" s="22">
        <v>173</v>
      </c>
      <c r="BC183" s="22">
        <v>0.76995800000000003</v>
      </c>
      <c r="BD183">
        <f t="shared" si="34"/>
        <v>14.7858</v>
      </c>
      <c r="BE183">
        <f t="shared" si="35"/>
        <v>11.402498458199998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50.994500000000002</v>
      </c>
      <c r="I184" s="22">
        <v>-1.43036E-2</v>
      </c>
      <c r="J184" s="22">
        <v>174</v>
      </c>
      <c r="K184" s="22">
        <v>0.97259499999999999</v>
      </c>
      <c r="L184">
        <f t="shared" si="24"/>
        <v>14.303599999999999</v>
      </c>
      <c r="M184">
        <f t="shared" si="25"/>
        <v>13.9290745376</v>
      </c>
      <c r="N184" s="9"/>
      <c r="O184" s="22">
        <v>0.77621499999999999</v>
      </c>
      <c r="P184" s="22">
        <v>68.877300000000005</v>
      </c>
      <c r="Q184" s="22">
        <v>-1.4590499999999999E-2</v>
      </c>
      <c r="R184" s="22">
        <v>174</v>
      </c>
      <c r="S184" s="22">
        <v>0.774841</v>
      </c>
      <c r="T184">
        <f t="shared" si="26"/>
        <v>14.590499999999999</v>
      </c>
      <c r="U184">
        <f t="shared" si="27"/>
        <v>11.325364957499998</v>
      </c>
      <c r="X184" s="9"/>
      <c r="Y184" s="22">
        <v>0.97381600000000001</v>
      </c>
      <c r="Z184" s="22">
        <v>118.437</v>
      </c>
      <c r="AA184" s="22">
        <v>-1.45386E-2</v>
      </c>
      <c r="AB184" s="22">
        <v>174</v>
      </c>
      <c r="AC184" s="22">
        <v>0.97259499999999999</v>
      </c>
      <c r="AD184">
        <f t="shared" si="28"/>
        <v>14.538600000000001</v>
      </c>
      <c r="AE184">
        <f t="shared" si="29"/>
        <v>14.157921297600002</v>
      </c>
      <c r="AF184" s="9"/>
      <c r="AG184" s="22">
        <v>0.77621499999999999</v>
      </c>
      <c r="AH184" s="22">
        <v>137.41200000000001</v>
      </c>
      <c r="AI184" s="22">
        <v>-1.47308E-2</v>
      </c>
      <c r="AJ184" s="22">
        <v>174</v>
      </c>
      <c r="AK184" s="22">
        <v>0.77545200000000003</v>
      </c>
      <c r="AL184">
        <f t="shared" si="30"/>
        <v>14.7308</v>
      </c>
      <c r="AM184">
        <f t="shared" si="31"/>
        <v>11.434267922</v>
      </c>
      <c r="AP184" s="9"/>
      <c r="AQ184" s="22">
        <v>0.97381600000000001</v>
      </c>
      <c r="AR184" s="22">
        <v>160.05699999999999</v>
      </c>
      <c r="AS184" s="22">
        <v>-1.4550799999999999E-2</v>
      </c>
      <c r="AT184" s="22">
        <v>174</v>
      </c>
      <c r="AU184" s="22">
        <v>0.97259499999999999</v>
      </c>
      <c r="AV184">
        <f t="shared" si="32"/>
        <v>14.550799999999999</v>
      </c>
      <c r="AW184">
        <f t="shared" si="33"/>
        <v>14.169801852799999</v>
      </c>
      <c r="AX184" s="9"/>
      <c r="AY184" s="22">
        <v>0.77621499999999999</v>
      </c>
      <c r="AZ184" s="22">
        <v>182.917</v>
      </c>
      <c r="BA184" s="22">
        <v>-1.4767499999999999E-2</v>
      </c>
      <c r="BB184" s="22">
        <v>174</v>
      </c>
      <c r="BC184" s="22">
        <v>0.77575700000000003</v>
      </c>
      <c r="BD184">
        <f t="shared" si="34"/>
        <v>14.7675</v>
      </c>
      <c r="BE184">
        <f t="shared" si="35"/>
        <v>11.462755012500001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51.004600000000003</v>
      </c>
      <c r="I185" s="22">
        <v>-1.4331099999999999E-2</v>
      </c>
      <c r="J185" s="22">
        <v>175</v>
      </c>
      <c r="K185" s="22">
        <v>0.96801800000000005</v>
      </c>
      <c r="L185">
        <f t="shared" si="24"/>
        <v>14.331099999999999</v>
      </c>
      <c r="M185">
        <f t="shared" si="25"/>
        <v>13.8836973891</v>
      </c>
      <c r="N185" s="9"/>
      <c r="O185" s="22">
        <v>0.78125</v>
      </c>
      <c r="P185" s="22">
        <v>68.8874</v>
      </c>
      <c r="Q185" s="22">
        <v>-1.4566000000000001E-2</v>
      </c>
      <c r="R185" s="22">
        <v>175</v>
      </c>
      <c r="S185" s="22">
        <v>0.78064</v>
      </c>
      <c r="T185">
        <f t="shared" si="26"/>
        <v>14.566000000000001</v>
      </c>
      <c r="U185">
        <f t="shared" si="27"/>
        <v>11.379687500000001</v>
      </c>
      <c r="X185" s="9"/>
      <c r="Y185" s="22">
        <v>0.968781</v>
      </c>
      <c r="Z185" s="22">
        <v>118.447</v>
      </c>
      <c r="AA185" s="22">
        <v>-1.4559900000000001E-2</v>
      </c>
      <c r="AB185" s="22">
        <v>175</v>
      </c>
      <c r="AC185" s="22">
        <v>0.96740700000000002</v>
      </c>
      <c r="AD185">
        <f t="shared" si="28"/>
        <v>14.559900000000001</v>
      </c>
      <c r="AE185">
        <f t="shared" si="29"/>
        <v>14.105354481900001</v>
      </c>
      <c r="AF185" s="9"/>
      <c r="AG185" s="22">
        <v>0.78125</v>
      </c>
      <c r="AH185" s="22">
        <v>137.422</v>
      </c>
      <c r="AI185" s="22">
        <v>-1.47125E-2</v>
      </c>
      <c r="AJ185" s="22">
        <v>175</v>
      </c>
      <c r="AK185" s="22">
        <v>0.78064</v>
      </c>
      <c r="AL185">
        <f t="shared" si="30"/>
        <v>14.7125</v>
      </c>
      <c r="AM185">
        <f t="shared" si="31"/>
        <v>11.494140625</v>
      </c>
      <c r="AP185" s="9"/>
      <c r="AQ185" s="22">
        <v>0.968781</v>
      </c>
      <c r="AR185" s="22">
        <v>160.06700000000001</v>
      </c>
      <c r="AS185" s="22">
        <v>-1.4566000000000001E-2</v>
      </c>
      <c r="AT185" s="22">
        <v>175</v>
      </c>
      <c r="AU185" s="22">
        <v>0.96710200000000002</v>
      </c>
      <c r="AV185">
        <f t="shared" si="32"/>
        <v>14.566000000000001</v>
      </c>
      <c r="AW185">
        <f t="shared" si="33"/>
        <v>14.111264046000001</v>
      </c>
      <c r="AX185" s="9"/>
      <c r="AY185" s="22">
        <v>0.78125</v>
      </c>
      <c r="AZ185" s="22">
        <v>182.928</v>
      </c>
      <c r="BA185" s="22">
        <v>-1.474E-2</v>
      </c>
      <c r="BB185" s="22">
        <v>175</v>
      </c>
      <c r="BC185" s="22">
        <v>0.78064</v>
      </c>
      <c r="BD185">
        <f t="shared" si="34"/>
        <v>14.74</v>
      </c>
      <c r="BE185">
        <f t="shared" si="35"/>
        <v>11.515625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51.014600000000002</v>
      </c>
      <c r="I186" s="22">
        <v>-1.43494E-2</v>
      </c>
      <c r="J186" s="22">
        <v>176</v>
      </c>
      <c r="K186" s="22">
        <v>0.96313499999999996</v>
      </c>
      <c r="L186">
        <f t="shared" si="24"/>
        <v>14.349399999999999</v>
      </c>
      <c r="M186">
        <f t="shared" si="25"/>
        <v>13.829162502999999</v>
      </c>
      <c r="N186" s="9"/>
      <c r="O186" s="22">
        <v>0.78628500000000001</v>
      </c>
      <c r="P186" s="22">
        <v>68.897499999999994</v>
      </c>
      <c r="Q186" s="22">
        <v>-1.45416E-2</v>
      </c>
      <c r="R186" s="22">
        <v>176</v>
      </c>
      <c r="S186" s="22">
        <v>0.78521700000000005</v>
      </c>
      <c r="T186">
        <f t="shared" si="26"/>
        <v>14.541600000000001</v>
      </c>
      <c r="U186">
        <f t="shared" si="27"/>
        <v>11.433841956</v>
      </c>
      <c r="X186" s="9"/>
      <c r="Y186" s="22">
        <v>0.96374499999999996</v>
      </c>
      <c r="Z186" s="22">
        <v>118.45699999999999</v>
      </c>
      <c r="AA186" s="22">
        <v>-1.45874E-2</v>
      </c>
      <c r="AB186" s="22">
        <v>176</v>
      </c>
      <c r="AC186" s="22">
        <v>0.96343999999999996</v>
      </c>
      <c r="AD186">
        <f t="shared" si="28"/>
        <v>14.587400000000001</v>
      </c>
      <c r="AE186">
        <f t="shared" si="29"/>
        <v>14.058533813</v>
      </c>
      <c r="AF186" s="9"/>
      <c r="AG186" s="22">
        <v>0.78628500000000001</v>
      </c>
      <c r="AH186" s="22">
        <v>137.43199999999999</v>
      </c>
      <c r="AI186" s="22">
        <v>-1.46973E-2</v>
      </c>
      <c r="AJ186" s="22">
        <v>176</v>
      </c>
      <c r="AK186" s="22">
        <v>0.78521700000000005</v>
      </c>
      <c r="AL186">
        <f t="shared" si="30"/>
        <v>14.6973</v>
      </c>
      <c r="AM186">
        <f t="shared" si="31"/>
        <v>11.5562665305</v>
      </c>
      <c r="AP186" s="9"/>
      <c r="AQ186" s="22">
        <v>0.96374499999999996</v>
      </c>
      <c r="AR186" s="22">
        <v>160.077</v>
      </c>
      <c r="AS186" s="22">
        <v>-1.45874E-2</v>
      </c>
      <c r="AT186" s="22">
        <v>176</v>
      </c>
      <c r="AU186" s="22">
        <v>0.96252400000000005</v>
      </c>
      <c r="AV186">
        <f t="shared" si="32"/>
        <v>14.587400000000001</v>
      </c>
      <c r="AW186">
        <f t="shared" si="33"/>
        <v>14.058533813</v>
      </c>
      <c r="AX186" s="9"/>
      <c r="AY186" s="22">
        <v>0.78628500000000001</v>
      </c>
      <c r="AZ186" s="22">
        <v>182.93799999999999</v>
      </c>
      <c r="BA186" s="22">
        <v>-1.4721700000000001E-2</v>
      </c>
      <c r="BB186" s="22">
        <v>176</v>
      </c>
      <c r="BC186" s="22">
        <v>0.78552200000000005</v>
      </c>
      <c r="BD186">
        <f t="shared" si="34"/>
        <v>14.7217</v>
      </c>
      <c r="BE186">
        <f t="shared" si="35"/>
        <v>11.5754518845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51.024700000000003</v>
      </c>
      <c r="I187" s="22">
        <v>-1.43768E-2</v>
      </c>
      <c r="J187" s="22">
        <v>177</v>
      </c>
      <c r="K187" s="22">
        <v>0.95794699999999999</v>
      </c>
      <c r="L187">
        <f t="shared" si="24"/>
        <v>14.376800000000001</v>
      </c>
      <c r="M187">
        <f t="shared" si="25"/>
        <v>13.783181928000001</v>
      </c>
      <c r="N187" s="9"/>
      <c r="O187" s="22">
        <v>0.79132100000000005</v>
      </c>
      <c r="P187" s="22">
        <v>68.907499999999999</v>
      </c>
      <c r="Q187" s="22">
        <v>-1.45142E-2</v>
      </c>
      <c r="R187" s="22">
        <v>177</v>
      </c>
      <c r="S187" s="22">
        <v>0.79040500000000002</v>
      </c>
      <c r="T187">
        <f t="shared" si="26"/>
        <v>14.514199999999999</v>
      </c>
      <c r="U187">
        <f t="shared" si="27"/>
        <v>11.4853912582</v>
      </c>
      <c r="X187" s="9"/>
      <c r="Y187" s="22">
        <v>0.95870999999999995</v>
      </c>
      <c r="Z187" s="22">
        <v>118.467</v>
      </c>
      <c r="AA187" s="22">
        <v>-1.4611799999999999E-2</v>
      </c>
      <c r="AB187" s="22">
        <v>177</v>
      </c>
      <c r="AC187" s="22">
        <v>0.95794699999999999</v>
      </c>
      <c r="AD187">
        <f t="shared" si="28"/>
        <v>14.611799999999999</v>
      </c>
      <c r="AE187">
        <f t="shared" si="29"/>
        <v>14.008478777999999</v>
      </c>
      <c r="AF187" s="9"/>
      <c r="AG187" s="22">
        <v>0.79132100000000005</v>
      </c>
      <c r="AH187" s="22">
        <v>137.44200000000001</v>
      </c>
      <c r="AI187" s="22">
        <v>-1.4672899999999999E-2</v>
      </c>
      <c r="AJ187" s="22">
        <v>177</v>
      </c>
      <c r="AK187" s="22">
        <v>0.79071000000000002</v>
      </c>
      <c r="AL187">
        <f t="shared" si="30"/>
        <v>14.672899999999998</v>
      </c>
      <c r="AM187">
        <f t="shared" si="31"/>
        <v>11.610973900899999</v>
      </c>
      <c r="AP187" s="9"/>
      <c r="AQ187" s="22">
        <v>0.95870999999999995</v>
      </c>
      <c r="AR187" s="22">
        <v>160.08699999999999</v>
      </c>
      <c r="AS187" s="22">
        <v>-1.46027E-2</v>
      </c>
      <c r="AT187" s="22">
        <v>177</v>
      </c>
      <c r="AU187" s="22">
        <v>0.95825199999999999</v>
      </c>
      <c r="AV187">
        <f t="shared" si="32"/>
        <v>14.6027</v>
      </c>
      <c r="AW187">
        <f t="shared" si="33"/>
        <v>13.999754517</v>
      </c>
      <c r="AX187" s="9"/>
      <c r="AY187" s="22">
        <v>0.79132100000000005</v>
      </c>
      <c r="AZ187" s="22">
        <v>182.94800000000001</v>
      </c>
      <c r="BA187" s="22">
        <v>-1.4700299999999999E-2</v>
      </c>
      <c r="BB187" s="22">
        <v>177</v>
      </c>
      <c r="BC187" s="22">
        <v>0.79010000000000002</v>
      </c>
      <c r="BD187">
        <f t="shared" si="34"/>
        <v>14.700299999999999</v>
      </c>
      <c r="BE187">
        <f t="shared" si="35"/>
        <v>11.6326560963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51.034799999999997</v>
      </c>
      <c r="I188" s="22">
        <v>-1.4401199999999999E-2</v>
      </c>
      <c r="J188" s="22">
        <v>178</v>
      </c>
      <c r="K188" s="22">
        <v>0.95245400000000002</v>
      </c>
      <c r="L188">
        <f t="shared" si="24"/>
        <v>14.401199999999999</v>
      </c>
      <c r="M188">
        <f t="shared" si="25"/>
        <v>13.734050008799999</v>
      </c>
      <c r="N188" s="9"/>
      <c r="O188" s="22">
        <v>0.79635599999999995</v>
      </c>
      <c r="P188" s="22">
        <v>68.917599999999993</v>
      </c>
      <c r="Q188" s="22">
        <v>-1.44928E-2</v>
      </c>
      <c r="R188" s="22">
        <v>178</v>
      </c>
      <c r="S188" s="22">
        <v>0.79559299999999999</v>
      </c>
      <c r="T188">
        <f t="shared" si="26"/>
        <v>14.492800000000001</v>
      </c>
      <c r="U188">
        <f t="shared" si="27"/>
        <v>11.5414282368</v>
      </c>
      <c r="X188" s="9"/>
      <c r="Y188" s="22">
        <v>0.95367400000000002</v>
      </c>
      <c r="Z188" s="22">
        <v>118.477</v>
      </c>
      <c r="AA188" s="22">
        <v>-1.46362E-2</v>
      </c>
      <c r="AB188" s="22">
        <v>178</v>
      </c>
      <c r="AC188" s="22">
        <v>0.95336900000000002</v>
      </c>
      <c r="AD188">
        <f t="shared" si="28"/>
        <v>14.636200000000001</v>
      </c>
      <c r="AE188">
        <f t="shared" si="29"/>
        <v>13.9581633988</v>
      </c>
      <c r="AF188" s="9"/>
      <c r="AG188" s="22">
        <v>0.79635599999999995</v>
      </c>
      <c r="AH188" s="22">
        <v>137.452</v>
      </c>
      <c r="AI188" s="22">
        <v>-1.4648400000000001E-2</v>
      </c>
      <c r="AJ188" s="22">
        <v>178</v>
      </c>
      <c r="AK188" s="22">
        <v>0.79559299999999999</v>
      </c>
      <c r="AL188">
        <f t="shared" si="30"/>
        <v>14.648400000000001</v>
      </c>
      <c r="AM188">
        <f t="shared" si="31"/>
        <v>11.665341230399999</v>
      </c>
      <c r="AP188" s="9"/>
      <c r="AQ188" s="22">
        <v>0.95367400000000002</v>
      </c>
      <c r="AR188" s="22">
        <v>160.09700000000001</v>
      </c>
      <c r="AS188" s="22">
        <v>-1.4627100000000001E-2</v>
      </c>
      <c r="AT188" s="22">
        <v>178</v>
      </c>
      <c r="AU188" s="22">
        <v>0.95245400000000002</v>
      </c>
      <c r="AV188">
        <f t="shared" si="32"/>
        <v>14.6271</v>
      </c>
      <c r="AW188">
        <f t="shared" si="33"/>
        <v>13.9494849654</v>
      </c>
      <c r="AX188" s="9"/>
      <c r="AY188" s="22">
        <v>0.79635599999999995</v>
      </c>
      <c r="AZ188" s="22">
        <v>182.958</v>
      </c>
      <c r="BA188" s="22">
        <v>-1.46851E-2</v>
      </c>
      <c r="BB188" s="22">
        <v>178</v>
      </c>
      <c r="BC188" s="22">
        <v>0.79589799999999999</v>
      </c>
      <c r="BD188">
        <f t="shared" si="34"/>
        <v>14.6851</v>
      </c>
      <c r="BE188">
        <f t="shared" si="35"/>
        <v>11.694567495599999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51.044800000000002</v>
      </c>
      <c r="I189" s="22">
        <v>-1.44318E-2</v>
      </c>
      <c r="J189" s="22">
        <v>179</v>
      </c>
      <c r="K189" s="22">
        <v>0.94757100000000005</v>
      </c>
      <c r="L189">
        <f t="shared" si="24"/>
        <v>14.431799999999999</v>
      </c>
      <c r="M189">
        <f t="shared" si="25"/>
        <v>13.690568320199999</v>
      </c>
      <c r="N189" s="9"/>
      <c r="O189" s="22">
        <v>0.80139199999999999</v>
      </c>
      <c r="P189" s="22">
        <v>68.927700000000002</v>
      </c>
      <c r="Q189" s="22">
        <v>-1.44745E-2</v>
      </c>
      <c r="R189" s="22">
        <v>179</v>
      </c>
      <c r="S189" s="22">
        <v>0.80017099999999997</v>
      </c>
      <c r="T189">
        <f t="shared" si="26"/>
        <v>14.474499999999999</v>
      </c>
      <c r="U189">
        <f t="shared" si="27"/>
        <v>11.599748503999999</v>
      </c>
      <c r="X189" s="9"/>
      <c r="Y189" s="22">
        <v>0.94863900000000001</v>
      </c>
      <c r="Z189" s="22">
        <v>118.48699999999999</v>
      </c>
      <c r="AA189" s="22">
        <v>-1.46576E-2</v>
      </c>
      <c r="AB189" s="22">
        <v>179</v>
      </c>
      <c r="AC189" s="22">
        <v>0.94696000000000002</v>
      </c>
      <c r="AD189">
        <f t="shared" si="28"/>
        <v>14.6576</v>
      </c>
      <c r="AE189">
        <f t="shared" si="29"/>
        <v>13.904771006400001</v>
      </c>
      <c r="AF189" s="9"/>
      <c r="AG189" s="22">
        <v>0.80139199999999999</v>
      </c>
      <c r="AH189" s="22">
        <v>137.46199999999999</v>
      </c>
      <c r="AI189" s="22">
        <v>-1.46179E-2</v>
      </c>
      <c r="AJ189" s="22">
        <v>179</v>
      </c>
      <c r="AK189" s="22">
        <v>0.80108599999999996</v>
      </c>
      <c r="AL189">
        <f t="shared" si="30"/>
        <v>14.617899999999999</v>
      </c>
      <c r="AM189">
        <f t="shared" si="31"/>
        <v>11.714668116799999</v>
      </c>
      <c r="AP189" s="9"/>
      <c r="AQ189" s="22">
        <v>0.94863900000000001</v>
      </c>
      <c r="AR189" s="22">
        <v>160.107</v>
      </c>
      <c r="AS189" s="22">
        <v>-1.46515E-2</v>
      </c>
      <c r="AT189" s="22">
        <v>179</v>
      </c>
      <c r="AU189" s="22">
        <v>0.94787600000000005</v>
      </c>
      <c r="AV189">
        <f t="shared" si="32"/>
        <v>14.6515</v>
      </c>
      <c r="AW189">
        <f t="shared" si="33"/>
        <v>13.898984308500001</v>
      </c>
      <c r="AX189" s="9"/>
      <c r="AY189" s="22">
        <v>0.80139199999999999</v>
      </c>
      <c r="AZ189" s="22">
        <v>182.96799999999999</v>
      </c>
      <c r="BA189" s="22">
        <v>-1.46698E-2</v>
      </c>
      <c r="BB189" s="22">
        <v>179</v>
      </c>
      <c r="BC189" s="22">
        <v>0.80017099999999997</v>
      </c>
      <c r="BD189">
        <f t="shared" si="34"/>
        <v>14.6698</v>
      </c>
      <c r="BE189">
        <f t="shared" si="35"/>
        <v>11.756260361600001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51.054900000000004</v>
      </c>
      <c r="I190" s="22">
        <v>-1.44592E-2</v>
      </c>
      <c r="J190" s="22">
        <v>180</v>
      </c>
      <c r="K190" s="22">
        <v>0.94299299999999997</v>
      </c>
      <c r="L190">
        <f t="shared" si="24"/>
        <v>14.459200000000001</v>
      </c>
      <c r="M190">
        <f t="shared" si="25"/>
        <v>13.643758956800001</v>
      </c>
      <c r="N190" s="9"/>
      <c r="O190" s="22">
        <v>0.806427</v>
      </c>
      <c r="P190" s="22">
        <v>68.937799999999996</v>
      </c>
      <c r="Q190" s="22">
        <v>-1.44501E-2</v>
      </c>
      <c r="R190" s="22">
        <v>180</v>
      </c>
      <c r="S190" s="22">
        <v>0.80535900000000005</v>
      </c>
      <c r="T190">
        <f t="shared" si="26"/>
        <v>14.450100000000001</v>
      </c>
      <c r="U190">
        <f t="shared" si="27"/>
        <v>11.6529507927</v>
      </c>
      <c r="X190" s="9"/>
      <c r="Y190" s="22">
        <v>0.943604</v>
      </c>
      <c r="Z190" s="22">
        <v>118.497</v>
      </c>
      <c r="AA190" s="22">
        <v>-1.4682000000000001E-2</v>
      </c>
      <c r="AB190" s="22">
        <v>180</v>
      </c>
      <c r="AC190" s="22">
        <v>0.94268799999999997</v>
      </c>
      <c r="AD190">
        <f t="shared" si="28"/>
        <v>14.682</v>
      </c>
      <c r="AE190">
        <f t="shared" si="29"/>
        <v>13.853993928</v>
      </c>
      <c r="AF190" s="9"/>
      <c r="AG190" s="22">
        <v>0.806427</v>
      </c>
      <c r="AH190" s="22">
        <v>137.47200000000001</v>
      </c>
      <c r="AI190" s="22">
        <v>-1.45874E-2</v>
      </c>
      <c r="AJ190" s="22">
        <v>180</v>
      </c>
      <c r="AK190" s="22">
        <v>0.80627400000000005</v>
      </c>
      <c r="AL190">
        <f t="shared" si="30"/>
        <v>14.587400000000001</v>
      </c>
      <c r="AM190">
        <f t="shared" si="31"/>
        <v>11.763673219800001</v>
      </c>
      <c r="AP190" s="9"/>
      <c r="AQ190" s="22">
        <v>0.943604</v>
      </c>
      <c r="AR190" s="22">
        <v>160.11699999999999</v>
      </c>
      <c r="AS190" s="22">
        <v>-1.4678999999999999E-2</v>
      </c>
      <c r="AT190" s="22">
        <v>180</v>
      </c>
      <c r="AU190" s="22">
        <v>0.94268799999999997</v>
      </c>
      <c r="AV190">
        <f t="shared" si="32"/>
        <v>14.678999999999998</v>
      </c>
      <c r="AW190">
        <f t="shared" si="33"/>
        <v>13.851163115999999</v>
      </c>
      <c r="AX190" s="9"/>
      <c r="AY190" s="22">
        <v>0.806427</v>
      </c>
      <c r="AZ190" s="22">
        <v>182.97800000000001</v>
      </c>
      <c r="BA190" s="22">
        <v>-1.46515E-2</v>
      </c>
      <c r="BB190" s="22">
        <v>180</v>
      </c>
      <c r="BC190" s="22">
        <v>0.80566400000000005</v>
      </c>
      <c r="BD190">
        <f t="shared" si="34"/>
        <v>14.6515</v>
      </c>
      <c r="BE190">
        <f t="shared" si="35"/>
        <v>11.8153651905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51.064999999999998</v>
      </c>
      <c r="I191" s="22">
        <v>-1.44806E-2</v>
      </c>
      <c r="J191" s="22">
        <v>181</v>
      </c>
      <c r="K191" s="22">
        <v>0.9375</v>
      </c>
      <c r="L191">
        <f t="shared" si="24"/>
        <v>14.480599999999999</v>
      </c>
      <c r="M191">
        <f t="shared" si="25"/>
        <v>13.591027780799999</v>
      </c>
      <c r="N191" s="9"/>
      <c r="O191" s="22">
        <v>0.81146200000000002</v>
      </c>
      <c r="P191" s="22">
        <v>68.947800000000001</v>
      </c>
      <c r="Q191" s="22">
        <v>-1.4422600000000001E-2</v>
      </c>
      <c r="R191" s="22">
        <v>181</v>
      </c>
      <c r="S191" s="22">
        <v>0.81085200000000002</v>
      </c>
      <c r="T191">
        <f t="shared" si="26"/>
        <v>14.422600000000001</v>
      </c>
      <c r="U191">
        <f t="shared" si="27"/>
        <v>11.7033918412</v>
      </c>
      <c r="X191" s="9"/>
      <c r="Y191" s="22">
        <v>0.93856799999999996</v>
      </c>
      <c r="Z191" s="22">
        <v>118.50700000000001</v>
      </c>
      <c r="AA191" s="22">
        <v>-1.4694199999999999E-2</v>
      </c>
      <c r="AB191" s="22">
        <v>181</v>
      </c>
      <c r="AC191" s="22">
        <v>0.9375</v>
      </c>
      <c r="AD191">
        <f t="shared" si="28"/>
        <v>14.694199999999999</v>
      </c>
      <c r="AE191">
        <f t="shared" si="29"/>
        <v>13.791505905599998</v>
      </c>
      <c r="AF191" s="9"/>
      <c r="AG191" s="22">
        <v>0.81146200000000002</v>
      </c>
      <c r="AH191" s="22">
        <v>137.482</v>
      </c>
      <c r="AI191" s="22">
        <v>-1.4563E-2</v>
      </c>
      <c r="AJ191" s="22">
        <v>181</v>
      </c>
      <c r="AK191" s="22">
        <v>0.81085200000000002</v>
      </c>
      <c r="AL191">
        <f t="shared" si="30"/>
        <v>14.562999999999999</v>
      </c>
      <c r="AM191">
        <f t="shared" si="31"/>
        <v>11.817321106</v>
      </c>
      <c r="AP191" s="9"/>
      <c r="AQ191" s="22">
        <v>0.93856799999999996</v>
      </c>
      <c r="AR191" s="22">
        <v>160.12700000000001</v>
      </c>
      <c r="AS191" s="22">
        <v>-1.4700299999999999E-2</v>
      </c>
      <c r="AT191" s="22">
        <v>181</v>
      </c>
      <c r="AU191" s="22">
        <v>0.93841600000000003</v>
      </c>
      <c r="AV191">
        <f t="shared" si="32"/>
        <v>14.700299999999999</v>
      </c>
      <c r="AW191">
        <f t="shared" si="33"/>
        <v>13.797231170399998</v>
      </c>
      <c r="AX191" s="9"/>
      <c r="AY191" s="22">
        <v>0.81146200000000002</v>
      </c>
      <c r="AZ191" s="22">
        <v>182.988</v>
      </c>
      <c r="BA191" s="22">
        <v>-1.46301E-2</v>
      </c>
      <c r="BB191" s="22">
        <v>181</v>
      </c>
      <c r="BC191" s="22">
        <v>0.81115700000000002</v>
      </c>
      <c r="BD191">
        <f t="shared" si="34"/>
        <v>14.630100000000001</v>
      </c>
      <c r="BE191">
        <f t="shared" si="35"/>
        <v>11.871770206200001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51.075099999999999</v>
      </c>
      <c r="I192" s="22">
        <v>-1.4508099999999999E-2</v>
      </c>
      <c r="J192" s="22">
        <v>182</v>
      </c>
      <c r="K192" s="22">
        <v>0.93261700000000003</v>
      </c>
      <c r="L192">
        <f t="shared" si="24"/>
        <v>14.508099999999999</v>
      </c>
      <c r="M192">
        <f t="shared" si="25"/>
        <v>13.543790117299999</v>
      </c>
      <c r="N192" s="9"/>
      <c r="O192" s="22">
        <v>0.81649799999999995</v>
      </c>
      <c r="P192" s="22">
        <v>68.957899999999995</v>
      </c>
      <c r="Q192" s="22">
        <v>-1.44073E-2</v>
      </c>
      <c r="R192" s="22">
        <v>182</v>
      </c>
      <c r="S192" s="22">
        <v>0.81542999999999999</v>
      </c>
      <c r="T192">
        <f t="shared" si="26"/>
        <v>14.407299999999999</v>
      </c>
      <c r="U192">
        <f t="shared" si="27"/>
        <v>11.763531635399998</v>
      </c>
      <c r="X192" s="9"/>
      <c r="Y192" s="22">
        <v>0.93353299999999995</v>
      </c>
      <c r="Z192" s="22">
        <v>118.517</v>
      </c>
      <c r="AA192" s="22">
        <v>-1.47125E-2</v>
      </c>
      <c r="AB192" s="22">
        <v>182</v>
      </c>
      <c r="AC192" s="22">
        <v>0.93231200000000003</v>
      </c>
      <c r="AD192">
        <f t="shared" si="28"/>
        <v>14.7125</v>
      </c>
      <c r="AE192">
        <f t="shared" si="29"/>
        <v>13.7346042625</v>
      </c>
      <c r="AF192" s="9"/>
      <c r="AG192" s="22">
        <v>0.81649799999999995</v>
      </c>
      <c r="AH192" s="22">
        <v>137.49199999999999</v>
      </c>
      <c r="AI192" s="22">
        <v>-1.45355E-2</v>
      </c>
      <c r="AJ192" s="22">
        <v>182</v>
      </c>
      <c r="AK192" s="22">
        <v>0.81634499999999999</v>
      </c>
      <c r="AL192">
        <f t="shared" si="30"/>
        <v>14.535499999999999</v>
      </c>
      <c r="AM192">
        <f t="shared" si="31"/>
        <v>11.868206678999998</v>
      </c>
      <c r="AP192" s="9"/>
      <c r="AQ192" s="22">
        <v>0.93353299999999995</v>
      </c>
      <c r="AR192" s="22">
        <v>160.137</v>
      </c>
      <c r="AS192" s="22">
        <v>-1.4715600000000001E-2</v>
      </c>
      <c r="AT192" s="22">
        <v>182</v>
      </c>
      <c r="AU192" s="22">
        <v>0.93261700000000003</v>
      </c>
      <c r="AV192">
        <f t="shared" si="32"/>
        <v>14.7156</v>
      </c>
      <c r="AW192">
        <f t="shared" si="33"/>
        <v>13.737498214799999</v>
      </c>
      <c r="AX192" s="9"/>
      <c r="AY192" s="22">
        <v>0.81649799999999995</v>
      </c>
      <c r="AZ192" s="22">
        <v>182.99799999999999</v>
      </c>
      <c r="BA192" s="22">
        <v>-1.4605699999999999E-2</v>
      </c>
      <c r="BB192" s="22">
        <v>182</v>
      </c>
      <c r="BC192" s="22">
        <v>0.81542999999999999</v>
      </c>
      <c r="BD192">
        <f t="shared" si="34"/>
        <v>14.605699999999999</v>
      </c>
      <c r="BE192">
        <f t="shared" si="35"/>
        <v>11.925524838599998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51.085099999999997</v>
      </c>
      <c r="I193" s="22">
        <v>-1.45325E-2</v>
      </c>
      <c r="J193" s="22">
        <v>183</v>
      </c>
      <c r="K193" s="22">
        <v>0.92773399999999995</v>
      </c>
      <c r="L193">
        <f t="shared" si="24"/>
        <v>14.532500000000001</v>
      </c>
      <c r="M193">
        <f t="shared" si="25"/>
        <v>13.493382652500001</v>
      </c>
      <c r="N193" s="9"/>
      <c r="O193" s="22">
        <v>0.82153299999999996</v>
      </c>
      <c r="P193" s="22">
        <v>68.968000000000004</v>
      </c>
      <c r="Q193" s="22">
        <v>-1.4373800000000001E-2</v>
      </c>
      <c r="R193" s="22">
        <v>183</v>
      </c>
      <c r="S193" s="22">
        <v>0.82061799999999996</v>
      </c>
      <c r="T193">
        <f t="shared" si="26"/>
        <v>14.373800000000001</v>
      </c>
      <c r="U193">
        <f t="shared" si="27"/>
        <v>11.808551035400001</v>
      </c>
      <c r="X193" s="9"/>
      <c r="Y193" s="22">
        <v>0.92849700000000002</v>
      </c>
      <c r="Z193" s="22">
        <v>118.527</v>
      </c>
      <c r="AA193" s="22">
        <v>-1.47308E-2</v>
      </c>
      <c r="AB193" s="22">
        <v>183</v>
      </c>
      <c r="AC193" s="22">
        <v>0.92742899999999995</v>
      </c>
      <c r="AD193">
        <f t="shared" si="28"/>
        <v>14.7308</v>
      </c>
      <c r="AE193">
        <f t="shared" si="29"/>
        <v>13.6775036076</v>
      </c>
      <c r="AF193" s="9"/>
      <c r="AG193" s="22">
        <v>0.82153299999999996</v>
      </c>
      <c r="AH193" s="22">
        <v>137.50200000000001</v>
      </c>
      <c r="AI193" s="22">
        <v>-1.4517199999999999E-2</v>
      </c>
      <c r="AJ193" s="22">
        <v>183</v>
      </c>
      <c r="AK193" s="22">
        <v>0.82092299999999996</v>
      </c>
      <c r="AL193">
        <f t="shared" si="30"/>
        <v>14.517199999999999</v>
      </c>
      <c r="AM193">
        <f t="shared" si="31"/>
        <v>11.926358867599999</v>
      </c>
      <c r="AP193" s="9"/>
      <c r="AQ193" s="22">
        <v>0.92849700000000002</v>
      </c>
      <c r="AR193" s="22">
        <v>160.14699999999999</v>
      </c>
      <c r="AS193" s="22">
        <v>-1.47308E-2</v>
      </c>
      <c r="AT193" s="22">
        <v>183</v>
      </c>
      <c r="AU193" s="22">
        <v>0.92742899999999995</v>
      </c>
      <c r="AV193">
        <f t="shared" si="32"/>
        <v>14.7308</v>
      </c>
      <c r="AW193">
        <f t="shared" si="33"/>
        <v>13.6775036076</v>
      </c>
      <c r="AX193" s="9"/>
      <c r="AY193" s="22">
        <v>0.82153299999999996</v>
      </c>
      <c r="AZ193" s="22">
        <v>183.00800000000001</v>
      </c>
      <c r="BA193" s="22">
        <v>-1.45874E-2</v>
      </c>
      <c r="BB193" s="22">
        <v>183</v>
      </c>
      <c r="BC193" s="22">
        <v>0.82122799999999996</v>
      </c>
      <c r="BD193">
        <f t="shared" si="34"/>
        <v>14.587400000000001</v>
      </c>
      <c r="BE193">
        <f t="shared" si="35"/>
        <v>11.9840304842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51.095199999999998</v>
      </c>
      <c r="I194" s="22">
        <v>-1.4559900000000001E-2</v>
      </c>
      <c r="J194" s="22">
        <v>184</v>
      </c>
      <c r="K194" s="22">
        <v>0.92254599999999998</v>
      </c>
      <c r="L194">
        <f t="shared" si="24"/>
        <v>14.559900000000001</v>
      </c>
      <c r="M194">
        <f t="shared" si="25"/>
        <v>13.4455143738</v>
      </c>
      <c r="N194" s="9"/>
      <c r="O194" s="22">
        <v>0.826569</v>
      </c>
      <c r="P194" s="22">
        <v>68.977999999999994</v>
      </c>
      <c r="Q194" s="22">
        <v>-1.43494E-2</v>
      </c>
      <c r="R194" s="22">
        <v>184</v>
      </c>
      <c r="S194" s="22">
        <v>0.82550000000000001</v>
      </c>
      <c r="T194">
        <f t="shared" si="26"/>
        <v>14.349399999999999</v>
      </c>
      <c r="U194">
        <f t="shared" si="27"/>
        <v>11.860769208599999</v>
      </c>
      <c r="X194" s="9"/>
      <c r="Y194" s="22">
        <v>0.92346200000000001</v>
      </c>
      <c r="Z194" s="22">
        <v>118.53700000000001</v>
      </c>
      <c r="AA194" s="22">
        <v>-1.4736900000000001E-2</v>
      </c>
      <c r="AB194" s="22">
        <v>184</v>
      </c>
      <c r="AC194" s="22">
        <v>0.92285200000000001</v>
      </c>
      <c r="AD194">
        <f t="shared" si="28"/>
        <v>14.7369</v>
      </c>
      <c r="AE194">
        <f t="shared" si="29"/>
        <v>13.6089671478</v>
      </c>
      <c r="AF194" s="9"/>
      <c r="AG194" s="22">
        <v>0.826569</v>
      </c>
      <c r="AH194" s="22">
        <v>137.512</v>
      </c>
      <c r="AI194" s="22">
        <v>-1.4489699999999999E-2</v>
      </c>
      <c r="AJ194" s="22">
        <v>184</v>
      </c>
      <c r="AK194" s="22">
        <v>0.82641600000000004</v>
      </c>
      <c r="AL194">
        <f t="shared" si="30"/>
        <v>14.489699999999999</v>
      </c>
      <c r="AM194">
        <f t="shared" si="31"/>
        <v>11.976736839299999</v>
      </c>
      <c r="AP194" s="9"/>
      <c r="AQ194" s="22">
        <v>0.92346200000000001</v>
      </c>
      <c r="AR194" s="22">
        <v>160.15700000000001</v>
      </c>
      <c r="AS194" s="22">
        <v>-1.47461E-2</v>
      </c>
      <c r="AT194" s="22">
        <v>184</v>
      </c>
      <c r="AU194" s="22">
        <v>0.92254599999999998</v>
      </c>
      <c r="AV194">
        <f t="shared" si="32"/>
        <v>14.7461</v>
      </c>
      <c r="AW194">
        <f t="shared" si="33"/>
        <v>13.617462998200001</v>
      </c>
      <c r="AX194" s="9"/>
      <c r="AY194" s="22">
        <v>0.826569</v>
      </c>
      <c r="AZ194" s="22">
        <v>183.018</v>
      </c>
      <c r="BA194" s="22">
        <v>-1.4556899999999999E-2</v>
      </c>
      <c r="BB194" s="22">
        <v>184</v>
      </c>
      <c r="BC194" s="22">
        <v>0.82580600000000004</v>
      </c>
      <c r="BD194">
        <f t="shared" si="34"/>
        <v>14.556899999999999</v>
      </c>
      <c r="BE194">
        <f t="shared" si="35"/>
        <v>12.032282276099998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51.1053</v>
      </c>
      <c r="I195" s="22">
        <v>-1.4590499999999999E-2</v>
      </c>
      <c r="J195" s="22">
        <v>185</v>
      </c>
      <c r="K195" s="22">
        <v>0.91796900000000003</v>
      </c>
      <c r="L195">
        <f t="shared" si="24"/>
        <v>14.590499999999999</v>
      </c>
      <c r="M195">
        <f t="shared" si="25"/>
        <v>13.400309143499999</v>
      </c>
      <c r="N195" s="9"/>
      <c r="O195" s="22">
        <v>0.83160400000000001</v>
      </c>
      <c r="P195" s="22">
        <v>68.988100000000003</v>
      </c>
      <c r="Q195" s="22">
        <v>-1.4328E-2</v>
      </c>
      <c r="R195" s="22">
        <v>185</v>
      </c>
      <c r="S195" s="22">
        <v>0.83038299999999998</v>
      </c>
      <c r="T195">
        <f t="shared" si="26"/>
        <v>14.328000000000001</v>
      </c>
      <c r="U195">
        <f t="shared" si="27"/>
        <v>11.915222112</v>
      </c>
      <c r="X195" s="9"/>
      <c r="Y195" s="22">
        <v>0.91842699999999999</v>
      </c>
      <c r="Z195" s="22">
        <v>118.548</v>
      </c>
      <c r="AA195" s="22">
        <v>-1.47522E-2</v>
      </c>
      <c r="AB195" s="22">
        <v>185</v>
      </c>
      <c r="AC195" s="22">
        <v>0.91735800000000001</v>
      </c>
      <c r="AD195">
        <f t="shared" si="28"/>
        <v>14.7522</v>
      </c>
      <c r="AE195">
        <f t="shared" si="29"/>
        <v>13.5488187894</v>
      </c>
      <c r="AF195" s="9"/>
      <c r="AG195" s="22">
        <v>0.83160400000000001</v>
      </c>
      <c r="AH195" s="22">
        <v>137.52199999999999</v>
      </c>
      <c r="AI195" s="22">
        <v>-1.44745E-2</v>
      </c>
      <c r="AJ195" s="22">
        <v>185</v>
      </c>
      <c r="AK195" s="22">
        <v>0.83099400000000001</v>
      </c>
      <c r="AL195">
        <f t="shared" si="30"/>
        <v>14.474499999999999</v>
      </c>
      <c r="AM195">
        <f t="shared" si="31"/>
        <v>12.037052098</v>
      </c>
      <c r="AP195" s="9"/>
      <c r="AQ195" s="22">
        <v>0.91842699999999999</v>
      </c>
      <c r="AR195" s="22">
        <v>160.167</v>
      </c>
      <c r="AS195" s="22">
        <v>-1.4770500000000001E-2</v>
      </c>
      <c r="AT195" s="22">
        <v>185</v>
      </c>
      <c r="AU195" s="22">
        <v>0.91766400000000004</v>
      </c>
      <c r="AV195">
        <f t="shared" si="32"/>
        <v>14.7705</v>
      </c>
      <c r="AW195">
        <f t="shared" si="33"/>
        <v>13.5656260035</v>
      </c>
      <c r="AX195" s="9"/>
      <c r="AY195" s="22">
        <v>0.83160400000000001</v>
      </c>
      <c r="AZ195" s="22">
        <v>183.02799999999999</v>
      </c>
      <c r="BA195" s="22">
        <v>-1.45294E-2</v>
      </c>
      <c r="BB195" s="22">
        <v>185</v>
      </c>
      <c r="BC195" s="22">
        <v>0.83068799999999998</v>
      </c>
      <c r="BD195">
        <f t="shared" si="34"/>
        <v>14.529399999999999</v>
      </c>
      <c r="BE195">
        <f t="shared" si="35"/>
        <v>12.0827071576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51.115299999999998</v>
      </c>
      <c r="I196" s="22">
        <v>-1.4621E-2</v>
      </c>
      <c r="J196" s="22">
        <v>186</v>
      </c>
      <c r="K196" s="22">
        <v>0.91247599999999995</v>
      </c>
      <c r="L196">
        <f t="shared" si="24"/>
        <v>14.621</v>
      </c>
      <c r="M196">
        <f t="shared" si="25"/>
        <v>13.354689811</v>
      </c>
      <c r="N196" s="9"/>
      <c r="O196" s="22">
        <v>0.83663900000000002</v>
      </c>
      <c r="P196" s="22">
        <v>68.998199999999997</v>
      </c>
      <c r="Q196" s="22">
        <v>-1.4297499999999999E-2</v>
      </c>
      <c r="R196" s="22">
        <v>186</v>
      </c>
      <c r="S196" s="22">
        <v>0.83587599999999995</v>
      </c>
      <c r="T196">
        <f t="shared" si="26"/>
        <v>14.297499999999999</v>
      </c>
      <c r="U196">
        <f t="shared" si="27"/>
        <v>11.961846102499999</v>
      </c>
      <c r="X196" s="9"/>
      <c r="Y196" s="22">
        <v>0.91339099999999995</v>
      </c>
      <c r="Z196" s="22">
        <v>118.55800000000001</v>
      </c>
      <c r="AA196" s="22">
        <v>-1.4776600000000001E-2</v>
      </c>
      <c r="AB196" s="22">
        <v>186</v>
      </c>
      <c r="AC196" s="22">
        <v>0.91217000000000004</v>
      </c>
      <c r="AD196">
        <f t="shared" si="28"/>
        <v>14.7766</v>
      </c>
      <c r="AE196">
        <f t="shared" si="29"/>
        <v>13.496813450599999</v>
      </c>
      <c r="AF196" s="9"/>
      <c r="AG196" s="22">
        <v>0.83663900000000002</v>
      </c>
      <c r="AH196" s="22">
        <v>137.53200000000001</v>
      </c>
      <c r="AI196" s="22">
        <v>-1.44531E-2</v>
      </c>
      <c r="AJ196" s="22">
        <v>186</v>
      </c>
      <c r="AK196" s="22">
        <v>0.83648699999999998</v>
      </c>
      <c r="AL196">
        <f t="shared" si="30"/>
        <v>14.453099999999999</v>
      </c>
      <c r="AM196">
        <f t="shared" si="31"/>
        <v>12.0920271309</v>
      </c>
      <c r="AP196" s="9"/>
      <c r="AQ196" s="22">
        <v>0.91339099999999995</v>
      </c>
      <c r="AR196" s="22">
        <v>160.17699999999999</v>
      </c>
      <c r="AS196" s="22">
        <v>-1.47949E-2</v>
      </c>
      <c r="AT196" s="22">
        <v>186</v>
      </c>
      <c r="AU196" s="22">
        <v>0.91217000000000004</v>
      </c>
      <c r="AV196">
        <f t="shared" si="32"/>
        <v>14.7949</v>
      </c>
      <c r="AW196">
        <f t="shared" si="33"/>
        <v>13.5135285059</v>
      </c>
      <c r="AX196" s="9"/>
      <c r="AY196" s="22">
        <v>0.83663900000000002</v>
      </c>
      <c r="AZ196" s="22">
        <v>183.03800000000001</v>
      </c>
      <c r="BA196" s="22">
        <v>-1.4511100000000001E-2</v>
      </c>
      <c r="BB196" s="22">
        <v>186</v>
      </c>
      <c r="BC196" s="22">
        <v>0.83557099999999995</v>
      </c>
      <c r="BD196">
        <f t="shared" si="34"/>
        <v>14.511100000000001</v>
      </c>
      <c r="BE196">
        <f t="shared" si="35"/>
        <v>12.140552192900001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51.125399999999999</v>
      </c>
      <c r="I197" s="22">
        <v>-1.46362E-2</v>
      </c>
      <c r="J197" s="22">
        <v>187</v>
      </c>
      <c r="K197" s="22">
        <v>0.90728799999999998</v>
      </c>
      <c r="L197">
        <f t="shared" si="24"/>
        <v>14.636200000000001</v>
      </c>
      <c r="M197">
        <f t="shared" si="25"/>
        <v>13.294880087200001</v>
      </c>
      <c r="N197" s="9"/>
      <c r="O197" s="22">
        <v>0.84167499999999995</v>
      </c>
      <c r="P197" s="22">
        <v>69.008300000000006</v>
      </c>
      <c r="Q197" s="22">
        <v>-1.427E-2</v>
      </c>
      <c r="R197" s="22">
        <v>187</v>
      </c>
      <c r="S197" s="22">
        <v>0.84075900000000003</v>
      </c>
      <c r="T197">
        <f t="shared" si="26"/>
        <v>14.27</v>
      </c>
      <c r="U197">
        <f t="shared" si="27"/>
        <v>12.01070225</v>
      </c>
      <c r="X197" s="9"/>
      <c r="Y197" s="22">
        <v>0.90835600000000005</v>
      </c>
      <c r="Z197" s="22">
        <v>118.568</v>
      </c>
      <c r="AA197" s="22">
        <v>-1.4804100000000001E-2</v>
      </c>
      <c r="AB197" s="22">
        <v>187</v>
      </c>
      <c r="AC197" s="22">
        <v>0.90759299999999998</v>
      </c>
      <c r="AD197">
        <f t="shared" si="28"/>
        <v>14.8041</v>
      </c>
      <c r="AE197">
        <f t="shared" si="29"/>
        <v>13.447393059600001</v>
      </c>
      <c r="AF197" s="9"/>
      <c r="AG197" s="22">
        <v>0.84167499999999995</v>
      </c>
      <c r="AH197" s="22">
        <v>137.54300000000001</v>
      </c>
      <c r="AI197" s="22">
        <v>-1.4428699999999999E-2</v>
      </c>
      <c r="AJ197" s="22">
        <v>187</v>
      </c>
      <c r="AK197" s="22">
        <v>0.84106400000000003</v>
      </c>
      <c r="AL197">
        <f t="shared" si="30"/>
        <v>14.428699999999999</v>
      </c>
      <c r="AM197">
        <f t="shared" si="31"/>
        <v>12.144276072499999</v>
      </c>
      <c r="AP197" s="9"/>
      <c r="AQ197" s="22">
        <v>0.90835600000000005</v>
      </c>
      <c r="AR197" s="22">
        <v>160.18700000000001</v>
      </c>
      <c r="AS197" s="22">
        <v>-1.4816299999999999E-2</v>
      </c>
      <c r="AT197" s="22">
        <v>187</v>
      </c>
      <c r="AU197" s="22">
        <v>0.90759299999999998</v>
      </c>
      <c r="AV197">
        <f t="shared" si="32"/>
        <v>14.8163</v>
      </c>
      <c r="AW197">
        <f t="shared" si="33"/>
        <v>13.4584750028</v>
      </c>
      <c r="AX197" s="9"/>
      <c r="AY197" s="22">
        <v>0.84167499999999995</v>
      </c>
      <c r="AZ197" s="22">
        <v>183.048</v>
      </c>
      <c r="BA197" s="22">
        <v>-1.44928E-2</v>
      </c>
      <c r="BB197" s="22">
        <v>187</v>
      </c>
      <c r="BC197" s="22">
        <v>0.84075900000000003</v>
      </c>
      <c r="BD197">
        <f t="shared" si="34"/>
        <v>14.492800000000001</v>
      </c>
      <c r="BE197">
        <f t="shared" si="35"/>
        <v>12.19822744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51.1355</v>
      </c>
      <c r="I198" s="22">
        <v>-1.46515E-2</v>
      </c>
      <c r="J198" s="22">
        <v>188</v>
      </c>
      <c r="K198" s="22">
        <v>0.90240500000000001</v>
      </c>
      <c r="L198">
        <f t="shared" si="24"/>
        <v>14.6515</v>
      </c>
      <c r="M198">
        <f t="shared" si="25"/>
        <v>13.234992980000001</v>
      </c>
      <c r="N198" s="9"/>
      <c r="O198" s="22">
        <v>0.84670999999999996</v>
      </c>
      <c r="P198" s="22">
        <v>69.018299999999996</v>
      </c>
      <c r="Q198" s="22">
        <v>-1.4245600000000001E-2</v>
      </c>
      <c r="R198" s="22">
        <v>188</v>
      </c>
      <c r="S198" s="22">
        <v>0.845642</v>
      </c>
      <c r="T198">
        <f t="shared" si="26"/>
        <v>14.245600000000001</v>
      </c>
      <c r="U198">
        <f t="shared" si="27"/>
        <v>12.061891976</v>
      </c>
      <c r="X198" s="9"/>
      <c r="Y198" s="22">
        <v>0.90332000000000001</v>
      </c>
      <c r="Z198" s="22">
        <v>118.578</v>
      </c>
      <c r="AA198" s="22">
        <v>-1.4822399999999999E-2</v>
      </c>
      <c r="AB198" s="22">
        <v>188</v>
      </c>
      <c r="AC198" s="22">
        <v>0.90210000000000001</v>
      </c>
      <c r="AD198">
        <f t="shared" si="28"/>
        <v>14.8224</v>
      </c>
      <c r="AE198">
        <f t="shared" si="29"/>
        <v>13.389370368</v>
      </c>
      <c r="AF198" s="9"/>
      <c r="AG198" s="22">
        <v>0.84670999999999996</v>
      </c>
      <c r="AH198" s="22">
        <v>137.553</v>
      </c>
      <c r="AI198" s="22">
        <v>-1.43982E-2</v>
      </c>
      <c r="AJ198" s="22">
        <v>188</v>
      </c>
      <c r="AK198" s="22">
        <v>0.845642</v>
      </c>
      <c r="AL198">
        <f t="shared" si="30"/>
        <v>14.398199999999999</v>
      </c>
      <c r="AM198">
        <f t="shared" si="31"/>
        <v>12.191099921999999</v>
      </c>
      <c r="AP198" s="9"/>
      <c r="AQ198" s="22">
        <v>0.90332000000000001</v>
      </c>
      <c r="AR198" s="22">
        <v>160.19800000000001</v>
      </c>
      <c r="AS198" s="22">
        <v>-1.4837599999999999E-2</v>
      </c>
      <c r="AT198" s="22">
        <v>188</v>
      </c>
      <c r="AU198" s="22">
        <v>0.90240500000000001</v>
      </c>
      <c r="AV198">
        <f t="shared" si="32"/>
        <v>14.8376</v>
      </c>
      <c r="AW198">
        <f t="shared" si="33"/>
        <v>13.403100832</v>
      </c>
      <c r="AX198" s="9"/>
      <c r="AY198" s="22">
        <v>0.84670999999999996</v>
      </c>
      <c r="AZ198" s="22">
        <v>183.05799999999999</v>
      </c>
      <c r="BA198" s="22">
        <v>-1.4471400000000001E-2</v>
      </c>
      <c r="BB198" s="22">
        <v>188</v>
      </c>
      <c r="BC198" s="22">
        <v>0.84655800000000003</v>
      </c>
      <c r="BD198">
        <f t="shared" si="34"/>
        <v>14.471400000000001</v>
      </c>
      <c r="BE198">
        <f t="shared" si="35"/>
        <v>12.253079094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51.145600000000002</v>
      </c>
      <c r="I199" s="22">
        <v>-1.46637E-2</v>
      </c>
      <c r="J199" s="22">
        <v>189</v>
      </c>
      <c r="K199" s="22">
        <v>0.89691200000000004</v>
      </c>
      <c r="L199">
        <f t="shared" si="24"/>
        <v>14.6637</v>
      </c>
      <c r="M199">
        <f t="shared" si="25"/>
        <v>13.1721817545</v>
      </c>
      <c r="N199" s="9"/>
      <c r="O199" s="22">
        <v>0.851746</v>
      </c>
      <c r="P199" s="22">
        <v>69.028400000000005</v>
      </c>
      <c r="Q199" s="22">
        <v>-1.4218099999999999E-2</v>
      </c>
      <c r="R199" s="22">
        <v>189</v>
      </c>
      <c r="S199" s="22">
        <v>0.85082999999999998</v>
      </c>
      <c r="T199">
        <f t="shared" si="26"/>
        <v>14.2181</v>
      </c>
      <c r="U199">
        <f t="shared" si="27"/>
        <v>12.1102098026</v>
      </c>
      <c r="X199" s="9"/>
      <c r="Y199" s="22">
        <v>0.898285</v>
      </c>
      <c r="Z199" s="22">
        <v>118.58799999999999</v>
      </c>
      <c r="AA199" s="22">
        <v>-1.48407E-2</v>
      </c>
      <c r="AB199" s="22">
        <v>189</v>
      </c>
      <c r="AC199" s="22">
        <v>0.89721700000000004</v>
      </c>
      <c r="AD199">
        <f t="shared" si="28"/>
        <v>14.8407</v>
      </c>
      <c r="AE199">
        <f t="shared" si="29"/>
        <v>13.3311781995</v>
      </c>
      <c r="AF199" s="9"/>
      <c r="AG199" s="22">
        <v>0.851746</v>
      </c>
      <c r="AH199" s="22">
        <v>137.56299999999999</v>
      </c>
      <c r="AI199" s="22">
        <v>-1.4367700000000001E-2</v>
      </c>
      <c r="AJ199" s="22">
        <v>189</v>
      </c>
      <c r="AK199" s="22">
        <v>0.85113499999999997</v>
      </c>
      <c r="AL199">
        <f t="shared" si="30"/>
        <v>14.367700000000001</v>
      </c>
      <c r="AM199">
        <f t="shared" si="31"/>
        <v>12.237631004200001</v>
      </c>
      <c r="AP199" s="9"/>
      <c r="AQ199" s="22">
        <v>0.898285</v>
      </c>
      <c r="AR199" s="22">
        <v>160.208</v>
      </c>
      <c r="AS199" s="22">
        <v>-1.4859000000000001E-2</v>
      </c>
      <c r="AT199" s="22">
        <v>189</v>
      </c>
      <c r="AU199" s="22">
        <v>0.89721700000000004</v>
      </c>
      <c r="AV199">
        <f t="shared" si="32"/>
        <v>14.859</v>
      </c>
      <c r="AW199">
        <f t="shared" si="33"/>
        <v>13.347616815</v>
      </c>
      <c r="AX199" s="9"/>
      <c r="AY199" s="22">
        <v>0.851746</v>
      </c>
      <c r="AZ199" s="22">
        <v>183.06899999999999</v>
      </c>
      <c r="BA199" s="22">
        <v>-1.44531E-2</v>
      </c>
      <c r="BB199" s="22">
        <v>189</v>
      </c>
      <c r="BC199" s="22">
        <v>0.85082999999999998</v>
      </c>
      <c r="BD199">
        <f t="shared" si="34"/>
        <v>14.453099999999999</v>
      </c>
      <c r="BE199">
        <f t="shared" si="35"/>
        <v>12.310370112599999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51.1556</v>
      </c>
      <c r="I200" s="22">
        <v>-1.4688100000000001E-2</v>
      </c>
      <c r="J200" s="22">
        <v>190</v>
      </c>
      <c r="K200" s="22">
        <v>0.89263899999999996</v>
      </c>
      <c r="L200">
        <f t="shared" si="24"/>
        <v>14.6881</v>
      </c>
      <c r="M200">
        <f t="shared" si="25"/>
        <v>13.120145324999999</v>
      </c>
      <c r="N200" s="9"/>
      <c r="O200" s="22">
        <v>0.85678100000000001</v>
      </c>
      <c r="P200" s="22">
        <v>69.038499999999999</v>
      </c>
      <c r="Q200" s="22">
        <v>-1.4190700000000001E-2</v>
      </c>
      <c r="R200" s="22">
        <v>190</v>
      </c>
      <c r="S200" s="22">
        <v>0.85632299999999995</v>
      </c>
      <c r="T200">
        <f t="shared" si="26"/>
        <v>14.1907</v>
      </c>
      <c r="U200">
        <f t="shared" si="27"/>
        <v>12.158322136700001</v>
      </c>
      <c r="X200" s="9"/>
      <c r="Y200" s="22">
        <v>0.89324999999999999</v>
      </c>
      <c r="Z200" s="22">
        <v>118.598</v>
      </c>
      <c r="AA200" s="22">
        <v>-1.4859000000000001E-2</v>
      </c>
      <c r="AB200" s="22">
        <v>190</v>
      </c>
      <c r="AC200" s="22">
        <v>0.89233399999999996</v>
      </c>
      <c r="AD200">
        <f t="shared" si="28"/>
        <v>14.859</v>
      </c>
      <c r="AE200">
        <f t="shared" si="29"/>
        <v>13.272801749999999</v>
      </c>
      <c r="AF200" s="9"/>
      <c r="AG200" s="22">
        <v>0.85678100000000001</v>
      </c>
      <c r="AH200" s="22">
        <v>137.57300000000001</v>
      </c>
      <c r="AI200" s="22">
        <v>-1.43433E-2</v>
      </c>
      <c r="AJ200" s="22">
        <v>190</v>
      </c>
      <c r="AK200" s="22">
        <v>0.85662799999999995</v>
      </c>
      <c r="AL200">
        <f t="shared" si="30"/>
        <v>14.343299999999999</v>
      </c>
      <c r="AM200">
        <f t="shared" si="31"/>
        <v>12.2890669173</v>
      </c>
      <c r="AP200" s="9"/>
      <c r="AQ200" s="22">
        <v>0.89324999999999999</v>
      </c>
      <c r="AR200" s="22">
        <v>160.21799999999999</v>
      </c>
      <c r="AS200" s="22">
        <v>-1.48895E-2</v>
      </c>
      <c r="AT200" s="22">
        <v>190</v>
      </c>
      <c r="AU200" s="22">
        <v>0.89263899999999996</v>
      </c>
      <c r="AV200">
        <f t="shared" si="32"/>
        <v>14.8895</v>
      </c>
      <c r="AW200">
        <f t="shared" si="33"/>
        <v>13.300045875</v>
      </c>
      <c r="AX200" s="9"/>
      <c r="AY200" s="22">
        <v>0.85678100000000001</v>
      </c>
      <c r="AZ200" s="22">
        <v>183.07900000000001</v>
      </c>
      <c r="BA200" s="22">
        <v>-1.44318E-2</v>
      </c>
      <c r="BB200" s="22">
        <v>190</v>
      </c>
      <c r="BC200" s="22">
        <v>0.85662799999999995</v>
      </c>
      <c r="BD200">
        <f t="shared" si="34"/>
        <v>14.431799999999999</v>
      </c>
      <c r="BE200">
        <f t="shared" si="35"/>
        <v>12.364892035799999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51.165700000000001</v>
      </c>
      <c r="I201" s="22">
        <v>-1.47064E-2</v>
      </c>
      <c r="J201" s="22">
        <v>191</v>
      </c>
      <c r="K201" s="22">
        <v>0.88745099999999999</v>
      </c>
      <c r="L201">
        <f t="shared" si="24"/>
        <v>14.7064</v>
      </c>
      <c r="M201">
        <f t="shared" si="25"/>
        <v>13.062430369599999</v>
      </c>
      <c r="N201" s="9"/>
      <c r="O201" s="22">
        <v>0.86181600000000003</v>
      </c>
      <c r="P201" s="22">
        <v>69.048500000000004</v>
      </c>
      <c r="Q201" s="22">
        <v>-1.41663E-2</v>
      </c>
      <c r="R201" s="22">
        <v>191</v>
      </c>
      <c r="S201" s="22">
        <v>0.86090100000000003</v>
      </c>
      <c r="T201">
        <f t="shared" si="26"/>
        <v>14.1663</v>
      </c>
      <c r="U201">
        <f t="shared" si="27"/>
        <v>12.208744000799999</v>
      </c>
      <c r="X201" s="9"/>
      <c r="Y201" s="22">
        <v>0.88821399999999995</v>
      </c>
      <c r="Z201" s="22">
        <v>118.608</v>
      </c>
      <c r="AA201" s="22">
        <v>-1.48834E-2</v>
      </c>
      <c r="AB201" s="22">
        <v>191</v>
      </c>
      <c r="AC201" s="22">
        <v>0.88714599999999999</v>
      </c>
      <c r="AD201">
        <f t="shared" si="28"/>
        <v>14.8834</v>
      </c>
      <c r="AE201">
        <f t="shared" si="29"/>
        <v>13.2196442476</v>
      </c>
      <c r="AF201" s="9"/>
      <c r="AG201" s="22">
        <v>0.86181600000000003</v>
      </c>
      <c r="AH201" s="22">
        <v>137.583</v>
      </c>
      <c r="AI201" s="22">
        <v>-1.43158E-2</v>
      </c>
      <c r="AJ201" s="22">
        <v>191</v>
      </c>
      <c r="AK201" s="22">
        <v>0.86090100000000003</v>
      </c>
      <c r="AL201">
        <f t="shared" si="30"/>
        <v>14.315799999999999</v>
      </c>
      <c r="AM201">
        <f t="shared" si="31"/>
        <v>12.337585492800001</v>
      </c>
      <c r="AP201" s="9"/>
      <c r="AQ201" s="22">
        <v>0.88821399999999995</v>
      </c>
      <c r="AR201" s="22">
        <v>160.22800000000001</v>
      </c>
      <c r="AS201" s="22">
        <v>-1.4907800000000001E-2</v>
      </c>
      <c r="AT201" s="22">
        <v>191</v>
      </c>
      <c r="AU201" s="22">
        <v>0.88745099999999999</v>
      </c>
      <c r="AV201">
        <f t="shared" si="32"/>
        <v>14.9078</v>
      </c>
      <c r="AW201">
        <f t="shared" si="33"/>
        <v>13.2413166692</v>
      </c>
      <c r="AX201" s="9"/>
      <c r="AY201" s="22">
        <v>0.86181600000000003</v>
      </c>
      <c r="AZ201" s="22">
        <v>183.089</v>
      </c>
      <c r="BA201" s="22">
        <v>-1.4413499999999999E-2</v>
      </c>
      <c r="BB201" s="22">
        <v>191</v>
      </c>
      <c r="BC201" s="22">
        <v>0.86151100000000003</v>
      </c>
      <c r="BD201">
        <f t="shared" si="34"/>
        <v>14.413499999999999</v>
      </c>
      <c r="BE201">
        <f t="shared" si="35"/>
        <v>12.421784916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51.175800000000002</v>
      </c>
      <c r="I202" s="22">
        <v>-1.47308E-2</v>
      </c>
      <c r="J202" s="22">
        <v>192</v>
      </c>
      <c r="K202" s="22">
        <v>0.88226300000000002</v>
      </c>
      <c r="L202">
        <f t="shared" si="24"/>
        <v>14.7308</v>
      </c>
      <c r="M202">
        <f t="shared" si="25"/>
        <v>13.009933213200002</v>
      </c>
      <c r="N202" s="9"/>
      <c r="O202" s="22">
        <v>0.86685199999999996</v>
      </c>
      <c r="P202" s="22">
        <v>69.058599999999998</v>
      </c>
      <c r="Q202" s="22">
        <v>-1.41449E-2</v>
      </c>
      <c r="R202" s="22">
        <v>192</v>
      </c>
      <c r="S202" s="22">
        <v>0.866394</v>
      </c>
      <c r="T202">
        <f t="shared" si="26"/>
        <v>14.1449</v>
      </c>
      <c r="U202">
        <f t="shared" si="27"/>
        <v>12.261534854799999</v>
      </c>
      <c r="X202" s="9"/>
      <c r="Y202" s="22">
        <v>0.88317900000000005</v>
      </c>
      <c r="Z202" s="22">
        <v>118.61799999999999</v>
      </c>
      <c r="AA202" s="22">
        <v>-1.4913900000000001E-2</v>
      </c>
      <c r="AB202" s="22">
        <v>192</v>
      </c>
      <c r="AC202" s="22">
        <v>0.88226300000000002</v>
      </c>
      <c r="AD202">
        <f t="shared" si="28"/>
        <v>14.9139</v>
      </c>
      <c r="AE202">
        <f t="shared" si="29"/>
        <v>13.1716432881</v>
      </c>
      <c r="AF202" s="9"/>
      <c r="AG202" s="22">
        <v>0.86685199999999996</v>
      </c>
      <c r="AH202" s="22">
        <v>137.59299999999999</v>
      </c>
      <c r="AI202" s="22">
        <v>-1.42883E-2</v>
      </c>
      <c r="AJ202" s="22">
        <v>192</v>
      </c>
      <c r="AK202" s="22">
        <v>0.865784</v>
      </c>
      <c r="AL202">
        <f t="shared" si="30"/>
        <v>14.2883</v>
      </c>
      <c r="AM202">
        <f t="shared" si="31"/>
        <v>12.385841431599999</v>
      </c>
      <c r="AP202" s="9"/>
      <c r="AQ202" s="22">
        <v>0.88317900000000005</v>
      </c>
      <c r="AR202" s="22">
        <v>160.238</v>
      </c>
      <c r="AS202" s="22">
        <v>-1.4926099999999999E-2</v>
      </c>
      <c r="AT202" s="22">
        <v>192</v>
      </c>
      <c r="AU202" s="22">
        <v>0.88226300000000002</v>
      </c>
      <c r="AV202">
        <f t="shared" si="32"/>
        <v>14.9261</v>
      </c>
      <c r="AW202">
        <f t="shared" si="33"/>
        <v>13.182418071900001</v>
      </c>
      <c r="AX202" s="9"/>
      <c r="AY202" s="22">
        <v>0.86685199999999996</v>
      </c>
      <c r="AZ202" s="22">
        <v>183.09899999999999</v>
      </c>
      <c r="BA202" s="22">
        <v>-1.43921E-2</v>
      </c>
      <c r="BB202" s="22">
        <v>192</v>
      </c>
      <c r="BC202" s="22">
        <v>0.866394</v>
      </c>
      <c r="BD202">
        <f t="shared" si="34"/>
        <v>14.392099999999999</v>
      </c>
      <c r="BE202">
        <f t="shared" si="35"/>
        <v>12.475820669199999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51.1858</v>
      </c>
      <c r="I203" s="22">
        <v>-1.47522E-2</v>
      </c>
      <c r="J203" s="22">
        <v>193</v>
      </c>
      <c r="K203" s="22">
        <v>0.87677000000000005</v>
      </c>
      <c r="L203">
        <f t="shared" si="24"/>
        <v>14.7522</v>
      </c>
      <c r="M203">
        <f t="shared" si="25"/>
        <v>12.9545411646</v>
      </c>
      <c r="N203" s="9"/>
      <c r="O203" s="22">
        <v>0.87188699999999997</v>
      </c>
      <c r="P203" s="22">
        <v>69.068700000000007</v>
      </c>
      <c r="Q203" s="22">
        <v>-1.4123500000000001E-2</v>
      </c>
      <c r="R203" s="22">
        <v>193</v>
      </c>
      <c r="S203" s="22">
        <v>0.87188699999999997</v>
      </c>
      <c r="T203">
        <f t="shared" si="26"/>
        <v>14.1235</v>
      </c>
      <c r="U203">
        <f t="shared" si="27"/>
        <v>12.314096044499999</v>
      </c>
      <c r="X203" s="9"/>
      <c r="Y203" s="22">
        <v>0.87814300000000001</v>
      </c>
      <c r="Z203" s="22">
        <v>118.628</v>
      </c>
      <c r="AA203" s="22">
        <v>-1.4932300000000001E-2</v>
      </c>
      <c r="AB203" s="22">
        <v>193</v>
      </c>
      <c r="AC203" s="22">
        <v>0.87738000000000005</v>
      </c>
      <c r="AD203">
        <f t="shared" si="28"/>
        <v>14.932300000000001</v>
      </c>
      <c r="AE203">
        <f t="shared" si="29"/>
        <v>13.112694718900002</v>
      </c>
      <c r="AF203" s="9"/>
      <c r="AG203" s="22">
        <v>0.87188699999999997</v>
      </c>
      <c r="AH203" s="22">
        <v>137.60300000000001</v>
      </c>
      <c r="AI203" s="22">
        <v>-1.4263899999999999E-2</v>
      </c>
      <c r="AJ203" s="22">
        <v>193</v>
      </c>
      <c r="AK203" s="22">
        <v>0.87066699999999997</v>
      </c>
      <c r="AL203">
        <f t="shared" si="30"/>
        <v>14.2639</v>
      </c>
      <c r="AM203">
        <f t="shared" si="31"/>
        <v>12.436508979299999</v>
      </c>
      <c r="AP203" s="9"/>
      <c r="AQ203" s="22">
        <v>0.87814300000000001</v>
      </c>
      <c r="AR203" s="22">
        <v>160.24799999999999</v>
      </c>
      <c r="AS203" s="22">
        <v>-1.4947500000000001E-2</v>
      </c>
      <c r="AT203" s="22">
        <v>193</v>
      </c>
      <c r="AU203" s="22">
        <v>0.87768599999999997</v>
      </c>
      <c r="AV203">
        <f t="shared" si="32"/>
        <v>14.947500000000002</v>
      </c>
      <c r="AW203">
        <f t="shared" si="33"/>
        <v>13.126042492500002</v>
      </c>
      <c r="AX203" s="9"/>
      <c r="AY203" s="22">
        <v>0.87188699999999997</v>
      </c>
      <c r="AZ203" s="22">
        <v>183.10900000000001</v>
      </c>
      <c r="BA203" s="22">
        <v>-1.43616E-2</v>
      </c>
      <c r="BB203" s="22">
        <v>193</v>
      </c>
      <c r="BC203" s="22">
        <v>0.87127699999999997</v>
      </c>
      <c r="BD203">
        <f t="shared" si="34"/>
        <v>14.361600000000001</v>
      </c>
      <c r="BE203">
        <f t="shared" si="35"/>
        <v>12.521692339200001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51.195900000000002</v>
      </c>
      <c r="I204" s="22">
        <v>-1.47736E-2</v>
      </c>
      <c r="J204" s="22">
        <v>194</v>
      </c>
      <c r="K204" s="22">
        <v>0.872498</v>
      </c>
      <c r="L204">
        <f t="shared" ref="L204:L267" si="36">-I204/$F$2*1000</f>
        <v>14.7736</v>
      </c>
      <c r="M204">
        <f t="shared" ref="M204:M267" si="37">L204*G204</f>
        <v>12.898948348799999</v>
      </c>
      <c r="N204" s="9"/>
      <c r="O204" s="22">
        <v>0.87692300000000001</v>
      </c>
      <c r="P204" s="22">
        <v>69.078800000000001</v>
      </c>
      <c r="Q204" s="22">
        <v>-1.4093E-2</v>
      </c>
      <c r="R204" s="22">
        <v>194</v>
      </c>
      <c r="S204" s="22">
        <v>0.87585400000000002</v>
      </c>
      <c r="T204">
        <f t="shared" ref="T204:T267" si="38">-Q204/$F$2*1000</f>
        <v>14.093</v>
      </c>
      <c r="U204">
        <f t="shared" ref="U204:U267" si="39">T204*O204</f>
        <v>12.358475839</v>
      </c>
      <c r="X204" s="9"/>
      <c r="Y204" s="22">
        <v>0.873108</v>
      </c>
      <c r="Z204" s="22">
        <v>118.63800000000001</v>
      </c>
      <c r="AA204" s="22">
        <v>-1.4944499999999999E-2</v>
      </c>
      <c r="AB204" s="22">
        <v>194</v>
      </c>
      <c r="AC204" s="22">
        <v>0.87158199999999997</v>
      </c>
      <c r="AD204">
        <f t="shared" ref="AD204:AD267" si="40">-AA204/$F$2*1000</f>
        <v>14.9445</v>
      </c>
      <c r="AE204">
        <f t="shared" ref="AE204:AE267" si="41">AD204*Y204</f>
        <v>13.048162505999999</v>
      </c>
      <c r="AF204" s="9"/>
      <c r="AG204" s="22">
        <v>0.87692300000000001</v>
      </c>
      <c r="AH204" s="22">
        <v>137.613</v>
      </c>
      <c r="AI204" s="22">
        <v>-1.42303E-2</v>
      </c>
      <c r="AJ204" s="22">
        <v>194</v>
      </c>
      <c r="AK204" s="22">
        <v>0.87677000000000005</v>
      </c>
      <c r="AL204">
        <f t="shared" ref="AL204:AL267" si="42">-AI204/$F$2*1000</f>
        <v>14.2303</v>
      </c>
      <c r="AM204">
        <f t="shared" ref="AM204:AM267" si="43">AL204*AG204</f>
        <v>12.478877366899999</v>
      </c>
      <c r="AP204" s="9"/>
      <c r="AQ204" s="22">
        <v>0.873108</v>
      </c>
      <c r="AR204" s="22">
        <v>160.25800000000001</v>
      </c>
      <c r="AS204" s="22">
        <v>-1.49658E-2</v>
      </c>
      <c r="AT204" s="22">
        <v>194</v>
      </c>
      <c r="AU204" s="22">
        <v>0.87127699999999997</v>
      </c>
      <c r="AV204">
        <f t="shared" ref="AV204:AV267" si="44">-AS204/$F$2*1000</f>
        <v>14.9658</v>
      </c>
      <c r="AW204">
        <f t="shared" ref="AW204:AW267" si="45">AV204*AQ204</f>
        <v>13.066759706399999</v>
      </c>
      <c r="AX204" s="9"/>
      <c r="AY204" s="22">
        <v>0.87692300000000001</v>
      </c>
      <c r="AZ204" s="22">
        <v>183.119</v>
      </c>
      <c r="BA204" s="22">
        <v>-1.4334100000000001E-2</v>
      </c>
      <c r="BB204" s="22">
        <v>194</v>
      </c>
      <c r="BC204" s="22">
        <v>0.87585400000000002</v>
      </c>
      <c r="BD204">
        <f t="shared" ref="BD204:BD267" si="46">-BA204/$F$2*1000</f>
        <v>14.334100000000001</v>
      </c>
      <c r="BE204">
        <f t="shared" ref="BE204:BE267" si="47">BD204*AY204</f>
        <v>12.5699019743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51.206000000000003</v>
      </c>
      <c r="I205" s="22">
        <v>-1.47949E-2</v>
      </c>
      <c r="J205" s="22">
        <v>195</v>
      </c>
      <c r="K205" s="22">
        <v>0.86761500000000003</v>
      </c>
      <c r="L205">
        <f t="shared" si="36"/>
        <v>14.7949</v>
      </c>
      <c r="M205">
        <f t="shared" si="37"/>
        <v>12.8430532277</v>
      </c>
      <c r="N205" s="9"/>
      <c r="O205" s="22">
        <v>0.88195800000000002</v>
      </c>
      <c r="P205" s="22">
        <v>69.088800000000006</v>
      </c>
      <c r="Q205" s="22">
        <v>-1.4053299999999999E-2</v>
      </c>
      <c r="R205" s="22">
        <v>195</v>
      </c>
      <c r="S205" s="22">
        <v>0.88134800000000002</v>
      </c>
      <c r="T205">
        <f t="shared" si="38"/>
        <v>14.0533</v>
      </c>
      <c r="U205">
        <f t="shared" si="39"/>
        <v>12.3944203614</v>
      </c>
      <c r="X205" s="9"/>
      <c r="Y205" s="22">
        <v>0.86807299999999998</v>
      </c>
      <c r="Z205" s="22">
        <v>118.648</v>
      </c>
      <c r="AA205" s="22">
        <v>-1.4959699999999999E-2</v>
      </c>
      <c r="AB205" s="22">
        <v>195</v>
      </c>
      <c r="AC205" s="22">
        <v>0.867004</v>
      </c>
      <c r="AD205">
        <f t="shared" si="40"/>
        <v>14.9597</v>
      </c>
      <c r="AE205">
        <f t="shared" si="41"/>
        <v>12.986111658099999</v>
      </c>
      <c r="AF205" s="9"/>
      <c r="AG205" s="22">
        <v>0.88195800000000002</v>
      </c>
      <c r="AH205" s="22">
        <v>137.62299999999999</v>
      </c>
      <c r="AI205" s="22">
        <v>-1.4208999999999999E-2</v>
      </c>
      <c r="AJ205" s="22">
        <v>195</v>
      </c>
      <c r="AK205" s="22">
        <v>0.88104199999999999</v>
      </c>
      <c r="AL205">
        <f t="shared" si="42"/>
        <v>14.209</v>
      </c>
      <c r="AM205">
        <f t="shared" si="43"/>
        <v>12.531741221999999</v>
      </c>
      <c r="AP205" s="9"/>
      <c r="AQ205" s="22">
        <v>0.86807299999999998</v>
      </c>
      <c r="AR205" s="22">
        <v>160.268</v>
      </c>
      <c r="AS205" s="22">
        <v>-1.4978E-2</v>
      </c>
      <c r="AT205" s="22">
        <v>195</v>
      </c>
      <c r="AU205" s="22">
        <v>0.86731000000000003</v>
      </c>
      <c r="AV205">
        <f t="shared" si="44"/>
        <v>14.978</v>
      </c>
      <c r="AW205">
        <f t="shared" si="45"/>
        <v>13.001997394</v>
      </c>
      <c r="AX205" s="9"/>
      <c r="AY205" s="22">
        <v>0.88195800000000002</v>
      </c>
      <c r="AZ205" s="22">
        <v>183.12899999999999</v>
      </c>
      <c r="BA205" s="22">
        <v>-1.4312699999999999E-2</v>
      </c>
      <c r="BB205" s="22">
        <v>195</v>
      </c>
      <c r="BC205" s="22">
        <v>0.88195800000000002</v>
      </c>
      <c r="BD205">
        <f t="shared" si="46"/>
        <v>14.3127</v>
      </c>
      <c r="BE205">
        <f t="shared" si="47"/>
        <v>12.6232002666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51.216099999999997</v>
      </c>
      <c r="I206" s="22">
        <v>-1.4819300000000001E-2</v>
      </c>
      <c r="J206" s="22">
        <v>196</v>
      </c>
      <c r="K206" s="22">
        <v>0.86151100000000003</v>
      </c>
      <c r="L206">
        <f t="shared" si="36"/>
        <v>14.8193</v>
      </c>
      <c r="M206">
        <f t="shared" si="37"/>
        <v>12.789604214100001</v>
      </c>
      <c r="N206" s="9"/>
      <c r="O206" s="22">
        <v>0.88699300000000003</v>
      </c>
      <c r="P206" s="22">
        <v>69.0989</v>
      </c>
      <c r="Q206" s="22">
        <v>-1.4019800000000001E-2</v>
      </c>
      <c r="R206" s="22">
        <v>196</v>
      </c>
      <c r="S206" s="22">
        <v>0.88561999999999996</v>
      </c>
      <c r="T206">
        <f t="shared" si="38"/>
        <v>14.0198</v>
      </c>
      <c r="U206">
        <f t="shared" si="39"/>
        <v>12.435464461400001</v>
      </c>
      <c r="X206" s="9"/>
      <c r="Y206" s="22">
        <v>0.86303700000000005</v>
      </c>
      <c r="Z206" s="22">
        <v>118.658</v>
      </c>
      <c r="AA206" s="22">
        <v>-1.49658E-2</v>
      </c>
      <c r="AB206" s="22">
        <v>196</v>
      </c>
      <c r="AC206" s="22">
        <v>0.86242700000000005</v>
      </c>
      <c r="AD206">
        <f t="shared" si="40"/>
        <v>14.9658</v>
      </c>
      <c r="AE206">
        <f t="shared" si="41"/>
        <v>12.9160391346</v>
      </c>
      <c r="AF206" s="9"/>
      <c r="AG206" s="22">
        <v>0.88699300000000003</v>
      </c>
      <c r="AH206" s="22">
        <v>137.63300000000001</v>
      </c>
      <c r="AI206" s="22">
        <v>-1.41937E-2</v>
      </c>
      <c r="AJ206" s="22">
        <v>196</v>
      </c>
      <c r="AK206" s="22">
        <v>0.88592499999999996</v>
      </c>
      <c r="AL206">
        <f t="shared" si="42"/>
        <v>14.1937</v>
      </c>
      <c r="AM206">
        <f t="shared" si="43"/>
        <v>12.589712544100001</v>
      </c>
      <c r="AP206" s="9"/>
      <c r="AQ206" s="22">
        <v>0.86303700000000005</v>
      </c>
      <c r="AR206" s="22">
        <v>160.27799999999999</v>
      </c>
      <c r="AS206" s="22">
        <v>-1.49841E-2</v>
      </c>
      <c r="AT206" s="22">
        <v>196</v>
      </c>
      <c r="AU206" s="22">
        <v>0.86151100000000003</v>
      </c>
      <c r="AV206">
        <f t="shared" si="44"/>
        <v>14.9841</v>
      </c>
      <c r="AW206">
        <f t="shared" si="45"/>
        <v>12.9318327117</v>
      </c>
      <c r="AX206" s="9"/>
      <c r="AY206" s="22">
        <v>0.88699300000000003</v>
      </c>
      <c r="AZ206" s="22">
        <v>183.13900000000001</v>
      </c>
      <c r="BA206" s="22">
        <v>-1.4291399999999999E-2</v>
      </c>
      <c r="BB206" s="22">
        <v>196</v>
      </c>
      <c r="BC206" s="22">
        <v>0.88714599999999999</v>
      </c>
      <c r="BD206">
        <f t="shared" si="46"/>
        <v>14.291399999999999</v>
      </c>
      <c r="BE206">
        <f t="shared" si="47"/>
        <v>12.6763717602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51.226100000000002</v>
      </c>
      <c r="I207" s="22">
        <v>-1.48468E-2</v>
      </c>
      <c r="J207" s="22">
        <v>197</v>
      </c>
      <c r="K207" s="22">
        <v>0.85723899999999997</v>
      </c>
      <c r="L207">
        <f t="shared" si="36"/>
        <v>14.8468</v>
      </c>
      <c r="M207">
        <f t="shared" si="37"/>
        <v>12.7385840936</v>
      </c>
      <c r="N207" s="9"/>
      <c r="O207" s="22">
        <v>0.89202899999999996</v>
      </c>
      <c r="P207" s="22">
        <v>69.108999999999995</v>
      </c>
      <c r="Q207" s="22">
        <v>-1.3986200000000001E-2</v>
      </c>
      <c r="R207" s="22">
        <v>197</v>
      </c>
      <c r="S207" s="22">
        <v>0.89141800000000004</v>
      </c>
      <c r="T207">
        <f t="shared" si="38"/>
        <v>13.9862</v>
      </c>
      <c r="U207">
        <f t="shared" si="39"/>
        <v>12.4760959998</v>
      </c>
      <c r="X207" s="9"/>
      <c r="Y207" s="22">
        <v>0.85800200000000004</v>
      </c>
      <c r="Z207" s="22">
        <v>118.66800000000001</v>
      </c>
      <c r="AA207" s="22">
        <v>-1.4978E-2</v>
      </c>
      <c r="AB207" s="22">
        <v>197</v>
      </c>
      <c r="AC207" s="22">
        <v>0.85723899999999997</v>
      </c>
      <c r="AD207">
        <f t="shared" si="40"/>
        <v>14.978</v>
      </c>
      <c r="AE207">
        <f t="shared" si="41"/>
        <v>12.851153956000001</v>
      </c>
      <c r="AF207" s="9"/>
      <c r="AG207" s="22">
        <v>0.89202899999999996</v>
      </c>
      <c r="AH207" s="22">
        <v>137.643</v>
      </c>
      <c r="AI207" s="22">
        <v>-1.41663E-2</v>
      </c>
      <c r="AJ207" s="22">
        <v>197</v>
      </c>
      <c r="AK207" s="22">
        <v>0.89141800000000004</v>
      </c>
      <c r="AL207">
        <f t="shared" si="42"/>
        <v>14.1663</v>
      </c>
      <c r="AM207">
        <f t="shared" si="43"/>
        <v>12.636750422699999</v>
      </c>
      <c r="AP207" s="9"/>
      <c r="AQ207" s="22">
        <v>0.85800200000000004</v>
      </c>
      <c r="AR207" s="22">
        <v>160.28800000000001</v>
      </c>
      <c r="AS207" s="22">
        <v>-1.49841E-2</v>
      </c>
      <c r="AT207" s="22">
        <v>197</v>
      </c>
      <c r="AU207" s="22">
        <v>0.85723899999999997</v>
      </c>
      <c r="AV207">
        <f t="shared" si="44"/>
        <v>14.9841</v>
      </c>
      <c r="AW207">
        <f t="shared" si="45"/>
        <v>12.856387768200001</v>
      </c>
      <c r="AX207" s="9"/>
      <c r="AY207" s="22">
        <v>0.89202899999999996</v>
      </c>
      <c r="AZ207" s="22">
        <v>183.149</v>
      </c>
      <c r="BA207" s="22">
        <v>-1.42609E-2</v>
      </c>
      <c r="BB207" s="22">
        <v>197</v>
      </c>
      <c r="BC207" s="22">
        <v>0.89080800000000004</v>
      </c>
      <c r="BD207">
        <f t="shared" si="46"/>
        <v>14.260899999999999</v>
      </c>
      <c r="BE207">
        <f t="shared" si="47"/>
        <v>12.7211363661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51.236199999999997</v>
      </c>
      <c r="I208" s="22">
        <v>-1.48743E-2</v>
      </c>
      <c r="J208" s="22">
        <v>198</v>
      </c>
      <c r="K208" s="22">
        <v>0.852051</v>
      </c>
      <c r="L208">
        <f t="shared" si="36"/>
        <v>14.8743</v>
      </c>
      <c r="M208">
        <f t="shared" si="37"/>
        <v>12.6872721738</v>
      </c>
      <c r="N208" s="9"/>
      <c r="O208" s="22">
        <v>0.89706399999999997</v>
      </c>
      <c r="P208" s="22">
        <v>69.119</v>
      </c>
      <c r="Q208" s="22">
        <v>-1.39557E-2</v>
      </c>
      <c r="R208" s="22">
        <v>198</v>
      </c>
      <c r="S208" s="22">
        <v>0.89599600000000001</v>
      </c>
      <c r="T208">
        <f t="shared" si="38"/>
        <v>13.9557</v>
      </c>
      <c r="U208">
        <f t="shared" si="39"/>
        <v>12.519156064800001</v>
      </c>
      <c r="X208" s="9"/>
      <c r="Y208" s="22">
        <v>0.852966</v>
      </c>
      <c r="Z208" s="22">
        <v>118.678</v>
      </c>
      <c r="AA208" s="22">
        <v>-1.4993299999999999E-2</v>
      </c>
      <c r="AB208" s="22">
        <v>198</v>
      </c>
      <c r="AC208" s="22">
        <v>0.852661</v>
      </c>
      <c r="AD208">
        <f t="shared" si="40"/>
        <v>14.9933</v>
      </c>
      <c r="AE208">
        <f t="shared" si="41"/>
        <v>12.788775127799999</v>
      </c>
      <c r="AF208" s="9"/>
      <c r="AG208" s="22">
        <v>0.89706399999999997</v>
      </c>
      <c r="AH208" s="22">
        <v>137.65299999999999</v>
      </c>
      <c r="AI208" s="22">
        <v>-1.41418E-2</v>
      </c>
      <c r="AJ208" s="22">
        <v>198</v>
      </c>
      <c r="AK208" s="22">
        <v>0.89660600000000001</v>
      </c>
      <c r="AL208">
        <f t="shared" si="42"/>
        <v>14.1418</v>
      </c>
      <c r="AM208">
        <f t="shared" si="43"/>
        <v>12.686099675199999</v>
      </c>
      <c r="AP208" s="9"/>
      <c r="AQ208" s="22">
        <v>0.852966</v>
      </c>
      <c r="AR208" s="22">
        <v>160.298</v>
      </c>
      <c r="AS208" s="22">
        <v>-1.4996300000000001E-2</v>
      </c>
      <c r="AT208" s="22">
        <v>198</v>
      </c>
      <c r="AU208" s="22">
        <v>0.852356</v>
      </c>
      <c r="AV208">
        <f t="shared" si="44"/>
        <v>14.9963</v>
      </c>
      <c r="AW208">
        <f t="shared" si="45"/>
        <v>12.791334025799999</v>
      </c>
      <c r="AX208" s="9"/>
      <c r="AY208" s="22">
        <v>0.89706399999999997</v>
      </c>
      <c r="AZ208" s="22">
        <v>183.15899999999999</v>
      </c>
      <c r="BA208" s="22">
        <v>-1.42273E-2</v>
      </c>
      <c r="BB208" s="22">
        <v>198</v>
      </c>
      <c r="BC208" s="22">
        <v>0.89630100000000001</v>
      </c>
      <c r="BD208">
        <f t="shared" si="46"/>
        <v>14.2273</v>
      </c>
      <c r="BE208">
        <f t="shared" si="47"/>
        <v>12.762798647199999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51.246299999999998</v>
      </c>
      <c r="I209" s="22">
        <v>-1.4892600000000001E-2</v>
      </c>
      <c r="J209" s="22">
        <v>199</v>
      </c>
      <c r="K209" s="22">
        <v>0.84747300000000003</v>
      </c>
      <c r="L209">
        <f t="shared" si="36"/>
        <v>14.8926</v>
      </c>
      <c r="M209">
        <f t="shared" si="37"/>
        <v>12.6278972106</v>
      </c>
      <c r="N209" s="9"/>
      <c r="O209" s="22">
        <v>0.90210000000000001</v>
      </c>
      <c r="P209" s="22">
        <v>69.129099999999994</v>
      </c>
      <c r="Q209" s="22">
        <v>-1.39191E-2</v>
      </c>
      <c r="R209" s="22">
        <v>199</v>
      </c>
      <c r="S209" s="22">
        <v>0.90118399999999999</v>
      </c>
      <c r="T209">
        <f t="shared" si="38"/>
        <v>13.9191</v>
      </c>
      <c r="U209">
        <f t="shared" si="39"/>
        <v>12.556420110000001</v>
      </c>
      <c r="X209" s="9"/>
      <c r="Y209" s="22">
        <v>0.84793099999999999</v>
      </c>
      <c r="Z209" s="22">
        <v>118.68899999999999</v>
      </c>
      <c r="AA209" s="22">
        <v>-1.5008499999999999E-2</v>
      </c>
      <c r="AB209" s="22">
        <v>199</v>
      </c>
      <c r="AC209" s="22">
        <v>0.84686300000000003</v>
      </c>
      <c r="AD209">
        <f t="shared" si="40"/>
        <v>15.0085</v>
      </c>
      <c r="AE209">
        <f t="shared" si="41"/>
        <v>12.726172413500001</v>
      </c>
      <c r="AF209" s="9"/>
      <c r="AG209" s="22">
        <v>0.90210000000000001</v>
      </c>
      <c r="AH209" s="22">
        <v>137.66300000000001</v>
      </c>
      <c r="AI209" s="22">
        <v>-1.41174E-2</v>
      </c>
      <c r="AJ209" s="22">
        <v>199</v>
      </c>
      <c r="AK209" s="22">
        <v>0.90118399999999999</v>
      </c>
      <c r="AL209">
        <f t="shared" si="42"/>
        <v>14.1174</v>
      </c>
      <c r="AM209">
        <f t="shared" si="43"/>
        <v>12.73530654</v>
      </c>
      <c r="AP209" s="9"/>
      <c r="AQ209" s="22">
        <v>0.84793099999999999</v>
      </c>
      <c r="AR209" s="22">
        <v>160.30799999999999</v>
      </c>
      <c r="AS209" s="22">
        <v>-1.50116E-2</v>
      </c>
      <c r="AT209" s="22">
        <v>199</v>
      </c>
      <c r="AU209" s="22">
        <v>0.84686300000000003</v>
      </c>
      <c r="AV209">
        <f t="shared" si="44"/>
        <v>15.0116</v>
      </c>
      <c r="AW209">
        <f t="shared" si="45"/>
        <v>12.728800999599999</v>
      </c>
      <c r="AX209" s="9"/>
      <c r="AY209" s="22">
        <v>0.90210000000000001</v>
      </c>
      <c r="AZ209" s="22">
        <v>183.16900000000001</v>
      </c>
      <c r="BA209" s="22">
        <v>-1.41998E-2</v>
      </c>
      <c r="BB209" s="22">
        <v>199</v>
      </c>
      <c r="BC209" s="22">
        <v>0.90118399999999999</v>
      </c>
      <c r="BD209">
        <f t="shared" si="46"/>
        <v>14.1998</v>
      </c>
      <c r="BE209">
        <f t="shared" si="47"/>
        <v>12.809639580000001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51.256300000000003</v>
      </c>
      <c r="I210" s="22">
        <v>-1.4907800000000001E-2</v>
      </c>
      <c r="J210" s="22">
        <v>200</v>
      </c>
      <c r="K210" s="22">
        <v>0.84258999999999995</v>
      </c>
      <c r="L210">
        <f t="shared" si="36"/>
        <v>14.9078</v>
      </c>
      <c r="M210">
        <f t="shared" si="37"/>
        <v>12.5657249888</v>
      </c>
      <c r="N210" s="9"/>
      <c r="O210" s="22">
        <v>0.90713500000000002</v>
      </c>
      <c r="P210" s="22">
        <v>69.139200000000002</v>
      </c>
      <c r="Q210" s="22">
        <v>-1.38916E-2</v>
      </c>
      <c r="R210" s="22">
        <v>200</v>
      </c>
      <c r="S210" s="22">
        <v>0.90637199999999996</v>
      </c>
      <c r="T210">
        <f t="shared" si="38"/>
        <v>13.8916</v>
      </c>
      <c r="U210">
        <f t="shared" si="39"/>
        <v>12.601556566000001</v>
      </c>
      <c r="X210" s="9"/>
      <c r="Y210" s="22">
        <v>0.84289599999999998</v>
      </c>
      <c r="Z210" s="22">
        <v>118.699</v>
      </c>
      <c r="AA210" s="22">
        <v>-1.50238E-2</v>
      </c>
      <c r="AB210" s="22">
        <v>200</v>
      </c>
      <c r="AC210" s="22">
        <v>0.84197999999999995</v>
      </c>
      <c r="AD210">
        <f t="shared" si="40"/>
        <v>15.0238</v>
      </c>
      <c r="AE210">
        <f t="shared" si="41"/>
        <v>12.663500924799999</v>
      </c>
      <c r="AF210" s="9"/>
      <c r="AG210" s="22">
        <v>0.90713500000000002</v>
      </c>
      <c r="AH210" s="22">
        <v>137.673</v>
      </c>
      <c r="AI210" s="22">
        <v>-1.4086899999999999E-2</v>
      </c>
      <c r="AJ210" s="22">
        <v>200</v>
      </c>
      <c r="AK210" s="22">
        <v>0.90606699999999996</v>
      </c>
      <c r="AL210">
        <f t="shared" si="42"/>
        <v>14.0869</v>
      </c>
      <c r="AM210">
        <f t="shared" si="43"/>
        <v>12.778720031500001</v>
      </c>
      <c r="AP210" s="9"/>
      <c r="AQ210" s="22">
        <v>0.84289599999999998</v>
      </c>
      <c r="AR210" s="22">
        <v>160.31800000000001</v>
      </c>
      <c r="AS210" s="22">
        <v>-1.50391E-2</v>
      </c>
      <c r="AT210" s="22">
        <v>200</v>
      </c>
      <c r="AU210" s="22">
        <v>0.84258999999999995</v>
      </c>
      <c r="AV210">
        <f t="shared" si="44"/>
        <v>15.039099999999999</v>
      </c>
      <c r="AW210">
        <f t="shared" si="45"/>
        <v>12.676397233599999</v>
      </c>
      <c r="AX210" s="9"/>
      <c r="AY210" s="22">
        <v>0.90713500000000002</v>
      </c>
      <c r="AZ210" s="22">
        <v>183.179</v>
      </c>
      <c r="BA210" s="22">
        <v>-1.4175399999999999E-2</v>
      </c>
      <c r="BB210" s="22">
        <v>200</v>
      </c>
      <c r="BC210" s="22">
        <v>0.90576199999999996</v>
      </c>
      <c r="BD210">
        <f t="shared" si="46"/>
        <v>14.1754</v>
      </c>
      <c r="BE210">
        <f t="shared" si="47"/>
        <v>12.859001479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51.266399999999997</v>
      </c>
      <c r="I211" s="22">
        <v>-1.4932300000000001E-2</v>
      </c>
      <c r="J211" s="22">
        <v>201</v>
      </c>
      <c r="K211" s="22">
        <v>0.83709699999999998</v>
      </c>
      <c r="L211">
        <f t="shared" si="36"/>
        <v>14.932300000000001</v>
      </c>
      <c r="M211">
        <f t="shared" si="37"/>
        <v>12.511176878000002</v>
      </c>
      <c r="N211" s="9"/>
      <c r="O211" s="22">
        <v>0.91217000000000004</v>
      </c>
      <c r="P211" s="22">
        <v>69.149299999999997</v>
      </c>
      <c r="Q211" s="22">
        <v>-1.3864100000000001E-2</v>
      </c>
      <c r="R211" s="22">
        <v>201</v>
      </c>
      <c r="S211" s="22">
        <v>0.91156000000000004</v>
      </c>
      <c r="T211">
        <f t="shared" si="38"/>
        <v>13.864100000000001</v>
      </c>
      <c r="U211">
        <f t="shared" si="39"/>
        <v>12.646416097000001</v>
      </c>
      <c r="X211" s="9"/>
      <c r="Y211" s="22">
        <v>0.83786000000000005</v>
      </c>
      <c r="Z211" s="22">
        <v>118.709</v>
      </c>
      <c r="AA211" s="22">
        <v>-1.50513E-2</v>
      </c>
      <c r="AB211" s="22">
        <v>201</v>
      </c>
      <c r="AC211" s="22">
        <v>0.83709699999999998</v>
      </c>
      <c r="AD211">
        <f t="shared" si="40"/>
        <v>15.051299999999999</v>
      </c>
      <c r="AE211">
        <f t="shared" si="41"/>
        <v>12.610882218</v>
      </c>
      <c r="AF211" s="9"/>
      <c r="AG211" s="22">
        <v>0.91217000000000004</v>
      </c>
      <c r="AH211" s="22">
        <v>137.684</v>
      </c>
      <c r="AI211" s="22">
        <v>-1.4053299999999999E-2</v>
      </c>
      <c r="AJ211" s="22">
        <v>201</v>
      </c>
      <c r="AK211" s="22">
        <v>0.91125500000000004</v>
      </c>
      <c r="AL211">
        <f t="shared" si="42"/>
        <v>14.0533</v>
      </c>
      <c r="AM211">
        <f t="shared" si="43"/>
        <v>12.818998661</v>
      </c>
      <c r="AP211" s="9"/>
      <c r="AQ211" s="22">
        <v>0.83786000000000005</v>
      </c>
      <c r="AR211" s="22">
        <v>160.328</v>
      </c>
      <c r="AS211" s="22">
        <v>-1.50604E-2</v>
      </c>
      <c r="AT211" s="22">
        <v>201</v>
      </c>
      <c r="AU211" s="22">
        <v>0.83770800000000001</v>
      </c>
      <c r="AV211">
        <f t="shared" si="44"/>
        <v>15.0604</v>
      </c>
      <c r="AW211">
        <f t="shared" si="45"/>
        <v>12.618506744000001</v>
      </c>
      <c r="AX211" s="9"/>
      <c r="AY211" s="22">
        <v>0.91217000000000004</v>
      </c>
      <c r="AZ211" s="22">
        <v>183.18899999999999</v>
      </c>
      <c r="BA211" s="22">
        <v>-1.41449E-2</v>
      </c>
      <c r="BB211" s="22">
        <v>201</v>
      </c>
      <c r="BC211" s="22">
        <v>0.91064500000000004</v>
      </c>
      <c r="BD211">
        <f t="shared" si="46"/>
        <v>14.1449</v>
      </c>
      <c r="BE211">
        <f t="shared" si="47"/>
        <v>12.902553433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51.276499999999999</v>
      </c>
      <c r="I212" s="22">
        <v>-1.4953599999999999E-2</v>
      </c>
      <c r="J212" s="22">
        <v>202</v>
      </c>
      <c r="K212" s="22">
        <v>0.83129900000000001</v>
      </c>
      <c r="L212">
        <f t="shared" si="36"/>
        <v>14.9536</v>
      </c>
      <c r="M212">
        <f t="shared" si="37"/>
        <v>12.453731920000001</v>
      </c>
      <c r="N212" s="9"/>
      <c r="O212" s="22">
        <v>0.91720599999999997</v>
      </c>
      <c r="P212" s="22">
        <v>69.159300000000002</v>
      </c>
      <c r="Q212" s="22">
        <v>-1.38367E-2</v>
      </c>
      <c r="R212" s="22">
        <v>202</v>
      </c>
      <c r="S212" s="22">
        <v>0.91644300000000001</v>
      </c>
      <c r="T212">
        <f t="shared" si="38"/>
        <v>13.8367</v>
      </c>
      <c r="U212">
        <f t="shared" si="39"/>
        <v>12.691104260199999</v>
      </c>
      <c r="X212" s="9"/>
      <c r="Y212" s="22">
        <v>0.83282500000000004</v>
      </c>
      <c r="Z212" s="22">
        <v>118.71899999999999</v>
      </c>
      <c r="AA212" s="22">
        <v>-1.50726E-2</v>
      </c>
      <c r="AB212" s="22">
        <v>202</v>
      </c>
      <c r="AC212" s="22">
        <v>0.83252000000000004</v>
      </c>
      <c r="AD212">
        <f t="shared" si="40"/>
        <v>15.0726</v>
      </c>
      <c r="AE212">
        <f t="shared" si="41"/>
        <v>12.552838095</v>
      </c>
      <c r="AF212" s="9"/>
      <c r="AG212" s="22">
        <v>0.91720599999999997</v>
      </c>
      <c r="AH212" s="22">
        <v>137.69399999999999</v>
      </c>
      <c r="AI212" s="22">
        <v>-1.40167E-2</v>
      </c>
      <c r="AJ212" s="22">
        <v>202</v>
      </c>
      <c r="AK212" s="22">
        <v>0.91644300000000001</v>
      </c>
      <c r="AL212">
        <f t="shared" si="42"/>
        <v>14.0167</v>
      </c>
      <c r="AM212">
        <f t="shared" si="43"/>
        <v>12.8562013402</v>
      </c>
      <c r="AP212" s="9"/>
      <c r="AQ212" s="22">
        <v>0.83282500000000004</v>
      </c>
      <c r="AR212" s="22">
        <v>160.339</v>
      </c>
      <c r="AS212" s="22">
        <v>-1.50726E-2</v>
      </c>
      <c r="AT212" s="22">
        <v>202</v>
      </c>
      <c r="AU212" s="22">
        <v>0.83190900000000001</v>
      </c>
      <c r="AV212">
        <f t="shared" si="44"/>
        <v>15.0726</v>
      </c>
      <c r="AW212">
        <f t="shared" si="45"/>
        <v>12.552838095</v>
      </c>
      <c r="AX212" s="9"/>
      <c r="AY212" s="22">
        <v>0.91720599999999997</v>
      </c>
      <c r="AZ212" s="22">
        <v>183.19900000000001</v>
      </c>
      <c r="BA212" s="22">
        <v>-1.41174E-2</v>
      </c>
      <c r="BB212" s="22">
        <v>202</v>
      </c>
      <c r="BC212" s="22">
        <v>0.91552699999999998</v>
      </c>
      <c r="BD212">
        <f t="shared" si="46"/>
        <v>14.1174</v>
      </c>
      <c r="BE212">
        <f t="shared" si="47"/>
        <v>12.9485639844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51.2866</v>
      </c>
      <c r="I213" s="22">
        <v>-1.49658E-2</v>
      </c>
      <c r="J213" s="22">
        <v>203</v>
      </c>
      <c r="K213" s="22">
        <v>0.82733199999999996</v>
      </c>
      <c r="L213">
        <f t="shared" si="36"/>
        <v>14.9658</v>
      </c>
      <c r="M213">
        <f t="shared" si="37"/>
        <v>12.3885246162</v>
      </c>
      <c r="N213" s="9"/>
      <c r="O213" s="22">
        <v>0.92224099999999998</v>
      </c>
      <c r="P213" s="22">
        <v>69.169399999999996</v>
      </c>
      <c r="Q213" s="22">
        <v>-1.3809200000000001E-2</v>
      </c>
      <c r="R213" s="22">
        <v>203</v>
      </c>
      <c r="S213" s="22">
        <v>0.92163099999999998</v>
      </c>
      <c r="T213">
        <f t="shared" si="38"/>
        <v>13.809200000000001</v>
      </c>
      <c r="U213">
        <f t="shared" si="39"/>
        <v>12.735410417200001</v>
      </c>
      <c r="X213" s="9"/>
      <c r="Y213" s="22">
        <v>0.827789</v>
      </c>
      <c r="Z213" s="22">
        <v>118.729</v>
      </c>
      <c r="AA213" s="22">
        <v>-1.5094E-2</v>
      </c>
      <c r="AB213" s="22">
        <v>203</v>
      </c>
      <c r="AC213" s="22">
        <v>0.82672100000000004</v>
      </c>
      <c r="AD213">
        <f t="shared" si="40"/>
        <v>15.093999999999999</v>
      </c>
      <c r="AE213">
        <f t="shared" si="41"/>
        <v>12.494647166</v>
      </c>
      <c r="AF213" s="9"/>
      <c r="AG213" s="22">
        <v>0.92224099999999998</v>
      </c>
      <c r="AH213" s="22">
        <v>137.70400000000001</v>
      </c>
      <c r="AI213" s="22">
        <v>-1.3983199999999999E-2</v>
      </c>
      <c r="AJ213" s="22">
        <v>203</v>
      </c>
      <c r="AK213" s="22">
        <v>0.92132599999999998</v>
      </c>
      <c r="AL213">
        <f t="shared" si="42"/>
        <v>13.9832</v>
      </c>
      <c r="AM213">
        <f t="shared" si="43"/>
        <v>12.895880351199999</v>
      </c>
      <c r="AP213" s="9"/>
      <c r="AQ213" s="22">
        <v>0.827789</v>
      </c>
      <c r="AR213" s="22">
        <v>160.34899999999999</v>
      </c>
      <c r="AS213" s="22">
        <v>-1.5084800000000001E-2</v>
      </c>
      <c r="AT213" s="22">
        <v>203</v>
      </c>
      <c r="AU213" s="22">
        <v>0.82794199999999996</v>
      </c>
      <c r="AV213">
        <f t="shared" si="44"/>
        <v>15.084800000000001</v>
      </c>
      <c r="AW213">
        <f t="shared" si="45"/>
        <v>12.487031507200001</v>
      </c>
      <c r="AX213" s="9"/>
      <c r="AY213" s="22">
        <v>0.92224099999999998</v>
      </c>
      <c r="AZ213" s="22">
        <v>183.21</v>
      </c>
      <c r="BA213" s="22">
        <v>-1.40778E-2</v>
      </c>
      <c r="BB213" s="22">
        <v>203</v>
      </c>
      <c r="BC213" s="22">
        <v>0.92102099999999998</v>
      </c>
      <c r="BD213">
        <f t="shared" si="46"/>
        <v>14.0778</v>
      </c>
      <c r="BE213">
        <f t="shared" si="47"/>
        <v>12.983124349799999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51.296599999999998</v>
      </c>
      <c r="I214" s="22">
        <v>-1.4987199999999999E-2</v>
      </c>
      <c r="J214" s="22">
        <v>204</v>
      </c>
      <c r="K214" s="22">
        <v>0.82214399999999999</v>
      </c>
      <c r="L214">
        <f t="shared" si="36"/>
        <v>14.9872</v>
      </c>
      <c r="M214">
        <f t="shared" si="37"/>
        <v>12.3307787488</v>
      </c>
      <c r="N214" s="9"/>
      <c r="O214" s="22">
        <v>0.92727700000000002</v>
      </c>
      <c r="P214" s="22">
        <v>69.179500000000004</v>
      </c>
      <c r="Q214" s="22">
        <v>-1.3775600000000001E-2</v>
      </c>
      <c r="R214" s="22">
        <v>204</v>
      </c>
      <c r="S214" s="22">
        <v>0.92620800000000003</v>
      </c>
      <c r="T214">
        <f t="shared" si="38"/>
        <v>13.775600000000001</v>
      </c>
      <c r="U214">
        <f t="shared" si="39"/>
        <v>12.773797041200002</v>
      </c>
      <c r="X214" s="9"/>
      <c r="Y214" s="22">
        <v>0.82275399999999999</v>
      </c>
      <c r="Z214" s="22">
        <v>118.739</v>
      </c>
      <c r="AA214" s="22">
        <v>-1.51215E-2</v>
      </c>
      <c r="AB214" s="22">
        <v>204</v>
      </c>
      <c r="AC214" s="22">
        <v>0.82214399999999999</v>
      </c>
      <c r="AD214">
        <f t="shared" si="40"/>
        <v>15.121499999999999</v>
      </c>
      <c r="AE214">
        <f t="shared" si="41"/>
        <v>12.441274610999999</v>
      </c>
      <c r="AF214" s="9"/>
      <c r="AG214" s="22">
        <v>0.92727700000000002</v>
      </c>
      <c r="AH214" s="22">
        <v>137.714</v>
      </c>
      <c r="AI214" s="22">
        <v>-1.3952600000000001E-2</v>
      </c>
      <c r="AJ214" s="22">
        <v>204</v>
      </c>
      <c r="AK214" s="22">
        <v>0.92681899999999995</v>
      </c>
      <c r="AL214">
        <f t="shared" si="42"/>
        <v>13.9526</v>
      </c>
      <c r="AM214">
        <f t="shared" si="43"/>
        <v>12.9379250702</v>
      </c>
      <c r="AP214" s="9"/>
      <c r="AQ214" s="22">
        <v>0.82275399999999999</v>
      </c>
      <c r="AR214" s="22">
        <v>160.35900000000001</v>
      </c>
      <c r="AS214" s="22">
        <v>-1.5096999999999999E-2</v>
      </c>
      <c r="AT214" s="22">
        <v>204</v>
      </c>
      <c r="AU214" s="22">
        <v>0.82183799999999996</v>
      </c>
      <c r="AV214">
        <f t="shared" si="44"/>
        <v>15.097</v>
      </c>
      <c r="AW214">
        <f t="shared" si="45"/>
        <v>12.421117138</v>
      </c>
      <c r="AX214" s="9"/>
      <c r="AY214" s="22">
        <v>0.92727700000000002</v>
      </c>
      <c r="AZ214" s="22">
        <v>183.22</v>
      </c>
      <c r="BA214" s="22">
        <v>-1.4047199999999999E-2</v>
      </c>
      <c r="BB214" s="22">
        <v>204</v>
      </c>
      <c r="BC214" s="22">
        <v>0.92651399999999995</v>
      </c>
      <c r="BD214">
        <f t="shared" si="46"/>
        <v>14.0472</v>
      </c>
      <c r="BE214">
        <f t="shared" si="47"/>
        <v>13.025645474400001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51.306699999999999</v>
      </c>
      <c r="I215" s="22">
        <v>-1.49994E-2</v>
      </c>
      <c r="J215" s="22">
        <v>205</v>
      </c>
      <c r="K215" s="22">
        <v>0.81695600000000002</v>
      </c>
      <c r="L215">
        <f t="shared" si="36"/>
        <v>14.9994</v>
      </c>
      <c r="M215">
        <f t="shared" si="37"/>
        <v>12.265294368599999</v>
      </c>
      <c r="N215" s="9"/>
      <c r="O215" s="22">
        <v>0.93231200000000003</v>
      </c>
      <c r="P215" s="22">
        <v>69.189499999999995</v>
      </c>
      <c r="Q215" s="22">
        <v>-1.3736E-2</v>
      </c>
      <c r="R215" s="22">
        <v>205</v>
      </c>
      <c r="S215" s="22">
        <v>0.931091</v>
      </c>
      <c r="T215">
        <f t="shared" si="38"/>
        <v>13.736000000000001</v>
      </c>
      <c r="U215">
        <f t="shared" si="39"/>
        <v>12.806237632</v>
      </c>
      <c r="X215" s="9"/>
      <c r="Y215" s="22">
        <v>0.81771899999999997</v>
      </c>
      <c r="Z215" s="22">
        <v>118.749</v>
      </c>
      <c r="AA215" s="22">
        <v>-1.5136699999999999E-2</v>
      </c>
      <c r="AB215" s="22">
        <v>205</v>
      </c>
      <c r="AC215" s="22">
        <v>0.81726100000000002</v>
      </c>
      <c r="AD215">
        <f t="shared" si="40"/>
        <v>15.136699999999999</v>
      </c>
      <c r="AE215">
        <f t="shared" si="41"/>
        <v>12.377567187299999</v>
      </c>
      <c r="AF215" s="9"/>
      <c r="AG215" s="22">
        <v>0.93231200000000003</v>
      </c>
      <c r="AH215" s="22">
        <v>137.72399999999999</v>
      </c>
      <c r="AI215" s="22">
        <v>-1.39282E-2</v>
      </c>
      <c r="AJ215" s="22">
        <v>205</v>
      </c>
      <c r="AK215" s="22">
        <v>0.931396</v>
      </c>
      <c r="AL215">
        <f t="shared" si="42"/>
        <v>13.9282</v>
      </c>
      <c r="AM215">
        <f t="shared" si="43"/>
        <v>12.985427998400001</v>
      </c>
      <c r="AP215" s="9"/>
      <c r="AQ215" s="22">
        <v>0.81771899999999997</v>
      </c>
      <c r="AR215" s="22">
        <v>160.369</v>
      </c>
      <c r="AS215" s="22">
        <v>-1.51215E-2</v>
      </c>
      <c r="AT215" s="22">
        <v>205</v>
      </c>
      <c r="AU215" s="22">
        <v>0.81726100000000002</v>
      </c>
      <c r="AV215">
        <f t="shared" si="44"/>
        <v>15.121499999999999</v>
      </c>
      <c r="AW215">
        <f t="shared" si="45"/>
        <v>12.365137858499999</v>
      </c>
      <c r="AX215" s="9"/>
      <c r="AY215" s="22">
        <v>0.93231200000000003</v>
      </c>
      <c r="AZ215" s="22">
        <v>183.23</v>
      </c>
      <c r="BA215" s="22">
        <v>-1.40137E-2</v>
      </c>
      <c r="BB215" s="22">
        <v>205</v>
      </c>
      <c r="BC215" s="22">
        <v>0.931396</v>
      </c>
      <c r="BD215">
        <f t="shared" si="46"/>
        <v>14.0137</v>
      </c>
      <c r="BE215">
        <f t="shared" si="47"/>
        <v>13.0651406744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51.316800000000001</v>
      </c>
      <c r="I216" s="22">
        <v>-1.50116E-2</v>
      </c>
      <c r="J216" s="22">
        <v>206</v>
      </c>
      <c r="K216" s="22">
        <v>0.81176800000000005</v>
      </c>
      <c r="L216">
        <f t="shared" si="36"/>
        <v>15.0116</v>
      </c>
      <c r="M216">
        <f t="shared" si="37"/>
        <v>12.199672122800001</v>
      </c>
      <c r="N216" s="9"/>
      <c r="O216" s="22">
        <v>0.93734700000000004</v>
      </c>
      <c r="P216" s="22">
        <v>69.199600000000004</v>
      </c>
      <c r="Q216" s="22">
        <v>-1.3699299999999999E-2</v>
      </c>
      <c r="R216" s="22">
        <v>206</v>
      </c>
      <c r="S216" s="22">
        <v>0.93658399999999997</v>
      </c>
      <c r="T216">
        <f t="shared" si="38"/>
        <v>13.699299999999999</v>
      </c>
      <c r="U216">
        <f t="shared" si="39"/>
        <v>12.8409977571</v>
      </c>
      <c r="X216" s="9"/>
      <c r="Y216" s="22">
        <v>0.81268300000000004</v>
      </c>
      <c r="Z216" s="22">
        <v>118.759</v>
      </c>
      <c r="AA216" s="22">
        <v>-1.5152000000000001E-2</v>
      </c>
      <c r="AB216" s="22">
        <v>206</v>
      </c>
      <c r="AC216" s="22">
        <v>0.81237800000000004</v>
      </c>
      <c r="AD216">
        <f t="shared" si="40"/>
        <v>15.152000000000001</v>
      </c>
      <c r="AE216">
        <f t="shared" si="41"/>
        <v>12.313772816000002</v>
      </c>
      <c r="AF216" s="9"/>
      <c r="AG216" s="22">
        <v>0.93734700000000004</v>
      </c>
      <c r="AH216" s="22">
        <v>137.73400000000001</v>
      </c>
      <c r="AI216" s="22">
        <v>-1.39069E-2</v>
      </c>
      <c r="AJ216" s="22">
        <v>206</v>
      </c>
      <c r="AK216" s="22">
        <v>0.93658399999999997</v>
      </c>
      <c r="AL216">
        <f t="shared" si="42"/>
        <v>13.9069</v>
      </c>
      <c r="AM216">
        <f t="shared" si="43"/>
        <v>13.035590994300001</v>
      </c>
      <c r="AP216" s="9"/>
      <c r="AQ216" s="22">
        <v>0.81268300000000004</v>
      </c>
      <c r="AR216" s="22">
        <v>160.37899999999999</v>
      </c>
      <c r="AS216" s="22">
        <v>-1.51337E-2</v>
      </c>
      <c r="AT216" s="22">
        <v>206</v>
      </c>
      <c r="AU216" s="22">
        <v>0.81176800000000005</v>
      </c>
      <c r="AV216">
        <f t="shared" si="44"/>
        <v>15.133699999999999</v>
      </c>
      <c r="AW216">
        <f t="shared" si="45"/>
        <v>12.2989007171</v>
      </c>
      <c r="AX216" s="9"/>
      <c r="AY216" s="22">
        <v>0.93734700000000004</v>
      </c>
      <c r="AZ216" s="22">
        <v>183.24</v>
      </c>
      <c r="BA216" s="22">
        <v>-1.3986200000000001E-2</v>
      </c>
      <c r="BB216" s="22">
        <v>206</v>
      </c>
      <c r="BC216" s="22">
        <v>0.93658399999999997</v>
      </c>
      <c r="BD216">
        <f t="shared" si="46"/>
        <v>13.9862</v>
      </c>
      <c r="BE216">
        <f t="shared" si="47"/>
        <v>13.1099226114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51.326799999999999</v>
      </c>
      <c r="I217" s="22">
        <v>-1.5036000000000001E-2</v>
      </c>
      <c r="J217" s="22">
        <v>207</v>
      </c>
      <c r="K217" s="22">
        <v>0.80657999999999996</v>
      </c>
      <c r="L217">
        <f t="shared" si="36"/>
        <v>15.036000000000001</v>
      </c>
      <c r="M217">
        <f t="shared" si="37"/>
        <v>12.143795328000001</v>
      </c>
      <c r="N217" s="9"/>
      <c r="O217" s="22">
        <v>0.94238299999999997</v>
      </c>
      <c r="P217" s="22">
        <v>69.209699999999998</v>
      </c>
      <c r="Q217" s="22">
        <v>-1.36688E-2</v>
      </c>
      <c r="R217" s="22">
        <v>207</v>
      </c>
      <c r="S217" s="22">
        <v>0.94146700000000005</v>
      </c>
      <c r="T217">
        <f t="shared" si="38"/>
        <v>13.668799999999999</v>
      </c>
      <c r="U217">
        <f t="shared" si="39"/>
        <v>12.881244750399999</v>
      </c>
      <c r="X217" s="9"/>
      <c r="Y217" s="22">
        <v>0.80764800000000003</v>
      </c>
      <c r="Z217" s="22">
        <v>118.76900000000001</v>
      </c>
      <c r="AA217" s="22">
        <v>-1.5170299999999999E-2</v>
      </c>
      <c r="AB217" s="22">
        <v>207</v>
      </c>
      <c r="AC217" s="22">
        <v>0.80688499999999996</v>
      </c>
      <c r="AD217">
        <f t="shared" si="40"/>
        <v>15.170299999999999</v>
      </c>
      <c r="AE217">
        <f t="shared" si="41"/>
        <v>12.2522624544</v>
      </c>
      <c r="AF217" s="9"/>
      <c r="AG217" s="22">
        <v>0.94238299999999997</v>
      </c>
      <c r="AH217" s="22">
        <v>137.744</v>
      </c>
      <c r="AI217" s="22">
        <v>-1.38855E-2</v>
      </c>
      <c r="AJ217" s="22">
        <v>207</v>
      </c>
      <c r="AK217" s="22">
        <v>0.94177200000000005</v>
      </c>
      <c r="AL217">
        <f t="shared" si="42"/>
        <v>13.8855</v>
      </c>
      <c r="AM217">
        <f t="shared" si="43"/>
        <v>13.0854591465</v>
      </c>
      <c r="AP217" s="9"/>
      <c r="AQ217" s="22">
        <v>0.80764800000000003</v>
      </c>
      <c r="AR217" s="22">
        <v>160.38900000000001</v>
      </c>
      <c r="AS217" s="22">
        <v>-1.5155E-2</v>
      </c>
      <c r="AT217" s="22">
        <v>207</v>
      </c>
      <c r="AU217" s="22">
        <v>0.80688499999999996</v>
      </c>
      <c r="AV217">
        <f t="shared" si="44"/>
        <v>15.154999999999999</v>
      </c>
      <c r="AW217">
        <f t="shared" si="45"/>
        <v>12.239905439999999</v>
      </c>
      <c r="AX217" s="9"/>
      <c r="AY217" s="22">
        <v>0.94238299999999997</v>
      </c>
      <c r="AZ217" s="22">
        <v>183.25</v>
      </c>
      <c r="BA217" s="22">
        <v>-1.3952600000000001E-2</v>
      </c>
      <c r="BB217" s="22">
        <v>207</v>
      </c>
      <c r="BC217" s="22">
        <v>0.94177200000000005</v>
      </c>
      <c r="BD217">
        <f t="shared" si="46"/>
        <v>13.9526</v>
      </c>
      <c r="BE217">
        <f t="shared" si="47"/>
        <v>13.1486930458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51.3369</v>
      </c>
      <c r="I218" s="22">
        <v>-1.50513E-2</v>
      </c>
      <c r="J218" s="22">
        <v>208</v>
      </c>
      <c r="K218" s="22">
        <v>0.80200199999999999</v>
      </c>
      <c r="L218">
        <f t="shared" si="36"/>
        <v>15.051299999999999</v>
      </c>
      <c r="M218">
        <f t="shared" si="37"/>
        <v>12.080353995599999</v>
      </c>
      <c r="N218" s="9"/>
      <c r="O218" s="22">
        <v>0.94741799999999998</v>
      </c>
      <c r="P218" s="22">
        <v>69.219700000000003</v>
      </c>
      <c r="Q218" s="22">
        <v>-1.36353E-2</v>
      </c>
      <c r="R218" s="22">
        <v>208</v>
      </c>
      <c r="S218" s="22">
        <v>0.94635000000000002</v>
      </c>
      <c r="T218">
        <f t="shared" si="38"/>
        <v>13.635299999999999</v>
      </c>
      <c r="U218">
        <f t="shared" si="39"/>
        <v>12.918328655399998</v>
      </c>
      <c r="X218" s="9"/>
      <c r="Y218" s="22">
        <v>0.80261199999999999</v>
      </c>
      <c r="Z218" s="22">
        <v>118.779</v>
      </c>
      <c r="AA218" s="22">
        <v>-1.51764E-2</v>
      </c>
      <c r="AB218" s="22">
        <v>208</v>
      </c>
      <c r="AC218" s="22">
        <v>0.80200199999999999</v>
      </c>
      <c r="AD218">
        <f t="shared" si="40"/>
        <v>15.176399999999999</v>
      </c>
      <c r="AE218">
        <f t="shared" si="41"/>
        <v>12.1807607568</v>
      </c>
      <c r="AF218" s="9"/>
      <c r="AG218" s="22">
        <v>0.94741799999999998</v>
      </c>
      <c r="AH218" s="22">
        <v>137.75399999999999</v>
      </c>
      <c r="AI218" s="22">
        <v>-1.3864100000000001E-2</v>
      </c>
      <c r="AJ218" s="22">
        <v>208</v>
      </c>
      <c r="AK218" s="22">
        <v>0.94665500000000002</v>
      </c>
      <c r="AL218">
        <f t="shared" si="42"/>
        <v>13.864100000000001</v>
      </c>
      <c r="AM218">
        <f t="shared" si="43"/>
        <v>13.135097893800001</v>
      </c>
      <c r="AP218" s="9"/>
      <c r="AQ218" s="22">
        <v>0.80261199999999999</v>
      </c>
      <c r="AR218" s="22">
        <v>160.399</v>
      </c>
      <c r="AS218" s="22">
        <v>-1.5170299999999999E-2</v>
      </c>
      <c r="AT218" s="22">
        <v>208</v>
      </c>
      <c r="AU218" s="22">
        <v>0.80169699999999999</v>
      </c>
      <c r="AV218">
        <f t="shared" si="44"/>
        <v>15.170299999999999</v>
      </c>
      <c r="AW218">
        <f t="shared" si="45"/>
        <v>12.1758648236</v>
      </c>
      <c r="AX218" s="9"/>
      <c r="AY218" s="22">
        <v>0.94741799999999998</v>
      </c>
      <c r="AZ218" s="22">
        <v>183.26</v>
      </c>
      <c r="BA218" s="22">
        <v>-1.39191E-2</v>
      </c>
      <c r="BB218" s="22">
        <v>208</v>
      </c>
      <c r="BC218" s="22">
        <v>0.94635000000000002</v>
      </c>
      <c r="BD218">
        <f t="shared" si="46"/>
        <v>13.9191</v>
      </c>
      <c r="BE218">
        <f t="shared" si="47"/>
        <v>13.187205883800001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51.347000000000001</v>
      </c>
      <c r="I219" s="22">
        <v>-1.5069600000000001E-2</v>
      </c>
      <c r="J219" s="22">
        <v>209</v>
      </c>
      <c r="K219" s="22">
        <v>0.79650900000000002</v>
      </c>
      <c r="L219">
        <f t="shared" si="36"/>
        <v>15.069600000000001</v>
      </c>
      <c r="M219">
        <f t="shared" si="37"/>
        <v>12.019166359200002</v>
      </c>
      <c r="N219" s="9"/>
      <c r="O219" s="22">
        <v>0.95245400000000002</v>
      </c>
      <c r="P219" s="22">
        <v>69.229799999999997</v>
      </c>
      <c r="Q219" s="22">
        <v>-1.36017E-2</v>
      </c>
      <c r="R219" s="22">
        <v>209</v>
      </c>
      <c r="S219" s="22">
        <v>0.951233</v>
      </c>
      <c r="T219">
        <f t="shared" si="38"/>
        <v>13.601699999999999</v>
      </c>
      <c r="U219">
        <f t="shared" si="39"/>
        <v>12.954993571799999</v>
      </c>
      <c r="X219" s="9"/>
      <c r="Y219" s="22">
        <v>0.79757699999999998</v>
      </c>
      <c r="Z219" s="22">
        <v>118.789</v>
      </c>
      <c r="AA219" s="22">
        <v>-1.51886E-2</v>
      </c>
      <c r="AB219" s="22">
        <v>209</v>
      </c>
      <c r="AC219" s="22">
        <v>0.79650900000000002</v>
      </c>
      <c r="AD219">
        <f t="shared" si="40"/>
        <v>15.188599999999999</v>
      </c>
      <c r="AE219">
        <f t="shared" si="41"/>
        <v>12.114078022199999</v>
      </c>
      <c r="AF219" s="9"/>
      <c r="AG219" s="22">
        <v>0.95245400000000002</v>
      </c>
      <c r="AH219" s="22">
        <v>137.76400000000001</v>
      </c>
      <c r="AI219" s="22">
        <v>-1.38367E-2</v>
      </c>
      <c r="AJ219" s="22">
        <v>209</v>
      </c>
      <c r="AK219" s="22">
        <v>0.95184299999999999</v>
      </c>
      <c r="AL219">
        <f t="shared" si="42"/>
        <v>13.8367</v>
      </c>
      <c r="AM219">
        <f t="shared" si="43"/>
        <v>13.1788202618</v>
      </c>
      <c r="AP219" s="9"/>
      <c r="AQ219" s="22">
        <v>0.79757699999999998</v>
      </c>
      <c r="AR219" s="22">
        <v>160.40899999999999</v>
      </c>
      <c r="AS219" s="22">
        <v>-1.51825E-2</v>
      </c>
      <c r="AT219" s="22">
        <v>209</v>
      </c>
      <c r="AU219" s="22">
        <v>0.79711900000000002</v>
      </c>
      <c r="AV219">
        <f t="shared" si="44"/>
        <v>15.182499999999999</v>
      </c>
      <c r="AW219">
        <f t="shared" si="45"/>
        <v>12.109212802499998</v>
      </c>
      <c r="AX219" s="9"/>
      <c r="AY219" s="22">
        <v>0.95245400000000002</v>
      </c>
      <c r="AZ219" s="22">
        <v>183.27</v>
      </c>
      <c r="BA219" s="22">
        <v>-1.38916E-2</v>
      </c>
      <c r="BB219" s="22">
        <v>209</v>
      </c>
      <c r="BC219" s="22">
        <v>0.951233</v>
      </c>
      <c r="BD219">
        <f t="shared" si="46"/>
        <v>13.8916</v>
      </c>
      <c r="BE219">
        <f t="shared" si="47"/>
        <v>13.2311099864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51.356999999999999</v>
      </c>
      <c r="I220" s="22">
        <v>-1.5081799999999999E-2</v>
      </c>
      <c r="J220" s="22">
        <v>210</v>
      </c>
      <c r="K220" s="22">
        <v>0.79162600000000005</v>
      </c>
      <c r="L220">
        <f t="shared" si="36"/>
        <v>15.081799999999999</v>
      </c>
      <c r="M220">
        <f t="shared" si="37"/>
        <v>11.952959935599999</v>
      </c>
      <c r="N220" s="9"/>
      <c r="O220" s="22">
        <v>0.95748900000000003</v>
      </c>
      <c r="P220" s="22">
        <v>69.239900000000006</v>
      </c>
      <c r="Q220" s="22">
        <v>-1.35681E-2</v>
      </c>
      <c r="R220" s="22">
        <v>210</v>
      </c>
      <c r="S220" s="22">
        <v>0.95672599999999997</v>
      </c>
      <c r="T220">
        <f t="shared" si="38"/>
        <v>13.568099999999999</v>
      </c>
      <c r="U220">
        <f t="shared" si="39"/>
        <v>12.9913065009</v>
      </c>
      <c r="X220" s="9"/>
      <c r="Y220" s="22">
        <v>0.79254199999999997</v>
      </c>
      <c r="Z220" s="22">
        <v>118.79900000000001</v>
      </c>
      <c r="AA220" s="22">
        <v>-1.5197799999999999E-2</v>
      </c>
      <c r="AB220" s="22">
        <v>210</v>
      </c>
      <c r="AC220" s="22">
        <v>0.79162600000000005</v>
      </c>
      <c r="AD220">
        <f t="shared" si="40"/>
        <v>15.197799999999999</v>
      </c>
      <c r="AE220">
        <f t="shared" si="41"/>
        <v>12.044894807599999</v>
      </c>
      <c r="AF220" s="9"/>
      <c r="AG220" s="22">
        <v>0.95748900000000003</v>
      </c>
      <c r="AH220" s="22">
        <v>137.774</v>
      </c>
      <c r="AI220" s="22">
        <v>-1.38123E-2</v>
      </c>
      <c r="AJ220" s="22">
        <v>210</v>
      </c>
      <c r="AK220" s="22">
        <v>0.95672599999999997</v>
      </c>
      <c r="AL220">
        <f t="shared" si="42"/>
        <v>13.8123</v>
      </c>
      <c r="AM220">
        <f t="shared" si="43"/>
        <v>13.225125314700001</v>
      </c>
      <c r="AP220" s="9"/>
      <c r="AQ220" s="22">
        <v>0.79254199999999997</v>
      </c>
      <c r="AR220" s="22">
        <v>160.41900000000001</v>
      </c>
      <c r="AS220" s="22">
        <v>-1.5191700000000001E-2</v>
      </c>
      <c r="AT220" s="22">
        <v>210</v>
      </c>
      <c r="AU220" s="22">
        <v>0.79193100000000005</v>
      </c>
      <c r="AV220">
        <f t="shared" si="44"/>
        <v>15.191700000000001</v>
      </c>
      <c r="AW220">
        <f t="shared" si="45"/>
        <v>12.0400603014</v>
      </c>
      <c r="AX220" s="9"/>
      <c r="AY220" s="22">
        <v>0.95748900000000003</v>
      </c>
      <c r="AZ220" s="22">
        <v>183.28</v>
      </c>
      <c r="BA220" s="22">
        <v>-1.38672E-2</v>
      </c>
      <c r="BB220" s="22">
        <v>210</v>
      </c>
      <c r="BC220" s="22">
        <v>0.95642099999999997</v>
      </c>
      <c r="BD220">
        <f t="shared" si="46"/>
        <v>13.8672</v>
      </c>
      <c r="BE220">
        <f t="shared" si="47"/>
        <v>13.277691460800002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51.367100000000001</v>
      </c>
      <c r="I221" s="22">
        <v>-1.51001E-2</v>
      </c>
      <c r="J221" s="22">
        <v>211</v>
      </c>
      <c r="K221" s="22">
        <v>0.78674299999999997</v>
      </c>
      <c r="L221">
        <f t="shared" si="36"/>
        <v>15.100099999999999</v>
      </c>
      <c r="M221">
        <f t="shared" si="37"/>
        <v>11.8914193506</v>
      </c>
      <c r="N221" s="9"/>
      <c r="O221" s="22">
        <v>0.96252400000000005</v>
      </c>
      <c r="P221" s="22">
        <v>69.25</v>
      </c>
      <c r="Q221" s="22">
        <v>-1.35315E-2</v>
      </c>
      <c r="R221" s="22">
        <v>211</v>
      </c>
      <c r="S221" s="22">
        <v>0.96221900000000005</v>
      </c>
      <c r="T221">
        <f t="shared" si="38"/>
        <v>13.531499999999999</v>
      </c>
      <c r="U221">
        <f t="shared" si="39"/>
        <v>13.024393506000001</v>
      </c>
      <c r="X221" s="9"/>
      <c r="Y221" s="22">
        <v>0.78750600000000004</v>
      </c>
      <c r="Z221" s="22">
        <v>118.809</v>
      </c>
      <c r="AA221" s="22">
        <v>-1.5219099999999999E-2</v>
      </c>
      <c r="AB221" s="22">
        <v>211</v>
      </c>
      <c r="AC221" s="22">
        <v>0.78613299999999997</v>
      </c>
      <c r="AD221">
        <f t="shared" si="40"/>
        <v>15.219099999999999</v>
      </c>
      <c r="AE221">
        <f t="shared" si="41"/>
        <v>11.985132564600001</v>
      </c>
      <c r="AF221" s="9"/>
      <c r="AG221" s="22">
        <v>0.96252400000000005</v>
      </c>
      <c r="AH221" s="22">
        <v>137.78399999999999</v>
      </c>
      <c r="AI221" s="22">
        <v>-1.3775600000000001E-2</v>
      </c>
      <c r="AJ221" s="22">
        <v>211</v>
      </c>
      <c r="AK221" s="22">
        <v>0.96130400000000005</v>
      </c>
      <c r="AL221">
        <f t="shared" si="42"/>
        <v>13.775600000000001</v>
      </c>
      <c r="AM221">
        <f t="shared" si="43"/>
        <v>13.259345614400001</v>
      </c>
      <c r="AP221" s="9"/>
      <c r="AQ221" s="22">
        <v>0.78750600000000004</v>
      </c>
      <c r="AR221" s="22">
        <v>160.429</v>
      </c>
      <c r="AS221" s="22">
        <v>-1.52008E-2</v>
      </c>
      <c r="AT221" s="22">
        <v>211</v>
      </c>
      <c r="AU221" s="22">
        <v>0.78643799999999997</v>
      </c>
      <c r="AV221">
        <f t="shared" si="44"/>
        <v>15.200800000000001</v>
      </c>
      <c r="AW221">
        <f t="shared" si="45"/>
        <v>11.970721204800002</v>
      </c>
      <c r="AX221" s="9"/>
      <c r="AY221" s="22">
        <v>0.96252400000000005</v>
      </c>
      <c r="AZ221" s="22">
        <v>183.29</v>
      </c>
      <c r="BA221" s="22">
        <v>-1.3842800000000001E-2</v>
      </c>
      <c r="BB221" s="22">
        <v>211</v>
      </c>
      <c r="BC221" s="22">
        <v>0.96221900000000005</v>
      </c>
      <c r="BD221">
        <f t="shared" si="46"/>
        <v>13.8428</v>
      </c>
      <c r="BE221">
        <f t="shared" si="47"/>
        <v>13.3240272272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51.377200000000002</v>
      </c>
      <c r="I222" s="22">
        <v>-1.5118400000000001E-2</v>
      </c>
      <c r="J222" s="22">
        <v>212</v>
      </c>
      <c r="K222" s="22">
        <v>0.781555</v>
      </c>
      <c r="L222">
        <f t="shared" si="36"/>
        <v>15.118400000000001</v>
      </c>
      <c r="M222">
        <f t="shared" si="37"/>
        <v>11.829709566400002</v>
      </c>
      <c r="N222" s="9"/>
      <c r="O222" s="22">
        <v>0.96755999999999998</v>
      </c>
      <c r="P222" s="22">
        <v>69.260000000000005</v>
      </c>
      <c r="Q222" s="22">
        <v>-1.34979E-2</v>
      </c>
      <c r="R222" s="22">
        <v>212</v>
      </c>
      <c r="S222" s="22">
        <v>0.96649200000000002</v>
      </c>
      <c r="T222">
        <f t="shared" si="38"/>
        <v>13.4979</v>
      </c>
      <c r="U222">
        <f t="shared" si="39"/>
        <v>13.060028123999999</v>
      </c>
      <c r="X222" s="9"/>
      <c r="Y222" s="22">
        <v>0.78247100000000003</v>
      </c>
      <c r="Z222" s="22">
        <v>118.819</v>
      </c>
      <c r="AA222" s="22">
        <v>-1.52344E-2</v>
      </c>
      <c r="AB222" s="22">
        <v>212</v>
      </c>
      <c r="AC222" s="22">
        <v>0.78186</v>
      </c>
      <c r="AD222">
        <f t="shared" si="40"/>
        <v>15.234400000000001</v>
      </c>
      <c r="AE222">
        <f t="shared" si="41"/>
        <v>11.920476202400001</v>
      </c>
      <c r="AF222" s="9"/>
      <c r="AG222" s="22">
        <v>0.96755999999999998</v>
      </c>
      <c r="AH222" s="22">
        <v>137.79400000000001</v>
      </c>
      <c r="AI222" s="22">
        <v>-1.3738999999999999E-2</v>
      </c>
      <c r="AJ222" s="22">
        <v>212</v>
      </c>
      <c r="AK222" s="22">
        <v>0.96649200000000002</v>
      </c>
      <c r="AL222">
        <f t="shared" si="42"/>
        <v>13.738999999999999</v>
      </c>
      <c r="AM222">
        <f t="shared" si="43"/>
        <v>13.293306839999998</v>
      </c>
      <c r="AP222" s="9"/>
      <c r="AQ222" s="22">
        <v>0.78247100000000003</v>
      </c>
      <c r="AR222" s="22">
        <v>160.43899999999999</v>
      </c>
      <c r="AS222" s="22">
        <v>-1.521E-2</v>
      </c>
      <c r="AT222" s="22">
        <v>212</v>
      </c>
      <c r="AU222" s="22">
        <v>0.781555</v>
      </c>
      <c r="AV222">
        <f t="shared" si="44"/>
        <v>15.209999999999999</v>
      </c>
      <c r="AW222">
        <f t="shared" si="45"/>
        <v>11.90138391</v>
      </c>
      <c r="AX222" s="9"/>
      <c r="AY222" s="22">
        <v>0.96755999999999998</v>
      </c>
      <c r="AZ222" s="22">
        <v>183.3</v>
      </c>
      <c r="BA222" s="22">
        <v>-1.3815300000000001E-2</v>
      </c>
      <c r="BB222" s="22">
        <v>212</v>
      </c>
      <c r="BC222" s="22">
        <v>0.96618700000000002</v>
      </c>
      <c r="BD222">
        <f t="shared" si="46"/>
        <v>13.815300000000001</v>
      </c>
      <c r="BE222">
        <f t="shared" si="47"/>
        <v>13.367131668000001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51.387300000000003</v>
      </c>
      <c r="I223" s="22">
        <v>-1.51276E-2</v>
      </c>
      <c r="J223" s="22">
        <v>213</v>
      </c>
      <c r="K223" s="22">
        <v>0.77667200000000003</v>
      </c>
      <c r="L223">
        <f t="shared" si="36"/>
        <v>15.127599999999999</v>
      </c>
      <c r="M223">
        <f t="shared" si="37"/>
        <v>11.760725705999999</v>
      </c>
      <c r="N223" s="9"/>
      <c r="O223" s="22">
        <v>0.97259499999999999</v>
      </c>
      <c r="P223" s="22">
        <v>69.270099999999999</v>
      </c>
      <c r="Q223" s="22">
        <v>-1.34705E-2</v>
      </c>
      <c r="R223" s="22">
        <v>213</v>
      </c>
      <c r="S223" s="22">
        <v>0.97167999999999999</v>
      </c>
      <c r="T223">
        <f t="shared" si="38"/>
        <v>13.470499999999999</v>
      </c>
      <c r="U223">
        <f t="shared" si="39"/>
        <v>13.101340947499999</v>
      </c>
      <c r="X223" s="9"/>
      <c r="Y223" s="22">
        <v>0.77743499999999999</v>
      </c>
      <c r="Z223" s="22">
        <v>118.83</v>
      </c>
      <c r="AA223" s="22">
        <v>-1.5246600000000001E-2</v>
      </c>
      <c r="AB223" s="22">
        <v>213</v>
      </c>
      <c r="AC223" s="22">
        <v>0.77697799999999995</v>
      </c>
      <c r="AD223">
        <f t="shared" si="40"/>
        <v>15.246600000000001</v>
      </c>
      <c r="AE223">
        <f t="shared" si="41"/>
        <v>11.853240471000001</v>
      </c>
      <c r="AF223" s="9"/>
      <c r="AG223" s="22">
        <v>0.97259499999999999</v>
      </c>
      <c r="AH223" s="22">
        <v>137.804</v>
      </c>
      <c r="AI223" s="22">
        <v>-1.37024E-2</v>
      </c>
      <c r="AJ223" s="22">
        <v>213</v>
      </c>
      <c r="AK223" s="22">
        <v>0.97228999999999999</v>
      </c>
      <c r="AL223">
        <f t="shared" si="42"/>
        <v>13.702400000000001</v>
      </c>
      <c r="AM223">
        <f t="shared" si="43"/>
        <v>13.326885728000001</v>
      </c>
      <c r="AP223" s="9"/>
      <c r="AQ223" s="22">
        <v>0.77743499999999999</v>
      </c>
      <c r="AR223" s="22">
        <v>160.44900000000001</v>
      </c>
      <c r="AS223" s="22">
        <v>-1.5219099999999999E-2</v>
      </c>
      <c r="AT223" s="22">
        <v>213</v>
      </c>
      <c r="AU223" s="22">
        <v>0.77636700000000003</v>
      </c>
      <c r="AV223">
        <f t="shared" si="44"/>
        <v>15.219099999999999</v>
      </c>
      <c r="AW223">
        <f t="shared" si="45"/>
        <v>11.831861008499999</v>
      </c>
      <c r="AX223" s="9"/>
      <c r="AY223" s="22">
        <v>0.97259499999999999</v>
      </c>
      <c r="AZ223" s="22">
        <v>183.31</v>
      </c>
      <c r="BA223" s="22">
        <v>-1.37909E-2</v>
      </c>
      <c r="BB223" s="22">
        <v>213</v>
      </c>
      <c r="BC223" s="22">
        <v>0.97167999999999999</v>
      </c>
      <c r="BD223">
        <f t="shared" si="46"/>
        <v>13.790900000000001</v>
      </c>
      <c r="BE223">
        <f t="shared" si="47"/>
        <v>13.4129603855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51.397300000000001</v>
      </c>
      <c r="I224" s="22">
        <v>-1.5136699999999999E-2</v>
      </c>
      <c r="J224" s="22">
        <v>214</v>
      </c>
      <c r="K224" s="22">
        <v>0.77178999999999998</v>
      </c>
      <c r="L224">
        <f t="shared" si="36"/>
        <v>15.136699999999999</v>
      </c>
      <c r="M224">
        <f t="shared" si="37"/>
        <v>11.69158708</v>
      </c>
      <c r="N224" s="9"/>
      <c r="O224" s="22">
        <v>0.97763100000000003</v>
      </c>
      <c r="P224" s="22">
        <v>69.280199999999994</v>
      </c>
      <c r="Q224" s="22">
        <v>-1.3439899999999999E-2</v>
      </c>
      <c r="R224" s="22">
        <v>214</v>
      </c>
      <c r="S224" s="22">
        <v>0.97625700000000004</v>
      </c>
      <c r="T224">
        <f t="shared" si="38"/>
        <v>13.4399</v>
      </c>
      <c r="U224">
        <f t="shared" si="39"/>
        <v>13.1392628769</v>
      </c>
      <c r="X224" s="9"/>
      <c r="Y224" s="22">
        <v>0.77239999999999998</v>
      </c>
      <c r="Z224" s="22">
        <v>118.84</v>
      </c>
      <c r="AA224" s="22">
        <v>-1.5255700000000001E-2</v>
      </c>
      <c r="AB224" s="22">
        <v>214</v>
      </c>
      <c r="AC224" s="22">
        <v>0.77148399999999995</v>
      </c>
      <c r="AD224">
        <f t="shared" si="40"/>
        <v>15.255700000000001</v>
      </c>
      <c r="AE224">
        <f t="shared" si="41"/>
        <v>11.78350268</v>
      </c>
      <c r="AF224" s="9"/>
      <c r="AG224" s="22">
        <v>0.97763100000000003</v>
      </c>
      <c r="AH224" s="22">
        <v>137.81399999999999</v>
      </c>
      <c r="AI224" s="22">
        <v>-1.36597E-2</v>
      </c>
      <c r="AJ224" s="22">
        <v>214</v>
      </c>
      <c r="AK224" s="22">
        <v>0.97656299999999996</v>
      </c>
      <c r="AL224">
        <f t="shared" si="42"/>
        <v>13.659700000000001</v>
      </c>
      <c r="AM224">
        <f t="shared" si="43"/>
        <v>13.354146170700002</v>
      </c>
      <c r="AP224" s="9"/>
      <c r="AQ224" s="22">
        <v>0.77239999999999998</v>
      </c>
      <c r="AR224" s="22">
        <v>160.459</v>
      </c>
      <c r="AS224" s="22">
        <v>-1.52344E-2</v>
      </c>
      <c r="AT224" s="22">
        <v>214</v>
      </c>
      <c r="AU224" s="22">
        <v>0.77148399999999995</v>
      </c>
      <c r="AV224">
        <f t="shared" si="44"/>
        <v>15.234400000000001</v>
      </c>
      <c r="AW224">
        <f t="shared" si="45"/>
        <v>11.767050559999999</v>
      </c>
      <c r="AX224" s="9"/>
      <c r="AY224" s="22">
        <v>0.97763100000000003</v>
      </c>
      <c r="AZ224" s="22">
        <v>183.32</v>
      </c>
      <c r="BA224" s="22">
        <v>-1.3766499999999999E-2</v>
      </c>
      <c r="BB224" s="22">
        <v>214</v>
      </c>
      <c r="BC224" s="22">
        <v>0.97717299999999996</v>
      </c>
      <c r="BD224">
        <f t="shared" si="46"/>
        <v>13.766499999999999</v>
      </c>
      <c r="BE224">
        <f t="shared" si="47"/>
        <v>13.4585571615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51.407400000000003</v>
      </c>
      <c r="I225" s="22">
        <v>-1.51459E-2</v>
      </c>
      <c r="J225" s="22">
        <v>215</v>
      </c>
      <c r="K225" s="22">
        <v>0.76660200000000001</v>
      </c>
      <c r="L225">
        <f t="shared" si="36"/>
        <v>15.145900000000001</v>
      </c>
      <c r="M225">
        <f t="shared" si="37"/>
        <v>11.622433553500001</v>
      </c>
      <c r="N225" s="9"/>
      <c r="O225" s="22">
        <v>0.98266600000000004</v>
      </c>
      <c r="P225" s="22">
        <v>69.290199999999999</v>
      </c>
      <c r="Q225" s="22">
        <v>-1.3406400000000001E-2</v>
      </c>
      <c r="R225" s="22">
        <v>215</v>
      </c>
      <c r="S225" s="22">
        <v>0.98205600000000004</v>
      </c>
      <c r="T225">
        <f t="shared" si="38"/>
        <v>13.406400000000001</v>
      </c>
      <c r="U225">
        <f t="shared" si="39"/>
        <v>13.174013462400001</v>
      </c>
      <c r="X225" s="9"/>
      <c r="Y225" s="22">
        <v>0.76736499999999996</v>
      </c>
      <c r="Z225" s="22">
        <v>118.85</v>
      </c>
      <c r="AA225" s="22">
        <v>-1.5258799999999999E-2</v>
      </c>
      <c r="AB225" s="22">
        <v>215</v>
      </c>
      <c r="AC225" s="22">
        <v>0.76629599999999998</v>
      </c>
      <c r="AD225">
        <f t="shared" si="40"/>
        <v>15.258799999999999</v>
      </c>
      <c r="AE225">
        <f t="shared" si="41"/>
        <v>11.709069061999999</v>
      </c>
      <c r="AF225" s="9"/>
      <c r="AG225" s="22">
        <v>0.98266600000000004</v>
      </c>
      <c r="AH225" s="22">
        <v>137.82499999999999</v>
      </c>
      <c r="AI225" s="22">
        <v>-1.3632200000000001E-2</v>
      </c>
      <c r="AJ225" s="22">
        <v>215</v>
      </c>
      <c r="AK225" s="22">
        <v>0.98205600000000004</v>
      </c>
      <c r="AL225">
        <f t="shared" si="42"/>
        <v>13.632200000000001</v>
      </c>
      <c r="AM225">
        <f t="shared" si="43"/>
        <v>13.395899445200001</v>
      </c>
      <c r="AP225" s="9"/>
      <c r="AQ225" s="22">
        <v>0.76736499999999996</v>
      </c>
      <c r="AR225" s="22">
        <v>160.46899999999999</v>
      </c>
      <c r="AS225" s="22">
        <v>-1.52496E-2</v>
      </c>
      <c r="AT225" s="22">
        <v>215</v>
      </c>
      <c r="AU225" s="22">
        <v>0.76629599999999998</v>
      </c>
      <c r="AV225">
        <f t="shared" si="44"/>
        <v>15.249600000000001</v>
      </c>
      <c r="AW225">
        <f t="shared" si="45"/>
        <v>11.702009304000001</v>
      </c>
      <c r="AX225" s="9"/>
      <c r="AY225" s="22">
        <v>0.98266600000000004</v>
      </c>
      <c r="AZ225" s="22">
        <v>183.33</v>
      </c>
      <c r="BA225" s="22">
        <v>-1.37421E-2</v>
      </c>
      <c r="BB225" s="22">
        <v>215</v>
      </c>
      <c r="BC225" s="22">
        <v>0.98205600000000004</v>
      </c>
      <c r="BD225">
        <f t="shared" si="46"/>
        <v>13.742100000000001</v>
      </c>
      <c r="BE225">
        <f t="shared" si="47"/>
        <v>13.503894438600001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51.417499999999997</v>
      </c>
      <c r="I226" s="22">
        <v>-1.5152000000000001E-2</v>
      </c>
      <c r="J226" s="22">
        <v>216</v>
      </c>
      <c r="K226" s="22">
        <v>0.76141400000000004</v>
      </c>
      <c r="L226">
        <f t="shared" si="36"/>
        <v>15.152000000000001</v>
      </c>
      <c r="M226">
        <f t="shared" si="37"/>
        <v>11.550809008000002</v>
      </c>
      <c r="N226" s="9"/>
      <c r="O226" s="22">
        <v>0.98770100000000005</v>
      </c>
      <c r="P226" s="22">
        <v>69.300299999999993</v>
      </c>
      <c r="Q226" s="22">
        <v>-1.3369799999999999E-2</v>
      </c>
      <c r="R226" s="22">
        <v>216</v>
      </c>
      <c r="S226" s="22">
        <v>0.98693799999999998</v>
      </c>
      <c r="T226">
        <f t="shared" si="38"/>
        <v>13.3698</v>
      </c>
      <c r="U226">
        <f t="shared" si="39"/>
        <v>13.205364829800001</v>
      </c>
      <c r="X226" s="9"/>
      <c r="Y226" s="22">
        <v>0.76232900000000003</v>
      </c>
      <c r="Z226" s="22">
        <v>118.86</v>
      </c>
      <c r="AA226" s="22">
        <v>-1.5271E-2</v>
      </c>
      <c r="AB226" s="22">
        <v>216</v>
      </c>
      <c r="AC226" s="22">
        <v>0.76171900000000003</v>
      </c>
      <c r="AD226">
        <f t="shared" si="40"/>
        <v>15.270999999999999</v>
      </c>
      <c r="AE226">
        <f t="shared" si="41"/>
        <v>11.641526159</v>
      </c>
      <c r="AF226" s="9"/>
      <c r="AG226" s="22">
        <v>0.98770100000000005</v>
      </c>
      <c r="AH226" s="22">
        <v>137.83500000000001</v>
      </c>
      <c r="AI226" s="22">
        <v>-1.3598600000000001E-2</v>
      </c>
      <c r="AJ226" s="22">
        <v>216</v>
      </c>
      <c r="AK226" s="22">
        <v>0.98663299999999998</v>
      </c>
      <c r="AL226">
        <f t="shared" si="42"/>
        <v>13.598600000000001</v>
      </c>
      <c r="AM226">
        <f t="shared" si="43"/>
        <v>13.431350818600002</v>
      </c>
      <c r="AP226" s="9"/>
      <c r="AQ226" s="22">
        <v>0.76232900000000003</v>
      </c>
      <c r="AR226" s="22">
        <v>160.47999999999999</v>
      </c>
      <c r="AS226" s="22">
        <v>-1.5258799999999999E-2</v>
      </c>
      <c r="AT226" s="22">
        <v>216</v>
      </c>
      <c r="AU226" s="22">
        <v>0.76110800000000001</v>
      </c>
      <c r="AV226">
        <f t="shared" si="44"/>
        <v>15.258799999999999</v>
      </c>
      <c r="AW226">
        <f t="shared" si="45"/>
        <v>11.6322257452</v>
      </c>
      <c r="AX226" s="9"/>
      <c r="AY226" s="22">
        <v>0.98770100000000005</v>
      </c>
      <c r="AZ226" s="22">
        <v>183.34</v>
      </c>
      <c r="BA226" s="22">
        <v>-1.37085E-2</v>
      </c>
      <c r="BB226" s="22">
        <v>216</v>
      </c>
      <c r="BC226" s="22">
        <v>0.98724400000000001</v>
      </c>
      <c r="BD226">
        <f t="shared" si="46"/>
        <v>13.708500000000001</v>
      </c>
      <c r="BE226">
        <f t="shared" si="47"/>
        <v>13.539899158500001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51.427500000000002</v>
      </c>
      <c r="I227" s="22">
        <v>-1.5158100000000001E-2</v>
      </c>
      <c r="J227" s="22">
        <v>217</v>
      </c>
      <c r="K227" s="22">
        <v>0.75683599999999995</v>
      </c>
      <c r="L227">
        <f t="shared" si="36"/>
        <v>15.158100000000001</v>
      </c>
      <c r="M227">
        <f t="shared" si="37"/>
        <v>11.479138181400002</v>
      </c>
      <c r="N227" s="9"/>
      <c r="O227" s="22">
        <v>0.99273699999999998</v>
      </c>
      <c r="P227" s="22">
        <v>69.310400000000001</v>
      </c>
      <c r="Q227" s="22">
        <v>-1.3336199999999999E-2</v>
      </c>
      <c r="R227" s="22">
        <v>217</v>
      </c>
      <c r="S227" s="22">
        <v>0.99182099999999995</v>
      </c>
      <c r="T227">
        <f t="shared" si="38"/>
        <v>13.3362</v>
      </c>
      <c r="U227">
        <f t="shared" si="39"/>
        <v>13.2393391794</v>
      </c>
      <c r="X227" s="9"/>
      <c r="Y227" s="22">
        <v>0.75729400000000002</v>
      </c>
      <c r="Z227" s="22">
        <v>118.87</v>
      </c>
      <c r="AA227" s="22">
        <v>-1.5273999999999999E-2</v>
      </c>
      <c r="AB227" s="22">
        <v>217</v>
      </c>
      <c r="AC227" s="22">
        <v>0.75622599999999995</v>
      </c>
      <c r="AD227">
        <f t="shared" si="40"/>
        <v>15.273999999999999</v>
      </c>
      <c r="AE227">
        <f t="shared" si="41"/>
        <v>11.566908556</v>
      </c>
      <c r="AF227" s="9"/>
      <c r="AG227" s="22">
        <v>0.99273699999999998</v>
      </c>
      <c r="AH227" s="22">
        <v>137.845</v>
      </c>
      <c r="AI227" s="22">
        <v>-1.35651E-2</v>
      </c>
      <c r="AJ227" s="22">
        <v>217</v>
      </c>
      <c r="AK227" s="22">
        <v>0.99212599999999995</v>
      </c>
      <c r="AL227">
        <f t="shared" si="42"/>
        <v>13.565099999999999</v>
      </c>
      <c r="AM227">
        <f t="shared" si="43"/>
        <v>13.466576678699999</v>
      </c>
      <c r="AP227" s="9"/>
      <c r="AQ227" s="22">
        <v>0.75729400000000002</v>
      </c>
      <c r="AR227" s="22">
        <v>160.49</v>
      </c>
      <c r="AS227" s="22">
        <v>-1.52649E-2</v>
      </c>
      <c r="AT227" s="22">
        <v>217</v>
      </c>
      <c r="AU227" s="22">
        <v>0.75683599999999995</v>
      </c>
      <c r="AV227">
        <f t="shared" si="44"/>
        <v>15.264899999999999</v>
      </c>
      <c r="AW227">
        <f t="shared" si="45"/>
        <v>11.560017180599999</v>
      </c>
      <c r="AX227" s="9"/>
      <c r="AY227" s="22">
        <v>0.99273699999999998</v>
      </c>
      <c r="AZ227" s="22">
        <v>183.351</v>
      </c>
      <c r="BA227" s="22">
        <v>-1.3671900000000001E-2</v>
      </c>
      <c r="BB227" s="22">
        <v>217</v>
      </c>
      <c r="BC227" s="22">
        <v>0.99151599999999995</v>
      </c>
      <c r="BD227">
        <f t="shared" si="46"/>
        <v>13.671900000000001</v>
      </c>
      <c r="BE227">
        <f t="shared" si="47"/>
        <v>13.5726009903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51.437600000000003</v>
      </c>
      <c r="I228" s="22">
        <v>-1.5173300000000001E-2</v>
      </c>
      <c r="J228" s="22">
        <v>218</v>
      </c>
      <c r="K228" s="22">
        <v>0.75164799999999998</v>
      </c>
      <c r="L228">
        <f t="shared" si="36"/>
        <v>15.173300000000001</v>
      </c>
      <c r="M228">
        <f t="shared" si="37"/>
        <v>11.4142363114</v>
      </c>
      <c r="N228" s="9"/>
      <c r="O228" s="22">
        <v>0.99777199999999999</v>
      </c>
      <c r="P228" s="22">
        <v>69.320499999999996</v>
      </c>
      <c r="Q228" s="22">
        <v>-1.3302599999999999E-2</v>
      </c>
      <c r="R228" s="22">
        <v>218</v>
      </c>
      <c r="S228" s="22">
        <v>0.99670400000000003</v>
      </c>
      <c r="T228">
        <f t="shared" si="38"/>
        <v>13.3026</v>
      </c>
      <c r="U228">
        <f t="shared" si="39"/>
        <v>13.2729618072</v>
      </c>
      <c r="X228" s="9"/>
      <c r="Y228" s="22">
        <v>0.75225799999999998</v>
      </c>
      <c r="Z228" s="22">
        <v>118.88</v>
      </c>
      <c r="AA228" s="22">
        <v>-1.5273999999999999E-2</v>
      </c>
      <c r="AB228" s="22">
        <v>218</v>
      </c>
      <c r="AC228" s="22">
        <v>0.75103799999999998</v>
      </c>
      <c r="AD228">
        <f t="shared" si="40"/>
        <v>15.273999999999999</v>
      </c>
      <c r="AE228">
        <f t="shared" si="41"/>
        <v>11.489988691999999</v>
      </c>
      <c r="AF228" s="9"/>
      <c r="AG228" s="22">
        <v>0.99777199999999999</v>
      </c>
      <c r="AH228" s="22">
        <v>137.85499999999999</v>
      </c>
      <c r="AI228" s="22">
        <v>-1.3528399999999999E-2</v>
      </c>
      <c r="AJ228" s="22">
        <v>218</v>
      </c>
      <c r="AK228" s="22">
        <v>0.99670400000000003</v>
      </c>
      <c r="AL228">
        <f t="shared" si="42"/>
        <v>13.5284</v>
      </c>
      <c r="AM228">
        <f t="shared" si="43"/>
        <v>13.498258724799999</v>
      </c>
      <c r="AP228" s="9"/>
      <c r="AQ228" s="22">
        <v>0.75225799999999998</v>
      </c>
      <c r="AR228" s="22">
        <v>160.5</v>
      </c>
      <c r="AS228" s="22">
        <v>-1.5273999999999999E-2</v>
      </c>
      <c r="AT228" s="22">
        <v>218</v>
      </c>
      <c r="AU228" s="22">
        <v>0.75103799999999998</v>
      </c>
      <c r="AV228">
        <f t="shared" si="44"/>
        <v>15.273999999999999</v>
      </c>
      <c r="AW228">
        <f t="shared" si="45"/>
        <v>11.489988691999999</v>
      </c>
      <c r="AX228" s="9"/>
      <c r="AY228" s="22">
        <v>0.99777199999999999</v>
      </c>
      <c r="AZ228" s="22">
        <v>183.36099999999999</v>
      </c>
      <c r="BA228" s="22">
        <v>-1.36353E-2</v>
      </c>
      <c r="BB228" s="22">
        <v>218</v>
      </c>
      <c r="BC228" s="22">
        <v>0.99670400000000003</v>
      </c>
      <c r="BD228">
        <f t="shared" si="46"/>
        <v>13.635299999999999</v>
      </c>
      <c r="BE228">
        <f t="shared" si="47"/>
        <v>13.604920551599999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51.447699999999998</v>
      </c>
      <c r="I229" s="22">
        <v>-1.51825E-2</v>
      </c>
      <c r="J229" s="22">
        <v>219</v>
      </c>
      <c r="K229" s="22">
        <v>0.74655199999999999</v>
      </c>
      <c r="L229">
        <f t="shared" si="36"/>
        <v>15.182499999999999</v>
      </c>
      <c r="M229">
        <f t="shared" si="37"/>
        <v>11.344713197499999</v>
      </c>
      <c r="N229" s="9"/>
      <c r="O229" s="22">
        <v>1.00281</v>
      </c>
      <c r="P229" s="22">
        <v>69.330500000000001</v>
      </c>
      <c r="Q229" s="22">
        <v>-1.32721E-2</v>
      </c>
      <c r="R229" s="22">
        <v>219</v>
      </c>
      <c r="S229" s="22">
        <v>1.0022</v>
      </c>
      <c r="T229">
        <f t="shared" si="38"/>
        <v>13.2721</v>
      </c>
      <c r="U229">
        <f t="shared" si="39"/>
        <v>13.309394600999999</v>
      </c>
      <c r="X229" s="9"/>
      <c r="Y229" s="22">
        <v>0.74722299999999997</v>
      </c>
      <c r="Z229" s="22">
        <v>118.89</v>
      </c>
      <c r="AA229" s="22">
        <v>-1.5273999999999999E-2</v>
      </c>
      <c r="AB229" s="22">
        <v>219</v>
      </c>
      <c r="AC229" s="22">
        <v>0.74661299999999997</v>
      </c>
      <c r="AD229">
        <f t="shared" si="40"/>
        <v>15.273999999999999</v>
      </c>
      <c r="AE229">
        <f t="shared" si="41"/>
        <v>11.413084101999999</v>
      </c>
      <c r="AF229" s="9"/>
      <c r="AG229" s="22">
        <v>1.00281</v>
      </c>
      <c r="AH229" s="22">
        <v>137.86500000000001</v>
      </c>
      <c r="AI229" s="22">
        <v>-1.3494900000000001E-2</v>
      </c>
      <c r="AJ229" s="22">
        <v>219</v>
      </c>
      <c r="AK229" s="22">
        <v>1.00159</v>
      </c>
      <c r="AL229">
        <f t="shared" si="42"/>
        <v>13.494900000000001</v>
      </c>
      <c r="AM229">
        <f t="shared" si="43"/>
        <v>13.532820669000001</v>
      </c>
      <c r="AP229" s="9"/>
      <c r="AQ229" s="22">
        <v>0.74722299999999997</v>
      </c>
      <c r="AR229" s="22">
        <v>160.51</v>
      </c>
      <c r="AS229" s="22">
        <v>-1.52893E-2</v>
      </c>
      <c r="AT229" s="22">
        <v>219</v>
      </c>
      <c r="AU229" s="22">
        <v>0.74667399999999995</v>
      </c>
      <c r="AV229">
        <f t="shared" si="44"/>
        <v>15.289300000000001</v>
      </c>
      <c r="AW229">
        <f t="shared" si="45"/>
        <v>11.4245166139</v>
      </c>
      <c r="AX229" s="9"/>
      <c r="AY229" s="22">
        <v>1.00281</v>
      </c>
      <c r="AZ229" s="22">
        <v>183.37100000000001</v>
      </c>
      <c r="BA229" s="22">
        <v>-1.3598600000000001E-2</v>
      </c>
      <c r="BB229" s="22">
        <v>219</v>
      </c>
      <c r="BC229" s="22">
        <v>1.0022</v>
      </c>
      <c r="BD229">
        <f t="shared" si="46"/>
        <v>13.598600000000001</v>
      </c>
      <c r="BE229">
        <f t="shared" si="47"/>
        <v>13.636812066000001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51.457799999999999</v>
      </c>
      <c r="I230" s="22">
        <v>-1.5197799999999999E-2</v>
      </c>
      <c r="J230" s="22">
        <v>220</v>
      </c>
      <c r="K230" s="22">
        <v>0.74160800000000004</v>
      </c>
      <c r="L230">
        <f t="shared" si="36"/>
        <v>15.197799999999999</v>
      </c>
      <c r="M230">
        <f t="shared" si="37"/>
        <v>11.279624786399999</v>
      </c>
      <c r="N230" s="9"/>
      <c r="O230" s="22">
        <v>1.0078400000000001</v>
      </c>
      <c r="P230" s="22">
        <v>69.340599999999995</v>
      </c>
      <c r="Q230" s="22">
        <v>-1.3241599999999999E-2</v>
      </c>
      <c r="R230" s="22">
        <v>220</v>
      </c>
      <c r="S230" s="22">
        <v>1.0067699999999999</v>
      </c>
      <c r="T230">
        <f t="shared" si="38"/>
        <v>13.2416</v>
      </c>
      <c r="U230">
        <f t="shared" si="39"/>
        <v>13.345414144000001</v>
      </c>
      <c r="X230" s="9"/>
      <c r="Y230" s="22">
        <v>0.74218799999999996</v>
      </c>
      <c r="Z230" s="22">
        <v>118.9</v>
      </c>
      <c r="AA230" s="22">
        <v>-1.5286299999999999E-2</v>
      </c>
      <c r="AB230" s="22">
        <v>220</v>
      </c>
      <c r="AC230" s="22">
        <v>0.74151599999999995</v>
      </c>
      <c r="AD230">
        <f t="shared" si="40"/>
        <v>15.286299999999999</v>
      </c>
      <c r="AE230">
        <f t="shared" si="41"/>
        <v>11.345308424399999</v>
      </c>
      <c r="AF230" s="9"/>
      <c r="AG230" s="22">
        <v>1.0078400000000001</v>
      </c>
      <c r="AH230" s="22">
        <v>137.875</v>
      </c>
      <c r="AI230" s="22">
        <v>-1.3461300000000001E-2</v>
      </c>
      <c r="AJ230" s="22">
        <v>220</v>
      </c>
      <c r="AK230" s="22">
        <v>1.00647</v>
      </c>
      <c r="AL230">
        <f t="shared" si="42"/>
        <v>13.461300000000001</v>
      </c>
      <c r="AM230">
        <f t="shared" si="43"/>
        <v>13.566836592000003</v>
      </c>
      <c r="AP230" s="9"/>
      <c r="AQ230" s="22">
        <v>0.74218799999999996</v>
      </c>
      <c r="AR230" s="22">
        <v>160.52000000000001</v>
      </c>
      <c r="AS230" s="22">
        <v>-1.5301500000000001E-2</v>
      </c>
      <c r="AT230" s="22">
        <v>220</v>
      </c>
      <c r="AU230" s="22">
        <v>0.74148599999999998</v>
      </c>
      <c r="AV230">
        <f t="shared" si="44"/>
        <v>15.301500000000001</v>
      </c>
      <c r="AW230">
        <f t="shared" si="45"/>
        <v>11.356589681999999</v>
      </c>
      <c r="AX230" s="9"/>
      <c r="AY230" s="22">
        <v>1.0078400000000001</v>
      </c>
      <c r="AZ230" s="22">
        <v>183.381</v>
      </c>
      <c r="BA230" s="22">
        <v>-1.3559E-2</v>
      </c>
      <c r="BB230" s="22">
        <v>220</v>
      </c>
      <c r="BC230" s="22">
        <v>1.0067699999999999</v>
      </c>
      <c r="BD230">
        <f t="shared" si="46"/>
        <v>13.558999999999999</v>
      </c>
      <c r="BE230">
        <f t="shared" si="47"/>
        <v>13.665302560000001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51.467799999999997</v>
      </c>
      <c r="I231" s="22">
        <v>-1.5225199999999999E-2</v>
      </c>
      <c r="J231" s="22">
        <v>221</v>
      </c>
      <c r="K231" s="22">
        <v>0.73651100000000003</v>
      </c>
      <c r="L231">
        <f t="shared" si="36"/>
        <v>15.225199999999999</v>
      </c>
      <c r="M231">
        <f t="shared" si="37"/>
        <v>11.223286630400001</v>
      </c>
      <c r="N231" s="9"/>
      <c r="O231" s="22">
        <v>1.01288</v>
      </c>
      <c r="P231" s="22">
        <v>69.350700000000003</v>
      </c>
      <c r="Q231" s="22">
        <v>-1.3205E-2</v>
      </c>
      <c r="R231" s="22">
        <v>221</v>
      </c>
      <c r="S231" s="22">
        <v>1.01166</v>
      </c>
      <c r="T231">
        <f t="shared" si="38"/>
        <v>13.205</v>
      </c>
      <c r="U231">
        <f t="shared" si="39"/>
        <v>13.3750804</v>
      </c>
      <c r="X231" s="9"/>
      <c r="Y231" s="22">
        <v>0.73715200000000003</v>
      </c>
      <c r="Z231" s="22">
        <v>118.91</v>
      </c>
      <c r="AA231" s="22">
        <v>-1.5301500000000001E-2</v>
      </c>
      <c r="AB231" s="22">
        <v>221</v>
      </c>
      <c r="AC231" s="22">
        <v>0.73654200000000003</v>
      </c>
      <c r="AD231">
        <f t="shared" si="40"/>
        <v>15.301500000000001</v>
      </c>
      <c r="AE231">
        <f t="shared" si="41"/>
        <v>11.279531328000001</v>
      </c>
      <c r="AF231" s="9"/>
      <c r="AG231" s="22">
        <v>1.01288</v>
      </c>
      <c r="AH231" s="22">
        <v>137.88499999999999</v>
      </c>
      <c r="AI231" s="22">
        <v>-1.3427700000000001E-2</v>
      </c>
      <c r="AJ231" s="22">
        <v>221</v>
      </c>
      <c r="AK231" s="22">
        <v>1.01166</v>
      </c>
      <c r="AL231">
        <f t="shared" si="42"/>
        <v>13.427700000000002</v>
      </c>
      <c r="AM231">
        <f t="shared" si="43"/>
        <v>13.600648776000002</v>
      </c>
      <c r="AP231" s="9"/>
      <c r="AQ231" s="22">
        <v>0.73715200000000003</v>
      </c>
      <c r="AR231" s="22">
        <v>160.53</v>
      </c>
      <c r="AS231" s="22">
        <v>-1.53137E-2</v>
      </c>
      <c r="AT231" s="22">
        <v>221</v>
      </c>
      <c r="AU231" s="22">
        <v>0.73654200000000003</v>
      </c>
      <c r="AV231">
        <f t="shared" si="44"/>
        <v>15.313699999999999</v>
      </c>
      <c r="AW231">
        <f t="shared" si="45"/>
        <v>11.288524582399999</v>
      </c>
      <c r="AX231" s="9"/>
      <c r="AY231" s="22">
        <v>1.01288</v>
      </c>
      <c r="AZ231" s="22">
        <v>183.39099999999999</v>
      </c>
      <c r="BA231" s="22">
        <v>-1.3522299999999999E-2</v>
      </c>
      <c r="BB231" s="22">
        <v>221</v>
      </c>
      <c r="BC231" s="22">
        <v>1.01227</v>
      </c>
      <c r="BD231">
        <f t="shared" si="46"/>
        <v>13.5223</v>
      </c>
      <c r="BE231">
        <f t="shared" si="47"/>
        <v>13.696467223999999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51.477899999999998</v>
      </c>
      <c r="I232" s="22">
        <v>-1.52313E-2</v>
      </c>
      <c r="J232" s="22">
        <v>222</v>
      </c>
      <c r="K232" s="22">
        <v>0.73150599999999999</v>
      </c>
      <c r="L232">
        <f t="shared" si="36"/>
        <v>15.231299999999999</v>
      </c>
      <c r="M232">
        <f t="shared" si="37"/>
        <v>11.151093662099999</v>
      </c>
      <c r="N232" s="9"/>
      <c r="O232" s="22">
        <v>1.0179100000000001</v>
      </c>
      <c r="P232" s="22">
        <v>69.360699999999994</v>
      </c>
      <c r="Q232" s="22">
        <v>-1.3162200000000001E-2</v>
      </c>
      <c r="R232" s="22">
        <v>222</v>
      </c>
      <c r="S232" s="22">
        <v>1.01715</v>
      </c>
      <c r="T232">
        <f t="shared" si="38"/>
        <v>13.1622</v>
      </c>
      <c r="U232">
        <f t="shared" si="39"/>
        <v>13.397935002000002</v>
      </c>
      <c r="X232" s="9"/>
      <c r="Y232" s="22">
        <v>0.73211700000000002</v>
      </c>
      <c r="Z232" s="22">
        <v>118.92</v>
      </c>
      <c r="AA232" s="22">
        <v>-1.53229E-2</v>
      </c>
      <c r="AB232" s="22">
        <v>222</v>
      </c>
      <c r="AC232" s="22">
        <v>0.73153699999999999</v>
      </c>
      <c r="AD232">
        <f t="shared" si="40"/>
        <v>15.322900000000001</v>
      </c>
      <c r="AE232">
        <f t="shared" si="41"/>
        <v>11.218155579300001</v>
      </c>
      <c r="AF232" s="9"/>
      <c r="AG232" s="22">
        <v>1.0179100000000001</v>
      </c>
      <c r="AH232" s="22">
        <v>137.89500000000001</v>
      </c>
      <c r="AI232" s="22">
        <v>-1.34003E-2</v>
      </c>
      <c r="AJ232" s="22">
        <v>222</v>
      </c>
      <c r="AK232" s="22">
        <v>1.01746</v>
      </c>
      <c r="AL232">
        <f t="shared" si="42"/>
        <v>13.4003</v>
      </c>
      <c r="AM232">
        <f t="shared" si="43"/>
        <v>13.640299373000001</v>
      </c>
      <c r="AP232" s="9"/>
      <c r="AQ232" s="22">
        <v>0.73211700000000002</v>
      </c>
      <c r="AR232" s="22">
        <v>160.54</v>
      </c>
      <c r="AS232" s="22">
        <v>-1.53259E-2</v>
      </c>
      <c r="AT232" s="22">
        <v>222</v>
      </c>
      <c r="AU232" s="22">
        <v>0.73153699999999999</v>
      </c>
      <c r="AV232">
        <f t="shared" si="44"/>
        <v>15.325900000000001</v>
      </c>
      <c r="AW232">
        <f t="shared" si="45"/>
        <v>11.220351930300001</v>
      </c>
      <c r="AX232" s="9"/>
      <c r="AY232" s="22">
        <v>1.0179100000000001</v>
      </c>
      <c r="AZ232" s="22">
        <v>183.40100000000001</v>
      </c>
      <c r="BA232" s="22">
        <v>-1.34857E-2</v>
      </c>
      <c r="BB232" s="22">
        <v>222</v>
      </c>
      <c r="BC232" s="22">
        <v>1.01776</v>
      </c>
      <c r="BD232">
        <f t="shared" si="46"/>
        <v>13.4857</v>
      </c>
      <c r="BE232">
        <f t="shared" si="47"/>
        <v>13.727228887000001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51.488</v>
      </c>
      <c r="I233" s="22">
        <v>-1.5240500000000001E-2</v>
      </c>
      <c r="J233" s="22">
        <v>223</v>
      </c>
      <c r="K233" s="22">
        <v>0.72643999999999997</v>
      </c>
      <c r="L233">
        <f t="shared" si="36"/>
        <v>15.240500000000001</v>
      </c>
      <c r="M233">
        <f t="shared" si="37"/>
        <v>11.0810779805</v>
      </c>
      <c r="N233" s="9"/>
      <c r="O233" s="22">
        <v>1.02295</v>
      </c>
      <c r="P233" s="22">
        <v>69.370800000000003</v>
      </c>
      <c r="Q233" s="22">
        <v>-1.31287E-2</v>
      </c>
      <c r="R233" s="22">
        <v>223</v>
      </c>
      <c r="S233" s="22">
        <v>1.02203</v>
      </c>
      <c r="T233">
        <f t="shared" si="38"/>
        <v>13.1287</v>
      </c>
      <c r="U233">
        <f t="shared" si="39"/>
        <v>13.430003665000001</v>
      </c>
      <c r="X233" s="9"/>
      <c r="Y233" s="22">
        <v>0.72708099999999998</v>
      </c>
      <c r="Z233" s="22">
        <v>118.93</v>
      </c>
      <c r="AA233" s="22">
        <v>-1.5344200000000001E-2</v>
      </c>
      <c r="AB233" s="22">
        <v>223</v>
      </c>
      <c r="AC233" s="22">
        <v>0.72647099999999998</v>
      </c>
      <c r="AD233">
        <f t="shared" si="40"/>
        <v>15.344200000000001</v>
      </c>
      <c r="AE233">
        <f t="shared" si="41"/>
        <v>11.1564762802</v>
      </c>
      <c r="AF233" s="9"/>
      <c r="AG233" s="22">
        <v>1.02295</v>
      </c>
      <c r="AH233" s="22">
        <v>137.905</v>
      </c>
      <c r="AI233" s="22">
        <v>-1.33667E-2</v>
      </c>
      <c r="AJ233" s="22">
        <v>223</v>
      </c>
      <c r="AK233" s="22">
        <v>1.02203</v>
      </c>
      <c r="AL233">
        <f t="shared" si="42"/>
        <v>13.3667</v>
      </c>
      <c r="AM233">
        <f t="shared" si="43"/>
        <v>13.673465765</v>
      </c>
      <c r="AP233" s="9"/>
      <c r="AQ233" s="22">
        <v>0.72708099999999998</v>
      </c>
      <c r="AR233" s="22">
        <v>160.55000000000001</v>
      </c>
      <c r="AS233" s="22">
        <v>-1.5329000000000001E-2</v>
      </c>
      <c r="AT233" s="22">
        <v>223</v>
      </c>
      <c r="AU233" s="22">
        <v>0.72647099999999998</v>
      </c>
      <c r="AV233">
        <f t="shared" si="44"/>
        <v>15.329000000000001</v>
      </c>
      <c r="AW233">
        <f t="shared" si="45"/>
        <v>11.145424649000001</v>
      </c>
      <c r="AX233" s="9"/>
      <c r="AY233" s="22">
        <v>1.02295</v>
      </c>
      <c r="AZ233" s="22">
        <v>183.411</v>
      </c>
      <c r="BA233" s="22">
        <v>-1.34552E-2</v>
      </c>
      <c r="BB233" s="22">
        <v>223</v>
      </c>
      <c r="BC233" s="22">
        <v>1.02203</v>
      </c>
      <c r="BD233">
        <f t="shared" si="46"/>
        <v>13.455200000000001</v>
      </c>
      <c r="BE233">
        <f t="shared" si="47"/>
        <v>13.763996840000003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51.497999999999998</v>
      </c>
      <c r="I234" s="22">
        <v>-1.5252699999999999E-2</v>
      </c>
      <c r="J234" s="22">
        <v>224</v>
      </c>
      <c r="K234" s="22">
        <v>0.72140499999999996</v>
      </c>
      <c r="L234">
        <f t="shared" si="36"/>
        <v>15.252699999999999</v>
      </c>
      <c r="M234">
        <f t="shared" si="37"/>
        <v>11.013151024199999</v>
      </c>
      <c r="N234" s="9"/>
      <c r="O234" s="22">
        <v>1.0279799999999999</v>
      </c>
      <c r="P234" s="22">
        <v>69.380899999999997</v>
      </c>
      <c r="Q234" s="22">
        <v>-1.3091999999999999E-2</v>
      </c>
      <c r="R234" s="22">
        <v>224</v>
      </c>
      <c r="S234" s="22">
        <v>1.02661</v>
      </c>
      <c r="T234">
        <f t="shared" si="38"/>
        <v>13.091999999999999</v>
      </c>
      <c r="U234">
        <f t="shared" si="39"/>
        <v>13.458314159999997</v>
      </c>
      <c r="X234" s="9"/>
      <c r="Y234" s="22">
        <v>0.72204599999999997</v>
      </c>
      <c r="Z234" s="22">
        <v>118.94</v>
      </c>
      <c r="AA234" s="22">
        <v>-1.5356399999999999E-2</v>
      </c>
      <c r="AB234" s="22">
        <v>224</v>
      </c>
      <c r="AC234" s="22">
        <v>0.72137499999999999</v>
      </c>
      <c r="AD234">
        <f t="shared" si="40"/>
        <v>15.356399999999999</v>
      </c>
      <c r="AE234">
        <f t="shared" si="41"/>
        <v>11.088027194399999</v>
      </c>
      <c r="AF234" s="9"/>
      <c r="AG234" s="22">
        <v>1.0279799999999999</v>
      </c>
      <c r="AH234" s="22">
        <v>137.91499999999999</v>
      </c>
      <c r="AI234" s="22">
        <v>-1.3336199999999999E-2</v>
      </c>
      <c r="AJ234" s="22">
        <v>224</v>
      </c>
      <c r="AK234" s="22">
        <v>1.0269200000000001</v>
      </c>
      <c r="AL234">
        <f t="shared" si="42"/>
        <v>13.3362</v>
      </c>
      <c r="AM234">
        <f t="shared" si="43"/>
        <v>13.709346875999998</v>
      </c>
      <c r="AP234" s="9"/>
      <c r="AQ234" s="22">
        <v>0.72204599999999997</v>
      </c>
      <c r="AR234" s="22">
        <v>160.56</v>
      </c>
      <c r="AS234" s="22">
        <v>-1.5341199999999999E-2</v>
      </c>
      <c r="AT234" s="22">
        <v>224</v>
      </c>
      <c r="AU234" s="22">
        <v>0.72140499999999996</v>
      </c>
      <c r="AV234">
        <f t="shared" si="44"/>
        <v>15.341199999999999</v>
      </c>
      <c r="AW234">
        <f t="shared" si="45"/>
        <v>11.077052095199999</v>
      </c>
      <c r="AX234" s="9"/>
      <c r="AY234" s="22">
        <v>1.0279799999999999</v>
      </c>
      <c r="AZ234" s="22">
        <v>183.42099999999999</v>
      </c>
      <c r="BA234" s="22">
        <v>-1.3424699999999999E-2</v>
      </c>
      <c r="BB234" s="22">
        <v>224</v>
      </c>
      <c r="BC234" s="22">
        <v>1.02722</v>
      </c>
      <c r="BD234">
        <f t="shared" si="46"/>
        <v>13.4247</v>
      </c>
      <c r="BE234">
        <f t="shared" si="47"/>
        <v>13.800323105999999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51.508099999999999</v>
      </c>
      <c r="I235" s="22">
        <v>-1.5271E-2</v>
      </c>
      <c r="J235" s="22">
        <v>225</v>
      </c>
      <c r="K235" s="22">
        <v>0.71633899999999995</v>
      </c>
      <c r="L235">
        <f t="shared" si="36"/>
        <v>15.270999999999999</v>
      </c>
      <c r="M235">
        <f t="shared" si="37"/>
        <v>10.949459709999999</v>
      </c>
      <c r="N235" s="9"/>
      <c r="O235" s="22">
        <v>1.03302</v>
      </c>
      <c r="P235" s="22">
        <v>69.391000000000005</v>
      </c>
      <c r="Q235" s="22">
        <v>-1.30524E-2</v>
      </c>
      <c r="R235" s="22">
        <v>225</v>
      </c>
      <c r="S235" s="22">
        <v>1.03241</v>
      </c>
      <c r="T235">
        <f t="shared" si="38"/>
        <v>13.0524</v>
      </c>
      <c r="U235">
        <f t="shared" si="39"/>
        <v>13.483390248000001</v>
      </c>
      <c r="X235" s="9"/>
      <c r="Y235" s="22">
        <v>0.71701000000000004</v>
      </c>
      <c r="Z235" s="22">
        <v>118.95</v>
      </c>
      <c r="AA235" s="22">
        <v>-1.5374799999999999E-2</v>
      </c>
      <c r="AB235" s="22">
        <v>225</v>
      </c>
      <c r="AC235" s="22">
        <v>0.71643100000000004</v>
      </c>
      <c r="AD235">
        <f t="shared" si="40"/>
        <v>15.374799999999999</v>
      </c>
      <c r="AE235">
        <f t="shared" si="41"/>
        <v>11.023885348</v>
      </c>
      <c r="AF235" s="9"/>
      <c r="AG235" s="22">
        <v>1.03302</v>
      </c>
      <c r="AH235" s="22">
        <v>137.92500000000001</v>
      </c>
      <c r="AI235" s="22">
        <v>-1.3302599999999999E-2</v>
      </c>
      <c r="AJ235" s="22">
        <v>225</v>
      </c>
      <c r="AK235" s="22">
        <v>1.0321</v>
      </c>
      <c r="AL235">
        <f t="shared" si="42"/>
        <v>13.3026</v>
      </c>
      <c r="AM235">
        <f t="shared" si="43"/>
        <v>13.741851852</v>
      </c>
      <c r="AP235" s="9"/>
      <c r="AQ235" s="22">
        <v>0.71701000000000004</v>
      </c>
      <c r="AR235" s="22">
        <v>160.57</v>
      </c>
      <c r="AS235" s="22">
        <v>-1.5350300000000001E-2</v>
      </c>
      <c r="AT235" s="22">
        <v>225</v>
      </c>
      <c r="AU235" s="22">
        <v>0.71636999999999995</v>
      </c>
      <c r="AV235">
        <f t="shared" si="44"/>
        <v>15.350300000000001</v>
      </c>
      <c r="AW235">
        <f t="shared" si="45"/>
        <v>11.006318603</v>
      </c>
      <c r="AX235" s="9"/>
      <c r="AY235" s="22">
        <v>1.03302</v>
      </c>
      <c r="AZ235" s="22">
        <v>183.43100000000001</v>
      </c>
      <c r="BA235" s="22">
        <v>-1.3382E-2</v>
      </c>
      <c r="BB235" s="22">
        <v>225</v>
      </c>
      <c r="BC235" s="22">
        <v>1.0321</v>
      </c>
      <c r="BD235">
        <f t="shared" si="46"/>
        <v>13.382</v>
      </c>
      <c r="BE235">
        <f t="shared" si="47"/>
        <v>13.82387364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51.5182</v>
      </c>
      <c r="I236" s="22">
        <v>-1.5295400000000001E-2</v>
      </c>
      <c r="J236" s="22">
        <v>226</v>
      </c>
      <c r="K236" s="22">
        <v>0.71136500000000003</v>
      </c>
      <c r="L236">
        <f t="shared" si="36"/>
        <v>15.295400000000001</v>
      </c>
      <c r="M236">
        <f t="shared" si="37"/>
        <v>10.889942415</v>
      </c>
      <c r="N236" s="9"/>
      <c r="O236" s="22">
        <v>1.03806</v>
      </c>
      <c r="P236" s="22">
        <v>69.400999999999996</v>
      </c>
      <c r="Q236" s="22">
        <v>-1.30157E-2</v>
      </c>
      <c r="R236" s="22">
        <v>226</v>
      </c>
      <c r="S236" s="22">
        <v>1.03729</v>
      </c>
      <c r="T236">
        <f t="shared" si="38"/>
        <v>13.015700000000001</v>
      </c>
      <c r="U236">
        <f t="shared" si="39"/>
        <v>13.511077542000001</v>
      </c>
      <c r="X236" s="9"/>
      <c r="Y236" s="22">
        <v>0.71197500000000002</v>
      </c>
      <c r="Z236" s="22">
        <v>118.96</v>
      </c>
      <c r="AA236" s="22">
        <v>-1.5389999999999999E-2</v>
      </c>
      <c r="AB236" s="22">
        <v>226</v>
      </c>
      <c r="AC236" s="22">
        <v>0.71130400000000005</v>
      </c>
      <c r="AD236">
        <f t="shared" si="40"/>
        <v>15.389999999999999</v>
      </c>
      <c r="AE236">
        <f t="shared" si="41"/>
        <v>10.95729525</v>
      </c>
      <c r="AF236" s="9"/>
      <c r="AG236" s="22">
        <v>1.03806</v>
      </c>
      <c r="AH236" s="22">
        <v>137.935</v>
      </c>
      <c r="AI236" s="22">
        <v>-1.3269E-2</v>
      </c>
      <c r="AJ236" s="22">
        <v>226</v>
      </c>
      <c r="AK236" s="22">
        <v>1.0363800000000001</v>
      </c>
      <c r="AL236">
        <f t="shared" si="42"/>
        <v>13.269</v>
      </c>
      <c r="AM236">
        <f t="shared" si="43"/>
        <v>13.774018139999999</v>
      </c>
      <c r="AP236" s="9"/>
      <c r="AQ236" s="22">
        <v>0.71197500000000002</v>
      </c>
      <c r="AR236" s="22">
        <v>160.58000000000001</v>
      </c>
      <c r="AS236" s="22">
        <v>-1.53717E-2</v>
      </c>
      <c r="AT236" s="22">
        <v>226</v>
      </c>
      <c r="AU236" s="22">
        <v>0.71130400000000005</v>
      </c>
      <c r="AV236">
        <f t="shared" si="44"/>
        <v>15.371700000000001</v>
      </c>
      <c r="AW236">
        <f t="shared" si="45"/>
        <v>10.944266107500001</v>
      </c>
      <c r="AX236" s="9"/>
      <c r="AY236" s="22">
        <v>1.03806</v>
      </c>
      <c r="AZ236" s="22">
        <v>183.441</v>
      </c>
      <c r="BA236" s="22">
        <v>-1.33423E-2</v>
      </c>
      <c r="BB236" s="22">
        <v>226</v>
      </c>
      <c r="BC236" s="22">
        <v>1.0376000000000001</v>
      </c>
      <c r="BD236">
        <f t="shared" si="46"/>
        <v>13.3423</v>
      </c>
      <c r="BE236">
        <f t="shared" si="47"/>
        <v>13.850107937999999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51.528300000000002</v>
      </c>
      <c r="I237" s="22">
        <v>-1.53107E-2</v>
      </c>
      <c r="J237" s="22">
        <v>227</v>
      </c>
      <c r="K237" s="22">
        <v>0.70632899999999998</v>
      </c>
      <c r="L237">
        <f t="shared" si="36"/>
        <v>15.310700000000001</v>
      </c>
      <c r="M237">
        <f t="shared" si="37"/>
        <v>10.823746258</v>
      </c>
      <c r="N237" s="9"/>
      <c r="O237" s="22">
        <v>1.0430900000000001</v>
      </c>
      <c r="P237" s="22">
        <v>69.411100000000005</v>
      </c>
      <c r="Q237" s="22">
        <v>-1.29791E-2</v>
      </c>
      <c r="R237" s="22">
        <v>227</v>
      </c>
      <c r="S237" s="22">
        <v>1.0418700000000001</v>
      </c>
      <c r="T237">
        <f t="shared" si="38"/>
        <v>12.979100000000001</v>
      </c>
      <c r="U237">
        <f t="shared" si="39"/>
        <v>13.538369419000002</v>
      </c>
      <c r="X237" s="9"/>
      <c r="Y237" s="22">
        <v>0.70694000000000001</v>
      </c>
      <c r="Z237" s="22">
        <v>118.971</v>
      </c>
      <c r="AA237" s="22">
        <v>-1.54083E-2</v>
      </c>
      <c r="AB237" s="22">
        <v>227</v>
      </c>
      <c r="AC237" s="22">
        <v>0.70638999999999996</v>
      </c>
      <c r="AD237">
        <f t="shared" si="40"/>
        <v>15.408300000000001</v>
      </c>
      <c r="AE237">
        <f t="shared" si="41"/>
        <v>10.892743602000001</v>
      </c>
      <c r="AF237" s="9"/>
      <c r="AG237" s="22">
        <v>1.0430900000000001</v>
      </c>
      <c r="AH237" s="22">
        <v>137.94499999999999</v>
      </c>
      <c r="AI237" s="22">
        <v>-1.3235500000000001E-2</v>
      </c>
      <c r="AJ237" s="22">
        <v>227</v>
      </c>
      <c r="AK237" s="22">
        <v>1.0421800000000001</v>
      </c>
      <c r="AL237">
        <f t="shared" si="42"/>
        <v>13.2355</v>
      </c>
      <c r="AM237">
        <f t="shared" si="43"/>
        <v>13.805817695000002</v>
      </c>
      <c r="AP237" s="9"/>
      <c r="AQ237" s="22">
        <v>0.70694000000000001</v>
      </c>
      <c r="AR237" s="22">
        <v>160.59</v>
      </c>
      <c r="AS237" s="22">
        <v>-1.5389999999999999E-2</v>
      </c>
      <c r="AT237" s="22">
        <v>227</v>
      </c>
      <c r="AU237" s="22">
        <v>0.70632899999999998</v>
      </c>
      <c r="AV237">
        <f t="shared" si="44"/>
        <v>15.389999999999999</v>
      </c>
      <c r="AW237">
        <f t="shared" si="45"/>
        <v>10.8798066</v>
      </c>
      <c r="AX237" s="9"/>
      <c r="AY237" s="22">
        <v>1.0430900000000001</v>
      </c>
      <c r="AZ237" s="22">
        <v>183.45099999999999</v>
      </c>
      <c r="BA237" s="22">
        <v>-1.33087E-2</v>
      </c>
      <c r="BB237" s="22">
        <v>227</v>
      </c>
      <c r="BC237" s="22">
        <v>1.0418700000000001</v>
      </c>
      <c r="BD237">
        <f t="shared" si="46"/>
        <v>13.3087</v>
      </c>
      <c r="BE237">
        <f t="shared" si="47"/>
        <v>13.882171883000002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51.5383</v>
      </c>
      <c r="I238" s="22">
        <v>-1.5329000000000001E-2</v>
      </c>
      <c r="J238" s="22">
        <v>228</v>
      </c>
      <c r="K238" s="22">
        <v>0.70135499999999995</v>
      </c>
      <c r="L238">
        <f t="shared" si="36"/>
        <v>15.329000000000001</v>
      </c>
      <c r="M238">
        <f t="shared" si="37"/>
        <v>10.759486416</v>
      </c>
      <c r="N238" s="9"/>
      <c r="O238" s="22">
        <v>1.04813</v>
      </c>
      <c r="P238" s="22">
        <v>69.421199999999999</v>
      </c>
      <c r="Q238" s="22">
        <v>-1.2942499999999999E-2</v>
      </c>
      <c r="R238" s="22">
        <v>228</v>
      </c>
      <c r="S238" s="22">
        <v>1.0473600000000001</v>
      </c>
      <c r="T238">
        <f t="shared" si="38"/>
        <v>12.942499999999999</v>
      </c>
      <c r="U238">
        <f t="shared" si="39"/>
        <v>13.565422524999999</v>
      </c>
      <c r="X238" s="9"/>
      <c r="Y238" s="22">
        <v>0.70190399999999997</v>
      </c>
      <c r="Z238" s="22">
        <v>118.98099999999999</v>
      </c>
      <c r="AA238" s="22">
        <v>-1.54266E-2</v>
      </c>
      <c r="AB238" s="22">
        <v>228</v>
      </c>
      <c r="AC238" s="22">
        <v>0.701233</v>
      </c>
      <c r="AD238">
        <f t="shared" si="40"/>
        <v>15.426600000000001</v>
      </c>
      <c r="AE238">
        <f t="shared" si="41"/>
        <v>10.827992246399999</v>
      </c>
      <c r="AF238" s="9"/>
      <c r="AG238" s="22">
        <v>1.04813</v>
      </c>
      <c r="AH238" s="22">
        <v>137.95500000000001</v>
      </c>
      <c r="AI238" s="22">
        <v>-1.31927E-2</v>
      </c>
      <c r="AJ238" s="22">
        <v>228</v>
      </c>
      <c r="AK238" s="22">
        <v>1.0467500000000001</v>
      </c>
      <c r="AL238">
        <f t="shared" si="42"/>
        <v>13.1927</v>
      </c>
      <c r="AM238">
        <f t="shared" si="43"/>
        <v>13.827664651000001</v>
      </c>
      <c r="AP238" s="9"/>
      <c r="AQ238" s="22">
        <v>0.70190399999999997</v>
      </c>
      <c r="AR238" s="22">
        <v>160.6</v>
      </c>
      <c r="AS238" s="22">
        <v>-1.54022E-2</v>
      </c>
      <c r="AT238" s="22">
        <v>228</v>
      </c>
      <c r="AU238" s="22">
        <v>0.70126299999999997</v>
      </c>
      <c r="AV238">
        <f t="shared" si="44"/>
        <v>15.402199999999999</v>
      </c>
      <c r="AW238">
        <f t="shared" si="45"/>
        <v>10.810865788799999</v>
      </c>
      <c r="AX238" s="9"/>
      <c r="AY238" s="22">
        <v>1.04813</v>
      </c>
      <c r="AZ238" s="22">
        <v>183.46100000000001</v>
      </c>
      <c r="BA238" s="22">
        <v>-1.32721E-2</v>
      </c>
      <c r="BB238" s="22">
        <v>228</v>
      </c>
      <c r="BC238" s="22">
        <v>1.0473600000000001</v>
      </c>
      <c r="BD238">
        <f t="shared" si="46"/>
        <v>13.2721</v>
      </c>
      <c r="BE238">
        <f t="shared" si="47"/>
        <v>13.910886173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51.548400000000001</v>
      </c>
      <c r="I239" s="22">
        <v>-1.5341199999999999E-2</v>
      </c>
      <c r="J239" s="22">
        <v>229</v>
      </c>
      <c r="K239" s="22">
        <v>0.69619799999999998</v>
      </c>
      <c r="L239">
        <f t="shared" si="36"/>
        <v>15.341199999999999</v>
      </c>
      <c r="M239">
        <f t="shared" si="37"/>
        <v>10.690806702799998</v>
      </c>
      <c r="N239" s="9"/>
      <c r="O239" s="22">
        <v>1.0531600000000001</v>
      </c>
      <c r="P239" s="22">
        <v>69.431200000000004</v>
      </c>
      <c r="Q239" s="22">
        <v>-1.2902800000000001E-2</v>
      </c>
      <c r="R239" s="22">
        <v>229</v>
      </c>
      <c r="S239" s="22">
        <v>1.0525500000000001</v>
      </c>
      <c r="T239">
        <f t="shared" si="38"/>
        <v>12.902800000000001</v>
      </c>
      <c r="U239">
        <f t="shared" si="39"/>
        <v>13.588712848000002</v>
      </c>
      <c r="X239" s="9"/>
      <c r="Y239" s="22">
        <v>0.69686899999999996</v>
      </c>
      <c r="Z239" s="22">
        <v>118.991</v>
      </c>
      <c r="AA239" s="22">
        <v>-1.54419E-2</v>
      </c>
      <c r="AB239" s="22">
        <v>229</v>
      </c>
      <c r="AC239" s="22">
        <v>0.69619799999999998</v>
      </c>
      <c r="AD239">
        <f t="shared" si="40"/>
        <v>15.4419</v>
      </c>
      <c r="AE239">
        <f t="shared" si="41"/>
        <v>10.7609814111</v>
      </c>
      <c r="AF239" s="9"/>
      <c r="AG239" s="22">
        <v>1.0531600000000001</v>
      </c>
      <c r="AH239" s="22">
        <v>137.96600000000001</v>
      </c>
      <c r="AI239" s="22">
        <v>-1.315E-2</v>
      </c>
      <c r="AJ239" s="22">
        <v>229</v>
      </c>
      <c r="AK239" s="22">
        <v>1.0516399999999999</v>
      </c>
      <c r="AL239">
        <f t="shared" si="42"/>
        <v>13.15</v>
      </c>
      <c r="AM239">
        <f t="shared" si="43"/>
        <v>13.849054000000002</v>
      </c>
      <c r="AP239" s="9"/>
      <c r="AQ239" s="22">
        <v>0.69686899999999996</v>
      </c>
      <c r="AR239" s="22">
        <v>160.61000000000001</v>
      </c>
      <c r="AS239" s="22">
        <v>-1.5417500000000001E-2</v>
      </c>
      <c r="AT239" s="22">
        <v>229</v>
      </c>
      <c r="AU239" s="22">
        <v>0.69619799999999998</v>
      </c>
      <c r="AV239">
        <f t="shared" si="44"/>
        <v>15.4175</v>
      </c>
      <c r="AW239">
        <f t="shared" si="45"/>
        <v>10.7439778075</v>
      </c>
      <c r="AX239" s="9"/>
      <c r="AY239" s="22">
        <v>1.0531600000000001</v>
      </c>
      <c r="AZ239" s="22">
        <v>183.471</v>
      </c>
      <c r="BA239" s="22">
        <v>-1.3235500000000001E-2</v>
      </c>
      <c r="BB239" s="22">
        <v>229</v>
      </c>
      <c r="BC239" s="22">
        <v>1.0519400000000001</v>
      </c>
      <c r="BD239">
        <f t="shared" si="46"/>
        <v>13.2355</v>
      </c>
      <c r="BE239">
        <f t="shared" si="47"/>
        <v>13.939099180000001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51.558500000000002</v>
      </c>
      <c r="I240" s="22">
        <v>-1.5350300000000001E-2</v>
      </c>
      <c r="J240" s="22">
        <v>230</v>
      </c>
      <c r="K240" s="22">
        <v>0.69122300000000003</v>
      </c>
      <c r="L240">
        <f t="shared" si="36"/>
        <v>15.350300000000001</v>
      </c>
      <c r="M240">
        <f t="shared" si="37"/>
        <v>10.619844099900002</v>
      </c>
      <c r="N240" s="9"/>
      <c r="O240" s="22">
        <v>1.0582</v>
      </c>
      <c r="P240" s="22">
        <v>69.441299999999998</v>
      </c>
      <c r="Q240" s="22">
        <v>-1.2860099999999999E-2</v>
      </c>
      <c r="R240" s="22">
        <v>230</v>
      </c>
      <c r="S240" s="22">
        <v>1.0577399999999999</v>
      </c>
      <c r="T240">
        <f t="shared" si="38"/>
        <v>12.860099999999999</v>
      </c>
      <c r="U240">
        <f t="shared" si="39"/>
        <v>13.60855782</v>
      </c>
      <c r="X240" s="9"/>
      <c r="Y240" s="22">
        <v>0.69183300000000003</v>
      </c>
      <c r="Z240" s="22">
        <v>119.001</v>
      </c>
      <c r="AA240" s="22">
        <v>-1.5448E-2</v>
      </c>
      <c r="AB240" s="22">
        <v>230</v>
      </c>
      <c r="AC240" s="22">
        <v>0.69116200000000005</v>
      </c>
      <c r="AD240">
        <f t="shared" si="40"/>
        <v>15.448</v>
      </c>
      <c r="AE240">
        <f t="shared" si="41"/>
        <v>10.687436184000001</v>
      </c>
      <c r="AF240" s="9"/>
      <c r="AG240" s="22">
        <v>1.0582</v>
      </c>
      <c r="AH240" s="22">
        <v>137.976</v>
      </c>
      <c r="AI240" s="22">
        <v>-1.3110399999999999E-2</v>
      </c>
      <c r="AJ240" s="22">
        <v>230</v>
      </c>
      <c r="AK240" s="22">
        <v>1.0571299999999999</v>
      </c>
      <c r="AL240">
        <f t="shared" si="42"/>
        <v>13.1104</v>
      </c>
      <c r="AM240">
        <f t="shared" si="43"/>
        <v>13.873425280000001</v>
      </c>
      <c r="AP240" s="9"/>
      <c r="AQ240" s="22">
        <v>0.69183300000000003</v>
      </c>
      <c r="AR240" s="22">
        <v>160.62100000000001</v>
      </c>
      <c r="AS240" s="22">
        <v>-1.54266E-2</v>
      </c>
      <c r="AT240" s="22">
        <v>230</v>
      </c>
      <c r="AU240" s="22">
        <v>0.69119299999999995</v>
      </c>
      <c r="AV240">
        <f t="shared" si="44"/>
        <v>15.426600000000001</v>
      </c>
      <c r="AW240">
        <f t="shared" si="45"/>
        <v>10.672630957800001</v>
      </c>
      <c r="AX240" s="9"/>
      <c r="AY240" s="22">
        <v>1.0582</v>
      </c>
      <c r="AZ240" s="22">
        <v>183.48099999999999</v>
      </c>
      <c r="BA240" s="22">
        <v>-1.3201900000000001E-2</v>
      </c>
      <c r="BB240" s="22">
        <v>230</v>
      </c>
      <c r="BC240" s="22">
        <v>1.0577399999999999</v>
      </c>
      <c r="BD240">
        <f t="shared" si="46"/>
        <v>13.2019</v>
      </c>
      <c r="BE240">
        <f t="shared" si="47"/>
        <v>13.97025058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51.5685</v>
      </c>
      <c r="I241" s="22">
        <v>-1.5362499999999999E-2</v>
      </c>
      <c r="J241" s="22">
        <v>231</v>
      </c>
      <c r="K241" s="22">
        <v>0.68615700000000002</v>
      </c>
      <c r="L241">
        <f t="shared" si="36"/>
        <v>15.362499999999999</v>
      </c>
      <c r="M241">
        <f t="shared" si="37"/>
        <v>10.550934274999999</v>
      </c>
      <c r="N241" s="9"/>
      <c r="O241" s="22">
        <v>1.0632299999999999</v>
      </c>
      <c r="P241" s="22">
        <v>69.451400000000007</v>
      </c>
      <c r="Q241" s="22">
        <v>-1.28235E-2</v>
      </c>
      <c r="R241" s="22">
        <v>231</v>
      </c>
      <c r="S241" s="22">
        <v>1.0626199999999999</v>
      </c>
      <c r="T241">
        <f t="shared" si="38"/>
        <v>12.823499999999999</v>
      </c>
      <c r="U241">
        <f t="shared" si="39"/>
        <v>13.634329904999998</v>
      </c>
      <c r="X241" s="9"/>
      <c r="Y241" s="22">
        <v>0.68679800000000002</v>
      </c>
      <c r="Z241" s="22">
        <v>119.011</v>
      </c>
      <c r="AA241" s="22">
        <v>-1.54541E-2</v>
      </c>
      <c r="AB241" s="22">
        <v>231</v>
      </c>
      <c r="AC241" s="22">
        <v>0.686249</v>
      </c>
      <c r="AD241">
        <f t="shared" si="40"/>
        <v>15.4541</v>
      </c>
      <c r="AE241">
        <f t="shared" si="41"/>
        <v>10.613844971800001</v>
      </c>
      <c r="AF241" s="9"/>
      <c r="AG241" s="22">
        <v>1.0632299999999999</v>
      </c>
      <c r="AH241" s="22">
        <v>137.98599999999999</v>
      </c>
      <c r="AI241" s="22">
        <v>-1.30676E-2</v>
      </c>
      <c r="AJ241" s="22">
        <v>231</v>
      </c>
      <c r="AK241" s="22">
        <v>1.0623199999999999</v>
      </c>
      <c r="AL241">
        <f t="shared" si="42"/>
        <v>13.067600000000001</v>
      </c>
      <c r="AM241">
        <f t="shared" si="43"/>
        <v>13.893864347999999</v>
      </c>
      <c r="AP241" s="9"/>
      <c r="AQ241" s="22">
        <v>0.68679800000000002</v>
      </c>
      <c r="AR241" s="22">
        <v>160.631</v>
      </c>
      <c r="AS241" s="22">
        <v>-1.5438800000000001E-2</v>
      </c>
      <c r="AT241" s="22">
        <v>231</v>
      </c>
      <c r="AU241" s="22">
        <v>0.68612700000000004</v>
      </c>
      <c r="AV241">
        <f t="shared" si="44"/>
        <v>15.438800000000001</v>
      </c>
      <c r="AW241">
        <f t="shared" si="45"/>
        <v>10.6033369624</v>
      </c>
      <c r="AX241" s="9"/>
      <c r="AY241" s="22">
        <v>1.0632299999999999</v>
      </c>
      <c r="AZ241" s="22">
        <v>183.49199999999999</v>
      </c>
      <c r="BA241" s="22">
        <v>-1.31714E-2</v>
      </c>
      <c r="BB241" s="22">
        <v>231</v>
      </c>
      <c r="BC241" s="22">
        <v>1.0620099999999999</v>
      </c>
      <c r="BD241">
        <f t="shared" si="46"/>
        <v>13.1714</v>
      </c>
      <c r="BE241">
        <f t="shared" si="47"/>
        <v>14.004227621999998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51.578600000000002</v>
      </c>
      <c r="I242" s="22">
        <v>-1.53717E-2</v>
      </c>
      <c r="J242" s="22">
        <v>232</v>
      </c>
      <c r="K242" s="22">
        <v>0.68096900000000005</v>
      </c>
      <c r="L242">
        <f t="shared" si="36"/>
        <v>15.371700000000001</v>
      </c>
      <c r="M242">
        <f t="shared" si="37"/>
        <v>10.4798563071</v>
      </c>
      <c r="N242" s="9"/>
      <c r="O242" s="22">
        <v>1.0682700000000001</v>
      </c>
      <c r="P242" s="22">
        <v>69.461500000000001</v>
      </c>
      <c r="Q242" s="22">
        <v>-1.27869E-2</v>
      </c>
      <c r="R242" s="22">
        <v>232</v>
      </c>
      <c r="S242" s="22">
        <v>1.0665899999999999</v>
      </c>
      <c r="T242">
        <f t="shared" si="38"/>
        <v>12.786900000000001</v>
      </c>
      <c r="U242">
        <f t="shared" si="39"/>
        <v>13.659861663000001</v>
      </c>
      <c r="X242" s="9"/>
      <c r="Y242" s="22">
        <v>0.68176300000000001</v>
      </c>
      <c r="Z242" s="22">
        <v>119.021</v>
      </c>
      <c r="AA242" s="22">
        <v>-1.5463299999999999E-2</v>
      </c>
      <c r="AB242" s="22">
        <v>232</v>
      </c>
      <c r="AC242" s="22">
        <v>0.68115199999999998</v>
      </c>
      <c r="AD242">
        <f t="shared" si="40"/>
        <v>15.463299999999998</v>
      </c>
      <c r="AE242">
        <f t="shared" si="41"/>
        <v>10.542305797899999</v>
      </c>
      <c r="AF242" s="9"/>
      <c r="AG242" s="22">
        <v>1.0682700000000001</v>
      </c>
      <c r="AH242" s="22">
        <v>137.99600000000001</v>
      </c>
      <c r="AI242" s="22">
        <v>-1.3018800000000001E-2</v>
      </c>
      <c r="AJ242" s="22">
        <v>232</v>
      </c>
      <c r="AK242" s="22">
        <v>1.0674999999999999</v>
      </c>
      <c r="AL242">
        <f t="shared" si="42"/>
        <v>13.018800000000001</v>
      </c>
      <c r="AM242">
        <f t="shared" si="43"/>
        <v>13.907593476000001</v>
      </c>
      <c r="AP242" s="9"/>
      <c r="AQ242" s="22">
        <v>0.68176300000000001</v>
      </c>
      <c r="AR242" s="22">
        <v>160.64099999999999</v>
      </c>
      <c r="AS242" s="22">
        <v>-1.5444899999999999E-2</v>
      </c>
      <c r="AT242" s="22">
        <v>232</v>
      </c>
      <c r="AU242" s="22">
        <v>0.68106100000000003</v>
      </c>
      <c r="AV242">
        <f t="shared" si="44"/>
        <v>15.444899999999999</v>
      </c>
      <c r="AW242">
        <f t="shared" si="45"/>
        <v>10.5297613587</v>
      </c>
      <c r="AX242" s="9"/>
      <c r="AY242" s="22">
        <v>1.0682700000000001</v>
      </c>
      <c r="AZ242" s="22">
        <v>183.50200000000001</v>
      </c>
      <c r="BA242" s="22">
        <v>-1.31409E-2</v>
      </c>
      <c r="BB242" s="22">
        <v>232</v>
      </c>
      <c r="BC242" s="22">
        <v>1.0674999999999999</v>
      </c>
      <c r="BD242">
        <f t="shared" si="46"/>
        <v>13.1409</v>
      </c>
      <c r="BE242">
        <f t="shared" si="47"/>
        <v>14.038029243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51.588700000000003</v>
      </c>
      <c r="I243" s="22">
        <v>-1.5374799999999999E-2</v>
      </c>
      <c r="J243" s="22">
        <v>233</v>
      </c>
      <c r="K243" s="22">
        <v>0.67614700000000005</v>
      </c>
      <c r="L243">
        <f t="shared" si="36"/>
        <v>15.374799999999999</v>
      </c>
      <c r="M243">
        <f t="shared" si="37"/>
        <v>10.404542279599999</v>
      </c>
      <c r="N243" s="9"/>
      <c r="O243" s="22">
        <v>1.0732999999999999</v>
      </c>
      <c r="P243" s="22">
        <v>69.471500000000006</v>
      </c>
      <c r="Q243" s="22">
        <v>-1.27411E-2</v>
      </c>
      <c r="R243" s="22">
        <v>233</v>
      </c>
      <c r="S243" s="22">
        <v>1.0720799999999999</v>
      </c>
      <c r="T243">
        <f t="shared" si="38"/>
        <v>12.741099999999999</v>
      </c>
      <c r="U243">
        <f t="shared" si="39"/>
        <v>13.675022629999999</v>
      </c>
      <c r="X243" s="9"/>
      <c r="Y243" s="22">
        <v>0.67672699999999997</v>
      </c>
      <c r="Z243" s="22">
        <v>119.03100000000001</v>
      </c>
      <c r="AA243" s="22">
        <v>-1.5478499999999999E-2</v>
      </c>
      <c r="AB243" s="22">
        <v>233</v>
      </c>
      <c r="AC243" s="22">
        <v>0.67614700000000005</v>
      </c>
      <c r="AD243">
        <f t="shared" si="40"/>
        <v>15.478499999999999</v>
      </c>
      <c r="AE243">
        <f t="shared" si="41"/>
        <v>10.474718869499998</v>
      </c>
      <c r="AF243" s="9"/>
      <c r="AG243" s="22">
        <v>1.0732999999999999</v>
      </c>
      <c r="AH243" s="22">
        <v>138.006</v>
      </c>
      <c r="AI243" s="22">
        <v>-1.29791E-2</v>
      </c>
      <c r="AJ243" s="22">
        <v>233</v>
      </c>
      <c r="AK243" s="22">
        <v>1.073</v>
      </c>
      <c r="AL243">
        <f t="shared" si="42"/>
        <v>12.979100000000001</v>
      </c>
      <c r="AM243">
        <f t="shared" si="43"/>
        <v>13.93046803</v>
      </c>
      <c r="AP243" s="9"/>
      <c r="AQ243" s="22">
        <v>0.67672699999999997</v>
      </c>
      <c r="AR243" s="22">
        <v>160.65100000000001</v>
      </c>
      <c r="AS243" s="22">
        <v>-1.5450999999999999E-2</v>
      </c>
      <c r="AT243" s="22">
        <v>233</v>
      </c>
      <c r="AU243" s="22">
        <v>0.67614700000000005</v>
      </c>
      <c r="AV243">
        <f t="shared" si="44"/>
        <v>15.450999999999999</v>
      </c>
      <c r="AW243">
        <f t="shared" si="45"/>
        <v>10.456108876999998</v>
      </c>
      <c r="AX243" s="9"/>
      <c r="AY243" s="22">
        <v>1.0732999999999999</v>
      </c>
      <c r="AZ243" s="22">
        <v>183.512</v>
      </c>
      <c r="BA243" s="22">
        <v>-1.31012E-2</v>
      </c>
      <c r="BB243" s="22">
        <v>233</v>
      </c>
      <c r="BC243" s="22">
        <v>1.07239</v>
      </c>
      <c r="BD243">
        <f t="shared" si="46"/>
        <v>13.1012</v>
      </c>
      <c r="BE243">
        <f t="shared" si="47"/>
        <v>14.06151796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51.598799999999997</v>
      </c>
      <c r="I244" s="22">
        <v>-1.53778E-2</v>
      </c>
      <c r="J244" s="22">
        <v>234</v>
      </c>
      <c r="K244" s="22">
        <v>0.67095899999999997</v>
      </c>
      <c r="L244">
        <f t="shared" si="36"/>
        <v>15.377800000000001</v>
      </c>
      <c r="M244">
        <f t="shared" si="37"/>
        <v>10.329145237600001</v>
      </c>
      <c r="N244" s="9"/>
      <c r="O244" s="22">
        <v>1.0783400000000001</v>
      </c>
      <c r="P244" s="22">
        <v>69.4816</v>
      </c>
      <c r="Q244" s="22">
        <v>-1.26984E-2</v>
      </c>
      <c r="R244" s="22">
        <v>234</v>
      </c>
      <c r="S244" s="22">
        <v>1.07697</v>
      </c>
      <c r="T244">
        <f t="shared" si="38"/>
        <v>12.698399999999999</v>
      </c>
      <c r="U244">
        <f t="shared" si="39"/>
        <v>13.693192656000001</v>
      </c>
      <c r="X244" s="9"/>
      <c r="Y244" s="22">
        <v>0.67169199999999996</v>
      </c>
      <c r="Z244" s="22">
        <v>119.041</v>
      </c>
      <c r="AA244" s="22">
        <v>-1.54938E-2</v>
      </c>
      <c r="AB244" s="22">
        <v>234</v>
      </c>
      <c r="AC244" s="22">
        <v>0.67105099999999995</v>
      </c>
      <c r="AD244">
        <f t="shared" si="40"/>
        <v>15.4938</v>
      </c>
      <c r="AE244">
        <f t="shared" si="41"/>
        <v>10.4070615096</v>
      </c>
      <c r="AF244" s="9"/>
      <c r="AG244" s="22">
        <v>1.0783400000000001</v>
      </c>
      <c r="AH244" s="22">
        <v>138.01599999999999</v>
      </c>
      <c r="AI244" s="22">
        <v>-1.29395E-2</v>
      </c>
      <c r="AJ244" s="22">
        <v>234</v>
      </c>
      <c r="AK244" s="22">
        <v>1.0772699999999999</v>
      </c>
      <c r="AL244">
        <f t="shared" si="42"/>
        <v>12.939499999999999</v>
      </c>
      <c r="AM244">
        <f t="shared" si="43"/>
        <v>13.95318043</v>
      </c>
      <c r="AP244" s="9"/>
      <c r="AQ244" s="22">
        <v>0.67169199999999996</v>
      </c>
      <c r="AR244" s="22">
        <v>160.661</v>
      </c>
      <c r="AS244" s="22">
        <v>-1.54541E-2</v>
      </c>
      <c r="AT244" s="22">
        <v>234</v>
      </c>
      <c r="AU244" s="22">
        <v>0.67111200000000004</v>
      </c>
      <c r="AV244">
        <f t="shared" si="44"/>
        <v>15.4541</v>
      </c>
      <c r="AW244">
        <f t="shared" si="45"/>
        <v>10.3803953372</v>
      </c>
      <c r="AX244" s="9"/>
      <c r="AY244" s="22">
        <v>1.0783400000000001</v>
      </c>
      <c r="AZ244" s="22">
        <v>183.52199999999999</v>
      </c>
      <c r="BA244" s="22">
        <v>-1.30615E-2</v>
      </c>
      <c r="BB244" s="22">
        <v>234</v>
      </c>
      <c r="BC244" s="22">
        <v>1.07697</v>
      </c>
      <c r="BD244">
        <f t="shared" si="46"/>
        <v>13.061500000000001</v>
      </c>
      <c r="BE244">
        <f t="shared" si="47"/>
        <v>14.084737910000001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51.608800000000002</v>
      </c>
      <c r="I245" s="22">
        <v>-1.5380899999999999E-2</v>
      </c>
      <c r="J245" s="22">
        <v>235</v>
      </c>
      <c r="K245" s="22">
        <v>0.66607700000000003</v>
      </c>
      <c r="L245">
        <f t="shared" si="36"/>
        <v>15.380899999999999</v>
      </c>
      <c r="M245">
        <f t="shared" si="37"/>
        <v>10.253769270399999</v>
      </c>
      <c r="N245" s="9"/>
      <c r="O245" s="22">
        <v>1.0833699999999999</v>
      </c>
      <c r="P245" s="22">
        <v>69.491699999999994</v>
      </c>
      <c r="Q245" s="22">
        <v>-1.2655599999999999E-2</v>
      </c>
      <c r="R245" s="22">
        <v>235</v>
      </c>
      <c r="S245" s="22">
        <v>1.08246</v>
      </c>
      <c r="T245">
        <f t="shared" si="38"/>
        <v>12.6556</v>
      </c>
      <c r="U245">
        <f t="shared" si="39"/>
        <v>13.710697371999998</v>
      </c>
      <c r="X245" s="9"/>
      <c r="Y245" s="22">
        <v>0.66665600000000003</v>
      </c>
      <c r="Z245" s="22">
        <v>119.051</v>
      </c>
      <c r="AA245" s="22">
        <v>-1.5512099999999999E-2</v>
      </c>
      <c r="AB245" s="22">
        <v>235</v>
      </c>
      <c r="AC245" s="22">
        <v>0.66601600000000005</v>
      </c>
      <c r="AD245">
        <f t="shared" si="40"/>
        <v>15.512099999999998</v>
      </c>
      <c r="AE245">
        <f t="shared" si="41"/>
        <v>10.3412345376</v>
      </c>
      <c r="AF245" s="9"/>
      <c r="AG245" s="22">
        <v>1.0833699999999999</v>
      </c>
      <c r="AH245" s="22">
        <v>138.02600000000001</v>
      </c>
      <c r="AI245" s="22">
        <v>-1.2899799999999999E-2</v>
      </c>
      <c r="AJ245" s="22">
        <v>235</v>
      </c>
      <c r="AK245" s="22">
        <v>1.0827599999999999</v>
      </c>
      <c r="AL245">
        <f t="shared" si="42"/>
        <v>12.899799999999999</v>
      </c>
      <c r="AM245">
        <f t="shared" si="43"/>
        <v>13.975256325999998</v>
      </c>
      <c r="AP245" s="9"/>
      <c r="AQ245" s="22">
        <v>0.66665600000000003</v>
      </c>
      <c r="AR245" s="22">
        <v>160.67099999999999</v>
      </c>
      <c r="AS245" s="22">
        <v>-1.54541E-2</v>
      </c>
      <c r="AT245" s="22">
        <v>235</v>
      </c>
      <c r="AU245" s="22">
        <v>0.66601600000000005</v>
      </c>
      <c r="AV245">
        <f t="shared" si="44"/>
        <v>15.4541</v>
      </c>
      <c r="AW245">
        <f t="shared" si="45"/>
        <v>10.3025684896</v>
      </c>
      <c r="AX245" s="9"/>
      <c r="AY245" s="22">
        <v>1.0833699999999999</v>
      </c>
      <c r="AZ245" s="22">
        <v>183.53200000000001</v>
      </c>
      <c r="BA245" s="22">
        <v>-1.3021899999999999E-2</v>
      </c>
      <c r="BB245" s="22">
        <v>235</v>
      </c>
      <c r="BC245" s="22">
        <v>1.08246</v>
      </c>
      <c r="BD245">
        <f t="shared" si="46"/>
        <v>13.021899999999999</v>
      </c>
      <c r="BE245">
        <f t="shared" si="47"/>
        <v>14.107535802999998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51.618899999999996</v>
      </c>
      <c r="I246" s="22">
        <v>-1.5389999999999999E-2</v>
      </c>
      <c r="J246" s="22">
        <v>236</v>
      </c>
      <c r="K246" s="22">
        <v>0.66095000000000004</v>
      </c>
      <c r="L246">
        <f t="shared" si="36"/>
        <v>15.389999999999999</v>
      </c>
      <c r="M246">
        <f t="shared" si="37"/>
        <v>10.18234719</v>
      </c>
      <c r="N246" s="9"/>
      <c r="O246" s="22">
        <v>1.0884100000000001</v>
      </c>
      <c r="P246" s="22">
        <v>69.5017</v>
      </c>
      <c r="Q246" s="22">
        <v>-1.2616E-2</v>
      </c>
      <c r="R246" s="22">
        <v>236</v>
      </c>
      <c r="S246" s="22">
        <v>1.08734</v>
      </c>
      <c r="T246">
        <f t="shared" si="38"/>
        <v>12.616</v>
      </c>
      <c r="U246">
        <f t="shared" si="39"/>
        <v>13.731380560000002</v>
      </c>
      <c r="X246" s="9"/>
      <c r="Y246" s="22">
        <v>0.66162100000000001</v>
      </c>
      <c r="Z246" s="22">
        <v>119.06100000000001</v>
      </c>
      <c r="AA246" s="22">
        <v>-1.55243E-2</v>
      </c>
      <c r="AB246" s="22">
        <v>236</v>
      </c>
      <c r="AC246" s="22">
        <v>0.66101100000000002</v>
      </c>
      <c r="AD246">
        <f t="shared" si="40"/>
        <v>15.5243</v>
      </c>
      <c r="AE246">
        <f t="shared" si="41"/>
        <v>10.2712028903</v>
      </c>
      <c r="AF246" s="9"/>
      <c r="AG246" s="22">
        <v>1.0884100000000001</v>
      </c>
      <c r="AH246" s="22">
        <v>138.036</v>
      </c>
      <c r="AI246" s="22">
        <v>-1.28632E-2</v>
      </c>
      <c r="AJ246" s="22">
        <v>236</v>
      </c>
      <c r="AK246" s="22">
        <v>1.08704</v>
      </c>
      <c r="AL246">
        <f t="shared" si="42"/>
        <v>12.863200000000001</v>
      </c>
      <c r="AM246">
        <f t="shared" si="43"/>
        <v>14.000435512000003</v>
      </c>
      <c r="AP246" s="9"/>
      <c r="AQ246" s="22">
        <v>0.66162100000000001</v>
      </c>
      <c r="AR246" s="22">
        <v>160.68100000000001</v>
      </c>
      <c r="AS246" s="22">
        <v>-1.5463299999999999E-2</v>
      </c>
      <c r="AT246" s="22">
        <v>236</v>
      </c>
      <c r="AU246" s="22">
        <v>0.66107199999999999</v>
      </c>
      <c r="AV246">
        <f t="shared" si="44"/>
        <v>15.463299999999998</v>
      </c>
      <c r="AW246">
        <f t="shared" si="45"/>
        <v>10.230844009299998</v>
      </c>
      <c r="AX246" s="9"/>
      <c r="AY246" s="22">
        <v>1.0884100000000001</v>
      </c>
      <c r="AZ246" s="22">
        <v>183.542</v>
      </c>
      <c r="BA246" s="22">
        <v>-1.29791E-2</v>
      </c>
      <c r="BB246" s="22">
        <v>236</v>
      </c>
      <c r="BC246" s="22">
        <v>1.08734</v>
      </c>
      <c r="BD246">
        <f t="shared" si="46"/>
        <v>12.979100000000001</v>
      </c>
      <c r="BE246">
        <f t="shared" si="47"/>
        <v>14.126582231000002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51.628999999999998</v>
      </c>
      <c r="I247" s="22">
        <v>-1.54083E-2</v>
      </c>
      <c r="J247" s="22">
        <v>237</v>
      </c>
      <c r="K247" s="22">
        <v>0.655914</v>
      </c>
      <c r="L247">
        <f t="shared" si="36"/>
        <v>15.408300000000001</v>
      </c>
      <c r="M247">
        <f t="shared" si="37"/>
        <v>10.116874063800001</v>
      </c>
      <c r="N247" s="9"/>
      <c r="O247" s="22">
        <v>1.09344</v>
      </c>
      <c r="P247" s="22">
        <v>69.511799999999994</v>
      </c>
      <c r="Q247" s="22">
        <v>-1.25763E-2</v>
      </c>
      <c r="R247" s="22">
        <v>237</v>
      </c>
      <c r="S247" s="22">
        <v>1.09253</v>
      </c>
      <c r="T247">
        <f t="shared" si="38"/>
        <v>12.5763</v>
      </c>
      <c r="U247">
        <f t="shared" si="39"/>
        <v>13.751429472</v>
      </c>
      <c r="X247" s="9"/>
      <c r="Y247" s="22">
        <v>0.656586</v>
      </c>
      <c r="Z247" s="22">
        <v>119.071</v>
      </c>
      <c r="AA247" s="22">
        <v>-1.5533399999999999E-2</v>
      </c>
      <c r="AB247" s="22">
        <v>237</v>
      </c>
      <c r="AC247" s="22">
        <v>0.655914</v>
      </c>
      <c r="AD247">
        <f t="shared" si="40"/>
        <v>15.533399999999999</v>
      </c>
      <c r="AE247">
        <f t="shared" si="41"/>
        <v>10.199012972399998</v>
      </c>
      <c r="AF247" s="9"/>
      <c r="AG247" s="22">
        <v>1.09344</v>
      </c>
      <c r="AH247" s="22">
        <v>138.04599999999999</v>
      </c>
      <c r="AI247" s="22">
        <v>-1.28235E-2</v>
      </c>
      <c r="AJ247" s="22">
        <v>237</v>
      </c>
      <c r="AK247" s="22">
        <v>1.09283</v>
      </c>
      <c r="AL247">
        <f t="shared" si="42"/>
        <v>12.823499999999999</v>
      </c>
      <c r="AM247">
        <f t="shared" si="43"/>
        <v>14.021727839999999</v>
      </c>
      <c r="AP247" s="9"/>
      <c r="AQ247" s="22">
        <v>0.656586</v>
      </c>
      <c r="AR247" s="22">
        <v>160.691</v>
      </c>
      <c r="AS247" s="22">
        <v>-1.54755E-2</v>
      </c>
      <c r="AT247" s="22">
        <v>237</v>
      </c>
      <c r="AU247" s="22">
        <v>0.655914</v>
      </c>
      <c r="AV247">
        <f t="shared" si="44"/>
        <v>15.4755</v>
      </c>
      <c r="AW247">
        <f t="shared" si="45"/>
        <v>10.160996643000001</v>
      </c>
      <c r="AX247" s="9"/>
      <c r="AY247" s="22">
        <v>1.09344</v>
      </c>
      <c r="AZ247" s="22">
        <v>183.55199999999999</v>
      </c>
      <c r="BA247" s="22">
        <v>-1.29303E-2</v>
      </c>
      <c r="BB247" s="22">
        <v>237</v>
      </c>
      <c r="BC247" s="22">
        <v>1.09253</v>
      </c>
      <c r="BD247">
        <f t="shared" si="46"/>
        <v>12.930300000000001</v>
      </c>
      <c r="BE247">
        <f t="shared" si="47"/>
        <v>14.138507232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51.639000000000003</v>
      </c>
      <c r="I248" s="22">
        <v>-1.5423600000000001E-2</v>
      </c>
      <c r="J248" s="22">
        <v>238</v>
      </c>
      <c r="K248" s="22">
        <v>0.65087899999999999</v>
      </c>
      <c r="L248">
        <f t="shared" si="36"/>
        <v>15.4236</v>
      </c>
      <c r="M248">
        <f t="shared" si="37"/>
        <v>10.04924658</v>
      </c>
      <c r="N248" s="9"/>
      <c r="O248" s="22">
        <v>1.0984799999999999</v>
      </c>
      <c r="P248" s="22">
        <v>69.521900000000002</v>
      </c>
      <c r="Q248" s="22">
        <v>-1.25305E-2</v>
      </c>
      <c r="R248" s="22">
        <v>238</v>
      </c>
      <c r="S248" s="22">
        <v>1.09772</v>
      </c>
      <c r="T248">
        <f t="shared" si="38"/>
        <v>12.5305</v>
      </c>
      <c r="U248">
        <f t="shared" si="39"/>
        <v>13.764503639999999</v>
      </c>
      <c r="X248" s="9"/>
      <c r="Y248" s="22">
        <v>0.65154999999999996</v>
      </c>
      <c r="Z248" s="22">
        <v>119.081</v>
      </c>
      <c r="AA248" s="22">
        <v>-1.55487E-2</v>
      </c>
      <c r="AB248" s="22">
        <v>238</v>
      </c>
      <c r="AC248" s="22">
        <v>0.65093999999999996</v>
      </c>
      <c r="AD248">
        <f t="shared" si="40"/>
        <v>15.5487</v>
      </c>
      <c r="AE248">
        <f t="shared" si="41"/>
        <v>10.130755485</v>
      </c>
      <c r="AF248" s="9"/>
      <c r="AG248" s="22">
        <v>1.0984799999999999</v>
      </c>
      <c r="AH248" s="22">
        <v>138.05600000000001</v>
      </c>
      <c r="AI248" s="22">
        <v>-1.2777699999999999E-2</v>
      </c>
      <c r="AJ248" s="22">
        <v>238</v>
      </c>
      <c r="AK248" s="22">
        <v>1.09772</v>
      </c>
      <c r="AL248">
        <f t="shared" si="42"/>
        <v>12.777699999999999</v>
      </c>
      <c r="AM248">
        <f t="shared" si="43"/>
        <v>14.036047895999998</v>
      </c>
      <c r="AP248" s="9"/>
      <c r="AQ248" s="22">
        <v>0.65154999999999996</v>
      </c>
      <c r="AR248" s="22">
        <v>160.70099999999999</v>
      </c>
      <c r="AS248" s="22">
        <v>-1.54907E-2</v>
      </c>
      <c r="AT248" s="22">
        <v>238</v>
      </c>
      <c r="AU248" s="22">
        <v>0.65090899999999996</v>
      </c>
      <c r="AV248">
        <f t="shared" si="44"/>
        <v>15.4907</v>
      </c>
      <c r="AW248">
        <f t="shared" si="45"/>
        <v>10.092965585</v>
      </c>
      <c r="AX248" s="9"/>
      <c r="AY248" s="22">
        <v>1.0984799999999999</v>
      </c>
      <c r="AZ248" s="22">
        <v>183.56200000000001</v>
      </c>
      <c r="BA248" s="22">
        <v>-1.2887600000000001E-2</v>
      </c>
      <c r="BB248" s="22">
        <v>238</v>
      </c>
      <c r="BC248" s="22">
        <v>1.09711</v>
      </c>
      <c r="BD248">
        <f t="shared" si="46"/>
        <v>12.887600000000001</v>
      </c>
      <c r="BE248">
        <f t="shared" si="47"/>
        <v>14.156770847999999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51.649099999999997</v>
      </c>
      <c r="I249" s="22">
        <v>-1.54358E-2</v>
      </c>
      <c r="J249" s="22">
        <v>239</v>
      </c>
      <c r="K249" s="22">
        <v>0.64590499999999995</v>
      </c>
      <c r="L249">
        <f t="shared" si="36"/>
        <v>15.4358</v>
      </c>
      <c r="M249">
        <f t="shared" si="37"/>
        <v>9.9794762370000001</v>
      </c>
      <c r="N249" s="9"/>
      <c r="O249" s="22">
        <v>1.1035200000000001</v>
      </c>
      <c r="P249" s="22">
        <v>69.531899999999993</v>
      </c>
      <c r="Q249" s="22">
        <v>-1.24878E-2</v>
      </c>
      <c r="R249" s="22">
        <v>239</v>
      </c>
      <c r="S249" s="22">
        <v>1.10199</v>
      </c>
      <c r="T249">
        <f t="shared" si="38"/>
        <v>12.4878</v>
      </c>
      <c r="U249">
        <f t="shared" si="39"/>
        <v>13.780537056</v>
      </c>
      <c r="X249" s="9"/>
      <c r="Y249" s="22">
        <v>0.64651499999999995</v>
      </c>
      <c r="Z249" s="22">
        <v>119.09099999999999</v>
      </c>
      <c r="AA249" s="22">
        <v>-1.55579E-2</v>
      </c>
      <c r="AB249" s="22">
        <v>239</v>
      </c>
      <c r="AC249" s="22">
        <v>0.64590499999999995</v>
      </c>
      <c r="AD249">
        <f t="shared" si="40"/>
        <v>15.5579</v>
      </c>
      <c r="AE249">
        <f t="shared" si="41"/>
        <v>10.058415718499999</v>
      </c>
      <c r="AF249" s="9"/>
      <c r="AG249" s="22">
        <v>1.1035200000000001</v>
      </c>
      <c r="AH249" s="22">
        <v>138.066</v>
      </c>
      <c r="AI249" s="22">
        <v>-1.2735E-2</v>
      </c>
      <c r="AJ249" s="22">
        <v>239</v>
      </c>
      <c r="AK249" s="22">
        <v>1.10229</v>
      </c>
      <c r="AL249">
        <f t="shared" si="42"/>
        <v>12.734999999999999</v>
      </c>
      <c r="AM249">
        <f t="shared" si="43"/>
        <v>14.0533272</v>
      </c>
      <c r="AP249" s="9"/>
      <c r="AQ249" s="22">
        <v>0.64651499999999995</v>
      </c>
      <c r="AR249" s="22">
        <v>160.71100000000001</v>
      </c>
      <c r="AS249" s="22">
        <v>-1.54999E-2</v>
      </c>
      <c r="AT249" s="22">
        <v>239</v>
      </c>
      <c r="AU249" s="22">
        <v>0.64590499999999995</v>
      </c>
      <c r="AV249">
        <f t="shared" si="44"/>
        <v>15.4999</v>
      </c>
      <c r="AW249">
        <f t="shared" si="45"/>
        <v>10.0209178485</v>
      </c>
      <c r="AX249" s="9"/>
      <c r="AY249" s="22">
        <v>1.1035200000000001</v>
      </c>
      <c r="AZ249" s="22">
        <v>183.572</v>
      </c>
      <c r="BA249" s="22">
        <v>-1.2847900000000001E-2</v>
      </c>
      <c r="BB249" s="22">
        <v>239</v>
      </c>
      <c r="BC249" s="22">
        <v>1.1026</v>
      </c>
      <c r="BD249">
        <f t="shared" si="46"/>
        <v>12.847900000000001</v>
      </c>
      <c r="BE249">
        <f t="shared" si="47"/>
        <v>14.177914608000002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51.659199999999998</v>
      </c>
      <c r="I250" s="22">
        <v>-1.5444899999999999E-2</v>
      </c>
      <c r="J250" s="22">
        <v>240</v>
      </c>
      <c r="K250" s="22">
        <v>0.64086900000000002</v>
      </c>
      <c r="L250">
        <f t="shared" si="36"/>
        <v>15.444899999999999</v>
      </c>
      <c r="M250">
        <f t="shared" si="37"/>
        <v>9.9075790070999989</v>
      </c>
      <c r="N250" s="9"/>
      <c r="O250" s="22">
        <v>1.1085499999999999</v>
      </c>
      <c r="P250" s="22">
        <v>69.542000000000002</v>
      </c>
      <c r="Q250" s="22">
        <v>-1.2451200000000001E-2</v>
      </c>
      <c r="R250" s="22">
        <v>240</v>
      </c>
      <c r="S250" s="22">
        <v>1.1077900000000001</v>
      </c>
      <c r="T250">
        <f t="shared" si="38"/>
        <v>12.4512</v>
      </c>
      <c r="U250">
        <f t="shared" si="39"/>
        <v>13.80277776</v>
      </c>
      <c r="X250" s="9"/>
      <c r="Y250" s="22">
        <v>0.64147900000000002</v>
      </c>
      <c r="Z250" s="22">
        <v>119.101</v>
      </c>
      <c r="AA250" s="22">
        <v>-1.5566999999999999E-2</v>
      </c>
      <c r="AB250" s="22">
        <v>240</v>
      </c>
      <c r="AC250" s="22">
        <v>0.64083900000000005</v>
      </c>
      <c r="AD250">
        <f t="shared" si="40"/>
        <v>15.566999999999998</v>
      </c>
      <c r="AE250">
        <f t="shared" si="41"/>
        <v>9.9859035929999997</v>
      </c>
      <c r="AF250" s="9"/>
      <c r="AG250" s="22">
        <v>1.1085499999999999</v>
      </c>
      <c r="AH250" s="22">
        <v>138.07599999999999</v>
      </c>
      <c r="AI250" s="22">
        <v>-1.26862E-2</v>
      </c>
      <c r="AJ250" s="22">
        <v>240</v>
      </c>
      <c r="AK250" s="22">
        <v>1.1071800000000001</v>
      </c>
      <c r="AL250">
        <f t="shared" si="42"/>
        <v>12.686199999999999</v>
      </c>
      <c r="AM250">
        <f t="shared" si="43"/>
        <v>14.063287009999998</v>
      </c>
      <c r="AP250" s="9"/>
      <c r="AQ250" s="22">
        <v>0.64147900000000002</v>
      </c>
      <c r="AR250" s="22">
        <v>160.721</v>
      </c>
      <c r="AS250" s="22">
        <v>-1.5509E-2</v>
      </c>
      <c r="AT250" s="22">
        <v>240</v>
      </c>
      <c r="AU250" s="22">
        <v>0.64083900000000005</v>
      </c>
      <c r="AV250">
        <f t="shared" si="44"/>
        <v>15.509</v>
      </c>
      <c r="AW250">
        <f t="shared" si="45"/>
        <v>9.9486978110000006</v>
      </c>
      <c r="AX250" s="9"/>
      <c r="AY250" s="22">
        <v>1.1085499999999999</v>
      </c>
      <c r="AZ250" s="22">
        <v>183.58199999999999</v>
      </c>
      <c r="BA250" s="22">
        <v>-1.2805199999999999E-2</v>
      </c>
      <c r="BB250" s="22">
        <v>240</v>
      </c>
      <c r="BC250" s="22">
        <v>1.1071800000000001</v>
      </c>
      <c r="BD250">
        <f t="shared" si="46"/>
        <v>12.805199999999999</v>
      </c>
      <c r="BE250">
        <f t="shared" si="47"/>
        <v>14.195204459999998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51.6693</v>
      </c>
      <c r="I251" s="22">
        <v>-1.5450999999999999E-2</v>
      </c>
      <c r="J251" s="22">
        <v>241</v>
      </c>
      <c r="K251" s="22">
        <v>0.63583400000000001</v>
      </c>
      <c r="L251">
        <f t="shared" si="36"/>
        <v>15.450999999999999</v>
      </c>
      <c r="M251">
        <f t="shared" si="37"/>
        <v>9.8336962439999986</v>
      </c>
      <c r="N251" s="9"/>
      <c r="O251" s="22">
        <v>1.1135900000000001</v>
      </c>
      <c r="P251" s="22">
        <v>69.552099999999996</v>
      </c>
      <c r="Q251" s="22">
        <v>-1.24054E-2</v>
      </c>
      <c r="R251" s="22">
        <v>241</v>
      </c>
      <c r="S251" s="22">
        <v>1.11267</v>
      </c>
      <c r="T251">
        <f t="shared" si="38"/>
        <v>12.4054</v>
      </c>
      <c r="U251">
        <f t="shared" si="39"/>
        <v>13.814529386000002</v>
      </c>
      <c r="X251" s="9"/>
      <c r="Y251" s="22">
        <v>0.63644400000000001</v>
      </c>
      <c r="Z251" s="22">
        <v>119.11199999999999</v>
      </c>
      <c r="AA251" s="22">
        <v>-1.55701E-2</v>
      </c>
      <c r="AB251" s="22">
        <v>241</v>
      </c>
      <c r="AC251" s="22">
        <v>0.63577300000000003</v>
      </c>
      <c r="AD251">
        <f t="shared" si="40"/>
        <v>15.5701</v>
      </c>
      <c r="AE251">
        <f t="shared" si="41"/>
        <v>9.9094967244000003</v>
      </c>
      <c r="AF251" s="9"/>
      <c r="AG251" s="22">
        <v>1.1135900000000001</v>
      </c>
      <c r="AH251" s="22">
        <v>138.08600000000001</v>
      </c>
      <c r="AI251" s="22">
        <v>-1.2643400000000001E-2</v>
      </c>
      <c r="AJ251" s="22">
        <v>241</v>
      </c>
      <c r="AK251" s="22">
        <v>1.1129800000000001</v>
      </c>
      <c r="AL251">
        <f t="shared" si="42"/>
        <v>12.643400000000002</v>
      </c>
      <c r="AM251">
        <f t="shared" si="43"/>
        <v>14.079563806000003</v>
      </c>
      <c r="AP251" s="9"/>
      <c r="AQ251" s="22">
        <v>0.63644400000000001</v>
      </c>
      <c r="AR251" s="22">
        <v>160.73099999999999</v>
      </c>
      <c r="AS251" s="22">
        <v>-1.5509E-2</v>
      </c>
      <c r="AT251" s="22">
        <v>241</v>
      </c>
      <c r="AU251" s="22">
        <v>0.63583400000000001</v>
      </c>
      <c r="AV251">
        <f t="shared" si="44"/>
        <v>15.509</v>
      </c>
      <c r="AW251">
        <f t="shared" si="45"/>
        <v>9.8706099960000007</v>
      </c>
      <c r="AX251" s="9"/>
      <c r="AY251" s="22">
        <v>1.1135900000000001</v>
      </c>
      <c r="AZ251" s="22">
        <v>183.59200000000001</v>
      </c>
      <c r="BA251" s="22">
        <v>-1.27625E-2</v>
      </c>
      <c r="BB251" s="22">
        <v>241</v>
      </c>
      <c r="BC251" s="22">
        <v>1.11328</v>
      </c>
      <c r="BD251">
        <f t="shared" si="46"/>
        <v>12.762499999999999</v>
      </c>
      <c r="BE251">
        <f t="shared" si="47"/>
        <v>14.212192375000001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51.679299999999998</v>
      </c>
      <c r="I252" s="22">
        <v>-1.54602E-2</v>
      </c>
      <c r="J252" s="22">
        <v>242</v>
      </c>
      <c r="K252" s="22">
        <v>0.630768</v>
      </c>
      <c r="L252">
        <f t="shared" si="36"/>
        <v>15.4602</v>
      </c>
      <c r="M252">
        <f t="shared" si="37"/>
        <v>9.7617094218000009</v>
      </c>
      <c r="N252" s="9"/>
      <c r="O252" s="22">
        <v>1.1186199999999999</v>
      </c>
      <c r="P252" s="22">
        <v>69.562200000000004</v>
      </c>
      <c r="Q252" s="22">
        <v>-1.2362700000000001E-2</v>
      </c>
      <c r="R252" s="22">
        <v>242</v>
      </c>
      <c r="S252" s="22">
        <v>1.11755</v>
      </c>
      <c r="T252">
        <f t="shared" si="38"/>
        <v>12.3627</v>
      </c>
      <c r="U252">
        <f t="shared" si="39"/>
        <v>13.829163474</v>
      </c>
      <c r="X252" s="9"/>
      <c r="Y252" s="22">
        <v>0.631409</v>
      </c>
      <c r="Z252" s="22">
        <v>119.122</v>
      </c>
      <c r="AA252" s="22">
        <v>-1.5573099999999999E-2</v>
      </c>
      <c r="AB252" s="22">
        <v>242</v>
      </c>
      <c r="AC252" s="22">
        <v>0.63082899999999997</v>
      </c>
      <c r="AD252">
        <f t="shared" si="40"/>
        <v>15.5731</v>
      </c>
      <c r="AE252">
        <f t="shared" si="41"/>
        <v>9.8329954979000007</v>
      </c>
      <c r="AF252" s="9"/>
      <c r="AG252" s="22">
        <v>1.1186199999999999</v>
      </c>
      <c r="AH252" s="22">
        <v>138.096</v>
      </c>
      <c r="AI252" s="22">
        <v>-1.26068E-2</v>
      </c>
      <c r="AJ252" s="22">
        <v>242</v>
      </c>
      <c r="AK252" s="22">
        <v>1.11755</v>
      </c>
      <c r="AL252">
        <f t="shared" si="42"/>
        <v>12.6068</v>
      </c>
      <c r="AM252">
        <f t="shared" si="43"/>
        <v>14.102218615999998</v>
      </c>
      <c r="AP252" s="9"/>
      <c r="AQ252" s="22">
        <v>0.631409</v>
      </c>
      <c r="AR252" s="22">
        <v>160.74100000000001</v>
      </c>
      <c r="AS252" s="22">
        <v>-1.5509E-2</v>
      </c>
      <c r="AT252" s="22">
        <v>242</v>
      </c>
      <c r="AU252" s="22">
        <v>0.63082899999999997</v>
      </c>
      <c r="AV252">
        <f t="shared" si="44"/>
        <v>15.509</v>
      </c>
      <c r="AW252">
        <f t="shared" si="45"/>
        <v>9.7925221810000007</v>
      </c>
      <c r="AX252" s="9"/>
      <c r="AY252" s="22">
        <v>1.1186199999999999</v>
      </c>
      <c r="AZ252" s="22">
        <v>183.602</v>
      </c>
      <c r="BA252" s="22">
        <v>-1.2722799999999999E-2</v>
      </c>
      <c r="BB252" s="22">
        <v>242</v>
      </c>
      <c r="BC252" s="22">
        <v>1.11755</v>
      </c>
      <c r="BD252">
        <f t="shared" si="46"/>
        <v>12.722799999999999</v>
      </c>
      <c r="BE252">
        <f t="shared" si="47"/>
        <v>14.231978535999998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51.689399999999999</v>
      </c>
      <c r="I253" s="22">
        <v>-1.54755E-2</v>
      </c>
      <c r="J253" s="22">
        <v>243</v>
      </c>
      <c r="K253" s="22">
        <v>0.62579300000000004</v>
      </c>
      <c r="L253">
        <f t="shared" si="36"/>
        <v>15.4755</v>
      </c>
      <c r="M253">
        <f t="shared" si="37"/>
        <v>9.6934353614999988</v>
      </c>
      <c r="N253" s="9"/>
      <c r="O253" s="22">
        <v>1.1236600000000001</v>
      </c>
      <c r="P253" s="22">
        <v>69.572199999999995</v>
      </c>
      <c r="Q253" s="22">
        <v>-1.23138E-2</v>
      </c>
      <c r="R253" s="22">
        <v>243</v>
      </c>
      <c r="S253" s="22">
        <v>1.1233500000000001</v>
      </c>
      <c r="T253">
        <f t="shared" si="38"/>
        <v>12.313800000000001</v>
      </c>
      <c r="U253">
        <f t="shared" si="39"/>
        <v>13.836524508000002</v>
      </c>
      <c r="X253" s="9"/>
      <c r="Y253" s="22">
        <v>0.62637299999999996</v>
      </c>
      <c r="Z253" s="22">
        <v>119.13200000000001</v>
      </c>
      <c r="AA253" s="22">
        <v>-1.55792E-2</v>
      </c>
      <c r="AB253" s="22">
        <v>243</v>
      </c>
      <c r="AC253" s="22">
        <v>0.62579300000000004</v>
      </c>
      <c r="AD253">
        <f t="shared" si="40"/>
        <v>15.5792</v>
      </c>
      <c r="AE253">
        <f t="shared" si="41"/>
        <v>9.758390241599999</v>
      </c>
      <c r="AF253" s="9"/>
      <c r="AG253" s="22">
        <v>1.1236600000000001</v>
      </c>
      <c r="AH253" s="22">
        <v>138.107</v>
      </c>
      <c r="AI253" s="22">
        <v>-1.2567099999999999E-2</v>
      </c>
      <c r="AJ253" s="22">
        <v>243</v>
      </c>
      <c r="AK253" s="22">
        <v>1.1224400000000001</v>
      </c>
      <c r="AL253">
        <f t="shared" si="42"/>
        <v>12.5671</v>
      </c>
      <c r="AM253">
        <f t="shared" si="43"/>
        <v>14.121147586000001</v>
      </c>
      <c r="AP253" s="9"/>
      <c r="AQ253" s="22">
        <v>0.62637299999999996</v>
      </c>
      <c r="AR253" s="22">
        <v>160.751</v>
      </c>
      <c r="AS253" s="22">
        <v>-1.55151E-2</v>
      </c>
      <c r="AT253" s="22">
        <v>243</v>
      </c>
      <c r="AU253" s="22">
        <v>0.62573199999999995</v>
      </c>
      <c r="AV253">
        <f t="shared" si="44"/>
        <v>15.5151</v>
      </c>
      <c r="AW253">
        <f t="shared" si="45"/>
        <v>9.7182397322999989</v>
      </c>
      <c r="AX253" s="9"/>
      <c r="AY253" s="22">
        <v>1.1236600000000001</v>
      </c>
      <c r="AZ253" s="22">
        <v>183.61199999999999</v>
      </c>
      <c r="BA253" s="22">
        <v>-1.26862E-2</v>
      </c>
      <c r="BB253" s="22">
        <v>243</v>
      </c>
      <c r="BC253" s="22">
        <v>1.1221300000000001</v>
      </c>
      <c r="BD253">
        <f t="shared" si="46"/>
        <v>12.686199999999999</v>
      </c>
      <c r="BE253">
        <f t="shared" si="47"/>
        <v>14.254975492000002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51.6995</v>
      </c>
      <c r="I254" s="22">
        <v>-1.5478499999999999E-2</v>
      </c>
      <c r="J254" s="22">
        <v>244</v>
      </c>
      <c r="K254" s="22">
        <v>0.62069700000000005</v>
      </c>
      <c r="L254">
        <f t="shared" si="36"/>
        <v>15.478499999999999</v>
      </c>
      <c r="M254">
        <f t="shared" si="37"/>
        <v>9.6173802329999987</v>
      </c>
      <c r="N254" s="9"/>
      <c r="O254" s="22">
        <v>1.12869</v>
      </c>
      <c r="P254" s="22">
        <v>69.582300000000004</v>
      </c>
      <c r="Q254" s="22">
        <v>-1.22711E-2</v>
      </c>
      <c r="R254" s="22">
        <v>244</v>
      </c>
      <c r="S254" s="22">
        <v>1.1282300000000001</v>
      </c>
      <c r="T254">
        <f t="shared" si="38"/>
        <v>12.271100000000001</v>
      </c>
      <c r="U254">
        <f t="shared" si="39"/>
        <v>13.850267859000001</v>
      </c>
      <c r="X254" s="9"/>
      <c r="Y254" s="22">
        <v>0.62133799999999995</v>
      </c>
      <c r="Z254" s="22">
        <v>119.142</v>
      </c>
      <c r="AA254" s="22">
        <v>-1.5588400000000001E-2</v>
      </c>
      <c r="AB254" s="22">
        <v>244</v>
      </c>
      <c r="AC254" s="22">
        <v>0.62063599999999997</v>
      </c>
      <c r="AD254">
        <f t="shared" si="40"/>
        <v>15.5884</v>
      </c>
      <c r="AE254">
        <f t="shared" si="41"/>
        <v>9.6856652791999984</v>
      </c>
      <c r="AF254" s="9"/>
      <c r="AG254" s="22">
        <v>1.12869</v>
      </c>
      <c r="AH254" s="22">
        <v>138.11699999999999</v>
      </c>
      <c r="AI254" s="22">
        <v>-1.25244E-2</v>
      </c>
      <c r="AJ254" s="22">
        <v>244</v>
      </c>
      <c r="AK254" s="22">
        <v>1.1273200000000001</v>
      </c>
      <c r="AL254">
        <f t="shared" si="42"/>
        <v>12.5244</v>
      </c>
      <c r="AM254">
        <f t="shared" si="43"/>
        <v>14.136165036</v>
      </c>
      <c r="AP254" s="9"/>
      <c r="AQ254" s="22">
        <v>0.62133799999999995</v>
      </c>
      <c r="AR254" s="22">
        <v>160.762</v>
      </c>
      <c r="AS254" s="22">
        <v>-1.5518199999999999E-2</v>
      </c>
      <c r="AT254" s="22">
        <v>244</v>
      </c>
      <c r="AU254" s="22">
        <v>0.62075800000000003</v>
      </c>
      <c r="AV254">
        <f t="shared" si="44"/>
        <v>15.5182</v>
      </c>
      <c r="AW254">
        <f t="shared" si="45"/>
        <v>9.6420473515999987</v>
      </c>
      <c r="AX254" s="9"/>
      <c r="AY254" s="22">
        <v>1.12869</v>
      </c>
      <c r="AZ254" s="22">
        <v>183.62200000000001</v>
      </c>
      <c r="BA254" s="22">
        <v>-1.2643400000000001E-2</v>
      </c>
      <c r="BB254" s="22">
        <v>244</v>
      </c>
      <c r="BC254" s="22">
        <v>1.1279300000000001</v>
      </c>
      <c r="BD254">
        <f t="shared" si="46"/>
        <v>12.643400000000002</v>
      </c>
      <c r="BE254">
        <f t="shared" si="47"/>
        <v>14.270479146000001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51.709499999999998</v>
      </c>
      <c r="I255" s="22">
        <v>-1.54907E-2</v>
      </c>
      <c r="J255" s="22">
        <v>245</v>
      </c>
      <c r="K255" s="22">
        <v>0.61572300000000002</v>
      </c>
      <c r="L255">
        <f t="shared" si="36"/>
        <v>15.4907</v>
      </c>
      <c r="M255">
        <f t="shared" si="37"/>
        <v>9.5469493914000001</v>
      </c>
      <c r="N255" s="9"/>
      <c r="O255" s="22">
        <v>1.1337299999999999</v>
      </c>
      <c r="P255" s="22">
        <v>69.592399999999998</v>
      </c>
      <c r="Q255" s="22">
        <v>-1.22314E-2</v>
      </c>
      <c r="R255" s="22">
        <v>245</v>
      </c>
      <c r="S255" s="22">
        <v>1.1328100000000001</v>
      </c>
      <c r="T255">
        <f t="shared" si="38"/>
        <v>12.231400000000001</v>
      </c>
      <c r="U255">
        <f t="shared" si="39"/>
        <v>13.867105122</v>
      </c>
      <c r="X255" s="9"/>
      <c r="Y255" s="22">
        <v>0.61630200000000002</v>
      </c>
      <c r="Z255" s="22">
        <v>119.152</v>
      </c>
      <c r="AA255" s="22">
        <v>-1.56036E-2</v>
      </c>
      <c r="AB255" s="22">
        <v>245</v>
      </c>
      <c r="AC255" s="22">
        <v>0.61572300000000002</v>
      </c>
      <c r="AD255">
        <f t="shared" si="40"/>
        <v>15.6036</v>
      </c>
      <c r="AE255">
        <f t="shared" si="41"/>
        <v>9.6165298872000005</v>
      </c>
      <c r="AF255" s="9"/>
      <c r="AG255" s="22">
        <v>1.1337299999999999</v>
      </c>
      <c r="AH255" s="22">
        <v>138.12700000000001</v>
      </c>
      <c r="AI255" s="22">
        <v>-1.24756E-2</v>
      </c>
      <c r="AJ255" s="22">
        <v>245</v>
      </c>
      <c r="AK255" s="22">
        <v>1.1328100000000001</v>
      </c>
      <c r="AL255">
        <f t="shared" si="42"/>
        <v>12.4756</v>
      </c>
      <c r="AM255">
        <f t="shared" si="43"/>
        <v>14.143961987999999</v>
      </c>
      <c r="AP255" s="9"/>
      <c r="AQ255" s="22">
        <v>0.61630200000000002</v>
      </c>
      <c r="AR255" s="22">
        <v>160.77199999999999</v>
      </c>
      <c r="AS255" s="22">
        <v>-1.5533399999999999E-2</v>
      </c>
      <c r="AT255" s="22">
        <v>245</v>
      </c>
      <c r="AU255" s="22">
        <v>0.61566200000000004</v>
      </c>
      <c r="AV255">
        <f t="shared" si="44"/>
        <v>15.533399999999999</v>
      </c>
      <c r="AW255">
        <f t="shared" si="45"/>
        <v>9.5732654867999987</v>
      </c>
      <c r="AX255" s="9"/>
      <c r="AY255" s="22">
        <v>1.1337299999999999</v>
      </c>
      <c r="AZ255" s="22">
        <v>183.63300000000001</v>
      </c>
      <c r="BA255" s="22">
        <v>-1.2600699999999999E-2</v>
      </c>
      <c r="BB255" s="22">
        <v>245</v>
      </c>
      <c r="BC255" s="22">
        <v>1.1322000000000001</v>
      </c>
      <c r="BD255">
        <f t="shared" si="46"/>
        <v>12.6007</v>
      </c>
      <c r="BE255">
        <f t="shared" si="47"/>
        <v>14.285791610999999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51.7196</v>
      </c>
      <c r="I256" s="22">
        <v>-1.55029E-2</v>
      </c>
      <c r="J256" s="22">
        <v>246</v>
      </c>
      <c r="K256" s="22">
        <v>0.61074799999999996</v>
      </c>
      <c r="L256">
        <f t="shared" si="36"/>
        <v>15.5029</v>
      </c>
      <c r="M256">
        <f t="shared" si="37"/>
        <v>9.4764111743000008</v>
      </c>
      <c r="N256" s="9"/>
      <c r="O256" s="22">
        <v>1.13876</v>
      </c>
      <c r="P256" s="22">
        <v>69.602400000000003</v>
      </c>
      <c r="Q256" s="22">
        <v>-1.21887E-2</v>
      </c>
      <c r="R256" s="22">
        <v>246</v>
      </c>
      <c r="S256" s="22">
        <v>1.1379999999999999</v>
      </c>
      <c r="T256">
        <f t="shared" si="38"/>
        <v>12.188700000000001</v>
      </c>
      <c r="U256">
        <f t="shared" si="39"/>
        <v>13.880004012000001</v>
      </c>
      <c r="X256" s="9"/>
      <c r="Y256" s="22">
        <v>0.611267</v>
      </c>
      <c r="Z256" s="22">
        <v>119.16200000000001</v>
      </c>
      <c r="AA256" s="22">
        <v>-1.5609700000000001E-2</v>
      </c>
      <c r="AB256" s="22">
        <v>246</v>
      </c>
      <c r="AC256" s="22">
        <v>0.61065700000000001</v>
      </c>
      <c r="AD256">
        <f t="shared" si="40"/>
        <v>15.6097</v>
      </c>
      <c r="AE256">
        <f t="shared" si="41"/>
        <v>9.5416944898999994</v>
      </c>
      <c r="AF256" s="9"/>
      <c r="AG256" s="22">
        <v>1.13876</v>
      </c>
      <c r="AH256" s="22">
        <v>138.137</v>
      </c>
      <c r="AI256" s="22">
        <v>-1.24329E-2</v>
      </c>
      <c r="AJ256" s="22">
        <v>246</v>
      </c>
      <c r="AK256" s="22">
        <v>1.1383099999999999</v>
      </c>
      <c r="AL256">
        <f t="shared" si="42"/>
        <v>12.4329</v>
      </c>
      <c r="AM256">
        <f t="shared" si="43"/>
        <v>14.158089203999999</v>
      </c>
      <c r="AP256" s="9"/>
      <c r="AQ256" s="22">
        <v>0.611267</v>
      </c>
      <c r="AR256" s="22">
        <v>160.78200000000001</v>
      </c>
      <c r="AS256" s="22">
        <v>-1.5551799999999999E-2</v>
      </c>
      <c r="AT256" s="22">
        <v>246</v>
      </c>
      <c r="AU256" s="22">
        <v>0.61059600000000003</v>
      </c>
      <c r="AV256">
        <f t="shared" si="44"/>
        <v>15.5518</v>
      </c>
      <c r="AW256">
        <f t="shared" si="45"/>
        <v>9.5063021306</v>
      </c>
      <c r="AX256" s="9"/>
      <c r="AY256" s="22">
        <v>1.13876</v>
      </c>
      <c r="AZ256" s="22">
        <v>183.643</v>
      </c>
      <c r="BA256" s="22">
        <v>-1.25519E-2</v>
      </c>
      <c r="BB256" s="22">
        <v>246</v>
      </c>
      <c r="BC256" s="22">
        <v>1.1383099999999999</v>
      </c>
      <c r="BD256">
        <f t="shared" si="46"/>
        <v>12.5519</v>
      </c>
      <c r="BE256">
        <f t="shared" si="47"/>
        <v>14.293601643999999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51.729700000000001</v>
      </c>
      <c r="I257" s="22">
        <v>-1.5512099999999999E-2</v>
      </c>
      <c r="J257" s="22">
        <v>247</v>
      </c>
      <c r="K257" s="22">
        <v>0.60553000000000001</v>
      </c>
      <c r="L257">
        <f t="shared" si="36"/>
        <v>15.512099999999998</v>
      </c>
      <c r="M257">
        <f t="shared" si="37"/>
        <v>9.4039314071999982</v>
      </c>
      <c r="N257" s="9"/>
      <c r="O257" s="22">
        <v>1.1437999999999999</v>
      </c>
      <c r="P257" s="22">
        <v>69.612499999999997</v>
      </c>
      <c r="Q257" s="22">
        <v>-1.2146000000000001E-2</v>
      </c>
      <c r="R257" s="22">
        <v>247</v>
      </c>
      <c r="S257" s="22">
        <v>1.1425799999999999</v>
      </c>
      <c r="T257">
        <f t="shared" si="38"/>
        <v>12.146000000000001</v>
      </c>
      <c r="U257">
        <f t="shared" si="39"/>
        <v>13.892594799999999</v>
      </c>
      <c r="X257" s="9"/>
      <c r="Y257" s="22">
        <v>0.60623199999999999</v>
      </c>
      <c r="Z257" s="22">
        <v>119.172</v>
      </c>
      <c r="AA257" s="22">
        <v>-1.5615800000000001E-2</v>
      </c>
      <c r="AB257" s="22">
        <v>247</v>
      </c>
      <c r="AC257" s="22">
        <v>0.60555999999999999</v>
      </c>
      <c r="AD257">
        <f t="shared" si="40"/>
        <v>15.6158</v>
      </c>
      <c r="AE257">
        <f t="shared" si="41"/>
        <v>9.4667976655999997</v>
      </c>
      <c r="AF257" s="9"/>
      <c r="AG257" s="22">
        <v>1.1437999999999999</v>
      </c>
      <c r="AH257" s="22">
        <v>138.14699999999999</v>
      </c>
      <c r="AI257" s="22">
        <v>-1.23932E-2</v>
      </c>
      <c r="AJ257" s="22">
        <v>247</v>
      </c>
      <c r="AK257" s="22">
        <v>1.1431899999999999</v>
      </c>
      <c r="AL257">
        <f t="shared" si="42"/>
        <v>12.3932</v>
      </c>
      <c r="AM257">
        <f t="shared" si="43"/>
        <v>14.17534216</v>
      </c>
      <c r="AP257" s="9"/>
      <c r="AQ257" s="22">
        <v>0.60623199999999999</v>
      </c>
      <c r="AR257" s="22">
        <v>160.792</v>
      </c>
      <c r="AS257" s="22">
        <v>-1.5564E-2</v>
      </c>
      <c r="AT257" s="22">
        <v>247</v>
      </c>
      <c r="AU257" s="22">
        <v>0.60553000000000001</v>
      </c>
      <c r="AV257">
        <f t="shared" si="44"/>
        <v>15.564</v>
      </c>
      <c r="AW257">
        <f t="shared" si="45"/>
        <v>9.4353948479999996</v>
      </c>
      <c r="AX257" s="9"/>
      <c r="AY257" s="22">
        <v>1.1437999999999999</v>
      </c>
      <c r="AZ257" s="22">
        <v>183.65299999999999</v>
      </c>
      <c r="BA257" s="22">
        <v>-1.25092E-2</v>
      </c>
      <c r="BB257" s="22">
        <v>247</v>
      </c>
      <c r="BC257" s="22">
        <v>1.1434899999999999</v>
      </c>
      <c r="BD257">
        <f t="shared" si="46"/>
        <v>12.5092</v>
      </c>
      <c r="BE257">
        <f t="shared" si="47"/>
        <v>14.308022959999999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51.739699999999999</v>
      </c>
      <c r="I258" s="22">
        <v>-1.55243E-2</v>
      </c>
      <c r="J258" s="22">
        <v>248</v>
      </c>
      <c r="K258" s="22">
        <v>0.60061600000000004</v>
      </c>
      <c r="L258">
        <f t="shared" si="36"/>
        <v>15.5243</v>
      </c>
      <c r="M258">
        <f t="shared" si="37"/>
        <v>9.3331470628000002</v>
      </c>
      <c r="N258" s="9"/>
      <c r="O258" s="22">
        <v>1.14883</v>
      </c>
      <c r="P258" s="22">
        <v>69.622600000000006</v>
      </c>
      <c r="Q258" s="22">
        <v>-1.2097200000000001E-2</v>
      </c>
      <c r="R258" s="22">
        <v>248</v>
      </c>
      <c r="S258" s="22">
        <v>1.14838</v>
      </c>
      <c r="T258">
        <f t="shared" si="38"/>
        <v>12.097200000000001</v>
      </c>
      <c r="U258">
        <f t="shared" si="39"/>
        <v>13.897626276</v>
      </c>
      <c r="X258" s="9"/>
      <c r="Y258" s="22">
        <v>0.60119599999999995</v>
      </c>
      <c r="Z258" s="22">
        <v>119.182</v>
      </c>
      <c r="AA258" s="22">
        <v>-1.56189E-2</v>
      </c>
      <c r="AB258" s="22">
        <v>248</v>
      </c>
      <c r="AC258" s="22">
        <v>0.60061600000000004</v>
      </c>
      <c r="AD258">
        <f t="shared" si="40"/>
        <v>15.6189</v>
      </c>
      <c r="AE258">
        <f t="shared" si="41"/>
        <v>9.390020204399999</v>
      </c>
      <c r="AF258" s="9"/>
      <c r="AG258" s="22">
        <v>1.14883</v>
      </c>
      <c r="AH258" s="22">
        <v>138.15700000000001</v>
      </c>
      <c r="AI258" s="22">
        <v>-1.2356600000000001E-2</v>
      </c>
      <c r="AJ258" s="22">
        <v>248</v>
      </c>
      <c r="AK258" s="22">
        <v>1.1480699999999999</v>
      </c>
      <c r="AL258">
        <f t="shared" si="42"/>
        <v>12.3566</v>
      </c>
      <c r="AM258">
        <f t="shared" si="43"/>
        <v>14.195632778</v>
      </c>
      <c r="AP258" s="9"/>
      <c r="AQ258" s="22">
        <v>0.60119599999999995</v>
      </c>
      <c r="AR258" s="22">
        <v>160.80199999999999</v>
      </c>
      <c r="AS258" s="22">
        <v>-1.55823E-2</v>
      </c>
      <c r="AT258" s="22">
        <v>248</v>
      </c>
      <c r="AU258" s="22">
        <v>0.60049399999999997</v>
      </c>
      <c r="AV258">
        <f t="shared" si="44"/>
        <v>15.5823</v>
      </c>
      <c r="AW258">
        <f t="shared" si="45"/>
        <v>9.3680164307999991</v>
      </c>
      <c r="AX258" s="9"/>
      <c r="AY258" s="22">
        <v>1.14883</v>
      </c>
      <c r="AZ258" s="22">
        <v>183.66300000000001</v>
      </c>
      <c r="BA258" s="22">
        <v>-1.2463399999999999E-2</v>
      </c>
      <c r="BB258" s="22">
        <v>248</v>
      </c>
      <c r="BC258" s="22">
        <v>1.1480699999999999</v>
      </c>
      <c r="BD258">
        <f t="shared" si="46"/>
        <v>12.4634</v>
      </c>
      <c r="BE258">
        <f t="shared" si="47"/>
        <v>14.318327822000001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51.7498</v>
      </c>
      <c r="I259" s="22">
        <v>-1.55304E-2</v>
      </c>
      <c r="J259" s="22">
        <v>249</v>
      </c>
      <c r="K259" s="22">
        <v>0.59548999999999996</v>
      </c>
      <c r="L259">
        <f t="shared" si="36"/>
        <v>15.5304</v>
      </c>
      <c r="M259">
        <f t="shared" si="37"/>
        <v>9.2586187944000002</v>
      </c>
      <c r="N259" s="9"/>
      <c r="O259" s="22">
        <v>1.15387</v>
      </c>
      <c r="P259" s="22">
        <v>69.6327</v>
      </c>
      <c r="Q259" s="22">
        <v>-1.20483E-2</v>
      </c>
      <c r="R259" s="22">
        <v>249</v>
      </c>
      <c r="S259" s="22">
        <v>1.1529499999999999</v>
      </c>
      <c r="T259">
        <f t="shared" si="38"/>
        <v>12.048299999999999</v>
      </c>
      <c r="U259">
        <f t="shared" si="39"/>
        <v>13.902171920999999</v>
      </c>
      <c r="X259" s="9"/>
      <c r="Y259" s="22">
        <v>0.59616100000000005</v>
      </c>
      <c r="Z259" s="22">
        <v>119.19199999999999</v>
      </c>
      <c r="AA259" s="22">
        <v>-1.5615800000000001E-2</v>
      </c>
      <c r="AB259" s="22">
        <v>249</v>
      </c>
      <c r="AC259" s="22">
        <v>0.59552000000000005</v>
      </c>
      <c r="AD259">
        <f t="shared" si="40"/>
        <v>15.6158</v>
      </c>
      <c r="AE259">
        <f t="shared" si="41"/>
        <v>9.3095309438000005</v>
      </c>
      <c r="AF259" s="9"/>
      <c r="AG259" s="22">
        <v>1.15387</v>
      </c>
      <c r="AH259" s="22">
        <v>138.167</v>
      </c>
      <c r="AI259" s="22">
        <v>-1.23138E-2</v>
      </c>
      <c r="AJ259" s="22">
        <v>249</v>
      </c>
      <c r="AK259" s="22">
        <v>1.15265</v>
      </c>
      <c r="AL259">
        <f t="shared" si="42"/>
        <v>12.313800000000001</v>
      </c>
      <c r="AM259">
        <f t="shared" si="43"/>
        <v>14.208524406</v>
      </c>
      <c r="AP259" s="9"/>
      <c r="AQ259" s="22">
        <v>0.59616100000000005</v>
      </c>
      <c r="AR259" s="22">
        <v>160.81200000000001</v>
      </c>
      <c r="AS259" s="22">
        <v>-1.5588400000000001E-2</v>
      </c>
      <c r="AT259" s="22">
        <v>249</v>
      </c>
      <c r="AU259" s="22">
        <v>0.59545899999999996</v>
      </c>
      <c r="AV259">
        <f t="shared" si="44"/>
        <v>15.5884</v>
      </c>
      <c r="AW259">
        <f t="shared" si="45"/>
        <v>9.2931961324000003</v>
      </c>
      <c r="AX259" s="9"/>
      <c r="AY259" s="22">
        <v>1.15387</v>
      </c>
      <c r="AZ259" s="22">
        <v>183.673</v>
      </c>
      <c r="BA259" s="22">
        <v>-1.24207E-2</v>
      </c>
      <c r="BB259" s="22">
        <v>249</v>
      </c>
      <c r="BC259" s="22">
        <v>1.15265</v>
      </c>
      <c r="BD259">
        <f t="shared" si="46"/>
        <v>12.4207</v>
      </c>
      <c r="BE259">
        <f t="shared" si="47"/>
        <v>14.331873109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51.759900000000002</v>
      </c>
      <c r="I260" s="22">
        <v>-1.55426E-2</v>
      </c>
      <c r="J260" s="22">
        <v>250</v>
      </c>
      <c r="K260" s="22">
        <v>0.59051500000000001</v>
      </c>
      <c r="L260">
        <f t="shared" si="36"/>
        <v>15.5426</v>
      </c>
      <c r="M260">
        <f t="shared" si="37"/>
        <v>9.1876194250000012</v>
      </c>
      <c r="N260" s="9"/>
      <c r="O260" s="22">
        <v>1.1589100000000001</v>
      </c>
      <c r="P260" s="22">
        <v>69.642700000000005</v>
      </c>
      <c r="Q260" s="22">
        <v>-1.19995E-2</v>
      </c>
      <c r="R260" s="22">
        <v>250</v>
      </c>
      <c r="S260" s="22">
        <v>1.15845</v>
      </c>
      <c r="T260">
        <f t="shared" si="38"/>
        <v>11.999499999999999</v>
      </c>
      <c r="U260">
        <f t="shared" si="39"/>
        <v>13.906340545000001</v>
      </c>
      <c r="X260" s="9"/>
      <c r="Y260" s="22">
        <v>0.59112500000000001</v>
      </c>
      <c r="Z260" s="22">
        <v>119.202</v>
      </c>
      <c r="AA260" s="22">
        <v>-1.5625E-2</v>
      </c>
      <c r="AB260" s="22">
        <v>250</v>
      </c>
      <c r="AC260" s="22">
        <v>0.59042399999999995</v>
      </c>
      <c r="AD260">
        <f t="shared" si="40"/>
        <v>15.625</v>
      </c>
      <c r="AE260">
        <f t="shared" si="41"/>
        <v>9.236328125</v>
      </c>
      <c r="AF260" s="9"/>
      <c r="AG260" s="22">
        <v>1.1589100000000001</v>
      </c>
      <c r="AH260" s="22">
        <v>138.17699999999999</v>
      </c>
      <c r="AI260" s="22">
        <v>-1.2265E-2</v>
      </c>
      <c r="AJ260" s="22">
        <v>250</v>
      </c>
      <c r="AK260" s="22">
        <v>1.1581399999999999</v>
      </c>
      <c r="AL260">
        <f t="shared" si="42"/>
        <v>12.265000000000001</v>
      </c>
      <c r="AM260">
        <f t="shared" si="43"/>
        <v>14.214031150000002</v>
      </c>
      <c r="AP260" s="9"/>
      <c r="AQ260" s="22">
        <v>0.59112500000000001</v>
      </c>
      <c r="AR260" s="22">
        <v>160.822</v>
      </c>
      <c r="AS260" s="22">
        <v>-1.5588400000000001E-2</v>
      </c>
      <c r="AT260" s="22">
        <v>250</v>
      </c>
      <c r="AU260" s="22">
        <v>0.59048500000000004</v>
      </c>
      <c r="AV260">
        <f t="shared" si="44"/>
        <v>15.5884</v>
      </c>
      <c r="AW260">
        <f t="shared" si="45"/>
        <v>9.2146929499999999</v>
      </c>
      <c r="AX260" s="9"/>
      <c r="AY260" s="22">
        <v>1.1589100000000001</v>
      </c>
      <c r="AZ260" s="22">
        <v>183.68299999999999</v>
      </c>
      <c r="BA260" s="22">
        <v>-1.2377900000000001E-2</v>
      </c>
      <c r="BB260" s="22">
        <v>250</v>
      </c>
      <c r="BC260" s="22">
        <v>1.1581399999999999</v>
      </c>
      <c r="BD260">
        <f t="shared" si="46"/>
        <v>12.3779</v>
      </c>
      <c r="BE260">
        <f t="shared" si="47"/>
        <v>14.344872089000003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51.77</v>
      </c>
      <c r="I261" s="22">
        <v>-1.5551799999999999E-2</v>
      </c>
      <c r="J261" s="22">
        <v>251</v>
      </c>
      <c r="K261" s="22">
        <v>0.58548</v>
      </c>
      <c r="L261">
        <f t="shared" si="36"/>
        <v>15.5518</v>
      </c>
      <c r="M261">
        <f t="shared" si="37"/>
        <v>9.1147544620000005</v>
      </c>
      <c r="N261" s="9"/>
      <c r="O261" s="22">
        <v>1.16394</v>
      </c>
      <c r="P261" s="22">
        <v>69.652799999999999</v>
      </c>
      <c r="Q261" s="22">
        <v>-1.1953699999999999E-2</v>
      </c>
      <c r="R261" s="22">
        <v>251</v>
      </c>
      <c r="S261" s="22">
        <v>1.1630199999999999</v>
      </c>
      <c r="T261">
        <f t="shared" si="38"/>
        <v>11.9537</v>
      </c>
      <c r="U261">
        <f t="shared" si="39"/>
        <v>13.913389577999999</v>
      </c>
      <c r="X261" s="9"/>
      <c r="Y261" s="22">
        <v>0.58609</v>
      </c>
      <c r="Z261" s="22">
        <v>119.212</v>
      </c>
      <c r="AA261" s="22">
        <v>-1.56372E-2</v>
      </c>
      <c r="AB261" s="22">
        <v>251</v>
      </c>
      <c r="AC261" s="22">
        <v>0.58560199999999996</v>
      </c>
      <c r="AD261">
        <f t="shared" si="40"/>
        <v>15.6372</v>
      </c>
      <c r="AE261">
        <f t="shared" si="41"/>
        <v>9.1648065479999996</v>
      </c>
      <c r="AF261" s="9"/>
      <c r="AG261" s="22">
        <v>1.16394</v>
      </c>
      <c r="AH261" s="22">
        <v>138.18700000000001</v>
      </c>
      <c r="AI261" s="22">
        <v>-1.2213099999999999E-2</v>
      </c>
      <c r="AJ261" s="22">
        <v>251</v>
      </c>
      <c r="AK261" s="22">
        <v>1.1630199999999999</v>
      </c>
      <c r="AL261">
        <f t="shared" si="42"/>
        <v>12.213099999999999</v>
      </c>
      <c r="AM261">
        <f t="shared" si="43"/>
        <v>14.215315613999998</v>
      </c>
      <c r="AP261" s="9"/>
      <c r="AQ261" s="22">
        <v>0.58609</v>
      </c>
      <c r="AR261" s="22">
        <v>160.83199999999999</v>
      </c>
      <c r="AS261" s="22">
        <v>-1.5588400000000001E-2</v>
      </c>
      <c r="AT261" s="22">
        <v>251</v>
      </c>
      <c r="AU261" s="22">
        <v>0.58548</v>
      </c>
      <c r="AV261">
        <f t="shared" si="44"/>
        <v>15.5884</v>
      </c>
      <c r="AW261">
        <f t="shared" si="45"/>
        <v>9.1362053559999996</v>
      </c>
      <c r="AX261" s="9"/>
      <c r="AY261" s="22">
        <v>1.16394</v>
      </c>
      <c r="AZ261" s="22">
        <v>183.69300000000001</v>
      </c>
      <c r="BA261" s="22">
        <v>-1.2329100000000001E-2</v>
      </c>
      <c r="BB261" s="22">
        <v>251</v>
      </c>
      <c r="BC261" s="22">
        <v>1.16333</v>
      </c>
      <c r="BD261">
        <f t="shared" si="46"/>
        <v>12.3291</v>
      </c>
      <c r="BE261">
        <f t="shared" si="47"/>
        <v>14.350332654000001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51.78</v>
      </c>
      <c r="I262" s="22">
        <v>-1.5564E-2</v>
      </c>
      <c r="J262" s="22">
        <v>252</v>
      </c>
      <c r="K262" s="22">
        <v>0.58035300000000001</v>
      </c>
      <c r="L262">
        <f t="shared" si="36"/>
        <v>15.564</v>
      </c>
      <c r="M262">
        <f t="shared" si="37"/>
        <v>9.04354002</v>
      </c>
      <c r="N262" s="9"/>
      <c r="O262" s="22">
        <v>1.1689799999999999</v>
      </c>
      <c r="P262" s="22">
        <v>69.662899999999993</v>
      </c>
      <c r="Q262" s="22">
        <v>-1.19049E-2</v>
      </c>
      <c r="R262" s="22">
        <v>252</v>
      </c>
      <c r="S262" s="22">
        <v>1.16852</v>
      </c>
      <c r="T262">
        <f t="shared" si="38"/>
        <v>11.9049</v>
      </c>
      <c r="U262">
        <f t="shared" si="39"/>
        <v>13.916590001999998</v>
      </c>
      <c r="X262" s="9"/>
      <c r="Y262" s="22">
        <v>0.58105499999999999</v>
      </c>
      <c r="Z262" s="22">
        <v>119.22199999999999</v>
      </c>
      <c r="AA262" s="22">
        <v>-1.5649400000000001E-2</v>
      </c>
      <c r="AB262" s="22">
        <v>252</v>
      </c>
      <c r="AC262" s="22">
        <v>0.58038299999999998</v>
      </c>
      <c r="AD262">
        <f t="shared" si="40"/>
        <v>15.6494</v>
      </c>
      <c r="AE262">
        <f t="shared" si="41"/>
        <v>9.0931621170000003</v>
      </c>
      <c r="AF262" s="9"/>
      <c r="AG262" s="22">
        <v>1.1689799999999999</v>
      </c>
      <c r="AH262" s="22">
        <v>138.197</v>
      </c>
      <c r="AI262" s="22">
        <v>-1.21613E-2</v>
      </c>
      <c r="AJ262" s="22">
        <v>252</v>
      </c>
      <c r="AK262" s="22">
        <v>1.16821</v>
      </c>
      <c r="AL262">
        <f t="shared" si="42"/>
        <v>12.161300000000001</v>
      </c>
      <c r="AM262">
        <f t="shared" si="43"/>
        <v>14.216316473999999</v>
      </c>
      <c r="AP262" s="9"/>
      <c r="AQ262" s="22">
        <v>0.58105499999999999</v>
      </c>
      <c r="AR262" s="22">
        <v>160.84200000000001</v>
      </c>
      <c r="AS262" s="22">
        <v>-1.56036E-2</v>
      </c>
      <c r="AT262" s="22">
        <v>252</v>
      </c>
      <c r="AU262" s="22">
        <v>0.58041399999999999</v>
      </c>
      <c r="AV262">
        <f t="shared" si="44"/>
        <v>15.6036</v>
      </c>
      <c r="AW262">
        <f t="shared" si="45"/>
        <v>9.0665497980000005</v>
      </c>
      <c r="AX262" s="9"/>
      <c r="AY262" s="22">
        <v>1.1689799999999999</v>
      </c>
      <c r="AZ262" s="22">
        <v>183.703</v>
      </c>
      <c r="BA262" s="22">
        <v>-1.22772E-2</v>
      </c>
      <c r="BB262" s="22">
        <v>252</v>
      </c>
      <c r="BC262" s="22">
        <v>1.16821</v>
      </c>
      <c r="BD262">
        <f t="shared" si="46"/>
        <v>12.277200000000001</v>
      </c>
      <c r="BE262">
        <f t="shared" si="47"/>
        <v>14.351801256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51.790100000000002</v>
      </c>
      <c r="I263" s="22">
        <v>-1.55823E-2</v>
      </c>
      <c r="J263" s="22">
        <v>253</v>
      </c>
      <c r="K263" s="22">
        <v>0.57540899999999995</v>
      </c>
      <c r="L263">
        <f t="shared" si="36"/>
        <v>15.5823</v>
      </c>
      <c r="M263">
        <f t="shared" si="37"/>
        <v>8.9757008636999984</v>
      </c>
      <c r="N263" s="9"/>
      <c r="O263" s="22">
        <v>1.17401</v>
      </c>
      <c r="P263" s="22">
        <v>69.672899999999998</v>
      </c>
      <c r="Q263" s="22">
        <v>-1.1853000000000001E-2</v>
      </c>
      <c r="R263" s="22">
        <v>253</v>
      </c>
      <c r="S263" s="22">
        <v>1.1734</v>
      </c>
      <c r="T263">
        <f t="shared" si="38"/>
        <v>11.853000000000002</v>
      </c>
      <c r="U263">
        <f t="shared" si="39"/>
        <v>13.915540530000001</v>
      </c>
      <c r="X263" s="9"/>
      <c r="Y263" s="22">
        <v>0.57601899999999995</v>
      </c>
      <c r="Z263" s="22">
        <v>119.232</v>
      </c>
      <c r="AA263" s="22">
        <v>-1.5655499999999999E-2</v>
      </c>
      <c r="AB263" s="22">
        <v>253</v>
      </c>
      <c r="AC263" s="22">
        <v>0.57531699999999997</v>
      </c>
      <c r="AD263">
        <f t="shared" si="40"/>
        <v>15.6555</v>
      </c>
      <c r="AE263">
        <f t="shared" si="41"/>
        <v>9.017865454499999</v>
      </c>
      <c r="AF263" s="9"/>
      <c r="AG263" s="22">
        <v>1.17401</v>
      </c>
      <c r="AH263" s="22">
        <v>138.20699999999999</v>
      </c>
      <c r="AI263" s="22">
        <v>-1.21155E-2</v>
      </c>
      <c r="AJ263" s="22">
        <v>253</v>
      </c>
      <c r="AK263" s="22">
        <v>1.1731</v>
      </c>
      <c r="AL263">
        <f t="shared" si="42"/>
        <v>12.115499999999999</v>
      </c>
      <c r="AM263">
        <f t="shared" si="43"/>
        <v>14.223718154999998</v>
      </c>
      <c r="AP263" s="9"/>
      <c r="AQ263" s="22">
        <v>0.57601899999999995</v>
      </c>
      <c r="AR263" s="22">
        <v>160.852</v>
      </c>
      <c r="AS263" s="22">
        <v>-1.56189E-2</v>
      </c>
      <c r="AT263" s="22">
        <v>253</v>
      </c>
      <c r="AU263" s="22">
        <v>0.57543900000000003</v>
      </c>
      <c r="AV263">
        <f t="shared" si="44"/>
        <v>15.6189</v>
      </c>
      <c r="AW263">
        <f t="shared" si="45"/>
        <v>8.9967831590999996</v>
      </c>
      <c r="AX263" s="9"/>
      <c r="AY263" s="22">
        <v>1.17401</v>
      </c>
      <c r="AZ263" s="22">
        <v>183.71299999999999</v>
      </c>
      <c r="BA263" s="22">
        <v>-1.22314E-2</v>
      </c>
      <c r="BB263" s="22">
        <v>253</v>
      </c>
      <c r="BC263" s="22">
        <v>1.1734</v>
      </c>
      <c r="BD263">
        <f t="shared" si="46"/>
        <v>12.231400000000001</v>
      </c>
      <c r="BE263">
        <f t="shared" si="47"/>
        <v>14.359785914000001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51.800199999999997</v>
      </c>
      <c r="I264" s="22">
        <v>-1.55914E-2</v>
      </c>
      <c r="J264" s="22">
        <v>254</v>
      </c>
      <c r="K264" s="22">
        <v>0.57031299999999996</v>
      </c>
      <c r="L264">
        <f t="shared" si="36"/>
        <v>15.5914</v>
      </c>
      <c r="M264">
        <f t="shared" si="37"/>
        <v>8.9024399376000005</v>
      </c>
      <c r="N264" s="9"/>
      <c r="O264" s="22">
        <v>1.1790499999999999</v>
      </c>
      <c r="P264" s="22">
        <v>69.683000000000007</v>
      </c>
      <c r="Q264" s="22">
        <v>-1.1804200000000001E-2</v>
      </c>
      <c r="R264" s="22">
        <v>254</v>
      </c>
      <c r="S264" s="22">
        <v>1.17828</v>
      </c>
      <c r="T264">
        <f t="shared" si="38"/>
        <v>11.804200000000002</v>
      </c>
      <c r="U264">
        <f t="shared" si="39"/>
        <v>13.917742010000001</v>
      </c>
      <c r="X264" s="9"/>
      <c r="Y264" s="22">
        <v>0.57098400000000005</v>
      </c>
      <c r="Z264" s="22">
        <v>119.242</v>
      </c>
      <c r="AA264" s="22">
        <v>-1.56647E-2</v>
      </c>
      <c r="AB264" s="22">
        <v>254</v>
      </c>
      <c r="AC264" s="22">
        <v>0.57037400000000005</v>
      </c>
      <c r="AD264">
        <f t="shared" si="40"/>
        <v>15.6647</v>
      </c>
      <c r="AE264">
        <f t="shared" si="41"/>
        <v>8.9442930648000001</v>
      </c>
      <c r="AF264" s="9"/>
      <c r="AG264" s="22">
        <v>1.1790499999999999</v>
      </c>
      <c r="AH264" s="22">
        <v>138.21700000000001</v>
      </c>
      <c r="AI264" s="22">
        <v>-1.20667E-2</v>
      </c>
      <c r="AJ264" s="22">
        <v>254</v>
      </c>
      <c r="AK264" s="22">
        <v>1.17828</v>
      </c>
      <c r="AL264">
        <f t="shared" si="42"/>
        <v>12.066699999999999</v>
      </c>
      <c r="AM264">
        <f t="shared" si="43"/>
        <v>14.227242634999998</v>
      </c>
      <c r="AP264" s="9"/>
      <c r="AQ264" s="22">
        <v>0.57098400000000005</v>
      </c>
      <c r="AR264" s="22">
        <v>160.86199999999999</v>
      </c>
      <c r="AS264" s="22">
        <v>-1.5628099999999999E-2</v>
      </c>
      <c r="AT264" s="22">
        <v>254</v>
      </c>
      <c r="AU264" s="22">
        <v>0.57037400000000005</v>
      </c>
      <c r="AV264">
        <f t="shared" si="44"/>
        <v>15.628099999999998</v>
      </c>
      <c r="AW264">
        <f t="shared" si="45"/>
        <v>8.9233950503999999</v>
      </c>
      <c r="AX264" s="9"/>
      <c r="AY264" s="22">
        <v>1.1790499999999999</v>
      </c>
      <c r="AZ264" s="22">
        <v>183.72300000000001</v>
      </c>
      <c r="BA264" s="22">
        <v>-1.21887E-2</v>
      </c>
      <c r="BB264" s="22">
        <v>254</v>
      </c>
      <c r="BC264" s="22">
        <v>1.17798</v>
      </c>
      <c r="BD264">
        <f t="shared" si="46"/>
        <v>12.188700000000001</v>
      </c>
      <c r="BE264">
        <f t="shared" si="47"/>
        <v>14.371086735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51.810200000000002</v>
      </c>
      <c r="I265" s="22">
        <v>-1.5606699999999999E-2</v>
      </c>
      <c r="J265" s="22">
        <v>255</v>
      </c>
      <c r="K265" s="22">
        <v>0.56527700000000003</v>
      </c>
      <c r="L265">
        <f t="shared" si="36"/>
        <v>15.6067</v>
      </c>
      <c r="M265">
        <f t="shared" si="37"/>
        <v>8.8325806516000007</v>
      </c>
      <c r="N265" s="9"/>
      <c r="O265" s="22">
        <v>1.18408</v>
      </c>
      <c r="P265" s="22">
        <v>69.693100000000001</v>
      </c>
      <c r="Q265" s="22">
        <v>-1.1755399999999999E-2</v>
      </c>
      <c r="R265" s="22">
        <v>255</v>
      </c>
      <c r="S265" s="22">
        <v>1.1831700000000001</v>
      </c>
      <c r="T265">
        <f t="shared" si="38"/>
        <v>11.7554</v>
      </c>
      <c r="U265">
        <f t="shared" si="39"/>
        <v>13.919334032</v>
      </c>
      <c r="X265" s="9"/>
      <c r="Y265" s="22">
        <v>0.56594800000000001</v>
      </c>
      <c r="Z265" s="22">
        <v>119.253</v>
      </c>
      <c r="AA265" s="22">
        <v>-1.5673800000000002E-2</v>
      </c>
      <c r="AB265" s="22">
        <v>255</v>
      </c>
      <c r="AC265" s="22">
        <v>0.56536900000000001</v>
      </c>
      <c r="AD265">
        <f t="shared" si="40"/>
        <v>15.673800000000002</v>
      </c>
      <c r="AE265">
        <f t="shared" si="41"/>
        <v>8.8705557624000004</v>
      </c>
      <c r="AF265" s="9"/>
      <c r="AG265" s="22">
        <v>1.18408</v>
      </c>
      <c r="AH265" s="22">
        <v>138.227</v>
      </c>
      <c r="AI265" s="22">
        <v>-1.2023900000000001E-2</v>
      </c>
      <c r="AJ265" s="22">
        <v>255</v>
      </c>
      <c r="AK265" s="22">
        <v>1.1831700000000001</v>
      </c>
      <c r="AL265">
        <f t="shared" si="42"/>
        <v>12.023900000000001</v>
      </c>
      <c r="AM265">
        <f t="shared" si="43"/>
        <v>14.237259512000001</v>
      </c>
      <c r="AP265" s="9"/>
      <c r="AQ265" s="22">
        <v>0.56594800000000001</v>
      </c>
      <c r="AR265" s="22">
        <v>160.87200000000001</v>
      </c>
      <c r="AS265" s="22">
        <v>-1.5646400000000001E-2</v>
      </c>
      <c r="AT265" s="22">
        <v>255</v>
      </c>
      <c r="AU265" s="22">
        <v>0.56533800000000001</v>
      </c>
      <c r="AV265">
        <f t="shared" si="44"/>
        <v>15.646400000000002</v>
      </c>
      <c r="AW265">
        <f t="shared" si="45"/>
        <v>8.8550487872000012</v>
      </c>
      <c r="AX265" s="9"/>
      <c r="AY265" s="22">
        <v>1.18408</v>
      </c>
      <c r="AZ265" s="22">
        <v>183.733</v>
      </c>
      <c r="BA265" s="22">
        <v>-1.21399E-2</v>
      </c>
      <c r="BB265" s="22">
        <v>255</v>
      </c>
      <c r="BC265" s="22">
        <v>1.18347</v>
      </c>
      <c r="BD265">
        <f t="shared" si="46"/>
        <v>12.139900000000001</v>
      </c>
      <c r="BE265">
        <f t="shared" si="47"/>
        <v>14.374612792000001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51.820300000000003</v>
      </c>
      <c r="I266" s="22">
        <v>-1.5621899999999999E-2</v>
      </c>
      <c r="J266" s="22">
        <v>256</v>
      </c>
      <c r="K266" s="22">
        <v>0.56033299999999997</v>
      </c>
      <c r="L266">
        <f t="shared" si="36"/>
        <v>15.6219</v>
      </c>
      <c r="M266">
        <f t="shared" si="37"/>
        <v>8.7625267946999994</v>
      </c>
      <c r="N266" s="9"/>
      <c r="O266" s="22">
        <v>1.18912</v>
      </c>
      <c r="P266" s="22">
        <v>69.703199999999995</v>
      </c>
      <c r="Q266" s="22">
        <v>-1.17126E-2</v>
      </c>
      <c r="R266" s="22">
        <v>256</v>
      </c>
      <c r="S266" s="22">
        <v>1.18835</v>
      </c>
      <c r="T266">
        <f t="shared" si="38"/>
        <v>11.7126</v>
      </c>
      <c r="U266">
        <f t="shared" si="39"/>
        <v>13.927686912</v>
      </c>
      <c r="X266" s="9"/>
      <c r="Y266" s="22">
        <v>0.56091299999999999</v>
      </c>
      <c r="Z266" s="22">
        <v>119.26300000000001</v>
      </c>
      <c r="AA266" s="22">
        <v>-1.5682999999999999E-2</v>
      </c>
      <c r="AB266" s="22">
        <v>256</v>
      </c>
      <c r="AC266" s="22">
        <v>0.56027199999999999</v>
      </c>
      <c r="AD266">
        <f t="shared" si="40"/>
        <v>15.683</v>
      </c>
      <c r="AE266">
        <f t="shared" si="41"/>
        <v>8.796798578999999</v>
      </c>
      <c r="AF266" s="9"/>
      <c r="AG266" s="22">
        <v>1.18912</v>
      </c>
      <c r="AH266" s="22">
        <v>138.23699999999999</v>
      </c>
      <c r="AI266" s="22">
        <v>-1.1972E-2</v>
      </c>
      <c r="AJ266" s="22">
        <v>256</v>
      </c>
      <c r="AK266" s="22">
        <v>1.1880500000000001</v>
      </c>
      <c r="AL266">
        <f t="shared" si="42"/>
        <v>11.972</v>
      </c>
      <c r="AM266">
        <f t="shared" si="43"/>
        <v>14.236144639999999</v>
      </c>
      <c r="AP266" s="9"/>
      <c r="AQ266" s="22">
        <v>0.56091299999999999</v>
      </c>
      <c r="AR266" s="22">
        <v>160.88200000000001</v>
      </c>
      <c r="AS266" s="22">
        <v>-1.5655499999999999E-2</v>
      </c>
      <c r="AT266" s="22">
        <v>256</v>
      </c>
      <c r="AU266" s="22">
        <v>0.56036399999999997</v>
      </c>
      <c r="AV266">
        <f t="shared" si="44"/>
        <v>15.6555</v>
      </c>
      <c r="AW266">
        <f t="shared" si="45"/>
        <v>8.7813734715000002</v>
      </c>
      <c r="AX266" s="9"/>
      <c r="AY266" s="22">
        <v>1.18912</v>
      </c>
      <c r="AZ266" s="22">
        <v>183.74299999999999</v>
      </c>
      <c r="BA266" s="22">
        <v>-1.2085E-2</v>
      </c>
      <c r="BB266" s="22">
        <v>256</v>
      </c>
      <c r="BC266" s="22">
        <v>1.18774</v>
      </c>
      <c r="BD266">
        <f t="shared" si="46"/>
        <v>12.085000000000001</v>
      </c>
      <c r="BE266">
        <f t="shared" si="47"/>
        <v>14.3705152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51.830399999999997</v>
      </c>
      <c r="I267" s="22">
        <v>-1.5634200000000001E-2</v>
      </c>
      <c r="J267" s="22">
        <v>257</v>
      </c>
      <c r="K267" s="22">
        <v>0.55523699999999998</v>
      </c>
      <c r="L267">
        <f t="shared" si="36"/>
        <v>15.634200000000002</v>
      </c>
      <c r="M267">
        <f t="shared" si="37"/>
        <v>8.6907078276000007</v>
      </c>
      <c r="N267" s="9"/>
      <c r="O267" s="22">
        <v>1.19415</v>
      </c>
      <c r="P267" s="22">
        <v>69.713200000000001</v>
      </c>
      <c r="Q267" s="22">
        <v>-1.1660800000000001E-2</v>
      </c>
      <c r="R267" s="22">
        <v>257</v>
      </c>
      <c r="S267" s="22">
        <v>1.19354</v>
      </c>
      <c r="T267">
        <f t="shared" si="38"/>
        <v>11.6608</v>
      </c>
      <c r="U267">
        <f t="shared" si="39"/>
        <v>13.92474432</v>
      </c>
      <c r="X267" s="9"/>
      <c r="Y267" s="22">
        <v>0.55587799999999998</v>
      </c>
      <c r="Z267" s="22">
        <v>119.273</v>
      </c>
      <c r="AA267" s="22">
        <v>-1.56921E-2</v>
      </c>
      <c r="AB267" s="22">
        <v>257</v>
      </c>
      <c r="AC267" s="22">
        <v>0.55526699999999996</v>
      </c>
      <c r="AD267">
        <f t="shared" si="40"/>
        <v>15.6921</v>
      </c>
      <c r="AE267">
        <f t="shared" si="41"/>
        <v>8.7228931638000002</v>
      </c>
      <c r="AF267" s="9"/>
      <c r="AG267" s="22">
        <v>1.19415</v>
      </c>
      <c r="AH267" s="22">
        <v>138.24799999999999</v>
      </c>
      <c r="AI267" s="22">
        <v>-1.19171E-2</v>
      </c>
      <c r="AJ267" s="22">
        <v>257</v>
      </c>
      <c r="AK267" s="22">
        <v>1.19293</v>
      </c>
      <c r="AL267">
        <f t="shared" si="42"/>
        <v>11.9171</v>
      </c>
      <c r="AM267">
        <f t="shared" si="43"/>
        <v>14.230804965000001</v>
      </c>
      <c r="AP267" s="9"/>
      <c r="AQ267" s="22">
        <v>0.55587799999999998</v>
      </c>
      <c r="AR267" s="22">
        <v>160.892</v>
      </c>
      <c r="AS267" s="22">
        <v>-1.5661600000000001E-2</v>
      </c>
      <c r="AT267" s="22">
        <v>257</v>
      </c>
      <c r="AU267" s="22">
        <v>0.55529799999999996</v>
      </c>
      <c r="AV267">
        <f t="shared" si="44"/>
        <v>15.661600000000002</v>
      </c>
      <c r="AW267">
        <f t="shared" si="45"/>
        <v>8.7059388848000001</v>
      </c>
      <c r="AX267" s="9"/>
      <c r="AY267" s="22">
        <v>1.19415</v>
      </c>
      <c r="AZ267" s="22">
        <v>183.75299999999999</v>
      </c>
      <c r="BA267" s="22">
        <v>-1.2030000000000001E-2</v>
      </c>
      <c r="BB267" s="22">
        <v>257</v>
      </c>
      <c r="BC267" s="22">
        <v>1.19293</v>
      </c>
      <c r="BD267">
        <f t="shared" si="46"/>
        <v>12.030000000000001</v>
      </c>
      <c r="BE267">
        <f t="shared" si="47"/>
        <v>14.365624500000003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51.840499999999999</v>
      </c>
      <c r="I268" s="22">
        <v>-1.5649400000000001E-2</v>
      </c>
      <c r="J268" s="22">
        <v>258</v>
      </c>
      <c r="K268" s="22">
        <v>0.55017099999999997</v>
      </c>
      <c r="L268">
        <f t="shared" ref="L268:L331" si="48">-I268/$F$2*1000</f>
        <v>15.6494</v>
      </c>
      <c r="M268">
        <f t="shared" ref="M268:M331" si="49">L268*G268</f>
        <v>8.6203467948000014</v>
      </c>
      <c r="N268" s="9"/>
      <c r="O268" s="22">
        <v>1.19919</v>
      </c>
      <c r="P268" s="22">
        <v>69.723299999999995</v>
      </c>
      <c r="Q268" s="22">
        <v>-1.16089E-2</v>
      </c>
      <c r="R268" s="22">
        <v>258</v>
      </c>
      <c r="S268" s="22">
        <v>1.1984300000000001</v>
      </c>
      <c r="T268">
        <f t="shared" ref="T268:T331" si="50">-Q268/$F$2*1000</f>
        <v>11.6089</v>
      </c>
      <c r="U268">
        <f t="shared" ref="U268:U331" si="51">T268*O268</f>
        <v>13.921276791</v>
      </c>
      <c r="X268" s="9"/>
      <c r="Y268" s="22">
        <v>0.55084200000000005</v>
      </c>
      <c r="Z268" s="22">
        <v>119.283</v>
      </c>
      <c r="AA268" s="22">
        <v>-1.5698199999999999E-2</v>
      </c>
      <c r="AB268" s="22">
        <v>258</v>
      </c>
      <c r="AC268" s="22">
        <v>0.55013999999999996</v>
      </c>
      <c r="AD268">
        <f t="shared" ref="AD268:AD331" si="52">-AA268/$F$2*1000</f>
        <v>15.698199999999998</v>
      </c>
      <c r="AE268">
        <f t="shared" ref="AE268:AE331" si="53">AD268*Y268</f>
        <v>8.6472278843999995</v>
      </c>
      <c r="AF268" s="9"/>
      <c r="AG268" s="22">
        <v>1.19919</v>
      </c>
      <c r="AH268" s="22">
        <v>138.25800000000001</v>
      </c>
      <c r="AI268" s="22">
        <v>-1.18683E-2</v>
      </c>
      <c r="AJ268" s="22">
        <v>258</v>
      </c>
      <c r="AK268" s="22">
        <v>1.1981200000000001</v>
      </c>
      <c r="AL268">
        <f t="shared" ref="AL268:AL331" si="54">-AI268/$F$2*1000</f>
        <v>11.8683</v>
      </c>
      <c r="AM268">
        <f t="shared" ref="AM268:AM331" si="55">AL268*AG268</f>
        <v>14.232346676999999</v>
      </c>
      <c r="AP268" s="9"/>
      <c r="AQ268" s="22">
        <v>0.55084200000000005</v>
      </c>
      <c r="AR268" s="22">
        <v>160.90299999999999</v>
      </c>
      <c r="AS268" s="22">
        <v>-1.5673800000000002E-2</v>
      </c>
      <c r="AT268" s="22">
        <v>258</v>
      </c>
      <c r="AU268" s="22">
        <v>0.55029300000000003</v>
      </c>
      <c r="AV268">
        <f t="shared" ref="AV268:AV331" si="56">-AS268/$F$2*1000</f>
        <v>15.673800000000002</v>
      </c>
      <c r="AW268">
        <f t="shared" ref="AW268:AW331" si="57">AV268*AQ268</f>
        <v>8.6337873396000013</v>
      </c>
      <c r="AX268" s="9"/>
      <c r="AY268" s="22">
        <v>1.19919</v>
      </c>
      <c r="AZ268" s="22">
        <v>183.76300000000001</v>
      </c>
      <c r="BA268" s="22">
        <v>-1.19781E-2</v>
      </c>
      <c r="BB268" s="22">
        <v>258</v>
      </c>
      <c r="BC268" s="22">
        <v>1.1984300000000001</v>
      </c>
      <c r="BD268">
        <f t="shared" ref="BD268:BD331" si="58">-BA268/$F$2*1000</f>
        <v>11.9781</v>
      </c>
      <c r="BE268">
        <f t="shared" ref="BE268:BE331" si="59">BD268*AY268</f>
        <v>14.364017738999999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51.850499999999997</v>
      </c>
      <c r="I269" s="22">
        <v>-1.5658600000000002E-2</v>
      </c>
      <c r="J269" s="22">
        <v>259</v>
      </c>
      <c r="K269" s="22">
        <v>0.54513500000000004</v>
      </c>
      <c r="L269">
        <f t="shared" si="48"/>
        <v>15.658600000000002</v>
      </c>
      <c r="M269">
        <f t="shared" si="49"/>
        <v>8.5465734902000019</v>
      </c>
      <c r="N269" s="9"/>
      <c r="O269" s="22">
        <v>1.2042200000000001</v>
      </c>
      <c r="P269" s="22">
        <v>69.733400000000003</v>
      </c>
      <c r="Q269" s="22">
        <v>-1.1554E-2</v>
      </c>
      <c r="R269" s="22">
        <v>259</v>
      </c>
      <c r="S269" s="22">
        <v>1.2033100000000001</v>
      </c>
      <c r="T269">
        <f t="shared" si="50"/>
        <v>11.554</v>
      </c>
      <c r="U269">
        <f t="shared" si="51"/>
        <v>13.913557880000001</v>
      </c>
      <c r="X269" s="9"/>
      <c r="Y269" s="22">
        <v>0.54580700000000004</v>
      </c>
      <c r="Z269" s="22">
        <v>119.29300000000001</v>
      </c>
      <c r="AA269" s="22">
        <v>-1.57074E-2</v>
      </c>
      <c r="AB269" s="22">
        <v>259</v>
      </c>
      <c r="AC269" s="22">
        <v>0.54519700000000004</v>
      </c>
      <c r="AD269">
        <f t="shared" si="52"/>
        <v>15.7074</v>
      </c>
      <c r="AE269">
        <f t="shared" si="53"/>
        <v>8.5732088718000004</v>
      </c>
      <c r="AF269" s="9"/>
      <c r="AG269" s="22">
        <v>1.2042200000000001</v>
      </c>
      <c r="AH269" s="22">
        <v>138.268</v>
      </c>
      <c r="AI269" s="22">
        <v>-1.1816399999999999E-2</v>
      </c>
      <c r="AJ269" s="22">
        <v>259</v>
      </c>
      <c r="AK269" s="22">
        <v>1.2030000000000001</v>
      </c>
      <c r="AL269">
        <f t="shared" si="54"/>
        <v>11.8164</v>
      </c>
      <c r="AM269">
        <f t="shared" si="55"/>
        <v>14.229545208000001</v>
      </c>
      <c r="AP269" s="9"/>
      <c r="AQ269" s="22">
        <v>0.54580700000000004</v>
      </c>
      <c r="AR269" s="22">
        <v>160.91300000000001</v>
      </c>
      <c r="AS269" s="22">
        <v>-1.5676900000000001E-2</v>
      </c>
      <c r="AT269" s="22">
        <v>259</v>
      </c>
      <c r="AU269" s="22">
        <v>0.54513500000000004</v>
      </c>
      <c r="AV269">
        <f t="shared" si="56"/>
        <v>15.6769</v>
      </c>
      <c r="AW269">
        <f t="shared" si="57"/>
        <v>8.5565617583000009</v>
      </c>
      <c r="AX269" s="9"/>
      <c r="AY269" s="22">
        <v>1.2042200000000001</v>
      </c>
      <c r="AZ269" s="22">
        <v>183.774</v>
      </c>
      <c r="BA269" s="22">
        <v>-1.19293E-2</v>
      </c>
      <c r="BB269" s="22">
        <v>259</v>
      </c>
      <c r="BC269" s="22">
        <v>1.2033100000000001</v>
      </c>
      <c r="BD269">
        <f t="shared" si="58"/>
        <v>11.9293</v>
      </c>
      <c r="BE269">
        <f t="shared" si="59"/>
        <v>14.365501646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51.860599999999998</v>
      </c>
      <c r="I270" s="22">
        <v>-1.5661600000000001E-2</v>
      </c>
      <c r="J270" s="22">
        <v>260</v>
      </c>
      <c r="K270" s="22">
        <v>0.54007000000000005</v>
      </c>
      <c r="L270">
        <f t="shared" si="48"/>
        <v>15.661600000000002</v>
      </c>
      <c r="M270">
        <f t="shared" si="49"/>
        <v>8.4693390936000004</v>
      </c>
      <c r="N270" s="9"/>
      <c r="O270" s="22">
        <v>1.20926</v>
      </c>
      <c r="P270" s="22">
        <v>69.743399999999994</v>
      </c>
      <c r="Q270" s="22">
        <v>-1.1502099999999999E-2</v>
      </c>
      <c r="R270" s="22">
        <v>260</v>
      </c>
      <c r="S270" s="22">
        <v>1.2081900000000001</v>
      </c>
      <c r="T270">
        <f t="shared" si="50"/>
        <v>11.502099999999999</v>
      </c>
      <c r="U270">
        <f t="shared" si="51"/>
        <v>13.909029445999998</v>
      </c>
      <c r="X270" s="9"/>
      <c r="Y270" s="22">
        <v>0.540771</v>
      </c>
      <c r="Z270" s="22">
        <v>119.303</v>
      </c>
      <c r="AA270" s="22">
        <v>-1.5713499999999998E-2</v>
      </c>
      <c r="AB270" s="22">
        <v>260</v>
      </c>
      <c r="AC270" s="22">
        <v>0.54007000000000005</v>
      </c>
      <c r="AD270">
        <f t="shared" si="52"/>
        <v>15.713499999999998</v>
      </c>
      <c r="AE270">
        <f t="shared" si="53"/>
        <v>8.4974051084999989</v>
      </c>
      <c r="AF270" s="9"/>
      <c r="AG270" s="22">
        <v>1.20926</v>
      </c>
      <c r="AH270" s="22">
        <v>138.27799999999999</v>
      </c>
      <c r="AI270" s="22">
        <v>-1.1761499999999999E-2</v>
      </c>
      <c r="AJ270" s="22">
        <v>260</v>
      </c>
      <c r="AK270" s="22">
        <v>1.2081900000000001</v>
      </c>
      <c r="AL270">
        <f t="shared" si="54"/>
        <v>11.7615</v>
      </c>
      <c r="AM270">
        <f t="shared" si="55"/>
        <v>14.22271149</v>
      </c>
      <c r="AP270" s="9"/>
      <c r="AQ270" s="22">
        <v>0.540771</v>
      </c>
      <c r="AR270" s="22">
        <v>160.923</v>
      </c>
      <c r="AS270" s="22">
        <v>-1.5701300000000001E-2</v>
      </c>
      <c r="AT270" s="22">
        <v>260</v>
      </c>
      <c r="AU270" s="22">
        <v>0.54010000000000002</v>
      </c>
      <c r="AV270">
        <f t="shared" si="56"/>
        <v>15.701300000000002</v>
      </c>
      <c r="AW270">
        <f t="shared" si="57"/>
        <v>8.4908077023000015</v>
      </c>
      <c r="AX270" s="9"/>
      <c r="AY270" s="22">
        <v>1.20926</v>
      </c>
      <c r="AZ270" s="22">
        <v>183.78399999999999</v>
      </c>
      <c r="BA270" s="22">
        <v>-1.18805E-2</v>
      </c>
      <c r="BB270" s="22">
        <v>260</v>
      </c>
      <c r="BC270" s="22">
        <v>1.2081900000000001</v>
      </c>
      <c r="BD270">
        <f t="shared" si="58"/>
        <v>11.8805</v>
      </c>
      <c r="BE270">
        <f t="shared" si="59"/>
        <v>14.366613429999999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51.870699999999999</v>
      </c>
      <c r="I271" s="22">
        <v>-1.56647E-2</v>
      </c>
      <c r="J271" s="22">
        <v>261</v>
      </c>
      <c r="K271" s="22">
        <v>0.53509499999999999</v>
      </c>
      <c r="L271">
        <f t="shared" si="48"/>
        <v>15.6647</v>
      </c>
      <c r="M271">
        <f t="shared" si="49"/>
        <v>8.3921437191999999</v>
      </c>
      <c r="N271" s="9"/>
      <c r="O271" s="22">
        <v>1.2142900000000001</v>
      </c>
      <c r="P271" s="22">
        <v>69.753500000000003</v>
      </c>
      <c r="Q271" s="22">
        <v>-1.1450200000000001E-2</v>
      </c>
      <c r="R271" s="22">
        <v>261</v>
      </c>
      <c r="S271" s="22">
        <v>1.2139899999999999</v>
      </c>
      <c r="T271">
        <f t="shared" si="50"/>
        <v>11.450200000000001</v>
      </c>
      <c r="U271">
        <f t="shared" si="51"/>
        <v>13.903863358000002</v>
      </c>
      <c r="X271" s="9"/>
      <c r="Y271" s="22">
        <v>0.53573599999999999</v>
      </c>
      <c r="Z271" s="22">
        <v>119.313</v>
      </c>
      <c r="AA271" s="22">
        <v>-1.5722699999999999E-2</v>
      </c>
      <c r="AB271" s="22">
        <v>261</v>
      </c>
      <c r="AC271" s="22">
        <v>0.53506500000000001</v>
      </c>
      <c r="AD271">
        <f t="shared" si="52"/>
        <v>15.7227</v>
      </c>
      <c r="AE271">
        <f t="shared" si="53"/>
        <v>8.4232164072</v>
      </c>
      <c r="AF271" s="9"/>
      <c r="AG271" s="22">
        <v>1.2142900000000001</v>
      </c>
      <c r="AH271" s="22">
        <v>138.28800000000001</v>
      </c>
      <c r="AI271" s="22">
        <v>-1.17065E-2</v>
      </c>
      <c r="AJ271" s="22">
        <v>261</v>
      </c>
      <c r="AK271" s="22">
        <v>1.2133799999999999</v>
      </c>
      <c r="AL271">
        <f t="shared" si="54"/>
        <v>11.7065</v>
      </c>
      <c r="AM271">
        <f t="shared" si="55"/>
        <v>14.215085885000001</v>
      </c>
      <c r="AP271" s="9"/>
      <c r="AQ271" s="22">
        <v>0.53573599999999999</v>
      </c>
      <c r="AR271" s="22">
        <v>160.93299999999999</v>
      </c>
      <c r="AS271" s="22">
        <v>-1.5713499999999998E-2</v>
      </c>
      <c r="AT271" s="22">
        <v>261</v>
      </c>
      <c r="AU271" s="22">
        <v>0.53509499999999999</v>
      </c>
      <c r="AV271">
        <f t="shared" si="56"/>
        <v>15.713499999999998</v>
      </c>
      <c r="AW271">
        <f t="shared" si="57"/>
        <v>8.4182876359999987</v>
      </c>
      <c r="AX271" s="9"/>
      <c r="AY271" s="22">
        <v>1.2142900000000001</v>
      </c>
      <c r="AZ271" s="22">
        <v>183.79400000000001</v>
      </c>
      <c r="BA271" s="22">
        <v>-1.18256E-2</v>
      </c>
      <c r="BB271" s="22">
        <v>261</v>
      </c>
      <c r="BC271" s="22">
        <v>1.2133799999999999</v>
      </c>
      <c r="BD271">
        <f t="shared" si="58"/>
        <v>11.8256</v>
      </c>
      <c r="BE271">
        <f t="shared" si="59"/>
        <v>14.359707824000001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51.880699999999997</v>
      </c>
      <c r="I272" s="22">
        <v>-1.56799E-2</v>
      </c>
      <c r="J272" s="22">
        <v>262</v>
      </c>
      <c r="K272" s="22">
        <v>0.529999</v>
      </c>
      <c r="L272">
        <f t="shared" si="48"/>
        <v>15.6799</v>
      </c>
      <c r="M272">
        <f t="shared" si="49"/>
        <v>8.3213386098999997</v>
      </c>
      <c r="N272" s="9"/>
      <c r="O272" s="22">
        <v>1.21933</v>
      </c>
      <c r="P272" s="22">
        <v>69.763599999999997</v>
      </c>
      <c r="Q272" s="22">
        <v>-1.1395300000000001E-2</v>
      </c>
      <c r="R272" s="22">
        <v>262</v>
      </c>
      <c r="S272" s="22">
        <v>1.2182599999999999</v>
      </c>
      <c r="T272">
        <f t="shared" si="50"/>
        <v>11.395300000000001</v>
      </c>
      <c r="U272">
        <f t="shared" si="51"/>
        <v>13.894631149</v>
      </c>
      <c r="X272" s="9"/>
      <c r="Y272" s="22">
        <v>0.53070099999999998</v>
      </c>
      <c r="Z272" s="22">
        <v>119.32299999999999</v>
      </c>
      <c r="AA272" s="22">
        <v>-1.5731800000000001E-2</v>
      </c>
      <c r="AB272" s="22">
        <v>262</v>
      </c>
      <c r="AC272" s="22">
        <v>0.529999</v>
      </c>
      <c r="AD272">
        <f t="shared" si="52"/>
        <v>15.7318</v>
      </c>
      <c r="AE272">
        <f t="shared" si="53"/>
        <v>8.348881991799999</v>
      </c>
      <c r="AF272" s="9"/>
      <c r="AG272" s="22">
        <v>1.21933</v>
      </c>
      <c r="AH272" s="22">
        <v>138.298</v>
      </c>
      <c r="AI272" s="22">
        <v>-1.16516E-2</v>
      </c>
      <c r="AJ272" s="22">
        <v>262</v>
      </c>
      <c r="AK272" s="22">
        <v>1.2176499999999999</v>
      </c>
      <c r="AL272">
        <f t="shared" si="54"/>
        <v>11.6516</v>
      </c>
      <c r="AM272">
        <f t="shared" si="55"/>
        <v>14.207145428</v>
      </c>
      <c r="AP272" s="9"/>
      <c r="AQ272" s="22">
        <v>0.53070099999999998</v>
      </c>
      <c r="AR272" s="22">
        <v>160.94300000000001</v>
      </c>
      <c r="AS272" s="22">
        <v>-1.5731800000000001E-2</v>
      </c>
      <c r="AT272" s="22">
        <v>262</v>
      </c>
      <c r="AU272" s="22">
        <v>0.52993800000000002</v>
      </c>
      <c r="AV272">
        <f t="shared" si="56"/>
        <v>15.7318</v>
      </c>
      <c r="AW272">
        <f t="shared" si="57"/>
        <v>8.348881991799999</v>
      </c>
      <c r="AX272" s="9"/>
      <c r="AY272" s="22">
        <v>1.21933</v>
      </c>
      <c r="AZ272" s="22">
        <v>183.804</v>
      </c>
      <c r="BA272" s="22">
        <v>-1.17737E-2</v>
      </c>
      <c r="BB272" s="22">
        <v>262</v>
      </c>
      <c r="BC272" s="22">
        <v>1.2188699999999999</v>
      </c>
      <c r="BD272">
        <f t="shared" si="58"/>
        <v>11.7737</v>
      </c>
      <c r="BE272">
        <f t="shared" si="59"/>
        <v>14.356025621000001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51.890799999999999</v>
      </c>
      <c r="I273" s="22">
        <v>-1.5676900000000001E-2</v>
      </c>
      <c r="J273" s="22">
        <v>263</v>
      </c>
      <c r="K273" s="22">
        <v>0.52502400000000005</v>
      </c>
      <c r="L273">
        <f t="shared" si="48"/>
        <v>15.6769</v>
      </c>
      <c r="M273">
        <f t="shared" si="49"/>
        <v>8.2407976385000001</v>
      </c>
      <c r="N273" s="9"/>
      <c r="O273" s="22">
        <v>1.22437</v>
      </c>
      <c r="P273" s="22">
        <v>69.773700000000005</v>
      </c>
      <c r="Q273" s="22">
        <v>-1.1340299999999999E-2</v>
      </c>
      <c r="R273" s="22">
        <v>263</v>
      </c>
      <c r="S273" s="22">
        <v>1.2237499999999999</v>
      </c>
      <c r="T273">
        <f t="shared" si="50"/>
        <v>11.340299999999999</v>
      </c>
      <c r="U273">
        <f t="shared" si="51"/>
        <v>13.884723110999998</v>
      </c>
      <c r="X273" s="9"/>
      <c r="Y273" s="22">
        <v>0.52566500000000005</v>
      </c>
      <c r="Z273" s="22">
        <v>119.333</v>
      </c>
      <c r="AA273" s="22">
        <v>-1.5728800000000001E-2</v>
      </c>
      <c r="AB273" s="22">
        <v>263</v>
      </c>
      <c r="AC273" s="22">
        <v>0.52499399999999996</v>
      </c>
      <c r="AD273">
        <f t="shared" si="52"/>
        <v>15.728800000000001</v>
      </c>
      <c r="AE273">
        <f t="shared" si="53"/>
        <v>8.2680796520000008</v>
      </c>
      <c r="AF273" s="9"/>
      <c r="AG273" s="22">
        <v>1.22437</v>
      </c>
      <c r="AH273" s="22">
        <v>138.30799999999999</v>
      </c>
      <c r="AI273" s="22">
        <v>-1.1599699999999999E-2</v>
      </c>
      <c r="AJ273" s="22">
        <v>263</v>
      </c>
      <c r="AK273" s="22">
        <v>1.2237499999999999</v>
      </c>
      <c r="AL273">
        <f t="shared" si="54"/>
        <v>11.599699999999999</v>
      </c>
      <c r="AM273">
        <f t="shared" si="55"/>
        <v>14.202324688999997</v>
      </c>
      <c r="AP273" s="9"/>
      <c r="AQ273" s="22">
        <v>0.52566500000000005</v>
      </c>
      <c r="AR273" s="22">
        <v>160.953</v>
      </c>
      <c r="AS273" s="22">
        <v>-1.5741000000000002E-2</v>
      </c>
      <c r="AT273" s="22">
        <v>263</v>
      </c>
      <c r="AU273" s="22">
        <v>0.52502400000000005</v>
      </c>
      <c r="AV273">
        <f t="shared" si="56"/>
        <v>15.741000000000001</v>
      </c>
      <c r="AW273">
        <f t="shared" si="57"/>
        <v>8.2744927650000015</v>
      </c>
      <c r="AX273" s="9"/>
      <c r="AY273" s="22">
        <v>1.22437</v>
      </c>
      <c r="AZ273" s="22">
        <v>183.81399999999999</v>
      </c>
      <c r="BA273" s="22">
        <v>-1.17188E-2</v>
      </c>
      <c r="BB273" s="22">
        <v>263</v>
      </c>
      <c r="BC273" s="22">
        <v>1.2237499999999999</v>
      </c>
      <c r="BD273">
        <f t="shared" si="58"/>
        <v>11.7188</v>
      </c>
      <c r="BE273">
        <f t="shared" si="59"/>
        <v>14.348147156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51.9009</v>
      </c>
      <c r="I274" s="22">
        <v>-1.56799E-2</v>
      </c>
      <c r="J274" s="22">
        <v>264</v>
      </c>
      <c r="K274" s="22">
        <v>0.52002000000000004</v>
      </c>
      <c r="L274">
        <f t="shared" si="48"/>
        <v>15.6799</v>
      </c>
      <c r="M274">
        <f t="shared" si="49"/>
        <v>8.1634263370000006</v>
      </c>
      <c r="N274" s="9"/>
      <c r="O274" s="22">
        <v>1.2294</v>
      </c>
      <c r="P274" s="22">
        <v>69.783699999999996</v>
      </c>
      <c r="Q274" s="22">
        <v>-1.12823E-2</v>
      </c>
      <c r="R274" s="22">
        <v>264</v>
      </c>
      <c r="S274" s="22">
        <v>1.2283299999999999</v>
      </c>
      <c r="T274">
        <f t="shared" si="50"/>
        <v>11.282300000000001</v>
      </c>
      <c r="U274">
        <f t="shared" si="51"/>
        <v>13.870459620000002</v>
      </c>
      <c r="X274" s="9"/>
      <c r="Y274" s="22">
        <v>0.52063000000000004</v>
      </c>
      <c r="Z274" s="22">
        <v>119.343</v>
      </c>
      <c r="AA274" s="22">
        <v>-1.5737899999999999E-2</v>
      </c>
      <c r="AB274" s="22">
        <v>264</v>
      </c>
      <c r="AC274" s="22">
        <v>0.52008100000000002</v>
      </c>
      <c r="AD274">
        <f t="shared" si="52"/>
        <v>15.7379</v>
      </c>
      <c r="AE274">
        <f t="shared" si="53"/>
        <v>8.193622877000001</v>
      </c>
      <c r="AF274" s="9"/>
      <c r="AG274" s="22">
        <v>1.2294</v>
      </c>
      <c r="AH274" s="22">
        <v>138.31800000000001</v>
      </c>
      <c r="AI274" s="22">
        <v>-1.15479E-2</v>
      </c>
      <c r="AJ274" s="22">
        <v>264</v>
      </c>
      <c r="AK274" s="22">
        <v>1.2289399999999999</v>
      </c>
      <c r="AL274">
        <f t="shared" si="54"/>
        <v>11.5479</v>
      </c>
      <c r="AM274">
        <f t="shared" si="55"/>
        <v>14.196988260000001</v>
      </c>
      <c r="AP274" s="9"/>
      <c r="AQ274" s="22">
        <v>0.52063000000000004</v>
      </c>
      <c r="AR274" s="22">
        <v>160.96299999999999</v>
      </c>
      <c r="AS274" s="22">
        <v>-1.5741000000000002E-2</v>
      </c>
      <c r="AT274" s="22">
        <v>264</v>
      </c>
      <c r="AU274" s="22">
        <v>0.52008100000000002</v>
      </c>
      <c r="AV274">
        <f t="shared" si="56"/>
        <v>15.741000000000001</v>
      </c>
      <c r="AW274">
        <f t="shared" si="57"/>
        <v>8.1952368300000007</v>
      </c>
      <c r="AX274" s="9"/>
      <c r="AY274" s="22">
        <v>1.2294</v>
      </c>
      <c r="AZ274" s="22">
        <v>183.82400000000001</v>
      </c>
      <c r="BA274" s="22">
        <v>-1.16638E-2</v>
      </c>
      <c r="BB274" s="22">
        <v>264</v>
      </c>
      <c r="BC274" s="22">
        <v>1.2289399999999999</v>
      </c>
      <c r="BD274">
        <f t="shared" si="58"/>
        <v>11.6638</v>
      </c>
      <c r="BE274">
        <f t="shared" si="59"/>
        <v>14.339475720000001</v>
      </c>
    </row>
    <row r="275" spans="6:101">
      <c r="F275" s="9"/>
      <c r="G275" s="22">
        <v>0.515594</v>
      </c>
      <c r="H275" s="22">
        <v>51.911000000000001</v>
      </c>
      <c r="I275" s="22">
        <v>-1.56799E-2</v>
      </c>
      <c r="J275" s="22">
        <v>265</v>
      </c>
      <c r="K275" s="22">
        <v>0.51495400000000002</v>
      </c>
      <c r="L275">
        <f t="shared" si="48"/>
        <v>15.6799</v>
      </c>
      <c r="M275">
        <f t="shared" si="49"/>
        <v>8.0844623605999999</v>
      </c>
      <c r="N275" s="9"/>
      <c r="O275" s="22">
        <v>1.23444</v>
      </c>
      <c r="P275" s="22">
        <v>69.793800000000005</v>
      </c>
      <c r="Q275" s="22">
        <v>-1.1224400000000001E-2</v>
      </c>
      <c r="R275" s="22">
        <v>265</v>
      </c>
      <c r="S275" s="22">
        <v>1.23322</v>
      </c>
      <c r="T275">
        <f t="shared" si="50"/>
        <v>11.224400000000001</v>
      </c>
      <c r="U275">
        <f t="shared" si="51"/>
        <v>13.855848336000001</v>
      </c>
      <c r="X275" s="9"/>
      <c r="Y275" s="22">
        <v>0.515594</v>
      </c>
      <c r="Z275" s="22">
        <v>119.35299999999999</v>
      </c>
      <c r="AA275" s="22">
        <v>-1.5744000000000001E-2</v>
      </c>
      <c r="AB275" s="22">
        <v>265</v>
      </c>
      <c r="AC275" s="22">
        <v>0.515015</v>
      </c>
      <c r="AD275">
        <f t="shared" si="52"/>
        <v>15.744000000000002</v>
      </c>
      <c r="AE275">
        <f t="shared" si="53"/>
        <v>8.1175119360000014</v>
      </c>
      <c r="AF275" s="9"/>
      <c r="AG275" s="22">
        <v>1.23444</v>
      </c>
      <c r="AH275" s="22">
        <v>138.328</v>
      </c>
      <c r="AI275" s="22">
        <v>-1.1489900000000001E-2</v>
      </c>
      <c r="AJ275" s="22">
        <v>265</v>
      </c>
      <c r="AK275" s="22">
        <v>1.2335199999999999</v>
      </c>
      <c r="AL275">
        <f t="shared" si="54"/>
        <v>11.4899</v>
      </c>
      <c r="AM275">
        <f t="shared" si="55"/>
        <v>14.183592156</v>
      </c>
      <c r="AP275" s="9"/>
      <c r="AQ275" s="22">
        <v>0.515594</v>
      </c>
      <c r="AR275" s="22">
        <v>160.97300000000001</v>
      </c>
      <c r="AS275" s="22">
        <v>-1.5741000000000002E-2</v>
      </c>
      <c r="AT275" s="22">
        <v>265</v>
      </c>
      <c r="AU275" s="22">
        <v>0.51486200000000004</v>
      </c>
      <c r="AV275">
        <f t="shared" si="56"/>
        <v>15.741000000000001</v>
      </c>
      <c r="AW275">
        <f t="shared" si="57"/>
        <v>8.1159651540000013</v>
      </c>
      <c r="AX275" s="9"/>
      <c r="AY275" s="22">
        <v>1.23444</v>
      </c>
      <c r="AZ275" s="22">
        <v>183.834</v>
      </c>
      <c r="BA275" s="22">
        <v>-1.16028E-2</v>
      </c>
      <c r="BB275" s="22">
        <v>265</v>
      </c>
      <c r="BC275" s="22">
        <v>1.23383</v>
      </c>
      <c r="BD275">
        <f t="shared" si="58"/>
        <v>11.6028</v>
      </c>
      <c r="BE275">
        <f t="shared" si="59"/>
        <v>14.322960432</v>
      </c>
    </row>
    <row r="276" spans="6:101">
      <c r="F276" s="9"/>
      <c r="G276" s="22">
        <v>0.51055899999999999</v>
      </c>
      <c r="H276" s="22">
        <v>51.920999999999999</v>
      </c>
      <c r="I276" s="22">
        <v>-1.5698199999999999E-2</v>
      </c>
      <c r="J276" s="22">
        <v>266</v>
      </c>
      <c r="K276" s="22">
        <v>0.50991799999999998</v>
      </c>
      <c r="L276">
        <f t="shared" si="48"/>
        <v>15.698199999999998</v>
      </c>
      <c r="M276">
        <f t="shared" si="49"/>
        <v>8.0148572937999987</v>
      </c>
      <c r="N276" s="9"/>
      <c r="O276" s="22">
        <v>1.2394700000000001</v>
      </c>
      <c r="P276" s="22">
        <v>69.803899999999999</v>
      </c>
      <c r="Q276" s="22">
        <v>-1.1169399999999999E-2</v>
      </c>
      <c r="R276" s="22">
        <v>266</v>
      </c>
      <c r="S276" s="22">
        <v>1.23871</v>
      </c>
      <c r="T276">
        <f t="shared" si="50"/>
        <v>11.1694</v>
      </c>
      <c r="U276">
        <f t="shared" si="51"/>
        <v>13.844136218000001</v>
      </c>
      <c r="X276" s="9"/>
      <c r="Y276" s="22">
        <v>0.51055899999999999</v>
      </c>
      <c r="Z276" s="22">
        <v>119.363</v>
      </c>
      <c r="AA276" s="22">
        <v>-1.57593E-2</v>
      </c>
      <c r="AB276" s="22">
        <v>266</v>
      </c>
      <c r="AC276" s="22">
        <v>0.50994899999999999</v>
      </c>
      <c r="AD276">
        <f t="shared" si="52"/>
        <v>15.7593</v>
      </c>
      <c r="AE276">
        <f t="shared" si="53"/>
        <v>8.0460524486999994</v>
      </c>
      <c r="AF276" s="9"/>
      <c r="AG276" s="22">
        <v>1.2394700000000001</v>
      </c>
      <c r="AH276" s="22">
        <v>138.33799999999999</v>
      </c>
      <c r="AI276" s="22">
        <v>-1.1438E-2</v>
      </c>
      <c r="AJ276" s="22">
        <v>266</v>
      </c>
      <c r="AK276" s="22">
        <v>1.23932</v>
      </c>
      <c r="AL276">
        <f t="shared" si="54"/>
        <v>11.438000000000001</v>
      </c>
      <c r="AM276">
        <f t="shared" si="55"/>
        <v>14.177057860000001</v>
      </c>
      <c r="AP276" s="9"/>
      <c r="AQ276" s="22">
        <v>0.51055899999999999</v>
      </c>
      <c r="AR276" s="22">
        <v>160.983</v>
      </c>
      <c r="AS276" s="22">
        <v>-1.5744000000000001E-2</v>
      </c>
      <c r="AT276" s="22">
        <v>266</v>
      </c>
      <c r="AU276" s="22">
        <v>0.50991799999999998</v>
      </c>
      <c r="AV276">
        <f t="shared" si="56"/>
        <v>15.744000000000002</v>
      </c>
      <c r="AW276">
        <f t="shared" si="57"/>
        <v>8.0382408960000014</v>
      </c>
      <c r="AX276" s="9"/>
      <c r="AY276" s="22">
        <v>1.2394700000000001</v>
      </c>
      <c r="AZ276" s="22">
        <v>183.84399999999999</v>
      </c>
      <c r="BA276" s="22">
        <v>-1.1544799999999999E-2</v>
      </c>
      <c r="BB276" s="22">
        <v>266</v>
      </c>
      <c r="BC276" s="22">
        <v>1.2390099999999999</v>
      </c>
      <c r="BD276">
        <f t="shared" si="58"/>
        <v>11.544799999999999</v>
      </c>
      <c r="BE276">
        <f t="shared" si="59"/>
        <v>14.309433255999998</v>
      </c>
    </row>
    <row r="277" spans="6:101">
      <c r="F277" s="9"/>
      <c r="G277" s="22">
        <v>0.50552399999999997</v>
      </c>
      <c r="H277" s="22">
        <v>51.931100000000001</v>
      </c>
      <c r="I277" s="22">
        <v>-1.57074E-2</v>
      </c>
      <c r="J277" s="22">
        <v>267</v>
      </c>
      <c r="K277" s="22">
        <v>0.50488299999999997</v>
      </c>
      <c r="L277">
        <f t="shared" si="48"/>
        <v>15.7074</v>
      </c>
      <c r="M277">
        <f t="shared" si="49"/>
        <v>7.9404676775999992</v>
      </c>
      <c r="N277" s="9"/>
      <c r="O277" s="22">
        <v>1.24451</v>
      </c>
      <c r="P277" s="22">
        <v>69.813900000000004</v>
      </c>
      <c r="Q277" s="22">
        <v>-1.11053E-2</v>
      </c>
      <c r="R277" s="22">
        <v>267</v>
      </c>
      <c r="S277" s="22">
        <v>1.2439</v>
      </c>
      <c r="T277">
        <f t="shared" si="50"/>
        <v>11.1053</v>
      </c>
      <c r="U277">
        <f t="shared" si="51"/>
        <v>13.820656903</v>
      </c>
      <c r="X277" s="9"/>
      <c r="Y277" s="22">
        <v>0.50552399999999997</v>
      </c>
      <c r="Z277" s="22">
        <v>119.373</v>
      </c>
      <c r="AA277" s="22">
        <v>-1.5771500000000001E-2</v>
      </c>
      <c r="AB277" s="22">
        <v>267</v>
      </c>
      <c r="AC277" s="22">
        <v>0.50494399999999995</v>
      </c>
      <c r="AD277">
        <f t="shared" si="52"/>
        <v>15.771500000000001</v>
      </c>
      <c r="AE277">
        <f t="shared" si="53"/>
        <v>7.9728717659999999</v>
      </c>
      <c r="AF277" s="9"/>
      <c r="AG277" s="22">
        <v>1.24451</v>
      </c>
      <c r="AH277" s="22">
        <v>138.34800000000001</v>
      </c>
      <c r="AI277" s="22">
        <v>-1.13831E-2</v>
      </c>
      <c r="AJ277" s="22">
        <v>267</v>
      </c>
      <c r="AK277" s="22">
        <v>1.24359</v>
      </c>
      <c r="AL277">
        <f t="shared" si="54"/>
        <v>11.383100000000001</v>
      </c>
      <c r="AM277">
        <f t="shared" si="55"/>
        <v>14.166381781</v>
      </c>
      <c r="AP277" s="9"/>
      <c r="AQ277" s="22">
        <v>0.50552399999999997</v>
      </c>
      <c r="AR277" s="22">
        <v>160.99299999999999</v>
      </c>
      <c r="AS277" s="22">
        <v>-1.57501E-2</v>
      </c>
      <c r="AT277" s="22">
        <v>267</v>
      </c>
      <c r="AU277" s="22">
        <v>0.50494399999999995</v>
      </c>
      <c r="AV277">
        <f t="shared" si="56"/>
        <v>15.7501</v>
      </c>
      <c r="AW277">
        <f t="shared" si="57"/>
        <v>7.9620535523999996</v>
      </c>
      <c r="AX277" s="9"/>
      <c r="AY277" s="22">
        <v>1.24451</v>
      </c>
      <c r="AZ277" s="22">
        <v>183.85400000000001</v>
      </c>
      <c r="BA277" s="22">
        <v>-1.1495999999999999E-2</v>
      </c>
      <c r="BB277" s="22">
        <v>267</v>
      </c>
      <c r="BC277" s="22">
        <v>1.24451</v>
      </c>
      <c r="BD277">
        <f t="shared" si="58"/>
        <v>11.495999999999999</v>
      </c>
      <c r="BE277">
        <f t="shared" si="59"/>
        <v>14.306886959999998</v>
      </c>
    </row>
    <row r="278" spans="6:101">
      <c r="F278" s="9"/>
      <c r="G278" s="22">
        <v>0.50048800000000004</v>
      </c>
      <c r="H278" s="22">
        <v>51.941200000000002</v>
      </c>
      <c r="I278" s="22">
        <v>-1.5722699999999999E-2</v>
      </c>
      <c r="J278" s="22">
        <v>268</v>
      </c>
      <c r="K278" s="22">
        <v>0.49984699999999999</v>
      </c>
      <c r="L278">
        <f t="shared" si="48"/>
        <v>15.7227</v>
      </c>
      <c r="M278">
        <f t="shared" si="49"/>
        <v>7.8690226776000003</v>
      </c>
      <c r="N278" s="9"/>
      <c r="O278" s="22">
        <v>1.2495400000000001</v>
      </c>
      <c r="P278" s="22">
        <v>69.823999999999998</v>
      </c>
      <c r="Q278" s="22">
        <v>-1.10443E-2</v>
      </c>
      <c r="R278" s="22">
        <v>268</v>
      </c>
      <c r="S278" s="22">
        <v>1.24939</v>
      </c>
      <c r="T278">
        <f t="shared" si="50"/>
        <v>11.0443</v>
      </c>
      <c r="U278">
        <f t="shared" si="51"/>
        <v>13.800294622000001</v>
      </c>
      <c r="X278" s="9"/>
      <c r="Y278" s="22">
        <v>0.50048800000000004</v>
      </c>
      <c r="Z278" s="22">
        <v>119.383</v>
      </c>
      <c r="AA278" s="22">
        <v>-1.5786700000000001E-2</v>
      </c>
      <c r="AB278" s="22">
        <v>268</v>
      </c>
      <c r="AC278" s="22">
        <v>0.49987799999999999</v>
      </c>
      <c r="AD278">
        <f t="shared" si="52"/>
        <v>15.786700000000002</v>
      </c>
      <c r="AE278">
        <f t="shared" si="53"/>
        <v>7.9010539096000016</v>
      </c>
      <c r="AF278" s="9"/>
      <c r="AG278" s="22">
        <v>1.2495400000000001</v>
      </c>
      <c r="AH278" s="22">
        <v>138.358</v>
      </c>
      <c r="AI278" s="22">
        <v>-1.13312E-2</v>
      </c>
      <c r="AJ278" s="22">
        <v>268</v>
      </c>
      <c r="AK278" s="22">
        <v>1.24817</v>
      </c>
      <c r="AL278">
        <f t="shared" si="54"/>
        <v>11.331199999999999</v>
      </c>
      <c r="AM278">
        <f t="shared" si="55"/>
        <v>14.158787648000001</v>
      </c>
      <c r="AP278" s="9"/>
      <c r="AQ278" s="22">
        <v>0.50048800000000004</v>
      </c>
      <c r="AR278" s="22">
        <v>161.00299999999999</v>
      </c>
      <c r="AS278" s="22">
        <v>-1.57593E-2</v>
      </c>
      <c r="AT278" s="22">
        <v>268</v>
      </c>
      <c r="AU278" s="22">
        <v>0.49990800000000002</v>
      </c>
      <c r="AV278">
        <f t="shared" si="56"/>
        <v>15.7593</v>
      </c>
      <c r="AW278">
        <f t="shared" si="57"/>
        <v>7.8873405384000002</v>
      </c>
      <c r="AX278" s="9"/>
      <c r="AY278" s="22">
        <v>1.2495400000000001</v>
      </c>
      <c r="AZ278" s="22">
        <v>183.864</v>
      </c>
      <c r="BA278" s="22">
        <v>-1.1438E-2</v>
      </c>
      <c r="BB278" s="22">
        <v>268</v>
      </c>
      <c r="BC278" s="22">
        <v>1.24817</v>
      </c>
      <c r="BD278">
        <f t="shared" si="58"/>
        <v>11.438000000000001</v>
      </c>
      <c r="BE278">
        <f t="shared" si="59"/>
        <v>14.292238520000002</v>
      </c>
    </row>
    <row r="279" spans="6:101">
      <c r="F279" s="9"/>
      <c r="G279" s="22">
        <v>0.49545299999999998</v>
      </c>
      <c r="H279" s="22">
        <v>51.9512</v>
      </c>
      <c r="I279" s="22">
        <v>-1.5728800000000001E-2</v>
      </c>
      <c r="J279" s="22">
        <v>269</v>
      </c>
      <c r="K279" s="22">
        <v>0.49484299999999998</v>
      </c>
      <c r="L279">
        <f t="shared" si="48"/>
        <v>15.728800000000001</v>
      </c>
      <c r="M279">
        <f t="shared" si="49"/>
        <v>7.7928811464000001</v>
      </c>
      <c r="N279" s="9"/>
      <c r="O279" s="22">
        <v>1.25458</v>
      </c>
      <c r="P279" s="22">
        <v>69.834100000000007</v>
      </c>
      <c r="Q279" s="22">
        <v>-1.09894E-2</v>
      </c>
      <c r="R279" s="22">
        <v>269</v>
      </c>
      <c r="S279" s="22">
        <v>1.25427</v>
      </c>
      <c r="T279">
        <f t="shared" si="50"/>
        <v>10.9894</v>
      </c>
      <c r="U279">
        <f t="shared" si="51"/>
        <v>13.787081452000001</v>
      </c>
      <c r="X279" s="9"/>
      <c r="Y279" s="22">
        <v>0.49545299999999998</v>
      </c>
      <c r="Z279" s="22">
        <v>119.393</v>
      </c>
      <c r="AA279" s="22">
        <v>-1.5792799999999999E-2</v>
      </c>
      <c r="AB279" s="22">
        <v>269</v>
      </c>
      <c r="AC279" s="22">
        <v>0.49481199999999997</v>
      </c>
      <c r="AD279">
        <f t="shared" si="52"/>
        <v>15.7928</v>
      </c>
      <c r="AE279">
        <f t="shared" si="53"/>
        <v>7.8245901383999996</v>
      </c>
      <c r="AF279" s="9"/>
      <c r="AG279" s="22">
        <v>1.25458</v>
      </c>
      <c r="AH279" s="22">
        <v>138.36799999999999</v>
      </c>
      <c r="AI279" s="22">
        <v>-1.12762E-2</v>
      </c>
      <c r="AJ279" s="22">
        <v>269</v>
      </c>
      <c r="AK279" s="22">
        <v>1.25397</v>
      </c>
      <c r="AL279">
        <f t="shared" si="54"/>
        <v>11.276199999999999</v>
      </c>
      <c r="AM279">
        <f t="shared" si="55"/>
        <v>14.146894996</v>
      </c>
      <c r="AP279" s="9"/>
      <c r="AQ279" s="22">
        <v>0.49545299999999998</v>
      </c>
      <c r="AR279" s="22">
        <v>161.01300000000001</v>
      </c>
      <c r="AS279" s="22">
        <v>-1.5765399999999999E-2</v>
      </c>
      <c r="AT279" s="22">
        <v>269</v>
      </c>
      <c r="AU279" s="22">
        <v>0.49487300000000001</v>
      </c>
      <c r="AV279">
        <f t="shared" si="56"/>
        <v>15.7654</v>
      </c>
      <c r="AW279">
        <f t="shared" si="57"/>
        <v>7.8110147261999998</v>
      </c>
      <c r="AX279" s="9"/>
      <c r="AY279" s="22">
        <v>1.25458</v>
      </c>
      <c r="AZ279" s="22">
        <v>183.874</v>
      </c>
      <c r="BA279" s="22">
        <v>-1.13861E-2</v>
      </c>
      <c r="BB279" s="22">
        <v>269</v>
      </c>
      <c r="BC279" s="22">
        <v>1.25397</v>
      </c>
      <c r="BD279">
        <f t="shared" si="58"/>
        <v>11.386099999999999</v>
      </c>
      <c r="BE279">
        <f t="shared" si="59"/>
        <v>14.284773337999999</v>
      </c>
    </row>
    <row r="280" spans="6:101">
      <c r="F280" s="9"/>
      <c r="G280" s="22">
        <v>0.49041699999999999</v>
      </c>
      <c r="H280" s="22">
        <v>51.961300000000001</v>
      </c>
      <c r="I280" s="22">
        <v>-1.5725699999999999E-2</v>
      </c>
      <c r="J280" s="22">
        <v>270</v>
      </c>
      <c r="K280" s="22">
        <v>0.48980699999999999</v>
      </c>
      <c r="L280">
        <f t="shared" si="48"/>
        <v>15.725699999999998</v>
      </c>
      <c r="M280">
        <f t="shared" si="49"/>
        <v>7.7121506168999989</v>
      </c>
      <c r="N280" s="9"/>
      <c r="O280" s="22">
        <v>1.2596099999999999</v>
      </c>
      <c r="P280" s="22">
        <v>69.844200000000001</v>
      </c>
      <c r="Q280" s="22">
        <v>-1.09344E-2</v>
      </c>
      <c r="R280" s="22">
        <v>270</v>
      </c>
      <c r="S280" s="22">
        <v>1.25885</v>
      </c>
      <c r="T280">
        <f t="shared" si="50"/>
        <v>10.9344</v>
      </c>
      <c r="U280">
        <f t="shared" si="51"/>
        <v>13.773079584</v>
      </c>
      <c r="X280" s="9"/>
      <c r="Y280" s="22">
        <v>0.49041699999999999</v>
      </c>
      <c r="Z280" s="22">
        <v>119.404</v>
      </c>
      <c r="AA280" s="22">
        <v>-1.5802E-2</v>
      </c>
      <c r="AB280" s="22">
        <v>270</v>
      </c>
      <c r="AC280" s="22">
        <v>0.48980699999999999</v>
      </c>
      <c r="AD280">
        <f t="shared" si="52"/>
        <v>15.802</v>
      </c>
      <c r="AE280">
        <f t="shared" si="53"/>
        <v>7.7495694339999996</v>
      </c>
      <c r="AF280" s="9"/>
      <c r="AG280" s="22">
        <v>1.2596099999999999</v>
      </c>
      <c r="AH280" s="22">
        <v>138.37799999999999</v>
      </c>
      <c r="AI280" s="22">
        <v>-1.12213E-2</v>
      </c>
      <c r="AJ280" s="22">
        <v>270</v>
      </c>
      <c r="AK280" s="22">
        <v>1.25854</v>
      </c>
      <c r="AL280">
        <f t="shared" si="54"/>
        <v>11.221299999999999</v>
      </c>
      <c r="AM280">
        <f t="shared" si="55"/>
        <v>14.134461692999999</v>
      </c>
      <c r="AP280" s="9"/>
      <c r="AQ280" s="22">
        <v>0.49041699999999999</v>
      </c>
      <c r="AR280" s="22">
        <v>161.023</v>
      </c>
      <c r="AS280" s="22">
        <v>-1.5768399999999998E-2</v>
      </c>
      <c r="AT280" s="22">
        <v>270</v>
      </c>
      <c r="AU280" s="22">
        <v>0.489838</v>
      </c>
      <c r="AV280">
        <f t="shared" si="56"/>
        <v>15.768399999999998</v>
      </c>
      <c r="AW280">
        <f t="shared" si="57"/>
        <v>7.7330914227999985</v>
      </c>
      <c r="AX280" s="9"/>
      <c r="AY280" s="22">
        <v>1.2596099999999999</v>
      </c>
      <c r="AZ280" s="22">
        <v>183.88399999999999</v>
      </c>
      <c r="BA280" s="22">
        <v>-1.1334199999999999E-2</v>
      </c>
      <c r="BB280" s="22">
        <v>270</v>
      </c>
      <c r="BC280" s="22">
        <v>1.25885</v>
      </c>
      <c r="BD280">
        <f t="shared" si="58"/>
        <v>11.334199999999999</v>
      </c>
      <c r="BE280">
        <f t="shared" si="59"/>
        <v>14.276671661999998</v>
      </c>
    </row>
    <row r="281" spans="6:101">
      <c r="F281" s="9"/>
      <c r="G281" s="22">
        <v>0.48538199999999998</v>
      </c>
      <c r="H281" s="22">
        <v>51.971400000000003</v>
      </c>
      <c r="I281" s="22">
        <v>-1.5728800000000001E-2</v>
      </c>
      <c r="J281" s="22">
        <v>271</v>
      </c>
      <c r="K281" s="22">
        <v>0.48477199999999998</v>
      </c>
      <c r="L281">
        <f t="shared" si="48"/>
        <v>15.728800000000001</v>
      </c>
      <c r="M281">
        <f t="shared" si="49"/>
        <v>7.6344764016000006</v>
      </c>
      <c r="N281" s="9"/>
      <c r="O281" s="22">
        <v>1.2646500000000001</v>
      </c>
      <c r="P281" s="22">
        <v>69.854200000000006</v>
      </c>
      <c r="Q281" s="22">
        <v>-1.0876500000000001E-2</v>
      </c>
      <c r="R281" s="22">
        <v>271</v>
      </c>
      <c r="S281" s="22">
        <v>1.26373</v>
      </c>
      <c r="T281">
        <f t="shared" si="50"/>
        <v>10.8765</v>
      </c>
      <c r="U281">
        <f t="shared" si="51"/>
        <v>13.754965725</v>
      </c>
      <c r="X281" s="9"/>
      <c r="Y281" s="22">
        <v>0.48538199999999998</v>
      </c>
      <c r="Z281" s="22">
        <v>119.414</v>
      </c>
      <c r="AA281" s="22">
        <v>-1.5811200000000001E-2</v>
      </c>
      <c r="AB281" s="22">
        <v>271</v>
      </c>
      <c r="AC281" s="22">
        <v>0.48474099999999998</v>
      </c>
      <c r="AD281">
        <f t="shared" si="52"/>
        <v>15.811200000000001</v>
      </c>
      <c r="AE281">
        <f t="shared" si="53"/>
        <v>7.6744718784000003</v>
      </c>
      <c r="AF281" s="9"/>
      <c r="AG281" s="22">
        <v>1.2646500000000001</v>
      </c>
      <c r="AH281" s="22">
        <v>138.38900000000001</v>
      </c>
      <c r="AI281" s="22">
        <v>-1.1163299999999999E-2</v>
      </c>
      <c r="AJ281" s="22">
        <v>271</v>
      </c>
      <c r="AK281" s="22">
        <v>1.26434</v>
      </c>
      <c r="AL281">
        <f t="shared" si="54"/>
        <v>11.1633</v>
      </c>
      <c r="AM281">
        <f t="shared" si="55"/>
        <v>14.117667344999999</v>
      </c>
      <c r="AP281" s="9"/>
      <c r="AQ281" s="22">
        <v>0.48538199999999998</v>
      </c>
      <c r="AR281" s="22">
        <v>161.03299999999999</v>
      </c>
      <c r="AS281" s="22">
        <v>-1.5768399999999998E-2</v>
      </c>
      <c r="AT281" s="22">
        <v>271</v>
      </c>
      <c r="AU281" s="22">
        <v>0.48477199999999998</v>
      </c>
      <c r="AV281">
        <f t="shared" si="56"/>
        <v>15.768399999999998</v>
      </c>
      <c r="AW281">
        <f t="shared" si="57"/>
        <v>7.6536975287999987</v>
      </c>
      <c r="AX281" s="9"/>
      <c r="AY281" s="22">
        <v>1.2646500000000001</v>
      </c>
      <c r="AZ281" s="22">
        <v>183.89400000000001</v>
      </c>
      <c r="BA281" s="22">
        <v>-1.12762E-2</v>
      </c>
      <c r="BB281" s="22">
        <v>271</v>
      </c>
      <c r="BC281" s="22">
        <v>1.26434</v>
      </c>
      <c r="BD281">
        <f t="shared" si="58"/>
        <v>11.276199999999999</v>
      </c>
      <c r="BE281">
        <f t="shared" si="59"/>
        <v>14.260446330000001</v>
      </c>
    </row>
    <row r="282" spans="6:101">
      <c r="F282" s="9"/>
      <c r="G282" s="22">
        <v>0.48034700000000002</v>
      </c>
      <c r="H282" s="22">
        <v>51.981499999999997</v>
      </c>
      <c r="I282" s="22">
        <v>-1.5728800000000001E-2</v>
      </c>
      <c r="J282" s="22">
        <v>272</v>
      </c>
      <c r="K282" s="22">
        <v>0.479767</v>
      </c>
      <c r="L282">
        <f t="shared" si="48"/>
        <v>15.728800000000001</v>
      </c>
      <c r="M282">
        <f t="shared" si="49"/>
        <v>7.555281893600001</v>
      </c>
      <c r="N282" s="9"/>
      <c r="O282" s="22">
        <v>1.2696799999999999</v>
      </c>
      <c r="P282" s="22">
        <v>69.8643</v>
      </c>
      <c r="Q282" s="22">
        <v>-1.08215E-2</v>
      </c>
      <c r="R282" s="22">
        <v>272</v>
      </c>
      <c r="S282" s="22">
        <v>1.2692300000000001</v>
      </c>
      <c r="T282">
        <f t="shared" si="50"/>
        <v>10.8215</v>
      </c>
      <c r="U282">
        <f t="shared" si="51"/>
        <v>13.739842119999999</v>
      </c>
      <c r="X282" s="9"/>
      <c r="Y282" s="22">
        <v>0.48034700000000002</v>
      </c>
      <c r="Z282" s="22">
        <v>119.42400000000001</v>
      </c>
      <c r="AA282" s="22">
        <v>-1.5820299999999999E-2</v>
      </c>
      <c r="AB282" s="22">
        <v>272</v>
      </c>
      <c r="AC282" s="22">
        <v>0.479736</v>
      </c>
      <c r="AD282">
        <f t="shared" si="52"/>
        <v>15.8203</v>
      </c>
      <c r="AE282">
        <f t="shared" si="53"/>
        <v>7.5992336440999999</v>
      </c>
      <c r="AF282" s="9"/>
      <c r="AG282" s="22">
        <v>1.2696799999999999</v>
      </c>
      <c r="AH282" s="22">
        <v>138.399</v>
      </c>
      <c r="AI282" s="22">
        <v>-1.11053E-2</v>
      </c>
      <c r="AJ282" s="22">
        <v>272</v>
      </c>
      <c r="AK282" s="22">
        <v>1.26892</v>
      </c>
      <c r="AL282">
        <f t="shared" si="54"/>
        <v>11.1053</v>
      </c>
      <c r="AM282">
        <f t="shared" si="55"/>
        <v>14.100177303999999</v>
      </c>
      <c r="AP282" s="9"/>
      <c r="AQ282" s="22">
        <v>0.48034700000000002</v>
      </c>
      <c r="AR282" s="22">
        <v>161.04300000000001</v>
      </c>
      <c r="AS282" s="22">
        <v>-1.5768399999999998E-2</v>
      </c>
      <c r="AT282" s="22">
        <v>272</v>
      </c>
      <c r="AU282" s="22">
        <v>0.47964499999999999</v>
      </c>
      <c r="AV282">
        <f t="shared" si="56"/>
        <v>15.768399999999998</v>
      </c>
      <c r="AW282">
        <f t="shared" si="57"/>
        <v>7.5743036347999997</v>
      </c>
      <c r="AX282" s="9"/>
      <c r="AY282" s="22">
        <v>1.2696799999999999</v>
      </c>
      <c r="AZ282" s="22">
        <v>183.904</v>
      </c>
      <c r="BA282" s="22">
        <v>-1.12183E-2</v>
      </c>
      <c r="BB282" s="22">
        <v>272</v>
      </c>
      <c r="BC282" s="22">
        <v>1.2692300000000001</v>
      </c>
      <c r="BD282">
        <f t="shared" si="58"/>
        <v>11.218300000000001</v>
      </c>
      <c r="BE282">
        <f t="shared" si="59"/>
        <v>14.243651144000001</v>
      </c>
    </row>
    <row r="283" spans="6:101">
      <c r="F283" s="9"/>
      <c r="G283" s="22">
        <v>0.47531099999999998</v>
      </c>
      <c r="H283" s="22">
        <v>51.991500000000002</v>
      </c>
      <c r="I283" s="22">
        <v>-1.5744000000000001E-2</v>
      </c>
      <c r="J283" s="22">
        <v>273</v>
      </c>
      <c r="K283" s="22">
        <v>0.47466999999999998</v>
      </c>
      <c r="L283">
        <f t="shared" si="48"/>
        <v>15.744000000000002</v>
      </c>
      <c r="M283">
        <f t="shared" si="49"/>
        <v>7.4832963840000009</v>
      </c>
      <c r="N283" s="9"/>
      <c r="O283" s="22">
        <v>1.2747200000000001</v>
      </c>
      <c r="P283" s="22">
        <v>69.874399999999994</v>
      </c>
      <c r="Q283" s="22">
        <v>-1.0766599999999999E-2</v>
      </c>
      <c r="R283" s="22">
        <v>273</v>
      </c>
      <c r="S283" s="22">
        <v>1.2738</v>
      </c>
      <c r="T283">
        <f t="shared" si="50"/>
        <v>10.766599999999999</v>
      </c>
      <c r="U283">
        <f t="shared" si="51"/>
        <v>13.724400351999998</v>
      </c>
      <c r="X283" s="9"/>
      <c r="Y283" s="22">
        <v>0.47531099999999998</v>
      </c>
      <c r="Z283" s="22">
        <v>119.434</v>
      </c>
      <c r="AA283" s="22">
        <v>-1.58295E-2</v>
      </c>
      <c r="AB283" s="22">
        <v>273</v>
      </c>
      <c r="AC283" s="22">
        <v>0.47464000000000001</v>
      </c>
      <c r="AD283">
        <f t="shared" si="52"/>
        <v>15.829499999999999</v>
      </c>
      <c r="AE283">
        <f t="shared" si="53"/>
        <v>7.5239354744999991</v>
      </c>
      <c r="AF283" s="9"/>
      <c r="AG283" s="22">
        <v>1.2747200000000001</v>
      </c>
      <c r="AH283" s="22">
        <v>138.40899999999999</v>
      </c>
      <c r="AI283" s="22">
        <v>-1.10504E-2</v>
      </c>
      <c r="AJ283" s="22">
        <v>273</v>
      </c>
      <c r="AK283" s="22">
        <v>1.2738</v>
      </c>
      <c r="AL283">
        <f t="shared" si="54"/>
        <v>11.0504</v>
      </c>
      <c r="AM283">
        <f t="shared" si="55"/>
        <v>14.086165888</v>
      </c>
      <c r="AP283" s="9"/>
      <c r="AQ283" s="22">
        <v>0.47531099999999998</v>
      </c>
      <c r="AR283" s="22">
        <v>161.054</v>
      </c>
      <c r="AS283" s="22">
        <v>-1.57623E-2</v>
      </c>
      <c r="AT283" s="22">
        <v>273</v>
      </c>
      <c r="AU283" s="22">
        <v>0.47466999999999998</v>
      </c>
      <c r="AV283">
        <f t="shared" si="56"/>
        <v>15.7623</v>
      </c>
      <c r="AW283">
        <f t="shared" si="57"/>
        <v>7.4919945752999997</v>
      </c>
      <c r="AX283" s="9"/>
      <c r="AY283" s="22">
        <v>1.2747200000000001</v>
      </c>
      <c r="AZ283" s="22">
        <v>183.91499999999999</v>
      </c>
      <c r="BA283" s="22">
        <v>-1.11603E-2</v>
      </c>
      <c r="BB283" s="22">
        <v>273</v>
      </c>
      <c r="BC283" s="22">
        <v>1.2738</v>
      </c>
      <c r="BD283">
        <f t="shared" si="58"/>
        <v>11.160299999999999</v>
      </c>
      <c r="BE283">
        <f t="shared" si="59"/>
        <v>14.226257616</v>
      </c>
    </row>
    <row r="284" spans="6:101">
      <c r="F284" s="9"/>
      <c r="G284" s="22">
        <v>0.47027600000000003</v>
      </c>
      <c r="H284" s="22">
        <v>52.001600000000003</v>
      </c>
      <c r="I284" s="22">
        <v>-1.5756200000000001E-2</v>
      </c>
      <c r="J284" s="22">
        <v>274</v>
      </c>
      <c r="K284" s="22">
        <v>0.46966599999999997</v>
      </c>
      <c r="L284">
        <f t="shared" si="48"/>
        <v>15.756200000000002</v>
      </c>
      <c r="M284">
        <f t="shared" si="49"/>
        <v>7.4097627112000009</v>
      </c>
      <c r="N284" s="9"/>
      <c r="O284" s="22">
        <v>1.2797499999999999</v>
      </c>
      <c r="P284" s="22">
        <v>69.884399999999999</v>
      </c>
      <c r="Q284" s="22">
        <v>-1.0711699999999999E-2</v>
      </c>
      <c r="R284" s="22">
        <v>274</v>
      </c>
      <c r="S284" s="22">
        <v>1.2789900000000001</v>
      </c>
      <c r="T284">
        <f t="shared" si="50"/>
        <v>10.711699999999999</v>
      </c>
      <c r="U284">
        <f t="shared" si="51"/>
        <v>13.708298074999998</v>
      </c>
      <c r="X284" s="9"/>
      <c r="Y284" s="22">
        <v>0.47027600000000003</v>
      </c>
      <c r="Z284" s="22">
        <v>119.444</v>
      </c>
      <c r="AA284" s="22">
        <v>-1.58295E-2</v>
      </c>
      <c r="AB284" s="22">
        <v>274</v>
      </c>
      <c r="AC284" s="22">
        <v>0.46963500000000002</v>
      </c>
      <c r="AD284">
        <f t="shared" si="52"/>
        <v>15.829499999999999</v>
      </c>
      <c r="AE284">
        <f t="shared" si="53"/>
        <v>7.4442339420000003</v>
      </c>
      <c r="AF284" s="9"/>
      <c r="AG284" s="22">
        <v>1.2797499999999999</v>
      </c>
      <c r="AH284" s="22">
        <v>138.41900000000001</v>
      </c>
      <c r="AI284" s="22">
        <v>-1.09894E-2</v>
      </c>
      <c r="AJ284" s="22">
        <v>274</v>
      </c>
      <c r="AK284" s="22">
        <v>1.2789900000000001</v>
      </c>
      <c r="AL284">
        <f t="shared" si="54"/>
        <v>10.9894</v>
      </c>
      <c r="AM284">
        <f t="shared" si="55"/>
        <v>14.063684649999999</v>
      </c>
      <c r="AP284" s="9"/>
      <c r="AQ284" s="22">
        <v>0.47027600000000003</v>
      </c>
      <c r="AR284" s="22">
        <v>161.06399999999999</v>
      </c>
      <c r="AS284" s="22">
        <v>-1.5765399999999999E-2</v>
      </c>
      <c r="AT284" s="22">
        <v>274</v>
      </c>
      <c r="AU284" s="22">
        <v>0.46966599999999997</v>
      </c>
      <c r="AV284">
        <f t="shared" si="56"/>
        <v>15.7654</v>
      </c>
      <c r="AW284">
        <f t="shared" si="57"/>
        <v>7.4140892504</v>
      </c>
      <c r="AX284" s="9"/>
      <c r="AY284" s="22">
        <v>1.2797499999999999</v>
      </c>
      <c r="AZ284" s="22">
        <v>183.92500000000001</v>
      </c>
      <c r="BA284" s="22">
        <v>-1.1102300000000001E-2</v>
      </c>
      <c r="BB284" s="22">
        <v>274</v>
      </c>
      <c r="BC284" s="22">
        <v>1.2786900000000001</v>
      </c>
      <c r="BD284">
        <f t="shared" si="58"/>
        <v>11.102300000000001</v>
      </c>
      <c r="BE284">
        <f t="shared" si="59"/>
        <v>14.208168425000002</v>
      </c>
    </row>
    <row r="285" spans="6:101">
      <c r="F285" s="9"/>
      <c r="G285" s="22">
        <v>0.46523999999999999</v>
      </c>
      <c r="H285" s="22">
        <v>52.011699999999998</v>
      </c>
      <c r="I285" s="22">
        <v>-1.57593E-2</v>
      </c>
      <c r="J285" s="22">
        <v>275</v>
      </c>
      <c r="K285" s="22">
        <v>0.46460000000000001</v>
      </c>
      <c r="L285">
        <f t="shared" si="48"/>
        <v>15.7593</v>
      </c>
      <c r="M285">
        <f t="shared" si="49"/>
        <v>7.3318567319999994</v>
      </c>
      <c r="N285" s="9"/>
      <c r="O285" s="22">
        <v>1.2847900000000001</v>
      </c>
      <c r="P285" s="22">
        <v>69.894499999999994</v>
      </c>
      <c r="Q285" s="22">
        <v>-1.06537E-2</v>
      </c>
      <c r="R285" s="22">
        <v>275</v>
      </c>
      <c r="S285" s="22">
        <v>1.2841800000000001</v>
      </c>
      <c r="T285">
        <f t="shared" si="50"/>
        <v>10.653700000000001</v>
      </c>
      <c r="U285">
        <f t="shared" si="51"/>
        <v>13.687767223000002</v>
      </c>
      <c r="X285" s="9"/>
      <c r="Y285" s="22">
        <v>0.46523999999999999</v>
      </c>
      <c r="Z285" s="22">
        <v>119.45399999999999</v>
      </c>
      <c r="AA285" s="22">
        <v>-1.5826400000000001E-2</v>
      </c>
      <c r="AB285" s="22">
        <v>275</v>
      </c>
      <c r="AC285" s="22">
        <v>0.46462999999999999</v>
      </c>
      <c r="AD285">
        <f t="shared" si="52"/>
        <v>15.826400000000001</v>
      </c>
      <c r="AE285">
        <f t="shared" si="53"/>
        <v>7.3630743360000004</v>
      </c>
      <c r="AF285" s="9"/>
      <c r="AG285" s="22">
        <v>1.2847900000000001</v>
      </c>
      <c r="AH285" s="22">
        <v>138.429</v>
      </c>
      <c r="AI285" s="22">
        <v>-1.09283E-2</v>
      </c>
      <c r="AJ285" s="22">
        <v>275</v>
      </c>
      <c r="AK285" s="22">
        <v>1.2841800000000001</v>
      </c>
      <c r="AL285">
        <f t="shared" si="54"/>
        <v>10.9283</v>
      </c>
      <c r="AM285">
        <f t="shared" si="55"/>
        <v>14.040570557000001</v>
      </c>
      <c r="AP285" s="9"/>
      <c r="AQ285" s="22">
        <v>0.46523999999999999</v>
      </c>
      <c r="AR285" s="22">
        <v>161.07400000000001</v>
      </c>
      <c r="AS285" s="22">
        <v>-1.5765399999999999E-2</v>
      </c>
      <c r="AT285" s="22">
        <v>275</v>
      </c>
      <c r="AU285" s="22">
        <v>0.46469100000000002</v>
      </c>
      <c r="AV285">
        <f t="shared" si="56"/>
        <v>15.7654</v>
      </c>
      <c r="AW285">
        <f t="shared" si="57"/>
        <v>7.3346946959999997</v>
      </c>
      <c r="AX285" s="9"/>
      <c r="AY285" s="22">
        <v>1.2847900000000001</v>
      </c>
      <c r="AZ285" s="22">
        <v>183.935</v>
      </c>
      <c r="BA285" s="22">
        <v>-1.10413E-2</v>
      </c>
      <c r="BB285" s="22">
        <v>275</v>
      </c>
      <c r="BC285" s="22">
        <v>1.2844800000000001</v>
      </c>
      <c r="BD285">
        <f t="shared" si="58"/>
        <v>11.0413</v>
      </c>
      <c r="BE285">
        <f t="shared" si="59"/>
        <v>14.185751827000001</v>
      </c>
    </row>
    <row r="286" spans="6:101">
      <c r="F286" s="9"/>
      <c r="G286" s="22">
        <v>0.46020499999999998</v>
      </c>
      <c r="H286" s="22">
        <v>52.021700000000003</v>
      </c>
      <c r="I286" s="22">
        <v>-1.5771500000000001E-2</v>
      </c>
      <c r="J286" s="22">
        <v>276</v>
      </c>
      <c r="K286" s="22">
        <v>0.45962500000000001</v>
      </c>
      <c r="L286">
        <f t="shared" si="48"/>
        <v>15.771500000000001</v>
      </c>
      <c r="M286">
        <f t="shared" si="49"/>
        <v>7.2581231575</v>
      </c>
      <c r="N286" s="9"/>
      <c r="O286" s="22">
        <v>1.28983</v>
      </c>
      <c r="P286" s="22">
        <v>69.904600000000002</v>
      </c>
      <c r="Q286" s="22">
        <v>-1.0589599999999999E-2</v>
      </c>
      <c r="R286" s="22">
        <v>276</v>
      </c>
      <c r="S286" s="22">
        <v>1.2893699999999999</v>
      </c>
      <c r="T286">
        <f t="shared" si="50"/>
        <v>10.589599999999999</v>
      </c>
      <c r="U286">
        <f t="shared" si="51"/>
        <v>13.658783767999999</v>
      </c>
      <c r="X286" s="9"/>
      <c r="Y286" s="22">
        <v>0.46020499999999998</v>
      </c>
      <c r="Z286" s="22">
        <v>119.464</v>
      </c>
      <c r="AA286" s="22">
        <v>-1.58295E-2</v>
      </c>
      <c r="AB286" s="22">
        <v>276</v>
      </c>
      <c r="AC286" s="22">
        <v>0.45959499999999998</v>
      </c>
      <c r="AD286">
        <f t="shared" si="52"/>
        <v>15.829499999999999</v>
      </c>
      <c r="AE286">
        <f t="shared" si="53"/>
        <v>7.2848150474999995</v>
      </c>
      <c r="AF286" s="9"/>
      <c r="AG286" s="22">
        <v>1.28983</v>
      </c>
      <c r="AH286" s="22">
        <v>138.43899999999999</v>
      </c>
      <c r="AI286" s="22">
        <v>-1.08643E-2</v>
      </c>
      <c r="AJ286" s="22">
        <v>276</v>
      </c>
      <c r="AK286" s="22">
        <v>1.2893699999999999</v>
      </c>
      <c r="AL286">
        <f t="shared" si="54"/>
        <v>10.8643</v>
      </c>
      <c r="AM286">
        <f t="shared" si="55"/>
        <v>14.013100069</v>
      </c>
      <c r="AP286" s="9"/>
      <c r="AQ286" s="22">
        <v>0.46020499999999998</v>
      </c>
      <c r="AR286" s="22">
        <v>161.084</v>
      </c>
      <c r="AS286" s="22">
        <v>-1.57745E-2</v>
      </c>
      <c r="AT286" s="22">
        <v>276</v>
      </c>
      <c r="AU286" s="22">
        <v>0.45956399999999997</v>
      </c>
      <c r="AV286">
        <f t="shared" si="56"/>
        <v>15.7745</v>
      </c>
      <c r="AW286">
        <f t="shared" si="57"/>
        <v>7.2595037724999996</v>
      </c>
      <c r="AX286" s="9"/>
      <c r="AY286" s="22">
        <v>1.28983</v>
      </c>
      <c r="AZ286" s="22">
        <v>183.94499999999999</v>
      </c>
      <c r="BA286" s="22">
        <v>-1.0980200000000001E-2</v>
      </c>
      <c r="BB286" s="22">
        <v>276</v>
      </c>
      <c r="BC286" s="22">
        <v>1.2893699999999999</v>
      </c>
      <c r="BD286">
        <f t="shared" si="58"/>
        <v>10.9802</v>
      </c>
      <c r="BE286">
        <f t="shared" si="59"/>
        <v>14.162591366000001</v>
      </c>
    </row>
    <row r="287" spans="6:101">
      <c r="F287" s="9"/>
      <c r="G287" s="22">
        <v>0.45517000000000002</v>
      </c>
      <c r="H287" s="22">
        <v>52.031799999999997</v>
      </c>
      <c r="I287" s="22">
        <v>-1.5786700000000001E-2</v>
      </c>
      <c r="J287" s="22">
        <v>277</v>
      </c>
      <c r="K287" s="22">
        <v>0.45455899999999999</v>
      </c>
      <c r="L287">
        <f t="shared" si="48"/>
        <v>15.786700000000002</v>
      </c>
      <c r="M287">
        <f t="shared" si="49"/>
        <v>7.1856322390000011</v>
      </c>
      <c r="N287" s="9"/>
      <c r="O287" s="22">
        <v>1.2948599999999999</v>
      </c>
      <c r="P287" s="22">
        <v>69.914599999999993</v>
      </c>
      <c r="Q287" s="22">
        <v>-1.0528600000000001E-2</v>
      </c>
      <c r="R287" s="22">
        <v>277</v>
      </c>
      <c r="S287" s="22">
        <v>1.2942499999999999</v>
      </c>
      <c r="T287">
        <f t="shared" si="50"/>
        <v>10.528600000000001</v>
      </c>
      <c r="U287">
        <f t="shared" si="51"/>
        <v>13.633062996</v>
      </c>
      <c r="X287" s="9"/>
      <c r="Y287" s="22">
        <v>0.45517000000000002</v>
      </c>
      <c r="Z287" s="22">
        <v>119.474</v>
      </c>
      <c r="AA287" s="22">
        <v>-1.5838600000000001E-2</v>
      </c>
      <c r="AB287" s="22">
        <v>277</v>
      </c>
      <c r="AC287" s="22">
        <v>0.45458999999999999</v>
      </c>
      <c r="AD287">
        <f t="shared" si="52"/>
        <v>15.838600000000001</v>
      </c>
      <c r="AE287">
        <f t="shared" si="53"/>
        <v>7.2092555620000009</v>
      </c>
      <c r="AF287" s="9"/>
      <c r="AG287" s="22">
        <v>1.2948599999999999</v>
      </c>
      <c r="AH287" s="22">
        <v>138.44900000000001</v>
      </c>
      <c r="AI287" s="22">
        <v>-1.0800199999999999E-2</v>
      </c>
      <c r="AJ287" s="22">
        <v>277</v>
      </c>
      <c r="AK287" s="22">
        <v>1.2939499999999999</v>
      </c>
      <c r="AL287">
        <f t="shared" si="54"/>
        <v>10.8002</v>
      </c>
      <c r="AM287">
        <f t="shared" si="55"/>
        <v>13.984746972</v>
      </c>
      <c r="AP287" s="9"/>
      <c r="AQ287" s="22">
        <v>0.45517000000000002</v>
      </c>
      <c r="AR287" s="22">
        <v>161.09399999999999</v>
      </c>
      <c r="AS287" s="22">
        <v>-1.5780599999999999E-2</v>
      </c>
      <c r="AT287" s="22">
        <v>277</v>
      </c>
      <c r="AU287" s="22">
        <v>0.45455899999999999</v>
      </c>
      <c r="AV287">
        <f t="shared" si="56"/>
        <v>15.780599999999998</v>
      </c>
      <c r="AW287">
        <f t="shared" si="57"/>
        <v>7.1828557019999995</v>
      </c>
      <c r="AX287" s="9"/>
      <c r="AY287" s="22">
        <v>1.2948599999999999</v>
      </c>
      <c r="AZ287" s="22">
        <v>183.95500000000001</v>
      </c>
      <c r="BA287" s="22">
        <v>-1.09192E-2</v>
      </c>
      <c r="BB287" s="22">
        <v>277</v>
      </c>
      <c r="BC287" s="22">
        <v>1.2939499999999999</v>
      </c>
      <c r="BD287">
        <f t="shared" si="58"/>
        <v>10.9192</v>
      </c>
      <c r="BE287">
        <f t="shared" si="59"/>
        <v>14.138835311999999</v>
      </c>
    </row>
    <row r="288" spans="6:101">
      <c r="F288" s="9"/>
      <c r="G288" s="22">
        <v>0.45013399999999998</v>
      </c>
      <c r="H288" s="22">
        <v>52.041899999999998</v>
      </c>
      <c r="I288" s="22">
        <v>-1.5802E-2</v>
      </c>
      <c r="J288" s="22">
        <v>278</v>
      </c>
      <c r="K288" s="22">
        <v>0.44952399999999998</v>
      </c>
      <c r="L288">
        <f t="shared" si="48"/>
        <v>15.802</v>
      </c>
      <c r="M288">
        <f t="shared" si="49"/>
        <v>7.1130174679999998</v>
      </c>
      <c r="N288" s="9"/>
      <c r="O288" s="22">
        <v>1.2999000000000001</v>
      </c>
      <c r="P288" s="22">
        <v>69.924700000000001</v>
      </c>
      <c r="Q288" s="22">
        <v>-1.04706E-2</v>
      </c>
      <c r="R288" s="22">
        <v>278</v>
      </c>
      <c r="S288" s="22">
        <v>1.2988299999999999</v>
      </c>
      <c r="T288">
        <f t="shared" si="50"/>
        <v>10.470599999999999</v>
      </c>
      <c r="U288">
        <f t="shared" si="51"/>
        <v>13.61073294</v>
      </c>
      <c r="X288" s="9"/>
      <c r="Y288" s="22">
        <v>0.45013399999999998</v>
      </c>
      <c r="Z288" s="22">
        <v>119.48399999999999</v>
      </c>
      <c r="AA288" s="22">
        <v>-1.5859999999999999E-2</v>
      </c>
      <c r="AB288" s="22">
        <v>278</v>
      </c>
      <c r="AC288" s="22">
        <v>0.44952399999999998</v>
      </c>
      <c r="AD288">
        <f t="shared" si="52"/>
        <v>15.86</v>
      </c>
      <c r="AE288">
        <f t="shared" si="53"/>
        <v>7.1391252399999994</v>
      </c>
      <c r="AF288" s="9"/>
      <c r="AG288" s="22">
        <v>1.2999000000000001</v>
      </c>
      <c r="AH288" s="22">
        <v>138.459</v>
      </c>
      <c r="AI288" s="22">
        <v>-1.07391E-2</v>
      </c>
      <c r="AJ288" s="22">
        <v>278</v>
      </c>
      <c r="AK288" s="22">
        <v>1.2997399999999999</v>
      </c>
      <c r="AL288">
        <f t="shared" si="54"/>
        <v>10.739100000000001</v>
      </c>
      <c r="AM288">
        <f t="shared" si="55"/>
        <v>13.959756090000001</v>
      </c>
      <c r="AP288" s="9"/>
      <c r="AQ288" s="22">
        <v>0.45013399999999998</v>
      </c>
      <c r="AR288" s="22">
        <v>161.10400000000001</v>
      </c>
      <c r="AS288" s="22">
        <v>-1.5777599999999999E-2</v>
      </c>
      <c r="AT288" s="22">
        <v>278</v>
      </c>
      <c r="AU288" s="22">
        <v>0.44952399999999998</v>
      </c>
      <c r="AV288">
        <f t="shared" si="56"/>
        <v>15.7776</v>
      </c>
      <c r="AW288">
        <f t="shared" si="57"/>
        <v>7.1020341983999993</v>
      </c>
      <c r="AX288" s="9"/>
      <c r="AY288" s="22">
        <v>1.2999000000000001</v>
      </c>
      <c r="AZ288" s="22">
        <v>183.965</v>
      </c>
      <c r="BA288" s="22">
        <v>-1.08521E-2</v>
      </c>
      <c r="BB288" s="22">
        <v>278</v>
      </c>
      <c r="BC288" s="22">
        <v>1.2988299999999999</v>
      </c>
      <c r="BD288">
        <f t="shared" si="58"/>
        <v>10.8521</v>
      </c>
      <c r="BE288">
        <f t="shared" si="59"/>
        <v>14.106644790000001</v>
      </c>
    </row>
    <row r="289" spans="6:57">
      <c r="F289" s="9"/>
      <c r="G289" s="22">
        <v>0.44509900000000002</v>
      </c>
      <c r="H289" s="22">
        <v>52.051900000000003</v>
      </c>
      <c r="I289" s="22">
        <v>-1.5817299999999999E-2</v>
      </c>
      <c r="J289" s="22">
        <v>279</v>
      </c>
      <c r="K289" s="22">
        <v>0.44445800000000002</v>
      </c>
      <c r="L289">
        <f t="shared" si="48"/>
        <v>15.817299999999999</v>
      </c>
      <c r="M289">
        <f t="shared" si="49"/>
        <v>7.0402644127</v>
      </c>
      <c r="N289" s="9"/>
      <c r="O289" s="22">
        <v>1.3049299999999999</v>
      </c>
      <c r="P289" s="22">
        <v>69.934799999999996</v>
      </c>
      <c r="Q289" s="22">
        <v>-1.0412599999999999E-2</v>
      </c>
      <c r="R289" s="22">
        <v>279</v>
      </c>
      <c r="S289" s="22">
        <v>1.30463</v>
      </c>
      <c r="T289">
        <f t="shared" si="50"/>
        <v>10.412599999999999</v>
      </c>
      <c r="U289">
        <f t="shared" si="51"/>
        <v>13.587714117999999</v>
      </c>
      <c r="X289" s="9"/>
      <c r="Y289" s="22">
        <v>0.44509900000000002</v>
      </c>
      <c r="Z289" s="22">
        <v>119.494</v>
      </c>
      <c r="AA289" s="22">
        <v>-1.5875199999999999E-2</v>
      </c>
      <c r="AB289" s="22">
        <v>279</v>
      </c>
      <c r="AC289" s="22">
        <v>0.44448900000000002</v>
      </c>
      <c r="AD289">
        <f t="shared" si="52"/>
        <v>15.8752</v>
      </c>
      <c r="AE289">
        <f t="shared" si="53"/>
        <v>7.0660356448000003</v>
      </c>
      <c r="AF289" s="9"/>
      <c r="AG289" s="22">
        <v>1.3049299999999999</v>
      </c>
      <c r="AH289" s="22">
        <v>138.46899999999999</v>
      </c>
      <c r="AI289" s="22">
        <v>-1.0675E-2</v>
      </c>
      <c r="AJ289" s="22">
        <v>279</v>
      </c>
      <c r="AK289" s="22">
        <v>1.3043199999999999</v>
      </c>
      <c r="AL289">
        <f t="shared" si="54"/>
        <v>10.675000000000001</v>
      </c>
      <c r="AM289">
        <f t="shared" si="55"/>
        <v>13.93012775</v>
      </c>
      <c r="AP289" s="9"/>
      <c r="AQ289" s="22">
        <v>0.44509900000000002</v>
      </c>
      <c r="AR289" s="22">
        <v>161.114</v>
      </c>
      <c r="AS289" s="22">
        <v>-1.5783700000000001E-2</v>
      </c>
      <c r="AT289" s="22">
        <v>279</v>
      </c>
      <c r="AU289" s="22">
        <v>0.444519</v>
      </c>
      <c r="AV289">
        <f t="shared" si="56"/>
        <v>15.783700000000001</v>
      </c>
      <c r="AW289">
        <f t="shared" si="57"/>
        <v>7.0253090863000009</v>
      </c>
      <c r="AX289" s="9"/>
      <c r="AY289" s="22">
        <v>1.3049299999999999</v>
      </c>
      <c r="AZ289" s="22">
        <v>183.97499999999999</v>
      </c>
      <c r="BA289" s="22">
        <v>-1.07849E-2</v>
      </c>
      <c r="BB289" s="22">
        <v>279</v>
      </c>
      <c r="BC289" s="22">
        <v>1.3043199999999999</v>
      </c>
      <c r="BD289">
        <f t="shared" si="58"/>
        <v>10.7849</v>
      </c>
      <c r="BE289">
        <f t="shared" si="59"/>
        <v>14.073539557</v>
      </c>
    </row>
    <row r="290" spans="6:57">
      <c r="F290" s="9"/>
      <c r="G290" s="22">
        <v>0.44006299999999998</v>
      </c>
      <c r="H290" s="22">
        <v>52.061999999999998</v>
      </c>
      <c r="I290" s="22">
        <v>-1.58142E-2</v>
      </c>
      <c r="J290" s="22">
        <v>280</v>
      </c>
      <c r="K290" s="22">
        <v>0.43942300000000001</v>
      </c>
      <c r="L290">
        <f t="shared" si="48"/>
        <v>15.8142</v>
      </c>
      <c r="M290">
        <f t="shared" si="49"/>
        <v>6.9592442945999995</v>
      </c>
      <c r="N290" s="9"/>
      <c r="O290" s="22">
        <v>1.3099700000000001</v>
      </c>
      <c r="P290" s="22">
        <v>69.944900000000004</v>
      </c>
      <c r="Q290" s="22">
        <v>-1.03546E-2</v>
      </c>
      <c r="R290" s="22">
        <v>280</v>
      </c>
      <c r="S290" s="22">
        <v>1.30951</v>
      </c>
      <c r="T290">
        <f t="shared" si="50"/>
        <v>10.3546</v>
      </c>
      <c r="U290">
        <f t="shared" si="51"/>
        <v>13.564215362000001</v>
      </c>
      <c r="X290" s="9"/>
      <c r="Y290" s="22">
        <v>0.44006299999999998</v>
      </c>
      <c r="Z290" s="22">
        <v>119.504</v>
      </c>
      <c r="AA290" s="22">
        <v>-1.5890499999999998E-2</v>
      </c>
      <c r="AB290" s="22">
        <v>280</v>
      </c>
      <c r="AC290" s="22">
        <v>0.43945299999999998</v>
      </c>
      <c r="AD290">
        <f t="shared" si="52"/>
        <v>15.890499999999998</v>
      </c>
      <c r="AE290">
        <f t="shared" si="53"/>
        <v>6.9928211014999988</v>
      </c>
      <c r="AF290" s="9"/>
      <c r="AG290" s="22">
        <v>1.3099700000000001</v>
      </c>
      <c r="AH290" s="22">
        <v>138.47900000000001</v>
      </c>
      <c r="AI290" s="22">
        <v>-1.0611000000000001E-2</v>
      </c>
      <c r="AJ290" s="22">
        <v>280</v>
      </c>
      <c r="AK290" s="22">
        <v>1.3091999999999999</v>
      </c>
      <c r="AL290">
        <f t="shared" si="54"/>
        <v>10.611000000000001</v>
      </c>
      <c r="AM290">
        <f t="shared" si="55"/>
        <v>13.900091670000002</v>
      </c>
      <c r="AP290" s="9"/>
      <c r="AQ290" s="22">
        <v>0.44006299999999998</v>
      </c>
      <c r="AR290" s="22">
        <v>161.124</v>
      </c>
      <c r="AS290" s="22">
        <v>-1.5786700000000001E-2</v>
      </c>
      <c r="AT290" s="22">
        <v>280</v>
      </c>
      <c r="AU290" s="22">
        <v>0.43936199999999997</v>
      </c>
      <c r="AV290">
        <f t="shared" si="56"/>
        <v>15.786700000000002</v>
      </c>
      <c r="AW290">
        <f t="shared" si="57"/>
        <v>6.9471425621000007</v>
      </c>
      <c r="AX290" s="9"/>
      <c r="AY290" s="22">
        <v>1.3099700000000001</v>
      </c>
      <c r="AZ290" s="22">
        <v>183.98500000000001</v>
      </c>
      <c r="BA290" s="22">
        <v>-1.0714700000000001E-2</v>
      </c>
      <c r="BB290" s="22">
        <v>280</v>
      </c>
      <c r="BC290" s="22">
        <v>1.30951</v>
      </c>
      <c r="BD290">
        <f t="shared" si="58"/>
        <v>10.714700000000001</v>
      </c>
      <c r="BE290">
        <f t="shared" si="59"/>
        <v>14.035935559000002</v>
      </c>
    </row>
    <row r="291" spans="6:57">
      <c r="F291" s="9"/>
      <c r="G291" s="22">
        <v>0.43502800000000003</v>
      </c>
      <c r="H291" s="22">
        <v>52.072099999999999</v>
      </c>
      <c r="I291" s="22">
        <v>-1.5808099999999999E-2</v>
      </c>
      <c r="J291" s="22">
        <v>281</v>
      </c>
      <c r="K291" s="22">
        <v>0.43438700000000002</v>
      </c>
      <c r="L291">
        <f t="shared" si="48"/>
        <v>15.808099999999998</v>
      </c>
      <c r="M291">
        <f t="shared" si="49"/>
        <v>6.8769661267999993</v>
      </c>
      <c r="N291" s="9"/>
      <c r="O291" s="22">
        <v>1.3149999999999999</v>
      </c>
      <c r="P291" s="22">
        <v>69.954899999999995</v>
      </c>
      <c r="Q291" s="22">
        <v>-1.02936E-2</v>
      </c>
      <c r="R291" s="22">
        <v>281</v>
      </c>
      <c r="S291" s="22">
        <v>1.3147</v>
      </c>
      <c r="T291">
        <f t="shared" si="50"/>
        <v>10.2936</v>
      </c>
      <c r="U291">
        <f t="shared" si="51"/>
        <v>13.536083999999999</v>
      </c>
      <c r="X291" s="9"/>
      <c r="Y291" s="22">
        <v>0.43502800000000003</v>
      </c>
      <c r="Z291" s="22">
        <v>119.514</v>
      </c>
      <c r="AA291" s="22">
        <v>-1.5902699999999999E-2</v>
      </c>
      <c r="AB291" s="22">
        <v>281</v>
      </c>
      <c r="AC291" s="22">
        <v>0.43441800000000003</v>
      </c>
      <c r="AD291">
        <f t="shared" si="52"/>
        <v>15.902699999999999</v>
      </c>
      <c r="AE291">
        <f t="shared" si="53"/>
        <v>6.9181197756000001</v>
      </c>
      <c r="AF291" s="9"/>
      <c r="AG291" s="22">
        <v>1.3149999999999999</v>
      </c>
      <c r="AH291" s="22">
        <v>138.489</v>
      </c>
      <c r="AI291" s="22">
        <v>-1.0543800000000001E-2</v>
      </c>
      <c r="AJ291" s="22">
        <v>281</v>
      </c>
      <c r="AK291" s="22">
        <v>1.3147</v>
      </c>
      <c r="AL291">
        <f t="shared" si="54"/>
        <v>10.543800000000001</v>
      </c>
      <c r="AM291">
        <f t="shared" si="55"/>
        <v>13.865097</v>
      </c>
      <c r="AP291" s="9"/>
      <c r="AQ291" s="22">
        <v>0.43502800000000003</v>
      </c>
      <c r="AR291" s="22">
        <v>161.13399999999999</v>
      </c>
      <c r="AS291" s="22">
        <v>-1.57898E-2</v>
      </c>
      <c r="AT291" s="22">
        <v>281</v>
      </c>
      <c r="AU291" s="22">
        <v>0.434479</v>
      </c>
      <c r="AV291">
        <f t="shared" si="56"/>
        <v>15.7898</v>
      </c>
      <c r="AW291">
        <f t="shared" si="57"/>
        <v>6.8690051144000002</v>
      </c>
      <c r="AX291" s="9"/>
      <c r="AY291" s="22">
        <v>1.3149999999999999</v>
      </c>
      <c r="AZ291" s="22">
        <v>183.995</v>
      </c>
      <c r="BA291" s="22">
        <v>-1.06506E-2</v>
      </c>
      <c r="BB291" s="22">
        <v>281</v>
      </c>
      <c r="BC291" s="22">
        <v>1.3143899999999999</v>
      </c>
      <c r="BD291">
        <f t="shared" si="58"/>
        <v>10.650599999999999</v>
      </c>
      <c r="BE291">
        <f t="shared" si="59"/>
        <v>14.005538999999999</v>
      </c>
    </row>
    <row r="292" spans="6:57">
      <c r="F292" s="9"/>
      <c r="G292" s="22">
        <v>0.42999300000000001</v>
      </c>
      <c r="H292" s="22">
        <v>52.0822</v>
      </c>
      <c r="I292" s="22">
        <v>-1.5805099999999999E-2</v>
      </c>
      <c r="J292" s="22">
        <v>282</v>
      </c>
      <c r="K292" s="22">
        <v>0.42935200000000001</v>
      </c>
      <c r="L292">
        <f t="shared" si="48"/>
        <v>15.805099999999999</v>
      </c>
      <c r="M292">
        <f t="shared" si="49"/>
        <v>6.7960823643000001</v>
      </c>
      <c r="N292" s="9"/>
      <c r="O292" s="22">
        <v>1.3200400000000001</v>
      </c>
      <c r="P292" s="22">
        <v>69.965000000000003</v>
      </c>
      <c r="Q292" s="22">
        <v>-1.02264E-2</v>
      </c>
      <c r="R292" s="22">
        <v>282</v>
      </c>
      <c r="S292" s="22">
        <v>1.31989</v>
      </c>
      <c r="T292">
        <f t="shared" si="50"/>
        <v>10.2264</v>
      </c>
      <c r="U292">
        <f t="shared" si="51"/>
        <v>13.499257056000001</v>
      </c>
      <c r="X292" s="9"/>
      <c r="Y292" s="22">
        <v>0.42999300000000001</v>
      </c>
      <c r="Z292" s="22">
        <v>119.524</v>
      </c>
      <c r="AA292" s="22">
        <v>-1.5902699999999999E-2</v>
      </c>
      <c r="AB292" s="22">
        <v>282</v>
      </c>
      <c r="AC292" s="22">
        <v>0.42941299999999999</v>
      </c>
      <c r="AD292">
        <f t="shared" si="52"/>
        <v>15.902699999999999</v>
      </c>
      <c r="AE292">
        <f t="shared" si="53"/>
        <v>6.8380496811000002</v>
      </c>
      <c r="AF292" s="9"/>
      <c r="AG292" s="22">
        <v>1.3200400000000001</v>
      </c>
      <c r="AH292" s="22">
        <v>138.499</v>
      </c>
      <c r="AI292" s="22">
        <v>-1.04736E-2</v>
      </c>
      <c r="AJ292" s="22">
        <v>282</v>
      </c>
      <c r="AK292" s="22">
        <v>1.3192699999999999</v>
      </c>
      <c r="AL292">
        <f t="shared" si="54"/>
        <v>10.473599999999999</v>
      </c>
      <c r="AM292">
        <f t="shared" si="55"/>
        <v>13.825570944000001</v>
      </c>
      <c r="AP292" s="9"/>
      <c r="AQ292" s="22">
        <v>0.42999300000000001</v>
      </c>
      <c r="AR292" s="22">
        <v>161.14400000000001</v>
      </c>
      <c r="AS292" s="22">
        <v>-1.5811200000000001E-2</v>
      </c>
      <c r="AT292" s="22">
        <v>282</v>
      </c>
      <c r="AU292" s="22">
        <v>0.42935200000000001</v>
      </c>
      <c r="AV292">
        <f t="shared" si="56"/>
        <v>15.811200000000001</v>
      </c>
      <c r="AW292">
        <f t="shared" si="57"/>
        <v>6.7987053216000009</v>
      </c>
      <c r="AX292" s="9"/>
      <c r="AY292" s="22">
        <v>1.3200400000000001</v>
      </c>
      <c r="AZ292" s="22">
        <v>184.005</v>
      </c>
      <c r="BA292" s="22">
        <v>-1.05865E-2</v>
      </c>
      <c r="BB292" s="22">
        <v>282</v>
      </c>
      <c r="BC292" s="22">
        <v>1.31958</v>
      </c>
      <c r="BD292">
        <f t="shared" si="58"/>
        <v>10.586500000000001</v>
      </c>
      <c r="BE292">
        <f t="shared" si="59"/>
        <v>13.974603460000003</v>
      </c>
    </row>
    <row r="293" spans="6:57">
      <c r="F293" s="9"/>
      <c r="G293" s="22">
        <v>0.42495699999999997</v>
      </c>
      <c r="H293" s="22">
        <v>52.092199999999998</v>
      </c>
      <c r="I293" s="22">
        <v>-1.5817299999999999E-2</v>
      </c>
      <c r="J293" s="22">
        <v>283</v>
      </c>
      <c r="K293" s="22">
        <v>0.42440800000000001</v>
      </c>
      <c r="L293">
        <f t="shared" si="48"/>
        <v>15.817299999999999</v>
      </c>
      <c r="M293">
        <f t="shared" si="49"/>
        <v>6.7216723560999991</v>
      </c>
      <c r="N293" s="9"/>
      <c r="O293" s="22">
        <v>1.32507</v>
      </c>
      <c r="P293" s="22">
        <v>69.975099999999998</v>
      </c>
      <c r="Q293" s="22">
        <v>-1.01593E-2</v>
      </c>
      <c r="R293" s="22">
        <v>283</v>
      </c>
      <c r="S293" s="22">
        <v>1.32416</v>
      </c>
      <c r="T293">
        <f t="shared" si="50"/>
        <v>10.1593</v>
      </c>
      <c r="U293">
        <f t="shared" si="51"/>
        <v>13.461783650999999</v>
      </c>
      <c r="X293" s="9"/>
      <c r="Y293" s="22">
        <v>0.42495699999999997</v>
      </c>
      <c r="Z293" s="22">
        <v>119.53400000000001</v>
      </c>
      <c r="AA293" s="22">
        <v>-1.58966E-2</v>
      </c>
      <c r="AB293" s="22">
        <v>283</v>
      </c>
      <c r="AC293" s="22">
        <v>0.424377</v>
      </c>
      <c r="AD293">
        <f t="shared" si="52"/>
        <v>15.896600000000001</v>
      </c>
      <c r="AE293">
        <f t="shared" si="53"/>
        <v>6.7553714461999999</v>
      </c>
      <c r="AF293" s="9"/>
      <c r="AG293" s="22">
        <v>1.32507</v>
      </c>
      <c r="AH293" s="22">
        <v>138.50899999999999</v>
      </c>
      <c r="AI293" s="22">
        <v>-1.0406500000000001E-2</v>
      </c>
      <c r="AJ293" s="22">
        <v>283</v>
      </c>
      <c r="AK293" s="22">
        <v>1.32477</v>
      </c>
      <c r="AL293">
        <f t="shared" si="54"/>
        <v>10.406500000000001</v>
      </c>
      <c r="AM293">
        <f t="shared" si="55"/>
        <v>13.789340955000002</v>
      </c>
      <c r="AP293" s="9"/>
      <c r="AQ293" s="22">
        <v>0.42495699999999997</v>
      </c>
      <c r="AR293" s="22">
        <v>161.154</v>
      </c>
      <c r="AS293" s="22">
        <v>-1.5820299999999999E-2</v>
      </c>
      <c r="AT293" s="22">
        <v>283</v>
      </c>
      <c r="AU293" s="22">
        <v>0.42425499999999999</v>
      </c>
      <c r="AV293">
        <f t="shared" si="56"/>
        <v>15.8203</v>
      </c>
      <c r="AW293">
        <f t="shared" si="57"/>
        <v>6.7229472270999997</v>
      </c>
      <c r="AX293" s="9"/>
      <c r="AY293" s="22">
        <v>1.32507</v>
      </c>
      <c r="AZ293" s="22">
        <v>184.01499999999999</v>
      </c>
      <c r="BA293" s="22">
        <v>-1.05194E-2</v>
      </c>
      <c r="BB293" s="22">
        <v>283</v>
      </c>
      <c r="BC293" s="22">
        <v>1.32446</v>
      </c>
      <c r="BD293">
        <f t="shared" si="58"/>
        <v>10.519399999999999</v>
      </c>
      <c r="BE293">
        <f t="shared" si="59"/>
        <v>13.938941357999999</v>
      </c>
    </row>
    <row r="294" spans="6:57">
      <c r="F294" s="9"/>
      <c r="G294" s="22">
        <v>0.41992200000000002</v>
      </c>
      <c r="H294" s="22">
        <v>52.1023</v>
      </c>
      <c r="I294" s="22">
        <v>-1.5823400000000001E-2</v>
      </c>
      <c r="J294" s="22">
        <v>284</v>
      </c>
      <c r="K294" s="22">
        <v>0.41928100000000001</v>
      </c>
      <c r="L294">
        <f t="shared" si="48"/>
        <v>15.823400000000001</v>
      </c>
      <c r="M294">
        <f t="shared" si="49"/>
        <v>6.6445937748000006</v>
      </c>
      <c r="N294" s="9"/>
      <c r="O294" s="22">
        <v>1.3301099999999999</v>
      </c>
      <c r="P294" s="22">
        <v>69.985100000000003</v>
      </c>
      <c r="Q294" s="22">
        <v>-1.0092200000000001E-2</v>
      </c>
      <c r="R294" s="22">
        <v>284</v>
      </c>
      <c r="S294" s="22">
        <v>1.32935</v>
      </c>
      <c r="T294">
        <f t="shared" si="50"/>
        <v>10.0922</v>
      </c>
      <c r="U294">
        <f t="shared" si="51"/>
        <v>13.423736141999999</v>
      </c>
      <c r="X294" s="9"/>
      <c r="Y294" s="22">
        <v>0.41992200000000002</v>
      </c>
      <c r="Z294" s="22">
        <v>119.545</v>
      </c>
      <c r="AA294" s="22">
        <v>-1.58966E-2</v>
      </c>
      <c r="AB294" s="22">
        <v>284</v>
      </c>
      <c r="AC294" s="22">
        <v>0.41943399999999997</v>
      </c>
      <c r="AD294">
        <f t="shared" si="52"/>
        <v>15.896600000000001</v>
      </c>
      <c r="AE294">
        <f t="shared" si="53"/>
        <v>6.675332065200001</v>
      </c>
      <c r="AF294" s="9"/>
      <c r="AG294" s="22">
        <v>1.3301099999999999</v>
      </c>
      <c r="AH294" s="22">
        <v>138.51900000000001</v>
      </c>
      <c r="AI294" s="22">
        <v>-1.03394E-2</v>
      </c>
      <c r="AJ294" s="22">
        <v>284</v>
      </c>
      <c r="AK294" s="22">
        <v>1.32965</v>
      </c>
      <c r="AL294">
        <f t="shared" si="54"/>
        <v>10.339399999999999</v>
      </c>
      <c r="AM294">
        <f t="shared" si="55"/>
        <v>13.752539333999998</v>
      </c>
      <c r="AP294" s="9"/>
      <c r="AQ294" s="22">
        <v>0.41992200000000002</v>
      </c>
      <c r="AR294" s="22">
        <v>161.16399999999999</v>
      </c>
      <c r="AS294" s="22">
        <v>-1.5823400000000001E-2</v>
      </c>
      <c r="AT294" s="22">
        <v>284</v>
      </c>
      <c r="AU294" s="22">
        <v>0.41940300000000003</v>
      </c>
      <c r="AV294">
        <f t="shared" si="56"/>
        <v>15.823400000000001</v>
      </c>
      <c r="AW294">
        <f t="shared" si="57"/>
        <v>6.6445937748000006</v>
      </c>
      <c r="AX294" s="9"/>
      <c r="AY294" s="22">
        <v>1.3301099999999999</v>
      </c>
      <c r="AZ294" s="22">
        <v>184.02500000000001</v>
      </c>
      <c r="BA294" s="22">
        <v>-1.0452299999999999E-2</v>
      </c>
      <c r="BB294" s="22">
        <v>284</v>
      </c>
      <c r="BC294" s="22">
        <v>1.32935</v>
      </c>
      <c r="BD294">
        <f t="shared" si="58"/>
        <v>10.452299999999999</v>
      </c>
      <c r="BE294">
        <f t="shared" si="59"/>
        <v>13.902708752999999</v>
      </c>
    </row>
    <row r="295" spans="6:57">
      <c r="F295" s="9"/>
      <c r="G295" s="22">
        <v>0.41488599999999998</v>
      </c>
      <c r="H295" s="22">
        <v>52.112400000000001</v>
      </c>
      <c r="I295" s="22">
        <v>-1.5832499999999999E-2</v>
      </c>
      <c r="J295" s="22">
        <v>285</v>
      </c>
      <c r="K295" s="22">
        <v>0.41430699999999998</v>
      </c>
      <c r="L295">
        <f t="shared" si="48"/>
        <v>15.8325</v>
      </c>
      <c r="M295">
        <f t="shared" si="49"/>
        <v>6.5686825949999994</v>
      </c>
      <c r="N295" s="9"/>
      <c r="O295" s="22">
        <v>1.33514</v>
      </c>
      <c r="P295" s="22">
        <v>69.995199999999997</v>
      </c>
      <c r="Q295" s="22">
        <v>-1.0024999999999999E-2</v>
      </c>
      <c r="R295" s="22">
        <v>285</v>
      </c>
      <c r="S295" s="22">
        <v>1.33392</v>
      </c>
      <c r="T295">
        <f t="shared" si="50"/>
        <v>10.024999999999999</v>
      </c>
      <c r="U295">
        <f t="shared" si="51"/>
        <v>13.384778499999998</v>
      </c>
      <c r="X295" s="9"/>
      <c r="Y295" s="22">
        <v>0.41488599999999998</v>
      </c>
      <c r="Z295" s="22">
        <v>119.55500000000001</v>
      </c>
      <c r="AA295" s="22">
        <v>-1.5893600000000001E-2</v>
      </c>
      <c r="AB295" s="22">
        <v>285</v>
      </c>
      <c r="AC295" s="22">
        <v>0.41418500000000003</v>
      </c>
      <c r="AD295">
        <f t="shared" si="52"/>
        <v>15.893600000000001</v>
      </c>
      <c r="AE295">
        <f t="shared" si="53"/>
        <v>6.5940321296000004</v>
      </c>
      <c r="AF295" s="9"/>
      <c r="AG295" s="22">
        <v>1.33514</v>
      </c>
      <c r="AH295" s="22">
        <v>138.53</v>
      </c>
      <c r="AI295" s="22">
        <v>-1.02722E-2</v>
      </c>
      <c r="AJ295" s="22">
        <v>285</v>
      </c>
      <c r="AK295" s="22">
        <v>1.33453</v>
      </c>
      <c r="AL295">
        <f t="shared" si="54"/>
        <v>10.2722</v>
      </c>
      <c r="AM295">
        <f t="shared" si="55"/>
        <v>13.714825107999999</v>
      </c>
      <c r="AP295" s="9"/>
      <c r="AQ295" s="22">
        <v>0.41488599999999998</v>
      </c>
      <c r="AR295" s="22">
        <v>161.17400000000001</v>
      </c>
      <c r="AS295" s="22">
        <v>-1.5823400000000001E-2</v>
      </c>
      <c r="AT295" s="22">
        <v>285</v>
      </c>
      <c r="AU295" s="22">
        <v>0.41436800000000001</v>
      </c>
      <c r="AV295">
        <f t="shared" si="56"/>
        <v>15.823400000000001</v>
      </c>
      <c r="AW295">
        <f t="shared" si="57"/>
        <v>6.5649071324000001</v>
      </c>
      <c r="AX295" s="9"/>
      <c r="AY295" s="22">
        <v>1.33514</v>
      </c>
      <c r="AZ295" s="22">
        <v>184.035</v>
      </c>
      <c r="BA295" s="22">
        <v>-1.03882E-2</v>
      </c>
      <c r="BB295" s="22">
        <v>285</v>
      </c>
      <c r="BC295" s="22">
        <v>1.33484</v>
      </c>
      <c r="BD295">
        <f t="shared" si="58"/>
        <v>10.388199999999999</v>
      </c>
      <c r="BE295">
        <f t="shared" si="59"/>
        <v>13.869701348</v>
      </c>
    </row>
    <row r="296" spans="6:57">
      <c r="F296" s="9"/>
      <c r="G296" s="22">
        <v>0.40985100000000002</v>
      </c>
      <c r="H296" s="22">
        <v>52.122399999999999</v>
      </c>
      <c r="I296" s="22">
        <v>-1.5847799999999999E-2</v>
      </c>
      <c r="J296" s="22">
        <v>286</v>
      </c>
      <c r="K296" s="22">
        <v>0.409302</v>
      </c>
      <c r="L296">
        <f t="shared" si="48"/>
        <v>15.847799999999999</v>
      </c>
      <c r="M296">
        <f t="shared" si="49"/>
        <v>6.4952366778000004</v>
      </c>
      <c r="N296" s="9"/>
      <c r="O296" s="22">
        <v>1.3401799999999999</v>
      </c>
      <c r="P296" s="22">
        <v>70.005300000000005</v>
      </c>
      <c r="Q296" s="22">
        <v>-9.9609399999999997E-3</v>
      </c>
      <c r="R296" s="22">
        <v>286</v>
      </c>
      <c r="S296" s="22">
        <v>1.33911</v>
      </c>
      <c r="T296">
        <f t="shared" si="50"/>
        <v>9.960939999999999</v>
      </c>
      <c r="U296">
        <f t="shared" si="51"/>
        <v>13.349452569199999</v>
      </c>
      <c r="X296" s="9"/>
      <c r="Y296" s="22">
        <v>0.40985100000000002</v>
      </c>
      <c r="Z296" s="22">
        <v>119.565</v>
      </c>
      <c r="AA296" s="22">
        <v>-1.5893600000000001E-2</v>
      </c>
      <c r="AB296" s="22">
        <v>286</v>
      </c>
      <c r="AC296" s="22">
        <v>0.40917999999999999</v>
      </c>
      <c r="AD296">
        <f t="shared" si="52"/>
        <v>15.893600000000001</v>
      </c>
      <c r="AE296">
        <f t="shared" si="53"/>
        <v>6.5140078536000008</v>
      </c>
      <c r="AF296" s="9"/>
      <c r="AG296" s="22">
        <v>1.3401799999999999</v>
      </c>
      <c r="AH296" s="22">
        <v>138.54</v>
      </c>
      <c r="AI296" s="22">
        <v>-1.0208099999999999E-2</v>
      </c>
      <c r="AJ296" s="22">
        <v>286</v>
      </c>
      <c r="AK296" s="22">
        <v>1.33911</v>
      </c>
      <c r="AL296">
        <f t="shared" si="54"/>
        <v>10.2081</v>
      </c>
      <c r="AM296">
        <f t="shared" si="55"/>
        <v>13.680691457999998</v>
      </c>
      <c r="AP296" s="9"/>
      <c r="AQ296" s="22">
        <v>0.40985100000000002</v>
      </c>
      <c r="AR296" s="22">
        <v>161.184</v>
      </c>
      <c r="AS296" s="22">
        <v>-1.58295E-2</v>
      </c>
      <c r="AT296" s="22">
        <v>286</v>
      </c>
      <c r="AU296" s="22">
        <v>0.40914899999999998</v>
      </c>
      <c r="AV296">
        <f t="shared" si="56"/>
        <v>15.829499999999999</v>
      </c>
      <c r="AW296">
        <f t="shared" si="57"/>
        <v>6.4877364044999997</v>
      </c>
      <c r="AX296" s="9"/>
      <c r="AY296" s="22">
        <v>1.3401799999999999</v>
      </c>
      <c r="AZ296" s="22">
        <v>184.04499999999999</v>
      </c>
      <c r="BA296" s="22">
        <v>-1.0324099999999999E-2</v>
      </c>
      <c r="BB296" s="22">
        <v>286</v>
      </c>
      <c r="BC296" s="22">
        <v>1.3394200000000001</v>
      </c>
      <c r="BD296">
        <f t="shared" si="58"/>
        <v>10.3241</v>
      </c>
      <c r="BE296">
        <f t="shared" si="59"/>
        <v>13.836152337999998</v>
      </c>
    </row>
    <row r="297" spans="6:57">
      <c r="F297" s="9"/>
      <c r="G297" s="22">
        <v>0.40481600000000001</v>
      </c>
      <c r="H297" s="22">
        <v>52.1325</v>
      </c>
      <c r="I297" s="22">
        <v>-1.5850800000000002E-2</v>
      </c>
      <c r="J297" s="22">
        <v>287</v>
      </c>
      <c r="K297" s="22">
        <v>0.40429700000000002</v>
      </c>
      <c r="L297">
        <f t="shared" si="48"/>
        <v>15.850800000000001</v>
      </c>
      <c r="M297">
        <f t="shared" si="49"/>
        <v>6.4166574528000009</v>
      </c>
      <c r="N297" s="9"/>
      <c r="O297" s="22">
        <v>1.34521</v>
      </c>
      <c r="P297" s="22">
        <v>70.0154</v>
      </c>
      <c r="Q297" s="22">
        <v>-9.8937999999999995E-3</v>
      </c>
      <c r="R297" s="22">
        <v>287</v>
      </c>
      <c r="S297" s="22">
        <v>1.3446</v>
      </c>
      <c r="T297">
        <f t="shared" si="50"/>
        <v>9.8937999999999988</v>
      </c>
      <c r="U297">
        <f t="shared" si="51"/>
        <v>13.309238697999998</v>
      </c>
      <c r="X297" s="9"/>
      <c r="Y297" s="22">
        <v>0.40481600000000001</v>
      </c>
      <c r="Z297" s="22">
        <v>119.575</v>
      </c>
      <c r="AA297" s="22">
        <v>-1.5890499999999998E-2</v>
      </c>
      <c r="AB297" s="22">
        <v>287</v>
      </c>
      <c r="AC297" s="22">
        <v>0.40429700000000002</v>
      </c>
      <c r="AD297">
        <f t="shared" si="52"/>
        <v>15.890499999999998</v>
      </c>
      <c r="AE297">
        <f t="shared" si="53"/>
        <v>6.4327286479999994</v>
      </c>
      <c r="AF297" s="9"/>
      <c r="AG297" s="22">
        <v>1.34521</v>
      </c>
      <c r="AH297" s="22">
        <v>138.55000000000001</v>
      </c>
      <c r="AI297" s="22">
        <v>-1.01379E-2</v>
      </c>
      <c r="AJ297" s="22">
        <v>287</v>
      </c>
      <c r="AK297" s="22">
        <v>1.34399</v>
      </c>
      <c r="AL297">
        <f t="shared" si="54"/>
        <v>10.1379</v>
      </c>
      <c r="AM297">
        <f t="shared" si="55"/>
        <v>13.637604459</v>
      </c>
      <c r="AP297" s="9"/>
      <c r="AQ297" s="22">
        <v>0.40481600000000001</v>
      </c>
      <c r="AR297" s="22">
        <v>161.19499999999999</v>
      </c>
      <c r="AS297" s="22">
        <v>-1.5835599999999998E-2</v>
      </c>
      <c r="AT297" s="22">
        <v>287</v>
      </c>
      <c r="AU297" s="22">
        <v>0.40423599999999998</v>
      </c>
      <c r="AV297">
        <f t="shared" si="56"/>
        <v>15.835599999999998</v>
      </c>
      <c r="AW297">
        <f t="shared" si="57"/>
        <v>6.4105042495999989</v>
      </c>
      <c r="AX297" s="9"/>
      <c r="AY297" s="22">
        <v>1.34521</v>
      </c>
      <c r="AZ297" s="22">
        <v>184.05600000000001</v>
      </c>
      <c r="BA297" s="22">
        <v>-1.0257E-2</v>
      </c>
      <c r="BB297" s="22">
        <v>287</v>
      </c>
      <c r="BC297" s="22">
        <v>1.34491</v>
      </c>
      <c r="BD297">
        <f t="shared" si="58"/>
        <v>10.257</v>
      </c>
      <c r="BE297">
        <f t="shared" si="59"/>
        <v>13.79781897</v>
      </c>
    </row>
    <row r="298" spans="6:57">
      <c r="F298" s="9"/>
      <c r="G298" s="22">
        <v>0.39978000000000002</v>
      </c>
      <c r="H298" s="22">
        <v>52.142600000000002</v>
      </c>
      <c r="I298" s="22">
        <v>-1.5866100000000001E-2</v>
      </c>
      <c r="J298" s="22">
        <v>288</v>
      </c>
      <c r="K298" s="22">
        <v>0.39926099999999998</v>
      </c>
      <c r="L298">
        <f t="shared" si="48"/>
        <v>15.866100000000001</v>
      </c>
      <c r="M298">
        <f t="shared" si="49"/>
        <v>6.3429494580000005</v>
      </c>
      <c r="N298" s="9"/>
      <c r="O298" s="22">
        <v>1.35025</v>
      </c>
      <c r="P298" s="22">
        <v>70.025400000000005</v>
      </c>
      <c r="Q298" s="22">
        <v>-9.8266599999999992E-3</v>
      </c>
      <c r="R298" s="22">
        <v>288</v>
      </c>
      <c r="S298" s="22">
        <v>1.3494900000000001</v>
      </c>
      <c r="T298">
        <f t="shared" si="50"/>
        <v>9.8266599999999986</v>
      </c>
      <c r="U298">
        <f t="shared" si="51"/>
        <v>13.268447664999998</v>
      </c>
      <c r="X298" s="9"/>
      <c r="Y298" s="22">
        <v>0.39978000000000002</v>
      </c>
      <c r="Z298" s="22">
        <v>119.58499999999999</v>
      </c>
      <c r="AA298" s="22">
        <v>-1.5893600000000001E-2</v>
      </c>
      <c r="AB298" s="22">
        <v>288</v>
      </c>
      <c r="AC298" s="22">
        <v>0.399231</v>
      </c>
      <c r="AD298">
        <f t="shared" si="52"/>
        <v>15.893600000000001</v>
      </c>
      <c r="AE298">
        <f t="shared" si="53"/>
        <v>6.353943408000001</v>
      </c>
      <c r="AF298" s="9"/>
      <c r="AG298" s="22">
        <v>1.35025</v>
      </c>
      <c r="AH298" s="22">
        <v>138.56</v>
      </c>
      <c r="AI298" s="22">
        <v>-1.00708E-2</v>
      </c>
      <c r="AJ298" s="22">
        <v>288</v>
      </c>
      <c r="AK298" s="22">
        <v>1.34918</v>
      </c>
      <c r="AL298">
        <f t="shared" si="54"/>
        <v>10.0708</v>
      </c>
      <c r="AM298">
        <f t="shared" si="55"/>
        <v>13.5980977</v>
      </c>
      <c r="AP298" s="9"/>
      <c r="AQ298" s="22">
        <v>0.39978000000000002</v>
      </c>
      <c r="AR298" s="22">
        <v>161.20500000000001</v>
      </c>
      <c r="AS298" s="22">
        <v>-1.5847799999999999E-2</v>
      </c>
      <c r="AT298" s="22">
        <v>288</v>
      </c>
      <c r="AU298" s="22">
        <v>0.39917000000000002</v>
      </c>
      <c r="AV298">
        <f t="shared" si="56"/>
        <v>15.847799999999999</v>
      </c>
      <c r="AW298">
        <f t="shared" si="57"/>
        <v>6.3356334840000006</v>
      </c>
      <c r="AX298" s="9"/>
      <c r="AY298" s="22">
        <v>1.35025</v>
      </c>
      <c r="AZ298" s="22">
        <v>184.066</v>
      </c>
      <c r="BA298" s="22">
        <v>-1.0189800000000001E-2</v>
      </c>
      <c r="BB298" s="22">
        <v>288</v>
      </c>
      <c r="BC298" s="22">
        <v>1.34918</v>
      </c>
      <c r="BD298">
        <f t="shared" si="58"/>
        <v>10.1898</v>
      </c>
      <c r="BE298">
        <f t="shared" si="59"/>
        <v>13.75877745</v>
      </c>
    </row>
    <row r="299" spans="6:57">
      <c r="F299" s="9"/>
      <c r="G299" s="22">
        <v>0.39474500000000001</v>
      </c>
      <c r="H299" s="22">
        <v>52.152700000000003</v>
      </c>
      <c r="I299" s="22">
        <v>-1.5875199999999999E-2</v>
      </c>
      <c r="J299" s="22">
        <v>289</v>
      </c>
      <c r="K299" s="22">
        <v>0.39419599999999999</v>
      </c>
      <c r="L299">
        <f t="shared" si="48"/>
        <v>15.8752</v>
      </c>
      <c r="M299">
        <f t="shared" si="49"/>
        <v>6.2666558239999999</v>
      </c>
      <c r="N299" s="9"/>
      <c r="O299" s="22">
        <v>1.3552900000000001</v>
      </c>
      <c r="P299" s="22">
        <v>70.035499999999999</v>
      </c>
      <c r="Q299" s="22">
        <v>-9.7564699999999997E-3</v>
      </c>
      <c r="R299" s="22">
        <v>289</v>
      </c>
      <c r="S299" s="22">
        <v>1.3549800000000001</v>
      </c>
      <c r="T299">
        <f t="shared" si="50"/>
        <v>9.7564700000000002</v>
      </c>
      <c r="U299">
        <f t="shared" si="51"/>
        <v>13.222846226300002</v>
      </c>
      <c r="X299" s="9"/>
      <c r="Y299" s="22">
        <v>0.39474500000000001</v>
      </c>
      <c r="Z299" s="22">
        <v>119.595</v>
      </c>
      <c r="AA299" s="22">
        <v>-1.5899699999999999E-2</v>
      </c>
      <c r="AB299" s="22">
        <v>289</v>
      </c>
      <c r="AC299" s="22">
        <v>0.39422600000000002</v>
      </c>
      <c r="AD299">
        <f t="shared" si="52"/>
        <v>15.899699999999999</v>
      </c>
      <c r="AE299">
        <f t="shared" si="53"/>
        <v>6.2763270765000003</v>
      </c>
      <c r="AF299" s="9"/>
      <c r="AG299" s="22">
        <v>1.3552900000000001</v>
      </c>
      <c r="AH299" s="22">
        <v>138.57</v>
      </c>
      <c r="AI299" s="22">
        <v>-1.00006E-2</v>
      </c>
      <c r="AJ299" s="22">
        <v>289</v>
      </c>
      <c r="AK299" s="22">
        <v>1.3546800000000001</v>
      </c>
      <c r="AL299">
        <f t="shared" si="54"/>
        <v>10.0006</v>
      </c>
      <c r="AM299">
        <f t="shared" si="55"/>
        <v>13.553713174000002</v>
      </c>
      <c r="AP299" s="9"/>
      <c r="AQ299" s="22">
        <v>0.39474500000000001</v>
      </c>
      <c r="AR299" s="22">
        <v>161.215</v>
      </c>
      <c r="AS299" s="22">
        <v>-1.58722E-2</v>
      </c>
      <c r="AT299" s="22">
        <v>289</v>
      </c>
      <c r="AU299" s="22">
        <v>0.39416499999999999</v>
      </c>
      <c r="AV299">
        <f t="shared" si="56"/>
        <v>15.872199999999999</v>
      </c>
      <c r="AW299">
        <f t="shared" si="57"/>
        <v>6.2654715889999997</v>
      </c>
      <c r="AX299" s="9"/>
      <c r="AY299" s="22">
        <v>1.3552900000000001</v>
      </c>
      <c r="AZ299" s="22">
        <v>184.07599999999999</v>
      </c>
      <c r="BA299" s="22">
        <v>-1.0119599999999999E-2</v>
      </c>
      <c r="BB299" s="22">
        <v>289</v>
      </c>
      <c r="BC299" s="22">
        <v>1.3543700000000001</v>
      </c>
      <c r="BD299">
        <f t="shared" si="58"/>
        <v>10.1196</v>
      </c>
      <c r="BE299">
        <f t="shared" si="59"/>
        <v>13.714992684000002</v>
      </c>
    </row>
    <row r="300" spans="6:57">
      <c r="F300" s="9"/>
      <c r="G300" s="22">
        <v>0.38970900000000003</v>
      </c>
      <c r="H300" s="22">
        <v>52.162700000000001</v>
      </c>
      <c r="I300" s="22">
        <v>-1.5887499999999999E-2</v>
      </c>
      <c r="J300" s="22">
        <v>290</v>
      </c>
      <c r="K300" s="22">
        <v>0.38919100000000001</v>
      </c>
      <c r="L300">
        <f t="shared" si="48"/>
        <v>15.887499999999999</v>
      </c>
      <c r="M300">
        <f t="shared" si="49"/>
        <v>6.1915017375000003</v>
      </c>
      <c r="N300" s="9"/>
      <c r="O300" s="22">
        <v>1.36032</v>
      </c>
      <c r="P300" s="22">
        <v>70.045599999999993</v>
      </c>
      <c r="Q300" s="22">
        <v>-9.6832299999999993E-3</v>
      </c>
      <c r="R300" s="22">
        <v>290</v>
      </c>
      <c r="S300" s="22">
        <v>1.3592500000000001</v>
      </c>
      <c r="T300">
        <f t="shared" si="50"/>
        <v>9.68323</v>
      </c>
      <c r="U300">
        <f t="shared" si="51"/>
        <v>13.1722914336</v>
      </c>
      <c r="X300" s="9"/>
      <c r="Y300" s="22">
        <v>0.38970900000000003</v>
      </c>
      <c r="Z300" s="22">
        <v>119.605</v>
      </c>
      <c r="AA300" s="22">
        <v>-1.59119E-2</v>
      </c>
      <c r="AB300" s="22">
        <v>290</v>
      </c>
      <c r="AC300" s="22">
        <v>0.38912999999999998</v>
      </c>
      <c r="AD300">
        <f t="shared" si="52"/>
        <v>15.911899999999999</v>
      </c>
      <c r="AE300">
        <f t="shared" si="53"/>
        <v>6.2010106371000004</v>
      </c>
      <c r="AF300" s="9"/>
      <c r="AG300" s="22">
        <v>1.36032</v>
      </c>
      <c r="AH300" s="22">
        <v>138.58000000000001</v>
      </c>
      <c r="AI300" s="22">
        <v>-9.9273699999999996E-3</v>
      </c>
      <c r="AJ300" s="22">
        <v>290</v>
      </c>
      <c r="AK300" s="22">
        <v>1.3595600000000001</v>
      </c>
      <c r="AL300">
        <f t="shared" si="54"/>
        <v>9.9273699999999998</v>
      </c>
      <c r="AM300">
        <f t="shared" si="55"/>
        <v>13.504399958399999</v>
      </c>
      <c r="AP300" s="9"/>
      <c r="AQ300" s="22">
        <v>0.38970900000000003</v>
      </c>
      <c r="AR300" s="22">
        <v>161.22499999999999</v>
      </c>
      <c r="AS300" s="22">
        <v>-1.58844E-2</v>
      </c>
      <c r="AT300" s="22">
        <v>290</v>
      </c>
      <c r="AU300" s="22">
        <v>0.38912999999999998</v>
      </c>
      <c r="AV300">
        <f t="shared" si="56"/>
        <v>15.884399999999999</v>
      </c>
      <c r="AW300">
        <f t="shared" si="57"/>
        <v>6.1902936396000001</v>
      </c>
      <c r="AX300" s="9"/>
      <c r="AY300" s="22">
        <v>1.36032</v>
      </c>
      <c r="AZ300" s="22">
        <v>184.08600000000001</v>
      </c>
      <c r="BA300" s="22">
        <v>-1.00494E-2</v>
      </c>
      <c r="BB300" s="22">
        <v>290</v>
      </c>
      <c r="BC300" s="22">
        <v>1.3598600000000001</v>
      </c>
      <c r="BD300">
        <f t="shared" si="58"/>
        <v>10.0494</v>
      </c>
      <c r="BE300">
        <f t="shared" si="59"/>
        <v>13.670399808000001</v>
      </c>
    </row>
    <row r="301" spans="6:57">
      <c r="F301" s="9"/>
      <c r="G301" s="22">
        <v>0.38467400000000002</v>
      </c>
      <c r="H301" s="22">
        <v>52.172800000000002</v>
      </c>
      <c r="I301" s="22">
        <v>-1.5893600000000001E-2</v>
      </c>
      <c r="J301" s="22">
        <v>291</v>
      </c>
      <c r="K301" s="22">
        <v>0.38415500000000002</v>
      </c>
      <c r="L301">
        <f t="shared" si="48"/>
        <v>15.893600000000001</v>
      </c>
      <c r="M301">
        <f t="shared" si="49"/>
        <v>6.1138546864000007</v>
      </c>
      <c r="N301" s="9"/>
      <c r="O301" s="22">
        <v>1.3653599999999999</v>
      </c>
      <c r="P301" s="22">
        <v>70.055599999999998</v>
      </c>
      <c r="Q301" s="22">
        <v>-9.6099900000000005E-3</v>
      </c>
      <c r="R301" s="22">
        <v>291</v>
      </c>
      <c r="S301" s="22">
        <v>1.3647499999999999</v>
      </c>
      <c r="T301">
        <f t="shared" si="50"/>
        <v>9.6099899999999998</v>
      </c>
      <c r="U301">
        <f t="shared" si="51"/>
        <v>13.121095946399999</v>
      </c>
      <c r="X301" s="9"/>
      <c r="Y301" s="22">
        <v>0.38467400000000002</v>
      </c>
      <c r="Z301" s="22">
        <v>119.61499999999999</v>
      </c>
      <c r="AA301" s="22">
        <v>-1.5921000000000001E-2</v>
      </c>
      <c r="AB301" s="22">
        <v>291</v>
      </c>
      <c r="AC301" s="22">
        <v>0.38412499999999999</v>
      </c>
      <c r="AD301">
        <f t="shared" si="52"/>
        <v>15.921000000000001</v>
      </c>
      <c r="AE301">
        <f t="shared" si="53"/>
        <v>6.1243947540000008</v>
      </c>
      <c r="AF301" s="9"/>
      <c r="AG301" s="22">
        <v>1.3653599999999999</v>
      </c>
      <c r="AH301" s="22">
        <v>138.59</v>
      </c>
      <c r="AI301" s="22">
        <v>-9.8541299999999991E-3</v>
      </c>
      <c r="AJ301" s="22">
        <v>291</v>
      </c>
      <c r="AK301" s="22">
        <v>1.3647499999999999</v>
      </c>
      <c r="AL301">
        <f t="shared" si="54"/>
        <v>9.8541299999999996</v>
      </c>
      <c r="AM301">
        <f t="shared" si="55"/>
        <v>13.454434936799998</v>
      </c>
      <c r="AP301" s="9"/>
      <c r="AQ301" s="22">
        <v>0.38467400000000002</v>
      </c>
      <c r="AR301" s="22">
        <v>161.23500000000001</v>
      </c>
      <c r="AS301" s="22">
        <v>-1.58966E-2</v>
      </c>
      <c r="AT301" s="22">
        <v>291</v>
      </c>
      <c r="AU301" s="22">
        <v>0.38406400000000002</v>
      </c>
      <c r="AV301">
        <f t="shared" si="56"/>
        <v>15.896600000000001</v>
      </c>
      <c r="AW301">
        <f t="shared" si="57"/>
        <v>6.1150087084000004</v>
      </c>
      <c r="AX301" s="9"/>
      <c r="AY301" s="22">
        <v>1.3653599999999999</v>
      </c>
      <c r="AZ301" s="22">
        <v>184.096</v>
      </c>
      <c r="BA301" s="22">
        <v>-9.9792500000000003E-3</v>
      </c>
      <c r="BB301" s="22">
        <v>291</v>
      </c>
      <c r="BC301" s="22">
        <v>1.3644400000000001</v>
      </c>
      <c r="BD301">
        <f t="shared" si="58"/>
        <v>9.9792500000000004</v>
      </c>
      <c r="BE301">
        <f t="shared" si="59"/>
        <v>13.625268779999999</v>
      </c>
    </row>
    <row r="302" spans="6:57">
      <c r="F302" s="9"/>
      <c r="G302" s="22">
        <v>0.379639</v>
      </c>
      <c r="H302" s="22">
        <v>52.182899999999997</v>
      </c>
      <c r="I302" s="22">
        <v>-1.58966E-2</v>
      </c>
      <c r="J302" s="22">
        <v>292</v>
      </c>
      <c r="K302" s="22">
        <v>0.37905899999999998</v>
      </c>
      <c r="L302">
        <f t="shared" si="48"/>
        <v>15.896600000000001</v>
      </c>
      <c r="M302">
        <f t="shared" si="49"/>
        <v>6.0349693274000007</v>
      </c>
      <c r="N302" s="9"/>
      <c r="O302" s="22">
        <v>1.37039</v>
      </c>
      <c r="P302" s="22">
        <v>70.065700000000007</v>
      </c>
      <c r="Q302" s="22">
        <v>-9.5336899999999992E-3</v>
      </c>
      <c r="R302" s="22">
        <v>292</v>
      </c>
      <c r="S302" s="22">
        <v>1.3699300000000001</v>
      </c>
      <c r="T302">
        <f t="shared" si="50"/>
        <v>9.53369</v>
      </c>
      <c r="U302">
        <f t="shared" si="51"/>
        <v>13.064873439099999</v>
      </c>
      <c r="X302" s="9"/>
      <c r="Y302" s="22">
        <v>0.379639</v>
      </c>
      <c r="Z302" s="22">
        <v>119.625</v>
      </c>
      <c r="AA302" s="22">
        <v>-1.59363E-2</v>
      </c>
      <c r="AB302" s="22">
        <v>292</v>
      </c>
      <c r="AC302" s="22">
        <v>0.37918099999999999</v>
      </c>
      <c r="AD302">
        <f t="shared" si="52"/>
        <v>15.936300000000001</v>
      </c>
      <c r="AE302">
        <f t="shared" si="53"/>
        <v>6.0500409957000008</v>
      </c>
      <c r="AF302" s="9"/>
      <c r="AG302" s="22">
        <v>1.37039</v>
      </c>
      <c r="AH302" s="22">
        <v>138.6</v>
      </c>
      <c r="AI302" s="22">
        <v>-9.7808800000000005E-3</v>
      </c>
      <c r="AJ302" s="22">
        <v>292</v>
      </c>
      <c r="AK302" s="22">
        <v>1.3696299999999999</v>
      </c>
      <c r="AL302">
        <f t="shared" si="54"/>
        <v>9.7808799999999998</v>
      </c>
      <c r="AM302">
        <f t="shared" si="55"/>
        <v>13.4036201432</v>
      </c>
      <c r="AP302" s="9"/>
      <c r="AQ302" s="22">
        <v>0.379639</v>
      </c>
      <c r="AR302" s="22">
        <v>161.245</v>
      </c>
      <c r="AS302" s="22">
        <v>-1.5902699999999999E-2</v>
      </c>
      <c r="AT302" s="22">
        <v>292</v>
      </c>
      <c r="AU302" s="22">
        <v>0.37908900000000001</v>
      </c>
      <c r="AV302">
        <f t="shared" si="56"/>
        <v>15.902699999999999</v>
      </c>
      <c r="AW302">
        <f t="shared" si="57"/>
        <v>6.0372851252999995</v>
      </c>
      <c r="AX302" s="9"/>
      <c r="AY302" s="22">
        <v>1.37039</v>
      </c>
      <c r="AZ302" s="22">
        <v>184.10599999999999</v>
      </c>
      <c r="BA302" s="22">
        <v>-9.9090600000000008E-3</v>
      </c>
      <c r="BB302" s="22">
        <v>292</v>
      </c>
      <c r="BC302" s="22">
        <v>1.3690199999999999</v>
      </c>
      <c r="BD302">
        <f t="shared" si="58"/>
        <v>9.9090600000000002</v>
      </c>
      <c r="BE302">
        <f t="shared" si="59"/>
        <v>13.5792767334</v>
      </c>
    </row>
    <row r="303" spans="6:57">
      <c r="F303" s="9"/>
      <c r="G303" s="22">
        <v>0.37460300000000002</v>
      </c>
      <c r="H303" s="22">
        <v>52.192900000000002</v>
      </c>
      <c r="I303" s="22">
        <v>-1.5899699999999999E-2</v>
      </c>
      <c r="J303" s="22">
        <v>293</v>
      </c>
      <c r="K303" s="22">
        <v>0.37399300000000002</v>
      </c>
      <c r="L303">
        <f t="shared" si="48"/>
        <v>15.899699999999999</v>
      </c>
      <c r="M303">
        <f t="shared" si="49"/>
        <v>5.9560753191</v>
      </c>
      <c r="N303" s="9"/>
      <c r="O303" s="22">
        <v>1.3754299999999999</v>
      </c>
      <c r="P303" s="22">
        <v>70.075800000000001</v>
      </c>
      <c r="Q303" s="22">
        <v>-9.4604500000000005E-3</v>
      </c>
      <c r="R303" s="22">
        <v>293</v>
      </c>
      <c r="S303" s="22">
        <v>1.3742099999999999</v>
      </c>
      <c r="T303">
        <f t="shared" si="50"/>
        <v>9.4604499999999998</v>
      </c>
      <c r="U303">
        <f t="shared" si="51"/>
        <v>13.012186743499999</v>
      </c>
      <c r="X303" s="9"/>
      <c r="Y303" s="22">
        <v>0.37460300000000002</v>
      </c>
      <c r="Z303" s="22">
        <v>119.63500000000001</v>
      </c>
      <c r="AA303" s="22">
        <v>-1.5945399999999998E-2</v>
      </c>
      <c r="AB303" s="22">
        <v>293</v>
      </c>
      <c r="AC303" s="22">
        <v>0.37393199999999999</v>
      </c>
      <c r="AD303">
        <f t="shared" si="52"/>
        <v>15.945399999999999</v>
      </c>
      <c r="AE303">
        <f t="shared" si="53"/>
        <v>5.9731946762000003</v>
      </c>
      <c r="AF303" s="9"/>
      <c r="AG303" s="22">
        <v>1.3754299999999999</v>
      </c>
      <c r="AH303" s="22">
        <v>138.61000000000001</v>
      </c>
      <c r="AI303" s="22">
        <v>-9.7045900000000008E-3</v>
      </c>
      <c r="AJ303" s="22">
        <v>293</v>
      </c>
      <c r="AK303" s="22">
        <v>1.3745099999999999</v>
      </c>
      <c r="AL303">
        <f t="shared" si="54"/>
        <v>9.7045900000000014</v>
      </c>
      <c r="AM303">
        <f t="shared" si="55"/>
        <v>13.347984223700001</v>
      </c>
      <c r="AP303" s="9"/>
      <c r="AQ303" s="22">
        <v>0.37460300000000002</v>
      </c>
      <c r="AR303" s="22">
        <v>161.255</v>
      </c>
      <c r="AS303" s="22">
        <v>-1.59119E-2</v>
      </c>
      <c r="AT303" s="22">
        <v>293</v>
      </c>
      <c r="AU303" s="22">
        <v>0.37402299999999999</v>
      </c>
      <c r="AV303">
        <f t="shared" si="56"/>
        <v>15.911899999999999</v>
      </c>
      <c r="AW303">
        <f t="shared" si="57"/>
        <v>5.9606454756999998</v>
      </c>
      <c r="AX303" s="9"/>
      <c r="AY303" s="22">
        <v>1.3754299999999999</v>
      </c>
      <c r="AZ303" s="22">
        <v>184.11600000000001</v>
      </c>
      <c r="BA303" s="22">
        <v>-9.8358200000000003E-3</v>
      </c>
      <c r="BB303" s="22">
        <v>293</v>
      </c>
      <c r="BC303" s="22">
        <v>1.3745099999999999</v>
      </c>
      <c r="BD303">
        <f t="shared" si="58"/>
        <v>9.83582</v>
      </c>
      <c r="BE303">
        <f t="shared" si="59"/>
        <v>13.528481902599999</v>
      </c>
    </row>
    <row r="304" spans="6:57">
      <c r="F304" s="9"/>
      <c r="G304" s="22">
        <v>0.36956800000000001</v>
      </c>
      <c r="H304" s="22">
        <v>52.203000000000003</v>
      </c>
      <c r="I304" s="22">
        <v>-1.5902699999999999E-2</v>
      </c>
      <c r="J304" s="22">
        <v>294</v>
      </c>
      <c r="K304" s="22">
        <v>0.368927</v>
      </c>
      <c r="L304">
        <f t="shared" si="48"/>
        <v>15.902699999999999</v>
      </c>
      <c r="M304">
        <f t="shared" si="49"/>
        <v>5.8771290336000002</v>
      </c>
      <c r="N304" s="9"/>
      <c r="O304" s="22">
        <v>1.38046</v>
      </c>
      <c r="P304" s="22">
        <v>70.085899999999995</v>
      </c>
      <c r="Q304" s="22">
        <v>-9.3810999999999999E-3</v>
      </c>
      <c r="R304" s="22">
        <v>294</v>
      </c>
      <c r="S304" s="22">
        <v>1.3796999999999999</v>
      </c>
      <c r="T304">
        <f t="shared" si="50"/>
        <v>9.3811</v>
      </c>
      <c r="U304">
        <f t="shared" si="51"/>
        <v>12.950233305999999</v>
      </c>
      <c r="X304" s="9"/>
      <c r="Y304" s="22">
        <v>0.36956800000000001</v>
      </c>
      <c r="Z304" s="22">
        <v>119.645</v>
      </c>
      <c r="AA304" s="22">
        <v>-1.59515E-2</v>
      </c>
      <c r="AB304" s="22">
        <v>294</v>
      </c>
      <c r="AC304" s="22">
        <v>0.36895800000000001</v>
      </c>
      <c r="AD304">
        <f t="shared" si="52"/>
        <v>15.951500000000001</v>
      </c>
      <c r="AE304">
        <f t="shared" si="53"/>
        <v>5.8951639520000008</v>
      </c>
      <c r="AF304" s="9"/>
      <c r="AG304" s="22">
        <v>1.38046</v>
      </c>
      <c r="AH304" s="22">
        <v>138.62</v>
      </c>
      <c r="AI304" s="22">
        <v>-9.6313500000000003E-3</v>
      </c>
      <c r="AJ304" s="22">
        <v>294</v>
      </c>
      <c r="AK304" s="22">
        <v>1.3796999999999999</v>
      </c>
      <c r="AL304">
        <f t="shared" si="54"/>
        <v>9.6313500000000012</v>
      </c>
      <c r="AM304">
        <f t="shared" si="55"/>
        <v>13.295693421000001</v>
      </c>
      <c r="AP304" s="9"/>
      <c r="AQ304" s="22">
        <v>0.36956800000000001</v>
      </c>
      <c r="AR304" s="22">
        <v>161.26499999999999</v>
      </c>
      <c r="AS304" s="22">
        <v>-1.5914899999999999E-2</v>
      </c>
      <c r="AT304" s="22">
        <v>294</v>
      </c>
      <c r="AU304" s="22">
        <v>0.36904900000000002</v>
      </c>
      <c r="AV304">
        <f t="shared" si="56"/>
        <v>15.914899999999999</v>
      </c>
      <c r="AW304">
        <f t="shared" si="57"/>
        <v>5.8816377631999996</v>
      </c>
      <c r="AX304" s="9"/>
      <c r="AY304" s="22">
        <v>1.38046</v>
      </c>
      <c r="AZ304" s="22">
        <v>184.126</v>
      </c>
      <c r="BA304" s="22">
        <v>-9.7595200000000007E-3</v>
      </c>
      <c r="BB304" s="22">
        <v>294</v>
      </c>
      <c r="BC304" s="22">
        <v>1.3796999999999999</v>
      </c>
      <c r="BD304">
        <f t="shared" si="58"/>
        <v>9.7595200000000002</v>
      </c>
      <c r="BE304">
        <f t="shared" si="59"/>
        <v>13.472626979200001</v>
      </c>
    </row>
    <row r="305" spans="6:57">
      <c r="F305" s="9"/>
      <c r="G305" s="22">
        <v>0.36453200000000002</v>
      </c>
      <c r="H305" s="22">
        <v>52.213099999999997</v>
      </c>
      <c r="I305" s="22">
        <v>-1.5905800000000001E-2</v>
      </c>
      <c r="J305" s="22">
        <v>295</v>
      </c>
      <c r="K305" s="22">
        <v>0.364014</v>
      </c>
      <c r="L305">
        <f t="shared" si="48"/>
        <v>15.905800000000001</v>
      </c>
      <c r="M305">
        <f t="shared" si="49"/>
        <v>5.7981730856000011</v>
      </c>
      <c r="N305" s="9"/>
      <c r="O305" s="22">
        <v>1.3855</v>
      </c>
      <c r="P305" s="22">
        <v>70.0959</v>
      </c>
      <c r="Q305" s="22">
        <v>-9.3109100000000004E-3</v>
      </c>
      <c r="R305" s="22">
        <v>295</v>
      </c>
      <c r="S305" s="22">
        <v>1.3845799999999999</v>
      </c>
      <c r="T305">
        <f t="shared" si="50"/>
        <v>9.3109099999999998</v>
      </c>
      <c r="U305">
        <f t="shared" si="51"/>
        <v>12.900265805</v>
      </c>
      <c r="X305" s="9"/>
      <c r="Y305" s="22">
        <v>0.36453200000000002</v>
      </c>
      <c r="Z305" s="22">
        <v>119.655</v>
      </c>
      <c r="AA305" s="22">
        <v>-1.5963700000000001E-2</v>
      </c>
      <c r="AB305" s="22">
        <v>295</v>
      </c>
      <c r="AC305" s="22">
        <v>0.36392200000000002</v>
      </c>
      <c r="AD305">
        <f t="shared" si="52"/>
        <v>15.963700000000001</v>
      </c>
      <c r="AE305">
        <f t="shared" si="53"/>
        <v>5.8192794884000012</v>
      </c>
      <c r="AF305" s="9"/>
      <c r="AG305" s="22">
        <v>1.3855</v>
      </c>
      <c r="AH305" s="22">
        <v>138.63</v>
      </c>
      <c r="AI305" s="22">
        <v>-9.5581099999999999E-3</v>
      </c>
      <c r="AJ305" s="22">
        <v>295</v>
      </c>
      <c r="AK305" s="22">
        <v>1.3845799999999999</v>
      </c>
      <c r="AL305">
        <f t="shared" si="54"/>
        <v>9.5581099999999992</v>
      </c>
      <c r="AM305">
        <f t="shared" si="55"/>
        <v>13.242761404999998</v>
      </c>
      <c r="AP305" s="9"/>
      <c r="AQ305" s="22">
        <v>0.36453200000000002</v>
      </c>
      <c r="AR305" s="22">
        <v>161.27500000000001</v>
      </c>
      <c r="AS305" s="22">
        <v>-1.5914899999999999E-2</v>
      </c>
      <c r="AT305" s="22">
        <v>295</v>
      </c>
      <c r="AU305" s="22">
        <v>0.36392200000000002</v>
      </c>
      <c r="AV305">
        <f t="shared" si="56"/>
        <v>15.914899999999999</v>
      </c>
      <c r="AW305">
        <f t="shared" si="57"/>
        <v>5.8014903267999998</v>
      </c>
      <c r="AX305" s="9"/>
      <c r="AY305" s="22">
        <v>1.3855</v>
      </c>
      <c r="AZ305" s="22">
        <v>184.136</v>
      </c>
      <c r="BA305" s="22">
        <v>-9.6832299999999993E-3</v>
      </c>
      <c r="BB305" s="22">
        <v>295</v>
      </c>
      <c r="BC305" s="22">
        <v>1.3845799999999999</v>
      </c>
      <c r="BD305">
        <f t="shared" si="58"/>
        <v>9.68323</v>
      </c>
      <c r="BE305">
        <f t="shared" si="59"/>
        <v>13.416115164999999</v>
      </c>
    </row>
    <row r="306" spans="6:57">
      <c r="F306" s="9"/>
      <c r="G306" s="22">
        <v>0.35949700000000001</v>
      </c>
      <c r="H306" s="22">
        <v>52.223199999999999</v>
      </c>
      <c r="I306" s="22">
        <v>-1.5914899999999999E-2</v>
      </c>
      <c r="J306" s="22">
        <v>296</v>
      </c>
      <c r="K306" s="22">
        <v>0.35897800000000002</v>
      </c>
      <c r="L306">
        <f t="shared" si="48"/>
        <v>15.914899999999999</v>
      </c>
      <c r="M306">
        <f t="shared" si="49"/>
        <v>5.7213588052999995</v>
      </c>
      <c r="N306" s="9"/>
      <c r="O306" s="22">
        <v>1.39053</v>
      </c>
      <c r="P306" s="22">
        <v>70.105999999999995</v>
      </c>
      <c r="Q306" s="22">
        <v>-9.2346200000000007E-3</v>
      </c>
      <c r="R306" s="22">
        <v>296</v>
      </c>
      <c r="S306" s="22">
        <v>1.38947</v>
      </c>
      <c r="T306">
        <f t="shared" si="50"/>
        <v>9.2346200000000014</v>
      </c>
      <c r="U306">
        <f t="shared" si="51"/>
        <v>12.841016148600003</v>
      </c>
      <c r="X306" s="9"/>
      <c r="Y306" s="22">
        <v>0.35949700000000001</v>
      </c>
      <c r="Z306" s="22">
        <v>119.66500000000001</v>
      </c>
      <c r="AA306" s="22">
        <v>-1.59668E-2</v>
      </c>
      <c r="AB306" s="22">
        <v>296</v>
      </c>
      <c r="AC306" s="22">
        <v>0.35885600000000001</v>
      </c>
      <c r="AD306">
        <f t="shared" si="52"/>
        <v>15.966799999999999</v>
      </c>
      <c r="AE306">
        <f t="shared" si="53"/>
        <v>5.7400166995999999</v>
      </c>
      <c r="AF306" s="9"/>
      <c r="AG306" s="22">
        <v>1.39053</v>
      </c>
      <c r="AH306" s="22">
        <v>138.63999999999999</v>
      </c>
      <c r="AI306" s="22">
        <v>-9.4879200000000004E-3</v>
      </c>
      <c r="AJ306" s="22">
        <v>296</v>
      </c>
      <c r="AK306" s="22">
        <v>1.38947</v>
      </c>
      <c r="AL306">
        <f t="shared" si="54"/>
        <v>9.4879200000000008</v>
      </c>
      <c r="AM306">
        <f t="shared" si="55"/>
        <v>13.193237397600001</v>
      </c>
      <c r="AP306" s="9"/>
      <c r="AQ306" s="22">
        <v>0.35949700000000001</v>
      </c>
      <c r="AR306" s="22">
        <v>161.285</v>
      </c>
      <c r="AS306" s="22">
        <v>-1.5914899999999999E-2</v>
      </c>
      <c r="AT306" s="22">
        <v>296</v>
      </c>
      <c r="AU306" s="22">
        <v>0.35897800000000002</v>
      </c>
      <c r="AV306">
        <f t="shared" si="56"/>
        <v>15.914899999999999</v>
      </c>
      <c r="AW306">
        <f t="shared" si="57"/>
        <v>5.7213588052999995</v>
      </c>
      <c r="AX306" s="9"/>
      <c r="AY306" s="22">
        <v>1.39053</v>
      </c>
      <c r="AZ306" s="22">
        <v>184.14599999999999</v>
      </c>
      <c r="BA306" s="22">
        <v>-9.6099900000000005E-3</v>
      </c>
      <c r="BB306" s="22">
        <v>296</v>
      </c>
      <c r="BC306" s="22">
        <v>1.3897699999999999</v>
      </c>
      <c r="BD306">
        <f t="shared" si="58"/>
        <v>9.6099899999999998</v>
      </c>
      <c r="BE306">
        <f t="shared" si="59"/>
        <v>13.3629793947</v>
      </c>
    </row>
    <row r="307" spans="6:57">
      <c r="F307" s="9"/>
      <c r="G307" s="22">
        <v>0.354462</v>
      </c>
      <c r="H307" s="22">
        <v>52.233199999999997</v>
      </c>
      <c r="I307" s="22">
        <v>-1.59241E-2</v>
      </c>
      <c r="J307" s="22">
        <v>297</v>
      </c>
      <c r="K307" s="22">
        <v>0.35385100000000003</v>
      </c>
      <c r="L307">
        <f t="shared" si="48"/>
        <v>15.924099999999999</v>
      </c>
      <c r="M307">
        <f t="shared" si="49"/>
        <v>5.6444883342000001</v>
      </c>
      <c r="N307" s="9"/>
      <c r="O307" s="22">
        <v>1.39557</v>
      </c>
      <c r="P307" s="22">
        <v>70.116100000000003</v>
      </c>
      <c r="Q307" s="22">
        <v>-9.1583299999999992E-3</v>
      </c>
      <c r="R307" s="22">
        <v>297</v>
      </c>
      <c r="S307" s="22">
        <v>1.3952599999999999</v>
      </c>
      <c r="T307">
        <f t="shared" si="50"/>
        <v>9.1583299999999994</v>
      </c>
      <c r="U307">
        <f t="shared" si="51"/>
        <v>12.781090598099999</v>
      </c>
      <c r="X307" s="9"/>
      <c r="Y307" s="22">
        <v>0.354462</v>
      </c>
      <c r="Z307" s="22">
        <v>119.675</v>
      </c>
      <c r="AA307" s="22">
        <v>-1.5972900000000002E-2</v>
      </c>
      <c r="AB307" s="22">
        <v>297</v>
      </c>
      <c r="AC307" s="22">
        <v>0.35385100000000003</v>
      </c>
      <c r="AD307">
        <f t="shared" si="52"/>
        <v>15.972900000000001</v>
      </c>
      <c r="AE307">
        <f t="shared" si="53"/>
        <v>5.6617860798000006</v>
      </c>
      <c r="AF307" s="9"/>
      <c r="AG307" s="22">
        <v>1.39557</v>
      </c>
      <c r="AH307" s="22">
        <v>138.65</v>
      </c>
      <c r="AI307" s="22">
        <v>-9.4116200000000007E-3</v>
      </c>
      <c r="AJ307" s="22">
        <v>297</v>
      </c>
      <c r="AK307" s="22">
        <v>1.39496</v>
      </c>
      <c r="AL307">
        <f t="shared" si="54"/>
        <v>9.411620000000001</v>
      </c>
      <c r="AM307">
        <f t="shared" si="55"/>
        <v>13.134574523400001</v>
      </c>
      <c r="AP307" s="9"/>
      <c r="AQ307" s="22">
        <v>0.354462</v>
      </c>
      <c r="AR307" s="22">
        <v>161.29499999999999</v>
      </c>
      <c r="AS307" s="22">
        <v>-1.5914899999999999E-2</v>
      </c>
      <c r="AT307" s="22">
        <v>297</v>
      </c>
      <c r="AU307" s="22">
        <v>0.35388199999999997</v>
      </c>
      <c r="AV307">
        <f t="shared" si="56"/>
        <v>15.914899999999999</v>
      </c>
      <c r="AW307">
        <f t="shared" si="57"/>
        <v>5.6412272838000002</v>
      </c>
      <c r="AX307" s="9"/>
      <c r="AY307" s="22">
        <v>1.39557</v>
      </c>
      <c r="AZ307" s="22">
        <v>184.15600000000001</v>
      </c>
      <c r="BA307" s="22">
        <v>-9.5336899999999992E-3</v>
      </c>
      <c r="BB307" s="22">
        <v>297</v>
      </c>
      <c r="BC307" s="22">
        <v>1.39496</v>
      </c>
      <c r="BD307">
        <f t="shared" si="58"/>
        <v>9.53369</v>
      </c>
      <c r="BE307">
        <f t="shared" si="59"/>
        <v>13.3049317533</v>
      </c>
    </row>
    <row r="308" spans="6:57">
      <c r="F308" s="9"/>
      <c r="G308" s="22">
        <v>0.34942600000000001</v>
      </c>
      <c r="H308" s="22">
        <v>52.243299999999998</v>
      </c>
      <c r="I308" s="22">
        <v>-1.5930199999999999E-2</v>
      </c>
      <c r="J308" s="22">
        <v>298</v>
      </c>
      <c r="K308" s="22">
        <v>0.34878500000000001</v>
      </c>
      <c r="L308">
        <f t="shared" si="48"/>
        <v>15.930199999999999</v>
      </c>
      <c r="M308">
        <f t="shared" si="49"/>
        <v>5.5664260651999999</v>
      </c>
      <c r="N308" s="9"/>
      <c r="O308" s="22">
        <v>1.4006000000000001</v>
      </c>
      <c r="P308" s="22">
        <v>70.126099999999994</v>
      </c>
      <c r="Q308" s="22">
        <v>-9.0850800000000006E-3</v>
      </c>
      <c r="R308" s="22">
        <v>298</v>
      </c>
      <c r="S308" s="22">
        <v>1.40045</v>
      </c>
      <c r="T308">
        <f t="shared" si="50"/>
        <v>9.0850800000000014</v>
      </c>
      <c r="U308">
        <f t="shared" si="51"/>
        <v>12.724563048000002</v>
      </c>
      <c r="X308" s="9"/>
      <c r="Y308" s="22">
        <v>0.34942600000000001</v>
      </c>
      <c r="Z308" s="22">
        <v>119.68600000000001</v>
      </c>
      <c r="AA308" s="22">
        <v>-1.5982099999999999E-2</v>
      </c>
      <c r="AB308" s="22">
        <v>298</v>
      </c>
      <c r="AC308" s="22">
        <v>0.34887699999999999</v>
      </c>
      <c r="AD308">
        <f t="shared" si="52"/>
        <v>15.982099999999999</v>
      </c>
      <c r="AE308">
        <f t="shared" si="53"/>
        <v>5.5845612745999995</v>
      </c>
      <c r="AF308" s="9"/>
      <c r="AG308" s="22">
        <v>1.4006000000000001</v>
      </c>
      <c r="AH308" s="22">
        <v>138.66</v>
      </c>
      <c r="AI308" s="22">
        <v>-9.3383800000000003E-3</v>
      </c>
      <c r="AJ308" s="22">
        <v>298</v>
      </c>
      <c r="AK308" s="22">
        <v>1.40015</v>
      </c>
      <c r="AL308">
        <f t="shared" si="54"/>
        <v>9.3383800000000008</v>
      </c>
      <c r="AM308">
        <f t="shared" si="55"/>
        <v>13.079335028000001</v>
      </c>
      <c r="AP308" s="9"/>
      <c r="AQ308" s="22">
        <v>0.34942600000000001</v>
      </c>
      <c r="AR308" s="22">
        <v>161.30500000000001</v>
      </c>
      <c r="AS308" s="22">
        <v>-1.5914899999999999E-2</v>
      </c>
      <c r="AT308" s="22">
        <v>298</v>
      </c>
      <c r="AU308" s="22">
        <v>0.34878500000000001</v>
      </c>
      <c r="AV308">
        <f t="shared" si="56"/>
        <v>15.914899999999999</v>
      </c>
      <c r="AW308">
        <f t="shared" si="57"/>
        <v>5.5610798474000003</v>
      </c>
      <c r="AX308" s="9"/>
      <c r="AY308" s="22">
        <v>1.4006000000000001</v>
      </c>
      <c r="AZ308" s="22">
        <v>184.166</v>
      </c>
      <c r="BA308" s="22">
        <v>-9.4512899999999993E-3</v>
      </c>
      <c r="BB308" s="22">
        <v>298</v>
      </c>
      <c r="BC308" s="22">
        <v>1.39984</v>
      </c>
      <c r="BD308">
        <f t="shared" si="58"/>
        <v>9.4512900000000002</v>
      </c>
      <c r="BE308">
        <f t="shared" si="59"/>
        <v>13.237476774000001</v>
      </c>
    </row>
    <row r="309" spans="6:57">
      <c r="F309" s="9"/>
      <c r="G309" s="22">
        <v>0.344391</v>
      </c>
      <c r="H309" s="22">
        <v>52.253399999999999</v>
      </c>
      <c r="I309" s="22">
        <v>-1.5930199999999999E-2</v>
      </c>
      <c r="J309" s="22">
        <v>299</v>
      </c>
      <c r="K309" s="22">
        <v>0.343781</v>
      </c>
      <c r="L309">
        <f t="shared" si="48"/>
        <v>15.930199999999999</v>
      </c>
      <c r="M309">
        <f t="shared" si="49"/>
        <v>5.4862175082000002</v>
      </c>
      <c r="N309" s="9"/>
      <c r="O309" s="22">
        <v>1.40564</v>
      </c>
      <c r="P309" s="22">
        <v>70.136200000000002</v>
      </c>
      <c r="Q309" s="22">
        <v>-9.0087899999999992E-3</v>
      </c>
      <c r="R309" s="22">
        <v>299</v>
      </c>
      <c r="S309" s="22">
        <v>1.40533</v>
      </c>
      <c r="T309">
        <f t="shared" si="50"/>
        <v>9.0087899999999994</v>
      </c>
      <c r="U309">
        <f t="shared" si="51"/>
        <v>12.663115575599999</v>
      </c>
      <c r="X309" s="9"/>
      <c r="Y309" s="22">
        <v>0.344391</v>
      </c>
      <c r="Z309" s="22">
        <v>119.696</v>
      </c>
      <c r="AA309" s="22">
        <v>-1.5985099999999999E-2</v>
      </c>
      <c r="AB309" s="22">
        <v>299</v>
      </c>
      <c r="AC309" s="22">
        <v>0.34384199999999998</v>
      </c>
      <c r="AD309">
        <f t="shared" si="52"/>
        <v>15.985099999999999</v>
      </c>
      <c r="AE309">
        <f t="shared" si="53"/>
        <v>5.5051245740999999</v>
      </c>
      <c r="AF309" s="9"/>
      <c r="AG309" s="22">
        <v>1.40564</v>
      </c>
      <c r="AH309" s="22">
        <v>138.66999999999999</v>
      </c>
      <c r="AI309" s="22">
        <v>-9.2620800000000007E-3</v>
      </c>
      <c r="AJ309" s="22">
        <v>299</v>
      </c>
      <c r="AK309" s="22">
        <v>1.40503</v>
      </c>
      <c r="AL309">
        <f t="shared" si="54"/>
        <v>9.262080000000001</v>
      </c>
      <c r="AM309">
        <f t="shared" si="55"/>
        <v>13.019150131200002</v>
      </c>
      <c r="AP309" s="9"/>
      <c r="AQ309" s="22">
        <v>0.344391</v>
      </c>
      <c r="AR309" s="22">
        <v>161.315</v>
      </c>
      <c r="AS309" s="22">
        <v>-1.5918000000000002E-2</v>
      </c>
      <c r="AT309" s="22">
        <v>299</v>
      </c>
      <c r="AU309" s="22">
        <v>0.34384199999999998</v>
      </c>
      <c r="AV309">
        <f t="shared" si="56"/>
        <v>15.918000000000001</v>
      </c>
      <c r="AW309">
        <f t="shared" si="57"/>
        <v>5.482015938</v>
      </c>
      <c r="AX309" s="9"/>
      <c r="AY309" s="22">
        <v>1.40564</v>
      </c>
      <c r="AZ309" s="22">
        <v>184.17599999999999</v>
      </c>
      <c r="BA309" s="22">
        <v>-9.3688999999999995E-3</v>
      </c>
      <c r="BB309" s="22">
        <v>299</v>
      </c>
      <c r="BC309" s="22">
        <v>1.40503</v>
      </c>
      <c r="BD309">
        <f t="shared" si="58"/>
        <v>9.3689</v>
      </c>
      <c r="BE309">
        <f t="shared" si="59"/>
        <v>13.169300595999999</v>
      </c>
    </row>
    <row r="310" spans="6:57">
      <c r="F310" s="9"/>
      <c r="G310" s="22">
        <v>0.33935500000000002</v>
      </c>
      <c r="H310" s="22">
        <v>52.263399999999997</v>
      </c>
      <c r="I310" s="22">
        <v>-1.5930199999999999E-2</v>
      </c>
      <c r="J310" s="22">
        <v>300</v>
      </c>
      <c r="K310" s="22">
        <v>0.33868399999999999</v>
      </c>
      <c r="L310">
        <f t="shared" si="48"/>
        <v>15.930199999999999</v>
      </c>
      <c r="M310">
        <f t="shared" si="49"/>
        <v>5.4059930210000005</v>
      </c>
      <c r="N310" s="9"/>
      <c r="O310" s="22">
        <v>1.4106799999999999</v>
      </c>
      <c r="P310" s="22">
        <v>70.146299999999997</v>
      </c>
      <c r="Q310" s="22">
        <v>-8.9324999999999995E-3</v>
      </c>
      <c r="R310" s="22">
        <v>300</v>
      </c>
      <c r="S310" s="22">
        <v>1.40991</v>
      </c>
      <c r="T310">
        <f t="shared" si="50"/>
        <v>8.9324999999999992</v>
      </c>
      <c r="U310">
        <f t="shared" si="51"/>
        <v>12.600899099999998</v>
      </c>
      <c r="X310" s="9"/>
      <c r="Y310" s="22">
        <v>0.33935500000000002</v>
      </c>
      <c r="Z310" s="22">
        <v>119.706</v>
      </c>
      <c r="AA310" s="22">
        <v>-1.6000400000000001E-2</v>
      </c>
      <c r="AB310" s="22">
        <v>300</v>
      </c>
      <c r="AC310" s="22">
        <v>0.33871499999999999</v>
      </c>
      <c r="AD310">
        <f t="shared" si="52"/>
        <v>16.000400000000003</v>
      </c>
      <c r="AE310">
        <f t="shared" si="53"/>
        <v>5.4298157420000015</v>
      </c>
      <c r="AF310" s="9"/>
      <c r="AG310" s="22">
        <v>1.4106799999999999</v>
      </c>
      <c r="AH310" s="22">
        <v>138.68100000000001</v>
      </c>
      <c r="AI310" s="22">
        <v>-9.18274E-3</v>
      </c>
      <c r="AJ310" s="22">
        <v>300</v>
      </c>
      <c r="AK310" s="22">
        <v>1.41022</v>
      </c>
      <c r="AL310">
        <f t="shared" si="54"/>
        <v>9.1827400000000008</v>
      </c>
      <c r="AM310">
        <f t="shared" si="55"/>
        <v>12.953907663200001</v>
      </c>
      <c r="AP310" s="9"/>
      <c r="AQ310" s="22">
        <v>0.33935500000000002</v>
      </c>
      <c r="AR310" s="22">
        <v>161.32499999999999</v>
      </c>
      <c r="AS310" s="22">
        <v>-1.5921000000000001E-2</v>
      </c>
      <c r="AT310" s="22">
        <v>300</v>
      </c>
      <c r="AU310" s="22">
        <v>0.33874500000000002</v>
      </c>
      <c r="AV310">
        <f t="shared" si="56"/>
        <v>15.921000000000001</v>
      </c>
      <c r="AW310">
        <f t="shared" si="57"/>
        <v>5.4028709550000009</v>
      </c>
      <c r="AX310" s="9"/>
      <c r="AY310" s="22">
        <v>1.4106799999999999</v>
      </c>
      <c r="AZ310" s="22">
        <v>184.18600000000001</v>
      </c>
      <c r="BA310" s="22">
        <v>-9.2864999999999996E-3</v>
      </c>
      <c r="BB310" s="22">
        <v>300</v>
      </c>
      <c r="BC310" s="22">
        <v>1.40991</v>
      </c>
      <c r="BD310">
        <f t="shared" si="58"/>
        <v>9.2865000000000002</v>
      </c>
      <c r="BE310">
        <f t="shared" si="59"/>
        <v>13.100279819999999</v>
      </c>
    </row>
    <row r="311" spans="6:57">
      <c r="F311" s="9"/>
      <c r="G311" s="22">
        <v>0.33432000000000001</v>
      </c>
      <c r="H311" s="22">
        <v>52.273499999999999</v>
      </c>
      <c r="I311" s="22">
        <v>-1.5933200000000002E-2</v>
      </c>
      <c r="J311" s="22">
        <v>301</v>
      </c>
      <c r="K311" s="22">
        <v>0.33377099999999998</v>
      </c>
      <c r="L311">
        <f t="shared" si="48"/>
        <v>15.933200000000001</v>
      </c>
      <c r="M311">
        <f t="shared" si="49"/>
        <v>5.3267874240000008</v>
      </c>
      <c r="N311" s="9"/>
      <c r="O311" s="22">
        <v>1.41571</v>
      </c>
      <c r="P311" s="22">
        <v>70.156400000000005</v>
      </c>
      <c r="Q311" s="22">
        <v>-8.8561999999999998E-3</v>
      </c>
      <c r="R311" s="22">
        <v>301</v>
      </c>
      <c r="S311" s="22">
        <v>1.41479</v>
      </c>
      <c r="T311">
        <f t="shared" si="50"/>
        <v>8.8561999999999994</v>
      </c>
      <c r="U311">
        <f t="shared" si="51"/>
        <v>12.537810901999999</v>
      </c>
      <c r="X311" s="9"/>
      <c r="Y311" s="22">
        <v>0.33432000000000001</v>
      </c>
      <c r="Z311" s="22">
        <v>119.71599999999999</v>
      </c>
      <c r="AA311" s="22">
        <v>-1.6009499999999999E-2</v>
      </c>
      <c r="AB311" s="22">
        <v>301</v>
      </c>
      <c r="AC311" s="22">
        <v>0.33373999999999998</v>
      </c>
      <c r="AD311">
        <f t="shared" si="52"/>
        <v>16.009499999999999</v>
      </c>
      <c r="AE311">
        <f t="shared" si="53"/>
        <v>5.3522960399999997</v>
      </c>
      <c r="AF311" s="9"/>
      <c r="AG311" s="22">
        <v>1.41571</v>
      </c>
      <c r="AH311" s="22">
        <v>138.691</v>
      </c>
      <c r="AI311" s="22">
        <v>-9.1064500000000003E-3</v>
      </c>
      <c r="AJ311" s="22">
        <v>301</v>
      </c>
      <c r="AK311" s="22">
        <v>1.4151</v>
      </c>
      <c r="AL311">
        <f t="shared" si="54"/>
        <v>9.1064500000000006</v>
      </c>
      <c r="AM311">
        <f t="shared" si="55"/>
        <v>12.892092329500001</v>
      </c>
      <c r="AP311" s="9"/>
      <c r="AQ311" s="22">
        <v>0.33432000000000001</v>
      </c>
      <c r="AR311" s="22">
        <v>161.33600000000001</v>
      </c>
      <c r="AS311" s="22">
        <v>-1.59241E-2</v>
      </c>
      <c r="AT311" s="22">
        <v>301</v>
      </c>
      <c r="AU311" s="22">
        <v>0.33377099999999998</v>
      </c>
      <c r="AV311">
        <f t="shared" si="56"/>
        <v>15.924099999999999</v>
      </c>
      <c r="AW311">
        <f t="shared" si="57"/>
        <v>5.3237451120000001</v>
      </c>
      <c r="AX311" s="9"/>
      <c r="AY311" s="22">
        <v>1.41571</v>
      </c>
      <c r="AZ311" s="22">
        <v>184.197</v>
      </c>
      <c r="BA311" s="22">
        <v>-9.2071500000000008E-3</v>
      </c>
      <c r="BB311" s="22">
        <v>301</v>
      </c>
      <c r="BC311" s="22">
        <v>1.4151</v>
      </c>
      <c r="BD311">
        <f t="shared" si="58"/>
        <v>9.2071500000000004</v>
      </c>
      <c r="BE311">
        <f t="shared" si="59"/>
        <v>13.0346543265</v>
      </c>
    </row>
    <row r="312" spans="6:57">
      <c r="F312" s="9"/>
      <c r="G312" s="22">
        <v>0.32928499999999999</v>
      </c>
      <c r="H312" s="22">
        <v>52.2836</v>
      </c>
      <c r="I312" s="22">
        <v>-1.5942399999999999E-2</v>
      </c>
      <c r="J312" s="22">
        <v>302</v>
      </c>
      <c r="K312" s="22">
        <v>0.32867400000000002</v>
      </c>
      <c r="L312">
        <f t="shared" si="48"/>
        <v>15.942399999999999</v>
      </c>
      <c r="M312">
        <f t="shared" si="49"/>
        <v>5.2495931840000001</v>
      </c>
      <c r="N312" s="9"/>
      <c r="O312" s="22">
        <v>1.42075</v>
      </c>
      <c r="P312" s="22">
        <v>70.166399999999996</v>
      </c>
      <c r="Q312" s="22">
        <v>-8.7799100000000001E-3</v>
      </c>
      <c r="R312" s="22">
        <v>302</v>
      </c>
      <c r="S312" s="22">
        <v>1.4202900000000001</v>
      </c>
      <c r="T312">
        <f t="shared" si="50"/>
        <v>8.779910000000001</v>
      </c>
      <c r="U312">
        <f t="shared" si="51"/>
        <v>12.4740571325</v>
      </c>
      <c r="X312" s="9"/>
      <c r="Y312" s="22">
        <v>0.32928499999999999</v>
      </c>
      <c r="Z312" s="22">
        <v>119.726</v>
      </c>
      <c r="AA312" s="22">
        <v>-1.60187E-2</v>
      </c>
      <c r="AB312" s="22">
        <v>302</v>
      </c>
      <c r="AC312" s="22">
        <v>0.32855200000000001</v>
      </c>
      <c r="AD312">
        <f t="shared" si="52"/>
        <v>16.018699999999999</v>
      </c>
      <c r="AE312">
        <f t="shared" si="53"/>
        <v>5.2747176294999996</v>
      </c>
      <c r="AF312" s="9"/>
      <c r="AG312" s="22">
        <v>1.42075</v>
      </c>
      <c r="AH312" s="22">
        <v>138.70099999999999</v>
      </c>
      <c r="AI312" s="22">
        <v>-9.0270999999999997E-3</v>
      </c>
      <c r="AJ312" s="22">
        <v>302</v>
      </c>
      <c r="AK312" s="22">
        <v>1.41998</v>
      </c>
      <c r="AL312">
        <f t="shared" si="54"/>
        <v>9.027099999999999</v>
      </c>
      <c r="AM312">
        <f t="shared" si="55"/>
        <v>12.825252324999997</v>
      </c>
      <c r="AP312" s="9"/>
      <c r="AQ312" s="22">
        <v>0.32928499999999999</v>
      </c>
      <c r="AR312" s="22">
        <v>161.346</v>
      </c>
      <c r="AS312" s="22">
        <v>-1.59271E-2</v>
      </c>
      <c r="AT312" s="22">
        <v>302</v>
      </c>
      <c r="AU312" s="22">
        <v>0.32867400000000002</v>
      </c>
      <c r="AV312">
        <f t="shared" si="56"/>
        <v>15.927099999999999</v>
      </c>
      <c r="AW312">
        <f t="shared" si="57"/>
        <v>5.2445551234999996</v>
      </c>
      <c r="AX312" s="9"/>
      <c r="AY312" s="22">
        <v>1.42075</v>
      </c>
      <c r="AZ312" s="22">
        <v>184.20699999999999</v>
      </c>
      <c r="BA312" s="22">
        <v>-9.1247600000000009E-3</v>
      </c>
      <c r="BB312" s="22">
        <v>302</v>
      </c>
      <c r="BC312" s="22">
        <v>1.41998</v>
      </c>
      <c r="BD312">
        <f t="shared" si="58"/>
        <v>9.1247600000000002</v>
      </c>
      <c r="BE312">
        <f t="shared" si="59"/>
        <v>12.96400277</v>
      </c>
    </row>
    <row r="313" spans="6:57">
      <c r="F313" s="9"/>
      <c r="G313" s="22">
        <v>0.32424900000000001</v>
      </c>
      <c r="H313" s="22">
        <v>52.293700000000001</v>
      </c>
      <c r="I313" s="22">
        <v>-1.5957599999999999E-2</v>
      </c>
      <c r="J313" s="22">
        <v>303</v>
      </c>
      <c r="K313" s="22">
        <v>0.32363900000000001</v>
      </c>
      <c r="L313">
        <f t="shared" si="48"/>
        <v>15.957599999999999</v>
      </c>
      <c r="M313">
        <f t="shared" si="49"/>
        <v>5.1742358423999999</v>
      </c>
      <c r="N313" s="9"/>
      <c r="O313" s="22">
        <v>1.42578</v>
      </c>
      <c r="P313" s="22">
        <v>70.176500000000004</v>
      </c>
      <c r="Q313" s="22">
        <v>-8.6975100000000003E-3</v>
      </c>
      <c r="R313" s="22">
        <v>303</v>
      </c>
      <c r="S313" s="22">
        <v>1.42517</v>
      </c>
      <c r="T313">
        <f t="shared" si="50"/>
        <v>8.6975100000000012</v>
      </c>
      <c r="U313">
        <f t="shared" si="51"/>
        <v>12.400735807800002</v>
      </c>
      <c r="X313" s="9"/>
      <c r="Y313" s="22">
        <v>0.32424900000000001</v>
      </c>
      <c r="Z313" s="22">
        <v>119.736</v>
      </c>
      <c r="AA313" s="22">
        <v>-1.6024799999999999E-2</v>
      </c>
      <c r="AB313" s="22">
        <v>303</v>
      </c>
      <c r="AC313" s="22">
        <v>0.32366899999999998</v>
      </c>
      <c r="AD313">
        <f t="shared" si="52"/>
        <v>16.024799999999999</v>
      </c>
      <c r="AE313">
        <f t="shared" si="53"/>
        <v>5.1960253751999996</v>
      </c>
      <c r="AF313" s="9"/>
      <c r="AG313" s="22">
        <v>1.42578</v>
      </c>
      <c r="AH313" s="22">
        <v>138.71100000000001</v>
      </c>
      <c r="AI313" s="22">
        <v>-8.9446999999999999E-3</v>
      </c>
      <c r="AJ313" s="22">
        <v>303</v>
      </c>
      <c r="AK313" s="22">
        <v>1.42578</v>
      </c>
      <c r="AL313">
        <f t="shared" si="54"/>
        <v>8.9446999999999992</v>
      </c>
      <c r="AM313">
        <f t="shared" si="55"/>
        <v>12.753174366</v>
      </c>
      <c r="AP313" s="9"/>
      <c r="AQ313" s="22">
        <v>0.32424900000000001</v>
      </c>
      <c r="AR313" s="22">
        <v>161.35599999999999</v>
      </c>
      <c r="AS313" s="22">
        <v>-1.5942399999999999E-2</v>
      </c>
      <c r="AT313" s="22">
        <v>303</v>
      </c>
      <c r="AU313" s="22">
        <v>0.32363900000000001</v>
      </c>
      <c r="AV313">
        <f t="shared" si="56"/>
        <v>15.942399999999999</v>
      </c>
      <c r="AW313">
        <f t="shared" si="57"/>
        <v>5.1693072575999999</v>
      </c>
      <c r="AX313" s="9"/>
      <c r="AY313" s="22">
        <v>1.42578</v>
      </c>
      <c r="AZ313" s="22">
        <v>184.21700000000001</v>
      </c>
      <c r="BA313" s="22">
        <v>-9.0454100000000003E-3</v>
      </c>
      <c r="BB313" s="22">
        <v>303</v>
      </c>
      <c r="BC313" s="22">
        <v>1.42517</v>
      </c>
      <c r="BD313">
        <f t="shared" si="58"/>
        <v>9.0454100000000004</v>
      </c>
      <c r="BE313">
        <f t="shared" si="59"/>
        <v>12.896764669800001</v>
      </c>
    </row>
    <row r="314" spans="6:57">
      <c r="F314" s="9"/>
      <c r="G314" s="22">
        <v>0.319214</v>
      </c>
      <c r="H314" s="22">
        <v>52.303699999999999</v>
      </c>
      <c r="I314" s="22">
        <v>-1.59668E-2</v>
      </c>
      <c r="J314" s="22">
        <v>304</v>
      </c>
      <c r="K314" s="22">
        <v>0.31875599999999998</v>
      </c>
      <c r="L314">
        <f t="shared" si="48"/>
        <v>15.966799999999999</v>
      </c>
      <c r="M314">
        <f t="shared" si="49"/>
        <v>5.0968260952</v>
      </c>
      <c r="N314" s="9"/>
      <c r="O314" s="22">
        <v>1.43082</v>
      </c>
      <c r="P314" s="22">
        <v>70.186599999999999</v>
      </c>
      <c r="Q314" s="22">
        <v>-8.6181599999999997E-3</v>
      </c>
      <c r="R314" s="22">
        <v>304</v>
      </c>
      <c r="S314" s="22">
        <v>1.4303600000000001</v>
      </c>
      <c r="T314">
        <f t="shared" si="50"/>
        <v>8.6181599999999996</v>
      </c>
      <c r="U314">
        <f t="shared" si="51"/>
        <v>12.331035691199999</v>
      </c>
      <c r="X314" s="9"/>
      <c r="Y314" s="22">
        <v>0.319214</v>
      </c>
      <c r="Z314" s="22">
        <v>119.746</v>
      </c>
      <c r="AA314" s="22">
        <v>-1.6024799999999999E-2</v>
      </c>
      <c r="AB314" s="22">
        <v>304</v>
      </c>
      <c r="AC314" s="22">
        <v>0.318604</v>
      </c>
      <c r="AD314">
        <f t="shared" si="52"/>
        <v>16.024799999999999</v>
      </c>
      <c r="AE314">
        <f t="shared" si="53"/>
        <v>5.1153405072</v>
      </c>
      <c r="AF314" s="9"/>
      <c r="AG314" s="22">
        <v>1.43082</v>
      </c>
      <c r="AH314" s="22">
        <v>138.721</v>
      </c>
      <c r="AI314" s="22">
        <v>-8.8623E-3</v>
      </c>
      <c r="AJ314" s="22">
        <v>304</v>
      </c>
      <c r="AK314" s="22">
        <v>1.43066</v>
      </c>
      <c r="AL314">
        <f t="shared" si="54"/>
        <v>8.8622999999999994</v>
      </c>
      <c r="AM314">
        <f t="shared" si="55"/>
        <v>12.680356086</v>
      </c>
      <c r="AP314" s="9"/>
      <c r="AQ314" s="22">
        <v>0.319214</v>
      </c>
      <c r="AR314" s="22">
        <v>161.36600000000001</v>
      </c>
      <c r="AS314" s="22">
        <v>-1.5945399999999998E-2</v>
      </c>
      <c r="AT314" s="22">
        <v>304</v>
      </c>
      <c r="AU314" s="22">
        <v>0.31863399999999997</v>
      </c>
      <c r="AV314">
        <f t="shared" si="56"/>
        <v>15.945399999999999</v>
      </c>
      <c r="AW314">
        <f t="shared" si="57"/>
        <v>5.0899949156000002</v>
      </c>
      <c r="AX314" s="9"/>
      <c r="AY314" s="22">
        <v>1.43082</v>
      </c>
      <c r="AZ314" s="22">
        <v>184.227</v>
      </c>
      <c r="BA314" s="22">
        <v>-8.9630100000000004E-3</v>
      </c>
      <c r="BB314" s="22">
        <v>304</v>
      </c>
      <c r="BC314" s="22">
        <v>1.43005</v>
      </c>
      <c r="BD314">
        <f t="shared" si="58"/>
        <v>8.9630100000000006</v>
      </c>
      <c r="BE314">
        <f t="shared" si="59"/>
        <v>12.8244539682</v>
      </c>
    </row>
    <row r="315" spans="6:57">
      <c r="F315" s="9"/>
      <c r="G315" s="22">
        <v>0.31417800000000001</v>
      </c>
      <c r="H315" s="22">
        <v>52.313800000000001</v>
      </c>
      <c r="I315" s="22">
        <v>-1.5969799999999999E-2</v>
      </c>
      <c r="J315" s="22">
        <v>305</v>
      </c>
      <c r="K315" s="22">
        <v>0.31362899999999999</v>
      </c>
      <c r="L315">
        <f t="shared" si="48"/>
        <v>15.969799999999999</v>
      </c>
      <c r="M315">
        <f t="shared" si="49"/>
        <v>5.0173598243999997</v>
      </c>
      <c r="N315" s="9"/>
      <c r="O315" s="22">
        <v>1.4358500000000001</v>
      </c>
      <c r="P315" s="22">
        <v>70.196600000000004</v>
      </c>
      <c r="Q315" s="22">
        <v>-8.5388200000000008E-3</v>
      </c>
      <c r="R315" s="22">
        <v>305</v>
      </c>
      <c r="S315" s="22">
        <v>1.4352400000000001</v>
      </c>
      <c r="T315">
        <f t="shared" si="50"/>
        <v>8.5388200000000012</v>
      </c>
      <c r="U315">
        <f t="shared" si="51"/>
        <v>12.260464697000002</v>
      </c>
      <c r="X315" s="9"/>
      <c r="Y315" s="22">
        <v>0.31417800000000001</v>
      </c>
      <c r="Z315" s="22">
        <v>119.756</v>
      </c>
      <c r="AA315" s="22">
        <v>-1.60217E-2</v>
      </c>
      <c r="AB315" s="22">
        <v>305</v>
      </c>
      <c r="AC315" s="22">
        <v>0.31365999999999999</v>
      </c>
      <c r="AD315">
        <f t="shared" si="52"/>
        <v>16.021699999999999</v>
      </c>
      <c r="AE315">
        <f t="shared" si="53"/>
        <v>5.0336656625999998</v>
      </c>
      <c r="AF315" s="9"/>
      <c r="AG315" s="22">
        <v>1.4358500000000001</v>
      </c>
      <c r="AH315" s="22">
        <v>138.73099999999999</v>
      </c>
      <c r="AI315" s="22">
        <v>-8.7768599999999992E-3</v>
      </c>
      <c r="AJ315" s="22">
        <v>305</v>
      </c>
      <c r="AK315" s="22">
        <v>1.4349400000000001</v>
      </c>
      <c r="AL315">
        <f t="shared" si="54"/>
        <v>8.7768599999999992</v>
      </c>
      <c r="AM315">
        <f t="shared" si="55"/>
        <v>12.602254430999999</v>
      </c>
      <c r="AP315" s="9"/>
      <c r="AQ315" s="22">
        <v>0.31417800000000001</v>
      </c>
      <c r="AR315" s="22">
        <v>161.376</v>
      </c>
      <c r="AS315" s="22">
        <v>-1.59393E-2</v>
      </c>
      <c r="AT315" s="22">
        <v>305</v>
      </c>
      <c r="AU315" s="22">
        <v>0.31359900000000002</v>
      </c>
      <c r="AV315">
        <f t="shared" si="56"/>
        <v>15.939299999999999</v>
      </c>
      <c r="AW315">
        <f t="shared" si="57"/>
        <v>5.0077773953999998</v>
      </c>
      <c r="AX315" s="9"/>
      <c r="AY315" s="22">
        <v>1.4358500000000001</v>
      </c>
      <c r="AZ315" s="22">
        <v>184.23699999999999</v>
      </c>
      <c r="BA315" s="22">
        <v>-8.8775599999999996E-3</v>
      </c>
      <c r="BB315" s="22">
        <v>305</v>
      </c>
      <c r="BC315" s="22">
        <v>1.4355500000000001</v>
      </c>
      <c r="BD315">
        <f t="shared" si="58"/>
        <v>8.877559999999999</v>
      </c>
      <c r="BE315">
        <f t="shared" si="59"/>
        <v>12.746844525999999</v>
      </c>
    </row>
    <row r="316" spans="6:57">
      <c r="F316" s="9"/>
      <c r="G316" s="22">
        <v>0.309143</v>
      </c>
      <c r="H316" s="22">
        <v>52.323900000000002</v>
      </c>
      <c r="I316" s="22">
        <v>-1.5976000000000001E-2</v>
      </c>
      <c r="J316" s="22">
        <v>306</v>
      </c>
      <c r="K316" s="22">
        <v>0.30856299999999998</v>
      </c>
      <c r="L316">
        <f t="shared" si="48"/>
        <v>15.976000000000001</v>
      </c>
      <c r="M316">
        <f t="shared" si="49"/>
        <v>4.9388685680000002</v>
      </c>
      <c r="N316" s="9"/>
      <c r="O316" s="22">
        <v>1.44089</v>
      </c>
      <c r="P316" s="22">
        <v>70.206699999999998</v>
      </c>
      <c r="Q316" s="22">
        <v>-8.4564199999999992E-3</v>
      </c>
      <c r="R316" s="22">
        <v>306</v>
      </c>
      <c r="S316" s="22">
        <v>1.4401200000000001</v>
      </c>
      <c r="T316">
        <f t="shared" si="50"/>
        <v>8.4564199999999996</v>
      </c>
      <c r="U316">
        <f t="shared" si="51"/>
        <v>12.184771013799999</v>
      </c>
      <c r="X316" s="9"/>
      <c r="Y316" s="22">
        <v>0.309143</v>
      </c>
      <c r="Z316" s="22">
        <v>119.76600000000001</v>
      </c>
      <c r="AA316" s="22">
        <v>-1.6015600000000001E-2</v>
      </c>
      <c r="AB316" s="22">
        <v>306</v>
      </c>
      <c r="AC316" s="22">
        <v>0.30859399999999998</v>
      </c>
      <c r="AD316">
        <f t="shared" si="52"/>
        <v>16.015600000000003</v>
      </c>
      <c r="AE316">
        <f t="shared" si="53"/>
        <v>4.9511106308000006</v>
      </c>
      <c r="AF316" s="9"/>
      <c r="AG316" s="22">
        <v>1.44089</v>
      </c>
      <c r="AH316" s="22">
        <v>138.74100000000001</v>
      </c>
      <c r="AI316" s="22">
        <v>-8.6883499999999992E-3</v>
      </c>
      <c r="AJ316" s="22">
        <v>306</v>
      </c>
      <c r="AK316" s="22">
        <v>1.4398200000000001</v>
      </c>
      <c r="AL316">
        <f t="shared" si="54"/>
        <v>8.6883499999999998</v>
      </c>
      <c r="AM316">
        <f t="shared" si="55"/>
        <v>12.5189566315</v>
      </c>
      <c r="AP316" s="9"/>
      <c r="AQ316" s="22">
        <v>0.309143</v>
      </c>
      <c r="AR316" s="22">
        <v>161.386</v>
      </c>
      <c r="AS316" s="22">
        <v>-1.5945399999999998E-2</v>
      </c>
      <c r="AT316" s="22">
        <v>306</v>
      </c>
      <c r="AU316" s="22">
        <v>0.308502</v>
      </c>
      <c r="AV316">
        <f t="shared" si="56"/>
        <v>15.945399999999999</v>
      </c>
      <c r="AW316">
        <f t="shared" si="57"/>
        <v>4.9294087921999994</v>
      </c>
      <c r="AX316" s="9"/>
      <c r="AY316" s="22">
        <v>1.44089</v>
      </c>
      <c r="AZ316" s="22">
        <v>184.24700000000001</v>
      </c>
      <c r="BA316" s="22">
        <v>-8.7890599999999996E-3</v>
      </c>
      <c r="BB316" s="22">
        <v>306</v>
      </c>
      <c r="BC316" s="22">
        <v>1.4407300000000001</v>
      </c>
      <c r="BD316">
        <f t="shared" si="58"/>
        <v>8.7890599999999992</v>
      </c>
      <c r="BE316">
        <f t="shared" si="59"/>
        <v>12.664068663399998</v>
      </c>
    </row>
    <row r="317" spans="6:57">
      <c r="F317" s="9"/>
      <c r="G317" s="22">
        <v>0.30410799999999999</v>
      </c>
      <c r="H317" s="22">
        <v>52.3339</v>
      </c>
      <c r="I317" s="22">
        <v>-1.5976000000000001E-2</v>
      </c>
      <c r="J317" s="22">
        <v>307</v>
      </c>
      <c r="K317" s="22">
        <v>0.30355799999999999</v>
      </c>
      <c r="L317">
        <f t="shared" si="48"/>
        <v>15.976000000000001</v>
      </c>
      <c r="M317">
        <f t="shared" si="49"/>
        <v>4.8584294080000001</v>
      </c>
      <c r="N317" s="9"/>
      <c r="O317" s="22">
        <v>1.4459200000000001</v>
      </c>
      <c r="P317" s="22">
        <v>70.216800000000006</v>
      </c>
      <c r="Q317" s="22">
        <v>-8.3740199999999994E-3</v>
      </c>
      <c r="R317" s="22">
        <v>307</v>
      </c>
      <c r="S317" s="22">
        <v>1.4450099999999999</v>
      </c>
      <c r="T317">
        <f t="shared" si="50"/>
        <v>8.3740199999999998</v>
      </c>
      <c r="U317">
        <f t="shared" si="51"/>
        <v>12.108162998400001</v>
      </c>
      <c r="X317" s="9"/>
      <c r="Y317" s="22">
        <v>0.30410799999999999</v>
      </c>
      <c r="Z317" s="22">
        <v>119.776</v>
      </c>
      <c r="AA317" s="22">
        <v>-1.6012599999999998E-2</v>
      </c>
      <c r="AB317" s="22">
        <v>307</v>
      </c>
      <c r="AC317" s="22">
        <v>0.30352800000000002</v>
      </c>
      <c r="AD317">
        <f t="shared" si="52"/>
        <v>16.012599999999999</v>
      </c>
      <c r="AE317">
        <f t="shared" si="53"/>
        <v>4.8695597607999996</v>
      </c>
      <c r="AF317" s="9"/>
      <c r="AG317" s="22">
        <v>1.4459200000000001</v>
      </c>
      <c r="AH317" s="22">
        <v>138.751</v>
      </c>
      <c r="AI317" s="22">
        <v>-8.6029100000000001E-3</v>
      </c>
      <c r="AJ317" s="22">
        <v>307</v>
      </c>
      <c r="AK317" s="22">
        <v>1.4456199999999999</v>
      </c>
      <c r="AL317">
        <f t="shared" si="54"/>
        <v>8.6029099999999996</v>
      </c>
      <c r="AM317">
        <f t="shared" si="55"/>
        <v>12.4391196272</v>
      </c>
      <c r="AP317" s="9"/>
      <c r="AQ317" s="22">
        <v>0.30410799999999999</v>
      </c>
      <c r="AR317" s="22">
        <v>161.39599999999999</v>
      </c>
      <c r="AS317" s="22">
        <v>-1.5945399999999998E-2</v>
      </c>
      <c r="AT317" s="22">
        <v>307</v>
      </c>
      <c r="AU317" s="22">
        <v>0.30349700000000002</v>
      </c>
      <c r="AV317">
        <f t="shared" si="56"/>
        <v>15.945399999999999</v>
      </c>
      <c r="AW317">
        <f t="shared" si="57"/>
        <v>4.8491237031999992</v>
      </c>
      <c r="AX317" s="9"/>
      <c r="AY317" s="22">
        <v>1.4459200000000001</v>
      </c>
      <c r="AZ317" s="22">
        <v>184.25700000000001</v>
      </c>
      <c r="BA317" s="22">
        <v>-8.7005599999999995E-3</v>
      </c>
      <c r="BB317" s="22">
        <v>307</v>
      </c>
      <c r="BC317" s="22">
        <v>1.4456199999999999</v>
      </c>
      <c r="BD317">
        <f t="shared" si="58"/>
        <v>8.7005599999999994</v>
      </c>
      <c r="BE317">
        <f t="shared" si="59"/>
        <v>12.580313715199999</v>
      </c>
    </row>
    <row r="318" spans="6:57">
      <c r="F318" s="9"/>
      <c r="G318" s="22">
        <v>0.299072</v>
      </c>
      <c r="H318" s="22">
        <v>52.344000000000001</v>
      </c>
      <c r="I318" s="22">
        <v>-1.5979E-2</v>
      </c>
      <c r="J318" s="22">
        <v>308</v>
      </c>
      <c r="K318" s="22">
        <v>0.29846200000000001</v>
      </c>
      <c r="L318">
        <f t="shared" si="48"/>
        <v>15.979000000000001</v>
      </c>
      <c r="M318">
        <f t="shared" si="49"/>
        <v>4.7788714880000001</v>
      </c>
      <c r="N318" s="9"/>
      <c r="O318" s="22">
        <v>1.45096</v>
      </c>
      <c r="P318" s="22">
        <v>70.226799999999997</v>
      </c>
      <c r="Q318" s="22">
        <v>-8.2885700000000003E-3</v>
      </c>
      <c r="R318" s="22">
        <v>308</v>
      </c>
      <c r="S318" s="22">
        <v>1.4501999999999999</v>
      </c>
      <c r="T318">
        <f t="shared" si="50"/>
        <v>8.28857</v>
      </c>
      <c r="U318">
        <f t="shared" si="51"/>
        <v>12.0263835272</v>
      </c>
      <c r="X318" s="9"/>
      <c r="Y318" s="22">
        <v>0.299072</v>
      </c>
      <c r="Z318" s="22">
        <v>119.786</v>
      </c>
      <c r="AA318" s="22">
        <v>-1.6015600000000001E-2</v>
      </c>
      <c r="AB318" s="22">
        <v>308</v>
      </c>
      <c r="AC318" s="22">
        <v>0.29849199999999998</v>
      </c>
      <c r="AD318">
        <f t="shared" si="52"/>
        <v>16.015600000000003</v>
      </c>
      <c r="AE318">
        <f t="shared" si="53"/>
        <v>4.7898175232000009</v>
      </c>
      <c r="AF318" s="9"/>
      <c r="AG318" s="22">
        <v>1.45096</v>
      </c>
      <c r="AH318" s="22">
        <v>138.761</v>
      </c>
      <c r="AI318" s="22">
        <v>-8.5144000000000001E-3</v>
      </c>
      <c r="AJ318" s="22">
        <v>308</v>
      </c>
      <c r="AK318" s="22">
        <v>1.4498899999999999</v>
      </c>
      <c r="AL318">
        <f t="shared" si="54"/>
        <v>8.5144000000000002</v>
      </c>
      <c r="AM318">
        <f t="shared" si="55"/>
        <v>12.354053824000001</v>
      </c>
      <c r="AP318" s="9"/>
      <c r="AQ318" s="22">
        <v>0.299072</v>
      </c>
      <c r="AR318" s="22">
        <v>161.40600000000001</v>
      </c>
      <c r="AS318" s="22">
        <v>-1.59515E-2</v>
      </c>
      <c r="AT318" s="22">
        <v>308</v>
      </c>
      <c r="AU318" s="22">
        <v>0.29846200000000001</v>
      </c>
      <c r="AV318">
        <f t="shared" si="56"/>
        <v>15.951500000000001</v>
      </c>
      <c r="AW318">
        <f t="shared" si="57"/>
        <v>4.7706470080000001</v>
      </c>
      <c r="AX318" s="9"/>
      <c r="AY318" s="22">
        <v>1.45096</v>
      </c>
      <c r="AZ318" s="22">
        <v>184.267</v>
      </c>
      <c r="BA318" s="22">
        <v>-8.6151100000000005E-3</v>
      </c>
      <c r="BB318" s="22">
        <v>308</v>
      </c>
      <c r="BC318" s="22">
        <v>1.4501999999999999</v>
      </c>
      <c r="BD318">
        <f t="shared" si="58"/>
        <v>8.6151099999999996</v>
      </c>
      <c r="BE318">
        <f t="shared" si="59"/>
        <v>12.500180005599999</v>
      </c>
    </row>
    <row r="319" spans="6:57">
      <c r="F319" s="9"/>
      <c r="G319" s="22">
        <v>0.29403699999999999</v>
      </c>
      <c r="H319" s="22">
        <v>52.354100000000003</v>
      </c>
      <c r="I319" s="22">
        <v>-1.5982099999999999E-2</v>
      </c>
      <c r="J319" s="22">
        <v>309</v>
      </c>
      <c r="K319" s="22">
        <v>0.29345700000000002</v>
      </c>
      <c r="L319">
        <f t="shared" si="48"/>
        <v>15.982099999999999</v>
      </c>
      <c r="M319">
        <f t="shared" si="49"/>
        <v>4.6993287376999993</v>
      </c>
      <c r="N319" s="9"/>
      <c r="O319" s="22">
        <v>1.4559899999999999</v>
      </c>
      <c r="P319" s="22">
        <v>70.236900000000006</v>
      </c>
      <c r="Q319" s="22">
        <v>-8.2000700000000003E-3</v>
      </c>
      <c r="R319" s="22">
        <v>309</v>
      </c>
      <c r="S319" s="22">
        <v>1.4553799999999999</v>
      </c>
      <c r="T319">
        <f t="shared" si="50"/>
        <v>8.2000700000000002</v>
      </c>
      <c r="U319">
        <f t="shared" si="51"/>
        <v>11.939219919299999</v>
      </c>
      <c r="X319" s="9"/>
      <c r="Y319" s="22">
        <v>0.29403699999999999</v>
      </c>
      <c r="Z319" s="22">
        <v>119.79600000000001</v>
      </c>
      <c r="AA319" s="22">
        <v>-1.60187E-2</v>
      </c>
      <c r="AB319" s="22">
        <v>309</v>
      </c>
      <c r="AC319" s="22">
        <v>0.29345700000000002</v>
      </c>
      <c r="AD319">
        <f t="shared" si="52"/>
        <v>16.018699999999999</v>
      </c>
      <c r="AE319">
        <f t="shared" si="53"/>
        <v>4.7100904919</v>
      </c>
      <c r="AF319" s="9"/>
      <c r="AG319" s="22">
        <v>1.4559899999999999</v>
      </c>
      <c r="AH319" s="22">
        <v>138.77099999999999</v>
      </c>
      <c r="AI319" s="22">
        <v>-8.4289599999999992E-3</v>
      </c>
      <c r="AJ319" s="22">
        <v>309</v>
      </c>
      <c r="AK319" s="22">
        <v>1.4556899999999999</v>
      </c>
      <c r="AL319">
        <f t="shared" si="54"/>
        <v>8.42896</v>
      </c>
      <c r="AM319">
        <f t="shared" si="55"/>
        <v>12.272481470399999</v>
      </c>
      <c r="AP319" s="9"/>
      <c r="AQ319" s="22">
        <v>0.29403699999999999</v>
      </c>
      <c r="AR319" s="22">
        <v>161.416</v>
      </c>
      <c r="AS319" s="22">
        <v>-1.5957599999999999E-2</v>
      </c>
      <c r="AT319" s="22">
        <v>309</v>
      </c>
      <c r="AU319" s="22">
        <v>0.29348800000000003</v>
      </c>
      <c r="AV319">
        <f t="shared" si="56"/>
        <v>15.957599999999999</v>
      </c>
      <c r="AW319">
        <f t="shared" si="57"/>
        <v>4.6921248312000001</v>
      </c>
      <c r="AX319" s="9"/>
      <c r="AY319" s="22">
        <v>1.4559899999999999</v>
      </c>
      <c r="AZ319" s="22">
        <v>184.27699999999999</v>
      </c>
      <c r="BA319" s="22">
        <v>-8.5327100000000006E-3</v>
      </c>
      <c r="BB319" s="22">
        <v>309</v>
      </c>
      <c r="BC319" s="22">
        <v>1.4556899999999999</v>
      </c>
      <c r="BD319">
        <f t="shared" si="58"/>
        <v>8.5327099999999998</v>
      </c>
      <c r="BE319">
        <f t="shared" si="59"/>
        <v>12.423540432899999</v>
      </c>
    </row>
    <row r="320" spans="6:57">
      <c r="F320" s="9"/>
      <c r="G320" s="22">
        <v>0.28900100000000001</v>
      </c>
      <c r="H320" s="22">
        <v>52.364100000000001</v>
      </c>
      <c r="I320" s="22">
        <v>-1.5988200000000001E-2</v>
      </c>
      <c r="J320" s="22">
        <v>310</v>
      </c>
      <c r="K320" s="22">
        <v>0.28848299999999999</v>
      </c>
      <c r="L320">
        <f t="shared" si="48"/>
        <v>15.988200000000001</v>
      </c>
      <c r="M320">
        <f t="shared" si="49"/>
        <v>4.6206057882000007</v>
      </c>
      <c r="N320" s="9"/>
      <c r="O320" s="22">
        <v>1.4610300000000001</v>
      </c>
      <c r="P320" s="22">
        <v>70.247</v>
      </c>
      <c r="Q320" s="22">
        <v>-8.1115700000000002E-3</v>
      </c>
      <c r="R320" s="22">
        <v>310</v>
      </c>
      <c r="S320" s="22">
        <v>1.46027</v>
      </c>
      <c r="T320">
        <f t="shared" si="50"/>
        <v>8.1115700000000004</v>
      </c>
      <c r="U320">
        <f t="shared" si="51"/>
        <v>11.851247117100002</v>
      </c>
      <c r="X320" s="9"/>
      <c r="Y320" s="22">
        <v>0.28900100000000001</v>
      </c>
      <c r="Z320" s="22">
        <v>119.806</v>
      </c>
      <c r="AA320" s="22">
        <v>-1.6027799999999998E-2</v>
      </c>
      <c r="AB320" s="22">
        <v>310</v>
      </c>
      <c r="AC320" s="22">
        <v>0.28839100000000001</v>
      </c>
      <c r="AD320">
        <f t="shared" si="52"/>
        <v>16.027799999999999</v>
      </c>
      <c r="AE320">
        <f t="shared" si="53"/>
        <v>4.6320502277999998</v>
      </c>
      <c r="AF320" s="9"/>
      <c r="AG320" s="22">
        <v>1.4610300000000001</v>
      </c>
      <c r="AH320" s="22">
        <v>138.78100000000001</v>
      </c>
      <c r="AI320" s="22">
        <v>-8.3404499999999993E-3</v>
      </c>
      <c r="AJ320" s="22">
        <v>310</v>
      </c>
      <c r="AK320" s="22">
        <v>1.4605699999999999</v>
      </c>
      <c r="AL320">
        <f t="shared" si="54"/>
        <v>8.3404499999999988</v>
      </c>
      <c r="AM320">
        <f t="shared" si="55"/>
        <v>12.185647663499999</v>
      </c>
      <c r="AP320" s="9"/>
      <c r="AQ320" s="22">
        <v>0.28900100000000001</v>
      </c>
      <c r="AR320" s="22">
        <v>161.42599999999999</v>
      </c>
      <c r="AS320" s="22">
        <v>-1.5960700000000001E-2</v>
      </c>
      <c r="AT320" s="22">
        <v>310</v>
      </c>
      <c r="AU320" s="22">
        <v>0.28839100000000001</v>
      </c>
      <c r="AV320">
        <f t="shared" si="56"/>
        <v>15.960700000000001</v>
      </c>
      <c r="AW320">
        <f t="shared" si="57"/>
        <v>4.6126582607000008</v>
      </c>
      <c r="AX320" s="9"/>
      <c r="AY320" s="22">
        <v>1.4610300000000001</v>
      </c>
      <c r="AZ320" s="22">
        <v>184.28700000000001</v>
      </c>
      <c r="BA320" s="22">
        <v>-8.4472699999999998E-3</v>
      </c>
      <c r="BB320" s="22">
        <v>310</v>
      </c>
      <c r="BC320" s="22">
        <v>1.4605699999999999</v>
      </c>
      <c r="BD320">
        <f t="shared" si="58"/>
        <v>8.4472699999999996</v>
      </c>
      <c r="BE320">
        <f t="shared" si="59"/>
        <v>12.3417148881</v>
      </c>
    </row>
    <row r="321" spans="6:57">
      <c r="F321" s="9"/>
      <c r="G321" s="22">
        <v>0.283966</v>
      </c>
      <c r="H321" s="22">
        <v>52.374200000000002</v>
      </c>
      <c r="I321" s="22">
        <v>-1.5991200000000001E-2</v>
      </c>
      <c r="J321" s="22">
        <v>311</v>
      </c>
      <c r="K321" s="22">
        <v>0.28338600000000003</v>
      </c>
      <c r="L321">
        <f t="shared" si="48"/>
        <v>15.991200000000001</v>
      </c>
      <c r="M321">
        <f t="shared" si="49"/>
        <v>4.5409570991999999</v>
      </c>
      <c r="N321" s="9"/>
      <c r="O321" s="22">
        <v>1.4660599999999999</v>
      </c>
      <c r="P321" s="22">
        <v>70.257099999999994</v>
      </c>
      <c r="Q321" s="22">
        <v>-8.0230700000000002E-3</v>
      </c>
      <c r="R321" s="22">
        <v>311</v>
      </c>
      <c r="S321" s="22">
        <v>1.46515</v>
      </c>
      <c r="T321">
        <f t="shared" si="50"/>
        <v>8.0230700000000006</v>
      </c>
      <c r="U321">
        <f t="shared" si="51"/>
        <v>11.7623020042</v>
      </c>
      <c r="X321" s="9"/>
      <c r="Y321" s="22">
        <v>0.283966</v>
      </c>
      <c r="Z321" s="22">
        <v>119.816</v>
      </c>
      <c r="AA321" s="22">
        <v>-1.60339E-2</v>
      </c>
      <c r="AB321" s="22">
        <v>311</v>
      </c>
      <c r="AC321" s="22">
        <v>0.28338600000000003</v>
      </c>
      <c r="AD321">
        <f t="shared" si="52"/>
        <v>16.033899999999999</v>
      </c>
      <c r="AE321">
        <f t="shared" si="53"/>
        <v>4.5530824473999996</v>
      </c>
      <c r="AF321" s="9"/>
      <c r="AG321" s="22">
        <v>1.4660599999999999</v>
      </c>
      <c r="AH321" s="22">
        <v>138.791</v>
      </c>
      <c r="AI321" s="22">
        <v>-8.2519499999999992E-3</v>
      </c>
      <c r="AJ321" s="22">
        <v>311</v>
      </c>
      <c r="AK321" s="22">
        <v>1.4654499999999999</v>
      </c>
      <c r="AL321">
        <f t="shared" si="54"/>
        <v>8.251949999999999</v>
      </c>
      <c r="AM321">
        <f t="shared" si="55"/>
        <v>12.097853816999997</v>
      </c>
      <c r="AP321" s="9"/>
      <c r="AQ321" s="22">
        <v>0.283966</v>
      </c>
      <c r="AR321" s="22">
        <v>161.43600000000001</v>
      </c>
      <c r="AS321" s="22">
        <v>-1.5972900000000002E-2</v>
      </c>
      <c r="AT321" s="22">
        <v>311</v>
      </c>
      <c r="AU321" s="22">
        <v>0.28341699999999997</v>
      </c>
      <c r="AV321">
        <f t="shared" si="56"/>
        <v>15.972900000000001</v>
      </c>
      <c r="AW321">
        <f t="shared" si="57"/>
        <v>4.5357605214000003</v>
      </c>
      <c r="AX321" s="9"/>
      <c r="AY321" s="22">
        <v>1.4660599999999999</v>
      </c>
      <c r="AZ321" s="22">
        <v>184.297</v>
      </c>
      <c r="BA321" s="22">
        <v>-8.3557100000000006E-3</v>
      </c>
      <c r="BB321" s="22">
        <v>311</v>
      </c>
      <c r="BC321" s="22">
        <v>1.46576</v>
      </c>
      <c r="BD321">
        <f t="shared" si="58"/>
        <v>8.3557100000000002</v>
      </c>
      <c r="BE321">
        <f t="shared" si="59"/>
        <v>12.2499722026</v>
      </c>
    </row>
    <row r="322" spans="6:57">
      <c r="F322" s="9"/>
      <c r="G322" s="22">
        <v>0.27893099999999998</v>
      </c>
      <c r="H322" s="22">
        <v>52.384300000000003</v>
      </c>
      <c r="I322" s="22">
        <v>-1.6003400000000001E-2</v>
      </c>
      <c r="J322" s="22">
        <v>312</v>
      </c>
      <c r="K322" s="22">
        <v>0.27835100000000002</v>
      </c>
      <c r="L322">
        <f t="shared" si="48"/>
        <v>16.003399999999999</v>
      </c>
      <c r="M322">
        <f t="shared" si="49"/>
        <v>4.4638443654</v>
      </c>
      <c r="N322" s="9"/>
      <c r="O322" s="22">
        <v>1.4711000000000001</v>
      </c>
      <c r="P322" s="22">
        <v>70.267099999999999</v>
      </c>
      <c r="Q322" s="22">
        <v>-7.9345700000000002E-3</v>
      </c>
      <c r="R322" s="22">
        <v>312</v>
      </c>
      <c r="S322" s="22">
        <v>1.47034</v>
      </c>
      <c r="T322">
        <f t="shared" si="50"/>
        <v>7.9345699999999999</v>
      </c>
      <c r="U322">
        <f t="shared" si="51"/>
        <v>11.672545927</v>
      </c>
      <c r="X322" s="9"/>
      <c r="Y322" s="22">
        <v>0.27893099999999998</v>
      </c>
      <c r="Z322" s="22">
        <v>119.827</v>
      </c>
      <c r="AA322" s="22">
        <v>-1.6046100000000001E-2</v>
      </c>
      <c r="AB322" s="22">
        <v>312</v>
      </c>
      <c r="AC322" s="22">
        <v>0.27841199999999999</v>
      </c>
      <c r="AD322">
        <f t="shared" si="52"/>
        <v>16.046099999999999</v>
      </c>
      <c r="AE322">
        <f t="shared" si="53"/>
        <v>4.4757547190999993</v>
      </c>
      <c r="AF322" s="9"/>
      <c r="AG322" s="22">
        <v>1.4711000000000001</v>
      </c>
      <c r="AH322" s="22">
        <v>138.80099999999999</v>
      </c>
      <c r="AI322" s="22">
        <v>-8.1634499999999992E-3</v>
      </c>
      <c r="AJ322" s="22">
        <v>312</v>
      </c>
      <c r="AK322" s="22">
        <v>1.4706399999999999</v>
      </c>
      <c r="AL322">
        <f t="shared" si="54"/>
        <v>8.1634499999999992</v>
      </c>
      <c r="AM322">
        <f t="shared" si="55"/>
        <v>12.009251295</v>
      </c>
      <c r="AP322" s="9"/>
      <c r="AQ322" s="22">
        <v>0.27893099999999998</v>
      </c>
      <c r="AR322" s="22">
        <v>161.446</v>
      </c>
      <c r="AS322" s="22">
        <v>-1.5991200000000001E-2</v>
      </c>
      <c r="AT322" s="22">
        <v>312</v>
      </c>
      <c r="AU322" s="22">
        <v>0.27832000000000001</v>
      </c>
      <c r="AV322">
        <f t="shared" si="56"/>
        <v>15.991200000000001</v>
      </c>
      <c r="AW322">
        <f t="shared" si="57"/>
        <v>4.4604414072000003</v>
      </c>
      <c r="AX322" s="9"/>
      <c r="AY322" s="22">
        <v>1.4711000000000001</v>
      </c>
      <c r="AZ322" s="22">
        <v>184.30699999999999</v>
      </c>
      <c r="BA322" s="22">
        <v>-8.2641599999999996E-3</v>
      </c>
      <c r="BB322" s="22">
        <v>312</v>
      </c>
      <c r="BC322" s="22">
        <v>1.4706399999999999</v>
      </c>
      <c r="BD322">
        <f t="shared" si="58"/>
        <v>8.2641600000000004</v>
      </c>
      <c r="BE322">
        <f t="shared" si="59"/>
        <v>12.157405776000001</v>
      </c>
    </row>
    <row r="323" spans="6:57">
      <c r="F323" s="9"/>
      <c r="G323" s="22">
        <v>0.273895</v>
      </c>
      <c r="H323" s="22">
        <v>52.394399999999997</v>
      </c>
      <c r="I323" s="22">
        <v>-1.6012599999999998E-2</v>
      </c>
      <c r="J323" s="22">
        <v>313</v>
      </c>
      <c r="K323" s="22">
        <v>0.27331499999999997</v>
      </c>
      <c r="L323">
        <f t="shared" si="48"/>
        <v>16.012599999999999</v>
      </c>
      <c r="M323">
        <f t="shared" si="49"/>
        <v>4.3857710769999994</v>
      </c>
      <c r="N323" s="9"/>
      <c r="O323" s="22">
        <v>1.47614</v>
      </c>
      <c r="P323" s="22">
        <v>70.277199999999993</v>
      </c>
      <c r="Q323" s="22">
        <v>-7.8460700000000001E-3</v>
      </c>
      <c r="R323" s="22">
        <v>313</v>
      </c>
      <c r="S323" s="22">
        <v>1.47614</v>
      </c>
      <c r="T323">
        <f t="shared" si="50"/>
        <v>7.8460700000000001</v>
      </c>
      <c r="U323">
        <f t="shared" si="51"/>
        <v>11.581897769799999</v>
      </c>
      <c r="X323" s="9"/>
      <c r="Y323" s="22">
        <v>0.273895</v>
      </c>
      <c r="Z323" s="22">
        <v>119.837</v>
      </c>
      <c r="AA323" s="22">
        <v>-1.6043100000000001E-2</v>
      </c>
      <c r="AB323" s="22">
        <v>313</v>
      </c>
      <c r="AC323" s="22">
        <v>0.27331499999999997</v>
      </c>
      <c r="AD323">
        <f t="shared" si="52"/>
        <v>16.043100000000003</v>
      </c>
      <c r="AE323">
        <f t="shared" si="53"/>
        <v>4.394124874500001</v>
      </c>
      <c r="AF323" s="9"/>
      <c r="AG323" s="22">
        <v>1.47614</v>
      </c>
      <c r="AH323" s="22">
        <v>138.81100000000001</v>
      </c>
      <c r="AI323" s="22">
        <v>-8.0718999999999999E-3</v>
      </c>
      <c r="AJ323" s="22">
        <v>313</v>
      </c>
      <c r="AK323" s="22">
        <v>1.4755199999999999</v>
      </c>
      <c r="AL323">
        <f t="shared" si="54"/>
        <v>8.0718999999999994</v>
      </c>
      <c r="AM323">
        <f t="shared" si="55"/>
        <v>11.915254465999999</v>
      </c>
      <c r="AP323" s="9"/>
      <c r="AQ323" s="22">
        <v>0.273895</v>
      </c>
      <c r="AR323" s="22">
        <v>161.45599999999999</v>
      </c>
      <c r="AS323" s="22">
        <v>-1.60065E-2</v>
      </c>
      <c r="AT323" s="22">
        <v>313</v>
      </c>
      <c r="AU323" s="22">
        <v>0.273285</v>
      </c>
      <c r="AV323">
        <f t="shared" si="56"/>
        <v>16.006499999999999</v>
      </c>
      <c r="AW323">
        <f t="shared" si="57"/>
        <v>4.3841003174999997</v>
      </c>
      <c r="AX323" s="9"/>
      <c r="AY323" s="22">
        <v>1.47614</v>
      </c>
      <c r="AZ323" s="22">
        <v>184.31700000000001</v>
      </c>
      <c r="BA323" s="22">
        <v>-8.1695599999999993E-3</v>
      </c>
      <c r="BB323" s="22">
        <v>313</v>
      </c>
      <c r="BC323" s="22">
        <v>1.47583</v>
      </c>
      <c r="BD323">
        <f t="shared" si="58"/>
        <v>8.1695599999999988</v>
      </c>
      <c r="BE323">
        <f t="shared" si="59"/>
        <v>12.059414298399998</v>
      </c>
    </row>
    <row r="324" spans="6:57">
      <c r="F324" s="9"/>
      <c r="G324" s="22">
        <v>0.26885999999999999</v>
      </c>
      <c r="H324" s="22">
        <v>52.404400000000003</v>
      </c>
      <c r="I324" s="22">
        <v>-1.60187E-2</v>
      </c>
      <c r="J324" s="22">
        <v>314</v>
      </c>
      <c r="K324" s="22">
        <v>0.26824999999999999</v>
      </c>
      <c r="L324">
        <f t="shared" si="48"/>
        <v>16.018699999999999</v>
      </c>
      <c r="M324">
        <f t="shared" si="49"/>
        <v>4.3067876819999995</v>
      </c>
      <c r="N324" s="9"/>
      <c r="O324" s="22">
        <v>1.4811700000000001</v>
      </c>
      <c r="P324" s="22">
        <v>70.287300000000002</v>
      </c>
      <c r="Q324" s="22">
        <v>-7.7575700000000001E-3</v>
      </c>
      <c r="R324" s="22">
        <v>314</v>
      </c>
      <c r="S324" s="22">
        <v>1.48041</v>
      </c>
      <c r="T324">
        <f t="shared" si="50"/>
        <v>7.7575700000000003</v>
      </c>
      <c r="U324">
        <f t="shared" si="51"/>
        <v>11.490279956900002</v>
      </c>
      <c r="X324" s="9"/>
      <c r="Y324" s="22">
        <v>0.26885999999999999</v>
      </c>
      <c r="Z324" s="22">
        <v>119.84699999999999</v>
      </c>
      <c r="AA324" s="22">
        <v>-1.6046100000000001E-2</v>
      </c>
      <c r="AB324" s="22">
        <v>314</v>
      </c>
      <c r="AC324" s="22">
        <v>0.26821899999999999</v>
      </c>
      <c r="AD324">
        <f t="shared" si="52"/>
        <v>16.046099999999999</v>
      </c>
      <c r="AE324">
        <f t="shared" si="53"/>
        <v>4.3141544459999999</v>
      </c>
      <c r="AF324" s="9"/>
      <c r="AG324" s="22">
        <v>1.4811700000000001</v>
      </c>
      <c r="AH324" s="22">
        <v>138.822</v>
      </c>
      <c r="AI324" s="22">
        <v>-7.9803500000000006E-3</v>
      </c>
      <c r="AJ324" s="22">
        <v>314</v>
      </c>
      <c r="AK324" s="22">
        <v>1.48071</v>
      </c>
      <c r="AL324">
        <f t="shared" si="54"/>
        <v>7.9803500000000005</v>
      </c>
      <c r="AM324">
        <f t="shared" si="55"/>
        <v>11.820255009500002</v>
      </c>
      <c r="AP324" s="9"/>
      <c r="AQ324" s="22">
        <v>0.26885999999999999</v>
      </c>
      <c r="AR324" s="22">
        <v>161.46600000000001</v>
      </c>
      <c r="AS324" s="22">
        <v>-1.6009499999999999E-2</v>
      </c>
      <c r="AT324" s="22">
        <v>314</v>
      </c>
      <c r="AU324" s="22">
        <v>0.26818799999999998</v>
      </c>
      <c r="AV324">
        <f t="shared" si="56"/>
        <v>16.009499999999999</v>
      </c>
      <c r="AW324">
        <f t="shared" si="57"/>
        <v>4.3043141699999996</v>
      </c>
      <c r="AX324" s="9"/>
      <c r="AY324" s="22">
        <v>1.4811700000000001</v>
      </c>
      <c r="AZ324" s="22">
        <v>184.327</v>
      </c>
      <c r="BA324" s="22">
        <v>-8.0718999999999999E-3</v>
      </c>
      <c r="BB324" s="22">
        <v>314</v>
      </c>
      <c r="BC324" s="22">
        <v>1.48102</v>
      </c>
      <c r="BD324">
        <f t="shared" si="58"/>
        <v>8.0718999999999994</v>
      </c>
      <c r="BE324">
        <f t="shared" si="59"/>
        <v>11.955856123</v>
      </c>
    </row>
    <row r="325" spans="6:57">
      <c r="F325" s="9"/>
      <c r="G325" s="22">
        <v>0.263824</v>
      </c>
      <c r="H325" s="22">
        <v>52.414499999999997</v>
      </c>
      <c r="I325" s="22">
        <v>-1.6027799999999998E-2</v>
      </c>
      <c r="J325" s="22">
        <v>315</v>
      </c>
      <c r="K325" s="22">
        <v>0.263214</v>
      </c>
      <c r="L325">
        <f t="shared" si="48"/>
        <v>16.027799999999999</v>
      </c>
      <c r="M325">
        <f t="shared" si="49"/>
        <v>4.2285183071999999</v>
      </c>
      <c r="N325" s="9"/>
      <c r="O325" s="22">
        <v>1.48621</v>
      </c>
      <c r="P325" s="22">
        <v>70.297300000000007</v>
      </c>
      <c r="Q325" s="22">
        <v>-7.6690700000000001E-3</v>
      </c>
      <c r="R325" s="22">
        <v>315</v>
      </c>
      <c r="S325" s="22">
        <v>1.4856</v>
      </c>
      <c r="T325">
        <f t="shared" si="50"/>
        <v>7.6690699999999996</v>
      </c>
      <c r="U325">
        <f t="shared" si="51"/>
        <v>11.397848524700001</v>
      </c>
      <c r="X325" s="9"/>
      <c r="Y325" s="22">
        <v>0.263824</v>
      </c>
      <c r="Z325" s="22">
        <v>119.857</v>
      </c>
      <c r="AA325" s="22">
        <v>-1.6052199999999999E-2</v>
      </c>
      <c r="AB325" s="22">
        <v>315</v>
      </c>
      <c r="AC325" s="22">
        <v>0.263214</v>
      </c>
      <c r="AD325">
        <f t="shared" si="52"/>
        <v>16.052199999999999</v>
      </c>
      <c r="AE325">
        <f t="shared" si="53"/>
        <v>4.2349556127999994</v>
      </c>
      <c r="AF325" s="9"/>
      <c r="AG325" s="22">
        <v>1.48621</v>
      </c>
      <c r="AH325" s="22">
        <v>138.83199999999999</v>
      </c>
      <c r="AI325" s="22">
        <v>-7.8887899999999997E-3</v>
      </c>
      <c r="AJ325" s="22">
        <v>315</v>
      </c>
      <c r="AK325" s="22">
        <v>1.48529</v>
      </c>
      <c r="AL325">
        <f t="shared" si="54"/>
        <v>7.8887899999999993</v>
      </c>
      <c r="AM325">
        <f t="shared" si="55"/>
        <v>11.7243985859</v>
      </c>
      <c r="AP325" s="9"/>
      <c r="AQ325" s="22">
        <v>0.263824</v>
      </c>
      <c r="AR325" s="22">
        <v>161.477</v>
      </c>
      <c r="AS325" s="22">
        <v>-1.60065E-2</v>
      </c>
      <c r="AT325" s="22">
        <v>315</v>
      </c>
      <c r="AU325" s="22">
        <v>0.26327499999999998</v>
      </c>
      <c r="AV325">
        <f t="shared" si="56"/>
        <v>16.006499999999999</v>
      </c>
      <c r="AW325">
        <f t="shared" si="57"/>
        <v>4.2228988559999996</v>
      </c>
      <c r="AX325" s="9"/>
      <c r="AY325" s="22">
        <v>1.48621</v>
      </c>
      <c r="AZ325" s="22">
        <v>184.33799999999999</v>
      </c>
      <c r="BA325" s="22">
        <v>-7.9772899999999997E-3</v>
      </c>
      <c r="BB325" s="22">
        <v>315</v>
      </c>
      <c r="BC325" s="22">
        <v>1.4856</v>
      </c>
      <c r="BD325">
        <f t="shared" si="58"/>
        <v>7.97729</v>
      </c>
      <c r="BE325">
        <f t="shared" si="59"/>
        <v>11.8559281709</v>
      </c>
    </row>
    <row r="326" spans="6:57">
      <c r="F326" s="9"/>
      <c r="G326" s="22">
        <v>0.25878899999999999</v>
      </c>
      <c r="H326" s="22">
        <v>52.424599999999998</v>
      </c>
      <c r="I326" s="22">
        <v>-1.60339E-2</v>
      </c>
      <c r="J326" s="22">
        <v>316</v>
      </c>
      <c r="K326" s="22">
        <v>0.25820900000000002</v>
      </c>
      <c r="L326">
        <f t="shared" si="48"/>
        <v>16.033899999999999</v>
      </c>
      <c r="M326">
        <f t="shared" si="49"/>
        <v>4.1493969470999996</v>
      </c>
      <c r="N326" s="9"/>
      <c r="O326" s="22">
        <v>1.4912399999999999</v>
      </c>
      <c r="P326" s="22">
        <v>70.307400000000001</v>
      </c>
      <c r="Q326" s="22">
        <v>-7.5836200000000001E-3</v>
      </c>
      <c r="R326" s="22">
        <v>316</v>
      </c>
      <c r="S326" s="22">
        <v>1.49048</v>
      </c>
      <c r="T326">
        <f t="shared" si="50"/>
        <v>7.5836199999999998</v>
      </c>
      <c r="U326">
        <f t="shared" si="51"/>
        <v>11.308997488799999</v>
      </c>
      <c r="X326" s="9"/>
      <c r="Y326" s="22">
        <v>0.25878899999999999</v>
      </c>
      <c r="Z326" s="22">
        <v>119.867</v>
      </c>
      <c r="AA326" s="22">
        <v>-1.60492E-2</v>
      </c>
      <c r="AB326" s="22">
        <v>316</v>
      </c>
      <c r="AC326" s="22">
        <v>0.25824000000000003</v>
      </c>
      <c r="AD326">
        <f t="shared" si="52"/>
        <v>16.049199999999999</v>
      </c>
      <c r="AE326">
        <f t="shared" si="53"/>
        <v>4.1533564187999996</v>
      </c>
      <c r="AF326" s="9"/>
      <c r="AG326" s="22">
        <v>1.4912399999999999</v>
      </c>
      <c r="AH326" s="22">
        <v>138.84200000000001</v>
      </c>
      <c r="AI326" s="22">
        <v>-7.7941900000000003E-3</v>
      </c>
      <c r="AJ326" s="22">
        <v>316</v>
      </c>
      <c r="AK326" s="22">
        <v>1.49078</v>
      </c>
      <c r="AL326">
        <f t="shared" si="54"/>
        <v>7.7941900000000004</v>
      </c>
      <c r="AM326">
        <f t="shared" si="55"/>
        <v>11.623007895599999</v>
      </c>
      <c r="AP326" s="9"/>
      <c r="AQ326" s="22">
        <v>0.25878899999999999</v>
      </c>
      <c r="AR326" s="22">
        <v>161.48699999999999</v>
      </c>
      <c r="AS326" s="22">
        <v>-1.60065E-2</v>
      </c>
      <c r="AT326" s="22">
        <v>316</v>
      </c>
      <c r="AU326" s="22">
        <v>0.25820900000000002</v>
      </c>
      <c r="AV326">
        <f t="shared" si="56"/>
        <v>16.006499999999999</v>
      </c>
      <c r="AW326">
        <f t="shared" si="57"/>
        <v>4.1423061284999996</v>
      </c>
      <c r="AX326" s="9"/>
      <c r="AY326" s="22">
        <v>1.4912399999999999</v>
      </c>
      <c r="AZ326" s="22">
        <v>184.34800000000001</v>
      </c>
      <c r="BA326" s="22">
        <v>-7.8826899999999995E-3</v>
      </c>
      <c r="BB326" s="22">
        <v>316</v>
      </c>
      <c r="BC326" s="22">
        <v>1.49109</v>
      </c>
      <c r="BD326">
        <f t="shared" si="58"/>
        <v>7.8826899999999993</v>
      </c>
      <c r="BE326">
        <f t="shared" si="59"/>
        <v>11.754982635599998</v>
      </c>
    </row>
    <row r="327" spans="6:57">
      <c r="F327" s="9"/>
      <c r="G327" s="22">
        <v>0.25375399999999998</v>
      </c>
      <c r="H327" s="22">
        <v>52.434600000000003</v>
      </c>
      <c r="I327" s="22">
        <v>-1.60339E-2</v>
      </c>
      <c r="J327" s="22">
        <v>317</v>
      </c>
      <c r="K327" s="22">
        <v>0.25311299999999998</v>
      </c>
      <c r="L327">
        <f t="shared" si="48"/>
        <v>16.033899999999999</v>
      </c>
      <c r="M327">
        <f t="shared" si="49"/>
        <v>4.0686662605999997</v>
      </c>
      <c r="N327" s="9"/>
      <c r="O327" s="22">
        <v>1.4962800000000001</v>
      </c>
      <c r="P327" s="22">
        <v>70.317499999999995</v>
      </c>
      <c r="Q327" s="22">
        <v>-7.49207E-3</v>
      </c>
      <c r="R327" s="22">
        <v>317</v>
      </c>
      <c r="S327" s="22">
        <v>1.49597</v>
      </c>
      <c r="T327">
        <f t="shared" si="50"/>
        <v>7.49207</v>
      </c>
      <c r="U327">
        <f t="shared" si="51"/>
        <v>11.2102344996</v>
      </c>
      <c r="X327" s="9"/>
      <c r="Y327" s="22">
        <v>0.25375399999999998</v>
      </c>
      <c r="Z327" s="22">
        <v>119.877</v>
      </c>
      <c r="AA327" s="22">
        <v>-1.60492E-2</v>
      </c>
      <c r="AB327" s="22">
        <v>317</v>
      </c>
      <c r="AC327" s="22">
        <v>0.25323499999999999</v>
      </c>
      <c r="AD327">
        <f t="shared" si="52"/>
        <v>16.049199999999999</v>
      </c>
      <c r="AE327">
        <f t="shared" si="53"/>
        <v>4.0725486967999993</v>
      </c>
      <c r="AF327" s="9"/>
      <c r="AG327" s="22">
        <v>1.4962800000000001</v>
      </c>
      <c r="AH327" s="22">
        <v>138.852</v>
      </c>
      <c r="AI327" s="22">
        <v>-7.69653E-3</v>
      </c>
      <c r="AJ327" s="22">
        <v>317</v>
      </c>
      <c r="AK327" s="22">
        <v>1.49597</v>
      </c>
      <c r="AL327">
        <f t="shared" si="54"/>
        <v>7.6965300000000001</v>
      </c>
      <c r="AM327">
        <f t="shared" si="55"/>
        <v>11.516163908400001</v>
      </c>
      <c r="AP327" s="9"/>
      <c r="AQ327" s="22">
        <v>0.25375399999999998</v>
      </c>
      <c r="AR327" s="22">
        <v>161.49700000000001</v>
      </c>
      <c r="AS327" s="22">
        <v>-1.6003400000000001E-2</v>
      </c>
      <c r="AT327" s="22">
        <v>317</v>
      </c>
      <c r="AU327" s="22">
        <v>0.25326500000000002</v>
      </c>
      <c r="AV327">
        <f t="shared" si="56"/>
        <v>16.003399999999999</v>
      </c>
      <c r="AW327">
        <f t="shared" si="57"/>
        <v>4.0609267635999995</v>
      </c>
      <c r="AX327" s="9"/>
      <c r="AY327" s="22">
        <v>1.4962800000000001</v>
      </c>
      <c r="AZ327" s="22">
        <v>184.358</v>
      </c>
      <c r="BA327" s="22">
        <v>-7.7850300000000001E-3</v>
      </c>
      <c r="BB327" s="22">
        <v>317</v>
      </c>
      <c r="BC327" s="22">
        <v>1.4956700000000001</v>
      </c>
      <c r="BD327">
        <f t="shared" si="58"/>
        <v>7.7850299999999999</v>
      </c>
      <c r="BE327">
        <f t="shared" si="59"/>
        <v>11.6485846884</v>
      </c>
    </row>
    <row r="328" spans="6:57">
      <c r="F328" s="9"/>
      <c r="G328" s="22">
        <v>0.24871799999999999</v>
      </c>
      <c r="H328" s="22">
        <v>52.444699999999997</v>
      </c>
      <c r="I328" s="22">
        <v>-1.6039999999999999E-2</v>
      </c>
      <c r="J328" s="22">
        <v>318</v>
      </c>
      <c r="K328" s="22">
        <v>0.248199</v>
      </c>
      <c r="L328">
        <f t="shared" si="48"/>
        <v>16.04</v>
      </c>
      <c r="M328">
        <f t="shared" si="49"/>
        <v>3.9894367199999996</v>
      </c>
      <c r="N328" s="9"/>
      <c r="O328" s="22">
        <v>1.5013099999999999</v>
      </c>
      <c r="P328" s="22">
        <v>70.327600000000004</v>
      </c>
      <c r="Q328" s="22">
        <v>-7.3974599999999998E-3</v>
      </c>
      <c r="R328" s="22">
        <v>318</v>
      </c>
      <c r="S328" s="22">
        <v>1.50085</v>
      </c>
      <c r="T328">
        <f t="shared" si="50"/>
        <v>7.3974599999999997</v>
      </c>
      <c r="U328">
        <f t="shared" si="51"/>
        <v>11.1058806726</v>
      </c>
      <c r="X328" s="9"/>
      <c r="Y328" s="22">
        <v>0.24871799999999999</v>
      </c>
      <c r="Z328" s="22">
        <v>119.887</v>
      </c>
      <c r="AA328" s="22">
        <v>-1.6055300000000002E-2</v>
      </c>
      <c r="AB328" s="22">
        <v>318</v>
      </c>
      <c r="AC328" s="22">
        <v>0.248138</v>
      </c>
      <c r="AD328">
        <f t="shared" si="52"/>
        <v>16.055300000000003</v>
      </c>
      <c r="AE328">
        <f t="shared" si="53"/>
        <v>3.9932421054000007</v>
      </c>
      <c r="AF328" s="9"/>
      <c r="AG328" s="22">
        <v>1.5013099999999999</v>
      </c>
      <c r="AH328" s="22">
        <v>138.86199999999999</v>
      </c>
      <c r="AI328" s="22">
        <v>-7.6019299999999998E-3</v>
      </c>
      <c r="AJ328" s="22">
        <v>318</v>
      </c>
      <c r="AK328" s="22">
        <v>1.5005500000000001</v>
      </c>
      <c r="AL328">
        <f t="shared" si="54"/>
        <v>7.6019299999999994</v>
      </c>
      <c r="AM328">
        <f t="shared" si="55"/>
        <v>11.412853528299998</v>
      </c>
      <c r="AP328" s="9"/>
      <c r="AQ328" s="22">
        <v>0.24871799999999999</v>
      </c>
      <c r="AR328" s="22">
        <v>161.50700000000001</v>
      </c>
      <c r="AS328" s="22">
        <v>-1.5997299999999999E-2</v>
      </c>
      <c r="AT328" s="22">
        <v>318</v>
      </c>
      <c r="AU328" s="22">
        <v>0.248108</v>
      </c>
      <c r="AV328">
        <f t="shared" si="56"/>
        <v>15.997299999999999</v>
      </c>
      <c r="AW328">
        <f t="shared" si="57"/>
        <v>3.9788164613999997</v>
      </c>
      <c r="AX328" s="9"/>
      <c r="AY328" s="22">
        <v>1.5013099999999999</v>
      </c>
      <c r="AZ328" s="22">
        <v>184.36799999999999</v>
      </c>
      <c r="BA328" s="22">
        <v>-7.6904299999999998E-3</v>
      </c>
      <c r="BB328" s="22">
        <v>318</v>
      </c>
      <c r="BC328" s="22">
        <v>1.5005500000000001</v>
      </c>
      <c r="BD328">
        <f t="shared" si="58"/>
        <v>7.6904300000000001</v>
      </c>
      <c r="BE328">
        <f t="shared" si="59"/>
        <v>11.545719463299999</v>
      </c>
    </row>
    <row r="329" spans="6:57">
      <c r="F329" s="9"/>
      <c r="G329" s="22">
        <v>0.24368300000000001</v>
      </c>
      <c r="H329" s="22">
        <v>52.454799999999999</v>
      </c>
      <c r="I329" s="22">
        <v>-1.6036999999999999E-2</v>
      </c>
      <c r="J329" s="22">
        <v>319</v>
      </c>
      <c r="K329" s="22">
        <v>0.24313399999999999</v>
      </c>
      <c r="L329">
        <f t="shared" si="48"/>
        <v>16.036999999999999</v>
      </c>
      <c r="M329">
        <f t="shared" si="49"/>
        <v>3.9079442709999999</v>
      </c>
      <c r="N329" s="9"/>
      <c r="O329" s="22">
        <v>1.5063500000000001</v>
      </c>
      <c r="P329" s="22">
        <v>70.337599999999995</v>
      </c>
      <c r="Q329" s="22">
        <v>-7.3028600000000004E-3</v>
      </c>
      <c r="R329" s="22">
        <v>319</v>
      </c>
      <c r="S329" s="22">
        <v>1.5051300000000001</v>
      </c>
      <c r="T329">
        <f t="shared" si="50"/>
        <v>7.3028600000000008</v>
      </c>
      <c r="U329">
        <f t="shared" si="51"/>
        <v>11.000663161000002</v>
      </c>
      <c r="X329" s="9"/>
      <c r="Y329" s="22">
        <v>0.24368300000000001</v>
      </c>
      <c r="Z329" s="22">
        <v>119.89700000000001</v>
      </c>
      <c r="AA329" s="22">
        <v>-1.60614E-2</v>
      </c>
      <c r="AB329" s="22">
        <v>319</v>
      </c>
      <c r="AC329" s="22">
        <v>0.24310300000000001</v>
      </c>
      <c r="AD329">
        <f t="shared" si="52"/>
        <v>16.061399999999999</v>
      </c>
      <c r="AE329">
        <f t="shared" si="53"/>
        <v>3.9138901362</v>
      </c>
      <c r="AF329" s="9"/>
      <c r="AG329" s="22">
        <v>1.5063500000000001</v>
      </c>
      <c r="AH329" s="22">
        <v>138.87200000000001</v>
      </c>
      <c r="AI329" s="22">
        <v>-7.5042700000000004E-3</v>
      </c>
      <c r="AJ329" s="22">
        <v>319</v>
      </c>
      <c r="AK329" s="22">
        <v>1.5057400000000001</v>
      </c>
      <c r="AL329">
        <f t="shared" si="54"/>
        <v>7.50427</v>
      </c>
      <c r="AM329">
        <f t="shared" si="55"/>
        <v>11.304057114500001</v>
      </c>
      <c r="AP329" s="9"/>
      <c r="AQ329" s="22">
        <v>0.24368300000000001</v>
      </c>
      <c r="AR329" s="22">
        <v>161.517</v>
      </c>
      <c r="AS329" s="22">
        <v>-1.6000400000000001E-2</v>
      </c>
      <c r="AT329" s="22">
        <v>319</v>
      </c>
      <c r="AU329" s="22">
        <v>0.24307300000000001</v>
      </c>
      <c r="AV329">
        <f t="shared" si="56"/>
        <v>16.000400000000003</v>
      </c>
      <c r="AW329">
        <f t="shared" si="57"/>
        <v>3.8990254732000009</v>
      </c>
      <c r="AX329" s="9"/>
      <c r="AY329" s="22">
        <v>1.5063500000000001</v>
      </c>
      <c r="AZ329" s="22">
        <v>184.37799999999999</v>
      </c>
      <c r="BA329" s="22">
        <v>-7.5958299999999996E-3</v>
      </c>
      <c r="BB329" s="22">
        <v>319</v>
      </c>
      <c r="BC329" s="22">
        <v>1.5057400000000001</v>
      </c>
      <c r="BD329">
        <f t="shared" si="58"/>
        <v>7.5958299999999994</v>
      </c>
      <c r="BE329">
        <f t="shared" si="59"/>
        <v>11.441978520499999</v>
      </c>
    </row>
    <row r="330" spans="6:57">
      <c r="F330" s="9"/>
      <c r="G330" s="22">
        <v>0.238647</v>
      </c>
      <c r="H330" s="22">
        <v>52.4649</v>
      </c>
      <c r="I330" s="22">
        <v>-1.60339E-2</v>
      </c>
      <c r="J330" s="22">
        <v>320</v>
      </c>
      <c r="K330" s="22">
        <v>0.23815900000000001</v>
      </c>
      <c r="L330">
        <f t="shared" si="48"/>
        <v>16.033899999999999</v>
      </c>
      <c r="M330">
        <f t="shared" si="49"/>
        <v>3.8264421332999996</v>
      </c>
      <c r="N330" s="9"/>
      <c r="O330" s="22">
        <v>1.5113799999999999</v>
      </c>
      <c r="P330" s="22">
        <v>70.347700000000003</v>
      </c>
      <c r="Q330" s="22">
        <v>-7.2052000000000001E-3</v>
      </c>
      <c r="R330" s="22">
        <v>320</v>
      </c>
      <c r="S330" s="22">
        <v>1.5106200000000001</v>
      </c>
      <c r="T330">
        <f t="shared" si="50"/>
        <v>7.2052000000000005</v>
      </c>
      <c r="U330">
        <f t="shared" si="51"/>
        <v>10.889795176</v>
      </c>
      <c r="X330" s="9"/>
      <c r="Y330" s="22">
        <v>0.238647</v>
      </c>
      <c r="Z330" s="22">
        <v>119.907</v>
      </c>
      <c r="AA330" s="22">
        <v>-1.6058300000000001E-2</v>
      </c>
      <c r="AB330" s="22">
        <v>320</v>
      </c>
      <c r="AC330" s="22">
        <v>0.238068</v>
      </c>
      <c r="AD330">
        <f t="shared" si="52"/>
        <v>16.058300000000003</v>
      </c>
      <c r="AE330">
        <f t="shared" si="53"/>
        <v>3.8322651201000006</v>
      </c>
      <c r="AF330" s="9"/>
      <c r="AG330" s="22">
        <v>1.5113799999999999</v>
      </c>
      <c r="AH330" s="22">
        <v>138.88200000000001</v>
      </c>
      <c r="AI330" s="22">
        <v>-7.40356E-3</v>
      </c>
      <c r="AJ330" s="22">
        <v>320</v>
      </c>
      <c r="AK330" s="22">
        <v>1.5106200000000001</v>
      </c>
      <c r="AL330">
        <f t="shared" si="54"/>
        <v>7.4035599999999997</v>
      </c>
      <c r="AM330">
        <f t="shared" si="55"/>
        <v>11.189592512799999</v>
      </c>
      <c r="AP330" s="9"/>
      <c r="AQ330" s="22">
        <v>0.238647</v>
      </c>
      <c r="AR330" s="22">
        <v>161.52699999999999</v>
      </c>
      <c r="AS330" s="22">
        <v>-1.60065E-2</v>
      </c>
      <c r="AT330" s="22">
        <v>320</v>
      </c>
      <c r="AU330" s="22">
        <v>0.23819000000000001</v>
      </c>
      <c r="AV330">
        <f t="shared" si="56"/>
        <v>16.006499999999999</v>
      </c>
      <c r="AW330">
        <f t="shared" si="57"/>
        <v>3.8199032054999997</v>
      </c>
      <c r="AX330" s="9"/>
      <c r="AY330" s="22">
        <v>1.5113799999999999</v>
      </c>
      <c r="AZ330" s="22">
        <v>184.38800000000001</v>
      </c>
      <c r="BA330" s="22">
        <v>-7.4981700000000002E-3</v>
      </c>
      <c r="BB330" s="22">
        <v>320</v>
      </c>
      <c r="BC330" s="22">
        <v>1.51031</v>
      </c>
      <c r="BD330">
        <f t="shared" si="58"/>
        <v>7.49817</v>
      </c>
      <c r="BE330">
        <f t="shared" si="59"/>
        <v>11.332584174599999</v>
      </c>
    </row>
    <row r="331" spans="6:57">
      <c r="F331" s="9"/>
      <c r="G331" s="22">
        <v>0.23361199999999999</v>
      </c>
      <c r="H331" s="22">
        <v>52.474899999999998</v>
      </c>
      <c r="I331" s="22">
        <v>-1.6030900000000001E-2</v>
      </c>
      <c r="J331" s="22">
        <v>321</v>
      </c>
      <c r="K331" s="22">
        <v>0.233124</v>
      </c>
      <c r="L331">
        <f t="shared" si="48"/>
        <v>16.030899999999999</v>
      </c>
      <c r="M331">
        <f t="shared" si="49"/>
        <v>3.7450106107999996</v>
      </c>
      <c r="N331" s="9"/>
      <c r="O331" s="22">
        <v>1.5164200000000001</v>
      </c>
      <c r="P331" s="22">
        <v>70.357799999999997</v>
      </c>
      <c r="Q331" s="22">
        <v>-7.11365E-3</v>
      </c>
      <c r="R331" s="22">
        <v>321</v>
      </c>
      <c r="S331" s="22">
        <v>1.5161100000000001</v>
      </c>
      <c r="T331">
        <f t="shared" si="50"/>
        <v>7.1136499999999998</v>
      </c>
      <c r="U331">
        <f t="shared" si="51"/>
        <v>10.787281133</v>
      </c>
      <c r="X331" s="9"/>
      <c r="Y331" s="22">
        <v>0.23361199999999999</v>
      </c>
      <c r="Z331" s="22">
        <v>119.917</v>
      </c>
      <c r="AA331" s="22">
        <v>-1.6064499999999999E-2</v>
      </c>
      <c r="AB331" s="22">
        <v>321</v>
      </c>
      <c r="AC331" s="22">
        <v>0.23303199999999999</v>
      </c>
      <c r="AD331">
        <f t="shared" si="52"/>
        <v>16.064499999999999</v>
      </c>
      <c r="AE331">
        <f t="shared" si="53"/>
        <v>3.7528599739999997</v>
      </c>
      <c r="AF331" s="9"/>
      <c r="AG331" s="22">
        <v>1.5164200000000001</v>
      </c>
      <c r="AH331" s="22">
        <v>138.892</v>
      </c>
      <c r="AI331" s="22">
        <v>-7.3089599999999998E-3</v>
      </c>
      <c r="AJ331" s="22">
        <v>321</v>
      </c>
      <c r="AK331" s="22">
        <v>1.5161100000000001</v>
      </c>
      <c r="AL331">
        <f t="shared" si="54"/>
        <v>7.3089599999999999</v>
      </c>
      <c r="AM331">
        <f t="shared" si="55"/>
        <v>11.0834531232</v>
      </c>
      <c r="AP331" s="9"/>
      <c r="AQ331" s="22">
        <v>0.23361199999999999</v>
      </c>
      <c r="AR331" s="22">
        <v>161.53700000000001</v>
      </c>
      <c r="AS331" s="22">
        <v>-1.6012599999999998E-2</v>
      </c>
      <c r="AT331" s="22">
        <v>321</v>
      </c>
      <c r="AU331" s="22">
        <v>0.23300199999999999</v>
      </c>
      <c r="AV331">
        <f t="shared" si="56"/>
        <v>16.012599999999999</v>
      </c>
      <c r="AW331">
        <f t="shared" si="57"/>
        <v>3.7407355111999996</v>
      </c>
      <c r="AX331" s="9"/>
      <c r="AY331" s="22">
        <v>1.5164200000000001</v>
      </c>
      <c r="AZ331" s="22">
        <v>184.398</v>
      </c>
      <c r="BA331" s="22">
        <v>-7.3974599999999998E-3</v>
      </c>
      <c r="BB331" s="22">
        <v>321</v>
      </c>
      <c r="BC331" s="22">
        <v>1.5158100000000001</v>
      </c>
      <c r="BD331">
        <f t="shared" si="58"/>
        <v>7.3974599999999997</v>
      </c>
      <c r="BE331">
        <f t="shared" si="59"/>
        <v>11.217656293200001</v>
      </c>
    </row>
    <row r="332" spans="6:57">
      <c r="F332" s="9"/>
      <c r="G332" s="22">
        <v>0.228577</v>
      </c>
      <c r="H332" s="22">
        <v>52.484999999999999</v>
      </c>
      <c r="I332" s="22">
        <v>-1.60339E-2</v>
      </c>
      <c r="J332" s="22">
        <v>322</v>
      </c>
      <c r="K332" s="22">
        <v>0.22802700000000001</v>
      </c>
      <c r="L332">
        <f t="shared" ref="L332:L395" si="60">-I332/$F$2*1000</f>
        <v>16.033899999999999</v>
      </c>
      <c r="M332">
        <f t="shared" ref="M332:M395" si="61">L332*G332</f>
        <v>3.6649807602999998</v>
      </c>
      <c r="N332" s="9"/>
      <c r="O332" s="22">
        <v>1.52145</v>
      </c>
      <c r="P332" s="22">
        <v>70.367800000000003</v>
      </c>
      <c r="Q332" s="22">
        <v>-7.0159899999999997E-3</v>
      </c>
      <c r="R332" s="22">
        <v>322</v>
      </c>
      <c r="S332" s="22">
        <v>1.5206900000000001</v>
      </c>
      <c r="T332">
        <f t="shared" ref="T332:T395" si="62">-Q332/$F$2*1000</f>
        <v>7.0159899999999995</v>
      </c>
      <c r="U332">
        <f t="shared" ref="U332:U395" si="63">T332*O332</f>
        <v>10.674477985499999</v>
      </c>
      <c r="X332" s="9"/>
      <c r="Y332" s="22">
        <v>0.228577</v>
      </c>
      <c r="Z332" s="22">
        <v>119.92700000000001</v>
      </c>
      <c r="AA332" s="22">
        <v>-1.6076699999999999E-2</v>
      </c>
      <c r="AB332" s="22">
        <v>322</v>
      </c>
      <c r="AC332" s="22">
        <v>0.22808800000000001</v>
      </c>
      <c r="AD332">
        <f t="shared" ref="AD332:AD395" si="64">-AA332/$F$2*1000</f>
        <v>16.076699999999999</v>
      </c>
      <c r="AE332">
        <f t="shared" ref="AE332:AE395" si="65">AD332*Y332</f>
        <v>3.6747638558999998</v>
      </c>
      <c r="AF332" s="9"/>
      <c r="AG332" s="22">
        <v>1.52145</v>
      </c>
      <c r="AH332" s="22">
        <v>138.90199999999999</v>
      </c>
      <c r="AI332" s="22">
        <v>-7.2082500000000002E-3</v>
      </c>
      <c r="AJ332" s="22">
        <v>322</v>
      </c>
      <c r="AK332" s="22">
        <v>1.5206900000000001</v>
      </c>
      <c r="AL332">
        <f t="shared" ref="AL332:AL395" si="66">-AI332/$F$2*1000</f>
        <v>7.2082500000000005</v>
      </c>
      <c r="AM332">
        <f t="shared" ref="AM332:AM395" si="67">AL332*AG332</f>
        <v>10.9669919625</v>
      </c>
      <c r="AP332" s="9"/>
      <c r="AQ332" s="22">
        <v>0.228577</v>
      </c>
      <c r="AR332" s="22">
        <v>161.547</v>
      </c>
      <c r="AS332" s="22">
        <v>-1.60187E-2</v>
      </c>
      <c r="AT332" s="22">
        <v>322</v>
      </c>
      <c r="AU332" s="22">
        <v>0.22802700000000001</v>
      </c>
      <c r="AV332">
        <f t="shared" ref="AV332:AV395" si="68">-AS332/$F$2*1000</f>
        <v>16.018699999999999</v>
      </c>
      <c r="AW332">
        <f t="shared" ref="AW332:AW395" si="69">AV332*AQ332</f>
        <v>3.6615063899</v>
      </c>
      <c r="AX332" s="9"/>
      <c r="AY332" s="22">
        <v>1.52145</v>
      </c>
      <c r="AZ332" s="22">
        <v>184.40799999999999</v>
      </c>
      <c r="BA332" s="22">
        <v>-7.2937000000000002E-3</v>
      </c>
      <c r="BB332" s="22">
        <v>322</v>
      </c>
      <c r="BC332" s="22">
        <v>1.5203899999999999</v>
      </c>
      <c r="BD332">
        <f t="shared" ref="BD332:BD395" si="70">-BA332/$F$2*1000</f>
        <v>7.2937000000000003</v>
      </c>
      <c r="BE332">
        <f t="shared" ref="BE332:BE395" si="71">BD332*AY332</f>
        <v>11.096999865000001</v>
      </c>
    </row>
    <row r="333" spans="6:57">
      <c r="F333" s="9"/>
      <c r="G333" s="22">
        <v>0.22354099999999999</v>
      </c>
      <c r="H333" s="22">
        <v>52.495100000000001</v>
      </c>
      <c r="I333" s="22">
        <v>-1.6030900000000001E-2</v>
      </c>
      <c r="J333" s="22">
        <v>323</v>
      </c>
      <c r="K333" s="22">
        <v>0.22283900000000001</v>
      </c>
      <c r="L333">
        <f t="shared" si="60"/>
        <v>16.030899999999999</v>
      </c>
      <c r="M333">
        <f t="shared" si="61"/>
        <v>3.5835634168999997</v>
      </c>
      <c r="N333" s="9"/>
      <c r="O333" s="22">
        <v>1.5264899999999999</v>
      </c>
      <c r="P333" s="22">
        <v>70.377899999999997</v>
      </c>
      <c r="Q333" s="22">
        <v>-6.9183300000000003E-3</v>
      </c>
      <c r="R333" s="22">
        <v>323</v>
      </c>
      <c r="S333" s="22">
        <v>1.5255700000000001</v>
      </c>
      <c r="T333">
        <f t="shared" si="62"/>
        <v>6.9183300000000001</v>
      </c>
      <c r="U333">
        <f t="shared" si="63"/>
        <v>10.5607615617</v>
      </c>
      <c r="X333" s="9"/>
      <c r="Y333" s="22">
        <v>0.22354099999999999</v>
      </c>
      <c r="Z333" s="22">
        <v>119.937</v>
      </c>
      <c r="AA333" s="22">
        <v>-1.6079699999999999E-2</v>
      </c>
      <c r="AB333" s="22">
        <v>323</v>
      </c>
      <c r="AC333" s="22">
        <v>0.222992</v>
      </c>
      <c r="AD333">
        <f t="shared" si="64"/>
        <v>16.079699999999999</v>
      </c>
      <c r="AE333">
        <f t="shared" si="65"/>
        <v>3.5944722176999995</v>
      </c>
      <c r="AF333" s="9"/>
      <c r="AG333" s="22">
        <v>1.5264899999999999</v>
      </c>
      <c r="AH333" s="22">
        <v>138.91200000000001</v>
      </c>
      <c r="AI333" s="22">
        <v>-7.1044899999999998E-3</v>
      </c>
      <c r="AJ333" s="22">
        <v>323</v>
      </c>
      <c r="AK333" s="22">
        <v>1.5261800000000001</v>
      </c>
      <c r="AL333">
        <f t="shared" si="66"/>
        <v>7.1044900000000002</v>
      </c>
      <c r="AM333">
        <f t="shared" si="67"/>
        <v>10.8449329401</v>
      </c>
      <c r="AP333" s="9"/>
      <c r="AQ333" s="22">
        <v>0.22354099999999999</v>
      </c>
      <c r="AR333" s="22">
        <v>161.55699999999999</v>
      </c>
      <c r="AS333" s="22">
        <v>-1.6012599999999998E-2</v>
      </c>
      <c r="AT333" s="22">
        <v>323</v>
      </c>
      <c r="AU333" s="22">
        <v>0.22296099999999999</v>
      </c>
      <c r="AV333">
        <f t="shared" si="68"/>
        <v>16.012599999999999</v>
      </c>
      <c r="AW333">
        <f t="shared" si="69"/>
        <v>3.5794726165999995</v>
      </c>
      <c r="AX333" s="9"/>
      <c r="AY333" s="22">
        <v>1.5264899999999999</v>
      </c>
      <c r="AZ333" s="22">
        <v>184.41800000000001</v>
      </c>
      <c r="BA333" s="22">
        <v>-7.1899399999999997E-3</v>
      </c>
      <c r="BB333" s="22">
        <v>323</v>
      </c>
      <c r="BC333" s="22">
        <v>1.5261800000000001</v>
      </c>
      <c r="BD333">
        <f t="shared" si="70"/>
        <v>7.18994</v>
      </c>
      <c r="BE333">
        <f t="shared" si="71"/>
        <v>10.975371510599999</v>
      </c>
    </row>
    <row r="334" spans="6:57">
      <c r="F334" s="9"/>
      <c r="G334" s="22">
        <v>0.21850600000000001</v>
      </c>
      <c r="H334" s="22">
        <v>52.505099999999999</v>
      </c>
      <c r="I334" s="22">
        <v>-1.6024799999999999E-2</v>
      </c>
      <c r="J334" s="22">
        <v>324</v>
      </c>
      <c r="K334" s="22">
        <v>0.21795700000000001</v>
      </c>
      <c r="L334">
        <f t="shared" si="60"/>
        <v>16.024799999999999</v>
      </c>
      <c r="M334">
        <f t="shared" si="61"/>
        <v>3.5015149487999997</v>
      </c>
      <c r="N334" s="9"/>
      <c r="O334" s="22">
        <v>1.53152</v>
      </c>
      <c r="P334" s="22">
        <v>70.388000000000005</v>
      </c>
      <c r="Q334" s="22">
        <v>-6.82068E-3</v>
      </c>
      <c r="R334" s="22">
        <v>324</v>
      </c>
      <c r="S334" s="22">
        <v>1.5310699999999999</v>
      </c>
      <c r="T334">
        <f t="shared" si="62"/>
        <v>6.8206800000000003</v>
      </c>
      <c r="U334">
        <f t="shared" si="63"/>
        <v>10.446007833600001</v>
      </c>
      <c r="X334" s="9"/>
      <c r="Y334" s="22">
        <v>0.21850600000000001</v>
      </c>
      <c r="Z334" s="22">
        <v>119.947</v>
      </c>
      <c r="AA334" s="22">
        <v>-1.6091899999999999E-2</v>
      </c>
      <c r="AB334" s="22">
        <v>324</v>
      </c>
      <c r="AC334" s="22">
        <v>0.21795700000000001</v>
      </c>
      <c r="AD334">
        <f t="shared" si="64"/>
        <v>16.091899999999999</v>
      </c>
      <c r="AE334">
        <f t="shared" si="65"/>
        <v>3.5161767014</v>
      </c>
      <c r="AF334" s="9"/>
      <c r="AG334" s="22">
        <v>1.53152</v>
      </c>
      <c r="AH334" s="22">
        <v>138.922</v>
      </c>
      <c r="AI334" s="22">
        <v>-7.0007300000000001E-3</v>
      </c>
      <c r="AJ334" s="22">
        <v>324</v>
      </c>
      <c r="AK334" s="22">
        <v>1.5307599999999999</v>
      </c>
      <c r="AL334">
        <f t="shared" si="66"/>
        <v>7.0007299999999999</v>
      </c>
      <c r="AM334">
        <f t="shared" si="67"/>
        <v>10.7217580096</v>
      </c>
      <c r="AP334" s="9"/>
      <c r="AQ334" s="22">
        <v>0.21850600000000001</v>
      </c>
      <c r="AR334" s="22">
        <v>161.56700000000001</v>
      </c>
      <c r="AS334" s="22">
        <v>-1.6012599999999998E-2</v>
      </c>
      <c r="AT334" s="22">
        <v>324</v>
      </c>
      <c r="AU334" s="22">
        <v>0.21792600000000001</v>
      </c>
      <c r="AV334">
        <f t="shared" si="68"/>
        <v>16.012599999999999</v>
      </c>
      <c r="AW334">
        <f t="shared" si="69"/>
        <v>3.4988491755999998</v>
      </c>
      <c r="AX334" s="9"/>
      <c r="AY334" s="22">
        <v>1.53152</v>
      </c>
      <c r="AZ334" s="22">
        <v>184.428</v>
      </c>
      <c r="BA334" s="22">
        <v>-7.0892300000000002E-3</v>
      </c>
      <c r="BB334" s="22">
        <v>324</v>
      </c>
      <c r="BC334" s="22">
        <v>1.5307599999999999</v>
      </c>
      <c r="BD334">
        <f t="shared" si="70"/>
        <v>7.0892300000000006</v>
      </c>
      <c r="BE334">
        <f t="shared" si="71"/>
        <v>10.8572975296</v>
      </c>
    </row>
    <row r="335" spans="6:57">
      <c r="F335" s="9"/>
      <c r="G335" s="22">
        <v>0.21346999999999999</v>
      </c>
      <c r="H335" s="22">
        <v>52.5152</v>
      </c>
      <c r="I335" s="22">
        <v>-1.6027799999999998E-2</v>
      </c>
      <c r="J335" s="22">
        <v>325</v>
      </c>
      <c r="K335" s="22">
        <v>0.212921</v>
      </c>
      <c r="L335">
        <f t="shared" si="60"/>
        <v>16.027799999999999</v>
      </c>
      <c r="M335">
        <f t="shared" si="61"/>
        <v>3.4214544659999997</v>
      </c>
      <c r="N335" s="9"/>
      <c r="O335" s="22">
        <v>1.5365599999999999</v>
      </c>
      <c r="P335" s="22">
        <v>70.398099999999999</v>
      </c>
      <c r="Q335" s="22">
        <v>-6.7199699999999996E-3</v>
      </c>
      <c r="R335" s="22">
        <v>325</v>
      </c>
      <c r="S335" s="22">
        <v>1.5359499999999999</v>
      </c>
      <c r="T335">
        <f t="shared" si="62"/>
        <v>6.71997</v>
      </c>
      <c r="U335">
        <f t="shared" si="63"/>
        <v>10.3256371032</v>
      </c>
      <c r="X335" s="9"/>
      <c r="Y335" s="22">
        <v>0.21346999999999999</v>
      </c>
      <c r="Z335" s="22">
        <v>119.95699999999999</v>
      </c>
      <c r="AA335" s="22">
        <v>-1.6095000000000002E-2</v>
      </c>
      <c r="AB335" s="22">
        <v>325</v>
      </c>
      <c r="AC335" s="22">
        <v>0.21301300000000001</v>
      </c>
      <c r="AD335">
        <f t="shared" si="64"/>
        <v>16.095000000000002</v>
      </c>
      <c r="AE335">
        <f t="shared" si="65"/>
        <v>3.4357996500000003</v>
      </c>
      <c r="AF335" s="9"/>
      <c r="AG335" s="22">
        <v>1.5365599999999999</v>
      </c>
      <c r="AH335" s="22">
        <v>138.93199999999999</v>
      </c>
      <c r="AI335" s="22">
        <v>-6.8969699999999997E-3</v>
      </c>
      <c r="AJ335" s="22">
        <v>325</v>
      </c>
      <c r="AK335" s="22">
        <v>1.5359499999999999</v>
      </c>
      <c r="AL335">
        <f t="shared" si="66"/>
        <v>6.8969699999999996</v>
      </c>
      <c r="AM335">
        <f t="shared" si="67"/>
        <v>10.597608223199998</v>
      </c>
      <c r="AP335" s="9"/>
      <c r="AQ335" s="22">
        <v>0.21346999999999999</v>
      </c>
      <c r="AR335" s="22">
        <v>161.577</v>
      </c>
      <c r="AS335" s="22">
        <v>-1.6009499999999999E-2</v>
      </c>
      <c r="AT335" s="22">
        <v>325</v>
      </c>
      <c r="AU335" s="22">
        <v>0.212952</v>
      </c>
      <c r="AV335">
        <f t="shared" si="68"/>
        <v>16.009499999999999</v>
      </c>
      <c r="AW335">
        <f t="shared" si="69"/>
        <v>3.4175479649999998</v>
      </c>
      <c r="AX335" s="9"/>
      <c r="AY335" s="22">
        <v>1.5365599999999999</v>
      </c>
      <c r="AZ335" s="22">
        <v>184.43799999999999</v>
      </c>
      <c r="BA335" s="22">
        <v>-6.9824199999999996E-3</v>
      </c>
      <c r="BB335" s="22">
        <v>325</v>
      </c>
      <c r="BC335" s="22">
        <v>1.5356399999999999</v>
      </c>
      <c r="BD335">
        <f t="shared" si="70"/>
        <v>6.9824199999999994</v>
      </c>
      <c r="BE335">
        <f t="shared" si="71"/>
        <v>10.728907275199999</v>
      </c>
    </row>
    <row r="336" spans="6:57">
      <c r="F336" s="9"/>
      <c r="G336" s="22">
        <v>0.20843500000000001</v>
      </c>
      <c r="H336" s="22">
        <v>52.525300000000001</v>
      </c>
      <c r="I336" s="22">
        <v>-1.6036999999999999E-2</v>
      </c>
      <c r="J336" s="22">
        <v>326</v>
      </c>
      <c r="K336" s="22">
        <v>0.20794699999999999</v>
      </c>
      <c r="L336">
        <f t="shared" si="60"/>
        <v>16.036999999999999</v>
      </c>
      <c r="M336">
        <f t="shared" si="61"/>
        <v>3.3426720949999997</v>
      </c>
      <c r="N336" s="9"/>
      <c r="O336" s="22">
        <v>1.5416000000000001</v>
      </c>
      <c r="P336" s="22">
        <v>70.408100000000005</v>
      </c>
      <c r="Q336" s="22">
        <v>-6.6192600000000001E-3</v>
      </c>
      <c r="R336" s="22">
        <v>326</v>
      </c>
      <c r="S336" s="22">
        <v>1.54114</v>
      </c>
      <c r="T336">
        <f t="shared" si="62"/>
        <v>6.6192599999999997</v>
      </c>
      <c r="U336">
        <f t="shared" si="63"/>
        <v>10.204251215999999</v>
      </c>
      <c r="X336" s="9"/>
      <c r="Y336" s="22">
        <v>0.20843500000000001</v>
      </c>
      <c r="Z336" s="22">
        <v>119.968</v>
      </c>
      <c r="AA336" s="22">
        <v>-1.6095000000000002E-2</v>
      </c>
      <c r="AB336" s="22">
        <v>326</v>
      </c>
      <c r="AC336" s="22">
        <v>0.207977</v>
      </c>
      <c r="AD336">
        <f t="shared" si="64"/>
        <v>16.095000000000002</v>
      </c>
      <c r="AE336">
        <f t="shared" si="65"/>
        <v>3.3547613250000006</v>
      </c>
      <c r="AF336" s="9"/>
      <c r="AG336" s="22">
        <v>1.5416000000000001</v>
      </c>
      <c r="AH336" s="22">
        <v>138.94200000000001</v>
      </c>
      <c r="AI336" s="22">
        <v>-6.79321E-3</v>
      </c>
      <c r="AJ336" s="22">
        <v>326</v>
      </c>
      <c r="AK336" s="22">
        <v>1.54053</v>
      </c>
      <c r="AL336">
        <f t="shared" si="66"/>
        <v>6.7932100000000002</v>
      </c>
      <c r="AM336">
        <f t="shared" si="67"/>
        <v>10.472412536</v>
      </c>
      <c r="AP336" s="9"/>
      <c r="AQ336" s="22">
        <v>0.20843500000000001</v>
      </c>
      <c r="AR336" s="22">
        <v>161.58699999999999</v>
      </c>
      <c r="AS336" s="22">
        <v>-1.6012599999999998E-2</v>
      </c>
      <c r="AT336" s="22">
        <v>326</v>
      </c>
      <c r="AU336" s="22">
        <v>0.20791599999999999</v>
      </c>
      <c r="AV336">
        <f t="shared" si="68"/>
        <v>16.012599999999999</v>
      </c>
      <c r="AW336">
        <f t="shared" si="69"/>
        <v>3.3375862810000001</v>
      </c>
      <c r="AX336" s="9"/>
      <c r="AY336" s="22">
        <v>1.5416000000000001</v>
      </c>
      <c r="AZ336" s="22">
        <v>184.44800000000001</v>
      </c>
      <c r="BA336" s="22">
        <v>-6.87866E-3</v>
      </c>
      <c r="BB336" s="22">
        <v>326</v>
      </c>
      <c r="BC336" s="22">
        <v>1.54053</v>
      </c>
      <c r="BD336">
        <f t="shared" si="70"/>
        <v>6.87866</v>
      </c>
      <c r="BE336">
        <f t="shared" si="71"/>
        <v>10.604142256000001</v>
      </c>
    </row>
    <row r="337" spans="6:57">
      <c r="F337" s="9"/>
      <c r="G337" s="22">
        <v>0.2034</v>
      </c>
      <c r="H337" s="22">
        <v>52.535400000000003</v>
      </c>
      <c r="I337" s="22">
        <v>-1.6046100000000001E-2</v>
      </c>
      <c r="J337" s="22">
        <v>327</v>
      </c>
      <c r="K337" s="22">
        <v>0.20285</v>
      </c>
      <c r="L337">
        <f t="shared" si="60"/>
        <v>16.046099999999999</v>
      </c>
      <c r="M337">
        <f t="shared" si="61"/>
        <v>3.26377674</v>
      </c>
      <c r="N337" s="9"/>
      <c r="O337" s="22">
        <v>1.5466299999999999</v>
      </c>
      <c r="P337" s="22">
        <v>70.418199999999999</v>
      </c>
      <c r="Q337" s="22">
        <v>-6.5154999999999996E-3</v>
      </c>
      <c r="R337" s="22">
        <v>327</v>
      </c>
      <c r="S337" s="22">
        <v>1.5460199999999999</v>
      </c>
      <c r="T337">
        <f t="shared" si="62"/>
        <v>6.5154999999999994</v>
      </c>
      <c r="U337">
        <f t="shared" si="63"/>
        <v>10.077067764999999</v>
      </c>
      <c r="X337" s="9"/>
      <c r="Y337" s="22">
        <v>0.2034</v>
      </c>
      <c r="Z337" s="22">
        <v>119.97799999999999</v>
      </c>
      <c r="AA337" s="22">
        <v>-1.61041E-2</v>
      </c>
      <c r="AB337" s="22">
        <v>327</v>
      </c>
      <c r="AC337" s="22">
        <v>0.20288100000000001</v>
      </c>
      <c r="AD337">
        <f t="shared" si="64"/>
        <v>16.104099999999999</v>
      </c>
      <c r="AE337">
        <f t="shared" si="65"/>
        <v>3.2755739399999997</v>
      </c>
      <c r="AF337" s="9"/>
      <c r="AG337" s="22">
        <v>1.5466299999999999</v>
      </c>
      <c r="AH337" s="22">
        <v>138.952</v>
      </c>
      <c r="AI337" s="22">
        <v>-6.6894500000000004E-3</v>
      </c>
      <c r="AJ337" s="22">
        <v>327</v>
      </c>
      <c r="AK337" s="22">
        <v>1.5460199999999999</v>
      </c>
      <c r="AL337">
        <f t="shared" si="66"/>
        <v>6.6894500000000008</v>
      </c>
      <c r="AM337">
        <f t="shared" si="67"/>
        <v>10.346104053500001</v>
      </c>
      <c r="AP337" s="9"/>
      <c r="AQ337" s="22">
        <v>0.2034</v>
      </c>
      <c r="AR337" s="22">
        <v>161.59700000000001</v>
      </c>
      <c r="AS337" s="22">
        <v>-1.6015600000000001E-2</v>
      </c>
      <c r="AT337" s="22">
        <v>327</v>
      </c>
      <c r="AU337" s="22">
        <v>0.20282</v>
      </c>
      <c r="AV337">
        <f t="shared" si="68"/>
        <v>16.015600000000003</v>
      </c>
      <c r="AW337">
        <f t="shared" si="69"/>
        <v>3.2575730400000005</v>
      </c>
      <c r="AX337" s="9"/>
      <c r="AY337" s="22">
        <v>1.5466299999999999</v>
      </c>
      <c r="AZ337" s="22">
        <v>184.458</v>
      </c>
      <c r="BA337" s="22">
        <v>-6.7718500000000003E-3</v>
      </c>
      <c r="BB337" s="22">
        <v>327</v>
      </c>
      <c r="BC337" s="22">
        <v>1.54633</v>
      </c>
      <c r="BD337">
        <f t="shared" si="70"/>
        <v>6.7718500000000006</v>
      </c>
      <c r="BE337">
        <f t="shared" si="71"/>
        <v>10.473546365500001</v>
      </c>
    </row>
    <row r="338" spans="6:57">
      <c r="F338" s="9"/>
      <c r="G338" s="22">
        <v>0.19836400000000001</v>
      </c>
      <c r="H338" s="22">
        <v>52.545400000000001</v>
      </c>
      <c r="I338" s="22">
        <v>-1.6046100000000001E-2</v>
      </c>
      <c r="J338" s="22">
        <v>328</v>
      </c>
      <c r="K338" s="22">
        <v>0.19784499999999999</v>
      </c>
      <c r="L338">
        <f t="shared" si="60"/>
        <v>16.046099999999999</v>
      </c>
      <c r="M338">
        <f t="shared" si="61"/>
        <v>3.1829685803999999</v>
      </c>
      <c r="N338" s="9"/>
      <c r="O338" s="22">
        <v>1.5516700000000001</v>
      </c>
      <c r="P338" s="22">
        <v>70.428299999999993</v>
      </c>
      <c r="Q338" s="22">
        <v>-6.4147900000000001E-3</v>
      </c>
      <c r="R338" s="22">
        <v>328</v>
      </c>
      <c r="S338" s="22">
        <v>1.5508999999999999</v>
      </c>
      <c r="T338">
        <f t="shared" si="62"/>
        <v>6.41479</v>
      </c>
      <c r="U338">
        <f t="shared" si="63"/>
        <v>9.953637199300001</v>
      </c>
      <c r="X338" s="9"/>
      <c r="Y338" s="22">
        <v>0.19836400000000001</v>
      </c>
      <c r="Z338" s="22">
        <v>119.988</v>
      </c>
      <c r="AA338" s="22">
        <v>-1.6107199999999999E-2</v>
      </c>
      <c r="AB338" s="22">
        <v>328</v>
      </c>
      <c r="AC338" s="22">
        <v>0.197876</v>
      </c>
      <c r="AD338">
        <f t="shared" si="64"/>
        <v>16.107199999999999</v>
      </c>
      <c r="AE338">
        <f t="shared" si="65"/>
        <v>3.1950886208</v>
      </c>
      <c r="AF338" s="9"/>
      <c r="AG338" s="22">
        <v>1.5516700000000001</v>
      </c>
      <c r="AH338" s="22">
        <v>138.96299999999999</v>
      </c>
      <c r="AI338" s="22">
        <v>-6.5826399999999998E-3</v>
      </c>
      <c r="AJ338" s="22">
        <v>328</v>
      </c>
      <c r="AK338" s="22">
        <v>1.55121</v>
      </c>
      <c r="AL338">
        <f t="shared" si="66"/>
        <v>6.5826399999999996</v>
      </c>
      <c r="AM338">
        <f t="shared" si="67"/>
        <v>10.2140850088</v>
      </c>
      <c r="AP338" s="9"/>
      <c r="AQ338" s="22">
        <v>0.19836400000000001</v>
      </c>
      <c r="AR338" s="22">
        <v>161.607</v>
      </c>
      <c r="AS338" s="22">
        <v>-1.60187E-2</v>
      </c>
      <c r="AT338" s="22">
        <v>328</v>
      </c>
      <c r="AU338" s="22">
        <v>0.19781499999999999</v>
      </c>
      <c r="AV338">
        <f t="shared" si="68"/>
        <v>16.018699999999999</v>
      </c>
      <c r="AW338">
        <f t="shared" si="69"/>
        <v>3.1775334067999998</v>
      </c>
      <c r="AX338" s="9"/>
      <c r="AY338" s="22">
        <v>1.5516700000000001</v>
      </c>
      <c r="AZ338" s="22">
        <v>184.46799999999999</v>
      </c>
      <c r="BA338" s="22">
        <v>-6.6650399999999997E-3</v>
      </c>
      <c r="BB338" s="22">
        <v>328</v>
      </c>
      <c r="BC338" s="22">
        <v>1.5515099999999999</v>
      </c>
      <c r="BD338">
        <f t="shared" si="70"/>
        <v>6.6650399999999994</v>
      </c>
      <c r="BE338">
        <f t="shared" si="71"/>
        <v>10.341942616799999</v>
      </c>
    </row>
    <row r="339" spans="6:57">
      <c r="F339" s="9"/>
      <c r="G339" s="22">
        <v>0.193329</v>
      </c>
      <c r="H339" s="22">
        <v>52.555500000000002</v>
      </c>
      <c r="I339" s="22">
        <v>-1.6058300000000001E-2</v>
      </c>
      <c r="J339" s="22">
        <v>329</v>
      </c>
      <c r="K339" s="22">
        <v>0.19281000000000001</v>
      </c>
      <c r="L339">
        <f t="shared" si="60"/>
        <v>16.058300000000003</v>
      </c>
      <c r="M339">
        <f t="shared" si="61"/>
        <v>3.1045350807000007</v>
      </c>
      <c r="N339" s="9"/>
      <c r="O339" s="22">
        <v>1.5567</v>
      </c>
      <c r="P339" s="22">
        <v>70.438299999999998</v>
      </c>
      <c r="Q339" s="22">
        <v>-6.3110400000000004E-3</v>
      </c>
      <c r="R339" s="22">
        <v>329</v>
      </c>
      <c r="S339" s="22">
        <v>1.55609</v>
      </c>
      <c r="T339">
        <f t="shared" si="62"/>
        <v>6.3110400000000002</v>
      </c>
      <c r="U339">
        <f t="shared" si="63"/>
        <v>9.824395968000001</v>
      </c>
      <c r="X339" s="9"/>
      <c r="Y339" s="22">
        <v>0.193329</v>
      </c>
      <c r="Z339" s="22">
        <v>119.998</v>
      </c>
      <c r="AA339" s="22">
        <v>-1.6107199999999999E-2</v>
      </c>
      <c r="AB339" s="22">
        <v>329</v>
      </c>
      <c r="AC339" s="22">
        <v>0.192719</v>
      </c>
      <c r="AD339">
        <f t="shared" si="64"/>
        <v>16.107199999999999</v>
      </c>
      <c r="AE339">
        <f t="shared" si="65"/>
        <v>3.1139888687999999</v>
      </c>
      <c r="AF339" s="9"/>
      <c r="AG339" s="22">
        <v>1.5567</v>
      </c>
      <c r="AH339" s="22">
        <v>138.97300000000001</v>
      </c>
      <c r="AI339" s="22">
        <v>-6.4758300000000001E-3</v>
      </c>
      <c r="AJ339" s="22">
        <v>329</v>
      </c>
      <c r="AK339" s="22">
        <v>1.55609</v>
      </c>
      <c r="AL339">
        <f t="shared" si="66"/>
        <v>6.4758300000000002</v>
      </c>
      <c r="AM339">
        <f t="shared" si="67"/>
        <v>10.080924561</v>
      </c>
      <c r="AP339" s="9"/>
      <c r="AQ339" s="22">
        <v>0.193329</v>
      </c>
      <c r="AR339" s="22">
        <v>161.61799999999999</v>
      </c>
      <c r="AS339" s="22">
        <v>-1.6015600000000001E-2</v>
      </c>
      <c r="AT339" s="22">
        <v>329</v>
      </c>
      <c r="AU339" s="22">
        <v>0.192688</v>
      </c>
      <c r="AV339">
        <f t="shared" si="68"/>
        <v>16.015600000000003</v>
      </c>
      <c r="AW339">
        <f t="shared" si="69"/>
        <v>3.0962799324000003</v>
      </c>
      <c r="AX339" s="9"/>
      <c r="AY339" s="22">
        <v>1.5567</v>
      </c>
      <c r="AZ339" s="22">
        <v>184.47800000000001</v>
      </c>
      <c r="BA339" s="22">
        <v>-6.5551799999999999E-3</v>
      </c>
      <c r="BB339" s="22">
        <v>329</v>
      </c>
      <c r="BC339" s="22">
        <v>1.55609</v>
      </c>
      <c r="BD339">
        <f t="shared" si="70"/>
        <v>6.55518</v>
      </c>
      <c r="BE339">
        <f t="shared" si="71"/>
        <v>10.204448705999999</v>
      </c>
    </row>
    <row r="340" spans="6:57">
      <c r="F340" s="9"/>
      <c r="G340" s="22">
        <v>0.18829299999999999</v>
      </c>
      <c r="H340" s="22">
        <v>52.565600000000003</v>
      </c>
      <c r="I340" s="22">
        <v>-1.6067499999999998E-2</v>
      </c>
      <c r="J340" s="22">
        <v>330</v>
      </c>
      <c r="K340" s="22">
        <v>0.187775</v>
      </c>
      <c r="L340">
        <f t="shared" si="60"/>
        <v>16.067499999999999</v>
      </c>
      <c r="M340">
        <f t="shared" si="61"/>
        <v>3.0253977774999998</v>
      </c>
      <c r="N340" s="9"/>
      <c r="O340" s="22">
        <v>1.5617399999999999</v>
      </c>
      <c r="P340" s="22">
        <v>70.448400000000007</v>
      </c>
      <c r="Q340" s="22">
        <v>-6.2042199999999999E-3</v>
      </c>
      <c r="R340" s="22">
        <v>330</v>
      </c>
      <c r="S340" s="22">
        <v>1.56067</v>
      </c>
      <c r="T340">
        <f t="shared" si="62"/>
        <v>6.2042200000000003</v>
      </c>
      <c r="U340">
        <f t="shared" si="63"/>
        <v>9.6893785428000001</v>
      </c>
      <c r="X340" s="9"/>
      <c r="Y340" s="22">
        <v>0.18829299999999999</v>
      </c>
      <c r="Z340" s="22">
        <v>120.008</v>
      </c>
      <c r="AA340" s="22">
        <v>-1.6107199999999999E-2</v>
      </c>
      <c r="AB340" s="22">
        <v>330</v>
      </c>
      <c r="AC340" s="22">
        <v>0.187805</v>
      </c>
      <c r="AD340">
        <f t="shared" si="64"/>
        <v>16.107199999999999</v>
      </c>
      <c r="AE340">
        <f t="shared" si="65"/>
        <v>3.0328730095999994</v>
      </c>
      <c r="AF340" s="9"/>
      <c r="AG340" s="22">
        <v>1.5617399999999999</v>
      </c>
      <c r="AH340" s="22">
        <v>138.983</v>
      </c>
      <c r="AI340" s="22">
        <v>-6.3659700000000003E-3</v>
      </c>
      <c r="AJ340" s="22">
        <v>330</v>
      </c>
      <c r="AK340" s="22">
        <v>1.56158</v>
      </c>
      <c r="AL340">
        <f t="shared" si="66"/>
        <v>6.3659699999999999</v>
      </c>
      <c r="AM340">
        <f t="shared" si="67"/>
        <v>9.9419899877999995</v>
      </c>
      <c r="AP340" s="9"/>
      <c r="AQ340" s="22">
        <v>0.18829299999999999</v>
      </c>
      <c r="AR340" s="22">
        <v>161.62799999999999</v>
      </c>
      <c r="AS340" s="22">
        <v>-1.60217E-2</v>
      </c>
      <c r="AT340" s="22">
        <v>330</v>
      </c>
      <c r="AU340" s="22">
        <v>0.18774399999999999</v>
      </c>
      <c r="AV340">
        <f t="shared" si="68"/>
        <v>16.021699999999999</v>
      </c>
      <c r="AW340">
        <f t="shared" si="69"/>
        <v>3.0167739580999995</v>
      </c>
      <c r="AX340" s="9"/>
      <c r="AY340" s="22">
        <v>1.5617399999999999</v>
      </c>
      <c r="AZ340" s="22">
        <v>184.489</v>
      </c>
      <c r="BA340" s="22">
        <v>-6.4453100000000001E-3</v>
      </c>
      <c r="BB340" s="22">
        <v>330</v>
      </c>
      <c r="BC340" s="22">
        <v>1.56128</v>
      </c>
      <c r="BD340">
        <f t="shared" si="70"/>
        <v>6.4453100000000001</v>
      </c>
      <c r="BE340">
        <f t="shared" si="71"/>
        <v>10.0658984394</v>
      </c>
    </row>
    <row r="341" spans="6:57">
      <c r="F341" s="9"/>
      <c r="G341" s="22">
        <v>0.183258</v>
      </c>
      <c r="H341" s="22">
        <v>52.575600000000001</v>
      </c>
      <c r="I341" s="22">
        <v>-1.60736E-2</v>
      </c>
      <c r="J341" s="22">
        <v>331</v>
      </c>
      <c r="K341" s="22">
        <v>0.18270900000000001</v>
      </c>
      <c r="L341">
        <f t="shared" si="60"/>
        <v>16.073599999999999</v>
      </c>
      <c r="M341">
        <f t="shared" si="61"/>
        <v>2.9456157888000001</v>
      </c>
      <c r="N341" s="9"/>
      <c r="O341" s="22">
        <v>1.56677</v>
      </c>
      <c r="P341" s="22">
        <v>70.458500000000001</v>
      </c>
      <c r="Q341" s="22">
        <v>-6.1004600000000003E-3</v>
      </c>
      <c r="R341" s="22">
        <v>331</v>
      </c>
      <c r="S341" s="22">
        <v>1.56647</v>
      </c>
      <c r="T341">
        <f t="shared" si="62"/>
        <v>6.10046</v>
      </c>
      <c r="U341">
        <f t="shared" si="63"/>
        <v>9.5580177142</v>
      </c>
      <c r="X341" s="9"/>
      <c r="Y341" s="22">
        <v>0.183258</v>
      </c>
      <c r="Z341" s="22">
        <v>120.018</v>
      </c>
      <c r="AA341" s="22">
        <v>-1.6107199999999999E-2</v>
      </c>
      <c r="AB341" s="22">
        <v>331</v>
      </c>
      <c r="AC341" s="22">
        <v>0.18267800000000001</v>
      </c>
      <c r="AD341">
        <f t="shared" si="64"/>
        <v>16.107199999999999</v>
      </c>
      <c r="AE341">
        <f t="shared" si="65"/>
        <v>2.9517732575999998</v>
      </c>
      <c r="AF341" s="9"/>
      <c r="AG341" s="22">
        <v>1.56677</v>
      </c>
      <c r="AH341" s="22">
        <v>138.99299999999999</v>
      </c>
      <c r="AI341" s="22">
        <v>-6.2530499999999996E-3</v>
      </c>
      <c r="AJ341" s="22">
        <v>331</v>
      </c>
      <c r="AK341" s="22">
        <v>1.56647</v>
      </c>
      <c r="AL341">
        <f t="shared" si="66"/>
        <v>6.25305</v>
      </c>
      <c r="AM341">
        <f t="shared" si="67"/>
        <v>9.7970911484999998</v>
      </c>
      <c r="AP341" s="9"/>
      <c r="AQ341" s="22">
        <v>0.183258</v>
      </c>
      <c r="AR341" s="22">
        <v>161.63800000000001</v>
      </c>
      <c r="AS341" s="22">
        <v>-1.60217E-2</v>
      </c>
      <c r="AT341" s="22">
        <v>331</v>
      </c>
      <c r="AU341" s="22">
        <v>0.18270900000000001</v>
      </c>
      <c r="AV341">
        <f t="shared" si="68"/>
        <v>16.021699999999999</v>
      </c>
      <c r="AW341">
        <f t="shared" si="69"/>
        <v>2.9361046985999999</v>
      </c>
      <c r="AX341" s="9"/>
      <c r="AY341" s="22">
        <v>1.56677</v>
      </c>
      <c r="AZ341" s="22">
        <v>184.499</v>
      </c>
      <c r="BA341" s="22">
        <v>-6.3354500000000003E-3</v>
      </c>
      <c r="BB341" s="22">
        <v>331</v>
      </c>
      <c r="BC341" s="22">
        <v>1.56555</v>
      </c>
      <c r="BD341">
        <f t="shared" si="70"/>
        <v>6.3354500000000007</v>
      </c>
      <c r="BE341">
        <f t="shared" si="71"/>
        <v>9.9261929965000011</v>
      </c>
    </row>
    <row r="342" spans="6:57">
      <c r="F342" s="9"/>
      <c r="G342" s="22">
        <v>0.17822299999999999</v>
      </c>
      <c r="H342" s="22">
        <v>52.585700000000003</v>
      </c>
      <c r="I342" s="22">
        <v>-1.6085800000000001E-2</v>
      </c>
      <c r="J342" s="22">
        <v>332</v>
      </c>
      <c r="K342" s="22">
        <v>0.177704</v>
      </c>
      <c r="L342">
        <f t="shared" si="60"/>
        <v>16.085800000000003</v>
      </c>
      <c r="M342">
        <f t="shared" si="61"/>
        <v>2.8668595334000004</v>
      </c>
      <c r="N342" s="9"/>
      <c r="O342" s="22">
        <v>1.5718099999999999</v>
      </c>
      <c r="P342" s="22">
        <v>70.468599999999995</v>
      </c>
      <c r="Q342" s="22">
        <v>-5.9966999999999998E-3</v>
      </c>
      <c r="R342" s="22">
        <v>332</v>
      </c>
      <c r="S342" s="22">
        <v>1.57104</v>
      </c>
      <c r="T342">
        <f t="shared" si="62"/>
        <v>5.9966999999999997</v>
      </c>
      <c r="U342">
        <f t="shared" si="63"/>
        <v>9.4256730269999984</v>
      </c>
      <c r="X342" s="9"/>
      <c r="Y342" s="22">
        <v>0.17822299999999999</v>
      </c>
      <c r="Z342" s="22">
        <v>120.02800000000001</v>
      </c>
      <c r="AA342" s="22">
        <v>-1.61041E-2</v>
      </c>
      <c r="AB342" s="22">
        <v>332</v>
      </c>
      <c r="AC342" s="22">
        <v>0.177673</v>
      </c>
      <c r="AD342">
        <f t="shared" si="64"/>
        <v>16.104099999999999</v>
      </c>
      <c r="AE342">
        <f t="shared" si="65"/>
        <v>2.8701210142999996</v>
      </c>
      <c r="AF342" s="9"/>
      <c r="AG342" s="22">
        <v>1.5718099999999999</v>
      </c>
      <c r="AH342" s="22">
        <v>139.00299999999999</v>
      </c>
      <c r="AI342" s="22">
        <v>-6.1431899999999998E-3</v>
      </c>
      <c r="AJ342" s="22">
        <v>332</v>
      </c>
      <c r="AK342" s="22">
        <v>1.57135</v>
      </c>
      <c r="AL342">
        <f t="shared" si="66"/>
        <v>6.1431899999999997</v>
      </c>
      <c r="AM342">
        <f t="shared" si="67"/>
        <v>9.6559274738999985</v>
      </c>
      <c r="AP342" s="9"/>
      <c r="AQ342" s="22">
        <v>0.17822299999999999</v>
      </c>
      <c r="AR342" s="22">
        <v>161.648</v>
      </c>
      <c r="AS342" s="22">
        <v>-1.60217E-2</v>
      </c>
      <c r="AT342" s="22">
        <v>332</v>
      </c>
      <c r="AU342" s="22">
        <v>0.177704</v>
      </c>
      <c r="AV342">
        <f t="shared" si="68"/>
        <v>16.021699999999999</v>
      </c>
      <c r="AW342">
        <f t="shared" si="69"/>
        <v>2.8554354390999999</v>
      </c>
      <c r="AX342" s="9"/>
      <c r="AY342" s="22">
        <v>1.5718099999999999</v>
      </c>
      <c r="AZ342" s="22">
        <v>184.50899999999999</v>
      </c>
      <c r="BA342" s="22">
        <v>-6.2225300000000004E-3</v>
      </c>
      <c r="BB342" s="22">
        <v>332</v>
      </c>
      <c r="BC342" s="22">
        <v>1.57104</v>
      </c>
      <c r="BD342">
        <f t="shared" si="70"/>
        <v>6.2225300000000008</v>
      </c>
      <c r="BE342">
        <f t="shared" si="71"/>
        <v>9.7806348793000009</v>
      </c>
    </row>
    <row r="343" spans="6:57">
      <c r="F343" s="9"/>
      <c r="G343" s="22">
        <v>0.17318700000000001</v>
      </c>
      <c r="H343" s="22">
        <v>52.595799999999997</v>
      </c>
      <c r="I343" s="22">
        <v>-1.6085800000000001E-2</v>
      </c>
      <c r="J343" s="22">
        <v>333</v>
      </c>
      <c r="K343" s="22">
        <v>0.17266799999999999</v>
      </c>
      <c r="L343">
        <f t="shared" si="60"/>
        <v>16.085800000000003</v>
      </c>
      <c r="M343">
        <f t="shared" si="61"/>
        <v>2.7858514446000004</v>
      </c>
      <c r="N343" s="9"/>
      <c r="O343" s="22">
        <v>1.57684</v>
      </c>
      <c r="P343" s="22">
        <v>70.4786</v>
      </c>
      <c r="Q343" s="22">
        <v>-5.88684E-3</v>
      </c>
      <c r="R343" s="22">
        <v>333</v>
      </c>
      <c r="S343" s="22">
        <v>1.57623</v>
      </c>
      <c r="T343">
        <f t="shared" si="62"/>
        <v>5.8868400000000003</v>
      </c>
      <c r="U343">
        <f t="shared" si="63"/>
        <v>9.2826047856000002</v>
      </c>
      <c r="X343" s="9"/>
      <c r="Y343" s="22">
        <v>0.17318700000000001</v>
      </c>
      <c r="Z343" s="22">
        <v>120.038</v>
      </c>
      <c r="AA343" s="22">
        <v>-1.61041E-2</v>
      </c>
      <c r="AB343" s="22">
        <v>333</v>
      </c>
      <c r="AC343" s="22">
        <v>0.172546</v>
      </c>
      <c r="AD343">
        <f t="shared" si="64"/>
        <v>16.104099999999999</v>
      </c>
      <c r="AE343">
        <f t="shared" si="65"/>
        <v>2.7890207666999998</v>
      </c>
      <c r="AF343" s="9"/>
      <c r="AG343" s="22">
        <v>1.57684</v>
      </c>
      <c r="AH343" s="22">
        <v>139.01300000000001</v>
      </c>
      <c r="AI343" s="22">
        <v>-6.0302699999999999E-3</v>
      </c>
      <c r="AJ343" s="22">
        <v>333</v>
      </c>
      <c r="AK343" s="22">
        <v>1.57623</v>
      </c>
      <c r="AL343">
        <f t="shared" si="66"/>
        <v>6.0302699999999998</v>
      </c>
      <c r="AM343">
        <f t="shared" si="67"/>
        <v>9.5087709468000003</v>
      </c>
      <c r="AP343" s="9"/>
      <c r="AQ343" s="22">
        <v>0.17318700000000001</v>
      </c>
      <c r="AR343" s="22">
        <v>161.65799999999999</v>
      </c>
      <c r="AS343" s="22">
        <v>-1.60217E-2</v>
      </c>
      <c r="AT343" s="22">
        <v>333</v>
      </c>
      <c r="AU343" s="22">
        <v>0.172546</v>
      </c>
      <c r="AV343">
        <f t="shared" si="68"/>
        <v>16.021699999999999</v>
      </c>
      <c r="AW343">
        <f t="shared" si="69"/>
        <v>2.7747501578999998</v>
      </c>
      <c r="AX343" s="9"/>
      <c r="AY343" s="22">
        <v>1.57684</v>
      </c>
      <c r="AZ343" s="22">
        <v>184.51900000000001</v>
      </c>
      <c r="BA343" s="22">
        <v>-6.1065700000000004E-3</v>
      </c>
      <c r="BB343" s="22">
        <v>333</v>
      </c>
      <c r="BC343" s="22">
        <v>1.5765400000000001</v>
      </c>
      <c r="BD343">
        <f t="shared" si="70"/>
        <v>6.1065700000000005</v>
      </c>
      <c r="BE343">
        <f t="shared" si="71"/>
        <v>9.6290838388000015</v>
      </c>
    </row>
    <row r="344" spans="6:57">
      <c r="F344" s="9"/>
      <c r="G344" s="22">
        <v>0.168152</v>
      </c>
      <c r="H344" s="22">
        <v>52.605899999999998</v>
      </c>
      <c r="I344" s="22">
        <v>-1.60889E-2</v>
      </c>
      <c r="J344" s="22">
        <v>334</v>
      </c>
      <c r="K344" s="22">
        <v>0.167633</v>
      </c>
      <c r="L344">
        <f t="shared" si="60"/>
        <v>16.088899999999999</v>
      </c>
      <c r="M344">
        <f t="shared" si="61"/>
        <v>2.7053807127999998</v>
      </c>
      <c r="N344" s="9"/>
      <c r="O344" s="22">
        <v>1.58188</v>
      </c>
      <c r="P344" s="22">
        <v>70.488699999999994</v>
      </c>
      <c r="Q344" s="22">
        <v>-5.7769800000000001E-3</v>
      </c>
      <c r="R344" s="22">
        <v>334</v>
      </c>
      <c r="S344" s="22">
        <v>1.5811200000000001</v>
      </c>
      <c r="T344">
        <f t="shared" si="62"/>
        <v>5.77698</v>
      </c>
      <c r="U344">
        <f t="shared" si="63"/>
        <v>9.1384891223999993</v>
      </c>
      <c r="X344" s="9"/>
      <c r="Y344" s="22">
        <v>0.168152</v>
      </c>
      <c r="Z344" s="22">
        <v>120.048</v>
      </c>
      <c r="AA344" s="22">
        <v>-1.6110200000000002E-2</v>
      </c>
      <c r="AB344" s="22">
        <v>334</v>
      </c>
      <c r="AC344" s="22">
        <v>0.16766400000000001</v>
      </c>
      <c r="AD344">
        <f t="shared" si="64"/>
        <v>16.110200000000003</v>
      </c>
      <c r="AE344">
        <f t="shared" si="65"/>
        <v>2.7089623504000002</v>
      </c>
      <c r="AF344" s="9"/>
      <c r="AG344" s="22">
        <v>1.58188</v>
      </c>
      <c r="AH344" s="22">
        <v>139.023</v>
      </c>
      <c r="AI344" s="22">
        <v>-5.9143099999999999E-3</v>
      </c>
      <c r="AJ344" s="22">
        <v>334</v>
      </c>
      <c r="AK344" s="22">
        <v>1.5811200000000001</v>
      </c>
      <c r="AL344">
        <f t="shared" si="66"/>
        <v>5.9143099999999995</v>
      </c>
      <c r="AM344">
        <f t="shared" si="67"/>
        <v>9.3557287027999987</v>
      </c>
      <c r="AP344" s="9"/>
      <c r="AQ344" s="22">
        <v>0.168152</v>
      </c>
      <c r="AR344" s="22">
        <v>161.66800000000001</v>
      </c>
      <c r="AS344" s="22">
        <v>-1.6024799999999999E-2</v>
      </c>
      <c r="AT344" s="22">
        <v>334</v>
      </c>
      <c r="AU344" s="22">
        <v>0.167603</v>
      </c>
      <c r="AV344">
        <f t="shared" si="68"/>
        <v>16.024799999999999</v>
      </c>
      <c r="AW344">
        <f t="shared" si="69"/>
        <v>2.6946021696</v>
      </c>
      <c r="AX344" s="9"/>
      <c r="AY344" s="22">
        <v>1.58188</v>
      </c>
      <c r="AZ344" s="22">
        <v>184.529</v>
      </c>
      <c r="BA344" s="22">
        <v>-5.9936499999999997E-3</v>
      </c>
      <c r="BB344" s="22">
        <v>334</v>
      </c>
      <c r="BC344" s="22">
        <v>1.58142</v>
      </c>
      <c r="BD344">
        <f t="shared" si="70"/>
        <v>5.9936499999999997</v>
      </c>
      <c r="BE344">
        <f t="shared" si="71"/>
        <v>9.4812350619999997</v>
      </c>
    </row>
    <row r="345" spans="6:57">
      <c r="F345" s="9"/>
      <c r="G345" s="22">
        <v>0.16311600000000001</v>
      </c>
      <c r="H345" s="22">
        <v>52.615900000000003</v>
      </c>
      <c r="I345" s="22">
        <v>-1.6091899999999999E-2</v>
      </c>
      <c r="J345" s="22">
        <v>335</v>
      </c>
      <c r="K345" s="22">
        <v>0.16256699999999999</v>
      </c>
      <c r="L345">
        <f t="shared" si="60"/>
        <v>16.091899999999999</v>
      </c>
      <c r="M345">
        <f t="shared" si="61"/>
        <v>2.6248463603999999</v>
      </c>
      <c r="N345" s="9"/>
      <c r="O345" s="22">
        <v>1.58691</v>
      </c>
      <c r="P345" s="22">
        <v>70.498800000000003</v>
      </c>
      <c r="Q345" s="22">
        <v>-5.6671100000000004E-3</v>
      </c>
      <c r="R345" s="22">
        <v>335</v>
      </c>
      <c r="S345" s="22">
        <v>1.58569</v>
      </c>
      <c r="T345">
        <f t="shared" si="62"/>
        <v>5.6671100000000001</v>
      </c>
      <c r="U345">
        <f t="shared" si="63"/>
        <v>8.993193530100001</v>
      </c>
      <c r="X345" s="9"/>
      <c r="Y345" s="22">
        <v>0.16311600000000001</v>
      </c>
      <c r="Z345" s="22">
        <v>120.05800000000001</v>
      </c>
      <c r="AA345" s="22">
        <v>-1.6110200000000002E-2</v>
      </c>
      <c r="AB345" s="22">
        <v>335</v>
      </c>
      <c r="AC345" s="22">
        <v>0.16253699999999999</v>
      </c>
      <c r="AD345">
        <f t="shared" si="64"/>
        <v>16.110200000000003</v>
      </c>
      <c r="AE345">
        <f t="shared" si="65"/>
        <v>2.6278313832000006</v>
      </c>
      <c r="AF345" s="9"/>
      <c r="AG345" s="22">
        <v>1.58691</v>
      </c>
      <c r="AH345" s="22">
        <v>139.03299999999999</v>
      </c>
      <c r="AI345" s="22">
        <v>-5.7983399999999999E-3</v>
      </c>
      <c r="AJ345" s="22">
        <v>335</v>
      </c>
      <c r="AK345" s="22">
        <v>1.58691</v>
      </c>
      <c r="AL345">
        <f t="shared" si="66"/>
        <v>5.7983399999999996</v>
      </c>
      <c r="AM345">
        <f t="shared" si="67"/>
        <v>9.2014437293999993</v>
      </c>
      <c r="AP345" s="9"/>
      <c r="AQ345" s="22">
        <v>0.16311600000000001</v>
      </c>
      <c r="AR345" s="22">
        <v>161.678</v>
      </c>
      <c r="AS345" s="22">
        <v>-1.6030900000000001E-2</v>
      </c>
      <c r="AT345" s="22">
        <v>335</v>
      </c>
      <c r="AU345" s="22">
        <v>0.16253699999999999</v>
      </c>
      <c r="AV345">
        <f t="shared" si="68"/>
        <v>16.030899999999999</v>
      </c>
      <c r="AW345">
        <f t="shared" si="69"/>
        <v>2.6148962843999999</v>
      </c>
      <c r="AX345" s="9"/>
      <c r="AY345" s="22">
        <v>1.58691</v>
      </c>
      <c r="AZ345" s="22">
        <v>184.53899999999999</v>
      </c>
      <c r="BA345" s="22">
        <v>-5.8746299999999996E-3</v>
      </c>
      <c r="BB345" s="22">
        <v>335</v>
      </c>
      <c r="BC345" s="22">
        <v>1.5863</v>
      </c>
      <c r="BD345">
        <f t="shared" si="70"/>
        <v>5.8746299999999998</v>
      </c>
      <c r="BE345">
        <f t="shared" si="71"/>
        <v>9.3225090933000008</v>
      </c>
    </row>
    <row r="346" spans="6:57">
      <c r="F346" s="9"/>
      <c r="G346" s="22">
        <v>0.158081</v>
      </c>
      <c r="H346" s="22">
        <v>52.625999999999998</v>
      </c>
      <c r="I346" s="22">
        <v>-1.6098000000000001E-2</v>
      </c>
      <c r="J346" s="22">
        <v>336</v>
      </c>
      <c r="K346" s="22">
        <v>0.15756200000000001</v>
      </c>
      <c r="L346">
        <f t="shared" si="60"/>
        <v>16.098000000000003</v>
      </c>
      <c r="M346">
        <f t="shared" si="61"/>
        <v>2.5447879380000002</v>
      </c>
      <c r="N346" s="9"/>
      <c r="O346" s="22">
        <v>1.59195</v>
      </c>
      <c r="P346" s="22">
        <v>70.508799999999994</v>
      </c>
      <c r="Q346" s="22">
        <v>-5.5572499999999997E-3</v>
      </c>
      <c r="R346" s="22">
        <v>336</v>
      </c>
      <c r="S346" s="22">
        <v>1.5914900000000001</v>
      </c>
      <c r="T346">
        <f t="shared" si="62"/>
        <v>5.5572499999999998</v>
      </c>
      <c r="U346">
        <f t="shared" si="63"/>
        <v>8.846864137499999</v>
      </c>
      <c r="X346" s="9"/>
      <c r="Y346" s="22">
        <v>0.158081</v>
      </c>
      <c r="Z346" s="22">
        <v>120.068</v>
      </c>
      <c r="AA346" s="22">
        <v>-1.6110200000000002E-2</v>
      </c>
      <c r="AB346" s="22">
        <v>336</v>
      </c>
      <c r="AC346" s="22">
        <v>0.157501</v>
      </c>
      <c r="AD346">
        <f t="shared" si="64"/>
        <v>16.110200000000003</v>
      </c>
      <c r="AE346">
        <f t="shared" si="65"/>
        <v>2.5467165262000004</v>
      </c>
      <c r="AF346" s="9"/>
      <c r="AG346" s="22">
        <v>1.59195</v>
      </c>
      <c r="AH346" s="22">
        <v>139.04300000000001</v>
      </c>
      <c r="AI346" s="22">
        <v>-5.6854200000000001E-3</v>
      </c>
      <c r="AJ346" s="22">
        <v>336</v>
      </c>
      <c r="AK346" s="22">
        <v>1.5908800000000001</v>
      </c>
      <c r="AL346">
        <f t="shared" si="66"/>
        <v>5.6854199999999997</v>
      </c>
      <c r="AM346">
        <f t="shared" si="67"/>
        <v>9.0509043689999995</v>
      </c>
      <c r="AP346" s="9"/>
      <c r="AQ346" s="22">
        <v>0.158081</v>
      </c>
      <c r="AR346" s="22">
        <v>161.68799999999999</v>
      </c>
      <c r="AS346" s="22">
        <v>-1.6036999999999999E-2</v>
      </c>
      <c r="AT346" s="22">
        <v>336</v>
      </c>
      <c r="AU346" s="22">
        <v>0.15756200000000001</v>
      </c>
      <c r="AV346">
        <f t="shared" si="68"/>
        <v>16.036999999999999</v>
      </c>
      <c r="AW346">
        <f t="shared" si="69"/>
        <v>2.5351449969999997</v>
      </c>
      <c r="AX346" s="9"/>
      <c r="AY346" s="22">
        <v>1.59195</v>
      </c>
      <c r="AZ346" s="22">
        <v>184.54900000000001</v>
      </c>
      <c r="BA346" s="22">
        <v>-5.7586699999999996E-3</v>
      </c>
      <c r="BB346" s="22">
        <v>336</v>
      </c>
      <c r="BC346" s="22">
        <v>1.5911900000000001</v>
      </c>
      <c r="BD346">
        <f t="shared" si="70"/>
        <v>5.7586699999999995</v>
      </c>
      <c r="BE346">
        <f t="shared" si="71"/>
        <v>9.1675147064999987</v>
      </c>
    </row>
    <row r="347" spans="6:57">
      <c r="F347" s="9"/>
      <c r="G347" s="22">
        <v>0.15304599999999999</v>
      </c>
      <c r="H347" s="22">
        <v>52.636099999999999</v>
      </c>
      <c r="I347" s="22">
        <v>-1.61011E-2</v>
      </c>
      <c r="J347" s="22">
        <v>337</v>
      </c>
      <c r="K347" s="22">
        <v>0.152557</v>
      </c>
      <c r="L347">
        <f t="shared" si="60"/>
        <v>16.101099999999999</v>
      </c>
      <c r="M347">
        <f t="shared" si="61"/>
        <v>2.4642089505999998</v>
      </c>
      <c r="N347" s="9"/>
      <c r="O347" s="22">
        <v>1.5969800000000001</v>
      </c>
      <c r="P347" s="22">
        <v>70.518900000000002</v>
      </c>
      <c r="Q347" s="22">
        <v>-5.4443399999999998E-3</v>
      </c>
      <c r="R347" s="22">
        <v>337</v>
      </c>
      <c r="S347" s="22">
        <v>1.5963700000000001</v>
      </c>
      <c r="T347">
        <f t="shared" si="62"/>
        <v>5.4443399999999995</v>
      </c>
      <c r="U347">
        <f t="shared" si="63"/>
        <v>8.6945020931999988</v>
      </c>
      <c r="X347" s="9"/>
      <c r="Y347" s="22">
        <v>0.15304599999999999</v>
      </c>
      <c r="Z347" s="22">
        <v>120.078</v>
      </c>
      <c r="AA347" s="22">
        <v>-1.61041E-2</v>
      </c>
      <c r="AB347" s="22">
        <v>337</v>
      </c>
      <c r="AC347" s="22">
        <v>0.152557</v>
      </c>
      <c r="AD347">
        <f t="shared" si="64"/>
        <v>16.104099999999999</v>
      </c>
      <c r="AE347">
        <f t="shared" si="65"/>
        <v>2.4646680885999999</v>
      </c>
      <c r="AF347" s="9"/>
      <c r="AG347" s="22">
        <v>1.5969800000000001</v>
      </c>
      <c r="AH347" s="22">
        <v>139.053</v>
      </c>
      <c r="AI347" s="22">
        <v>-5.5664099999999999E-3</v>
      </c>
      <c r="AJ347" s="22">
        <v>337</v>
      </c>
      <c r="AK347" s="22">
        <v>1.5960700000000001</v>
      </c>
      <c r="AL347">
        <f t="shared" si="66"/>
        <v>5.5664100000000003</v>
      </c>
      <c r="AM347">
        <f t="shared" si="67"/>
        <v>8.8894454418000013</v>
      </c>
      <c r="AP347" s="9"/>
      <c r="AQ347" s="22">
        <v>0.15304599999999999</v>
      </c>
      <c r="AR347" s="22">
        <v>161.69800000000001</v>
      </c>
      <c r="AS347" s="22">
        <v>-1.6036999999999999E-2</v>
      </c>
      <c r="AT347" s="22">
        <v>337</v>
      </c>
      <c r="AU347" s="22">
        <v>0.15246599999999999</v>
      </c>
      <c r="AV347">
        <f t="shared" si="68"/>
        <v>16.036999999999999</v>
      </c>
      <c r="AW347">
        <f t="shared" si="69"/>
        <v>2.4543987019999998</v>
      </c>
      <c r="AX347" s="9"/>
      <c r="AY347" s="22">
        <v>1.5969800000000001</v>
      </c>
      <c r="AZ347" s="22">
        <v>184.559</v>
      </c>
      <c r="BA347" s="22">
        <v>-5.6366000000000003E-3</v>
      </c>
      <c r="BB347" s="22">
        <v>337</v>
      </c>
      <c r="BC347" s="22">
        <v>1.5966800000000001</v>
      </c>
      <c r="BD347">
        <f t="shared" si="70"/>
        <v>5.6366000000000005</v>
      </c>
      <c r="BE347">
        <f t="shared" si="71"/>
        <v>9.0015374680000004</v>
      </c>
    </row>
    <row r="348" spans="6:57">
      <c r="F348" s="9"/>
      <c r="G348" s="22">
        <v>0.14801</v>
      </c>
      <c r="H348" s="22">
        <v>52.646099999999997</v>
      </c>
      <c r="I348" s="22">
        <v>-1.6098000000000001E-2</v>
      </c>
      <c r="J348" s="22">
        <v>338</v>
      </c>
      <c r="K348" s="22">
        <v>0.14749100000000001</v>
      </c>
      <c r="L348">
        <f t="shared" si="60"/>
        <v>16.098000000000003</v>
      </c>
      <c r="M348">
        <f t="shared" si="61"/>
        <v>2.3826649800000004</v>
      </c>
      <c r="N348" s="9"/>
      <c r="O348" s="22">
        <v>1.60202</v>
      </c>
      <c r="P348" s="22">
        <v>70.528999999999996</v>
      </c>
      <c r="Q348" s="22">
        <v>-5.3314199999999999E-3</v>
      </c>
      <c r="R348" s="22">
        <v>338</v>
      </c>
      <c r="S348" s="22">
        <v>1.6015600000000001</v>
      </c>
      <c r="T348">
        <f t="shared" si="62"/>
        <v>5.3314199999999996</v>
      </c>
      <c r="U348">
        <f t="shared" si="63"/>
        <v>8.5410414683999996</v>
      </c>
      <c r="X348" s="9"/>
      <c r="Y348" s="22">
        <v>0.14801</v>
      </c>
      <c r="Z348" s="22">
        <v>120.08799999999999</v>
      </c>
      <c r="AA348" s="22">
        <v>-1.6107199999999999E-2</v>
      </c>
      <c r="AB348" s="22">
        <v>338</v>
      </c>
      <c r="AC348" s="22">
        <v>0.14743000000000001</v>
      </c>
      <c r="AD348">
        <f t="shared" si="64"/>
        <v>16.107199999999999</v>
      </c>
      <c r="AE348">
        <f t="shared" si="65"/>
        <v>2.3840266720000001</v>
      </c>
      <c r="AF348" s="9"/>
      <c r="AG348" s="22">
        <v>1.60202</v>
      </c>
      <c r="AH348" s="22">
        <v>139.06299999999999</v>
      </c>
      <c r="AI348" s="22">
        <v>-5.4473899999999999E-3</v>
      </c>
      <c r="AJ348" s="22">
        <v>338</v>
      </c>
      <c r="AK348" s="22">
        <v>1.6015600000000001</v>
      </c>
      <c r="AL348">
        <f t="shared" si="66"/>
        <v>5.4473899999999995</v>
      </c>
      <c r="AM348">
        <f t="shared" si="67"/>
        <v>8.7268277277999999</v>
      </c>
      <c r="AP348" s="9"/>
      <c r="AQ348" s="22">
        <v>0.14801</v>
      </c>
      <c r="AR348" s="22">
        <v>161.708</v>
      </c>
      <c r="AS348" s="22">
        <v>-1.6046100000000001E-2</v>
      </c>
      <c r="AT348" s="22">
        <v>338</v>
      </c>
      <c r="AU348" s="22">
        <v>0.14749100000000001</v>
      </c>
      <c r="AV348">
        <f t="shared" si="68"/>
        <v>16.046099999999999</v>
      </c>
      <c r="AW348">
        <f t="shared" si="69"/>
        <v>2.3749832610000001</v>
      </c>
      <c r="AX348" s="9"/>
      <c r="AY348" s="22">
        <v>1.60202</v>
      </c>
      <c r="AZ348" s="22">
        <v>184.56899999999999</v>
      </c>
      <c r="BA348" s="22">
        <v>-5.5145300000000001E-3</v>
      </c>
      <c r="BB348" s="22">
        <v>338</v>
      </c>
      <c r="BC348" s="22">
        <v>1.6012599999999999</v>
      </c>
      <c r="BD348">
        <f t="shared" si="70"/>
        <v>5.5145299999999997</v>
      </c>
      <c r="BE348">
        <f t="shared" si="71"/>
        <v>8.8343873506000001</v>
      </c>
    </row>
    <row r="349" spans="6:57">
      <c r="F349" s="9"/>
      <c r="G349" s="22">
        <v>0.14297499999999999</v>
      </c>
      <c r="H349" s="22">
        <v>52.656199999999998</v>
      </c>
      <c r="I349" s="22">
        <v>-1.61011E-2</v>
      </c>
      <c r="J349" s="22">
        <v>339</v>
      </c>
      <c r="K349" s="22">
        <v>0.142426</v>
      </c>
      <c r="L349">
        <f t="shared" si="60"/>
        <v>16.101099999999999</v>
      </c>
      <c r="M349">
        <f t="shared" si="61"/>
        <v>2.3020547724999996</v>
      </c>
      <c r="N349" s="9"/>
      <c r="O349" s="22">
        <v>1.6070599999999999</v>
      </c>
      <c r="P349" s="22">
        <v>70.539000000000001</v>
      </c>
      <c r="Q349" s="22">
        <v>-5.21851E-3</v>
      </c>
      <c r="R349" s="22">
        <v>339</v>
      </c>
      <c r="S349" s="22">
        <v>1.6061399999999999</v>
      </c>
      <c r="T349">
        <f t="shared" si="62"/>
        <v>5.2185100000000002</v>
      </c>
      <c r="U349">
        <f t="shared" si="63"/>
        <v>8.3864586806000005</v>
      </c>
      <c r="X349" s="9"/>
      <c r="Y349" s="22">
        <v>0.14297499999999999</v>
      </c>
      <c r="Z349" s="22">
        <v>120.098</v>
      </c>
      <c r="AA349" s="22">
        <v>-1.6113300000000001E-2</v>
      </c>
      <c r="AB349" s="22">
        <v>339</v>
      </c>
      <c r="AC349" s="22">
        <v>0.142517</v>
      </c>
      <c r="AD349">
        <f t="shared" si="64"/>
        <v>16.113299999999999</v>
      </c>
      <c r="AE349">
        <f t="shared" si="65"/>
        <v>2.3037990674999995</v>
      </c>
      <c r="AF349" s="9"/>
      <c r="AG349" s="22">
        <v>1.6070599999999999</v>
      </c>
      <c r="AH349" s="22">
        <v>139.07300000000001</v>
      </c>
      <c r="AI349" s="22">
        <v>-5.3314199999999999E-3</v>
      </c>
      <c r="AJ349" s="22">
        <v>339</v>
      </c>
      <c r="AK349" s="22">
        <v>1.6064499999999999</v>
      </c>
      <c r="AL349">
        <f t="shared" si="66"/>
        <v>5.3314199999999996</v>
      </c>
      <c r="AM349">
        <f t="shared" si="67"/>
        <v>8.5679118251999995</v>
      </c>
      <c r="AP349" s="9"/>
      <c r="AQ349" s="22">
        <v>0.14297499999999999</v>
      </c>
      <c r="AR349" s="22">
        <v>161.71799999999999</v>
      </c>
      <c r="AS349" s="22">
        <v>-1.6064499999999999E-2</v>
      </c>
      <c r="AT349" s="22">
        <v>339</v>
      </c>
      <c r="AU349" s="22">
        <v>0.142456</v>
      </c>
      <c r="AV349">
        <f t="shared" si="68"/>
        <v>16.064499999999999</v>
      </c>
      <c r="AW349">
        <f t="shared" si="69"/>
        <v>2.2968218874999997</v>
      </c>
      <c r="AX349" s="9"/>
      <c r="AY349" s="22">
        <v>1.6070599999999999</v>
      </c>
      <c r="AZ349" s="22">
        <v>184.57900000000001</v>
      </c>
      <c r="BA349" s="22">
        <v>-5.39246E-3</v>
      </c>
      <c r="BB349" s="22">
        <v>339</v>
      </c>
      <c r="BC349" s="22">
        <v>1.6064499999999999</v>
      </c>
      <c r="BD349">
        <f t="shared" si="70"/>
        <v>5.3924599999999998</v>
      </c>
      <c r="BE349">
        <f t="shared" si="71"/>
        <v>8.666006767599999</v>
      </c>
    </row>
    <row r="350" spans="6:57">
      <c r="F350" s="9"/>
      <c r="G350" s="22">
        <v>0.13793900000000001</v>
      </c>
      <c r="H350" s="22">
        <v>52.6663</v>
      </c>
      <c r="I350" s="22">
        <v>-1.61011E-2</v>
      </c>
      <c r="J350" s="22">
        <v>340</v>
      </c>
      <c r="K350" s="22">
        <v>0.137512</v>
      </c>
      <c r="L350">
        <f t="shared" si="60"/>
        <v>16.101099999999999</v>
      </c>
      <c r="M350">
        <f t="shared" si="61"/>
        <v>2.2209696329000002</v>
      </c>
      <c r="N350" s="9"/>
      <c r="O350" s="22">
        <v>1.61209</v>
      </c>
      <c r="P350" s="22">
        <v>70.549099999999996</v>
      </c>
      <c r="Q350" s="22">
        <v>-5.10254E-3</v>
      </c>
      <c r="R350" s="22">
        <v>340</v>
      </c>
      <c r="S350" s="22">
        <v>1.6116299999999999</v>
      </c>
      <c r="T350">
        <f t="shared" si="62"/>
        <v>5.1025400000000003</v>
      </c>
      <c r="U350">
        <f t="shared" si="63"/>
        <v>8.225753708600001</v>
      </c>
      <c r="X350" s="9"/>
      <c r="Y350" s="22">
        <v>0.13793900000000001</v>
      </c>
      <c r="Z350" s="22">
        <v>120.10899999999999</v>
      </c>
      <c r="AA350" s="22">
        <v>-1.6113300000000001E-2</v>
      </c>
      <c r="AB350" s="22">
        <v>340</v>
      </c>
      <c r="AC350" s="22">
        <v>0.13739000000000001</v>
      </c>
      <c r="AD350">
        <f t="shared" si="64"/>
        <v>16.113299999999999</v>
      </c>
      <c r="AE350">
        <f t="shared" si="65"/>
        <v>2.2226524887000001</v>
      </c>
      <c r="AF350" s="9"/>
      <c r="AG350" s="22">
        <v>1.61209</v>
      </c>
      <c r="AH350" s="22">
        <v>139.083</v>
      </c>
      <c r="AI350" s="22">
        <v>-5.2123999999999998E-3</v>
      </c>
      <c r="AJ350" s="22">
        <v>340</v>
      </c>
      <c r="AK350" s="22">
        <v>1.6116299999999999</v>
      </c>
      <c r="AL350">
        <f t="shared" si="66"/>
        <v>5.2123999999999997</v>
      </c>
      <c r="AM350">
        <f t="shared" si="67"/>
        <v>8.4028579160000003</v>
      </c>
      <c r="AP350" s="9"/>
      <c r="AQ350" s="22">
        <v>0.13793900000000001</v>
      </c>
      <c r="AR350" s="22">
        <v>161.72800000000001</v>
      </c>
      <c r="AS350" s="22">
        <v>-1.6079699999999999E-2</v>
      </c>
      <c r="AT350" s="22">
        <v>340</v>
      </c>
      <c r="AU350" s="22">
        <v>0.137299</v>
      </c>
      <c r="AV350">
        <f t="shared" si="68"/>
        <v>16.079699999999999</v>
      </c>
      <c r="AW350">
        <f t="shared" si="69"/>
        <v>2.2180177382999999</v>
      </c>
      <c r="AX350" s="9"/>
      <c r="AY350" s="22">
        <v>1.61209</v>
      </c>
      <c r="AZ350" s="22">
        <v>184.589</v>
      </c>
      <c r="BA350" s="22">
        <v>-5.2673299999999998E-3</v>
      </c>
      <c r="BB350" s="22">
        <v>340</v>
      </c>
      <c r="BC350" s="22">
        <v>1.6110199999999999</v>
      </c>
      <c r="BD350">
        <f t="shared" si="70"/>
        <v>5.2673299999999994</v>
      </c>
      <c r="BE350">
        <f t="shared" si="71"/>
        <v>8.4914100197</v>
      </c>
    </row>
    <row r="351" spans="6:57">
      <c r="F351" s="9"/>
      <c r="G351" s="22">
        <v>0.13290399999999999</v>
      </c>
      <c r="H351" s="22">
        <v>52.676400000000001</v>
      </c>
      <c r="I351" s="22">
        <v>-1.61011E-2</v>
      </c>
      <c r="J351" s="22">
        <v>341</v>
      </c>
      <c r="K351" s="22">
        <v>0.132355</v>
      </c>
      <c r="L351">
        <f t="shared" si="60"/>
        <v>16.101099999999999</v>
      </c>
      <c r="M351">
        <f t="shared" si="61"/>
        <v>2.1399005943999998</v>
      </c>
      <c r="N351" s="9"/>
      <c r="O351" s="22">
        <v>1.61713</v>
      </c>
      <c r="P351" s="22">
        <v>70.559200000000004</v>
      </c>
      <c r="Q351" s="22">
        <v>-4.9887100000000004E-3</v>
      </c>
      <c r="R351" s="22">
        <v>341</v>
      </c>
      <c r="S351" s="22">
        <v>1.61652</v>
      </c>
      <c r="T351">
        <f t="shared" si="62"/>
        <v>4.9887100000000002</v>
      </c>
      <c r="U351">
        <f t="shared" si="63"/>
        <v>8.0673926023</v>
      </c>
      <c r="X351" s="9"/>
      <c r="Y351" s="22">
        <v>0.13290399999999999</v>
      </c>
      <c r="Z351" s="22">
        <v>120.119</v>
      </c>
      <c r="AA351" s="22">
        <v>-1.61163E-2</v>
      </c>
      <c r="AB351" s="22">
        <v>341</v>
      </c>
      <c r="AC351" s="22">
        <v>0.13226299999999999</v>
      </c>
      <c r="AD351">
        <f t="shared" si="64"/>
        <v>16.116299999999999</v>
      </c>
      <c r="AE351">
        <f t="shared" si="65"/>
        <v>2.1419207351999998</v>
      </c>
      <c r="AF351" s="9"/>
      <c r="AG351" s="22">
        <v>1.61713</v>
      </c>
      <c r="AH351" s="22">
        <v>139.09299999999999</v>
      </c>
      <c r="AI351" s="22">
        <v>-5.0872799999999996E-3</v>
      </c>
      <c r="AJ351" s="22">
        <v>341</v>
      </c>
      <c r="AK351" s="22">
        <v>1.61652</v>
      </c>
      <c r="AL351">
        <f t="shared" si="66"/>
        <v>5.0872799999999998</v>
      </c>
      <c r="AM351">
        <f t="shared" si="67"/>
        <v>8.2267931063999988</v>
      </c>
      <c r="AP351" s="9"/>
      <c r="AQ351" s="22">
        <v>0.13290399999999999</v>
      </c>
      <c r="AR351" s="22">
        <v>161.738</v>
      </c>
      <c r="AS351" s="22">
        <v>-1.6091899999999999E-2</v>
      </c>
      <c r="AT351" s="22">
        <v>341</v>
      </c>
      <c r="AU351" s="22">
        <v>0.13226299999999999</v>
      </c>
      <c r="AV351">
        <f t="shared" si="68"/>
        <v>16.091899999999999</v>
      </c>
      <c r="AW351">
        <f t="shared" si="69"/>
        <v>2.1386778775999997</v>
      </c>
      <c r="AX351" s="9"/>
      <c r="AY351" s="22">
        <v>1.61713</v>
      </c>
      <c r="AZ351" s="22">
        <v>184.59899999999999</v>
      </c>
      <c r="BA351" s="22">
        <v>-5.1422100000000004E-3</v>
      </c>
      <c r="BB351" s="22">
        <v>341</v>
      </c>
      <c r="BC351" s="22">
        <v>1.6162099999999999</v>
      </c>
      <c r="BD351">
        <f t="shared" si="70"/>
        <v>5.1422100000000004</v>
      </c>
      <c r="BE351">
        <f t="shared" si="71"/>
        <v>8.3156220573000006</v>
      </c>
    </row>
    <row r="352" spans="6:57">
      <c r="F352" s="9"/>
      <c r="G352" s="22">
        <v>0.12786900000000001</v>
      </c>
      <c r="H352" s="22">
        <v>52.686399999999999</v>
      </c>
      <c r="I352" s="22">
        <v>-1.61041E-2</v>
      </c>
      <c r="J352" s="22">
        <v>342</v>
      </c>
      <c r="K352" s="22">
        <v>0.12728900000000001</v>
      </c>
      <c r="L352">
        <f t="shared" si="60"/>
        <v>16.104099999999999</v>
      </c>
      <c r="M352">
        <f t="shared" si="61"/>
        <v>2.0592151629000002</v>
      </c>
      <c r="N352" s="9"/>
      <c r="O352" s="22">
        <v>1.62216</v>
      </c>
      <c r="P352" s="22">
        <v>70.569299999999998</v>
      </c>
      <c r="Q352" s="22">
        <v>-4.87061E-3</v>
      </c>
      <c r="R352" s="22">
        <v>342</v>
      </c>
      <c r="S352" s="22">
        <v>1.6216999999999999</v>
      </c>
      <c r="T352">
        <f t="shared" si="62"/>
        <v>4.8706100000000001</v>
      </c>
      <c r="U352">
        <f t="shared" si="63"/>
        <v>7.9009087176000001</v>
      </c>
      <c r="X352" s="9"/>
      <c r="Y352" s="22">
        <v>0.12786900000000001</v>
      </c>
      <c r="Z352" s="22">
        <v>120.129</v>
      </c>
      <c r="AA352" s="22">
        <v>-1.61163E-2</v>
      </c>
      <c r="AB352" s="22">
        <v>342</v>
      </c>
      <c r="AC352" s="22">
        <v>0.127411</v>
      </c>
      <c r="AD352">
        <f t="shared" si="64"/>
        <v>16.116299999999999</v>
      </c>
      <c r="AE352">
        <f t="shared" si="65"/>
        <v>2.0607751646999999</v>
      </c>
      <c r="AF352" s="9"/>
      <c r="AG352" s="22">
        <v>1.62216</v>
      </c>
      <c r="AH352" s="22">
        <v>139.10400000000001</v>
      </c>
      <c r="AI352" s="22">
        <v>-4.9649000000000004E-3</v>
      </c>
      <c r="AJ352" s="22">
        <v>342</v>
      </c>
      <c r="AK352" s="22">
        <v>1.6216999999999999</v>
      </c>
      <c r="AL352">
        <f t="shared" si="66"/>
        <v>4.9649000000000001</v>
      </c>
      <c r="AM352">
        <f t="shared" si="67"/>
        <v>8.0538621839999998</v>
      </c>
      <c r="AP352" s="9"/>
      <c r="AQ352" s="22">
        <v>0.12786900000000001</v>
      </c>
      <c r="AR352" s="22">
        <v>161.74799999999999</v>
      </c>
      <c r="AS352" s="22">
        <v>-1.6098000000000001E-2</v>
      </c>
      <c r="AT352" s="22">
        <v>342</v>
      </c>
      <c r="AU352" s="22">
        <v>0.12731899999999999</v>
      </c>
      <c r="AV352">
        <f t="shared" si="68"/>
        <v>16.098000000000003</v>
      </c>
      <c r="AW352">
        <f t="shared" si="69"/>
        <v>2.0584351620000003</v>
      </c>
      <c r="AX352" s="9"/>
      <c r="AY352" s="22">
        <v>1.62216</v>
      </c>
      <c r="AZ352" s="22">
        <v>184.60900000000001</v>
      </c>
      <c r="BA352" s="22">
        <v>-5.01404E-3</v>
      </c>
      <c r="BB352" s="22">
        <v>342</v>
      </c>
      <c r="BC352" s="22">
        <v>1.6214</v>
      </c>
      <c r="BD352">
        <f t="shared" si="70"/>
        <v>5.0140399999999996</v>
      </c>
      <c r="BE352">
        <f t="shared" si="71"/>
        <v>8.1335751264000002</v>
      </c>
    </row>
    <row r="353" spans="6:57">
      <c r="F353" s="9"/>
      <c r="G353" s="22">
        <v>0.122833</v>
      </c>
      <c r="H353" s="22">
        <v>52.6965</v>
      </c>
      <c r="I353" s="22">
        <v>-1.6107199999999999E-2</v>
      </c>
      <c r="J353" s="22">
        <v>343</v>
      </c>
      <c r="K353" s="22">
        <v>0.122223</v>
      </c>
      <c r="L353">
        <f t="shared" si="60"/>
        <v>16.107199999999999</v>
      </c>
      <c r="M353">
        <f t="shared" si="61"/>
        <v>1.9784956975999999</v>
      </c>
      <c r="N353" s="9"/>
      <c r="O353" s="22">
        <v>1.6272</v>
      </c>
      <c r="P353" s="22">
        <v>70.579300000000003</v>
      </c>
      <c r="Q353" s="22">
        <v>-4.7524999999999998E-3</v>
      </c>
      <c r="R353" s="22">
        <v>343</v>
      </c>
      <c r="S353" s="22">
        <v>1.62659</v>
      </c>
      <c r="T353">
        <f t="shared" si="62"/>
        <v>4.7524999999999995</v>
      </c>
      <c r="U353">
        <f t="shared" si="63"/>
        <v>7.7332679999999989</v>
      </c>
      <c r="X353" s="9"/>
      <c r="Y353" s="22">
        <v>0.122833</v>
      </c>
      <c r="Z353" s="22">
        <v>120.139</v>
      </c>
      <c r="AA353" s="22">
        <v>-1.6125500000000001E-2</v>
      </c>
      <c r="AB353" s="22">
        <v>343</v>
      </c>
      <c r="AC353" s="22">
        <v>0.122192</v>
      </c>
      <c r="AD353">
        <f t="shared" si="64"/>
        <v>16.125500000000002</v>
      </c>
      <c r="AE353">
        <f t="shared" si="65"/>
        <v>1.9807435415000003</v>
      </c>
      <c r="AF353" s="9"/>
      <c r="AG353" s="22">
        <v>1.6272</v>
      </c>
      <c r="AH353" s="22">
        <v>139.114</v>
      </c>
      <c r="AI353" s="22">
        <v>-4.8373399999999999E-3</v>
      </c>
      <c r="AJ353" s="22">
        <v>343</v>
      </c>
      <c r="AK353" s="22">
        <v>1.6262799999999999</v>
      </c>
      <c r="AL353">
        <f t="shared" si="66"/>
        <v>4.8373400000000002</v>
      </c>
      <c r="AM353">
        <f t="shared" si="67"/>
        <v>7.8713196480000001</v>
      </c>
      <c r="AP353" s="9"/>
      <c r="AQ353" s="22">
        <v>0.122833</v>
      </c>
      <c r="AR353" s="22">
        <v>161.75899999999999</v>
      </c>
      <c r="AS353" s="22">
        <v>-1.6095000000000002E-2</v>
      </c>
      <c r="AT353" s="22">
        <v>343</v>
      </c>
      <c r="AU353" s="22">
        <v>0.122284</v>
      </c>
      <c r="AV353">
        <f t="shared" si="68"/>
        <v>16.095000000000002</v>
      </c>
      <c r="AW353">
        <f t="shared" si="69"/>
        <v>1.9769971350000002</v>
      </c>
      <c r="AX353" s="9"/>
      <c r="AY353" s="22">
        <v>1.6272</v>
      </c>
      <c r="AZ353" s="22">
        <v>184.619</v>
      </c>
      <c r="BA353" s="22">
        <v>-4.8831200000000003E-3</v>
      </c>
      <c r="BB353" s="22">
        <v>343</v>
      </c>
      <c r="BC353" s="22">
        <v>1.6262799999999999</v>
      </c>
      <c r="BD353">
        <f t="shared" si="70"/>
        <v>4.8831199999999999</v>
      </c>
      <c r="BE353">
        <f t="shared" si="71"/>
        <v>7.9458128639999996</v>
      </c>
    </row>
    <row r="354" spans="6:57">
      <c r="F354" s="9"/>
      <c r="G354" s="22">
        <v>0.117798</v>
      </c>
      <c r="H354" s="22">
        <v>52.706600000000002</v>
      </c>
      <c r="I354" s="22">
        <v>-1.6107199999999999E-2</v>
      </c>
      <c r="J354" s="22">
        <v>344</v>
      </c>
      <c r="K354" s="22">
        <v>0.117188</v>
      </c>
      <c r="L354">
        <f t="shared" si="60"/>
        <v>16.107199999999999</v>
      </c>
      <c r="M354">
        <f t="shared" si="61"/>
        <v>1.8973959455999998</v>
      </c>
      <c r="N354" s="9"/>
      <c r="O354" s="22">
        <v>1.6322300000000001</v>
      </c>
      <c r="P354" s="22">
        <v>70.589399999999998</v>
      </c>
      <c r="Q354" s="22">
        <v>-4.6331799999999998E-3</v>
      </c>
      <c r="R354" s="22">
        <v>344</v>
      </c>
      <c r="S354" s="22">
        <v>1.6311599999999999</v>
      </c>
      <c r="T354">
        <f t="shared" si="62"/>
        <v>4.6331799999999994</v>
      </c>
      <c r="U354">
        <f t="shared" si="63"/>
        <v>7.5624153913999992</v>
      </c>
      <c r="X354" s="9"/>
      <c r="Y354" s="22">
        <v>0.117798</v>
      </c>
      <c r="Z354" s="22">
        <v>120.149</v>
      </c>
      <c r="AA354" s="22">
        <v>-1.61285E-2</v>
      </c>
      <c r="AB354" s="22">
        <v>344</v>
      </c>
      <c r="AC354" s="22">
        <v>0.11731</v>
      </c>
      <c r="AD354">
        <f t="shared" si="64"/>
        <v>16.128499999999999</v>
      </c>
      <c r="AE354">
        <f t="shared" si="65"/>
        <v>1.899905043</v>
      </c>
      <c r="AF354" s="9"/>
      <c r="AG354" s="22">
        <v>1.6322300000000001</v>
      </c>
      <c r="AH354" s="22">
        <v>139.124</v>
      </c>
      <c r="AI354" s="22">
        <v>-4.7085599999999997E-3</v>
      </c>
      <c r="AJ354" s="22">
        <v>344</v>
      </c>
      <c r="AK354" s="22">
        <v>1.6317699999999999</v>
      </c>
      <c r="AL354">
        <f t="shared" si="66"/>
        <v>4.7085599999999994</v>
      </c>
      <c r="AM354">
        <f t="shared" si="67"/>
        <v>7.6854528887999995</v>
      </c>
      <c r="AP354" s="9"/>
      <c r="AQ354" s="22">
        <v>0.117798</v>
      </c>
      <c r="AR354" s="22">
        <v>161.76900000000001</v>
      </c>
      <c r="AS354" s="22">
        <v>-1.6091899999999999E-2</v>
      </c>
      <c r="AT354" s="22">
        <v>344</v>
      </c>
      <c r="AU354" s="22">
        <v>0.11727899999999999</v>
      </c>
      <c r="AV354">
        <f t="shared" si="68"/>
        <v>16.091899999999999</v>
      </c>
      <c r="AW354">
        <f t="shared" si="69"/>
        <v>1.8955936361999999</v>
      </c>
      <c r="AX354" s="9"/>
      <c r="AY354" s="22">
        <v>1.6322300000000001</v>
      </c>
      <c r="AZ354" s="22">
        <v>184.63</v>
      </c>
      <c r="BA354" s="22">
        <v>-4.7528099999999997E-3</v>
      </c>
      <c r="BB354" s="22">
        <v>344</v>
      </c>
      <c r="BC354" s="22">
        <v>1.63208</v>
      </c>
      <c r="BD354">
        <f t="shared" si="70"/>
        <v>4.7528099999999993</v>
      </c>
      <c r="BE354">
        <f t="shared" si="71"/>
        <v>7.7576790662999988</v>
      </c>
    </row>
    <row r="355" spans="6:57">
      <c r="F355" s="9"/>
      <c r="G355" s="22">
        <v>0.112762</v>
      </c>
      <c r="H355" s="22">
        <v>52.7166</v>
      </c>
      <c r="I355" s="22">
        <v>-1.61041E-2</v>
      </c>
      <c r="J355" s="22">
        <v>345</v>
      </c>
      <c r="K355" s="22">
        <v>0.11221299999999999</v>
      </c>
      <c r="L355">
        <f t="shared" si="60"/>
        <v>16.104099999999999</v>
      </c>
      <c r="M355">
        <f t="shared" si="61"/>
        <v>1.8159305241999999</v>
      </c>
      <c r="N355" s="9"/>
      <c r="O355" s="22">
        <v>1.63727</v>
      </c>
      <c r="P355" s="22">
        <v>70.599500000000006</v>
      </c>
      <c r="Q355" s="22">
        <v>-4.5098899999999999E-3</v>
      </c>
      <c r="R355" s="22">
        <v>345</v>
      </c>
      <c r="S355" s="22">
        <v>1.63666</v>
      </c>
      <c r="T355">
        <f t="shared" si="62"/>
        <v>4.5098899999999995</v>
      </c>
      <c r="U355">
        <f t="shared" si="63"/>
        <v>7.3839076002999988</v>
      </c>
      <c r="X355" s="9"/>
      <c r="Y355" s="22">
        <v>0.112762</v>
      </c>
      <c r="Z355" s="22">
        <v>120.15900000000001</v>
      </c>
      <c r="AA355" s="22">
        <v>-1.61285E-2</v>
      </c>
      <c r="AB355" s="22">
        <v>345</v>
      </c>
      <c r="AC355" s="22">
        <v>0.112152</v>
      </c>
      <c r="AD355">
        <f t="shared" si="64"/>
        <v>16.128499999999999</v>
      </c>
      <c r="AE355">
        <f t="shared" si="65"/>
        <v>1.8186819169999999</v>
      </c>
      <c r="AF355" s="9"/>
      <c r="AG355" s="22">
        <v>1.63727</v>
      </c>
      <c r="AH355" s="22">
        <v>139.13399999999999</v>
      </c>
      <c r="AI355" s="22">
        <v>-4.5822099999999998E-3</v>
      </c>
      <c r="AJ355" s="22">
        <v>345</v>
      </c>
      <c r="AK355" s="22">
        <v>1.63696</v>
      </c>
      <c r="AL355">
        <f t="shared" si="66"/>
        <v>4.5822099999999999</v>
      </c>
      <c r="AM355">
        <f t="shared" si="67"/>
        <v>7.5023149667000002</v>
      </c>
      <c r="AP355" s="9"/>
      <c r="AQ355" s="22">
        <v>0.112762</v>
      </c>
      <c r="AR355" s="22">
        <v>161.779</v>
      </c>
      <c r="AS355" s="22">
        <v>-1.6091899999999999E-2</v>
      </c>
      <c r="AT355" s="22">
        <v>345</v>
      </c>
      <c r="AU355" s="22">
        <v>0.112244</v>
      </c>
      <c r="AV355">
        <f t="shared" si="68"/>
        <v>16.091899999999999</v>
      </c>
      <c r="AW355">
        <f t="shared" si="69"/>
        <v>1.8145548277999999</v>
      </c>
      <c r="AX355" s="9"/>
      <c r="AY355" s="22">
        <v>1.63727</v>
      </c>
      <c r="AZ355" s="22">
        <v>184.64</v>
      </c>
      <c r="BA355" s="22">
        <v>-4.62189E-3</v>
      </c>
      <c r="BB355" s="22">
        <v>345</v>
      </c>
      <c r="BC355" s="22">
        <v>1.63696</v>
      </c>
      <c r="BD355">
        <f t="shared" si="70"/>
        <v>4.6218899999999996</v>
      </c>
      <c r="BE355">
        <f t="shared" si="71"/>
        <v>7.5672818402999997</v>
      </c>
    </row>
    <row r="356" spans="6:57">
      <c r="F356" s="9"/>
      <c r="G356" s="22">
        <v>0.107727</v>
      </c>
      <c r="H356" s="22">
        <v>52.726700000000001</v>
      </c>
      <c r="I356" s="22">
        <v>-1.61041E-2</v>
      </c>
      <c r="J356" s="22">
        <v>346</v>
      </c>
      <c r="K356" s="22">
        <v>0.107178</v>
      </c>
      <c r="L356">
        <f t="shared" si="60"/>
        <v>16.104099999999999</v>
      </c>
      <c r="M356">
        <f t="shared" si="61"/>
        <v>1.7348463806999999</v>
      </c>
      <c r="N356" s="9"/>
      <c r="O356" s="22">
        <v>1.6423000000000001</v>
      </c>
      <c r="P356" s="22">
        <v>70.609499999999997</v>
      </c>
      <c r="Q356" s="22">
        <v>-4.3853800000000004E-3</v>
      </c>
      <c r="R356" s="22">
        <v>346</v>
      </c>
      <c r="S356" s="22">
        <v>1.64154</v>
      </c>
      <c r="T356">
        <f t="shared" si="62"/>
        <v>4.3853800000000005</v>
      </c>
      <c r="U356">
        <f t="shared" si="63"/>
        <v>7.2021095740000014</v>
      </c>
      <c r="X356" s="9"/>
      <c r="Y356" s="22">
        <v>0.107727</v>
      </c>
      <c r="Z356" s="22">
        <v>120.169</v>
      </c>
      <c r="AA356" s="22">
        <v>-1.6131599999999999E-2</v>
      </c>
      <c r="AB356" s="22">
        <v>346</v>
      </c>
      <c r="AC356" s="22">
        <v>0.107208</v>
      </c>
      <c r="AD356">
        <f t="shared" si="64"/>
        <v>16.131599999999999</v>
      </c>
      <c r="AE356">
        <f t="shared" si="65"/>
        <v>1.7378088731999999</v>
      </c>
      <c r="AF356" s="9"/>
      <c r="AG356" s="22">
        <v>1.6423000000000001</v>
      </c>
      <c r="AH356" s="22">
        <v>139.14400000000001</v>
      </c>
      <c r="AI356" s="22">
        <v>-4.4525099999999998E-3</v>
      </c>
      <c r="AJ356" s="22">
        <v>346</v>
      </c>
      <c r="AK356" s="22">
        <v>1.64154</v>
      </c>
      <c r="AL356">
        <f t="shared" si="66"/>
        <v>4.4525100000000002</v>
      </c>
      <c r="AM356">
        <f t="shared" si="67"/>
        <v>7.3123571730000005</v>
      </c>
      <c r="AP356" s="9"/>
      <c r="AQ356" s="22">
        <v>0.107727</v>
      </c>
      <c r="AR356" s="22">
        <v>161.78899999999999</v>
      </c>
      <c r="AS356" s="22">
        <v>-1.6095000000000002E-2</v>
      </c>
      <c r="AT356" s="22">
        <v>346</v>
      </c>
      <c r="AU356" s="22">
        <v>0.107178</v>
      </c>
      <c r="AV356">
        <f t="shared" si="68"/>
        <v>16.095000000000002</v>
      </c>
      <c r="AW356">
        <f t="shared" si="69"/>
        <v>1.7338660650000004</v>
      </c>
      <c r="AX356" s="9"/>
      <c r="AY356" s="22">
        <v>1.6423000000000001</v>
      </c>
      <c r="AZ356" s="22">
        <v>184.65</v>
      </c>
      <c r="BA356" s="22">
        <v>-4.4869999999999997E-3</v>
      </c>
      <c r="BB356" s="22">
        <v>346</v>
      </c>
      <c r="BC356" s="22">
        <v>1.64215</v>
      </c>
      <c r="BD356">
        <f t="shared" si="70"/>
        <v>4.4870000000000001</v>
      </c>
      <c r="BE356">
        <f t="shared" si="71"/>
        <v>7.3690001000000009</v>
      </c>
    </row>
    <row r="357" spans="6:57">
      <c r="F357" s="9"/>
      <c r="G357" s="22">
        <v>0.10269200000000001</v>
      </c>
      <c r="H357" s="22">
        <v>52.736800000000002</v>
      </c>
      <c r="I357" s="22">
        <v>-1.6110200000000002E-2</v>
      </c>
      <c r="J357" s="22">
        <v>347</v>
      </c>
      <c r="K357" s="22">
        <v>0.102203</v>
      </c>
      <c r="L357">
        <f t="shared" si="60"/>
        <v>16.110200000000003</v>
      </c>
      <c r="M357">
        <f t="shared" si="61"/>
        <v>1.6543886584000003</v>
      </c>
      <c r="N357" s="9"/>
      <c r="O357" s="22">
        <v>1.64734</v>
      </c>
      <c r="P357" s="22">
        <v>70.619600000000005</v>
      </c>
      <c r="Q357" s="22">
        <v>-4.2602500000000001E-3</v>
      </c>
      <c r="R357" s="22">
        <v>347</v>
      </c>
      <c r="S357" s="22">
        <v>1.64642</v>
      </c>
      <c r="T357">
        <f t="shared" si="62"/>
        <v>4.2602500000000001</v>
      </c>
      <c r="U357">
        <f t="shared" si="63"/>
        <v>7.0180802350000002</v>
      </c>
      <c r="X357" s="9"/>
      <c r="Y357" s="22">
        <v>0.10269200000000001</v>
      </c>
      <c r="Z357" s="22">
        <v>120.179</v>
      </c>
      <c r="AA357" s="22">
        <v>-1.6125500000000001E-2</v>
      </c>
      <c r="AB357" s="22">
        <v>347</v>
      </c>
      <c r="AC357" s="22">
        <v>0.102142</v>
      </c>
      <c r="AD357">
        <f t="shared" si="64"/>
        <v>16.125500000000002</v>
      </c>
      <c r="AE357">
        <f t="shared" si="65"/>
        <v>1.6559598460000002</v>
      </c>
      <c r="AF357" s="9"/>
      <c r="AG357" s="22">
        <v>1.64734</v>
      </c>
      <c r="AH357" s="22">
        <v>139.154</v>
      </c>
      <c r="AI357" s="22">
        <v>-4.3231199999999997E-3</v>
      </c>
      <c r="AJ357" s="22">
        <v>347</v>
      </c>
      <c r="AK357" s="22">
        <v>1.64703</v>
      </c>
      <c r="AL357">
        <f t="shared" si="66"/>
        <v>4.3231199999999994</v>
      </c>
      <c r="AM357">
        <f t="shared" si="67"/>
        <v>7.1216485007999992</v>
      </c>
      <c r="AP357" s="9"/>
      <c r="AQ357" s="22">
        <v>0.10269200000000001</v>
      </c>
      <c r="AR357" s="22">
        <v>161.79900000000001</v>
      </c>
      <c r="AS357" s="22">
        <v>-1.61011E-2</v>
      </c>
      <c r="AT357" s="22">
        <v>347</v>
      </c>
      <c r="AU357" s="22">
        <v>0.10208100000000001</v>
      </c>
      <c r="AV357">
        <f t="shared" si="68"/>
        <v>16.101099999999999</v>
      </c>
      <c r="AW357">
        <f t="shared" si="69"/>
        <v>1.6534541612</v>
      </c>
      <c r="AX357" s="9"/>
      <c r="AY357" s="22">
        <v>1.64734</v>
      </c>
      <c r="AZ357" s="22">
        <v>184.66</v>
      </c>
      <c r="BA357" s="22">
        <v>-4.35272E-3</v>
      </c>
      <c r="BB357" s="22">
        <v>347</v>
      </c>
      <c r="BC357" s="22">
        <v>1.64612</v>
      </c>
      <c r="BD357">
        <f t="shared" si="70"/>
        <v>4.3527199999999997</v>
      </c>
      <c r="BE357">
        <f t="shared" si="71"/>
        <v>7.1704097647999996</v>
      </c>
    </row>
    <row r="358" spans="6:57">
      <c r="F358" s="9"/>
      <c r="G358" s="22">
        <v>9.7656300000000001E-2</v>
      </c>
      <c r="H358" s="22">
        <v>52.7468</v>
      </c>
      <c r="I358" s="22">
        <v>-1.61163E-2</v>
      </c>
      <c r="J358" s="22">
        <v>348</v>
      </c>
      <c r="K358" s="22">
        <v>9.7045900000000004E-2</v>
      </c>
      <c r="L358">
        <f t="shared" si="60"/>
        <v>16.116299999999999</v>
      </c>
      <c r="M358">
        <f t="shared" si="61"/>
        <v>1.5738582276899999</v>
      </c>
      <c r="N358" s="9"/>
      <c r="O358" s="22">
        <v>1.6523699999999999</v>
      </c>
      <c r="P358" s="22">
        <v>70.6297</v>
      </c>
      <c r="Q358" s="22">
        <v>-4.13452E-3</v>
      </c>
      <c r="R358" s="22">
        <v>348</v>
      </c>
      <c r="S358" s="22">
        <v>1.65161</v>
      </c>
      <c r="T358">
        <f t="shared" si="62"/>
        <v>4.1345200000000002</v>
      </c>
      <c r="U358">
        <f t="shared" si="63"/>
        <v>6.8317568124000001</v>
      </c>
      <c r="X358" s="9"/>
      <c r="Y358" s="22">
        <v>9.7656300000000001E-2</v>
      </c>
      <c r="Z358" s="22">
        <v>120.18899999999999</v>
      </c>
      <c r="AA358" s="22">
        <v>-1.61285E-2</v>
      </c>
      <c r="AB358" s="22">
        <v>348</v>
      </c>
      <c r="AC358" s="22">
        <v>9.7137500000000002E-2</v>
      </c>
      <c r="AD358">
        <f t="shared" si="64"/>
        <v>16.128499999999999</v>
      </c>
      <c r="AE358">
        <f t="shared" si="65"/>
        <v>1.57504963455</v>
      </c>
      <c r="AF358" s="9"/>
      <c r="AG358" s="22">
        <v>1.6523699999999999</v>
      </c>
      <c r="AH358" s="22">
        <v>139.16399999999999</v>
      </c>
      <c r="AI358" s="22">
        <v>-4.1888400000000001E-3</v>
      </c>
      <c r="AJ358" s="22">
        <v>348</v>
      </c>
      <c r="AK358" s="22">
        <v>1.6519200000000001</v>
      </c>
      <c r="AL358">
        <f t="shared" si="66"/>
        <v>4.1888399999999999</v>
      </c>
      <c r="AM358">
        <f t="shared" si="67"/>
        <v>6.9215135507999994</v>
      </c>
      <c r="AP358" s="9"/>
      <c r="AQ358" s="22">
        <v>9.7656300000000001E-2</v>
      </c>
      <c r="AR358" s="22">
        <v>161.809</v>
      </c>
      <c r="AS358" s="22">
        <v>-1.6110200000000002E-2</v>
      </c>
      <c r="AT358" s="22">
        <v>348</v>
      </c>
      <c r="AU358" s="22">
        <v>9.7076399999999993E-2</v>
      </c>
      <c r="AV358">
        <f t="shared" si="68"/>
        <v>16.110200000000003</v>
      </c>
      <c r="AW358">
        <f t="shared" si="69"/>
        <v>1.5732625242600002</v>
      </c>
      <c r="AX358" s="9"/>
      <c r="AY358" s="22">
        <v>1.6523699999999999</v>
      </c>
      <c r="AZ358" s="22">
        <v>184.67</v>
      </c>
      <c r="BA358" s="22">
        <v>-4.2157000000000002E-3</v>
      </c>
      <c r="BB358" s="22">
        <v>348</v>
      </c>
      <c r="BC358" s="22">
        <v>1.6513100000000001</v>
      </c>
      <c r="BD358">
        <f t="shared" si="70"/>
        <v>4.2157</v>
      </c>
      <c r="BE358">
        <f t="shared" si="71"/>
        <v>6.9658962089999994</v>
      </c>
    </row>
    <row r="359" spans="6:57">
      <c r="F359" s="9"/>
      <c r="G359" s="22">
        <v>9.2620800000000003E-2</v>
      </c>
      <c r="H359" s="22">
        <v>52.756900000000002</v>
      </c>
      <c r="I359" s="22">
        <v>-1.6122399999999999E-2</v>
      </c>
      <c r="J359" s="22">
        <v>349</v>
      </c>
      <c r="K359" s="22">
        <v>9.2132599999999995E-2</v>
      </c>
      <c r="L359">
        <f t="shared" si="60"/>
        <v>16.122399999999999</v>
      </c>
      <c r="M359">
        <f t="shared" si="61"/>
        <v>1.49326958592</v>
      </c>
      <c r="N359" s="9"/>
      <c r="O359" s="22">
        <v>1.65741</v>
      </c>
      <c r="P359" s="22">
        <v>70.639799999999994</v>
      </c>
      <c r="Q359" s="22">
        <v>-4.0078700000000002E-3</v>
      </c>
      <c r="R359" s="22">
        <v>349</v>
      </c>
      <c r="S359" s="22">
        <v>1.6571</v>
      </c>
      <c r="T359">
        <f t="shared" si="62"/>
        <v>4.0078700000000005</v>
      </c>
      <c r="U359">
        <f t="shared" si="63"/>
        <v>6.6426838167000009</v>
      </c>
      <c r="X359" s="9"/>
      <c r="Y359" s="22">
        <v>9.2620800000000003E-2</v>
      </c>
      <c r="Z359" s="22">
        <v>120.199</v>
      </c>
      <c r="AA359" s="22">
        <v>-1.6134599999999999E-2</v>
      </c>
      <c r="AB359" s="22">
        <v>349</v>
      </c>
      <c r="AC359" s="22">
        <v>9.2224100000000003E-2</v>
      </c>
      <c r="AD359">
        <f t="shared" si="64"/>
        <v>16.134599999999999</v>
      </c>
      <c r="AE359">
        <f t="shared" si="65"/>
        <v>1.4943995596799999</v>
      </c>
      <c r="AF359" s="9"/>
      <c r="AG359" s="22">
        <v>1.65741</v>
      </c>
      <c r="AH359" s="22">
        <v>139.17400000000001</v>
      </c>
      <c r="AI359" s="22">
        <v>-4.05273E-3</v>
      </c>
      <c r="AJ359" s="22">
        <v>349</v>
      </c>
      <c r="AK359" s="22">
        <v>1.65649</v>
      </c>
      <c r="AL359">
        <f t="shared" si="66"/>
        <v>4.0527300000000004</v>
      </c>
      <c r="AM359">
        <f t="shared" si="67"/>
        <v>6.7170352293000004</v>
      </c>
      <c r="AP359" s="9"/>
      <c r="AQ359" s="22">
        <v>9.2620800000000003E-2</v>
      </c>
      <c r="AR359" s="22">
        <v>161.81899999999999</v>
      </c>
      <c r="AS359" s="22">
        <v>-1.6113300000000001E-2</v>
      </c>
      <c r="AT359" s="22">
        <v>349</v>
      </c>
      <c r="AU359" s="22">
        <v>9.2193600000000001E-2</v>
      </c>
      <c r="AV359">
        <f t="shared" si="68"/>
        <v>16.113299999999999</v>
      </c>
      <c r="AW359">
        <f t="shared" si="69"/>
        <v>1.4924267366399999</v>
      </c>
      <c r="AX359" s="9"/>
      <c r="AY359" s="22">
        <v>1.65741</v>
      </c>
      <c r="AZ359" s="22">
        <v>184.68</v>
      </c>
      <c r="BA359" s="22">
        <v>-4.0795900000000001E-3</v>
      </c>
      <c r="BB359" s="22">
        <v>349</v>
      </c>
      <c r="BC359" s="22">
        <v>1.65741</v>
      </c>
      <c r="BD359">
        <f t="shared" si="70"/>
        <v>4.0795900000000005</v>
      </c>
      <c r="BE359">
        <f t="shared" si="71"/>
        <v>6.7615532619000014</v>
      </c>
    </row>
    <row r="360" spans="6:57">
      <c r="F360" s="9"/>
      <c r="G360" s="22">
        <v>8.7585399999999994E-2</v>
      </c>
      <c r="H360" s="22">
        <v>52.767000000000003</v>
      </c>
      <c r="I360" s="22">
        <v>-1.6122399999999999E-2</v>
      </c>
      <c r="J360" s="22">
        <v>350</v>
      </c>
      <c r="K360" s="22">
        <v>8.7066699999999997E-2</v>
      </c>
      <c r="L360">
        <f t="shared" si="60"/>
        <v>16.122399999999999</v>
      </c>
      <c r="M360">
        <f t="shared" si="61"/>
        <v>1.4120868529599999</v>
      </c>
      <c r="N360" s="9"/>
      <c r="O360" s="22">
        <v>1.66245</v>
      </c>
      <c r="P360" s="22">
        <v>70.649799999999999</v>
      </c>
      <c r="Q360" s="22">
        <v>-3.8803100000000001E-3</v>
      </c>
      <c r="R360" s="22">
        <v>350</v>
      </c>
      <c r="S360" s="22">
        <v>1.6613800000000001</v>
      </c>
      <c r="T360">
        <f t="shared" si="62"/>
        <v>3.8803100000000001</v>
      </c>
      <c r="U360">
        <f t="shared" si="63"/>
        <v>6.4508213594999999</v>
      </c>
      <c r="X360" s="9"/>
      <c r="Y360" s="22">
        <v>8.7585399999999994E-2</v>
      </c>
      <c r="Z360" s="22">
        <v>120.209</v>
      </c>
      <c r="AA360" s="22">
        <v>-1.6140700000000001E-2</v>
      </c>
      <c r="AB360" s="22">
        <v>350</v>
      </c>
      <c r="AC360" s="22">
        <v>8.70972E-2</v>
      </c>
      <c r="AD360">
        <f t="shared" si="64"/>
        <v>16.140700000000002</v>
      </c>
      <c r="AE360">
        <f t="shared" si="65"/>
        <v>1.4136896657800002</v>
      </c>
      <c r="AF360" s="9"/>
      <c r="AG360" s="22">
        <v>1.66245</v>
      </c>
      <c r="AH360" s="22">
        <v>139.184</v>
      </c>
      <c r="AI360" s="22">
        <v>-3.9160200000000001E-3</v>
      </c>
      <c r="AJ360" s="22">
        <v>350</v>
      </c>
      <c r="AK360" s="22">
        <v>1.6613800000000001</v>
      </c>
      <c r="AL360">
        <f t="shared" si="66"/>
        <v>3.9160200000000001</v>
      </c>
      <c r="AM360">
        <f t="shared" si="67"/>
        <v>6.510187449</v>
      </c>
      <c r="AP360" s="9"/>
      <c r="AQ360" s="22">
        <v>8.7585399999999994E-2</v>
      </c>
      <c r="AR360" s="22">
        <v>161.82900000000001</v>
      </c>
      <c r="AS360" s="22">
        <v>-1.6110200000000002E-2</v>
      </c>
      <c r="AT360" s="22">
        <v>350</v>
      </c>
      <c r="AU360" s="22">
        <v>8.7066699999999997E-2</v>
      </c>
      <c r="AV360">
        <f t="shared" si="68"/>
        <v>16.110200000000003</v>
      </c>
      <c r="AW360">
        <f t="shared" si="69"/>
        <v>1.4110183110800001</v>
      </c>
      <c r="AX360" s="9"/>
      <c r="AY360" s="22">
        <v>1.66245</v>
      </c>
      <c r="AZ360" s="22">
        <v>184.69</v>
      </c>
      <c r="BA360" s="22">
        <v>-3.9416499999999997E-3</v>
      </c>
      <c r="BB360" s="22">
        <v>350</v>
      </c>
      <c r="BC360" s="22">
        <v>1.6619900000000001</v>
      </c>
      <c r="BD360">
        <f t="shared" si="70"/>
        <v>3.9416499999999997</v>
      </c>
      <c r="BE360">
        <f t="shared" si="71"/>
        <v>6.5527960424999989</v>
      </c>
    </row>
    <row r="361" spans="6:57">
      <c r="F361" s="9"/>
      <c r="G361" s="22">
        <v>8.2549999999999998E-2</v>
      </c>
      <c r="H361" s="22">
        <v>52.777099999999997</v>
      </c>
      <c r="I361" s="22">
        <v>-1.6125500000000001E-2</v>
      </c>
      <c r="J361" s="22">
        <v>351</v>
      </c>
      <c r="K361" s="22">
        <v>8.2031300000000001E-2</v>
      </c>
      <c r="L361">
        <f t="shared" si="60"/>
        <v>16.125500000000002</v>
      </c>
      <c r="M361">
        <f t="shared" si="61"/>
        <v>1.3311600250000002</v>
      </c>
      <c r="N361" s="9"/>
      <c r="O361" s="22">
        <v>1.6674800000000001</v>
      </c>
      <c r="P361" s="22">
        <v>70.659899999999993</v>
      </c>
      <c r="Q361" s="22">
        <v>-3.74939E-3</v>
      </c>
      <c r="R361" s="22">
        <v>351</v>
      </c>
      <c r="S361" s="22">
        <v>1.66656</v>
      </c>
      <c r="T361">
        <f t="shared" si="62"/>
        <v>3.74939</v>
      </c>
      <c r="U361">
        <f t="shared" si="63"/>
        <v>6.2520328372000007</v>
      </c>
      <c r="X361" s="9"/>
      <c r="Y361" s="22">
        <v>8.2549999999999998E-2</v>
      </c>
      <c r="Z361" s="22">
        <v>120.21899999999999</v>
      </c>
      <c r="AA361" s="22">
        <v>-1.61438E-2</v>
      </c>
      <c r="AB361" s="22">
        <v>351</v>
      </c>
      <c r="AC361" s="22">
        <v>8.2061800000000004E-2</v>
      </c>
      <c r="AD361">
        <f t="shared" si="64"/>
        <v>16.143799999999999</v>
      </c>
      <c r="AE361">
        <f t="shared" si="65"/>
        <v>1.3326706899999998</v>
      </c>
      <c r="AF361" s="9"/>
      <c r="AG361" s="22">
        <v>1.6674800000000001</v>
      </c>
      <c r="AH361" s="22">
        <v>139.19399999999999</v>
      </c>
      <c r="AI361" s="22">
        <v>-3.77991E-3</v>
      </c>
      <c r="AJ361" s="22">
        <v>351</v>
      </c>
      <c r="AK361" s="22">
        <v>1.66656</v>
      </c>
      <c r="AL361">
        <f t="shared" si="66"/>
        <v>3.7799100000000001</v>
      </c>
      <c r="AM361">
        <f t="shared" si="67"/>
        <v>6.3029243268000004</v>
      </c>
      <c r="AP361" s="9"/>
      <c r="AQ361" s="22">
        <v>8.2549999999999998E-2</v>
      </c>
      <c r="AR361" s="22">
        <v>161.839</v>
      </c>
      <c r="AS361" s="22">
        <v>-1.6119399999999999E-2</v>
      </c>
      <c r="AT361" s="22">
        <v>351</v>
      </c>
      <c r="AU361" s="22">
        <v>8.2031300000000001E-2</v>
      </c>
      <c r="AV361">
        <f t="shared" si="68"/>
        <v>16.119399999999999</v>
      </c>
      <c r="AW361">
        <f t="shared" si="69"/>
        <v>1.3306564699999999</v>
      </c>
      <c r="AX361" s="9"/>
      <c r="AY361" s="22">
        <v>1.6674800000000001</v>
      </c>
      <c r="AZ361" s="22">
        <v>184.7</v>
      </c>
      <c r="BA361" s="22">
        <v>-3.8024899999999999E-3</v>
      </c>
      <c r="BB361" s="22">
        <v>351</v>
      </c>
      <c r="BC361" s="22">
        <v>1.6662600000000001</v>
      </c>
      <c r="BD361">
        <f t="shared" si="70"/>
        <v>3.8024900000000001</v>
      </c>
      <c r="BE361">
        <f t="shared" si="71"/>
        <v>6.3405760252000007</v>
      </c>
    </row>
    <row r="362" spans="6:57">
      <c r="F362" s="9"/>
      <c r="G362" s="22">
        <v>7.7514600000000003E-2</v>
      </c>
      <c r="H362" s="22">
        <v>52.787100000000002</v>
      </c>
      <c r="I362" s="22">
        <v>-1.6131599999999999E-2</v>
      </c>
      <c r="J362" s="22">
        <v>352</v>
      </c>
      <c r="K362" s="22">
        <v>7.69653E-2</v>
      </c>
      <c r="L362">
        <f t="shared" si="60"/>
        <v>16.131599999999999</v>
      </c>
      <c r="M362">
        <f t="shared" si="61"/>
        <v>1.2504345213599999</v>
      </c>
      <c r="N362" s="9"/>
      <c r="O362" s="22">
        <v>1.67252</v>
      </c>
      <c r="P362" s="22">
        <v>70.67</v>
      </c>
      <c r="Q362" s="22">
        <v>-3.6160300000000001E-3</v>
      </c>
      <c r="R362" s="22">
        <v>352</v>
      </c>
      <c r="S362" s="22">
        <v>1.6717500000000001</v>
      </c>
      <c r="T362">
        <f t="shared" si="62"/>
        <v>3.6160300000000003</v>
      </c>
      <c r="U362">
        <f t="shared" si="63"/>
        <v>6.0478824956000006</v>
      </c>
      <c r="X362" s="9"/>
      <c r="Y362" s="22">
        <v>7.7514600000000003E-2</v>
      </c>
      <c r="Z362" s="22">
        <v>120.229</v>
      </c>
      <c r="AA362" s="22">
        <v>-1.6153000000000001E-2</v>
      </c>
      <c r="AB362" s="22">
        <v>352</v>
      </c>
      <c r="AC362" s="22">
        <v>7.69653E-2</v>
      </c>
      <c r="AD362">
        <f t="shared" si="64"/>
        <v>16.153000000000002</v>
      </c>
      <c r="AE362">
        <f t="shared" si="65"/>
        <v>1.2520933338000002</v>
      </c>
      <c r="AF362" s="9"/>
      <c r="AG362" s="22">
        <v>1.67252</v>
      </c>
      <c r="AH362" s="22">
        <v>139.20400000000001</v>
      </c>
      <c r="AI362" s="22">
        <v>-3.64197E-3</v>
      </c>
      <c r="AJ362" s="22">
        <v>352</v>
      </c>
      <c r="AK362" s="22">
        <v>1.6717500000000001</v>
      </c>
      <c r="AL362">
        <f t="shared" si="66"/>
        <v>3.6419700000000002</v>
      </c>
      <c r="AM362">
        <f t="shared" si="67"/>
        <v>6.0912676644000001</v>
      </c>
      <c r="AP362" s="9"/>
      <c r="AQ362" s="22">
        <v>7.7514600000000003E-2</v>
      </c>
      <c r="AR362" s="22">
        <v>161.84899999999999</v>
      </c>
      <c r="AS362" s="22">
        <v>-1.6122399999999999E-2</v>
      </c>
      <c r="AT362" s="22">
        <v>352</v>
      </c>
      <c r="AU362" s="22">
        <v>7.7056899999999998E-2</v>
      </c>
      <c r="AV362">
        <f t="shared" si="68"/>
        <v>16.122399999999999</v>
      </c>
      <c r="AW362">
        <f t="shared" si="69"/>
        <v>1.2497213870399999</v>
      </c>
      <c r="AX362" s="9"/>
      <c r="AY362" s="22">
        <v>1.67252</v>
      </c>
      <c r="AZ362" s="22">
        <v>184.71</v>
      </c>
      <c r="BA362" s="22">
        <v>-3.6587500000000001E-3</v>
      </c>
      <c r="BB362" s="22">
        <v>352</v>
      </c>
      <c r="BC362" s="22">
        <v>1.6708400000000001</v>
      </c>
      <c r="BD362">
        <f t="shared" si="70"/>
        <v>3.6587499999999999</v>
      </c>
      <c r="BE362">
        <f t="shared" si="71"/>
        <v>6.1193325500000002</v>
      </c>
    </row>
    <row r="363" spans="6:57">
      <c r="F363" s="9"/>
      <c r="G363" s="22">
        <v>7.2479199999999994E-2</v>
      </c>
      <c r="H363" s="22">
        <v>52.797199999999997</v>
      </c>
      <c r="I363" s="22">
        <v>-1.6140700000000001E-2</v>
      </c>
      <c r="J363" s="22">
        <v>353</v>
      </c>
      <c r="K363" s="22">
        <v>7.1899400000000002E-2</v>
      </c>
      <c r="L363">
        <f t="shared" si="60"/>
        <v>16.140700000000002</v>
      </c>
      <c r="M363">
        <f t="shared" si="61"/>
        <v>1.1698650234400001</v>
      </c>
      <c r="N363" s="9"/>
      <c r="O363" s="22">
        <v>1.6775500000000001</v>
      </c>
      <c r="P363" s="22">
        <v>70.680000000000007</v>
      </c>
      <c r="Q363" s="22">
        <v>-3.4814500000000001E-3</v>
      </c>
      <c r="R363" s="22">
        <v>353</v>
      </c>
      <c r="S363" s="22">
        <v>1.6766399999999999</v>
      </c>
      <c r="T363">
        <f t="shared" si="62"/>
        <v>3.4814500000000002</v>
      </c>
      <c r="U363">
        <f t="shared" si="63"/>
        <v>5.8403064475000006</v>
      </c>
      <c r="X363" s="9"/>
      <c r="Y363" s="22">
        <v>7.2479199999999994E-2</v>
      </c>
      <c r="Z363" s="22">
        <v>120.239</v>
      </c>
      <c r="AA363" s="22">
        <v>-1.6162099999999999E-2</v>
      </c>
      <c r="AB363" s="22">
        <v>353</v>
      </c>
      <c r="AC363" s="22">
        <v>7.1929900000000005E-2</v>
      </c>
      <c r="AD363">
        <f t="shared" si="64"/>
        <v>16.162099999999999</v>
      </c>
      <c r="AE363">
        <f t="shared" si="65"/>
        <v>1.1714160783199998</v>
      </c>
      <c r="AF363" s="9"/>
      <c r="AG363" s="22">
        <v>1.6775500000000001</v>
      </c>
      <c r="AH363" s="22">
        <v>139.214</v>
      </c>
      <c r="AI363" s="22">
        <v>-3.50067E-3</v>
      </c>
      <c r="AJ363" s="22">
        <v>353</v>
      </c>
      <c r="AK363" s="22">
        <v>1.6766399999999999</v>
      </c>
      <c r="AL363">
        <f t="shared" si="66"/>
        <v>3.5006699999999999</v>
      </c>
      <c r="AM363">
        <f t="shared" si="67"/>
        <v>5.8725489585000004</v>
      </c>
      <c r="AP363" s="9"/>
      <c r="AQ363" s="22">
        <v>7.2479199999999994E-2</v>
      </c>
      <c r="AR363" s="22">
        <v>161.85900000000001</v>
      </c>
      <c r="AS363" s="22">
        <v>-1.61285E-2</v>
      </c>
      <c r="AT363" s="22">
        <v>353</v>
      </c>
      <c r="AU363" s="22">
        <v>7.1929900000000005E-2</v>
      </c>
      <c r="AV363">
        <f t="shared" si="68"/>
        <v>16.128499999999999</v>
      </c>
      <c r="AW363">
        <f t="shared" si="69"/>
        <v>1.1689807771999998</v>
      </c>
      <c r="AX363" s="9"/>
      <c r="AY363" s="22">
        <v>1.6775500000000001</v>
      </c>
      <c r="AZ363" s="22">
        <v>184.72</v>
      </c>
      <c r="BA363" s="22">
        <v>-3.5144E-3</v>
      </c>
      <c r="BB363" s="22">
        <v>353</v>
      </c>
      <c r="BC363" s="22">
        <v>1.6766399999999999</v>
      </c>
      <c r="BD363">
        <f t="shared" si="70"/>
        <v>3.5144000000000002</v>
      </c>
      <c r="BE363">
        <f t="shared" si="71"/>
        <v>5.8955817200000009</v>
      </c>
    </row>
    <row r="364" spans="6:57">
      <c r="F364" s="9"/>
      <c r="G364" s="22">
        <v>6.7443799999999998E-2</v>
      </c>
      <c r="H364" s="22">
        <v>52.807299999999998</v>
      </c>
      <c r="I364" s="22">
        <v>-1.6140700000000001E-2</v>
      </c>
      <c r="J364" s="22">
        <v>354</v>
      </c>
      <c r="K364" s="22">
        <v>6.6894499999999996E-2</v>
      </c>
      <c r="L364">
        <f t="shared" si="60"/>
        <v>16.140700000000002</v>
      </c>
      <c r="M364">
        <f t="shared" si="61"/>
        <v>1.0885901426600002</v>
      </c>
      <c r="N364" s="9"/>
      <c r="O364" s="22">
        <v>1.68259</v>
      </c>
      <c r="P364" s="22">
        <v>70.690100000000001</v>
      </c>
      <c r="Q364" s="22">
        <v>-3.34534E-3</v>
      </c>
      <c r="R364" s="22">
        <v>354</v>
      </c>
      <c r="S364" s="22">
        <v>1.6815199999999999</v>
      </c>
      <c r="T364">
        <f t="shared" si="62"/>
        <v>3.3453400000000002</v>
      </c>
      <c r="U364">
        <f t="shared" si="63"/>
        <v>5.6288356306000003</v>
      </c>
      <c r="X364" s="9"/>
      <c r="Y364" s="22">
        <v>6.7443799999999998E-2</v>
      </c>
      <c r="Z364" s="22">
        <v>120.25</v>
      </c>
      <c r="AA364" s="22">
        <v>-1.61713E-2</v>
      </c>
      <c r="AB364" s="22">
        <v>354</v>
      </c>
      <c r="AC364" s="22">
        <v>6.6955600000000004E-2</v>
      </c>
      <c r="AD364">
        <f t="shared" si="64"/>
        <v>16.171299999999999</v>
      </c>
      <c r="AE364">
        <f t="shared" si="65"/>
        <v>1.0906539229399999</v>
      </c>
      <c r="AF364" s="9"/>
      <c r="AG364" s="22">
        <v>1.68259</v>
      </c>
      <c r="AH364" s="22">
        <v>139.22399999999999</v>
      </c>
      <c r="AI364" s="22">
        <v>-3.3563199999999999E-3</v>
      </c>
      <c r="AJ364" s="22">
        <v>354</v>
      </c>
      <c r="AK364" s="22">
        <v>1.6818200000000001</v>
      </c>
      <c r="AL364">
        <f t="shared" si="66"/>
        <v>3.3563199999999997</v>
      </c>
      <c r="AM364">
        <f t="shared" si="67"/>
        <v>5.6473104687999998</v>
      </c>
      <c r="AP364" s="9"/>
      <c r="AQ364" s="22">
        <v>6.7443799999999998E-2</v>
      </c>
      <c r="AR364" s="22">
        <v>161.869</v>
      </c>
      <c r="AS364" s="22">
        <v>-1.6137700000000001E-2</v>
      </c>
      <c r="AT364" s="22">
        <v>354</v>
      </c>
      <c r="AU364" s="22">
        <v>6.6924999999999998E-2</v>
      </c>
      <c r="AV364">
        <f t="shared" si="68"/>
        <v>16.137700000000002</v>
      </c>
      <c r="AW364">
        <f t="shared" si="69"/>
        <v>1.0883878112600001</v>
      </c>
      <c r="AX364" s="9"/>
      <c r="AY364" s="22">
        <v>1.68259</v>
      </c>
      <c r="AZ364" s="22">
        <v>184.73</v>
      </c>
      <c r="BA364" s="22">
        <v>-3.36609E-3</v>
      </c>
      <c r="BB364" s="22">
        <v>354</v>
      </c>
      <c r="BC364" s="22">
        <v>1.6821299999999999</v>
      </c>
      <c r="BD364">
        <f t="shared" si="70"/>
        <v>3.3660899999999998</v>
      </c>
      <c r="BE364">
        <f t="shared" si="71"/>
        <v>5.6637493730999999</v>
      </c>
    </row>
    <row r="365" spans="6:57">
      <c r="F365" s="9"/>
      <c r="G365" s="22">
        <v>6.2408400000000003E-2</v>
      </c>
      <c r="H365" s="22">
        <v>52.817300000000003</v>
      </c>
      <c r="I365" s="22">
        <v>-1.61438E-2</v>
      </c>
      <c r="J365" s="22">
        <v>355</v>
      </c>
      <c r="K365" s="22">
        <v>6.1920200000000002E-2</v>
      </c>
      <c r="L365">
        <f t="shared" si="60"/>
        <v>16.143799999999999</v>
      </c>
      <c r="M365">
        <f t="shared" si="61"/>
        <v>1.0075087279199999</v>
      </c>
      <c r="N365" s="9"/>
      <c r="O365" s="22">
        <v>1.6876199999999999</v>
      </c>
      <c r="P365" s="22">
        <v>70.700199999999995</v>
      </c>
      <c r="Q365" s="22">
        <v>-3.2095299999999999E-3</v>
      </c>
      <c r="R365" s="22">
        <v>355</v>
      </c>
      <c r="S365" s="22">
        <v>1.6870099999999999</v>
      </c>
      <c r="T365">
        <f t="shared" si="62"/>
        <v>3.20953</v>
      </c>
      <c r="U365">
        <f t="shared" si="63"/>
        <v>5.4164670185999997</v>
      </c>
      <c r="X365" s="9"/>
      <c r="Y365" s="22">
        <v>6.2408400000000003E-2</v>
      </c>
      <c r="Z365" s="22">
        <v>120.26</v>
      </c>
      <c r="AA365" s="22">
        <v>-1.6177400000000002E-2</v>
      </c>
      <c r="AB365" s="22">
        <v>355</v>
      </c>
      <c r="AC365" s="22">
        <v>6.1950699999999997E-2</v>
      </c>
      <c r="AD365">
        <f t="shared" si="64"/>
        <v>16.177400000000002</v>
      </c>
      <c r="AE365">
        <f t="shared" si="65"/>
        <v>1.0096056501600001</v>
      </c>
      <c r="AF365" s="9"/>
      <c r="AG365" s="22">
        <v>1.6876199999999999</v>
      </c>
      <c r="AH365" s="22">
        <v>139.23400000000001</v>
      </c>
      <c r="AI365" s="22">
        <v>-3.21259E-3</v>
      </c>
      <c r="AJ365" s="22">
        <v>355</v>
      </c>
      <c r="AK365" s="22">
        <v>1.6867099999999999</v>
      </c>
      <c r="AL365">
        <f t="shared" si="66"/>
        <v>3.2125900000000001</v>
      </c>
      <c r="AM365">
        <f t="shared" si="67"/>
        <v>5.4216311357999993</v>
      </c>
      <c r="AP365" s="9"/>
      <c r="AQ365" s="22">
        <v>6.2408400000000003E-2</v>
      </c>
      <c r="AR365" s="22">
        <v>161.87899999999999</v>
      </c>
      <c r="AS365" s="22">
        <v>-1.6140700000000001E-2</v>
      </c>
      <c r="AT365" s="22">
        <v>355</v>
      </c>
      <c r="AU365" s="22">
        <v>6.1889600000000003E-2</v>
      </c>
      <c r="AV365">
        <f t="shared" si="68"/>
        <v>16.140700000000002</v>
      </c>
      <c r="AW365">
        <f t="shared" si="69"/>
        <v>1.0073152618800001</v>
      </c>
      <c r="AX365" s="9"/>
      <c r="AY365" s="22">
        <v>1.6876199999999999</v>
      </c>
      <c r="AZ365" s="22">
        <v>184.74</v>
      </c>
      <c r="BA365" s="22">
        <v>-3.2202099999999998E-3</v>
      </c>
      <c r="BB365" s="22">
        <v>355</v>
      </c>
      <c r="BC365" s="22">
        <v>1.6867099999999999</v>
      </c>
      <c r="BD365">
        <f t="shared" si="70"/>
        <v>3.2202099999999998</v>
      </c>
      <c r="BE365">
        <f t="shared" si="71"/>
        <v>5.434490800199999</v>
      </c>
    </row>
    <row r="366" spans="6:57">
      <c r="F366" s="9"/>
      <c r="G366" s="22">
        <v>5.7373E-2</v>
      </c>
      <c r="H366" s="22">
        <v>52.827399999999997</v>
      </c>
      <c r="I366" s="22">
        <v>-1.6153000000000001E-2</v>
      </c>
      <c r="J366" s="22">
        <v>356</v>
      </c>
      <c r="K366" s="22">
        <v>5.6884799999999999E-2</v>
      </c>
      <c r="L366">
        <f t="shared" si="60"/>
        <v>16.153000000000002</v>
      </c>
      <c r="M366">
        <f t="shared" si="61"/>
        <v>0.92674606900000012</v>
      </c>
      <c r="N366" s="9"/>
      <c r="O366" s="22">
        <v>1.6926600000000001</v>
      </c>
      <c r="P366" s="22">
        <v>70.710300000000004</v>
      </c>
      <c r="Q366" s="22">
        <v>-3.0706800000000001E-3</v>
      </c>
      <c r="R366" s="22">
        <v>356</v>
      </c>
      <c r="S366" s="22">
        <v>1.6918899999999999</v>
      </c>
      <c r="T366">
        <f t="shared" si="62"/>
        <v>3.0706800000000003</v>
      </c>
      <c r="U366">
        <f t="shared" si="63"/>
        <v>5.1976172088000006</v>
      </c>
      <c r="X366" s="9"/>
      <c r="Y366" s="22">
        <v>5.7373E-2</v>
      </c>
      <c r="Z366" s="22">
        <v>120.27</v>
      </c>
      <c r="AA366" s="22">
        <v>-1.61835E-2</v>
      </c>
      <c r="AB366" s="22">
        <v>356</v>
      </c>
      <c r="AC366" s="22">
        <v>5.6793200000000002E-2</v>
      </c>
      <c r="AD366">
        <f t="shared" si="64"/>
        <v>16.183499999999999</v>
      </c>
      <c r="AE366">
        <f t="shared" si="65"/>
        <v>0.92849594549999992</v>
      </c>
      <c r="AF366" s="9"/>
      <c r="AG366" s="22">
        <v>1.6926600000000001</v>
      </c>
      <c r="AH366" s="22">
        <v>139.245</v>
      </c>
      <c r="AI366" s="22">
        <v>-3.0645799999999999E-3</v>
      </c>
      <c r="AJ366" s="22">
        <v>356</v>
      </c>
      <c r="AK366" s="22">
        <v>1.6918899999999999</v>
      </c>
      <c r="AL366">
        <f t="shared" si="66"/>
        <v>3.0645799999999999</v>
      </c>
      <c r="AM366">
        <f t="shared" si="67"/>
        <v>5.1872919827999997</v>
      </c>
      <c r="AP366" s="9"/>
      <c r="AQ366" s="22">
        <v>5.7373E-2</v>
      </c>
      <c r="AR366" s="22">
        <v>161.88900000000001</v>
      </c>
      <c r="AS366" s="22">
        <v>-1.6149899999999998E-2</v>
      </c>
      <c r="AT366" s="22">
        <v>356</v>
      </c>
      <c r="AU366" s="22">
        <v>5.6823699999999998E-2</v>
      </c>
      <c r="AV366">
        <f t="shared" si="68"/>
        <v>16.149899999999999</v>
      </c>
      <c r="AW366">
        <f t="shared" si="69"/>
        <v>0.92656821269999989</v>
      </c>
      <c r="AX366" s="9"/>
      <c r="AY366" s="22">
        <v>1.6926600000000001</v>
      </c>
      <c r="AZ366" s="22">
        <v>184.75</v>
      </c>
      <c r="BA366" s="22">
        <v>-3.0688500000000001E-3</v>
      </c>
      <c r="BB366" s="22">
        <v>356</v>
      </c>
      <c r="BC366" s="22">
        <v>1.6924999999999999</v>
      </c>
      <c r="BD366">
        <f t="shared" si="70"/>
        <v>3.0688500000000003</v>
      </c>
      <c r="BE366">
        <f t="shared" si="71"/>
        <v>5.1945196410000003</v>
      </c>
    </row>
    <row r="367" spans="6:57">
      <c r="F367" s="9"/>
      <c r="G367" s="22">
        <v>5.2337599999999998E-2</v>
      </c>
      <c r="H367" s="22">
        <v>52.837499999999999</v>
      </c>
      <c r="I367" s="22">
        <v>-1.6159099999999999E-2</v>
      </c>
      <c r="J367" s="22">
        <v>357</v>
      </c>
      <c r="K367" s="22">
        <v>5.17578E-2</v>
      </c>
      <c r="L367">
        <f t="shared" si="60"/>
        <v>16.159099999999999</v>
      </c>
      <c r="M367">
        <f t="shared" si="61"/>
        <v>0.84572851215999989</v>
      </c>
      <c r="N367" s="9"/>
      <c r="O367" s="22">
        <v>1.6976899999999999</v>
      </c>
      <c r="P367" s="22">
        <v>70.720299999999995</v>
      </c>
      <c r="Q367" s="22">
        <v>-2.9327400000000001E-3</v>
      </c>
      <c r="R367" s="22">
        <v>357</v>
      </c>
      <c r="S367" s="22">
        <v>1.6970799999999999</v>
      </c>
      <c r="T367">
        <f t="shared" si="62"/>
        <v>2.9327399999999999</v>
      </c>
      <c r="U367">
        <f t="shared" si="63"/>
        <v>4.9788833705999993</v>
      </c>
      <c r="X367" s="9"/>
      <c r="Y367" s="22">
        <v>5.2337599999999998E-2</v>
      </c>
      <c r="Z367" s="22">
        <v>120.28</v>
      </c>
      <c r="AA367" s="22">
        <v>-1.61835E-2</v>
      </c>
      <c r="AB367" s="22">
        <v>357</v>
      </c>
      <c r="AC367" s="22">
        <v>5.1910400000000002E-2</v>
      </c>
      <c r="AD367">
        <f t="shared" si="64"/>
        <v>16.183499999999999</v>
      </c>
      <c r="AE367">
        <f t="shared" si="65"/>
        <v>0.84700554959999985</v>
      </c>
      <c r="AF367" s="9"/>
      <c r="AG367" s="22">
        <v>1.6976899999999999</v>
      </c>
      <c r="AH367" s="22">
        <v>139.255</v>
      </c>
      <c r="AI367" s="22">
        <v>-2.9171800000000001E-3</v>
      </c>
      <c r="AJ367" s="22">
        <v>357</v>
      </c>
      <c r="AK367" s="22">
        <v>1.69739</v>
      </c>
      <c r="AL367">
        <f t="shared" si="66"/>
        <v>2.9171800000000001</v>
      </c>
      <c r="AM367">
        <f t="shared" si="67"/>
        <v>4.9524673141999997</v>
      </c>
      <c r="AP367" s="9"/>
      <c r="AQ367" s="22">
        <v>5.2337599999999998E-2</v>
      </c>
      <c r="AR367" s="22">
        <v>161.9</v>
      </c>
      <c r="AS367" s="22">
        <v>-1.6156E-2</v>
      </c>
      <c r="AT367" s="22">
        <v>357</v>
      </c>
      <c r="AU367" s="22">
        <v>5.1910400000000002E-2</v>
      </c>
      <c r="AV367">
        <f t="shared" si="68"/>
        <v>16.155999999999999</v>
      </c>
      <c r="AW367">
        <f t="shared" si="69"/>
        <v>0.84556626559999992</v>
      </c>
      <c r="AX367" s="9"/>
      <c r="AY367" s="22">
        <v>1.6976899999999999</v>
      </c>
      <c r="AZ367" s="22">
        <v>184.76</v>
      </c>
      <c r="BA367" s="22">
        <v>-2.9187000000000002E-3</v>
      </c>
      <c r="BB367" s="22">
        <v>357</v>
      </c>
      <c r="BC367" s="22">
        <v>1.6970799999999999</v>
      </c>
      <c r="BD367">
        <f t="shared" si="70"/>
        <v>2.9187000000000003</v>
      </c>
      <c r="BE367">
        <f t="shared" si="71"/>
        <v>4.9550478030000003</v>
      </c>
    </row>
    <row r="368" spans="6:57">
      <c r="F368" s="9"/>
      <c r="G368" s="22">
        <v>4.7302200000000003E-2</v>
      </c>
      <c r="H368" s="22">
        <v>52.8476</v>
      </c>
      <c r="I368" s="22">
        <v>-1.6162099999999999E-2</v>
      </c>
      <c r="J368" s="22">
        <v>358</v>
      </c>
      <c r="K368" s="22">
        <v>4.7262600000000002E-2</v>
      </c>
      <c r="L368">
        <f t="shared" si="60"/>
        <v>16.162099999999999</v>
      </c>
      <c r="M368">
        <f t="shared" si="61"/>
        <v>0.76450288661999999</v>
      </c>
      <c r="N368" s="9"/>
      <c r="O368" s="22">
        <v>1.7027300000000001</v>
      </c>
      <c r="P368" s="22">
        <v>70.730400000000003</v>
      </c>
      <c r="Q368" s="22">
        <v>-2.7935799999999999E-3</v>
      </c>
      <c r="R368" s="22">
        <v>358</v>
      </c>
      <c r="S368" s="22">
        <v>1.70166</v>
      </c>
      <c r="T368">
        <f t="shared" si="62"/>
        <v>2.79358</v>
      </c>
      <c r="U368">
        <f t="shared" si="63"/>
        <v>4.7567124734000004</v>
      </c>
      <c r="X368" s="9"/>
      <c r="Y368" s="22">
        <v>4.7302200000000003E-2</v>
      </c>
      <c r="Z368" s="22">
        <v>120.29</v>
      </c>
      <c r="AA368" s="22">
        <v>-1.6186499999999999E-2</v>
      </c>
      <c r="AB368" s="22">
        <v>358</v>
      </c>
      <c r="AC368" s="22">
        <v>4.7274799999999999E-2</v>
      </c>
      <c r="AD368">
        <f t="shared" si="64"/>
        <v>16.186499999999999</v>
      </c>
      <c r="AE368">
        <f t="shared" si="65"/>
        <v>0.76565706030000003</v>
      </c>
      <c r="AF368" s="9"/>
      <c r="AG368" s="22">
        <v>1.7027300000000001</v>
      </c>
      <c r="AH368" s="22">
        <v>139.26499999999999</v>
      </c>
      <c r="AI368" s="22">
        <v>-2.76611E-3</v>
      </c>
      <c r="AJ368" s="22">
        <v>358</v>
      </c>
      <c r="AK368" s="22">
        <v>1.70166</v>
      </c>
      <c r="AL368">
        <f t="shared" si="66"/>
        <v>2.7661099999999998</v>
      </c>
      <c r="AM368">
        <f t="shared" si="67"/>
        <v>4.7099384803</v>
      </c>
      <c r="AP368" s="9"/>
      <c r="AQ368" s="22">
        <v>4.7302200000000003E-2</v>
      </c>
      <c r="AR368" s="22">
        <v>161.91</v>
      </c>
      <c r="AS368" s="22">
        <v>-1.6156E-2</v>
      </c>
      <c r="AT368" s="22">
        <v>358</v>
      </c>
      <c r="AU368" s="22">
        <v>4.7287000000000003E-2</v>
      </c>
      <c r="AV368">
        <f t="shared" si="68"/>
        <v>16.155999999999999</v>
      </c>
      <c r="AW368">
        <f t="shared" si="69"/>
        <v>0.76421434320000003</v>
      </c>
      <c r="AX368" s="9"/>
      <c r="AY368" s="22">
        <v>1.7027300000000001</v>
      </c>
      <c r="AZ368" s="22">
        <v>184.77099999999999</v>
      </c>
      <c r="BA368" s="22">
        <v>-2.7645899999999999E-3</v>
      </c>
      <c r="BB368" s="22">
        <v>358</v>
      </c>
      <c r="BC368" s="22">
        <v>1.70197</v>
      </c>
      <c r="BD368">
        <f t="shared" si="70"/>
        <v>2.7645900000000001</v>
      </c>
      <c r="BE368">
        <f t="shared" si="71"/>
        <v>4.7073503307000006</v>
      </c>
    </row>
    <row r="369" spans="6:57">
      <c r="F369" s="9"/>
      <c r="G369" s="22">
        <v>4.22668E-2</v>
      </c>
      <c r="H369" s="22">
        <v>52.857599999999998</v>
      </c>
      <c r="I369" s="22">
        <v>-1.6165200000000001E-2</v>
      </c>
      <c r="J369" s="22">
        <v>359</v>
      </c>
      <c r="K369" s="22">
        <v>4.21997E-2</v>
      </c>
      <c r="L369">
        <f t="shared" si="60"/>
        <v>16.165200000000002</v>
      </c>
      <c r="M369">
        <f t="shared" si="61"/>
        <v>0.68325127536000008</v>
      </c>
      <c r="N369" s="9"/>
      <c r="O369" s="22">
        <v>1.7077599999999999</v>
      </c>
      <c r="P369" s="22">
        <v>70.740499999999997</v>
      </c>
      <c r="Q369" s="22">
        <v>-2.6522799999999999E-3</v>
      </c>
      <c r="R369" s="22">
        <v>359</v>
      </c>
      <c r="S369" s="22">
        <v>1.70746</v>
      </c>
      <c r="T369">
        <f t="shared" si="62"/>
        <v>2.6522799999999997</v>
      </c>
      <c r="U369">
        <f t="shared" si="63"/>
        <v>4.5294576927999994</v>
      </c>
      <c r="X369" s="9"/>
      <c r="Y369" s="22">
        <v>4.22668E-2</v>
      </c>
      <c r="Z369" s="22">
        <v>120.3</v>
      </c>
      <c r="AA369" s="22">
        <v>-1.6189599999999998E-2</v>
      </c>
      <c r="AB369" s="22">
        <v>359</v>
      </c>
      <c r="AC369" s="22">
        <v>4.2190600000000002E-2</v>
      </c>
      <c r="AD369">
        <f t="shared" si="64"/>
        <v>16.189599999999999</v>
      </c>
      <c r="AE369">
        <f t="shared" si="65"/>
        <v>0.68428258527999997</v>
      </c>
      <c r="AF369" s="9"/>
      <c r="AG369" s="22">
        <v>1.7077599999999999</v>
      </c>
      <c r="AH369" s="22">
        <v>139.27500000000001</v>
      </c>
      <c r="AI369" s="22">
        <v>-2.6156600000000001E-3</v>
      </c>
      <c r="AJ369" s="22">
        <v>359</v>
      </c>
      <c r="AK369" s="22">
        <v>1.7065399999999999</v>
      </c>
      <c r="AL369">
        <f t="shared" si="66"/>
        <v>2.6156600000000001</v>
      </c>
      <c r="AM369">
        <f t="shared" si="67"/>
        <v>4.4669195216000004</v>
      </c>
      <c r="AP369" s="9"/>
      <c r="AQ369" s="22">
        <v>4.22668E-2</v>
      </c>
      <c r="AR369" s="22">
        <v>161.91999999999999</v>
      </c>
      <c r="AS369" s="22">
        <v>-1.6159099999999999E-2</v>
      </c>
      <c r="AT369" s="22">
        <v>359</v>
      </c>
      <c r="AU369" s="22">
        <v>4.2239400000000003E-2</v>
      </c>
      <c r="AV369">
        <f t="shared" si="68"/>
        <v>16.159099999999999</v>
      </c>
      <c r="AW369">
        <f t="shared" si="69"/>
        <v>0.68299344787999994</v>
      </c>
      <c r="AX369" s="9"/>
      <c r="AY369" s="22">
        <v>1.7077599999999999</v>
      </c>
      <c r="AZ369" s="22">
        <v>184.78100000000001</v>
      </c>
      <c r="BA369" s="22">
        <v>-2.6101700000000002E-3</v>
      </c>
      <c r="BB369" s="22">
        <v>359</v>
      </c>
      <c r="BC369" s="22">
        <v>1.70746</v>
      </c>
      <c r="BD369">
        <f t="shared" si="70"/>
        <v>2.6101700000000001</v>
      </c>
      <c r="BE369">
        <f t="shared" si="71"/>
        <v>4.4575439191999999</v>
      </c>
    </row>
    <row r="370" spans="6:57">
      <c r="F370" s="9"/>
      <c r="G370" s="22">
        <v>3.7231399999999998E-2</v>
      </c>
      <c r="H370" s="22">
        <v>52.867699999999999</v>
      </c>
      <c r="I370" s="22">
        <v>-1.61713E-2</v>
      </c>
      <c r="J370" s="22">
        <v>360</v>
      </c>
      <c r="K370" s="22">
        <v>3.7234499999999997E-2</v>
      </c>
      <c r="L370">
        <f t="shared" si="60"/>
        <v>16.171299999999999</v>
      </c>
      <c r="M370">
        <f t="shared" si="61"/>
        <v>0.60208013881999989</v>
      </c>
      <c r="N370" s="9"/>
      <c r="O370" s="22">
        <v>1.7128000000000001</v>
      </c>
      <c r="P370" s="22">
        <v>70.750500000000002</v>
      </c>
      <c r="Q370" s="22">
        <v>-2.5097700000000001E-3</v>
      </c>
      <c r="R370" s="22">
        <v>360</v>
      </c>
      <c r="S370" s="22">
        <v>1.71204</v>
      </c>
      <c r="T370">
        <f t="shared" si="62"/>
        <v>2.5097700000000001</v>
      </c>
      <c r="U370">
        <f t="shared" si="63"/>
        <v>4.2987340560000007</v>
      </c>
      <c r="X370" s="9"/>
      <c r="Y370" s="22">
        <v>3.7231399999999998E-2</v>
      </c>
      <c r="Z370" s="22">
        <v>120.31</v>
      </c>
      <c r="AA370" s="22">
        <v>-1.61957E-2</v>
      </c>
      <c r="AB370" s="22">
        <v>360</v>
      </c>
      <c r="AC370" s="22">
        <v>3.7197899999999999E-2</v>
      </c>
      <c r="AD370">
        <f t="shared" si="64"/>
        <v>16.195699999999999</v>
      </c>
      <c r="AE370">
        <f t="shared" si="65"/>
        <v>0.60298858497999996</v>
      </c>
      <c r="AF370" s="9"/>
      <c r="AG370" s="22">
        <v>1.7128000000000001</v>
      </c>
      <c r="AH370" s="22">
        <v>139.285</v>
      </c>
      <c r="AI370" s="22">
        <v>-2.4648999999999999E-3</v>
      </c>
      <c r="AJ370" s="22">
        <v>360</v>
      </c>
      <c r="AK370" s="22">
        <v>1.71265</v>
      </c>
      <c r="AL370">
        <f t="shared" si="66"/>
        <v>2.4649000000000001</v>
      </c>
      <c r="AM370">
        <f t="shared" si="67"/>
        <v>4.2218807200000006</v>
      </c>
      <c r="AP370" s="9"/>
      <c r="AQ370" s="22">
        <v>3.7231399999999998E-2</v>
      </c>
      <c r="AR370" s="22">
        <v>161.93</v>
      </c>
      <c r="AS370" s="22">
        <v>-1.6156E-2</v>
      </c>
      <c r="AT370" s="22">
        <v>360</v>
      </c>
      <c r="AU370" s="22">
        <v>3.71521E-2</v>
      </c>
      <c r="AV370">
        <f t="shared" si="68"/>
        <v>16.155999999999999</v>
      </c>
      <c r="AW370">
        <f t="shared" si="69"/>
        <v>0.60151049839999993</v>
      </c>
      <c r="AX370" s="9"/>
      <c r="AY370" s="22">
        <v>1.7128000000000001</v>
      </c>
      <c r="AZ370" s="22">
        <v>184.791</v>
      </c>
      <c r="BA370" s="22">
        <v>-2.4545299999999999E-3</v>
      </c>
      <c r="BB370" s="22">
        <v>360</v>
      </c>
      <c r="BC370" s="22">
        <v>1.71295</v>
      </c>
      <c r="BD370">
        <f t="shared" si="70"/>
        <v>2.4545300000000001</v>
      </c>
      <c r="BE370">
        <f t="shared" si="71"/>
        <v>4.2041189840000008</v>
      </c>
    </row>
    <row r="371" spans="6:57">
      <c r="F371" s="9"/>
      <c r="G371" s="22">
        <v>3.2196000000000002E-2</v>
      </c>
      <c r="H371" s="22">
        <v>52.877800000000001</v>
      </c>
      <c r="I371" s="22">
        <v>-1.6168200000000001E-2</v>
      </c>
      <c r="J371" s="22">
        <v>361</v>
      </c>
      <c r="K371" s="22">
        <v>3.2156400000000002E-2</v>
      </c>
      <c r="L371">
        <f t="shared" si="60"/>
        <v>16.168200000000002</v>
      </c>
      <c r="M371">
        <f t="shared" si="61"/>
        <v>0.52055136720000006</v>
      </c>
      <c r="N371" s="9"/>
      <c r="O371" s="22">
        <v>1.71783</v>
      </c>
      <c r="P371" s="22">
        <v>70.760599999999997</v>
      </c>
      <c r="Q371" s="22">
        <v>-2.3651100000000001E-3</v>
      </c>
      <c r="R371" s="22">
        <v>361</v>
      </c>
      <c r="S371" s="22">
        <v>1.71661</v>
      </c>
      <c r="T371">
        <f t="shared" si="62"/>
        <v>2.36511</v>
      </c>
      <c r="U371">
        <f t="shared" si="63"/>
        <v>4.0628569112999999</v>
      </c>
      <c r="X371" s="9"/>
      <c r="Y371" s="22">
        <v>3.2196000000000002E-2</v>
      </c>
      <c r="Z371" s="22">
        <v>120.32</v>
      </c>
      <c r="AA371" s="22">
        <v>-1.6201799999999999E-2</v>
      </c>
      <c r="AB371" s="22">
        <v>361</v>
      </c>
      <c r="AC371" s="22">
        <v>3.2046499999999999E-2</v>
      </c>
      <c r="AD371">
        <f t="shared" si="64"/>
        <v>16.201799999999999</v>
      </c>
      <c r="AE371">
        <f t="shared" si="65"/>
        <v>0.5216331528</v>
      </c>
      <c r="AF371" s="9"/>
      <c r="AG371" s="22">
        <v>1.71783</v>
      </c>
      <c r="AH371" s="22">
        <v>139.29499999999999</v>
      </c>
      <c r="AI371" s="22">
        <v>-2.3129299999999999E-3</v>
      </c>
      <c r="AJ371" s="22">
        <v>361</v>
      </c>
      <c r="AK371" s="22">
        <v>1.71692</v>
      </c>
      <c r="AL371">
        <f t="shared" si="66"/>
        <v>2.3129300000000002</v>
      </c>
      <c r="AM371">
        <f t="shared" si="67"/>
        <v>3.9732205419000004</v>
      </c>
      <c r="AP371" s="9"/>
      <c r="AQ371" s="22">
        <v>3.2196000000000002E-2</v>
      </c>
      <c r="AR371" s="22">
        <v>161.94</v>
      </c>
      <c r="AS371" s="22">
        <v>-1.6156E-2</v>
      </c>
      <c r="AT371" s="22">
        <v>361</v>
      </c>
      <c r="AU371" s="22">
        <v>3.2128900000000002E-2</v>
      </c>
      <c r="AV371">
        <f t="shared" si="68"/>
        <v>16.155999999999999</v>
      </c>
      <c r="AW371">
        <f t="shared" si="69"/>
        <v>0.52015857600000004</v>
      </c>
      <c r="AX371" s="9"/>
      <c r="AY371" s="22">
        <v>1.71783</v>
      </c>
      <c r="AZ371" s="22">
        <v>184.80099999999999</v>
      </c>
      <c r="BA371" s="22">
        <v>-2.2967500000000002E-3</v>
      </c>
      <c r="BB371" s="22">
        <v>361</v>
      </c>
      <c r="BC371" s="22">
        <v>1.71753</v>
      </c>
      <c r="BD371">
        <f t="shared" si="70"/>
        <v>2.2967500000000003</v>
      </c>
      <c r="BE371">
        <f t="shared" si="71"/>
        <v>3.9454260525000002</v>
      </c>
    </row>
    <row r="372" spans="6:57">
      <c r="F372" s="9"/>
      <c r="G372" s="22">
        <v>2.71606E-2</v>
      </c>
      <c r="H372" s="22">
        <v>52.887799999999999</v>
      </c>
      <c r="I372" s="22">
        <v>-1.6174299999999999E-2</v>
      </c>
      <c r="J372" s="22">
        <v>362</v>
      </c>
      <c r="K372" s="22">
        <v>2.7087400000000001E-2</v>
      </c>
      <c r="L372">
        <f t="shared" si="60"/>
        <v>16.174299999999999</v>
      </c>
      <c r="M372">
        <f t="shared" si="61"/>
        <v>0.43930369257999996</v>
      </c>
      <c r="N372" s="9"/>
      <c r="O372" s="22">
        <v>1.7228699999999999</v>
      </c>
      <c r="P372" s="22">
        <v>70.770700000000005</v>
      </c>
      <c r="Q372" s="22">
        <v>-2.2201500000000002E-3</v>
      </c>
      <c r="R372" s="22">
        <v>362</v>
      </c>
      <c r="S372" s="22">
        <v>1.72241</v>
      </c>
      <c r="T372">
        <f t="shared" si="62"/>
        <v>2.2201500000000003</v>
      </c>
      <c r="U372">
        <f t="shared" si="63"/>
        <v>3.8250298305000001</v>
      </c>
      <c r="X372" s="9"/>
      <c r="Y372" s="22">
        <v>2.71606E-2</v>
      </c>
      <c r="Z372" s="22">
        <v>120.33</v>
      </c>
      <c r="AA372" s="22">
        <v>-1.6204799999999998E-2</v>
      </c>
      <c r="AB372" s="22">
        <v>362</v>
      </c>
      <c r="AC372" s="22">
        <v>2.7084400000000002E-2</v>
      </c>
      <c r="AD372">
        <f t="shared" si="64"/>
        <v>16.204799999999999</v>
      </c>
      <c r="AE372">
        <f t="shared" si="65"/>
        <v>0.44013209087999999</v>
      </c>
      <c r="AF372" s="9"/>
      <c r="AG372" s="22">
        <v>1.7228699999999999</v>
      </c>
      <c r="AH372" s="22">
        <v>139.30500000000001</v>
      </c>
      <c r="AI372" s="22">
        <v>-2.1566799999999998E-3</v>
      </c>
      <c r="AJ372" s="22">
        <v>362</v>
      </c>
      <c r="AK372" s="22">
        <v>1.72241</v>
      </c>
      <c r="AL372">
        <f t="shared" si="66"/>
        <v>2.1566799999999997</v>
      </c>
      <c r="AM372">
        <f t="shared" si="67"/>
        <v>3.7156792715999991</v>
      </c>
      <c r="AP372" s="9"/>
      <c r="AQ372" s="22">
        <v>2.71606E-2</v>
      </c>
      <c r="AR372" s="22">
        <v>161.94999999999999</v>
      </c>
      <c r="AS372" s="22">
        <v>-1.6146899999999999E-2</v>
      </c>
      <c r="AT372" s="22">
        <v>362</v>
      </c>
      <c r="AU372" s="22">
        <v>2.7099600000000001E-2</v>
      </c>
      <c r="AV372">
        <f t="shared" si="68"/>
        <v>16.146899999999999</v>
      </c>
      <c r="AW372">
        <f t="shared" si="69"/>
        <v>0.43855949213999995</v>
      </c>
      <c r="AX372" s="9"/>
      <c r="AY372" s="22">
        <v>1.7228699999999999</v>
      </c>
      <c r="AZ372" s="22">
        <v>184.81100000000001</v>
      </c>
      <c r="BA372" s="22">
        <v>-2.1346999999999998E-3</v>
      </c>
      <c r="BB372" s="22">
        <v>362</v>
      </c>
      <c r="BC372" s="22">
        <v>1.72211</v>
      </c>
      <c r="BD372">
        <f t="shared" si="70"/>
        <v>2.1346999999999996</v>
      </c>
      <c r="BE372">
        <f t="shared" si="71"/>
        <v>3.677810588999999</v>
      </c>
    </row>
    <row r="373" spans="6:57">
      <c r="F373" s="9"/>
      <c r="G373" s="22">
        <v>2.2125200000000001E-2</v>
      </c>
      <c r="H373" s="22">
        <v>52.8979</v>
      </c>
      <c r="I373" s="22">
        <v>-1.6174299999999999E-2</v>
      </c>
      <c r="J373" s="22">
        <v>363</v>
      </c>
      <c r="K373" s="22">
        <v>2.2051999999999999E-2</v>
      </c>
      <c r="L373">
        <f t="shared" si="60"/>
        <v>16.174299999999999</v>
      </c>
      <c r="M373">
        <f t="shared" si="61"/>
        <v>0.35785962236000002</v>
      </c>
      <c r="N373" s="9"/>
      <c r="O373" s="22">
        <v>1.7279100000000001</v>
      </c>
      <c r="P373" s="22">
        <v>70.780799999999999</v>
      </c>
      <c r="Q373" s="22">
        <v>-2.0755000000000001E-3</v>
      </c>
      <c r="R373" s="22">
        <v>363</v>
      </c>
      <c r="S373" s="22">
        <v>1.72729</v>
      </c>
      <c r="T373">
        <f t="shared" si="62"/>
        <v>2.0754999999999999</v>
      </c>
      <c r="U373">
        <f t="shared" si="63"/>
        <v>3.586277205</v>
      </c>
      <c r="X373" s="9"/>
      <c r="Y373" s="22">
        <v>2.2125200000000001E-2</v>
      </c>
      <c r="Z373" s="22">
        <v>120.34</v>
      </c>
      <c r="AA373" s="22">
        <v>-1.6201799999999999E-2</v>
      </c>
      <c r="AB373" s="22">
        <v>363</v>
      </c>
      <c r="AC373" s="22">
        <v>2.2134399999999999E-2</v>
      </c>
      <c r="AD373">
        <f t="shared" si="64"/>
        <v>16.201799999999999</v>
      </c>
      <c r="AE373">
        <f t="shared" si="65"/>
        <v>0.35846806535999998</v>
      </c>
      <c r="AF373" s="9"/>
      <c r="AG373" s="22">
        <v>1.7279100000000001</v>
      </c>
      <c r="AH373" s="22">
        <v>139.315</v>
      </c>
      <c r="AI373" s="22">
        <v>-2.0013399999999999E-3</v>
      </c>
      <c r="AJ373" s="22">
        <v>363</v>
      </c>
      <c r="AK373" s="22">
        <v>1.72699</v>
      </c>
      <c r="AL373">
        <f t="shared" si="66"/>
        <v>2.0013399999999999</v>
      </c>
      <c r="AM373">
        <f t="shared" si="67"/>
        <v>3.4581353994000001</v>
      </c>
      <c r="AP373" s="9"/>
      <c r="AQ373" s="22">
        <v>2.2125200000000001E-2</v>
      </c>
      <c r="AR373" s="22">
        <v>161.96</v>
      </c>
      <c r="AS373" s="22">
        <v>-1.6149899999999998E-2</v>
      </c>
      <c r="AT373" s="22">
        <v>363</v>
      </c>
      <c r="AU373" s="22">
        <v>2.1991E-2</v>
      </c>
      <c r="AV373">
        <f t="shared" si="68"/>
        <v>16.149899999999999</v>
      </c>
      <c r="AW373">
        <f t="shared" si="69"/>
        <v>0.35731976747999999</v>
      </c>
      <c r="AX373" s="9"/>
      <c r="AY373" s="22">
        <v>1.7279100000000001</v>
      </c>
      <c r="AZ373" s="22">
        <v>184.821</v>
      </c>
      <c r="BA373" s="22">
        <v>-1.9741799999999999E-3</v>
      </c>
      <c r="BB373" s="22">
        <v>363</v>
      </c>
      <c r="BC373" s="22">
        <v>1.72729</v>
      </c>
      <c r="BD373">
        <f t="shared" si="70"/>
        <v>1.9741799999999998</v>
      </c>
      <c r="BE373">
        <f t="shared" si="71"/>
        <v>3.4112053637999997</v>
      </c>
    </row>
    <row r="374" spans="6:57">
      <c r="F374" s="9"/>
      <c r="G374" s="22">
        <v>1.7089799999999999E-2</v>
      </c>
      <c r="H374" s="22">
        <v>52.908000000000001</v>
      </c>
      <c r="I374" s="22">
        <v>-1.6177400000000002E-2</v>
      </c>
      <c r="J374" s="22">
        <v>364</v>
      </c>
      <c r="K374" s="22">
        <v>1.6964699999999999E-2</v>
      </c>
      <c r="L374">
        <f t="shared" si="60"/>
        <v>16.177400000000002</v>
      </c>
      <c r="M374">
        <f t="shared" si="61"/>
        <v>0.27646853052000003</v>
      </c>
      <c r="N374" s="9"/>
      <c r="O374" s="22">
        <v>1.7329399999999999</v>
      </c>
      <c r="P374" s="22">
        <v>70.790800000000004</v>
      </c>
      <c r="Q374" s="22">
        <v>-1.92749E-3</v>
      </c>
      <c r="R374" s="22">
        <v>364</v>
      </c>
      <c r="S374" s="22">
        <v>1.7321800000000001</v>
      </c>
      <c r="T374">
        <f t="shared" si="62"/>
        <v>1.9274899999999999</v>
      </c>
      <c r="U374">
        <f t="shared" si="63"/>
        <v>3.3402245205999996</v>
      </c>
      <c r="X374" s="9"/>
      <c r="Y374" s="22">
        <v>1.7089799999999999E-2</v>
      </c>
      <c r="Z374" s="22">
        <v>120.35</v>
      </c>
      <c r="AA374" s="22">
        <v>-1.61957E-2</v>
      </c>
      <c r="AB374" s="22">
        <v>364</v>
      </c>
      <c r="AC374" s="22">
        <v>1.70013E-2</v>
      </c>
      <c r="AD374">
        <f t="shared" si="64"/>
        <v>16.195699999999999</v>
      </c>
      <c r="AE374">
        <f t="shared" si="65"/>
        <v>0.27678127385999995</v>
      </c>
      <c r="AF374" s="9"/>
      <c r="AG374" s="22">
        <v>1.7329399999999999</v>
      </c>
      <c r="AH374" s="22">
        <v>139.32499999999999</v>
      </c>
      <c r="AI374" s="22">
        <v>-1.8426499999999999E-3</v>
      </c>
      <c r="AJ374" s="22">
        <v>364</v>
      </c>
      <c r="AK374" s="22">
        <v>1.7327900000000001</v>
      </c>
      <c r="AL374">
        <f t="shared" si="66"/>
        <v>1.8426499999999999</v>
      </c>
      <c r="AM374">
        <f t="shared" si="67"/>
        <v>3.1932018909999997</v>
      </c>
      <c r="AP374" s="9"/>
      <c r="AQ374" s="22">
        <v>1.7089799999999999E-2</v>
      </c>
      <c r="AR374" s="22">
        <v>161.97</v>
      </c>
      <c r="AS374" s="22">
        <v>-1.6153000000000001E-2</v>
      </c>
      <c r="AT374" s="22">
        <v>364</v>
      </c>
      <c r="AU374" s="22">
        <v>1.69891E-2</v>
      </c>
      <c r="AV374">
        <f t="shared" si="68"/>
        <v>16.153000000000002</v>
      </c>
      <c r="AW374">
        <f t="shared" si="69"/>
        <v>0.27605153940000005</v>
      </c>
      <c r="AX374" s="9"/>
      <c r="AY374" s="22">
        <v>1.7329399999999999</v>
      </c>
      <c r="AZ374" s="22">
        <v>184.83099999999999</v>
      </c>
      <c r="BA374" s="22">
        <v>-1.8078599999999999E-3</v>
      </c>
      <c r="BB374" s="22">
        <v>364</v>
      </c>
      <c r="BC374" s="22">
        <v>1.73248</v>
      </c>
      <c r="BD374">
        <f t="shared" si="70"/>
        <v>1.8078599999999998</v>
      </c>
      <c r="BE374">
        <f t="shared" si="71"/>
        <v>3.1329129083999994</v>
      </c>
    </row>
    <row r="375" spans="6:57">
      <c r="F375" s="9"/>
      <c r="G375" s="22">
        <v>1.20544E-2</v>
      </c>
      <c r="H375" s="22">
        <v>52.918100000000003</v>
      </c>
      <c r="I375" s="22">
        <v>-1.6180400000000001E-2</v>
      </c>
      <c r="J375" s="22">
        <v>365</v>
      </c>
      <c r="K375" s="22">
        <v>1.1981199999999999E-2</v>
      </c>
      <c r="L375">
        <f t="shared" si="60"/>
        <v>16.180400000000002</v>
      </c>
      <c r="M375">
        <f t="shared" si="61"/>
        <v>0.19504501376000002</v>
      </c>
      <c r="N375" s="9"/>
      <c r="O375" s="22">
        <v>1.7379800000000001</v>
      </c>
      <c r="P375" s="22">
        <v>70.800899999999999</v>
      </c>
      <c r="Q375" s="22">
        <v>-1.7791700000000001E-3</v>
      </c>
      <c r="R375" s="22">
        <v>365</v>
      </c>
      <c r="S375" s="22">
        <v>1.73706</v>
      </c>
      <c r="T375">
        <f t="shared" si="62"/>
        <v>1.7791700000000001</v>
      </c>
      <c r="U375">
        <f t="shared" si="63"/>
        <v>3.0921618766000005</v>
      </c>
      <c r="X375" s="9"/>
      <c r="Y375" s="22">
        <v>1.20544E-2</v>
      </c>
      <c r="Z375" s="22">
        <v>120.36</v>
      </c>
      <c r="AA375" s="22">
        <v>-1.6189599999999998E-2</v>
      </c>
      <c r="AB375" s="22">
        <v>365</v>
      </c>
      <c r="AC375" s="22">
        <v>1.1938499999999999E-2</v>
      </c>
      <c r="AD375">
        <f t="shared" si="64"/>
        <v>16.189599999999999</v>
      </c>
      <c r="AE375">
        <f t="shared" si="65"/>
        <v>0.19515591423999998</v>
      </c>
      <c r="AF375" s="9"/>
      <c r="AG375" s="22">
        <v>1.7379800000000001</v>
      </c>
      <c r="AH375" s="22">
        <v>139.33500000000001</v>
      </c>
      <c r="AI375" s="22">
        <v>-1.6851800000000001E-3</v>
      </c>
      <c r="AJ375" s="22">
        <v>365</v>
      </c>
      <c r="AK375" s="22">
        <v>1.73645</v>
      </c>
      <c r="AL375">
        <f t="shared" si="66"/>
        <v>1.6851800000000001</v>
      </c>
      <c r="AM375">
        <f t="shared" si="67"/>
        <v>2.9288091364000004</v>
      </c>
      <c r="AP375" s="9"/>
      <c r="AQ375" s="22">
        <v>1.20544E-2</v>
      </c>
      <c r="AR375" s="22">
        <v>161.97999999999999</v>
      </c>
      <c r="AS375" s="22">
        <v>-1.6165200000000001E-2</v>
      </c>
      <c r="AT375" s="22">
        <v>365</v>
      </c>
      <c r="AU375" s="22">
        <v>1.1843899999999999E-2</v>
      </c>
      <c r="AV375">
        <f t="shared" si="68"/>
        <v>16.165200000000002</v>
      </c>
      <c r="AW375">
        <f t="shared" si="69"/>
        <v>0.19486178688000003</v>
      </c>
      <c r="AX375" s="9"/>
      <c r="AY375" s="22">
        <v>1.7379800000000001</v>
      </c>
      <c r="AZ375" s="22">
        <v>184.84100000000001</v>
      </c>
      <c r="BA375" s="22">
        <v>-1.6442900000000001E-3</v>
      </c>
      <c r="BB375" s="22">
        <v>365</v>
      </c>
      <c r="BC375" s="22">
        <v>1.73706</v>
      </c>
      <c r="BD375">
        <f t="shared" si="70"/>
        <v>1.64429</v>
      </c>
      <c r="BE375">
        <f t="shared" si="71"/>
        <v>2.8577431342000001</v>
      </c>
    </row>
    <row r="376" spans="6:57">
      <c r="F376" s="9"/>
      <c r="G376" s="22">
        <v>7.0190399999999998E-3</v>
      </c>
      <c r="H376" s="22">
        <v>52.928100000000001</v>
      </c>
      <c r="I376" s="22">
        <v>-1.61835E-2</v>
      </c>
      <c r="J376" s="22">
        <v>366</v>
      </c>
      <c r="K376" s="22">
        <v>6.9580099999999997E-3</v>
      </c>
      <c r="L376">
        <f t="shared" si="60"/>
        <v>16.183499999999999</v>
      </c>
      <c r="M376">
        <f t="shared" si="61"/>
        <v>0.11359263383999998</v>
      </c>
      <c r="N376" s="9"/>
      <c r="O376" s="22">
        <v>1.7430099999999999</v>
      </c>
      <c r="P376" s="22">
        <v>70.811000000000007</v>
      </c>
      <c r="Q376" s="22">
        <v>-1.62933E-3</v>
      </c>
      <c r="R376" s="22">
        <v>366</v>
      </c>
      <c r="S376" s="22">
        <v>1.74255</v>
      </c>
      <c r="T376">
        <f t="shared" si="62"/>
        <v>1.6293299999999999</v>
      </c>
      <c r="U376">
        <f t="shared" si="63"/>
        <v>2.8399384832999996</v>
      </c>
      <c r="X376" s="9"/>
      <c r="Y376" s="22">
        <v>7.0190399999999998E-3</v>
      </c>
      <c r="Z376" s="22">
        <v>120.37</v>
      </c>
      <c r="AA376" s="22">
        <v>-1.6177400000000002E-2</v>
      </c>
      <c r="AB376" s="22">
        <v>366</v>
      </c>
      <c r="AC376" s="22">
        <v>6.8969699999999997E-3</v>
      </c>
      <c r="AD376">
        <f t="shared" si="64"/>
        <v>16.177400000000002</v>
      </c>
      <c r="AE376">
        <f t="shared" si="65"/>
        <v>0.11354981769600002</v>
      </c>
      <c r="AF376" s="9"/>
      <c r="AG376" s="22">
        <v>1.7430099999999999</v>
      </c>
      <c r="AH376" s="22">
        <v>139.345</v>
      </c>
      <c r="AI376" s="22">
        <v>-1.52283E-3</v>
      </c>
      <c r="AJ376" s="22">
        <v>366</v>
      </c>
      <c r="AK376" s="22">
        <v>1.7422500000000001</v>
      </c>
      <c r="AL376">
        <f t="shared" si="66"/>
        <v>1.5228299999999999</v>
      </c>
      <c r="AM376">
        <f t="shared" si="67"/>
        <v>2.6543079182999998</v>
      </c>
      <c r="AP376" s="9"/>
      <c r="AQ376" s="22">
        <v>7.0190399999999998E-3</v>
      </c>
      <c r="AR376" s="22">
        <v>161.99</v>
      </c>
      <c r="AS376" s="22">
        <v>-1.6174299999999999E-2</v>
      </c>
      <c r="AT376" s="22">
        <v>366</v>
      </c>
      <c r="AU376" s="22">
        <v>6.9305399999999998E-3</v>
      </c>
      <c r="AV376">
        <f t="shared" si="68"/>
        <v>16.174299999999999</v>
      </c>
      <c r="AW376">
        <f t="shared" si="69"/>
        <v>0.11352805867199998</v>
      </c>
      <c r="AX376" s="9"/>
      <c r="AY376" s="22">
        <v>1.7430099999999999</v>
      </c>
      <c r="AZ376" s="22">
        <v>184.851</v>
      </c>
      <c r="BA376" s="22">
        <v>-1.4779700000000001E-3</v>
      </c>
      <c r="BB376" s="22">
        <v>366</v>
      </c>
      <c r="BC376" s="22">
        <v>1.7422500000000001</v>
      </c>
      <c r="BD376">
        <f t="shared" si="70"/>
        <v>1.47797</v>
      </c>
      <c r="BE376">
        <f t="shared" si="71"/>
        <v>2.5761164897</v>
      </c>
    </row>
    <row r="377" spans="6:57">
      <c r="F377" s="9"/>
      <c r="G377" s="22">
        <v>1.9836400000000001E-3</v>
      </c>
      <c r="H377" s="22">
        <v>52.938200000000002</v>
      </c>
      <c r="I377" s="22">
        <v>-1.6186499999999999E-2</v>
      </c>
      <c r="J377" s="22">
        <v>367</v>
      </c>
      <c r="K377" s="22">
        <v>1.8463100000000001E-3</v>
      </c>
      <c r="L377">
        <f t="shared" si="60"/>
        <v>16.186499999999999</v>
      </c>
      <c r="M377">
        <f t="shared" si="61"/>
        <v>3.2108188859999998E-2</v>
      </c>
      <c r="N377" s="9"/>
      <c r="O377" s="22">
        <v>1.7480500000000001</v>
      </c>
      <c r="P377" s="22">
        <v>70.820999999999998</v>
      </c>
      <c r="Q377" s="22">
        <v>-1.4782700000000001E-3</v>
      </c>
      <c r="R377" s="22">
        <v>367</v>
      </c>
      <c r="S377" s="22">
        <v>1.7474400000000001</v>
      </c>
      <c r="T377">
        <f t="shared" si="62"/>
        <v>1.47827</v>
      </c>
      <c r="U377">
        <f t="shared" si="63"/>
        <v>2.5840898735</v>
      </c>
      <c r="X377" s="9"/>
      <c r="Y377" s="22">
        <v>1.9836400000000001E-3</v>
      </c>
      <c r="Z377" s="22">
        <v>120.38</v>
      </c>
      <c r="AA377" s="22">
        <v>-1.61713E-2</v>
      </c>
      <c r="AB377" s="22">
        <v>367</v>
      </c>
      <c r="AC377" s="22">
        <v>1.88904E-3</v>
      </c>
      <c r="AD377">
        <f t="shared" si="64"/>
        <v>16.171299999999999</v>
      </c>
      <c r="AE377">
        <f t="shared" si="65"/>
        <v>3.2078037531999996E-2</v>
      </c>
      <c r="AF377" s="9"/>
      <c r="AG377" s="22">
        <v>1.7480500000000001</v>
      </c>
      <c r="AH377" s="22">
        <v>139.35499999999999</v>
      </c>
      <c r="AI377" s="22">
        <v>-1.35895E-3</v>
      </c>
      <c r="AJ377" s="22">
        <v>367</v>
      </c>
      <c r="AK377" s="22">
        <v>1.7471300000000001</v>
      </c>
      <c r="AL377">
        <f t="shared" si="66"/>
        <v>1.3589500000000001</v>
      </c>
      <c r="AM377">
        <f t="shared" si="67"/>
        <v>2.3755125475000005</v>
      </c>
      <c r="AP377" s="9"/>
      <c r="AQ377" s="22">
        <v>1.9836400000000001E-3</v>
      </c>
      <c r="AR377" s="22">
        <v>162</v>
      </c>
      <c r="AS377" s="22">
        <v>-1.61835E-2</v>
      </c>
      <c r="AT377" s="22">
        <v>367</v>
      </c>
      <c r="AU377" s="22">
        <v>1.87378E-3</v>
      </c>
      <c r="AV377">
        <f t="shared" si="68"/>
        <v>16.183499999999999</v>
      </c>
      <c r="AW377">
        <f t="shared" si="69"/>
        <v>3.210223794E-2</v>
      </c>
      <c r="AX377" s="9"/>
      <c r="AY377" s="22">
        <v>1.7480500000000001</v>
      </c>
      <c r="AZ377" s="22">
        <v>184.86099999999999</v>
      </c>
      <c r="BA377" s="22">
        <v>-1.31073E-3</v>
      </c>
      <c r="BB377" s="22">
        <v>367</v>
      </c>
      <c r="BC377" s="22">
        <v>1.7471300000000001</v>
      </c>
      <c r="BD377">
        <f t="shared" si="70"/>
        <v>1.31073</v>
      </c>
      <c r="BE377">
        <f t="shared" si="71"/>
        <v>2.2912215764999999</v>
      </c>
    </row>
    <row r="378" spans="6:57">
      <c r="F378" s="9"/>
      <c r="G378" s="22">
        <v>-3.0517600000000001E-3</v>
      </c>
      <c r="H378" s="22">
        <v>52.948300000000003</v>
      </c>
      <c r="I378" s="22">
        <v>-1.6192600000000001E-2</v>
      </c>
      <c r="J378" s="22">
        <v>368</v>
      </c>
      <c r="K378" s="22">
        <v>-3.2745399999999998E-3</v>
      </c>
      <c r="L378">
        <f t="shared" si="60"/>
        <v>16.192600000000002</v>
      </c>
      <c r="M378">
        <f t="shared" si="61"/>
        <v>-4.9415928976000008E-2</v>
      </c>
      <c r="N378" s="9"/>
      <c r="O378" s="22">
        <v>1.75308</v>
      </c>
      <c r="P378" s="22">
        <v>70.831100000000006</v>
      </c>
      <c r="Q378" s="22">
        <v>-1.3272100000000001E-3</v>
      </c>
      <c r="R378" s="22">
        <v>368</v>
      </c>
      <c r="S378" s="22">
        <v>1.7526200000000001</v>
      </c>
      <c r="T378">
        <f t="shared" si="62"/>
        <v>1.32721</v>
      </c>
      <c r="U378">
        <f t="shared" si="63"/>
        <v>2.3267053068000001</v>
      </c>
      <c r="X378" s="9"/>
      <c r="Y378" s="22">
        <v>-3.0517600000000001E-3</v>
      </c>
      <c r="Z378" s="22">
        <v>120.39100000000001</v>
      </c>
      <c r="AA378" s="22">
        <v>-1.61713E-2</v>
      </c>
      <c r="AB378" s="22">
        <v>368</v>
      </c>
      <c r="AC378" s="22">
        <v>-3.1646700000000001E-3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139.36500000000001</v>
      </c>
      <c r="AI378" s="22">
        <v>-1.19476E-3</v>
      </c>
      <c r="AJ378" s="22">
        <v>368</v>
      </c>
      <c r="AK378" s="22">
        <v>1.7523200000000001</v>
      </c>
      <c r="AL378">
        <f t="shared" si="66"/>
        <v>1.19476</v>
      </c>
      <c r="AM378">
        <f t="shared" si="67"/>
        <v>2.0945098608000001</v>
      </c>
      <c r="AP378" s="9"/>
      <c r="AQ378" s="22">
        <v>-3.0517600000000001E-3</v>
      </c>
      <c r="AR378" s="22">
        <v>162.01</v>
      </c>
      <c r="AS378" s="22">
        <v>-1.61835E-2</v>
      </c>
      <c r="AT378" s="22">
        <v>368</v>
      </c>
      <c r="AU378" s="22">
        <v>-3.1982400000000002E-3</v>
      </c>
      <c r="AV378">
        <f t="shared" si="68"/>
        <v>16.183499999999999</v>
      </c>
      <c r="AW378">
        <f t="shared" si="69"/>
        <v>-4.9388157959999998E-2</v>
      </c>
      <c r="AX378" s="9"/>
      <c r="AY378" s="22">
        <v>1.75308</v>
      </c>
      <c r="AZ378" s="22">
        <v>184.87100000000001</v>
      </c>
      <c r="BA378" s="22">
        <v>-1.1422699999999999E-3</v>
      </c>
      <c r="BB378" s="22">
        <v>368</v>
      </c>
      <c r="BC378" s="22">
        <v>1.7529300000000001</v>
      </c>
      <c r="BD378">
        <f t="shared" si="70"/>
        <v>1.1422699999999999</v>
      </c>
      <c r="BE378">
        <f t="shared" si="71"/>
        <v>2.0024906915999998</v>
      </c>
    </row>
    <row r="379" spans="6:57">
      <c r="F379" s="9"/>
      <c r="G379" s="22">
        <v>-8.0871599999999995E-3</v>
      </c>
      <c r="H379" s="22">
        <v>52.958300000000001</v>
      </c>
      <c r="I379" s="22">
        <v>-1.61987E-2</v>
      </c>
      <c r="J379" s="22">
        <v>369</v>
      </c>
      <c r="K379" s="22">
        <v>-8.2427999999999998E-3</v>
      </c>
      <c r="L379">
        <f t="shared" si="60"/>
        <v>16.198699999999999</v>
      </c>
      <c r="M379">
        <f t="shared" si="61"/>
        <v>-0.13100147869199999</v>
      </c>
      <c r="N379" s="9"/>
      <c r="O379" s="22">
        <v>1.7581199999999999</v>
      </c>
      <c r="P379" s="22">
        <v>70.841200000000001</v>
      </c>
      <c r="Q379" s="22">
        <v>-1.1746199999999999E-3</v>
      </c>
      <c r="R379" s="22">
        <v>369</v>
      </c>
      <c r="S379" s="22">
        <v>1.7575099999999999</v>
      </c>
      <c r="T379">
        <f t="shared" si="62"/>
        <v>1.17462</v>
      </c>
      <c r="U379">
        <f t="shared" si="63"/>
        <v>2.0651229143999998</v>
      </c>
      <c r="X379" s="9"/>
      <c r="Y379" s="22">
        <v>-8.0871599999999995E-3</v>
      </c>
      <c r="Z379" s="22">
        <v>120.401</v>
      </c>
      <c r="AA379" s="22">
        <v>-1.6168200000000001E-2</v>
      </c>
      <c r="AB379" s="22">
        <v>369</v>
      </c>
      <c r="AC379" s="22">
        <v>-8.2427999999999998E-3</v>
      </c>
      <c r="AD379">
        <f t="shared" si="64"/>
        <v>16.168200000000002</v>
      </c>
      <c r="AE379">
        <f t="shared" si="65"/>
        <v>-0.130754820312</v>
      </c>
      <c r="AF379" s="9"/>
      <c r="AG379" s="22">
        <v>1.7581199999999999</v>
      </c>
      <c r="AH379" s="22">
        <v>139.375</v>
      </c>
      <c r="AI379" s="22">
        <v>-1.0290500000000001E-3</v>
      </c>
      <c r="AJ379" s="22">
        <v>369</v>
      </c>
      <c r="AK379" s="22">
        <v>1.7572000000000001</v>
      </c>
      <c r="AL379">
        <f t="shared" si="66"/>
        <v>1.02905</v>
      </c>
      <c r="AM379">
        <f t="shared" si="67"/>
        <v>1.809193386</v>
      </c>
      <c r="AP379" s="9"/>
      <c r="AQ379" s="22">
        <v>-8.0871599999999995E-3</v>
      </c>
      <c r="AR379" s="22">
        <v>162.02000000000001</v>
      </c>
      <c r="AS379" s="22">
        <v>-1.61835E-2</v>
      </c>
      <c r="AT379" s="22">
        <v>369</v>
      </c>
      <c r="AU379" s="22">
        <v>-8.2672100000000005E-3</v>
      </c>
      <c r="AV379">
        <f t="shared" si="68"/>
        <v>16.183499999999999</v>
      </c>
      <c r="AW379">
        <f t="shared" si="69"/>
        <v>-0.13087855385999997</v>
      </c>
      <c r="AX379" s="9"/>
      <c r="AY379" s="22">
        <v>1.7581199999999999</v>
      </c>
      <c r="AZ379" s="22">
        <v>184.881</v>
      </c>
      <c r="BA379" s="22">
        <v>-9.7106899999999997E-4</v>
      </c>
      <c r="BB379" s="22">
        <v>369</v>
      </c>
      <c r="BC379" s="22">
        <v>1.7578100000000001</v>
      </c>
      <c r="BD379">
        <f t="shared" si="70"/>
        <v>0.97106899999999996</v>
      </c>
      <c r="BE379">
        <f t="shared" si="71"/>
        <v>1.7072558302799998</v>
      </c>
    </row>
    <row r="380" spans="6:57">
      <c r="F380" s="9"/>
      <c r="G380" s="22">
        <v>-1.31226E-2</v>
      </c>
      <c r="H380" s="22">
        <v>52.968400000000003</v>
      </c>
      <c r="I380" s="22">
        <v>-1.61987E-2</v>
      </c>
      <c r="J380" s="22">
        <v>370</v>
      </c>
      <c r="K380" s="22">
        <v>-1.3324000000000001E-2</v>
      </c>
      <c r="L380">
        <f t="shared" si="60"/>
        <v>16.198699999999999</v>
      </c>
      <c r="M380">
        <f t="shared" si="61"/>
        <v>-0.21256906061999997</v>
      </c>
      <c r="N380" s="9"/>
      <c r="O380" s="22">
        <v>1.76315</v>
      </c>
      <c r="P380" s="22">
        <v>70.851299999999995</v>
      </c>
      <c r="Q380" s="22">
        <v>-1.0214200000000001E-3</v>
      </c>
      <c r="R380" s="22">
        <v>370</v>
      </c>
      <c r="S380" s="22">
        <v>1.7626999999999999</v>
      </c>
      <c r="T380">
        <f t="shared" si="62"/>
        <v>1.02142</v>
      </c>
      <c r="U380">
        <f t="shared" si="63"/>
        <v>1.8009166729999999</v>
      </c>
      <c r="X380" s="9"/>
      <c r="Y380" s="22">
        <v>-1.31226E-2</v>
      </c>
      <c r="Z380" s="22">
        <v>120.411</v>
      </c>
      <c r="AA380" s="22">
        <v>-1.61713E-2</v>
      </c>
      <c r="AB380" s="22">
        <v>370</v>
      </c>
      <c r="AC380" s="22">
        <v>-1.3327E-2</v>
      </c>
      <c r="AD380">
        <f t="shared" si="64"/>
        <v>16.171299999999999</v>
      </c>
      <c r="AE380">
        <f t="shared" si="65"/>
        <v>-0.21220950137999997</v>
      </c>
      <c r="AF380" s="9"/>
      <c r="AG380" s="22">
        <v>1.76315</v>
      </c>
      <c r="AH380" s="22">
        <v>139.386</v>
      </c>
      <c r="AI380" s="22">
        <v>-8.62122E-4</v>
      </c>
      <c r="AJ380" s="22">
        <v>370</v>
      </c>
      <c r="AK380" s="22">
        <v>1.7626999999999999</v>
      </c>
      <c r="AL380">
        <f t="shared" si="66"/>
        <v>0.86212199999999994</v>
      </c>
      <c r="AM380">
        <f t="shared" si="67"/>
        <v>1.5200504042999998</v>
      </c>
      <c r="AP380" s="9"/>
      <c r="AQ380" s="22">
        <v>-1.31226E-2</v>
      </c>
      <c r="AR380" s="22">
        <v>162.03</v>
      </c>
      <c r="AS380" s="22">
        <v>-1.6192600000000001E-2</v>
      </c>
      <c r="AT380" s="22">
        <v>370</v>
      </c>
      <c r="AU380" s="22">
        <v>-1.33484E-2</v>
      </c>
      <c r="AV380">
        <f t="shared" si="68"/>
        <v>16.192600000000002</v>
      </c>
      <c r="AW380">
        <f t="shared" si="69"/>
        <v>-0.21248901276000004</v>
      </c>
      <c r="AX380" s="9"/>
      <c r="AY380" s="22">
        <v>1.76315</v>
      </c>
      <c r="AZ380" s="22">
        <v>184.89099999999999</v>
      </c>
      <c r="BA380" s="22">
        <v>-7.9894999999999999E-4</v>
      </c>
      <c r="BB380" s="22">
        <v>370</v>
      </c>
      <c r="BC380" s="22">
        <v>1.7626999999999999</v>
      </c>
      <c r="BD380">
        <f t="shared" si="70"/>
        <v>0.79894999999999994</v>
      </c>
      <c r="BE380">
        <f t="shared" si="71"/>
        <v>1.4086686924999998</v>
      </c>
    </row>
    <row r="381" spans="6:57">
      <c r="F381" s="9"/>
      <c r="G381" s="22">
        <v>-1.8158000000000001E-2</v>
      </c>
      <c r="H381" s="22">
        <v>52.978499999999997</v>
      </c>
      <c r="I381" s="22">
        <v>-1.61987E-2</v>
      </c>
      <c r="J381" s="22">
        <v>371</v>
      </c>
      <c r="K381" s="22">
        <v>-1.8469200000000002E-2</v>
      </c>
      <c r="L381">
        <f t="shared" si="60"/>
        <v>16.198699999999999</v>
      </c>
      <c r="M381">
        <f t="shared" si="61"/>
        <v>-0.29413599460000001</v>
      </c>
      <c r="N381" s="9"/>
      <c r="O381" s="22">
        <v>1.7681899999999999</v>
      </c>
      <c r="P381" s="22">
        <v>70.8613</v>
      </c>
      <c r="Q381" s="22">
        <v>-8.6669899999999996E-4</v>
      </c>
      <c r="R381" s="22">
        <v>371</v>
      </c>
      <c r="S381" s="22">
        <v>1.7672699999999999</v>
      </c>
      <c r="T381">
        <f t="shared" si="62"/>
        <v>0.866699</v>
      </c>
      <c r="U381">
        <f t="shared" si="63"/>
        <v>1.5324885048099999</v>
      </c>
      <c r="X381" s="9"/>
      <c r="Y381" s="22">
        <v>-1.8158000000000001E-2</v>
      </c>
      <c r="Z381" s="22">
        <v>120.42100000000001</v>
      </c>
      <c r="AA381" s="22">
        <v>-1.6177400000000002E-2</v>
      </c>
      <c r="AB381" s="22">
        <v>371</v>
      </c>
      <c r="AC381" s="22">
        <v>-1.8389900000000001E-2</v>
      </c>
      <c r="AD381">
        <f t="shared" si="64"/>
        <v>16.177400000000002</v>
      </c>
      <c r="AE381">
        <f t="shared" si="65"/>
        <v>-0.29374922920000007</v>
      </c>
      <c r="AF381" s="9"/>
      <c r="AG381" s="22">
        <v>1.7681899999999999</v>
      </c>
      <c r="AH381" s="22">
        <v>139.39599999999999</v>
      </c>
      <c r="AI381" s="22">
        <v>-6.9244399999999996E-4</v>
      </c>
      <c r="AJ381" s="22">
        <v>371</v>
      </c>
      <c r="AK381" s="22">
        <v>1.7675799999999999</v>
      </c>
      <c r="AL381">
        <f t="shared" si="66"/>
        <v>0.69244399999999995</v>
      </c>
      <c r="AM381">
        <f t="shared" si="67"/>
        <v>1.2243725563599999</v>
      </c>
      <c r="AP381" s="9"/>
      <c r="AQ381" s="22">
        <v>-1.8158000000000001E-2</v>
      </c>
      <c r="AR381" s="22">
        <v>162.041</v>
      </c>
      <c r="AS381" s="22">
        <v>-1.6192600000000001E-2</v>
      </c>
      <c r="AT381" s="22">
        <v>371</v>
      </c>
      <c r="AU381" s="22">
        <v>-1.83655E-2</v>
      </c>
      <c r="AV381">
        <f t="shared" si="68"/>
        <v>16.192600000000002</v>
      </c>
      <c r="AW381">
        <f t="shared" si="69"/>
        <v>-0.29402523080000004</v>
      </c>
      <c r="AX381" s="9"/>
      <c r="AY381" s="22">
        <v>1.7681899999999999</v>
      </c>
      <c r="AZ381" s="22">
        <v>184.90100000000001</v>
      </c>
      <c r="BA381" s="22">
        <v>-6.2408400000000001E-4</v>
      </c>
      <c r="BB381" s="22">
        <v>371</v>
      </c>
      <c r="BC381" s="22">
        <v>1.7675799999999999</v>
      </c>
      <c r="BD381">
        <f t="shared" si="70"/>
        <v>0.62408399999999997</v>
      </c>
      <c r="BE381">
        <f t="shared" si="71"/>
        <v>1.10349908796</v>
      </c>
    </row>
    <row r="382" spans="6:57">
      <c r="F382" s="9"/>
      <c r="G382" s="22">
        <v>-2.3193399999999999E-2</v>
      </c>
      <c r="H382" s="22">
        <v>52.988599999999998</v>
      </c>
      <c r="I382" s="22">
        <v>-1.6204799999999998E-2</v>
      </c>
      <c r="J382" s="22">
        <v>372</v>
      </c>
      <c r="K382" s="22">
        <v>-2.3431400000000002E-2</v>
      </c>
      <c r="L382">
        <f t="shared" si="60"/>
        <v>16.204799999999999</v>
      </c>
      <c r="M382">
        <f t="shared" si="61"/>
        <v>-0.37584440831999999</v>
      </c>
      <c r="N382" s="9"/>
      <c r="O382" s="22">
        <v>1.77322</v>
      </c>
      <c r="P382" s="22">
        <v>70.871399999999994</v>
      </c>
      <c r="Q382" s="22">
        <v>-7.1014400000000001E-4</v>
      </c>
      <c r="R382" s="22">
        <v>372</v>
      </c>
      <c r="S382" s="22">
        <v>1.77277</v>
      </c>
      <c r="T382">
        <f t="shared" si="62"/>
        <v>0.710144</v>
      </c>
      <c r="U382">
        <f t="shared" si="63"/>
        <v>1.25924154368</v>
      </c>
      <c r="X382" s="9"/>
      <c r="Y382" s="22">
        <v>-2.3193399999999999E-2</v>
      </c>
      <c r="Z382" s="22">
        <v>120.431</v>
      </c>
      <c r="AA382" s="22">
        <v>-1.6189599999999998E-2</v>
      </c>
      <c r="AB382" s="22">
        <v>372</v>
      </c>
      <c r="AC382" s="22">
        <v>-2.3431400000000002E-2</v>
      </c>
      <c r="AD382">
        <f t="shared" si="64"/>
        <v>16.189599999999999</v>
      </c>
      <c r="AE382">
        <f t="shared" si="65"/>
        <v>-0.37549186863999995</v>
      </c>
      <c r="AF382" s="9"/>
      <c r="AG382" s="22">
        <v>1.77322</v>
      </c>
      <c r="AH382" s="22">
        <v>139.40600000000001</v>
      </c>
      <c r="AI382" s="22">
        <v>-5.2032499999999998E-4</v>
      </c>
      <c r="AJ382" s="22">
        <v>372</v>
      </c>
      <c r="AK382" s="22">
        <v>1.77277</v>
      </c>
      <c r="AL382">
        <f t="shared" si="66"/>
        <v>0.52032499999999993</v>
      </c>
      <c r="AM382">
        <f t="shared" si="67"/>
        <v>0.92265069649999987</v>
      </c>
      <c r="AP382" s="9"/>
      <c r="AQ382" s="22">
        <v>-2.3193399999999999E-2</v>
      </c>
      <c r="AR382" s="22">
        <v>162.05099999999999</v>
      </c>
      <c r="AS382" s="22">
        <v>-1.6192600000000001E-2</v>
      </c>
      <c r="AT382" s="22">
        <v>372</v>
      </c>
      <c r="AU382" s="22">
        <v>-2.3440599999999999E-2</v>
      </c>
      <c r="AV382">
        <f t="shared" si="68"/>
        <v>16.192600000000002</v>
      </c>
      <c r="AW382">
        <f t="shared" si="69"/>
        <v>-0.37556144884000003</v>
      </c>
      <c r="AX382" s="9"/>
      <c r="AY382" s="22">
        <v>1.77322</v>
      </c>
      <c r="AZ382" s="22">
        <v>184.91200000000001</v>
      </c>
      <c r="BA382" s="22">
        <v>-4.4689900000000001E-4</v>
      </c>
      <c r="BB382" s="22">
        <v>372</v>
      </c>
      <c r="BC382" s="22">
        <v>1.7724599999999999</v>
      </c>
      <c r="BD382">
        <f t="shared" si="70"/>
        <v>0.44689899999999999</v>
      </c>
      <c r="BE382">
        <f t="shared" si="71"/>
        <v>0.79245024478000003</v>
      </c>
    </row>
    <row r="383" spans="6:57">
      <c r="F383" s="9"/>
      <c r="G383" s="22">
        <v>-2.8228799999999998E-2</v>
      </c>
      <c r="H383" s="22">
        <v>52.998600000000003</v>
      </c>
      <c r="I383" s="22">
        <v>-1.6207900000000001E-2</v>
      </c>
      <c r="J383" s="22">
        <v>373</v>
      </c>
      <c r="K383" s="22">
        <v>-2.8436300000000001E-2</v>
      </c>
      <c r="L383">
        <f t="shared" si="60"/>
        <v>16.207900000000002</v>
      </c>
      <c r="M383">
        <f t="shared" si="61"/>
        <v>-0.45752956752000001</v>
      </c>
      <c r="N383" s="9"/>
      <c r="O383" s="22">
        <v>1.77826</v>
      </c>
      <c r="P383" s="22">
        <v>70.881500000000003</v>
      </c>
      <c r="Q383" s="22">
        <v>-5.5206299999999999E-4</v>
      </c>
      <c r="R383" s="22">
        <v>373</v>
      </c>
      <c r="S383" s="22">
        <v>1.7779499999999999</v>
      </c>
      <c r="T383">
        <f t="shared" si="62"/>
        <v>0.55206299999999997</v>
      </c>
      <c r="U383">
        <f t="shared" si="63"/>
        <v>0.98171155037999991</v>
      </c>
      <c r="X383" s="9"/>
      <c r="Y383" s="22">
        <v>-2.8228799999999998E-2</v>
      </c>
      <c r="Z383" s="22">
        <v>120.441</v>
      </c>
      <c r="AA383" s="22">
        <v>-1.61957E-2</v>
      </c>
      <c r="AB383" s="22">
        <v>373</v>
      </c>
      <c r="AC383" s="22">
        <v>-2.8601100000000001E-2</v>
      </c>
      <c r="AD383">
        <f t="shared" si="64"/>
        <v>16.195699999999999</v>
      </c>
      <c r="AE383">
        <f t="shared" si="65"/>
        <v>-0.45718517615999993</v>
      </c>
      <c r="AF383" s="9"/>
      <c r="AG383" s="22">
        <v>1.77826</v>
      </c>
      <c r="AH383" s="22">
        <v>139.416</v>
      </c>
      <c r="AI383" s="22">
        <v>-3.4869399999999998E-4</v>
      </c>
      <c r="AJ383" s="22">
        <v>373</v>
      </c>
      <c r="AK383" s="22">
        <v>1.77765</v>
      </c>
      <c r="AL383">
        <f t="shared" si="66"/>
        <v>0.348694</v>
      </c>
      <c r="AM383">
        <f t="shared" si="67"/>
        <v>0.62006859244000001</v>
      </c>
      <c r="AP383" s="9"/>
      <c r="AQ383" s="22">
        <v>-2.8228799999999998E-2</v>
      </c>
      <c r="AR383" s="22">
        <v>162.06100000000001</v>
      </c>
      <c r="AS383" s="22">
        <v>-1.6189599999999998E-2</v>
      </c>
      <c r="AT383" s="22">
        <v>373</v>
      </c>
      <c r="AU383" s="22">
        <v>-2.8476000000000001E-2</v>
      </c>
      <c r="AV383">
        <f t="shared" si="68"/>
        <v>16.189599999999999</v>
      </c>
      <c r="AW383">
        <f t="shared" si="69"/>
        <v>-0.45701298047999994</v>
      </c>
      <c r="AX383" s="9"/>
      <c r="AY383" s="22">
        <v>1.77826</v>
      </c>
      <c r="AZ383" s="22">
        <v>184.922</v>
      </c>
      <c r="BA383" s="22">
        <v>-2.68616E-4</v>
      </c>
      <c r="BB383" s="22">
        <v>373</v>
      </c>
      <c r="BC383" s="22">
        <v>1.77765</v>
      </c>
      <c r="BD383">
        <f t="shared" si="70"/>
        <v>0.26861600000000002</v>
      </c>
      <c r="BE383">
        <f t="shared" si="71"/>
        <v>0.47766908816000003</v>
      </c>
    </row>
    <row r="384" spans="6:57">
      <c r="F384" s="9"/>
      <c r="G384" s="22">
        <v>-3.3264200000000001E-2</v>
      </c>
      <c r="H384" s="22">
        <v>53.008699999999997</v>
      </c>
      <c r="I384" s="22">
        <v>-1.62109E-2</v>
      </c>
      <c r="J384" s="22">
        <v>374</v>
      </c>
      <c r="K384" s="22">
        <v>-3.3529700000000003E-2</v>
      </c>
      <c r="L384">
        <f t="shared" si="60"/>
        <v>16.210899999999999</v>
      </c>
      <c r="M384">
        <f t="shared" si="61"/>
        <v>-0.53924261977999999</v>
      </c>
      <c r="N384" s="9"/>
      <c r="O384" s="22">
        <v>1.78329</v>
      </c>
      <c r="P384" s="22">
        <v>70.891499999999994</v>
      </c>
      <c r="Q384" s="22">
        <v>-3.9480599999999999E-4</v>
      </c>
      <c r="R384" s="22">
        <v>374</v>
      </c>
      <c r="S384" s="22">
        <v>1.78284</v>
      </c>
      <c r="T384">
        <f t="shared" si="62"/>
        <v>0.39480599999999999</v>
      </c>
      <c r="U384">
        <f t="shared" si="63"/>
        <v>0.70405359174000004</v>
      </c>
      <c r="X384" s="9"/>
      <c r="Y384" s="22">
        <v>-3.3264200000000001E-2</v>
      </c>
      <c r="Z384" s="22">
        <v>120.45099999999999</v>
      </c>
      <c r="AA384" s="22">
        <v>-1.6204799999999998E-2</v>
      </c>
      <c r="AB384" s="22">
        <v>374</v>
      </c>
      <c r="AC384" s="22">
        <v>-3.3618200000000001E-2</v>
      </c>
      <c r="AD384">
        <f t="shared" si="64"/>
        <v>16.204799999999999</v>
      </c>
      <c r="AE384">
        <f t="shared" si="65"/>
        <v>-0.53903970816000002</v>
      </c>
      <c r="AF384" s="9"/>
      <c r="AG384" s="22">
        <v>1.78329</v>
      </c>
      <c r="AH384" s="22">
        <v>139.42599999999999</v>
      </c>
      <c r="AI384" s="22">
        <v>-1.7514000000000001E-4</v>
      </c>
      <c r="AJ384" s="22">
        <v>374</v>
      </c>
      <c r="AK384" s="22">
        <v>1.78223</v>
      </c>
      <c r="AL384">
        <f t="shared" si="66"/>
        <v>0.17514000000000002</v>
      </c>
      <c r="AM384">
        <f t="shared" si="67"/>
        <v>0.31232541060000002</v>
      </c>
      <c r="AP384" s="9"/>
      <c r="AQ384" s="22">
        <v>-3.3264200000000001E-2</v>
      </c>
      <c r="AR384" s="22">
        <v>162.071</v>
      </c>
      <c r="AS384" s="22">
        <v>-1.6186499999999999E-2</v>
      </c>
      <c r="AT384" s="22">
        <v>374</v>
      </c>
      <c r="AU384" s="22">
        <v>-3.3605999999999997E-2</v>
      </c>
      <c r="AV384">
        <f t="shared" si="68"/>
        <v>16.186499999999999</v>
      </c>
      <c r="AW384">
        <f t="shared" si="69"/>
        <v>-0.5384309733</v>
      </c>
      <c r="AX384" s="9"/>
      <c r="AY384" s="22">
        <v>1.78329</v>
      </c>
      <c r="AZ384" s="22">
        <v>184.93199999999999</v>
      </c>
      <c r="BA384" s="25">
        <v>-8.7066700000000004E-5</v>
      </c>
      <c r="BB384" s="22">
        <v>374</v>
      </c>
      <c r="BC384" s="22">
        <v>1.78223</v>
      </c>
      <c r="BD384">
        <f t="shared" si="70"/>
        <v>8.7066700000000011E-2</v>
      </c>
      <c r="BE384">
        <f t="shared" si="71"/>
        <v>0.15526517544300003</v>
      </c>
    </row>
    <row r="385" spans="6:57">
      <c r="F385" s="9"/>
      <c r="G385" s="22">
        <v>-3.8299600000000003E-2</v>
      </c>
      <c r="H385" s="22">
        <v>53.018799999999999</v>
      </c>
      <c r="I385" s="22">
        <v>-1.6213999999999999E-2</v>
      </c>
      <c r="J385" s="22">
        <v>375</v>
      </c>
      <c r="K385" s="22">
        <v>-3.8549800000000002E-2</v>
      </c>
      <c r="L385">
        <f t="shared" si="60"/>
        <v>16.213999999999999</v>
      </c>
      <c r="M385">
        <f t="shared" si="61"/>
        <v>-0.62098971439999995</v>
      </c>
      <c r="N385" s="9"/>
      <c r="O385" s="22">
        <v>1.78833</v>
      </c>
      <c r="P385" s="22">
        <v>70.901600000000002</v>
      </c>
      <c r="Q385" s="22">
        <v>-2.35016E-4</v>
      </c>
      <c r="R385" s="22">
        <v>375</v>
      </c>
      <c r="S385" s="22">
        <v>1.7880199999999999</v>
      </c>
      <c r="T385">
        <f t="shared" si="62"/>
        <v>0.235016</v>
      </c>
      <c r="U385">
        <f t="shared" si="63"/>
        <v>0.42028616328000001</v>
      </c>
      <c r="X385" s="9"/>
      <c r="Y385" s="22">
        <v>-3.8299600000000003E-2</v>
      </c>
      <c r="Z385" s="22">
        <v>120.461</v>
      </c>
      <c r="AA385" s="22">
        <v>-1.6213999999999999E-2</v>
      </c>
      <c r="AB385" s="22">
        <v>375</v>
      </c>
      <c r="AC385" s="22">
        <v>-3.8549800000000002E-2</v>
      </c>
      <c r="AD385">
        <f t="shared" si="64"/>
        <v>16.213999999999999</v>
      </c>
      <c r="AE385">
        <f t="shared" si="65"/>
        <v>-0.62098971439999995</v>
      </c>
      <c r="AF385" s="9"/>
      <c r="AG385" s="22">
        <v>1.78833</v>
      </c>
      <c r="AH385" s="22">
        <v>139.43600000000001</v>
      </c>
      <c r="AI385" s="25">
        <v>4.57764E-7</v>
      </c>
      <c r="AJ385" s="22">
        <v>375</v>
      </c>
      <c r="AK385" s="22">
        <v>1.78711</v>
      </c>
      <c r="AL385">
        <f t="shared" si="66"/>
        <v>-4.5776399999999999E-4</v>
      </c>
      <c r="AM385">
        <f t="shared" si="67"/>
        <v>-8.1863309412000002E-4</v>
      </c>
      <c r="AP385" s="9"/>
      <c r="AQ385" s="22">
        <v>-3.8299600000000003E-2</v>
      </c>
      <c r="AR385" s="22">
        <v>162.08099999999999</v>
      </c>
      <c r="AS385" s="22">
        <v>-1.61835E-2</v>
      </c>
      <c r="AT385" s="22">
        <v>375</v>
      </c>
      <c r="AU385" s="22">
        <v>-3.8555899999999997E-2</v>
      </c>
      <c r="AV385">
        <f t="shared" si="68"/>
        <v>16.183499999999999</v>
      </c>
      <c r="AW385">
        <f t="shared" si="69"/>
        <v>-0.61982157660000003</v>
      </c>
      <c r="AX385" s="9"/>
      <c r="AY385" s="22">
        <v>1.78833</v>
      </c>
      <c r="AZ385" s="22">
        <v>184.94200000000001</v>
      </c>
      <c r="BA385" s="25">
        <v>9.4940199999999996E-5</v>
      </c>
      <c r="BB385" s="22">
        <v>375</v>
      </c>
      <c r="BC385" s="22">
        <v>1.7880199999999999</v>
      </c>
      <c r="BD385">
        <f t="shared" si="70"/>
        <v>-9.4940200000000002E-2</v>
      </c>
      <c r="BE385">
        <f t="shared" si="71"/>
        <v>-0.16978440786599999</v>
      </c>
    </row>
    <row r="386" spans="6:57">
      <c r="F386" s="9"/>
      <c r="G386" s="22">
        <v>-4.3334999999999999E-2</v>
      </c>
      <c r="H386" s="22">
        <v>53.028799999999997</v>
      </c>
      <c r="I386" s="22">
        <v>-1.6216999999999999E-2</v>
      </c>
      <c r="J386" s="22">
        <v>376</v>
      </c>
      <c r="K386" s="22">
        <v>-4.3631000000000003E-2</v>
      </c>
      <c r="L386">
        <f t="shared" si="60"/>
        <v>16.216999999999999</v>
      </c>
      <c r="M386">
        <f t="shared" si="61"/>
        <v>-0.70276369499999991</v>
      </c>
      <c r="N386" s="9"/>
      <c r="O386" s="22">
        <v>1.7933699999999999</v>
      </c>
      <c r="P386" s="22">
        <v>70.911699999999996</v>
      </c>
      <c r="Q386" s="25">
        <v>-7.6019299999999999E-5</v>
      </c>
      <c r="R386" s="22">
        <v>376</v>
      </c>
      <c r="S386" s="22">
        <v>1.7923</v>
      </c>
      <c r="T386">
        <f t="shared" si="62"/>
        <v>7.6019299999999998E-2</v>
      </c>
      <c r="U386">
        <f t="shared" si="63"/>
        <v>0.13633073204099999</v>
      </c>
      <c r="X386" s="9"/>
      <c r="Y386" s="22">
        <v>-4.3334999999999999E-2</v>
      </c>
      <c r="Z386" s="22">
        <v>120.471</v>
      </c>
      <c r="AA386" s="22">
        <v>-1.6220100000000001E-2</v>
      </c>
      <c r="AB386" s="22">
        <v>376</v>
      </c>
      <c r="AC386" s="22">
        <v>-4.36707E-2</v>
      </c>
      <c r="AD386">
        <f t="shared" si="64"/>
        <v>16.220100000000002</v>
      </c>
      <c r="AE386">
        <f t="shared" si="65"/>
        <v>-0.70289803350000002</v>
      </c>
      <c r="AF386" s="9"/>
      <c r="AG386" s="22">
        <v>1.7933699999999999</v>
      </c>
      <c r="AH386" s="22">
        <v>139.446</v>
      </c>
      <c r="AI386" s="22">
        <v>1.7758199999999999E-4</v>
      </c>
      <c r="AJ386" s="22">
        <v>376</v>
      </c>
      <c r="AK386" s="22">
        <v>1.7926</v>
      </c>
      <c r="AL386">
        <f t="shared" si="66"/>
        <v>-0.17758199999999999</v>
      </c>
      <c r="AM386">
        <f t="shared" si="67"/>
        <v>-0.31847023133999997</v>
      </c>
      <c r="AP386" s="9"/>
      <c r="AQ386" s="22">
        <v>-4.3334999999999999E-2</v>
      </c>
      <c r="AR386" s="22">
        <v>162.09100000000001</v>
      </c>
      <c r="AS386" s="22">
        <v>-1.6186499999999999E-2</v>
      </c>
      <c r="AT386" s="22">
        <v>376</v>
      </c>
      <c r="AU386" s="22">
        <v>-4.35638E-2</v>
      </c>
      <c r="AV386">
        <f t="shared" si="68"/>
        <v>16.186499999999999</v>
      </c>
      <c r="AW386">
        <f t="shared" si="69"/>
        <v>-0.70144197749999992</v>
      </c>
      <c r="AX386" s="9"/>
      <c r="AY386" s="22">
        <v>1.7933699999999999</v>
      </c>
      <c r="AZ386" s="22">
        <v>184.952</v>
      </c>
      <c r="BA386" s="22">
        <v>2.79144E-4</v>
      </c>
      <c r="BB386" s="22">
        <v>376</v>
      </c>
      <c r="BC386" s="22">
        <v>1.7926</v>
      </c>
      <c r="BD386">
        <f t="shared" si="70"/>
        <v>-0.279144</v>
      </c>
      <c r="BE386">
        <f t="shared" si="71"/>
        <v>-0.50060847527999996</v>
      </c>
    </row>
    <row r="387" spans="6:57">
      <c r="F387" s="9"/>
      <c r="G387" s="22">
        <v>-4.8370400000000001E-2</v>
      </c>
      <c r="H387" s="22">
        <v>53.038899999999998</v>
      </c>
      <c r="I387" s="22">
        <v>-1.6223100000000001E-2</v>
      </c>
      <c r="J387" s="22">
        <v>377</v>
      </c>
      <c r="K387" s="22">
        <v>-4.86725E-2</v>
      </c>
      <c r="L387">
        <f t="shared" si="60"/>
        <v>16.223100000000002</v>
      </c>
      <c r="M387">
        <f t="shared" si="61"/>
        <v>-0.78471783624000013</v>
      </c>
      <c r="N387" s="9"/>
      <c r="O387" s="22">
        <v>1.7984</v>
      </c>
      <c r="P387" s="22">
        <v>70.921700000000001</v>
      </c>
      <c r="Q387" s="25">
        <v>8.6547900000000005E-5</v>
      </c>
      <c r="R387" s="22">
        <v>377</v>
      </c>
      <c r="S387" s="22">
        <v>1.79779</v>
      </c>
      <c r="T387">
        <f t="shared" si="62"/>
        <v>-8.6547900000000011E-2</v>
      </c>
      <c r="U387">
        <f t="shared" si="63"/>
        <v>-0.15564774336000001</v>
      </c>
      <c r="X387" s="9"/>
      <c r="Y387" s="22">
        <v>-4.8370400000000001E-2</v>
      </c>
      <c r="Z387" s="22">
        <v>120.48099999999999</v>
      </c>
      <c r="AA387" s="22">
        <v>-1.6229199999999999E-2</v>
      </c>
      <c r="AB387" s="22">
        <v>377</v>
      </c>
      <c r="AC387" s="22">
        <v>-4.8626700000000002E-2</v>
      </c>
      <c r="AD387">
        <f t="shared" si="64"/>
        <v>16.229199999999999</v>
      </c>
      <c r="AE387">
        <f t="shared" si="65"/>
        <v>-0.78501289567999999</v>
      </c>
      <c r="AF387" s="9"/>
      <c r="AG387" s="22">
        <v>1.7984</v>
      </c>
      <c r="AH387" s="22">
        <v>139.45599999999999</v>
      </c>
      <c r="AI387" s="22">
        <v>3.5714699999999999E-4</v>
      </c>
      <c r="AJ387" s="22">
        <v>377</v>
      </c>
      <c r="AK387" s="22">
        <v>1.7981</v>
      </c>
      <c r="AL387">
        <f t="shared" si="66"/>
        <v>-0.35714699999999999</v>
      </c>
      <c r="AM387">
        <f t="shared" si="67"/>
        <v>-0.64229316479999998</v>
      </c>
      <c r="AP387" s="9"/>
      <c r="AQ387" s="22">
        <v>-4.8370400000000001E-2</v>
      </c>
      <c r="AR387" s="22">
        <v>162.101</v>
      </c>
      <c r="AS387" s="22">
        <v>-1.6186499999999999E-2</v>
      </c>
      <c r="AT387" s="22">
        <v>377</v>
      </c>
      <c r="AU387" s="22">
        <v>-4.8645000000000001E-2</v>
      </c>
      <c r="AV387">
        <f t="shared" si="68"/>
        <v>16.186499999999999</v>
      </c>
      <c r="AW387">
        <f t="shared" si="69"/>
        <v>-0.7829474796</v>
      </c>
      <c r="AX387" s="9"/>
      <c r="AY387" s="22">
        <v>1.7984</v>
      </c>
      <c r="AZ387" s="22">
        <v>184.96199999999999</v>
      </c>
      <c r="BA387" s="22">
        <v>4.6404999999999998E-4</v>
      </c>
      <c r="BB387" s="22">
        <v>377</v>
      </c>
      <c r="BC387" s="22">
        <v>1.79749</v>
      </c>
      <c r="BD387">
        <f t="shared" si="70"/>
        <v>-0.46404999999999996</v>
      </c>
      <c r="BE387">
        <f t="shared" si="71"/>
        <v>-0.83454751999999999</v>
      </c>
    </row>
    <row r="388" spans="6:57">
      <c r="F388" s="9"/>
      <c r="G388" s="22">
        <v>-5.3405800000000003E-2</v>
      </c>
      <c r="H388" s="22">
        <v>53.048999999999999</v>
      </c>
      <c r="I388" s="22">
        <v>-1.6223100000000001E-2</v>
      </c>
      <c r="J388" s="22">
        <v>378</v>
      </c>
      <c r="K388" s="22">
        <v>-5.3924600000000003E-2</v>
      </c>
      <c r="L388">
        <f t="shared" si="60"/>
        <v>16.223100000000002</v>
      </c>
      <c r="M388">
        <f t="shared" si="61"/>
        <v>-0.8664076339800002</v>
      </c>
      <c r="N388" s="9"/>
      <c r="O388" s="22">
        <v>1.8034399999999999</v>
      </c>
      <c r="P388" s="22">
        <v>70.931799999999996</v>
      </c>
      <c r="Q388" s="22">
        <v>2.4789400000000002E-4</v>
      </c>
      <c r="R388" s="22">
        <v>378</v>
      </c>
      <c r="S388" s="22">
        <v>1.80267</v>
      </c>
      <c r="T388">
        <f t="shared" si="62"/>
        <v>-0.24789400000000003</v>
      </c>
      <c r="U388">
        <f t="shared" si="63"/>
        <v>-0.44706195536000004</v>
      </c>
      <c r="X388" s="9"/>
      <c r="Y388" s="22">
        <v>-5.3405800000000003E-2</v>
      </c>
      <c r="Z388" s="22">
        <v>120.491</v>
      </c>
      <c r="AA388" s="22">
        <v>-1.6232300000000002E-2</v>
      </c>
      <c r="AB388" s="22">
        <v>378</v>
      </c>
      <c r="AC388" s="22">
        <v>-5.3832999999999999E-2</v>
      </c>
      <c r="AD388">
        <f t="shared" si="64"/>
        <v>16.232300000000002</v>
      </c>
      <c r="AE388">
        <f t="shared" si="65"/>
        <v>-0.86689896734000016</v>
      </c>
      <c r="AF388" s="9"/>
      <c r="AG388" s="22">
        <v>1.8034399999999999</v>
      </c>
      <c r="AH388" s="22">
        <v>139.46600000000001</v>
      </c>
      <c r="AI388" s="22">
        <v>5.3375199999999997E-4</v>
      </c>
      <c r="AJ388" s="22">
        <v>378</v>
      </c>
      <c r="AK388" s="22">
        <v>1.80267</v>
      </c>
      <c r="AL388">
        <f t="shared" si="66"/>
        <v>-0.533752</v>
      </c>
      <c r="AM388">
        <f t="shared" si="67"/>
        <v>-0.96258970688000001</v>
      </c>
      <c r="AP388" s="9"/>
      <c r="AQ388" s="22">
        <v>-5.3405800000000003E-2</v>
      </c>
      <c r="AR388" s="22">
        <v>162.11099999999999</v>
      </c>
      <c r="AS388" s="22">
        <v>-1.6189599999999998E-2</v>
      </c>
      <c r="AT388" s="22">
        <v>378</v>
      </c>
      <c r="AU388" s="22">
        <v>-5.3924600000000003E-2</v>
      </c>
      <c r="AV388">
        <f t="shared" si="68"/>
        <v>16.189599999999999</v>
      </c>
      <c r="AW388">
        <f t="shared" si="69"/>
        <v>-0.86461853968000002</v>
      </c>
      <c r="AX388" s="9"/>
      <c r="AY388" s="22">
        <v>1.8034399999999999</v>
      </c>
      <c r="AZ388" s="22">
        <v>184.97200000000001</v>
      </c>
      <c r="BA388" s="22">
        <v>6.4819300000000003E-4</v>
      </c>
      <c r="BB388" s="22">
        <v>378</v>
      </c>
      <c r="BC388" s="22">
        <v>1.80237</v>
      </c>
      <c r="BD388">
        <f t="shared" si="70"/>
        <v>-0.64819300000000002</v>
      </c>
      <c r="BE388">
        <f t="shared" si="71"/>
        <v>-1.1689771839200001</v>
      </c>
    </row>
    <row r="389" spans="6:57">
      <c r="F389" s="9"/>
      <c r="G389" s="22">
        <v>-5.8441199999999999E-2</v>
      </c>
      <c r="H389" s="22">
        <v>53.058999999999997</v>
      </c>
      <c r="I389" s="22">
        <v>-1.6220100000000001E-2</v>
      </c>
      <c r="J389" s="22">
        <v>379</v>
      </c>
      <c r="K389" s="22">
        <v>-5.89294E-2</v>
      </c>
      <c r="L389">
        <f t="shared" si="60"/>
        <v>16.220100000000002</v>
      </c>
      <c r="M389">
        <f t="shared" si="61"/>
        <v>-0.94792210812000011</v>
      </c>
      <c r="N389" s="9"/>
      <c r="O389" s="22">
        <v>1.80847</v>
      </c>
      <c r="P389" s="22">
        <v>70.941900000000004</v>
      </c>
      <c r="Q389" s="22">
        <v>4.1125500000000002E-4</v>
      </c>
      <c r="R389" s="22">
        <v>379</v>
      </c>
      <c r="S389" s="22">
        <v>1.80725</v>
      </c>
      <c r="T389">
        <f t="shared" si="62"/>
        <v>-0.41125500000000004</v>
      </c>
      <c r="U389">
        <f t="shared" si="63"/>
        <v>-0.74374232985000011</v>
      </c>
      <c r="X389" s="9"/>
      <c r="Y389" s="22">
        <v>-5.8441199999999999E-2</v>
      </c>
      <c r="Z389" s="22">
        <v>120.501</v>
      </c>
      <c r="AA389" s="22">
        <v>-1.6241499999999999E-2</v>
      </c>
      <c r="AB389" s="22">
        <v>379</v>
      </c>
      <c r="AC389" s="22">
        <v>-5.8990500000000001E-2</v>
      </c>
      <c r="AD389">
        <f t="shared" si="64"/>
        <v>16.241499999999998</v>
      </c>
      <c r="AE389">
        <f t="shared" si="65"/>
        <v>-0.94917274979999988</v>
      </c>
      <c r="AF389" s="9"/>
      <c r="AG389" s="22">
        <v>1.80847</v>
      </c>
      <c r="AH389" s="22">
        <v>139.476</v>
      </c>
      <c r="AI389" s="22">
        <v>7.1411100000000002E-4</v>
      </c>
      <c r="AJ389" s="22">
        <v>379</v>
      </c>
      <c r="AK389" s="22">
        <v>1.80786</v>
      </c>
      <c r="AL389">
        <f t="shared" si="66"/>
        <v>-0.71411100000000005</v>
      </c>
      <c r="AM389">
        <f t="shared" si="67"/>
        <v>-1.2914483201700002</v>
      </c>
      <c r="AP389" s="9"/>
      <c r="AQ389" s="22">
        <v>-5.8441199999999999E-2</v>
      </c>
      <c r="AR389" s="22">
        <v>162.12100000000001</v>
      </c>
      <c r="AS389" s="22">
        <v>-1.6192600000000001E-2</v>
      </c>
      <c r="AT389" s="22">
        <v>379</v>
      </c>
      <c r="AU389" s="22">
        <v>-5.8868400000000001E-2</v>
      </c>
      <c r="AV389">
        <f t="shared" si="68"/>
        <v>16.192600000000002</v>
      </c>
      <c r="AW389">
        <f t="shared" si="69"/>
        <v>-0.94631497512000007</v>
      </c>
      <c r="AX389" s="9"/>
      <c r="AY389" s="22">
        <v>1.80847</v>
      </c>
      <c r="AZ389" s="22">
        <v>184.982</v>
      </c>
      <c r="BA389" s="22">
        <v>8.3557100000000001E-4</v>
      </c>
      <c r="BB389" s="22">
        <v>379</v>
      </c>
      <c r="BC389" s="22">
        <v>1.8075600000000001</v>
      </c>
      <c r="BD389">
        <f t="shared" si="70"/>
        <v>-0.83557100000000006</v>
      </c>
      <c r="BE389">
        <f t="shared" si="71"/>
        <v>-1.5111050863700002</v>
      </c>
    </row>
    <row r="390" spans="6:57">
      <c r="F390" s="9"/>
      <c r="G390" s="22">
        <v>-6.3476599999999994E-2</v>
      </c>
      <c r="H390" s="22">
        <v>53.069099999999999</v>
      </c>
      <c r="I390" s="22">
        <v>-1.6223100000000001E-2</v>
      </c>
      <c r="J390" s="22">
        <v>380</v>
      </c>
      <c r="K390" s="22">
        <v>-6.3964800000000002E-2</v>
      </c>
      <c r="L390">
        <f t="shared" si="60"/>
        <v>16.223100000000002</v>
      </c>
      <c r="M390">
        <f t="shared" si="61"/>
        <v>-1.0297872294600001</v>
      </c>
      <c r="N390" s="9"/>
      <c r="O390" s="22">
        <v>1.81351</v>
      </c>
      <c r="P390" s="22">
        <v>70.951999999999998</v>
      </c>
      <c r="Q390" s="22">
        <v>5.7342500000000002E-4</v>
      </c>
      <c r="R390" s="22">
        <v>380</v>
      </c>
      <c r="S390" s="22">
        <v>1.8130500000000001</v>
      </c>
      <c r="T390">
        <f t="shared" si="62"/>
        <v>-0.57342500000000007</v>
      </c>
      <c r="U390">
        <f t="shared" si="63"/>
        <v>-1.0399119717500001</v>
      </c>
      <c r="X390" s="9"/>
      <c r="Y390" s="22">
        <v>-6.3476599999999994E-2</v>
      </c>
      <c r="Z390" s="22">
        <v>120.511</v>
      </c>
      <c r="AA390" s="22">
        <v>-1.6244499999999999E-2</v>
      </c>
      <c r="AB390" s="22">
        <v>380</v>
      </c>
      <c r="AC390" s="22">
        <v>-6.3964800000000002E-2</v>
      </c>
      <c r="AD390">
        <f t="shared" si="64"/>
        <v>16.244499999999999</v>
      </c>
      <c r="AE390">
        <f t="shared" si="65"/>
        <v>-1.0311456286999998</v>
      </c>
      <c r="AF390" s="9"/>
      <c r="AG390" s="22">
        <v>1.81351</v>
      </c>
      <c r="AH390" s="22">
        <v>139.48599999999999</v>
      </c>
      <c r="AI390" s="22">
        <v>8.9508100000000004E-4</v>
      </c>
      <c r="AJ390" s="22">
        <v>380</v>
      </c>
      <c r="AK390" s="22">
        <v>1.8124400000000001</v>
      </c>
      <c r="AL390">
        <f t="shared" si="66"/>
        <v>-0.89508100000000002</v>
      </c>
      <c r="AM390">
        <f t="shared" si="67"/>
        <v>-1.62323834431</v>
      </c>
      <c r="AP390" s="9"/>
      <c r="AQ390" s="22">
        <v>-6.3476599999999994E-2</v>
      </c>
      <c r="AR390" s="22">
        <v>162.131</v>
      </c>
      <c r="AS390" s="22">
        <v>-1.61957E-2</v>
      </c>
      <c r="AT390" s="22">
        <v>380</v>
      </c>
      <c r="AU390" s="22">
        <v>-6.3934299999999999E-2</v>
      </c>
      <c r="AV390">
        <f t="shared" si="68"/>
        <v>16.195699999999999</v>
      </c>
      <c r="AW390">
        <f t="shared" si="69"/>
        <v>-1.0280479706199999</v>
      </c>
      <c r="AX390" s="9"/>
      <c r="AY390" s="22">
        <v>1.81351</v>
      </c>
      <c r="AZ390" s="22">
        <v>184.99199999999999</v>
      </c>
      <c r="BA390" s="22">
        <v>1.0238599999999999E-3</v>
      </c>
      <c r="BB390" s="22">
        <v>380</v>
      </c>
      <c r="BC390" s="22">
        <v>1.81335</v>
      </c>
      <c r="BD390">
        <f t="shared" si="70"/>
        <v>-1.02386</v>
      </c>
      <c r="BE390">
        <f t="shared" si="71"/>
        <v>-1.8567803485999999</v>
      </c>
    </row>
    <row r="391" spans="6:57">
      <c r="F391" s="9"/>
      <c r="G391" s="22">
        <v>-6.8512000000000003E-2</v>
      </c>
      <c r="H391" s="22">
        <v>53.0792</v>
      </c>
      <c r="I391" s="22">
        <v>-1.6229199999999999E-2</v>
      </c>
      <c r="J391" s="22">
        <v>381</v>
      </c>
      <c r="K391" s="22">
        <v>-6.9000199999999998E-2</v>
      </c>
      <c r="L391">
        <f t="shared" si="60"/>
        <v>16.229199999999999</v>
      </c>
      <c r="M391">
        <f t="shared" si="61"/>
        <v>-1.1118949504</v>
      </c>
      <c r="N391" s="9"/>
      <c r="O391" s="22">
        <v>1.81854</v>
      </c>
      <c r="P391" s="22">
        <v>70.962000000000003</v>
      </c>
      <c r="Q391" s="22">
        <v>7.3822000000000004E-4</v>
      </c>
      <c r="R391" s="22">
        <v>381</v>
      </c>
      <c r="S391" s="22">
        <v>1.8182400000000001</v>
      </c>
      <c r="T391">
        <f t="shared" si="62"/>
        <v>-0.7382200000000001</v>
      </c>
      <c r="U391">
        <f t="shared" si="63"/>
        <v>-1.3424825988000002</v>
      </c>
      <c r="X391" s="9"/>
      <c r="Y391" s="22">
        <v>-6.8512000000000003E-2</v>
      </c>
      <c r="Z391" s="22">
        <v>120.521</v>
      </c>
      <c r="AA391" s="22">
        <v>-1.6247600000000001E-2</v>
      </c>
      <c r="AB391" s="22">
        <v>381</v>
      </c>
      <c r="AC391" s="22">
        <v>-6.8939200000000006E-2</v>
      </c>
      <c r="AD391">
        <f t="shared" si="64"/>
        <v>16.247600000000002</v>
      </c>
      <c r="AE391">
        <f t="shared" si="65"/>
        <v>-1.1131555712000003</v>
      </c>
      <c r="AF391" s="9"/>
      <c r="AG391" s="22">
        <v>1.81854</v>
      </c>
      <c r="AH391" s="22">
        <v>139.49600000000001</v>
      </c>
      <c r="AI391" s="22">
        <v>1.0790999999999999E-3</v>
      </c>
      <c r="AJ391" s="22">
        <v>381</v>
      </c>
      <c r="AK391" s="22">
        <v>1.8182400000000001</v>
      </c>
      <c r="AL391">
        <f t="shared" si="66"/>
        <v>-1.0790999999999999</v>
      </c>
      <c r="AM391">
        <f t="shared" si="67"/>
        <v>-1.9623865139999999</v>
      </c>
      <c r="AP391" s="9"/>
      <c r="AQ391" s="22">
        <v>-6.8512000000000003E-2</v>
      </c>
      <c r="AR391" s="22">
        <v>162.14099999999999</v>
      </c>
      <c r="AS391" s="22">
        <v>-1.61987E-2</v>
      </c>
      <c r="AT391" s="22">
        <v>381</v>
      </c>
      <c r="AU391" s="22">
        <v>-6.8969699999999995E-2</v>
      </c>
      <c r="AV391">
        <f t="shared" si="68"/>
        <v>16.198699999999999</v>
      </c>
      <c r="AW391">
        <f t="shared" si="69"/>
        <v>-1.1098053344000001</v>
      </c>
      <c r="AX391" s="9"/>
      <c r="AY391" s="22">
        <v>1.81854</v>
      </c>
      <c r="AZ391" s="22">
        <v>185.00200000000001</v>
      </c>
      <c r="BA391" s="22">
        <v>1.21368E-3</v>
      </c>
      <c r="BB391" s="22">
        <v>381</v>
      </c>
      <c r="BC391" s="22">
        <v>1.81854</v>
      </c>
      <c r="BD391">
        <f t="shared" si="70"/>
        <v>-1.2136799999999999</v>
      </c>
      <c r="BE391">
        <f t="shared" si="71"/>
        <v>-2.2071256271999999</v>
      </c>
    </row>
    <row r="392" spans="6:57">
      <c r="F392" s="9"/>
      <c r="G392" s="22">
        <v>-7.3547399999999999E-2</v>
      </c>
      <c r="H392" s="22">
        <v>53.089300000000001</v>
      </c>
      <c r="I392" s="22">
        <v>-1.62384E-2</v>
      </c>
      <c r="J392" s="22">
        <v>382</v>
      </c>
      <c r="K392" s="22">
        <v>-7.3944099999999999E-2</v>
      </c>
      <c r="L392">
        <f t="shared" si="60"/>
        <v>16.238399999999999</v>
      </c>
      <c r="M392">
        <f t="shared" si="61"/>
        <v>-1.19429210016</v>
      </c>
      <c r="N392" s="9"/>
      <c r="O392" s="22">
        <v>1.82358</v>
      </c>
      <c r="P392" s="22">
        <v>70.972099999999998</v>
      </c>
      <c r="Q392" s="22">
        <v>9.0362500000000002E-4</v>
      </c>
      <c r="R392" s="22">
        <v>382</v>
      </c>
      <c r="S392" s="22">
        <v>1.82281</v>
      </c>
      <c r="T392">
        <f t="shared" si="62"/>
        <v>-0.90362500000000001</v>
      </c>
      <c r="U392">
        <f t="shared" si="63"/>
        <v>-1.6478324774999999</v>
      </c>
      <c r="X392" s="9"/>
      <c r="Y392" s="22">
        <v>-7.3547399999999999E-2</v>
      </c>
      <c r="Z392" s="22">
        <v>120.532</v>
      </c>
      <c r="AA392" s="22">
        <v>-1.6253699999999999E-2</v>
      </c>
      <c r="AB392" s="22">
        <v>382</v>
      </c>
      <c r="AC392" s="22">
        <v>-7.4005100000000004E-2</v>
      </c>
      <c r="AD392">
        <f t="shared" si="64"/>
        <v>16.253699999999998</v>
      </c>
      <c r="AE392">
        <f t="shared" si="65"/>
        <v>-1.1954173753799999</v>
      </c>
      <c r="AF392" s="9"/>
      <c r="AG392" s="22">
        <v>1.82358</v>
      </c>
      <c r="AH392" s="22">
        <v>139.506</v>
      </c>
      <c r="AI392" s="22">
        <v>1.26312E-3</v>
      </c>
      <c r="AJ392" s="22">
        <v>382</v>
      </c>
      <c r="AK392" s="22">
        <v>1.8225100000000001</v>
      </c>
      <c r="AL392">
        <f t="shared" si="66"/>
        <v>-1.26312</v>
      </c>
      <c r="AM392">
        <f t="shared" si="67"/>
        <v>-2.3034003695999998</v>
      </c>
      <c r="AP392" s="9"/>
      <c r="AQ392" s="22">
        <v>-7.3547399999999999E-2</v>
      </c>
      <c r="AR392" s="22">
        <v>162.15100000000001</v>
      </c>
      <c r="AS392" s="22">
        <v>-1.6207900000000001E-2</v>
      </c>
      <c r="AT392" s="22">
        <v>382</v>
      </c>
      <c r="AU392" s="22">
        <v>-7.3883099999999993E-2</v>
      </c>
      <c r="AV392">
        <f t="shared" si="68"/>
        <v>16.207900000000002</v>
      </c>
      <c r="AW392">
        <f t="shared" si="69"/>
        <v>-1.1920489044600002</v>
      </c>
      <c r="AX392" s="9"/>
      <c r="AY392" s="22">
        <v>1.82358</v>
      </c>
      <c r="AZ392" s="22">
        <v>185.012</v>
      </c>
      <c r="BA392" s="22">
        <v>1.4047199999999999E-3</v>
      </c>
      <c r="BB392" s="22">
        <v>382</v>
      </c>
      <c r="BC392" s="22">
        <v>1.8225100000000001</v>
      </c>
      <c r="BD392">
        <f t="shared" si="70"/>
        <v>-1.40472</v>
      </c>
      <c r="BE392">
        <f t="shared" si="71"/>
        <v>-2.5616192976000001</v>
      </c>
    </row>
    <row r="393" spans="6:57">
      <c r="F393" s="9"/>
      <c r="G393" s="22">
        <v>-7.8582799999999994E-2</v>
      </c>
      <c r="H393" s="22">
        <v>53.099299999999999</v>
      </c>
      <c r="I393" s="22">
        <v>-1.6235400000000001E-2</v>
      </c>
      <c r="J393" s="22">
        <v>383</v>
      </c>
      <c r="K393" s="22">
        <v>-7.8918500000000003E-2</v>
      </c>
      <c r="L393">
        <f t="shared" si="60"/>
        <v>16.235400000000002</v>
      </c>
      <c r="M393">
        <f t="shared" si="61"/>
        <v>-1.27582319112</v>
      </c>
      <c r="N393" s="9"/>
      <c r="O393" s="22">
        <v>1.8286100000000001</v>
      </c>
      <c r="P393" s="22">
        <v>70.982200000000006</v>
      </c>
      <c r="Q393" s="22">
        <v>1.0699500000000001E-3</v>
      </c>
      <c r="R393" s="22">
        <v>383</v>
      </c>
      <c r="S393" s="22">
        <v>1.8277000000000001</v>
      </c>
      <c r="T393">
        <f t="shared" si="62"/>
        <v>-1.06995</v>
      </c>
      <c r="U393">
        <f t="shared" si="63"/>
        <v>-1.9565212695</v>
      </c>
      <c r="X393" s="9"/>
      <c r="Y393" s="22">
        <v>-7.8582799999999994E-2</v>
      </c>
      <c r="Z393" s="22">
        <v>120.542</v>
      </c>
      <c r="AA393" s="22">
        <v>-1.6253699999999999E-2</v>
      </c>
      <c r="AB393" s="22">
        <v>383</v>
      </c>
      <c r="AC393" s="22">
        <v>-7.9071000000000002E-2</v>
      </c>
      <c r="AD393">
        <f t="shared" si="64"/>
        <v>16.253699999999998</v>
      </c>
      <c r="AE393">
        <f t="shared" si="65"/>
        <v>-1.2772612563599999</v>
      </c>
      <c r="AF393" s="9"/>
      <c r="AG393" s="22">
        <v>1.8286100000000001</v>
      </c>
      <c r="AH393" s="22">
        <v>139.51599999999999</v>
      </c>
      <c r="AI393" s="22">
        <v>1.4480599999999999E-3</v>
      </c>
      <c r="AJ393" s="22">
        <v>383</v>
      </c>
      <c r="AK393" s="22">
        <v>1.8277000000000001</v>
      </c>
      <c r="AL393">
        <f t="shared" si="66"/>
        <v>-1.4480599999999999</v>
      </c>
      <c r="AM393">
        <f t="shared" si="67"/>
        <v>-2.6479369965999999</v>
      </c>
      <c r="AP393" s="9"/>
      <c r="AQ393" s="22">
        <v>-7.8582799999999994E-2</v>
      </c>
      <c r="AR393" s="22">
        <v>162.161</v>
      </c>
      <c r="AS393" s="22">
        <v>-1.6213999999999999E-2</v>
      </c>
      <c r="AT393" s="22">
        <v>383</v>
      </c>
      <c r="AU393" s="22">
        <v>-7.9071000000000002E-2</v>
      </c>
      <c r="AV393">
        <f t="shared" si="68"/>
        <v>16.213999999999999</v>
      </c>
      <c r="AW393">
        <f t="shared" si="69"/>
        <v>-1.2741415191999999</v>
      </c>
      <c r="AX393" s="9"/>
      <c r="AY393" s="22">
        <v>1.8286100000000001</v>
      </c>
      <c r="AZ393" s="22">
        <v>185.02199999999999</v>
      </c>
      <c r="BA393" s="22">
        <v>1.5976E-3</v>
      </c>
      <c r="BB393" s="22">
        <v>383</v>
      </c>
      <c r="BC393" s="22">
        <v>1.8277000000000001</v>
      </c>
      <c r="BD393">
        <f t="shared" si="70"/>
        <v>-1.5975999999999999</v>
      </c>
      <c r="BE393">
        <f t="shared" si="71"/>
        <v>-2.921387336</v>
      </c>
    </row>
    <row r="394" spans="6:57">
      <c r="F394" s="9"/>
      <c r="G394" s="22">
        <v>-8.3618200000000004E-2</v>
      </c>
      <c r="H394" s="22">
        <v>53.109400000000001</v>
      </c>
      <c r="I394" s="22">
        <v>-1.6235400000000001E-2</v>
      </c>
      <c r="J394" s="22">
        <v>384</v>
      </c>
      <c r="K394" s="22">
        <v>-8.4137000000000003E-2</v>
      </c>
      <c r="L394">
        <f t="shared" si="60"/>
        <v>16.235400000000002</v>
      </c>
      <c r="M394">
        <f t="shared" si="61"/>
        <v>-1.3575749242800002</v>
      </c>
      <c r="N394" s="9"/>
      <c r="O394" s="22">
        <v>1.83365</v>
      </c>
      <c r="P394" s="22">
        <v>70.992199999999997</v>
      </c>
      <c r="Q394" s="22">
        <v>1.2368800000000001E-3</v>
      </c>
      <c r="R394" s="22">
        <v>384</v>
      </c>
      <c r="S394" s="22">
        <v>1.8325800000000001</v>
      </c>
      <c r="T394">
        <f t="shared" si="62"/>
        <v>-1.2368800000000002</v>
      </c>
      <c r="U394">
        <f t="shared" si="63"/>
        <v>-2.2680050120000002</v>
      </c>
      <c r="X394" s="9"/>
      <c r="Y394" s="22">
        <v>-8.3618200000000004E-2</v>
      </c>
      <c r="Z394" s="22">
        <v>120.55200000000001</v>
      </c>
      <c r="AA394" s="22">
        <v>-1.6259800000000001E-2</v>
      </c>
      <c r="AB394" s="22">
        <v>384</v>
      </c>
      <c r="AC394" s="22">
        <v>-8.4137000000000003E-2</v>
      </c>
      <c r="AD394">
        <f t="shared" si="64"/>
        <v>16.259800000000002</v>
      </c>
      <c r="AE394">
        <f t="shared" si="65"/>
        <v>-1.3596152083600002</v>
      </c>
      <c r="AF394" s="9"/>
      <c r="AG394" s="22">
        <v>1.83365</v>
      </c>
      <c r="AH394" s="22">
        <v>139.52699999999999</v>
      </c>
      <c r="AI394" s="22">
        <v>1.6339099999999999E-3</v>
      </c>
      <c r="AJ394" s="22">
        <v>384</v>
      </c>
      <c r="AK394" s="22">
        <v>1.8331900000000001</v>
      </c>
      <c r="AL394">
        <f t="shared" si="66"/>
        <v>-1.63391</v>
      </c>
      <c r="AM394">
        <f t="shared" si="67"/>
        <v>-2.9960190715000001</v>
      </c>
      <c r="AP394" s="9"/>
      <c r="AQ394" s="22">
        <v>-8.3618200000000004E-2</v>
      </c>
      <c r="AR394" s="22">
        <v>162.17099999999999</v>
      </c>
      <c r="AS394" s="22">
        <v>-1.6220100000000001E-2</v>
      </c>
      <c r="AT394" s="22">
        <v>384</v>
      </c>
      <c r="AU394" s="22">
        <v>-8.4075899999999995E-2</v>
      </c>
      <c r="AV394">
        <f t="shared" si="68"/>
        <v>16.220100000000002</v>
      </c>
      <c r="AW394">
        <f t="shared" si="69"/>
        <v>-1.3562955658200002</v>
      </c>
      <c r="AX394" s="9"/>
      <c r="AY394" s="22">
        <v>1.83365</v>
      </c>
      <c r="AZ394" s="22">
        <v>185.03200000000001</v>
      </c>
      <c r="BA394" s="22">
        <v>1.7926000000000001E-3</v>
      </c>
      <c r="BB394" s="22">
        <v>384</v>
      </c>
      <c r="BC394" s="22">
        <v>1.8331900000000001</v>
      </c>
      <c r="BD394">
        <f t="shared" si="70"/>
        <v>-1.7926000000000002</v>
      </c>
      <c r="BE394">
        <f t="shared" si="71"/>
        <v>-3.2870009900000006</v>
      </c>
    </row>
    <row r="395" spans="6:57">
      <c r="F395" s="9"/>
      <c r="G395" s="22">
        <v>-8.8653599999999999E-2</v>
      </c>
      <c r="H395" s="22">
        <v>53.119500000000002</v>
      </c>
      <c r="I395" s="22">
        <v>-1.6235400000000001E-2</v>
      </c>
      <c r="J395" s="22">
        <v>385</v>
      </c>
      <c r="K395" s="22">
        <v>-8.9172399999999999E-2</v>
      </c>
      <c r="L395">
        <f t="shared" si="60"/>
        <v>16.235400000000002</v>
      </c>
      <c r="M395">
        <f t="shared" si="61"/>
        <v>-1.4393266574400001</v>
      </c>
      <c r="N395" s="9"/>
      <c r="O395" s="22">
        <v>1.8386800000000001</v>
      </c>
      <c r="P395" s="22">
        <v>71.002300000000005</v>
      </c>
      <c r="Q395" s="22">
        <v>1.40686E-3</v>
      </c>
      <c r="R395" s="22">
        <v>385</v>
      </c>
      <c r="S395" s="22">
        <v>1.8380700000000001</v>
      </c>
      <c r="T395">
        <f t="shared" si="62"/>
        <v>-1.40686</v>
      </c>
      <c r="U395">
        <f t="shared" si="63"/>
        <v>-2.5867653448000003</v>
      </c>
      <c r="X395" s="9"/>
      <c r="Y395" s="22">
        <v>-8.8653599999999999E-2</v>
      </c>
      <c r="Z395" s="22">
        <v>120.562</v>
      </c>
      <c r="AA395" s="22">
        <v>-1.6262800000000001E-2</v>
      </c>
      <c r="AB395" s="22">
        <v>385</v>
      </c>
      <c r="AC395" s="22">
        <v>-8.9141799999999993E-2</v>
      </c>
      <c r="AD395">
        <f t="shared" si="64"/>
        <v>16.262800000000002</v>
      </c>
      <c r="AE395">
        <f t="shared" si="65"/>
        <v>-1.4417557660800002</v>
      </c>
      <c r="AF395" s="9"/>
      <c r="AG395" s="22">
        <v>1.8386800000000001</v>
      </c>
      <c r="AH395" s="22">
        <v>139.53700000000001</v>
      </c>
      <c r="AI395" s="22">
        <v>1.8221999999999999E-3</v>
      </c>
      <c r="AJ395" s="22">
        <v>385</v>
      </c>
      <c r="AK395" s="22">
        <v>1.8383799999999999</v>
      </c>
      <c r="AL395">
        <f t="shared" si="66"/>
        <v>-1.8222</v>
      </c>
      <c r="AM395">
        <f t="shared" si="67"/>
        <v>-3.3504426960000004</v>
      </c>
      <c r="AP395" s="9"/>
      <c r="AQ395" s="22">
        <v>-8.8653599999999999E-2</v>
      </c>
      <c r="AR395" s="22">
        <v>162.18199999999999</v>
      </c>
      <c r="AS395" s="22">
        <v>-1.62262E-2</v>
      </c>
      <c r="AT395" s="22">
        <v>385</v>
      </c>
      <c r="AU395" s="22">
        <v>-8.9141799999999993E-2</v>
      </c>
      <c r="AV395">
        <f t="shared" si="68"/>
        <v>16.226199999999999</v>
      </c>
      <c r="AW395">
        <f t="shared" si="69"/>
        <v>-1.4385110443199998</v>
      </c>
      <c r="AX395" s="9"/>
      <c r="AY395" s="22">
        <v>1.8386800000000001</v>
      </c>
      <c r="AZ395" s="22">
        <v>185.042</v>
      </c>
      <c r="BA395" s="22">
        <v>1.9897500000000002E-3</v>
      </c>
      <c r="BB395" s="22">
        <v>385</v>
      </c>
      <c r="BC395" s="22">
        <v>1.8380700000000001</v>
      </c>
      <c r="BD395">
        <f t="shared" si="70"/>
        <v>-1.9897500000000001</v>
      </c>
      <c r="BE395">
        <f t="shared" si="71"/>
        <v>-3.6585135300000005</v>
      </c>
    </row>
    <row r="396" spans="6:57">
      <c r="F396" s="9"/>
      <c r="G396" s="22">
        <v>-9.3688999999999995E-2</v>
      </c>
      <c r="H396" s="22">
        <v>53.1295</v>
      </c>
      <c r="I396" s="22">
        <v>-1.6229199999999999E-2</v>
      </c>
      <c r="J396" s="22">
        <v>386</v>
      </c>
      <c r="K396" s="22">
        <v>-9.4177200000000003E-2</v>
      </c>
      <c r="L396">
        <f t="shared" ref="L396:L398" si="72">-I396/$F$2*1000</f>
        <v>16.229199999999999</v>
      </c>
      <c r="M396">
        <f t="shared" ref="M396:M398" si="73">L396*G396</f>
        <v>-1.5204975187999998</v>
      </c>
      <c r="N396" s="9"/>
      <c r="O396" s="22">
        <v>1.84372</v>
      </c>
      <c r="P396" s="22">
        <v>71.0124</v>
      </c>
      <c r="Q396" s="22">
        <v>1.5740999999999999E-3</v>
      </c>
      <c r="R396" s="22">
        <v>386</v>
      </c>
      <c r="S396" s="22">
        <v>1.8429599999999999</v>
      </c>
      <c r="T396">
        <f t="shared" ref="T396:T398" si="74">-Q396/$F$2*1000</f>
        <v>-1.5740999999999998</v>
      </c>
      <c r="U396">
        <f t="shared" ref="U396:U398" si="75">T396*O396</f>
        <v>-2.9021996519999997</v>
      </c>
      <c r="X396" s="9"/>
      <c r="Y396" s="22">
        <v>-9.3688999999999995E-2</v>
      </c>
      <c r="Z396" s="22">
        <v>120.572</v>
      </c>
      <c r="AA396" s="22">
        <v>-1.62659E-2</v>
      </c>
      <c r="AB396" s="22">
        <v>386</v>
      </c>
      <c r="AC396" s="22">
        <v>-9.4238299999999997E-2</v>
      </c>
      <c r="AD396">
        <f t="shared" ref="AD396:AD398" si="76">-AA396/$F$2*1000</f>
        <v>16.265899999999998</v>
      </c>
      <c r="AE396">
        <f t="shared" ref="AE396:AE398" si="77">AD396*Y396</f>
        <v>-1.5239359050999999</v>
      </c>
      <c r="AF396" s="9"/>
      <c r="AG396" s="22">
        <v>1.84372</v>
      </c>
      <c r="AH396" s="22">
        <v>139.547</v>
      </c>
      <c r="AI396" s="22">
        <v>2.0083599999999998E-3</v>
      </c>
      <c r="AJ396" s="22">
        <v>386</v>
      </c>
      <c r="AK396" s="22">
        <v>1.8429599999999999</v>
      </c>
      <c r="AL396">
        <f t="shared" ref="AL396:AL398" si="78">-AI396/$F$2*1000</f>
        <v>-2.0083599999999997</v>
      </c>
      <c r="AM396">
        <f t="shared" ref="AM396:AM398" si="79">AL396*AG396</f>
        <v>-3.7028534991999993</v>
      </c>
      <c r="AP396" s="9"/>
      <c r="AQ396" s="22">
        <v>-9.3688999999999995E-2</v>
      </c>
      <c r="AR396" s="22">
        <v>162.19200000000001</v>
      </c>
      <c r="AS396" s="22">
        <v>-1.6229199999999999E-2</v>
      </c>
      <c r="AT396" s="22">
        <v>386</v>
      </c>
      <c r="AU396" s="22">
        <v>-9.41467E-2</v>
      </c>
      <c r="AV396">
        <f t="shared" ref="AV396:AV398" si="80">-AS396/$F$2*1000</f>
        <v>16.229199999999999</v>
      </c>
      <c r="AW396">
        <f t="shared" ref="AW396:AW398" si="81">AV396*AQ396</f>
        <v>-1.5204975187999998</v>
      </c>
      <c r="AX396" s="9"/>
      <c r="AY396" s="22">
        <v>1.84372</v>
      </c>
      <c r="AZ396" s="22">
        <v>185.053</v>
      </c>
      <c r="BA396" s="22">
        <v>2.1868899999999999E-3</v>
      </c>
      <c r="BB396" s="22">
        <v>386</v>
      </c>
      <c r="BC396" s="22">
        <v>1.8432599999999999</v>
      </c>
      <c r="BD396">
        <f t="shared" ref="BD396:BD398" si="82">-BA396/$F$2*1000</f>
        <v>-2.18689</v>
      </c>
      <c r="BE396">
        <f t="shared" ref="BE396:BE398" si="83">BD396*AY396</f>
        <v>-4.0320128308000003</v>
      </c>
    </row>
    <row r="397" spans="6:57">
      <c r="F397" s="9"/>
      <c r="G397" s="22">
        <v>-9.8724400000000004E-2</v>
      </c>
      <c r="H397" s="22">
        <v>53.139600000000002</v>
      </c>
      <c r="I397" s="22">
        <v>-1.6235400000000001E-2</v>
      </c>
      <c r="J397" s="22">
        <v>387</v>
      </c>
      <c r="K397" s="22">
        <v>-9.9182099999999995E-2</v>
      </c>
      <c r="L397">
        <f t="shared" si="72"/>
        <v>16.235400000000002</v>
      </c>
      <c r="M397">
        <f t="shared" si="73"/>
        <v>-1.6028301237600002</v>
      </c>
      <c r="N397" s="9"/>
      <c r="O397" s="22">
        <v>1.8487499999999999</v>
      </c>
      <c r="P397" s="22">
        <v>71.022499999999994</v>
      </c>
      <c r="Q397" s="22">
        <v>1.745E-3</v>
      </c>
      <c r="R397" s="22">
        <v>387</v>
      </c>
      <c r="S397" s="22">
        <v>1.8481399999999999</v>
      </c>
      <c r="T397">
        <f t="shared" si="74"/>
        <v>-1.7450000000000001</v>
      </c>
      <c r="U397">
        <f t="shared" si="75"/>
        <v>-3.22606875</v>
      </c>
      <c r="X397" s="9"/>
      <c r="Y397" s="22">
        <v>-9.8724400000000004E-2</v>
      </c>
      <c r="Z397" s="22">
        <v>120.58199999999999</v>
      </c>
      <c r="AA397" s="22">
        <v>-1.62659E-2</v>
      </c>
      <c r="AB397" s="22">
        <v>387</v>
      </c>
      <c r="AC397" s="22">
        <v>-9.9212599999999998E-2</v>
      </c>
      <c r="AD397">
        <f t="shared" si="76"/>
        <v>16.265899999999998</v>
      </c>
      <c r="AE397">
        <f t="shared" si="77"/>
        <v>-1.6058412179599999</v>
      </c>
      <c r="AF397" s="9"/>
      <c r="AG397" s="22">
        <v>1.8487499999999999</v>
      </c>
      <c r="AH397" s="22">
        <v>139.55699999999999</v>
      </c>
      <c r="AI397" s="22">
        <v>2.2015400000000001E-3</v>
      </c>
      <c r="AJ397" s="22">
        <v>387</v>
      </c>
      <c r="AK397" s="22">
        <v>1.8484499999999999</v>
      </c>
      <c r="AL397">
        <f t="shared" si="78"/>
        <v>-2.2015400000000001</v>
      </c>
      <c r="AM397">
        <f t="shared" si="79"/>
        <v>-4.0700970749999996</v>
      </c>
      <c r="AP397" s="9"/>
      <c r="AQ397" s="22">
        <v>-9.8724400000000004E-2</v>
      </c>
      <c r="AR397" s="22">
        <v>162.202</v>
      </c>
      <c r="AS397" s="22">
        <v>-1.6232300000000002E-2</v>
      </c>
      <c r="AT397" s="22">
        <v>387</v>
      </c>
      <c r="AU397" s="22">
        <v>-9.9212599999999998E-2</v>
      </c>
      <c r="AV397">
        <f t="shared" si="80"/>
        <v>16.232300000000002</v>
      </c>
      <c r="AW397">
        <f t="shared" si="81"/>
        <v>-1.6025240781200003</v>
      </c>
      <c r="AX397" s="9"/>
      <c r="AY397" s="22">
        <v>1.8487499999999999</v>
      </c>
      <c r="AZ397" s="22">
        <v>185.06299999999999</v>
      </c>
      <c r="BA397" s="22">
        <v>2.3877E-3</v>
      </c>
      <c r="BB397" s="22">
        <v>387</v>
      </c>
      <c r="BC397" s="22">
        <v>1.8487499999999999</v>
      </c>
      <c r="BD397">
        <f t="shared" si="82"/>
        <v>-2.3877000000000002</v>
      </c>
      <c r="BE397">
        <f t="shared" si="83"/>
        <v>-4.4142603750000005</v>
      </c>
    </row>
    <row r="398" spans="6:57">
      <c r="F398" s="9"/>
      <c r="G398" s="22">
        <v>-0.10376000000000001</v>
      </c>
      <c r="H398" s="22">
        <v>53.149700000000003</v>
      </c>
      <c r="I398" s="22">
        <v>-1.6241499999999999E-2</v>
      </c>
      <c r="J398" s="22">
        <v>388</v>
      </c>
      <c r="K398" s="22">
        <v>-0.10424799999999999</v>
      </c>
      <c r="L398">
        <f t="shared" si="72"/>
        <v>16.241499999999998</v>
      </c>
      <c r="M398">
        <f t="shared" si="73"/>
        <v>-1.6852180399999999</v>
      </c>
      <c r="N398" s="9"/>
      <c r="O398" s="22">
        <v>1.85379</v>
      </c>
      <c r="P398" s="22">
        <v>71.032499999999999</v>
      </c>
      <c r="Q398" s="22">
        <v>1.9143700000000001E-3</v>
      </c>
      <c r="R398" s="22">
        <v>388</v>
      </c>
      <c r="S398" s="22">
        <v>1.8533299999999999</v>
      </c>
      <c r="T398">
        <f t="shared" si="74"/>
        <v>-1.9143700000000001</v>
      </c>
      <c r="U398">
        <f t="shared" si="75"/>
        <v>-3.5488399623000002</v>
      </c>
      <c r="X398" s="9"/>
      <c r="Y398" s="22">
        <v>-0.10376000000000001</v>
      </c>
      <c r="Z398" s="22">
        <v>120.592</v>
      </c>
      <c r="AA398" s="22">
        <v>-1.6268899999999999E-2</v>
      </c>
      <c r="AB398" s="22">
        <v>388</v>
      </c>
      <c r="AC398" s="22">
        <v>-0.104156</v>
      </c>
      <c r="AD398">
        <f t="shared" si="76"/>
        <v>16.268899999999999</v>
      </c>
      <c r="AE398">
        <f t="shared" si="77"/>
        <v>-1.688061064</v>
      </c>
      <c r="AF398" s="9"/>
      <c r="AG398" s="22">
        <v>1.85379</v>
      </c>
      <c r="AH398" s="22">
        <v>139.56700000000001</v>
      </c>
      <c r="AI398" s="22">
        <v>2.3922700000000002E-3</v>
      </c>
      <c r="AJ398" s="22">
        <v>388</v>
      </c>
      <c r="AK398" s="22">
        <v>1.85303</v>
      </c>
      <c r="AL398">
        <f t="shared" si="78"/>
        <v>-2.3922700000000003</v>
      </c>
      <c r="AM398">
        <f t="shared" si="79"/>
        <v>-4.4347662033000006</v>
      </c>
      <c r="AP398" s="9"/>
      <c r="AQ398" s="22">
        <v>-0.10376000000000001</v>
      </c>
      <c r="AR398" s="22">
        <v>162.21199999999999</v>
      </c>
      <c r="AS398" s="22">
        <v>-1.6232300000000002E-2</v>
      </c>
      <c r="AT398" s="22">
        <v>388</v>
      </c>
      <c r="AU398" s="22">
        <v>-0.104126</v>
      </c>
      <c r="AV398">
        <f t="shared" si="80"/>
        <v>16.232300000000002</v>
      </c>
      <c r="AW398">
        <f t="shared" si="81"/>
        <v>-1.6842634480000003</v>
      </c>
      <c r="AX398" s="9"/>
      <c r="AY398" s="22">
        <v>1.85379</v>
      </c>
      <c r="AZ398" s="22">
        <v>185.07300000000001</v>
      </c>
      <c r="BA398" s="22">
        <v>2.5875899999999999E-3</v>
      </c>
      <c r="BB398" s="22">
        <v>388</v>
      </c>
      <c r="BC398" s="22">
        <v>1.85303</v>
      </c>
      <c r="BD398">
        <f t="shared" si="82"/>
        <v>-2.5875900000000001</v>
      </c>
      <c r="BE398">
        <f t="shared" si="83"/>
        <v>-4.7968484661000002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20230210T210000</v>
      </c>
      <c r="B3">
        <f ca="1">INDEX(INDIRECT(A3&amp;"!A11"):INDIRECT(A3&amp;"!A21"),MATCH(E3,INDIRECT(A3&amp;"!D11"):INDIRECT(A3&amp;"!D21"),0))</f>
        <v>1.7984181373292958</v>
      </c>
      <c r="C3">
        <f ca="1">INDEX(INDIRECT(A3&amp;"!B11"):INDIRECT(A3&amp;"!B21"),MATCH(E3,INDIRECT(A3&amp;"!D11"):INDIRECT(A3&amp;"!D21"),0))</f>
        <v>17.379770409440983</v>
      </c>
      <c r="D3">
        <f ca="1">INDEX(INDIRECT(A3&amp;"!C11"):INDIRECT(A3&amp;"!C21"),MATCH(E3,INDIRECT(A3&amp;"!D11"):INDIRECT(A3&amp;"!D21"),0))</f>
        <v>0.73630380402809859</v>
      </c>
      <c r="E3">
        <f t="shared" ref="E3" ca="1" si="0">MAX(INDIRECT(A3&amp; "!D11"),INDIRECT(A3 &amp; "!D13"),INDIRECT(A3 &amp; "!D15"),INDIRECT(A3 &amp; "!D17"),INDIRECT(A3 &amp; "!D19"),INDIRECT(A3 &amp; "!D21"))</f>
        <v>23.013981152000003</v>
      </c>
      <c r="G3">
        <f ca="1">INDEX(INDIRECT(A3&amp;"!A12"):INDIRECT(A3&amp;"!A22"),MATCH(J3,INDIRECT(A3&amp;"!D12"):INDIRECT(A3&amp;"!D22"),0))</f>
        <v>1.7887295940573227</v>
      </c>
      <c r="H3">
        <f ca="1">INDEX(INDIRECT(A3&amp;"!B12"):INDIRECT(A3&amp;"!B22"),MATCH(J3,INDIRECT(A3&amp;"!D12"):INDIRECT(A3&amp;"!D22"),0))</f>
        <v>17.398589026900545</v>
      </c>
      <c r="I3">
        <f ca="1">INDEX(INDIRECT(A3&amp;"!C12"):INDIRECT(A3&amp;"!C22"),MATCH(J3,INDIRECT(A3&amp;"!D12"):INDIRECT(A3&amp;"!D22"),0))</f>
        <v>0.7377250926904082</v>
      </c>
      <c r="J3">
        <f t="shared" ref="J3" ca="1" si="1">MAX(INDIRECT(A3&amp; "!D12"),INDIRECT(A3 &amp; "!D14"),INDIRECT(A3 &amp; "!D16"),INDIRECT(A3 &amp; "!D18"),INDIRECT(A3 &amp; "!D20"),,INDIRECT(A3 &amp; "!D22"))</f>
        <v>22.959016369999997</v>
      </c>
      <c r="L3">
        <f ca="1">INDEX(INDIRECT(A3&amp;"!E11"):INDIRECT(A3&amp;"!E21"),MATCH(E3,INDIRECT(A3&amp;"!D11"):INDIRECT(A3&amp;"!D21"),0))</f>
        <v>0.23883213268048342</v>
      </c>
    </row>
    <row r="4" spans="1:12">
      <c r="A4" t="str" cm="1">
        <f t="array" aca="1" ref="A4" ca="1">IFERROR(INDEX(MID(sheetnames,FIND("]",sheetnames)+1,255),ROWS($A$2:A4)),"")</f>
        <v>20230212T210000</v>
      </c>
      <c r="B4">
        <f ca="1">INDEX(INDIRECT(A4&amp;"!A11"):INDIRECT(A4&amp;"!A21"),MATCH(E4,INDIRECT(A4&amp;"!D11"):INDIRECT(A4&amp;"!D21"),0))</f>
        <v>1.7734940501052536</v>
      </c>
      <c r="C4">
        <f ca="1">INDEX(INDIRECT(A4&amp;"!B11"):INDIRECT(A4&amp;"!B21"),MATCH(E4,INDIRECT(A4&amp;"!D11"):INDIRECT(A4&amp;"!D21"),0))</f>
        <v>15.577592386187574</v>
      </c>
      <c r="D4">
        <f ca="1">INDEX(INDIRECT(A4&amp;"!C11"):INDIRECT(A4&amp;"!C21"),MATCH(E4,INDIRECT(A4&amp;"!D11"):INDIRECT(A4&amp;"!D21"),0))</f>
        <v>0.40270998973337763</v>
      </c>
      <c r="E4">
        <f t="shared" ref="E4" ca="1" si="2">MAX(INDIRECT(A4&amp; "!D11"),INDIRECT(A4 &amp; "!D13"),INDIRECT(A4 &amp; "!D15"),INDIRECT(A4 &amp; "!D17"),INDIRECT(A4 &amp; "!D19"),INDIRECT(A4 &amp; "!D21"))</f>
        <v>11.1255752208</v>
      </c>
      <c r="G4">
        <f ca="1">INDEX(INDIRECT(A4&amp;"!A12"):INDIRECT(A4&amp;"!A22"),MATCH(J4,INDIRECT(A4&amp;"!D12"):INDIRECT(A4&amp;"!D22"),0))</f>
        <v>1.7690735168144234</v>
      </c>
      <c r="H4">
        <f ca="1">INDEX(INDIRECT(A4&amp;"!B12"):INDIRECT(A4&amp;"!B22"),MATCH(J4,INDIRECT(A4&amp;"!D12"):INDIRECT(A4&amp;"!D22"),0))</f>
        <v>16.48004385450313</v>
      </c>
      <c r="I4">
        <f ca="1">INDEX(INDIRECT(A4&amp;"!C12"):INDIRECT(A4&amp;"!C22"),MATCH(J4,INDIRECT(A4&amp;"!D12"):INDIRECT(A4&amp;"!D22"),0))</f>
        <v>0.33933337652814083</v>
      </c>
      <c r="J4">
        <f t="shared" ref="J4" ca="1" si="3">MAX(INDIRECT(A4&amp; "!D12"),INDIRECT(A4 &amp; "!D14"),INDIRECT(A4 &amp; "!D16"),INDIRECT(A4 &amp; "!D18"),INDIRECT(A4 &amp; "!D20"),,INDIRECT(A4 &amp; "!D22"))</f>
        <v>9.8930640938000014</v>
      </c>
      <c r="L4">
        <f ca="1">INDEX(INDIRECT(A4&amp;"!E11"):INDIRECT(A4&amp;"!E21"),MATCH(E4,INDIRECT(A4&amp;"!D11"):INDIRECT(A4&amp;"!D21"),0))</f>
        <v>14.992572363193805</v>
      </c>
    </row>
    <row r="5" spans="1:12">
      <c r="A5" t="str" cm="1">
        <f t="array" aca="1" ref="A5" ca="1">IFERROR(INDEX(MID(sheetnames,FIND("]",sheetnames)+1,255),ROWS($A$2:A5)),"")</f>
        <v>20230215T060000</v>
      </c>
      <c r="B5">
        <f ca="1">INDEX(INDIRECT(A5&amp;"!A11"):INDIRECT(A5&amp;"!A21"),MATCH(E5,INDIRECT(A5&amp;"!D11"):INDIRECT(A5&amp;"!D21"),0))</f>
        <v>1.7988741708660074</v>
      </c>
      <c r="C5">
        <f ca="1">INDEX(INDIRECT(A5&amp;"!B11"):INDIRECT(A5&amp;"!B21"),MATCH(E5,INDIRECT(A5&amp;"!D11"):INDIRECT(A5&amp;"!D21"),0))</f>
        <v>16.183499999999999</v>
      </c>
      <c r="D5">
        <f ca="1">INDEX(INDIRECT(A5&amp;"!C11"):INDIRECT(A5&amp;"!C21"),MATCH(E5,INDIRECT(A5&amp;"!D11"):INDIRECT(A5&amp;"!D21"),0))</f>
        <v>0.54705111476437762</v>
      </c>
      <c r="E5">
        <f t="shared" ref="E5" ca="1" si="4">MAX(INDIRECT(A5&amp; "!D11"),INDIRECT(A5 &amp; "!D13"),INDIRECT(A5 &amp; "!D15"),INDIRECT(A5 &amp; "!D17"),INDIRECT(A5 &amp; "!D19"),INDIRECT(A5 &amp; "!D21"))</f>
        <v>15.925795896</v>
      </c>
      <c r="G5">
        <f ca="1">INDEX(INDIRECT(A5&amp;"!A12"):INDIRECT(A5&amp;"!A22"),MATCH(J5,INDIRECT(A5&amp;"!D12"):INDIRECT(A5&amp;"!D22"),0))</f>
        <v>1.7849997641847644</v>
      </c>
      <c r="H5">
        <f ca="1">INDEX(INDIRECT(A5&amp;"!B12"):INDIRECT(A5&amp;"!B22"),MATCH(J5,INDIRECT(A5&amp;"!D12"):INDIRECT(A5&amp;"!D22"),0))</f>
        <v>16.249697990960975</v>
      </c>
      <c r="I5">
        <f ca="1">INDEX(INDIRECT(A5&amp;"!C12"):INDIRECT(A5&amp;"!C22"),MATCH(J5,INDIRECT(A5&amp;"!D12"):INDIRECT(A5&amp;"!D22"),0))</f>
        <v>0.49557877528697308</v>
      </c>
      <c r="J5">
        <f t="shared" ref="J5" ca="1" si="5">MAX(INDIRECT(A5&amp; "!D12"),INDIRECT(A5 &amp; "!D14"),INDIRECT(A5 &amp; "!D16"),INDIRECT(A5 &amp; "!D18"),INDIRECT(A5 &amp; "!D20"),,INDIRECT(A5 &amp; "!D22"))</f>
        <v>14.374612791999999</v>
      </c>
      <c r="L5">
        <f ca="1">INDEX(INDIRECT(A5&amp;"!E11"):INDIRECT(A5&amp;"!E21"),MATCH(E5,INDIRECT(A5&amp;"!D11"):INDIRECT(A5&amp;"!D21"),0))</f>
        <v>9.7400664565191626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20230210T210000</vt:lpstr>
      <vt:lpstr>20230212T210000</vt:lpstr>
      <vt:lpstr>20230215T060000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2023-02-14T20:10:22Z</dcterms:modified>
</cp:coreProperties>
</file>