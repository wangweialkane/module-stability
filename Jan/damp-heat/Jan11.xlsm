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2"/>
  </bookViews>
  <sheets>
    <sheet name="NEW" sheetId="64" r:id="rId1"/>
    <sheet name="20230210T210000" sheetId="65" r:id="rId2"/>
    <sheet name="Sheet2" sheetId="63" r:id="rId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5" l="1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 s="1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BD389" i="65"/>
  <c r="BE389" i="65"/>
  <c r="BD390" i="65"/>
  <c r="BE390" i="65"/>
  <c r="BD391" i="65"/>
  <c r="BE391" i="65"/>
  <c r="BD392" i="65"/>
  <c r="BE392" i="65"/>
  <c r="BD393" i="65"/>
  <c r="BE393" i="65"/>
  <c r="BD394" i="65"/>
  <c r="BE394" i="65"/>
  <c r="BD395" i="65"/>
  <c r="BE395" i="65"/>
  <c r="BD396" i="65"/>
  <c r="BE396" i="65"/>
  <c r="BD397" i="65"/>
  <c r="BE397" i="65"/>
  <c r="BD398" i="65"/>
  <c r="BE398" i="65"/>
  <c r="AV12" i="65"/>
  <c r="AW12" i="65"/>
  <c r="AV13" i="65"/>
  <c r="AW13" i="65"/>
  <c r="AV14" i="65"/>
  <c r="AW14" i="65"/>
  <c r="AV15" i="65"/>
  <c r="AW15" i="65"/>
  <c r="AV16" i="65"/>
  <c r="AW16" i="65"/>
  <c r="AV17" i="65"/>
  <c r="AW17" i="65"/>
  <c r="AV18" i="65"/>
  <c r="AW18" i="65"/>
  <c r="AV19" i="65"/>
  <c r="AW19" i="65"/>
  <c r="AV20" i="65"/>
  <c r="AW20" i="65"/>
  <c r="AV21" i="65"/>
  <c r="AW21" i="65"/>
  <c r="AV22" i="65"/>
  <c r="AW22" i="65"/>
  <c r="AV23" i="65"/>
  <c r="AW23" i="65"/>
  <c r="AV24" i="65"/>
  <c r="AW24" i="65"/>
  <c r="AV25" i="65"/>
  <c r="AW25" i="65"/>
  <c r="AV26" i="65"/>
  <c r="AW26" i="65"/>
  <c r="AV27" i="65"/>
  <c r="AW27" i="65"/>
  <c r="AV28" i="65"/>
  <c r="AW28" i="65"/>
  <c r="AV29" i="65"/>
  <c r="AW29" i="65"/>
  <c r="AV30" i="65"/>
  <c r="AW30" i="65"/>
  <c r="AV31" i="65"/>
  <c r="AW31" i="65"/>
  <c r="AV32" i="65"/>
  <c r="AW32" i="65"/>
  <c r="AV33" i="65"/>
  <c r="AW33" i="65"/>
  <c r="AV34" i="65"/>
  <c r="AW34" i="65"/>
  <c r="AV35" i="65"/>
  <c r="AW35" i="65"/>
  <c r="AV36" i="65"/>
  <c r="AW36" i="65"/>
  <c r="AV37" i="65"/>
  <c r="AW37" i="65"/>
  <c r="AV38" i="65"/>
  <c r="AW38" i="65"/>
  <c r="AV39" i="65"/>
  <c r="AW39" i="65"/>
  <c r="AV40" i="65"/>
  <c r="AW40" i="65"/>
  <c r="AV41" i="65"/>
  <c r="AW41" i="65"/>
  <c r="AV42" i="65"/>
  <c r="AW42" i="65"/>
  <c r="AV43" i="65"/>
  <c r="AW43" i="65" s="1"/>
  <c r="AV44" i="65"/>
  <c r="AW44" i="65"/>
  <c r="AV45" i="65"/>
  <c r="AW45" i="65"/>
  <c r="AV46" i="65"/>
  <c r="AW46" i="65"/>
  <c r="AV47" i="65"/>
  <c r="AW47" i="65"/>
  <c r="AV48" i="65"/>
  <c r="AW48" i="65"/>
  <c r="AV49" i="65"/>
  <c r="AW49" i="65"/>
  <c r="AV50" i="65"/>
  <c r="AW50" i="65"/>
  <c r="AV51" i="65"/>
  <c r="AW51" i="65"/>
  <c r="AV52" i="65"/>
  <c r="AW52" i="65"/>
  <c r="AV53" i="65"/>
  <c r="AW53" i="65"/>
  <c r="AV54" i="65"/>
  <c r="AW54" i="65"/>
  <c r="AV55" i="65"/>
  <c r="AW55" i="65"/>
  <c r="AV56" i="65"/>
  <c r="AW56" i="65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/>
  <c r="AV142" i="65"/>
  <c r="AW142" i="65"/>
  <c r="AV143" i="65"/>
  <c r="AW143" i="65"/>
  <c r="AV144" i="65"/>
  <c r="AW144" i="65"/>
  <c r="AV145" i="65"/>
  <c r="AW145" i="65"/>
  <c r="AV146" i="65"/>
  <c r="AW146" i="65"/>
  <c r="AV147" i="65"/>
  <c r="AW147" i="65"/>
  <c r="AV148" i="65"/>
  <c r="AW148" i="65"/>
  <c r="AV149" i="65"/>
  <c r="AW149" i="65"/>
  <c r="AV150" i="65"/>
  <c r="AW150" i="65"/>
  <c r="AV151" i="65"/>
  <c r="AW151" i="65"/>
  <c r="AV152" i="65"/>
  <c r="AW152" i="65"/>
  <c r="AV153" i="65"/>
  <c r="AW153" i="65"/>
  <c r="AV154" i="65"/>
  <c r="AW154" i="65"/>
  <c r="AV155" i="65"/>
  <c r="AW155" i="65"/>
  <c r="AV156" i="65"/>
  <c r="AW156" i="65"/>
  <c r="AV157" i="65"/>
  <c r="AW157" i="65"/>
  <c r="AV158" i="65"/>
  <c r="AW158" i="65"/>
  <c r="AV159" i="65"/>
  <c r="AW159" i="65"/>
  <c r="AV160" i="65"/>
  <c r="AW160" i="65"/>
  <c r="AV161" i="65"/>
  <c r="AW161" i="65"/>
  <c r="AV162" i="65"/>
  <c r="AW162" i="65"/>
  <c r="AV163" i="65"/>
  <c r="AW163" i="65"/>
  <c r="AV164" i="65"/>
  <c r="AW164" i="65"/>
  <c r="AV165" i="65"/>
  <c r="AW165" i="65"/>
  <c r="AV166" i="65"/>
  <c r="AW166" i="65"/>
  <c r="AV167" i="65"/>
  <c r="AW167" i="65"/>
  <c r="AV168" i="65"/>
  <c r="AW168" i="65"/>
  <c r="AV169" i="65"/>
  <c r="AW169" i="65"/>
  <c r="AV170" i="65"/>
  <c r="AW170" i="65"/>
  <c r="AV171" i="65"/>
  <c r="AW171" i="65"/>
  <c r="AV172" i="65"/>
  <c r="AW172" i="65"/>
  <c r="AV173" i="65"/>
  <c r="AW173" i="65"/>
  <c r="AV174" i="65"/>
  <c r="AW174" i="65"/>
  <c r="AV175" i="65"/>
  <c r="AW175" i="65"/>
  <c r="AV176" i="65"/>
  <c r="AW176" i="65"/>
  <c r="AV177" i="65"/>
  <c r="AW177" i="65"/>
  <c r="AV178" i="65"/>
  <c r="AW178" i="65"/>
  <c r="AV179" i="65"/>
  <c r="AW179" i="65"/>
  <c r="AV180" i="65"/>
  <c r="AW180" i="65"/>
  <c r="AV181" i="65"/>
  <c r="AW181" i="65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 s="1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V397" i="65"/>
  <c r="AW397" i="65" s="1"/>
  <c r="AV398" i="65"/>
  <c r="AW39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 s="1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L397" i="65"/>
  <c r="AM397" i="65" s="1"/>
  <c r="AL398" i="65"/>
  <c r="AM39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 s="1"/>
  <c r="AD233" i="65"/>
  <c r="AE233" i="65" s="1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AD397" i="65"/>
  <c r="AE397" i="65" s="1"/>
  <c r="AD398" i="65"/>
  <c r="AE39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 s="1"/>
  <c r="T227" i="65"/>
  <c r="U227" i="65"/>
  <c r="T228" i="65"/>
  <c r="U228" i="65"/>
  <c r="T229" i="65"/>
  <c r="U229" i="65"/>
  <c r="T230" i="65"/>
  <c r="U230" i="65"/>
  <c r="T231" i="65"/>
  <c r="U231" i="65" s="1"/>
  <c r="T232" i="65"/>
  <c r="U232" i="65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T393" i="65"/>
  <c r="U393" i="65" s="1"/>
  <c r="T394" i="65"/>
  <c r="U394" i="65" s="1"/>
  <c r="T395" i="65"/>
  <c r="U395" i="65" s="1"/>
  <c r="T396" i="65"/>
  <c r="U396" i="65" s="1"/>
  <c r="T397" i="65"/>
  <c r="U397" i="65" s="1"/>
  <c r="T398" i="65"/>
  <c r="U39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393" i="65"/>
  <c r="M393" i="65" s="1"/>
  <c r="L394" i="65"/>
  <c r="M394" i="65" s="1"/>
  <c r="L395" i="65"/>
  <c r="M395" i="65" s="1"/>
  <c r="L396" i="65"/>
  <c r="M396" i="65" s="1"/>
  <c r="L397" i="65"/>
  <c r="M397" i="65" s="1"/>
  <c r="L398" i="65"/>
  <c r="M398" i="65" s="1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BI2" i="65" l="1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I6" i="65" l="1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I4" i="65" l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BD4" i="65" l="1"/>
  <c r="T2" i="65"/>
  <c r="D12" i="65" s="1"/>
  <c r="K7" i="64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A2" i="63" a="1"/>
  <c r="C16" i="65" l="1"/>
  <c r="BD2" i="65"/>
  <c r="L9" i="64"/>
  <c r="B11" i="64" s="1"/>
  <c r="DM6" i="64"/>
  <c r="O4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AV4" i="64"/>
  <c r="AV2" i="64" s="1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BD4" i="64"/>
  <c r="BD2" i="64" s="1"/>
  <c r="D16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16" i="64"/>
  <c r="C22" i="64"/>
  <c r="AS9" i="64" l="1"/>
  <c r="E15" i="64" s="1"/>
  <c r="D15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H2" i="63"/>
  <c r="G2" i="63"/>
  <c r="G3" i="63"/>
  <c r="L3" i="63"/>
  <c r="B3" i="63"/>
  <c r="L2" i="63"/>
  <c r="D2" i="63"/>
  <c r="I2" i="63"/>
  <c r="I3" i="63"/>
  <c r="H3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<sst xmlns="http://schemas.openxmlformats.org/spreadsheetml/2006/main" count="832" uniqueCount="46">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</sst>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Q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2435.147540982899</v>
      </c>
      <c r="H2" s="2"/>
      <c r="I2" s="6" t="s">
        <v>12</v>
      </c>
      <c r="J2" s="2"/>
      <c r="K2" s="7" t="s">
        <v>13</v>
      </c>
      <c r="L2" s="3">
        <f>L4*I6*L9/100*100</f>
        <v>23.013981152000003</v>
      </c>
      <c r="M2" s="8" t="s">
        <v>14</v>
      </c>
      <c r="N2" s="9"/>
      <c r="O2" s="2">
        <f>ABS(S7-S6)/ABS(T7-T6)*1000</f>
        <v>1240.5897540983619</v>
      </c>
      <c r="P2" s="2"/>
      <c r="Q2" s="6" t="s">
        <v>15</v>
      </c>
      <c r="R2" s="2"/>
      <c r="S2" s="7" t="s">
        <v>13</v>
      </c>
      <c r="T2" s="3">
        <f>T4*Q6*T9/100*100</f>
        <v>22.959016369999997</v>
      </c>
      <c r="U2" s="8" t="s">
        <v>14</v>
      </c>
      <c r="X2" s="9"/>
      <c r="Y2" s="2">
        <f>ABS(AC7-AC6)/ABS(AD7-AD6)*1000</f>
        <v>2758.4224043713193</v>
      </c>
      <c r="Z2" s="2"/>
      <c r="AA2" s="6" t="s">
        <v>12</v>
      </c>
      <c r="AB2" s="2"/>
      <c r="AC2" s="7" t="s">
        <v>13</v>
      </c>
      <c r="AD2" s="3">
        <f>AD4*AA6*AD9/100*100</f>
        <v>22.714513731000007</v>
      </c>
      <c r="AE2" s="8" t="s">
        <v>14</v>
      </c>
      <c r="AF2" s="9"/>
      <c r="AG2" s="2">
        <f>ABS(AK7-AK6)/ABS(AL7-AL6)*1000</f>
        <v>470.02785046729269</v>
      </c>
      <c r="AH2" s="2"/>
      <c r="AI2" s="6" t="s">
        <v>15</v>
      </c>
      <c r="AJ2" s="2"/>
      <c r="AK2" s="7" t="s">
        <v>13</v>
      </c>
      <c r="AL2" s="3">
        <f>AL4*AI6*AL9/100*100</f>
        <v>22.476339417000002</v>
      </c>
      <c r="AM2" s="8" t="s">
        <v>14</v>
      </c>
      <c r="AP2" s="9"/>
      <c r="AQ2" s="2">
        <f>ABS(AU7-AU6)/ABS(AV7-AV6)*1000</f>
        <v>2726.4021857923526</v>
      </c>
      <c r="AR2" s="2"/>
      <c r="AS2" s="6" t="s">
        <v>12</v>
      </c>
      <c r="AT2" s="2"/>
      <c r="AU2" s="7" t="s">
        <v>13</v>
      </c>
      <c r="AV2" s="3">
        <f>AV4*AS6*AV9/100*100</f>
        <v>22.337572089999998</v>
      </c>
      <c r="AW2" s="8" t="s">
        <v>14</v>
      </c>
      <c r="AX2" s="9"/>
      <c r="AY2" s="2">
        <f>ABS(BC7-BC6)/ABS(BD7-BD6)*1000</f>
        <v>1722.2076666666014</v>
      </c>
      <c r="AZ2" s="2"/>
      <c r="BA2" s="6" t="s">
        <v>15</v>
      </c>
      <c r="BB2" s="2"/>
      <c r="BC2" s="7" t="s">
        <v>13</v>
      </c>
      <c r="BD2" s="3">
        <f>BD4*BA6*BD9/100*100</f>
        <v>22.151140357999996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1.79901</v>
      </c>
      <c r="J3" s="2"/>
      <c r="K3" s="10">
        <f>INDEX(L11:L1056,MATCH(I3,K11:K1056,0))</f>
        <v>-0.107971</v>
      </c>
      <c r="L3" s="31" t="s">
        <v>16</v>
      </c>
      <c r="M3" s="11">
        <f>M9</f>
        <v>23.013981151999999</v>
      </c>
      <c r="N3" s="9"/>
      <c r="O3" s="2" t="s">
        <v>44</v>
      </c>
      <c r="P3" s="2"/>
      <c r="Q3" s="2">
        <f>INDEX(S11:S1056,MATCH(0,T11:T1056,-1))</f>
        <v>1.7880199999999999</v>
      </c>
      <c r="R3" s="2"/>
      <c r="S3" s="10">
        <f>INDEX(T11:T1056,MATCH(Q3,S11:S1056,0))</f>
        <v>0.11834699999999999</v>
      </c>
      <c r="T3" s="31" t="s">
        <v>16</v>
      </c>
      <c r="U3" s="11">
        <f>U9</f>
        <v>22.959016370000001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-0.77728300000000006</v>
      </c>
      <c r="AD3" s="31" t="s">
        <v>16</v>
      </c>
      <c r="AE3" s="11">
        <f>AE9</f>
        <v>22.714513731000004</v>
      </c>
      <c r="AF3" s="9"/>
      <c r="AG3" s="2" t="s">
        <v>44</v>
      </c>
      <c r="AH3" s="2"/>
      <c r="AI3" s="2">
        <f>INDEX(AK11:AK1056,MATCH(0,AL11:AL1056,-1))</f>
        <v>1.78284</v>
      </c>
      <c r="AJ3" s="2"/>
      <c r="AK3" s="10">
        <f>INDEX(AL11:AL1056,MATCH(AI3,AK11:AK1056,0))</f>
        <v>8.2305900000000001E-2</v>
      </c>
      <c r="AL3" s="31" t="s">
        <v>16</v>
      </c>
      <c r="AM3" s="11">
        <f>AM9</f>
        <v>22.476339417000002</v>
      </c>
      <c r="AP3" s="9"/>
      <c r="AQ3" s="2" t="s">
        <v>44</v>
      </c>
      <c r="AR3" s="2"/>
      <c r="AS3" s="2">
        <f>INDEX(AU11:AU856,MATCH(0,AV11:AV856,1))</f>
        <v>1.7791699999999999</v>
      </c>
      <c r="AT3" s="2"/>
      <c r="AU3" s="10">
        <f>INDEX(AV11:AV1056,MATCH(AS3,AU11:AU1056,0))</f>
        <v>-0.25918600000000003</v>
      </c>
      <c r="AV3" s="31" t="s">
        <v>16</v>
      </c>
      <c r="AW3" s="11">
        <f>AW9</f>
        <v>22.337572089999998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0.30035400000000001</v>
      </c>
      <c r="BD3" s="31" t="s">
        <v>16</v>
      </c>
      <c r="BE3" s="11">
        <f>BE9</f>
        <v>22.151140357999999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5.4816818470156292</v>
      </c>
      <c r="H4" s="2"/>
      <c r="I4" s="2">
        <f>INDEX(K11:K1000,1+MATCH(0,L11:L856,1))</f>
        <v>1.79443</v>
      </c>
      <c r="J4" s="2"/>
      <c r="K4" s="10">
        <f>INDEX(L11:L1056,MATCH(I4,K11:K1056,0))</f>
        <v>0.72753900000000005</v>
      </c>
      <c r="L4" s="30">
        <f>M3/(I6*L9)</f>
        <v>0.73630380402809859</v>
      </c>
      <c r="M4" s="8" t="s">
        <v>17</v>
      </c>
      <c r="N4" s="9"/>
      <c r="O4" s="2">
        <f>ABS(Q3-Q4)/ABS(S3-S4)*1000</f>
        <v>5.9958770169313329</v>
      </c>
      <c r="P4" s="2"/>
      <c r="Q4" s="2">
        <f>INDEX(S11:S856,1+MATCH(0,T11:T856,-1))</f>
        <v>1.79352</v>
      </c>
      <c r="R4" s="2"/>
      <c r="S4" s="10">
        <f>INDEX(T11:T856,MATCH(Q4,S11:S856,0))</f>
        <v>-0.79894999999999994</v>
      </c>
      <c r="T4" s="30">
        <f>U3/(Q6*T9)</f>
        <v>0.7377250926904082</v>
      </c>
      <c r="U4" s="8" t="s">
        <v>17</v>
      </c>
      <c r="X4" s="9"/>
      <c r="Y4" s="2">
        <f>ABS(AA3-AA4)/ABS(AC3-AC4)*1000</f>
        <v>5.3285475652439356</v>
      </c>
      <c r="Z4" s="2"/>
      <c r="AA4" s="2">
        <f>INDEX(AC11:AC1000,1+MATCH(0,AD11:AD856,1))</f>
        <v>1.77887</v>
      </c>
      <c r="AB4" s="2"/>
      <c r="AC4" s="10">
        <f>INDEX(AD11:AD1056,MATCH(AA4,AC11:AC1056,0))</f>
        <v>0.196716</v>
      </c>
      <c r="AD4" s="30">
        <f>AE3/(AA6*AD9)</f>
        <v>0.73853230754457699</v>
      </c>
      <c r="AE4" s="8" t="s">
        <v>17</v>
      </c>
      <c r="AF4" s="9"/>
      <c r="AG4" s="2">
        <f>ABS(AI3-AI4)/ABS(AK3-AK4)*1000</f>
        <v>4.6859784348606066</v>
      </c>
      <c r="AH4" s="2"/>
      <c r="AI4" s="2">
        <f>INDEX(AK11:AK856,1+MATCH(0,AL11:AL856,-1))</f>
        <v>1.7874099999999999</v>
      </c>
      <c r="AJ4" s="2"/>
      <c r="AK4" s="10">
        <f>INDEX(AL11:AL856,MATCH(AI4,AK11:AK856,0))</f>
        <v>-0.89294399999999996</v>
      </c>
      <c r="AL4" s="30">
        <f>AM3/(AI6*AL9)</f>
        <v>0.73761037445758026</v>
      </c>
      <c r="AM4" s="8" t="s">
        <v>17</v>
      </c>
      <c r="AP4" s="9"/>
      <c r="AQ4" s="2">
        <f>ABS(AS3-AS4)/ABS(AU3-AU4)*1000</f>
        <v>5.9979416899555726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0.65612799999999993</v>
      </c>
      <c r="AV4" s="30">
        <f>AW3/(AS6*AV9)</f>
        <v>0.73882653220463279</v>
      </c>
      <c r="AW4" s="8" t="s">
        <v>17</v>
      </c>
      <c r="AX4" s="9"/>
      <c r="AY4" s="2">
        <f>ABS(BA3-BA4)/ABS(BC3-BC4)*1000</f>
        <v>4.1375332778875622</v>
      </c>
      <c r="AZ4" s="2"/>
      <c r="BA4" s="2">
        <f>INDEX(BC11:BC856,1+MATCH(0,BD11:BD856,-1))</f>
        <v>1.7867999999999999</v>
      </c>
      <c r="BB4" s="2"/>
      <c r="BC4" s="10">
        <f>INDEX(BD11:BD856,MATCH(BA4,BC11:BC856,0))</f>
        <v>-0.65673800000000004</v>
      </c>
      <c r="BD4" s="30">
        <f>BE3/(BA6*BD9)</f>
        <v>0.73241372240265745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15.631099999999998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15.6067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15.322900000000001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15.383900000000001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15.329000000000001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15.109300000000001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1.7984181373292958</v>
      </c>
      <c r="J6" s="30"/>
      <c r="K6" s="13">
        <f>INDEX(K11:K1056,MATCH(L6,L11:L1056,0))</f>
        <v>6.6894499999999996E-2</v>
      </c>
      <c r="L6" s="10">
        <f>INDEX(L11:L1056,MATCH(0,K11:K1056,-1))</f>
        <v>17.3523</v>
      </c>
      <c r="M6" s="8" t="s">
        <v>22</v>
      </c>
      <c r="N6" s="9"/>
      <c r="O6" s="2"/>
      <c r="P6" s="2"/>
      <c r="Q6" s="32">
        <f>(Q3-Q4)/(S3-S4)*(-S4)+Q4</f>
        <v>1.7887295940573227</v>
      </c>
      <c r="R6" s="32"/>
      <c r="S6" s="13">
        <f>INDEX(S11:S1056,MATCH(T6,T11:T1056,0))</f>
        <v>-4.4525099999999998E-3</v>
      </c>
      <c r="T6" s="10">
        <f>INDEX(T11:T1056,MATCH(0,S11:S1056,1))</f>
        <v>17.395</v>
      </c>
      <c r="U6" s="8" t="s">
        <v>22</v>
      </c>
      <c r="X6" s="9"/>
      <c r="Y6" s="2"/>
      <c r="Z6" s="2"/>
      <c r="AA6" s="30">
        <f>(AA3-AA4)/(AC3-AC4)*(-AC4)+AA4</f>
        <v>1.7799182105628444</v>
      </c>
      <c r="AB6" s="30"/>
      <c r="AC6" s="13">
        <f>INDEX(AC11:AC1056,MATCH(AD6,AD11:AD1056,0))</f>
        <v>6.8725599999999998E-3</v>
      </c>
      <c r="AD6" s="10">
        <f>INDEX(AD11:AD1056,MATCH(0,AC11:AC1056,-1))</f>
        <v>17.282100000000003</v>
      </c>
      <c r="AE6" s="8" t="s">
        <v>22</v>
      </c>
      <c r="AF6" s="9"/>
      <c r="AG6" s="2"/>
      <c r="AH6" s="2"/>
      <c r="AI6" s="32">
        <f>(AI3-AI4)/(AK3-AK4)*(-AK4)+AI4</f>
        <v>1.7832256836724618</v>
      </c>
      <c r="AJ6" s="32"/>
      <c r="AK6" s="13">
        <f>INDEX(AK11:AK1056,MATCH(AL6,AL11:AL1056,0))</f>
        <v>-9.47571E-3</v>
      </c>
      <c r="AL6" s="10">
        <f>INDEX(AL11:AL1056,MATCH(0,AK11:AK1056,1))</f>
        <v>17.1082</v>
      </c>
      <c r="AM6" s="8" t="s">
        <v>22</v>
      </c>
      <c r="AP6" s="9"/>
      <c r="AQ6" s="2"/>
      <c r="AR6" s="2"/>
      <c r="AS6" s="30">
        <f>(AS3-AS4)/(AU3-AU4)*(-AU4)+AS4</f>
        <v>1.7776154174851471</v>
      </c>
      <c r="AT6" s="30"/>
      <c r="AU6" s="13">
        <f>INDEX(AU11:AU1056,MATCH(AV6,AV11:AV1056,0))</f>
        <v>1.89514E-3</v>
      </c>
      <c r="AV6" s="10">
        <f>INDEX(AV11:AV1056,MATCH(0,AU11:AU1056,-1))</f>
        <v>17.007400000000001</v>
      </c>
      <c r="AW6" s="8" t="s">
        <v>22</v>
      </c>
      <c r="AX6" s="9"/>
      <c r="AY6" s="2"/>
      <c r="AZ6" s="2"/>
      <c r="BA6" s="32">
        <f>(BA3-BA4)/(BC3-BC4)*(-BC4)+BA4</f>
        <v>1.7840827246701467</v>
      </c>
      <c r="BB6" s="32"/>
      <c r="BC6" s="13">
        <f>INDEX(BC11:BC1056,MATCH(BD6,BD11:BD1056,0))</f>
        <v>-4.5532200000000002E-3</v>
      </c>
      <c r="BD6" s="10">
        <f>INDEX(BD11:BD1056,MATCH(0,BC11:BC1056,1))</f>
        <v>16.9495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3.7185700000000002E-2</v>
      </c>
      <c r="L7" s="10">
        <f>INDEX(L11:L856,1+MATCH(0,K11:K856,-1))</f>
        <v>17.364500000000003</v>
      </c>
      <c r="M7" s="12">
        <f>INDEX(K11:K1056,MATCH(M9,M11:M1056,0))</f>
        <v>1.4712499999999999</v>
      </c>
      <c r="N7" s="9"/>
      <c r="O7" s="2"/>
      <c r="P7" s="2"/>
      <c r="Q7" s="2"/>
      <c r="R7" s="2"/>
      <c r="S7" s="13">
        <f>INDEX(S11:S1056,MATCH(T7,T11:T1056,0))</f>
        <v>-3.4722900000000001E-2</v>
      </c>
      <c r="T7" s="10">
        <f>INDEX(T11:T1056,1+MATCH(0,S11:S1056,1))</f>
        <v>17.3706</v>
      </c>
      <c r="U7" s="12">
        <f>INDEX(S11:S1056,MATCH(U9,U11:U1056,0))</f>
        <v>1.4700299999999999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17.2455</v>
      </c>
      <c r="AE7" s="12">
        <f>INDEX(AC11:AC1056,MATCH(AE9,AE11:AE1056,0))</f>
        <v>1.48132</v>
      </c>
      <c r="AF7" s="9"/>
      <c r="AG7" s="2"/>
      <c r="AH7" s="2"/>
      <c r="AI7" s="2"/>
      <c r="AJ7" s="2"/>
      <c r="AK7" s="13">
        <f>INDEX(AK11:AK1056,MATCH(AL7,AL11:AL1056,0))</f>
        <v>5.8288600000000002E-4</v>
      </c>
      <c r="AL7" s="10">
        <f>INDEX(AL11:AL1056,1+MATCH(0,AK11:AK1056,1))</f>
        <v>17.0868</v>
      </c>
      <c r="AM7" s="12">
        <f>INDEX(AK11:AK1056,MATCH(AM9,AM11:AM1056,0))</f>
        <v>1.46088</v>
      </c>
      <c r="AP7" s="9"/>
      <c r="AQ7" s="2"/>
      <c r="AR7" s="2"/>
      <c r="AS7" s="2"/>
      <c r="AT7" s="2"/>
      <c r="AU7" s="13">
        <f>INDEX(AU11:AU856,MATCH(AV7,AV11:AV856,1))</f>
        <v>5.1788300000000002E-2</v>
      </c>
      <c r="AV7" s="10">
        <f>INDEX(AV11:AV856,1+MATCH(0,AU11:AU856,-1))</f>
        <v>16.989100000000001</v>
      </c>
      <c r="AW7" s="12">
        <f>INDEX(AU11:AU1056,MATCH(AW9,AW11:AW1056,0))</f>
        <v>1.4565999999999999</v>
      </c>
      <c r="AX7" s="9"/>
      <c r="AY7" s="2"/>
      <c r="AZ7" s="2"/>
      <c r="BA7" s="2"/>
      <c r="BB7" s="2"/>
      <c r="BC7" s="13">
        <f>INDEX(BC11:BC1056,MATCH(BD7,BD11:BD1056,0))</f>
        <v>6.13403E-4</v>
      </c>
      <c r="BD7" s="10">
        <f>INDEX(BD11:BD1056,1+MATCH(0,BC11:BC1056,1))</f>
        <v>16.952500000000001</v>
      </c>
      <c r="BE7" s="12">
        <f>INDEX(BC11:BC1056,MATCH(BE9,BE11:BE1056,0))</f>
        <v>1.4654499999999999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0.23883213268048342</v>
      </c>
      <c r="J9" s="2"/>
      <c r="K9" s="2"/>
      <c r="L9" s="3">
        <f>(L6-L7)/(K6-K7)*(-K7)+L7</f>
        <v>17.379770409440983</v>
      </c>
      <c r="M9" s="16">
        <f>MAX(M11:M1056)</f>
        <v>23.013981151999999</v>
      </c>
      <c r="N9" s="9"/>
      <c r="O9" s="2"/>
      <c r="P9" s="2"/>
      <c r="Q9" s="2"/>
      <c r="R9" s="2"/>
      <c r="S9" s="2"/>
      <c r="T9" s="3">
        <f>(T6-T7)/(S6-S7)*(-S7)+T7</f>
        <v>17.398589026900545</v>
      </c>
      <c r="U9" s="16">
        <f>MAX(U11:U1056)</f>
        <v>22.959016370000001</v>
      </c>
      <c r="X9" s="9"/>
      <c r="Y9" s="2"/>
      <c r="Z9" s="2"/>
      <c r="AA9" s="15">
        <f>(MAX(AD2,AL2)-MIN(AD2,AL2))/MAX(AD2,AL2)%</f>
        <v>1.048555636368095</v>
      </c>
      <c r="AB9" s="2"/>
      <c r="AC9" s="2"/>
      <c r="AD9" s="3">
        <f>(AD6-AD7)/(AC6-AC7)*(-AC7)+AD7</f>
        <v>17.27960851791622</v>
      </c>
      <c r="AE9" s="16">
        <f>MAX(AE11:AE1056)</f>
        <v>22.714513731000004</v>
      </c>
      <c r="AF9" s="9"/>
      <c r="AG9" s="2"/>
      <c r="AH9" s="2"/>
      <c r="AI9" s="2"/>
      <c r="AJ9" s="2"/>
      <c r="AK9" s="2"/>
      <c r="AL9" s="3">
        <f>(AL6-AL7)/(AK6-AK7)*(-AK7)+AL7</f>
        <v>17.088040109494408</v>
      </c>
      <c r="AM9" s="16">
        <f>MAX(AM11:AM1056)</f>
        <v>22.476339417000002</v>
      </c>
      <c r="AP9" s="9"/>
      <c r="AQ9" s="2"/>
      <c r="AR9" s="2"/>
      <c r="AS9" s="15">
        <f>(MAX(AV2,BD2)-MIN(AV2,BD2))/MAX(AV2,BD2)%</f>
        <v>0.83461054428320658</v>
      </c>
      <c r="AT9" s="2"/>
      <c r="AU9" s="2"/>
      <c r="AV9" s="3">
        <f>(AV6-AV7)/(AU6-AU7)*(-AU7)+AV7</f>
        <v>17.008095106543664</v>
      </c>
      <c r="AW9" s="16">
        <f>MAX(AW11:AW1056)</f>
        <v>22.337572089999998</v>
      </c>
      <c r="AX9" s="9"/>
      <c r="AY9" s="2"/>
      <c r="AZ9" s="2"/>
      <c r="BA9" s="2"/>
      <c r="BB9" s="2"/>
      <c r="BC9" s="2"/>
      <c r="BD9" s="3">
        <f>(BD6-BD7)/(BC6-BC7)*(-BC7)+BD7</f>
        <v>16.952143827505896</v>
      </c>
      <c r="BE9" s="16">
        <f>MAX(BE11:BE1056)</f>
        <v>22.151140357999999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1.7984181373292958</v>
      </c>
      <c r="B11" s="19">
        <f>IFERROR(L9,0)</f>
        <v>17.379770409440983</v>
      </c>
      <c r="C11" s="20">
        <f>IFERROR(L4,0)</f>
        <v>0.73630380402809859</v>
      </c>
      <c r="D11" s="21">
        <f>IFERROR(L2,0)</f>
        <v>23.013981152000003</v>
      </c>
      <c r="E11" s="21">
        <f>IFERROR(I9,0)</f>
        <v>0.23883213268048342</v>
      </c>
      <c r="F11" s="9"/>
      <c r="G11" s="22">
        <v>1.84494</v>
      </c>
      <c r="H11" s="22">
        <v>23.751000000000001</v>
      </c>
      <c r="I11" s="22">
        <v>9.8144500000000006E-3</v>
      </c>
      <c r="J11" s="22">
        <v>1</v>
      </c>
      <c r="K11" s="22">
        <v>1.8438699999999999</v>
      </c>
      <c r="L11">
        <f>-I11/$F$2*1000</f>
        <v>-9.8144500000000008</v>
      </c>
      <c r="M11">
        <f>L11*G11</f>
        <v>-18.107071383000001</v>
      </c>
      <c r="N11" s="9"/>
      <c r="O11" s="22">
        <v>-9.49097E-2</v>
      </c>
      <c r="P11" s="22">
        <v>79.146900000000002</v>
      </c>
      <c r="Q11" s="22">
        <v>-1.7349199999999999E-2</v>
      </c>
      <c r="R11" s="22">
        <v>1</v>
      </c>
      <c r="S11" s="22">
        <v>-9.5459000000000002E-2</v>
      </c>
      <c r="T11">
        <f>-Q11/$F$2*1000</f>
        <v>17.3492</v>
      </c>
      <c r="U11">
        <f>T11*O11</f>
        <v>-1.6466073672399999</v>
      </c>
      <c r="V11" s="23"/>
      <c r="W11" s="24"/>
      <c r="X11" s="9"/>
      <c r="Y11" s="22">
        <v>1.84494</v>
      </c>
      <c r="Z11" s="22">
        <v>141.10400000000001</v>
      </c>
      <c r="AA11" s="22">
        <v>1.7776500000000001E-2</v>
      </c>
      <c r="AB11" s="22">
        <v>1</v>
      </c>
      <c r="AC11" s="22">
        <v>1.8441799999999999</v>
      </c>
      <c r="AD11">
        <f>-AA11/$F$2*1000</f>
        <v>-17.776500000000002</v>
      </c>
      <c r="AE11">
        <f>AD11*Y11</f>
        <v>-32.796575910000001</v>
      </c>
      <c r="AF11" s="9"/>
      <c r="AG11" s="22">
        <v>-9.49097E-2</v>
      </c>
      <c r="AH11" s="22">
        <v>220.636</v>
      </c>
      <c r="AI11" s="22">
        <v>-1.7175300000000001E-2</v>
      </c>
      <c r="AJ11" s="22">
        <v>1</v>
      </c>
      <c r="AK11" s="22">
        <v>-9.5367400000000005E-2</v>
      </c>
      <c r="AL11">
        <f>-AI11/$F$2*1000</f>
        <v>17.1753</v>
      </c>
      <c r="AM11">
        <f>AL11*AG11</f>
        <v>-1.6301025704100001</v>
      </c>
      <c r="AP11" s="9"/>
      <c r="AQ11" s="22">
        <v>1.84494</v>
      </c>
      <c r="AR11" s="22">
        <v>273.053</v>
      </c>
      <c r="AS11" s="22">
        <v>1.90613E-2</v>
      </c>
      <c r="AT11" s="22">
        <v>1</v>
      </c>
      <c r="AU11" s="22">
        <v>1.8447899999999999</v>
      </c>
      <c r="AV11">
        <f>-AS11/$F$2*1000</f>
        <v>-19.061299999999999</v>
      </c>
      <c r="AW11">
        <f>AV11*AQ11</f>
        <v>-35.166954822000001</v>
      </c>
      <c r="AX11" s="9"/>
      <c r="AY11" s="22">
        <v>-9.49097E-2</v>
      </c>
      <c r="AZ11" s="22">
        <v>352.28300000000002</v>
      </c>
      <c r="BA11" s="22">
        <v>-1.71234E-2</v>
      </c>
      <c r="BB11" s="22">
        <v>1</v>
      </c>
      <c r="BC11" s="22">
        <v>-9.5306399999999999E-2</v>
      </c>
      <c r="BD11">
        <f>-BA11/$F$2*1000</f>
        <v>17.1234</v>
      </c>
      <c r="BE11">
        <f>BD11*AY11</f>
        <v>-1.62517675698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1.7887295940573227</v>
      </c>
      <c r="B12" s="19">
        <f>IFERROR(T9,0)</f>
        <v>17.398589026900545</v>
      </c>
      <c r="C12" s="20">
        <f>IFERROR(T4,0)</f>
        <v>0.7377250926904082</v>
      </c>
      <c r="D12" s="21">
        <f>IFERROR(T2,0)</f>
        <v>22.959016369999997</v>
      </c>
      <c r="E12" s="21"/>
      <c r="F12" s="9"/>
      <c r="G12" s="22">
        <v>1.8399000000000001</v>
      </c>
      <c r="H12" s="22">
        <v>23.851700000000001</v>
      </c>
      <c r="I12" s="22">
        <v>8.5144000000000001E-3</v>
      </c>
      <c r="J12" s="22">
        <v>2</v>
      </c>
      <c r="K12" s="22">
        <v>1.8389899999999999</v>
      </c>
      <c r="L12">
        <f t="shared" ref="L12:L75" si="0">-I12/$F$2*1000</f>
        <v>-8.5144000000000002</v>
      </c>
      <c r="M12">
        <f t="shared" ref="M12:M75" si="1">L12*G12</f>
        <v>-15.66564456</v>
      </c>
      <c r="N12" s="9"/>
      <c r="O12" s="22">
        <v>-8.9874300000000004E-2</v>
      </c>
      <c r="P12" s="22">
        <v>79.247600000000006</v>
      </c>
      <c r="Q12" s="22">
        <v>-1.73584E-2</v>
      </c>
      <c r="R12" s="22">
        <v>2</v>
      </c>
      <c r="S12" s="22">
        <v>-9.0423600000000007E-2</v>
      </c>
      <c r="T12">
        <f t="shared" ref="T12:T75" si="2">-Q12/$F$2*1000</f>
        <v>17.3584</v>
      </c>
      <c r="U12">
        <f t="shared" ref="U12:U75" si="3">T12*O12</f>
        <v>-1.56007404912</v>
      </c>
      <c r="V12" s="23"/>
      <c r="W12" s="24"/>
      <c r="X12" s="9"/>
      <c r="Y12" s="22">
        <v>1.8399000000000001</v>
      </c>
      <c r="Z12" s="22">
        <v>141.20500000000001</v>
      </c>
      <c r="AA12" s="22">
        <v>1.5835599999999998E-2</v>
      </c>
      <c r="AB12" s="22">
        <v>2</v>
      </c>
      <c r="AC12" s="22">
        <v>1.8392900000000001</v>
      </c>
      <c r="AD12">
        <f t="shared" ref="AD12:AD75" si="4">-AA12/$F$2*1000</f>
        <v>-15.835599999999998</v>
      </c>
      <c r="AE12">
        <f t="shared" ref="AE12:AE75" si="5">AD12*Y12</f>
        <v>-29.135920439999996</v>
      </c>
      <c r="AF12" s="9"/>
      <c r="AG12" s="22">
        <v>-8.9874300000000004E-2</v>
      </c>
      <c r="AH12" s="22">
        <v>220.73699999999999</v>
      </c>
      <c r="AI12" s="22">
        <v>-1.7178300000000001E-2</v>
      </c>
      <c r="AJ12" s="22">
        <v>2</v>
      </c>
      <c r="AK12" s="22">
        <v>-9.0271000000000004E-2</v>
      </c>
      <c r="AL12">
        <f t="shared" ref="AL12:AL75" si="6">-AI12/$F$2*1000</f>
        <v>17.1783</v>
      </c>
      <c r="AM12">
        <f t="shared" ref="AM12:AM75" si="7">AL12*AG12</f>
        <v>-1.5438876876900001</v>
      </c>
      <c r="AP12" s="9"/>
      <c r="AQ12" s="22">
        <v>1.8399000000000001</v>
      </c>
      <c r="AR12" s="22">
        <v>273.154</v>
      </c>
      <c r="AS12" s="22">
        <v>1.7025800000000001E-2</v>
      </c>
      <c r="AT12" s="22">
        <v>2</v>
      </c>
      <c r="AU12" s="22">
        <v>1.8392900000000001</v>
      </c>
      <c r="AV12">
        <f t="shared" ref="AV12:AV75" si="8">-AS12/$F$2*1000</f>
        <v>-17.0258</v>
      </c>
      <c r="AW12">
        <f t="shared" ref="AW12:AW75" si="9">AV12*AQ12</f>
        <v>-31.32576942</v>
      </c>
      <c r="AX12" s="9"/>
      <c r="AY12" s="22">
        <v>-8.9874300000000004E-2</v>
      </c>
      <c r="AZ12" s="22">
        <v>352.38400000000001</v>
      </c>
      <c r="BA12" s="22">
        <v>-1.7120400000000001E-2</v>
      </c>
      <c r="BB12" s="22">
        <v>2</v>
      </c>
      <c r="BC12" s="22">
        <v>-9.0331999999999996E-2</v>
      </c>
      <c r="BD12">
        <f t="shared" ref="BD12:BD75" si="10">-BA12/$F$2*1000</f>
        <v>17.1204</v>
      </c>
      <c r="BE12">
        <f t="shared" ref="BE12:BE75" si="11">BD12*AY12</f>
        <v>-1.53868396572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1.7799182105628444</v>
      </c>
      <c r="B13" s="19">
        <f>IFERROR(AD9,0)</f>
        <v>17.27960851791622</v>
      </c>
      <c r="C13" s="20">
        <f>IFERROR(AD4,0)</f>
        <v>0.73853230754457699</v>
      </c>
      <c r="D13" s="21">
        <f>IFERROR(AD2,0)</f>
        <v>22.714513731000007</v>
      </c>
      <c r="E13" s="21">
        <f>IFERROR(AA9,0)</f>
        <v>1.048555636368095</v>
      </c>
      <c r="F13" s="9"/>
      <c r="G13" s="22">
        <v>1.83487</v>
      </c>
      <c r="H13" s="22">
        <v>23.952400000000001</v>
      </c>
      <c r="I13" s="22">
        <v>7.2509799999999998E-3</v>
      </c>
      <c r="J13" s="22">
        <v>3</v>
      </c>
      <c r="K13" s="22">
        <v>1.8338000000000001</v>
      </c>
      <c r="L13">
        <f t="shared" si="0"/>
        <v>-7.2509799999999993</v>
      </c>
      <c r="M13">
        <f t="shared" si="1"/>
        <v>-13.304605672599999</v>
      </c>
      <c r="N13" s="9"/>
      <c r="O13" s="22">
        <v>-8.4838899999999995E-2</v>
      </c>
      <c r="P13" s="22">
        <v>79.348299999999995</v>
      </c>
      <c r="Q13" s="22">
        <v>-1.7346199999999999E-2</v>
      </c>
      <c r="R13" s="22">
        <v>3</v>
      </c>
      <c r="S13" s="22">
        <v>-8.5327100000000003E-2</v>
      </c>
      <c r="T13">
        <f t="shared" si="2"/>
        <v>17.3462</v>
      </c>
      <c r="U13">
        <f t="shared" si="3"/>
        <v>-1.4716325271799999</v>
      </c>
      <c r="V13" s="23"/>
      <c r="W13" s="24"/>
      <c r="X13" s="9"/>
      <c r="Y13" s="22">
        <v>1.83487</v>
      </c>
      <c r="Z13" s="22">
        <v>141.30500000000001</v>
      </c>
      <c r="AA13" s="22">
        <v>1.40137E-2</v>
      </c>
      <c r="AB13" s="22">
        <v>3</v>
      </c>
      <c r="AC13" s="22">
        <v>1.8341099999999999</v>
      </c>
      <c r="AD13">
        <f t="shared" si="4"/>
        <v>-14.0137</v>
      </c>
      <c r="AE13">
        <f t="shared" si="5"/>
        <v>-25.713317718999999</v>
      </c>
      <c r="AF13" s="9"/>
      <c r="AG13" s="22">
        <v>-8.4838899999999995E-2</v>
      </c>
      <c r="AH13" s="22">
        <v>220.83799999999999</v>
      </c>
      <c r="AI13" s="22">
        <v>-1.7156999999999999E-2</v>
      </c>
      <c r="AJ13" s="22">
        <v>3</v>
      </c>
      <c r="AK13" s="22">
        <v>-8.5327100000000003E-2</v>
      </c>
      <c r="AL13">
        <f t="shared" si="6"/>
        <v>17.157</v>
      </c>
      <c r="AM13">
        <f t="shared" si="7"/>
        <v>-1.4555810073</v>
      </c>
      <c r="AP13" s="9"/>
      <c r="AQ13" s="22">
        <v>1.83487</v>
      </c>
      <c r="AR13" s="22">
        <v>273.25400000000002</v>
      </c>
      <c r="AS13" s="22">
        <v>1.51062E-2</v>
      </c>
      <c r="AT13" s="22">
        <v>3</v>
      </c>
      <c r="AU13" s="22">
        <v>1.8341099999999999</v>
      </c>
      <c r="AV13">
        <f t="shared" si="8"/>
        <v>-15.106199999999999</v>
      </c>
      <c r="AW13">
        <f t="shared" si="9"/>
        <v>-27.717913193999998</v>
      </c>
      <c r="AX13" s="9"/>
      <c r="AY13" s="22">
        <v>-8.4838899999999995E-2</v>
      </c>
      <c r="AZ13" s="22">
        <v>352.48500000000001</v>
      </c>
      <c r="BA13" s="22">
        <v>-1.71112E-2</v>
      </c>
      <c r="BB13" s="22">
        <v>3</v>
      </c>
      <c r="BC13" s="22">
        <v>-8.5266099999999997E-2</v>
      </c>
      <c r="BD13">
        <f t="shared" si="10"/>
        <v>17.1112</v>
      </c>
      <c r="BE13">
        <f t="shared" si="11"/>
        <v>-1.4516953856799999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1.7832256836724618</v>
      </c>
      <c r="B14" s="19">
        <f>IFERROR(AL9,0)</f>
        <v>17.088040109494408</v>
      </c>
      <c r="C14" s="20">
        <f>IFERROR(AL4,0)</f>
        <v>0.73761037445758026</v>
      </c>
      <c r="D14" s="21">
        <f>IFERROR(AL2,0)</f>
        <v>22.476339417000002</v>
      </c>
      <c r="E14" s="21"/>
      <c r="F14" s="9"/>
      <c r="G14" s="22">
        <v>1.8298300000000001</v>
      </c>
      <c r="H14" s="22">
        <v>24.053100000000001</v>
      </c>
      <c r="I14" s="22">
        <v>6.1096199999999996E-3</v>
      </c>
      <c r="J14" s="22">
        <v>4</v>
      </c>
      <c r="K14" s="22">
        <v>1.8289200000000001</v>
      </c>
      <c r="L14">
        <f t="shared" si="0"/>
        <v>-6.1096199999999996</v>
      </c>
      <c r="M14">
        <f t="shared" si="1"/>
        <v>-11.1795659646</v>
      </c>
      <c r="N14" s="9"/>
      <c r="O14" s="22">
        <v>-7.9803499999999999E-2</v>
      </c>
      <c r="P14" s="22">
        <v>79.448999999999998</v>
      </c>
      <c r="Q14" s="22">
        <v>-1.7355300000000001E-2</v>
      </c>
      <c r="R14" s="22">
        <v>4</v>
      </c>
      <c r="S14" s="22">
        <v>-8.0383300000000005E-2</v>
      </c>
      <c r="T14">
        <f t="shared" si="2"/>
        <v>17.3553</v>
      </c>
      <c r="U14">
        <f t="shared" si="3"/>
        <v>-1.38501368355</v>
      </c>
      <c r="V14" s="23"/>
      <c r="W14" s="24"/>
      <c r="X14" s="9"/>
      <c r="Y14" s="22">
        <v>1.8298300000000001</v>
      </c>
      <c r="Z14" s="22">
        <v>141.40600000000001</v>
      </c>
      <c r="AA14" s="22">
        <v>1.23138E-2</v>
      </c>
      <c r="AB14" s="22">
        <v>4</v>
      </c>
      <c r="AC14" s="22">
        <v>1.8289200000000001</v>
      </c>
      <c r="AD14">
        <f t="shared" si="4"/>
        <v>-12.313800000000001</v>
      </c>
      <c r="AE14">
        <f t="shared" si="5"/>
        <v>-22.532160654000002</v>
      </c>
      <c r="AF14" s="9"/>
      <c r="AG14" s="22">
        <v>-7.9803499999999999E-2</v>
      </c>
      <c r="AH14" s="22">
        <v>220.93799999999999</v>
      </c>
      <c r="AI14" s="22">
        <v>-1.7169199999999999E-2</v>
      </c>
      <c r="AJ14" s="22">
        <v>4</v>
      </c>
      <c r="AK14" s="22">
        <v>-8.0383300000000005E-2</v>
      </c>
      <c r="AL14">
        <f t="shared" si="6"/>
        <v>17.1692</v>
      </c>
      <c r="AM14">
        <f t="shared" si="7"/>
        <v>-1.3701622522000001</v>
      </c>
      <c r="AP14" s="9"/>
      <c r="AQ14" s="22">
        <v>1.8298300000000001</v>
      </c>
      <c r="AR14" s="22">
        <v>273.35500000000002</v>
      </c>
      <c r="AS14" s="22">
        <v>1.33118E-2</v>
      </c>
      <c r="AT14" s="22">
        <v>4</v>
      </c>
      <c r="AU14" s="22">
        <v>1.8295300000000001</v>
      </c>
      <c r="AV14">
        <f t="shared" si="8"/>
        <v>-13.3118</v>
      </c>
      <c r="AW14">
        <f t="shared" si="9"/>
        <v>-24.358330993999999</v>
      </c>
      <c r="AX14" s="9"/>
      <c r="AY14" s="22">
        <v>-7.9803499999999999E-2</v>
      </c>
      <c r="AZ14" s="22">
        <v>352.58499999999998</v>
      </c>
      <c r="BA14" s="22">
        <v>-1.7099E-2</v>
      </c>
      <c r="BB14" s="22">
        <v>4</v>
      </c>
      <c r="BC14" s="22">
        <v>-8.0200199999999999E-2</v>
      </c>
      <c r="BD14">
        <f t="shared" si="10"/>
        <v>17.099</v>
      </c>
      <c r="BE14">
        <f t="shared" si="11"/>
        <v>-1.3645600465000001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1.7776154174851471</v>
      </c>
      <c r="B15" s="19">
        <f>IFERROR(AV9,0)</f>
        <v>17.008095106543664</v>
      </c>
      <c r="C15" s="20">
        <f>IFERROR(AV4,0)</f>
        <v>0.73882653220463279</v>
      </c>
      <c r="D15" s="21">
        <f>IFERROR(AV2,0)</f>
        <v>22.337572089999998</v>
      </c>
      <c r="E15" s="21">
        <f>IFERROR(AS9,0)</f>
        <v>0.83461054428320658</v>
      </c>
      <c r="F15" s="9"/>
      <c r="G15" s="22">
        <v>1.8248</v>
      </c>
      <c r="H15" s="22">
        <v>24.1538</v>
      </c>
      <c r="I15" s="22">
        <v>4.8815899999999999E-3</v>
      </c>
      <c r="J15" s="22">
        <v>5</v>
      </c>
      <c r="K15" s="22">
        <v>1.8243400000000001</v>
      </c>
      <c r="L15">
        <f t="shared" si="0"/>
        <v>-4.8815900000000001</v>
      </c>
      <c r="M15">
        <f t="shared" si="1"/>
        <v>-8.9079254320000008</v>
      </c>
      <c r="N15" s="9"/>
      <c r="O15" s="22">
        <v>-7.4768100000000004E-2</v>
      </c>
      <c r="P15" s="22">
        <v>79.549700000000001</v>
      </c>
      <c r="Q15" s="22">
        <v>-1.73279E-2</v>
      </c>
      <c r="R15" s="22">
        <v>5</v>
      </c>
      <c r="S15" s="22">
        <v>-7.5286900000000004E-2</v>
      </c>
      <c r="T15">
        <f t="shared" si="2"/>
        <v>17.3279</v>
      </c>
      <c r="U15">
        <f t="shared" si="3"/>
        <v>-1.2955741599900001</v>
      </c>
      <c r="V15" s="23"/>
      <c r="W15" s="24"/>
      <c r="X15" s="9"/>
      <c r="Y15" s="22">
        <v>1.8248</v>
      </c>
      <c r="Z15" s="22">
        <v>141.50700000000001</v>
      </c>
      <c r="AA15" s="22">
        <v>1.06934E-2</v>
      </c>
      <c r="AB15" s="22">
        <v>5</v>
      </c>
      <c r="AC15" s="22">
        <v>1.8243400000000001</v>
      </c>
      <c r="AD15">
        <f t="shared" si="4"/>
        <v>-10.6934</v>
      </c>
      <c r="AE15">
        <f t="shared" si="5"/>
        <v>-19.513316320000001</v>
      </c>
      <c r="AF15" s="9"/>
      <c r="AG15" s="22">
        <v>-7.4768100000000004E-2</v>
      </c>
      <c r="AH15" s="22">
        <v>221.03899999999999</v>
      </c>
      <c r="AI15" s="22">
        <v>-1.7169199999999999E-2</v>
      </c>
      <c r="AJ15" s="22">
        <v>5</v>
      </c>
      <c r="AK15" s="22">
        <v>-7.5164800000000004E-2</v>
      </c>
      <c r="AL15">
        <f t="shared" si="6"/>
        <v>17.1692</v>
      </c>
      <c r="AM15">
        <f t="shared" si="7"/>
        <v>-1.2837084625200001</v>
      </c>
      <c r="AP15" s="9"/>
      <c r="AQ15" s="22">
        <v>1.8248</v>
      </c>
      <c r="AR15" s="22">
        <v>273.45600000000002</v>
      </c>
      <c r="AS15" s="22">
        <v>1.1621100000000001E-2</v>
      </c>
      <c r="AT15" s="22">
        <v>5</v>
      </c>
      <c r="AU15" s="22">
        <v>1.8237300000000001</v>
      </c>
      <c r="AV15">
        <f t="shared" si="8"/>
        <v>-11.6211</v>
      </c>
      <c r="AW15">
        <f t="shared" si="9"/>
        <v>-21.206183280000001</v>
      </c>
      <c r="AX15" s="9"/>
      <c r="AY15" s="22">
        <v>-7.4768100000000004E-2</v>
      </c>
      <c r="AZ15" s="22">
        <v>352.68599999999998</v>
      </c>
      <c r="BA15" s="22">
        <v>-1.7092900000000001E-2</v>
      </c>
      <c r="BB15" s="22">
        <v>5</v>
      </c>
      <c r="BC15" s="22">
        <v>-7.5256299999999998E-2</v>
      </c>
      <c r="BD15">
        <f t="shared" si="10"/>
        <v>17.0929</v>
      </c>
      <c r="BE15">
        <f t="shared" si="11"/>
        <v>-1.2780036564900001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1.7840827246701467</v>
      </c>
      <c r="B16" s="19">
        <f>IFERROR(BD9,0)</f>
        <v>16.952143827505896</v>
      </c>
      <c r="C16" s="20">
        <f>IFERROR(BD4,0)</f>
        <v>0.73241372240265745</v>
      </c>
      <c r="D16" s="21">
        <f>IFERROR(BD2,0)</f>
        <v>22.151140357999996</v>
      </c>
      <c r="E16" s="21"/>
      <c r="F16" s="9"/>
      <c r="G16" s="22">
        <v>1.81976</v>
      </c>
      <c r="H16" s="22">
        <v>24.2545</v>
      </c>
      <c r="I16" s="22">
        <v>3.8198899999999998E-3</v>
      </c>
      <c r="J16" s="22">
        <v>6</v>
      </c>
      <c r="K16" s="22">
        <v>1.8194600000000001</v>
      </c>
      <c r="L16">
        <f t="shared" si="0"/>
        <v>-3.81989</v>
      </c>
      <c r="M16">
        <f t="shared" si="1"/>
        <v>-6.9512830264000005</v>
      </c>
      <c r="N16" s="9"/>
      <c r="O16" s="22">
        <v>-6.9732699999999995E-2</v>
      </c>
      <c r="P16" s="22">
        <v>79.650400000000005</v>
      </c>
      <c r="Q16" s="22">
        <v>-1.7346199999999999E-2</v>
      </c>
      <c r="R16" s="22">
        <v>6</v>
      </c>
      <c r="S16" s="22">
        <v>-7.0129399999999995E-2</v>
      </c>
      <c r="T16">
        <f t="shared" si="2"/>
        <v>17.3462</v>
      </c>
      <c r="U16">
        <f t="shared" si="3"/>
        <v>-1.2095973607399999</v>
      </c>
      <c r="V16" s="23"/>
      <c r="W16" s="24"/>
      <c r="X16" s="9"/>
      <c r="Y16" s="22">
        <v>1.81976</v>
      </c>
      <c r="Z16" s="22">
        <v>141.607</v>
      </c>
      <c r="AA16" s="22">
        <v>9.1766399999999998E-3</v>
      </c>
      <c r="AB16" s="22">
        <v>6</v>
      </c>
      <c r="AC16" s="22">
        <v>1.81915</v>
      </c>
      <c r="AD16">
        <f t="shared" si="4"/>
        <v>-9.176639999999999</v>
      </c>
      <c r="AE16">
        <f t="shared" si="5"/>
        <v>-16.699282406399998</v>
      </c>
      <c r="AF16" s="9"/>
      <c r="AG16" s="22">
        <v>-6.9732699999999995E-2</v>
      </c>
      <c r="AH16" s="22">
        <v>221.14</v>
      </c>
      <c r="AI16" s="22">
        <v>-1.7169199999999999E-2</v>
      </c>
      <c r="AJ16" s="22">
        <v>6</v>
      </c>
      <c r="AK16" s="22">
        <v>-7.03125E-2</v>
      </c>
      <c r="AL16">
        <f t="shared" si="6"/>
        <v>17.1692</v>
      </c>
      <c r="AM16">
        <f t="shared" si="7"/>
        <v>-1.19725467284</v>
      </c>
      <c r="AP16" s="9"/>
      <c r="AQ16" s="22">
        <v>1.81976</v>
      </c>
      <c r="AR16" s="22">
        <v>273.55599999999998</v>
      </c>
      <c r="AS16" s="22">
        <v>1.0022E-2</v>
      </c>
      <c r="AT16" s="22">
        <v>6</v>
      </c>
      <c r="AU16" s="22">
        <v>1.81915</v>
      </c>
      <c r="AV16">
        <f t="shared" si="8"/>
        <v>-10.022</v>
      </c>
      <c r="AW16">
        <f t="shared" si="9"/>
        <v>-18.237634720000003</v>
      </c>
      <c r="AX16" s="9"/>
      <c r="AY16" s="22">
        <v>-6.9732699999999995E-2</v>
      </c>
      <c r="AZ16" s="22">
        <v>352.78699999999998</v>
      </c>
      <c r="BA16" s="22">
        <v>-1.7092900000000001E-2</v>
      </c>
      <c r="BB16" s="22">
        <v>6</v>
      </c>
      <c r="BC16" s="22">
        <v>-7.01904E-2</v>
      </c>
      <c r="BD16">
        <f t="shared" si="10"/>
        <v>17.0929</v>
      </c>
      <c r="BE16">
        <f t="shared" si="11"/>
        <v>-1.1919340678299999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24.3553</v>
      </c>
      <c r="I17" s="22">
        <v>2.8280599999999999E-3</v>
      </c>
      <c r="J17" s="22">
        <v>7</v>
      </c>
      <c r="K17" s="22">
        <v>1.81366</v>
      </c>
      <c r="L17">
        <f t="shared" si="0"/>
        <v>-2.8280599999999998</v>
      </c>
      <c r="M17">
        <f t="shared" si="1"/>
        <v>-5.1321653237999998</v>
      </c>
      <c r="N17" s="9"/>
      <c r="O17" s="22">
        <v>-6.4697299999999999E-2</v>
      </c>
      <c r="P17" s="22">
        <v>79.751099999999994</v>
      </c>
      <c r="Q17" s="22">
        <v>-1.73584E-2</v>
      </c>
      <c r="R17" s="22">
        <v>7</v>
      </c>
      <c r="S17" s="22">
        <v>-6.5185499999999993E-2</v>
      </c>
      <c r="T17">
        <f t="shared" si="2"/>
        <v>17.3584</v>
      </c>
      <c r="U17">
        <f t="shared" si="3"/>
        <v>-1.12304161232</v>
      </c>
      <c r="V17" s="23"/>
      <c r="W17" s="24"/>
      <c r="X17" s="9"/>
      <c r="Y17" s="22">
        <v>1.81473</v>
      </c>
      <c r="Z17" s="22">
        <v>141.708</v>
      </c>
      <c r="AA17" s="22">
        <v>7.75452E-3</v>
      </c>
      <c r="AB17" s="22">
        <v>7</v>
      </c>
      <c r="AC17" s="22">
        <v>1.81366</v>
      </c>
      <c r="AD17">
        <f t="shared" si="4"/>
        <v>-7.7545200000000003</v>
      </c>
      <c r="AE17">
        <f t="shared" si="5"/>
        <v>-14.072360079600001</v>
      </c>
      <c r="AF17" s="9"/>
      <c r="AG17" s="22">
        <v>-6.4697299999999999E-2</v>
      </c>
      <c r="AH17" s="22">
        <v>221.24</v>
      </c>
      <c r="AI17" s="22">
        <v>-1.7147800000000001E-2</v>
      </c>
      <c r="AJ17" s="22">
        <v>7</v>
      </c>
      <c r="AK17" s="22">
        <v>-6.5277100000000005E-2</v>
      </c>
      <c r="AL17">
        <f t="shared" si="6"/>
        <v>17.1478</v>
      </c>
      <c r="AM17">
        <f t="shared" si="7"/>
        <v>-1.1094163609400001</v>
      </c>
      <c r="AP17" s="9"/>
      <c r="AQ17" s="22">
        <v>1.81473</v>
      </c>
      <c r="AR17" s="22">
        <v>273.65699999999998</v>
      </c>
      <c r="AS17" s="22">
        <v>8.5266100000000004E-3</v>
      </c>
      <c r="AT17" s="22">
        <v>7</v>
      </c>
      <c r="AU17" s="22">
        <v>1.81396</v>
      </c>
      <c r="AV17">
        <f t="shared" si="8"/>
        <v>-8.5266099999999998</v>
      </c>
      <c r="AW17">
        <f t="shared" si="9"/>
        <v>-15.473494965299999</v>
      </c>
      <c r="AX17" s="9"/>
      <c r="AY17" s="22">
        <v>-6.4697299999999999E-2</v>
      </c>
      <c r="AZ17" s="22">
        <v>352.887</v>
      </c>
      <c r="BA17" s="22">
        <v>-1.7074599999999999E-2</v>
      </c>
      <c r="BB17" s="22">
        <v>7</v>
      </c>
      <c r="BC17" s="22">
        <v>-6.5216099999999999E-2</v>
      </c>
      <c r="BD17">
        <f t="shared" si="10"/>
        <v>17.0746</v>
      </c>
      <c r="BE17">
        <f t="shared" si="11"/>
        <v>-1.1046805185799999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24.456</v>
      </c>
      <c r="I18" s="22">
        <v>1.8866E-3</v>
      </c>
      <c r="J18" s="22">
        <v>8</v>
      </c>
      <c r="K18" s="22">
        <v>1.80969</v>
      </c>
      <c r="L18">
        <f t="shared" si="0"/>
        <v>-1.8866000000000001</v>
      </c>
      <c r="M18">
        <f t="shared" si="1"/>
        <v>-3.4141611540000003</v>
      </c>
      <c r="N18" s="9"/>
      <c r="O18" s="22">
        <v>-5.9661899999999997E-2</v>
      </c>
      <c r="P18" s="22">
        <v>79.851799999999997</v>
      </c>
      <c r="Q18" s="22">
        <v>-1.73584E-2</v>
      </c>
      <c r="R18" s="22">
        <v>8</v>
      </c>
      <c r="S18" s="22">
        <v>-6.0150099999999998E-2</v>
      </c>
      <c r="T18">
        <f t="shared" si="2"/>
        <v>17.3584</v>
      </c>
      <c r="U18">
        <f t="shared" si="3"/>
        <v>-1.03563512496</v>
      </c>
      <c r="V18" s="23"/>
      <c r="W18" s="24"/>
      <c r="X18" s="9"/>
      <c r="Y18" s="22">
        <v>1.80969</v>
      </c>
      <c r="Z18" s="22">
        <v>141.809</v>
      </c>
      <c r="AA18" s="22">
        <v>6.4361599999999998E-3</v>
      </c>
      <c r="AB18" s="22">
        <v>8</v>
      </c>
      <c r="AC18" s="22">
        <v>1.80908</v>
      </c>
      <c r="AD18">
        <f t="shared" si="4"/>
        <v>-6.4361600000000001</v>
      </c>
      <c r="AE18">
        <f t="shared" si="5"/>
        <v>-11.6474543904</v>
      </c>
      <c r="AF18" s="9"/>
      <c r="AG18" s="22">
        <v>-5.9661899999999997E-2</v>
      </c>
      <c r="AH18" s="22">
        <v>221.34100000000001</v>
      </c>
      <c r="AI18" s="22">
        <v>-1.7144800000000002E-2</v>
      </c>
      <c r="AJ18" s="22">
        <v>8</v>
      </c>
      <c r="AK18" s="22">
        <v>-6.0150099999999998E-2</v>
      </c>
      <c r="AL18">
        <f t="shared" si="6"/>
        <v>17.1448</v>
      </c>
      <c r="AM18">
        <f t="shared" si="7"/>
        <v>-1.02289134312</v>
      </c>
      <c r="AP18" s="9"/>
      <c r="AQ18" s="22">
        <v>1.80969</v>
      </c>
      <c r="AR18" s="22">
        <v>273.75799999999998</v>
      </c>
      <c r="AS18" s="22">
        <v>7.1289099999999996E-3</v>
      </c>
      <c r="AT18" s="22">
        <v>8</v>
      </c>
      <c r="AU18" s="22">
        <v>1.80847</v>
      </c>
      <c r="AV18">
        <f t="shared" si="8"/>
        <v>-7.1289099999999994</v>
      </c>
      <c r="AW18">
        <f t="shared" si="9"/>
        <v>-12.901117137899998</v>
      </c>
      <c r="AX18" s="9"/>
      <c r="AY18" s="22">
        <v>-5.9661899999999997E-2</v>
      </c>
      <c r="AZ18" s="22">
        <v>352.988</v>
      </c>
      <c r="BA18" s="22">
        <v>-1.7053200000000001E-2</v>
      </c>
      <c r="BB18" s="22">
        <v>8</v>
      </c>
      <c r="BC18" s="22">
        <v>-6.0089099999999999E-2</v>
      </c>
      <c r="BD18">
        <f t="shared" si="10"/>
        <v>17.0532</v>
      </c>
      <c r="BE18">
        <f t="shared" si="11"/>
        <v>-1.0174263130799999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24.556699999999999</v>
      </c>
      <c r="I19" s="22">
        <v>9.7747799999999994E-4</v>
      </c>
      <c r="J19" s="22">
        <v>9</v>
      </c>
      <c r="K19" s="22">
        <v>1.80389</v>
      </c>
      <c r="L19">
        <f t="shared" si="0"/>
        <v>-0.97747799999999996</v>
      </c>
      <c r="M19">
        <f t="shared" si="1"/>
        <v>-1.7640154474799998</v>
      </c>
      <c r="N19" s="9"/>
      <c r="O19" s="22">
        <v>-5.4626500000000001E-2</v>
      </c>
      <c r="P19" s="22">
        <v>79.952500000000001</v>
      </c>
      <c r="Q19" s="22">
        <v>-1.7385899999999999E-2</v>
      </c>
      <c r="R19" s="22">
        <v>9</v>
      </c>
      <c r="S19" s="22">
        <v>-5.50842E-2</v>
      </c>
      <c r="T19">
        <f t="shared" si="2"/>
        <v>17.385899999999999</v>
      </c>
      <c r="U19">
        <f t="shared" si="3"/>
        <v>-0.94973086635000004</v>
      </c>
      <c r="V19" s="23"/>
      <c r="W19" s="24"/>
      <c r="X19" s="9"/>
      <c r="Y19" s="22">
        <v>1.8046599999999999</v>
      </c>
      <c r="Z19" s="22">
        <v>141.90899999999999</v>
      </c>
      <c r="AA19" s="22">
        <v>5.1452599999999996E-3</v>
      </c>
      <c r="AB19" s="22">
        <v>9</v>
      </c>
      <c r="AC19" s="22">
        <v>1.8045</v>
      </c>
      <c r="AD19">
        <f t="shared" si="4"/>
        <v>-5.1452599999999995</v>
      </c>
      <c r="AE19">
        <f t="shared" si="5"/>
        <v>-9.2854449115999991</v>
      </c>
      <c r="AF19" s="9"/>
      <c r="AG19" s="22">
        <v>-5.4626500000000001E-2</v>
      </c>
      <c r="AH19" s="22">
        <v>221.44200000000001</v>
      </c>
      <c r="AI19" s="22">
        <v>-1.7141699999999999E-2</v>
      </c>
      <c r="AJ19" s="22">
        <v>9</v>
      </c>
      <c r="AK19" s="22">
        <v>-5.5175799999999997E-2</v>
      </c>
      <c r="AL19">
        <f t="shared" si="6"/>
        <v>17.1417</v>
      </c>
      <c r="AM19">
        <f t="shared" si="7"/>
        <v>-0.93639107505000008</v>
      </c>
      <c r="AP19" s="9"/>
      <c r="AQ19" s="22">
        <v>1.8046599999999999</v>
      </c>
      <c r="AR19" s="22">
        <v>273.85899999999998</v>
      </c>
      <c r="AS19" s="22">
        <v>5.8166499999999996E-3</v>
      </c>
      <c r="AT19" s="22">
        <v>9</v>
      </c>
      <c r="AU19" s="22">
        <v>1.80359</v>
      </c>
      <c r="AV19">
        <f t="shared" si="8"/>
        <v>-5.8166499999999992</v>
      </c>
      <c r="AW19">
        <f t="shared" si="9"/>
        <v>-10.497075588999998</v>
      </c>
      <c r="AX19" s="9"/>
      <c r="AY19" s="22">
        <v>-5.4626500000000001E-2</v>
      </c>
      <c r="AZ19" s="22">
        <v>353.089</v>
      </c>
      <c r="BA19" s="22">
        <v>-1.7050200000000001E-2</v>
      </c>
      <c r="BB19" s="22">
        <v>9</v>
      </c>
      <c r="BC19" s="22">
        <v>-5.50842E-2</v>
      </c>
      <c r="BD19">
        <f t="shared" si="10"/>
        <v>17.0502</v>
      </c>
      <c r="BE19">
        <f t="shared" si="11"/>
        <v>-0.93139275030000002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24.657399999999999</v>
      </c>
      <c r="I20" s="22">
        <v>1.07971E-4</v>
      </c>
      <c r="J20" s="22">
        <v>10</v>
      </c>
      <c r="K20" s="22">
        <v>1.79901</v>
      </c>
      <c r="L20">
        <f t="shared" si="0"/>
        <v>-0.107971</v>
      </c>
      <c r="M20">
        <f t="shared" si="1"/>
        <v>-0.19430677101999999</v>
      </c>
      <c r="N20" s="9"/>
      <c r="O20" s="22">
        <v>-4.9591099999999999E-2</v>
      </c>
      <c r="P20" s="22">
        <v>80.053200000000004</v>
      </c>
      <c r="Q20" s="22">
        <v>-1.7349199999999999E-2</v>
      </c>
      <c r="R20" s="22">
        <v>10</v>
      </c>
      <c r="S20" s="22">
        <v>-5.00793E-2</v>
      </c>
      <c r="T20">
        <f t="shared" si="2"/>
        <v>17.3492</v>
      </c>
      <c r="U20">
        <f t="shared" si="3"/>
        <v>-0.86036591212000002</v>
      </c>
      <c r="V20" s="23"/>
      <c r="W20" s="24"/>
      <c r="X20" s="9"/>
      <c r="Y20" s="22">
        <v>1.79962</v>
      </c>
      <c r="Z20" s="22">
        <v>142.01</v>
      </c>
      <c r="AA20" s="22">
        <v>3.97766E-3</v>
      </c>
      <c r="AB20" s="22">
        <v>10</v>
      </c>
      <c r="AC20" s="22">
        <v>1.79932</v>
      </c>
      <c r="AD20">
        <f t="shared" si="4"/>
        <v>-3.9776600000000002</v>
      </c>
      <c r="AE20">
        <f t="shared" si="5"/>
        <v>-7.1582764892000004</v>
      </c>
      <c r="AF20" s="9"/>
      <c r="AG20" s="22">
        <v>-4.9591099999999999E-2</v>
      </c>
      <c r="AH20" s="22">
        <v>221.54300000000001</v>
      </c>
      <c r="AI20" s="22">
        <v>-1.7147800000000001E-2</v>
      </c>
      <c r="AJ20" s="22">
        <v>10</v>
      </c>
      <c r="AK20" s="22">
        <v>-5.0048799999999997E-2</v>
      </c>
      <c r="AL20">
        <f t="shared" si="6"/>
        <v>17.1478</v>
      </c>
      <c r="AM20">
        <f t="shared" si="7"/>
        <v>-0.85037826457999999</v>
      </c>
      <c r="AP20" s="9"/>
      <c r="AQ20" s="22">
        <v>1.79962</v>
      </c>
      <c r="AR20" s="22">
        <v>273.959</v>
      </c>
      <c r="AS20" s="22">
        <v>4.5809900000000001E-3</v>
      </c>
      <c r="AT20" s="22">
        <v>10</v>
      </c>
      <c r="AU20" s="22">
        <v>1.79901</v>
      </c>
      <c r="AV20">
        <f t="shared" si="8"/>
        <v>-4.5809899999999999</v>
      </c>
      <c r="AW20">
        <f t="shared" si="9"/>
        <v>-8.2440412238</v>
      </c>
      <c r="AX20" s="9"/>
      <c r="AY20" s="22">
        <v>-4.9591099999999999E-2</v>
      </c>
      <c r="AZ20" s="22">
        <v>353.19</v>
      </c>
      <c r="BA20" s="22">
        <v>-1.7041000000000001E-2</v>
      </c>
      <c r="BB20" s="22">
        <v>10</v>
      </c>
      <c r="BC20" s="22">
        <v>-4.9987799999999999E-2</v>
      </c>
      <c r="BD20">
        <f t="shared" si="10"/>
        <v>17.041</v>
      </c>
      <c r="BE20">
        <f t="shared" si="11"/>
        <v>-0.84508193509999996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24.758099999999999</v>
      </c>
      <c r="I21" s="22">
        <v>-7.2753900000000003E-4</v>
      </c>
      <c r="J21" s="22">
        <v>11</v>
      </c>
      <c r="K21" s="22">
        <v>1.79443</v>
      </c>
      <c r="L21">
        <f t="shared" si="0"/>
        <v>0.72753900000000005</v>
      </c>
      <c r="M21">
        <f t="shared" si="1"/>
        <v>1.3056342140100001</v>
      </c>
      <c r="N21" s="9"/>
      <c r="O21" s="22">
        <v>-4.4555699999999997E-2</v>
      </c>
      <c r="P21" s="22">
        <v>80.153899999999993</v>
      </c>
      <c r="Q21" s="22">
        <v>-1.7361499999999998E-2</v>
      </c>
      <c r="R21" s="22">
        <v>11</v>
      </c>
      <c r="S21" s="22">
        <v>-4.4757100000000001E-2</v>
      </c>
      <c r="T21">
        <f t="shared" si="2"/>
        <v>17.361499999999999</v>
      </c>
      <c r="U21">
        <f t="shared" si="3"/>
        <v>-0.77355378554999987</v>
      </c>
      <c r="V21" s="23"/>
      <c r="W21" s="24"/>
      <c r="X21" s="9"/>
      <c r="Y21" s="22">
        <v>1.7945899999999999</v>
      </c>
      <c r="Z21" s="22">
        <v>142.11099999999999</v>
      </c>
      <c r="AA21" s="22">
        <v>2.8479E-3</v>
      </c>
      <c r="AB21" s="22">
        <v>11</v>
      </c>
      <c r="AC21" s="22">
        <v>1.79413</v>
      </c>
      <c r="AD21">
        <f t="shared" si="4"/>
        <v>-2.8479000000000001</v>
      </c>
      <c r="AE21">
        <f t="shared" si="5"/>
        <v>-5.1108128610000003</v>
      </c>
      <c r="AF21" s="9"/>
      <c r="AG21" s="22">
        <v>-4.4555699999999997E-2</v>
      </c>
      <c r="AH21" s="22">
        <v>221.643</v>
      </c>
      <c r="AI21" s="22">
        <v>-1.7132600000000001E-2</v>
      </c>
      <c r="AJ21" s="22">
        <v>11</v>
      </c>
      <c r="AK21" s="22">
        <v>-4.4866900000000001E-2</v>
      </c>
      <c r="AL21">
        <f t="shared" si="6"/>
        <v>17.1326</v>
      </c>
      <c r="AM21">
        <f t="shared" si="7"/>
        <v>-0.76335498581999994</v>
      </c>
      <c r="AP21" s="9"/>
      <c r="AQ21" s="22">
        <v>1.7945899999999999</v>
      </c>
      <c r="AR21" s="22">
        <v>274.06</v>
      </c>
      <c r="AS21" s="22">
        <v>3.39844E-3</v>
      </c>
      <c r="AT21" s="22">
        <v>11</v>
      </c>
      <c r="AU21" s="22">
        <v>1.79352</v>
      </c>
      <c r="AV21">
        <f t="shared" si="8"/>
        <v>-3.3984399999999999</v>
      </c>
      <c r="AW21">
        <f t="shared" si="9"/>
        <v>-6.0988064395999997</v>
      </c>
      <c r="AX21" s="9"/>
      <c r="AY21" s="22">
        <v>-4.4555699999999997E-2</v>
      </c>
      <c r="AZ21" s="22">
        <v>353.29</v>
      </c>
      <c r="BA21" s="22">
        <v>-1.70288E-2</v>
      </c>
      <c r="BB21" s="22">
        <v>11</v>
      </c>
      <c r="BC21" s="22">
        <v>-4.4863899999999998E-2</v>
      </c>
      <c r="BD21">
        <f t="shared" si="10"/>
        <v>17.0288</v>
      </c>
      <c r="BE21">
        <f t="shared" si="11"/>
        <v>-0.75873010415999997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24.858799999999999</v>
      </c>
      <c r="I22" s="22">
        <v>-1.5130600000000001E-3</v>
      </c>
      <c r="J22" s="22">
        <v>12</v>
      </c>
      <c r="K22" s="22">
        <v>1.78833</v>
      </c>
      <c r="L22">
        <f t="shared" si="0"/>
        <v>1.5130600000000001</v>
      </c>
      <c r="M22">
        <f t="shared" si="1"/>
        <v>2.7076965230000001</v>
      </c>
      <c r="N22" s="9"/>
      <c r="O22" s="22">
        <v>-3.9520300000000001E-2</v>
      </c>
      <c r="P22" s="22">
        <v>80.254599999999996</v>
      </c>
      <c r="Q22" s="22">
        <v>-1.7349199999999999E-2</v>
      </c>
      <c r="R22" s="22">
        <v>12</v>
      </c>
      <c r="S22" s="22">
        <v>-3.9828500000000003E-2</v>
      </c>
      <c r="T22">
        <f t="shared" si="2"/>
        <v>17.3492</v>
      </c>
      <c r="U22">
        <f t="shared" si="3"/>
        <v>-0.68564558876000004</v>
      </c>
      <c r="V22" s="23"/>
      <c r="W22" s="24"/>
      <c r="X22" s="9"/>
      <c r="Y22" s="22">
        <v>1.78955</v>
      </c>
      <c r="Z22" s="22">
        <v>142.21199999999999</v>
      </c>
      <c r="AA22" s="22">
        <v>1.77826E-3</v>
      </c>
      <c r="AB22" s="22">
        <v>12</v>
      </c>
      <c r="AC22" s="22">
        <v>1.78925</v>
      </c>
      <c r="AD22">
        <f t="shared" si="4"/>
        <v>-1.77826</v>
      </c>
      <c r="AE22">
        <f t="shared" si="5"/>
        <v>-3.1822851829999999</v>
      </c>
      <c r="AF22" s="9"/>
      <c r="AG22" s="22">
        <v>-3.9520300000000001E-2</v>
      </c>
      <c r="AH22" s="22">
        <v>221.744</v>
      </c>
      <c r="AI22" s="22">
        <v>-1.71112E-2</v>
      </c>
      <c r="AJ22" s="22">
        <v>12</v>
      </c>
      <c r="AK22" s="22">
        <v>-3.9804100000000002E-2</v>
      </c>
      <c r="AL22">
        <f t="shared" si="6"/>
        <v>17.1112</v>
      </c>
      <c r="AM22">
        <f t="shared" si="7"/>
        <v>-0.67623975736000008</v>
      </c>
      <c r="AP22" s="9"/>
      <c r="AQ22" s="22">
        <v>1.78955</v>
      </c>
      <c r="AR22" s="22">
        <v>274.161</v>
      </c>
      <c r="AS22" s="22">
        <v>2.27356E-3</v>
      </c>
      <c r="AT22" s="22">
        <v>12</v>
      </c>
      <c r="AU22" s="22">
        <v>1.78833</v>
      </c>
      <c r="AV22">
        <f t="shared" si="8"/>
        <v>-2.2735599999999998</v>
      </c>
      <c r="AW22">
        <f t="shared" si="9"/>
        <v>-4.0686492979999995</v>
      </c>
      <c r="AX22" s="9"/>
      <c r="AY22" s="22">
        <v>-3.9520300000000001E-2</v>
      </c>
      <c r="AZ22" s="22">
        <v>353.39100000000002</v>
      </c>
      <c r="BA22" s="22">
        <v>-1.7013500000000001E-2</v>
      </c>
      <c r="BB22" s="22">
        <v>12</v>
      </c>
      <c r="BC22" s="22">
        <v>-3.9837600000000001E-2</v>
      </c>
      <c r="BD22">
        <f t="shared" si="10"/>
        <v>17.013500000000001</v>
      </c>
      <c r="BE22">
        <f t="shared" si="11"/>
        <v>-0.67237862405000004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24.959499999999998</v>
      </c>
      <c r="I23" s="22">
        <v>-2.2726399999999998E-3</v>
      </c>
      <c r="J23" s="22">
        <v>13</v>
      </c>
      <c r="K23" s="22">
        <v>1.7837499999999999</v>
      </c>
      <c r="L23">
        <f t="shared" si="0"/>
        <v>2.27264</v>
      </c>
      <c r="M23">
        <f t="shared" si="1"/>
        <v>4.0555715328000002</v>
      </c>
      <c r="N23" s="9"/>
      <c r="O23" s="22">
        <v>-3.4484899999999999E-2</v>
      </c>
      <c r="P23" s="22">
        <v>80.355400000000003</v>
      </c>
      <c r="Q23" s="22">
        <v>-1.73706E-2</v>
      </c>
      <c r="R23" s="22">
        <v>13</v>
      </c>
      <c r="S23" s="22">
        <v>-3.4722900000000001E-2</v>
      </c>
      <c r="T23">
        <f t="shared" si="2"/>
        <v>17.3706</v>
      </c>
      <c r="U23">
        <f t="shared" si="3"/>
        <v>-0.59902340393999998</v>
      </c>
      <c r="V23" s="23"/>
      <c r="W23" s="24"/>
      <c r="X23" s="9"/>
      <c r="Y23" s="22">
        <v>1.7845200000000001</v>
      </c>
      <c r="Z23" s="22">
        <v>142.31200000000001</v>
      </c>
      <c r="AA23" s="22">
        <v>7.7728300000000003E-4</v>
      </c>
      <c r="AB23" s="22">
        <v>13</v>
      </c>
      <c r="AC23" s="22">
        <v>1.78406</v>
      </c>
      <c r="AD23">
        <f t="shared" si="4"/>
        <v>-0.77728300000000006</v>
      </c>
      <c r="AE23">
        <f t="shared" si="5"/>
        <v>-1.3870770591600001</v>
      </c>
      <c r="AF23" s="9"/>
      <c r="AG23" s="22">
        <v>-3.4484899999999999E-2</v>
      </c>
      <c r="AH23" s="22">
        <v>221.845</v>
      </c>
      <c r="AI23" s="22">
        <v>-1.7105100000000002E-2</v>
      </c>
      <c r="AJ23" s="22">
        <v>13</v>
      </c>
      <c r="AK23" s="22">
        <v>-3.4695400000000001E-2</v>
      </c>
      <c r="AL23">
        <f t="shared" si="6"/>
        <v>17.1051</v>
      </c>
      <c r="AM23">
        <f t="shared" si="7"/>
        <v>-0.58986766299000004</v>
      </c>
      <c r="AP23" s="9"/>
      <c r="AQ23" s="22">
        <v>1.7845200000000001</v>
      </c>
      <c r="AR23" s="22">
        <v>274.26100000000002</v>
      </c>
      <c r="AS23" s="22">
        <v>1.22955E-3</v>
      </c>
      <c r="AT23" s="22">
        <v>13</v>
      </c>
      <c r="AU23" s="22">
        <v>1.7831399999999999</v>
      </c>
      <c r="AV23">
        <f t="shared" si="8"/>
        <v>-1.2295500000000001</v>
      </c>
      <c r="AW23">
        <f t="shared" si="9"/>
        <v>-2.1941565660000002</v>
      </c>
      <c r="AX23" s="9"/>
      <c r="AY23" s="22">
        <v>-3.4484899999999999E-2</v>
      </c>
      <c r="AZ23" s="22">
        <v>353.49200000000002</v>
      </c>
      <c r="BA23" s="22">
        <v>-1.69891E-2</v>
      </c>
      <c r="BB23" s="22">
        <v>13</v>
      </c>
      <c r="BC23" s="22">
        <v>-3.4710699999999997E-2</v>
      </c>
      <c r="BD23">
        <f t="shared" si="10"/>
        <v>16.989100000000001</v>
      </c>
      <c r="BE23">
        <f t="shared" si="11"/>
        <v>-0.58586741459000002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25.060199999999998</v>
      </c>
      <c r="I24" s="22">
        <v>-2.9650900000000001E-3</v>
      </c>
      <c r="J24" s="22">
        <v>14</v>
      </c>
      <c r="K24" s="22">
        <v>1.77887</v>
      </c>
      <c r="L24">
        <f t="shared" si="0"/>
        <v>2.96509</v>
      </c>
      <c r="M24">
        <f t="shared" si="1"/>
        <v>5.2763183531999998</v>
      </c>
      <c r="N24" s="9"/>
      <c r="O24" s="22">
        <v>-2.94495E-2</v>
      </c>
      <c r="P24" s="22">
        <v>80.456100000000006</v>
      </c>
      <c r="Q24" s="22">
        <v>-1.7376699999999998E-2</v>
      </c>
      <c r="R24" s="22">
        <v>14</v>
      </c>
      <c r="S24" s="22">
        <v>-2.9718000000000001E-2</v>
      </c>
      <c r="T24">
        <f t="shared" si="2"/>
        <v>17.3767</v>
      </c>
      <c r="U24">
        <f t="shared" si="3"/>
        <v>-0.51173512664999998</v>
      </c>
      <c r="V24" s="23"/>
      <c r="W24" s="24"/>
      <c r="X24" s="9"/>
      <c r="Y24" s="22">
        <v>1.77948</v>
      </c>
      <c r="Z24" s="22">
        <v>142.41300000000001</v>
      </c>
      <c r="AA24" s="22">
        <v>-1.9671599999999999E-4</v>
      </c>
      <c r="AB24" s="22">
        <v>14</v>
      </c>
      <c r="AC24" s="22">
        <v>1.77887</v>
      </c>
      <c r="AD24">
        <f t="shared" si="4"/>
        <v>0.196716</v>
      </c>
      <c r="AE24">
        <f t="shared" si="5"/>
        <v>0.35005218768000002</v>
      </c>
      <c r="AF24" s="9"/>
      <c r="AG24" s="22">
        <v>-2.94495E-2</v>
      </c>
      <c r="AH24" s="22">
        <v>221.94499999999999</v>
      </c>
      <c r="AI24" s="22">
        <v>-1.70685E-2</v>
      </c>
      <c r="AJ24" s="22">
        <v>14</v>
      </c>
      <c r="AK24" s="22">
        <v>-2.9718000000000001E-2</v>
      </c>
      <c r="AL24">
        <f t="shared" si="6"/>
        <v>17.0685</v>
      </c>
      <c r="AM24">
        <f t="shared" si="7"/>
        <v>-0.50265879074999997</v>
      </c>
      <c r="AP24" s="9"/>
      <c r="AQ24" s="22">
        <v>1.77948</v>
      </c>
      <c r="AR24" s="22">
        <v>274.36200000000002</v>
      </c>
      <c r="AS24" s="22">
        <v>2.5918600000000001E-4</v>
      </c>
      <c r="AT24" s="22">
        <v>14</v>
      </c>
      <c r="AU24" s="22">
        <v>1.7791699999999999</v>
      </c>
      <c r="AV24">
        <f t="shared" si="8"/>
        <v>-0.25918600000000003</v>
      </c>
      <c r="AW24">
        <f t="shared" si="9"/>
        <v>-0.46121630328000002</v>
      </c>
      <c r="AX24" s="9"/>
      <c r="AY24" s="22">
        <v>-2.94495E-2</v>
      </c>
      <c r="AZ24" s="22">
        <v>353.59199999999998</v>
      </c>
      <c r="BA24" s="22">
        <v>-1.7007399999999999E-2</v>
      </c>
      <c r="BB24" s="22">
        <v>14</v>
      </c>
      <c r="BC24" s="22">
        <v>-2.9672199999999999E-2</v>
      </c>
      <c r="BD24">
        <f t="shared" si="10"/>
        <v>17.007400000000001</v>
      </c>
      <c r="BE24">
        <f t="shared" si="11"/>
        <v>-0.50085942630000002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25.160900000000002</v>
      </c>
      <c r="I25" s="22">
        <v>-3.6050399999999999E-3</v>
      </c>
      <c r="J25" s="22">
        <v>15</v>
      </c>
      <c r="K25" s="22">
        <v>1.7736799999999999</v>
      </c>
      <c r="L25">
        <f t="shared" si="0"/>
        <v>3.6050399999999998</v>
      </c>
      <c r="M25">
        <f t="shared" si="1"/>
        <v>6.3969271775999994</v>
      </c>
      <c r="N25" s="9"/>
      <c r="O25" s="22">
        <v>-2.4414100000000001E-2</v>
      </c>
      <c r="P25" s="22">
        <v>80.556799999999996</v>
      </c>
      <c r="Q25" s="22">
        <v>-1.73584E-2</v>
      </c>
      <c r="R25" s="22">
        <v>15</v>
      </c>
      <c r="S25" s="22">
        <v>-2.4661300000000001E-2</v>
      </c>
      <c r="T25">
        <f t="shared" si="2"/>
        <v>17.3584</v>
      </c>
      <c r="U25">
        <f t="shared" si="3"/>
        <v>-0.42378971343999999</v>
      </c>
      <c r="V25" s="23"/>
      <c r="W25" s="24"/>
      <c r="X25" s="9"/>
      <c r="Y25" s="22">
        <v>1.77444</v>
      </c>
      <c r="Z25" s="22">
        <v>142.51400000000001</v>
      </c>
      <c r="AA25" s="22">
        <v>-1.08215E-3</v>
      </c>
      <c r="AB25" s="22">
        <v>15</v>
      </c>
      <c r="AC25" s="22">
        <v>1.7736799999999999</v>
      </c>
      <c r="AD25">
        <f t="shared" si="4"/>
        <v>1.0821499999999999</v>
      </c>
      <c r="AE25">
        <f t="shared" si="5"/>
        <v>1.9202102459999999</v>
      </c>
      <c r="AF25" s="9"/>
      <c r="AG25" s="22">
        <v>-2.4414100000000001E-2</v>
      </c>
      <c r="AH25" s="22">
        <v>222.04599999999999</v>
      </c>
      <c r="AI25" s="22">
        <v>-1.7080700000000001E-2</v>
      </c>
      <c r="AJ25" s="22">
        <v>15</v>
      </c>
      <c r="AK25" s="22">
        <v>-2.4673500000000001E-2</v>
      </c>
      <c r="AL25">
        <f t="shared" si="6"/>
        <v>17.0807</v>
      </c>
      <c r="AM25">
        <f t="shared" si="7"/>
        <v>-0.41700991787000002</v>
      </c>
      <c r="AP25" s="9"/>
      <c r="AQ25" s="22">
        <v>1.77444</v>
      </c>
      <c r="AR25" s="22">
        <v>274.46300000000002</v>
      </c>
      <c r="AS25" s="22">
        <v>-6.5612799999999996E-4</v>
      </c>
      <c r="AT25" s="22">
        <v>15</v>
      </c>
      <c r="AU25" s="22">
        <v>1.7736799999999999</v>
      </c>
      <c r="AV25">
        <f t="shared" si="8"/>
        <v>0.65612799999999993</v>
      </c>
      <c r="AW25">
        <f t="shared" si="9"/>
        <v>1.16425976832</v>
      </c>
      <c r="AX25" s="9"/>
      <c r="AY25" s="22">
        <v>-2.4414100000000001E-2</v>
      </c>
      <c r="AZ25" s="22">
        <v>353.69299999999998</v>
      </c>
      <c r="BA25" s="22">
        <v>-1.69769E-2</v>
      </c>
      <c r="BB25" s="22">
        <v>15</v>
      </c>
      <c r="BC25" s="22">
        <v>-2.4676500000000001E-2</v>
      </c>
      <c r="BD25">
        <f t="shared" si="10"/>
        <v>16.976900000000001</v>
      </c>
      <c r="BE25">
        <f t="shared" si="11"/>
        <v>-0.41447573429000001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25.261600000000001</v>
      </c>
      <c r="I26" s="22">
        <v>-4.2343099999999998E-3</v>
      </c>
      <c r="J26" s="22">
        <v>16</v>
      </c>
      <c r="K26" s="22">
        <v>1.7684899999999999</v>
      </c>
      <c r="L26">
        <f t="shared" si="0"/>
        <v>4.2343099999999998</v>
      </c>
      <c r="M26">
        <f t="shared" si="1"/>
        <v>7.4922304570999989</v>
      </c>
      <c r="N26" s="9"/>
      <c r="O26" s="22">
        <v>-1.9378699999999999E-2</v>
      </c>
      <c r="P26" s="22">
        <v>80.657499999999999</v>
      </c>
      <c r="Q26" s="22">
        <v>-1.73706E-2</v>
      </c>
      <c r="R26" s="22">
        <v>16</v>
      </c>
      <c r="S26" s="22">
        <v>-1.96045E-2</v>
      </c>
      <c r="T26">
        <f t="shared" si="2"/>
        <v>17.3706</v>
      </c>
      <c r="U26">
        <f t="shared" si="3"/>
        <v>-0.33661964621999996</v>
      </c>
      <c r="V26" s="23"/>
      <c r="W26" s="24"/>
      <c r="X26" s="9"/>
      <c r="Y26" s="22">
        <v>1.7694099999999999</v>
      </c>
      <c r="Z26" s="22">
        <v>142.614</v>
      </c>
      <c r="AA26" s="22">
        <v>-1.9448899999999999E-3</v>
      </c>
      <c r="AB26" s="22">
        <v>16</v>
      </c>
      <c r="AC26" s="22">
        <v>1.7687999999999999</v>
      </c>
      <c r="AD26">
        <f t="shared" si="4"/>
        <v>1.94489</v>
      </c>
      <c r="AE26">
        <f t="shared" si="5"/>
        <v>3.4413078149</v>
      </c>
      <c r="AF26" s="9"/>
      <c r="AG26" s="22">
        <v>-1.9378699999999999E-2</v>
      </c>
      <c r="AH26" s="22">
        <v>222.14699999999999</v>
      </c>
      <c r="AI26" s="22">
        <v>-1.7095900000000001E-2</v>
      </c>
      <c r="AJ26" s="22">
        <v>16</v>
      </c>
      <c r="AK26" s="22">
        <v>-1.95251E-2</v>
      </c>
      <c r="AL26">
        <f t="shared" si="6"/>
        <v>17.0959</v>
      </c>
      <c r="AM26">
        <f t="shared" si="7"/>
        <v>-0.33129631732999998</v>
      </c>
      <c r="AP26" s="9"/>
      <c r="AQ26" s="22">
        <v>1.7694099999999999</v>
      </c>
      <c r="AR26" s="22">
        <v>274.56400000000002</v>
      </c>
      <c r="AS26" s="22">
        <v>-1.54816E-3</v>
      </c>
      <c r="AT26" s="22">
        <v>16</v>
      </c>
      <c r="AU26" s="22">
        <v>1.7687999999999999</v>
      </c>
      <c r="AV26">
        <f t="shared" si="8"/>
        <v>1.54816</v>
      </c>
      <c r="AW26">
        <f t="shared" si="9"/>
        <v>2.7393297855999998</v>
      </c>
      <c r="AX26" s="9"/>
      <c r="AY26" s="22">
        <v>-1.9378699999999999E-2</v>
      </c>
      <c r="AZ26" s="22">
        <v>353.79399999999998</v>
      </c>
      <c r="BA26" s="22">
        <v>-1.6979999999999999E-2</v>
      </c>
      <c r="BB26" s="22">
        <v>16</v>
      </c>
      <c r="BC26" s="22">
        <v>-1.94977E-2</v>
      </c>
      <c r="BD26">
        <f t="shared" si="10"/>
        <v>16.979999999999997</v>
      </c>
      <c r="BE26">
        <f t="shared" si="11"/>
        <v>-0.32905032599999989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25.362300000000001</v>
      </c>
      <c r="I27" s="22">
        <v>-4.83337E-3</v>
      </c>
      <c r="J27" s="22">
        <v>17</v>
      </c>
      <c r="K27" s="22">
        <v>1.7639199999999999</v>
      </c>
      <c r="L27">
        <f t="shared" si="0"/>
        <v>4.8333700000000004</v>
      </c>
      <c r="M27">
        <f t="shared" si="1"/>
        <v>8.5278530269000008</v>
      </c>
      <c r="N27" s="9"/>
      <c r="O27" s="22">
        <v>-1.43433E-2</v>
      </c>
      <c r="P27" s="22">
        <v>80.758200000000002</v>
      </c>
      <c r="Q27" s="22">
        <v>-1.7340100000000001E-2</v>
      </c>
      <c r="R27" s="22">
        <v>17</v>
      </c>
      <c r="S27" s="22">
        <v>-1.4566000000000001E-2</v>
      </c>
      <c r="T27">
        <f t="shared" si="2"/>
        <v>17.3401</v>
      </c>
      <c r="U27">
        <f t="shared" si="3"/>
        <v>-0.24871425632999999</v>
      </c>
      <c r="X27" s="9"/>
      <c r="Y27" s="22">
        <v>1.76437</v>
      </c>
      <c r="Z27" s="22">
        <v>142.715</v>
      </c>
      <c r="AA27" s="22">
        <v>-2.7175900000000002E-3</v>
      </c>
      <c r="AB27" s="22">
        <v>17</v>
      </c>
      <c r="AC27" s="22">
        <v>1.7636099999999999</v>
      </c>
      <c r="AD27">
        <f t="shared" si="4"/>
        <v>2.7175900000000004</v>
      </c>
      <c r="AE27">
        <f t="shared" si="5"/>
        <v>4.7948342683000007</v>
      </c>
      <c r="AF27" s="9"/>
      <c r="AG27" s="22">
        <v>-1.43433E-2</v>
      </c>
      <c r="AH27" s="22">
        <v>222.24700000000001</v>
      </c>
      <c r="AI27" s="22">
        <v>-1.7105100000000002E-2</v>
      </c>
      <c r="AJ27" s="22">
        <v>17</v>
      </c>
      <c r="AK27" s="22">
        <v>-1.4563E-2</v>
      </c>
      <c r="AL27">
        <f t="shared" si="6"/>
        <v>17.1051</v>
      </c>
      <c r="AM27">
        <f t="shared" si="7"/>
        <v>-0.24534358082999999</v>
      </c>
      <c r="AP27" s="9"/>
      <c r="AQ27" s="22">
        <v>1.76437</v>
      </c>
      <c r="AR27" s="22">
        <v>274.66399999999999</v>
      </c>
      <c r="AS27" s="22">
        <v>-2.3492399999999998E-3</v>
      </c>
      <c r="AT27" s="22">
        <v>17</v>
      </c>
      <c r="AU27" s="22">
        <v>1.7639199999999999</v>
      </c>
      <c r="AV27">
        <f t="shared" si="8"/>
        <v>2.34924</v>
      </c>
      <c r="AW27">
        <f t="shared" si="9"/>
        <v>4.1449285788000001</v>
      </c>
      <c r="AX27" s="9"/>
      <c r="AY27" s="22">
        <v>-1.43433E-2</v>
      </c>
      <c r="AZ27" s="22">
        <v>353.89499999999998</v>
      </c>
      <c r="BA27" s="22">
        <v>-1.69769E-2</v>
      </c>
      <c r="BB27" s="22">
        <v>17</v>
      </c>
      <c r="BC27" s="22">
        <v>-1.4544700000000001E-2</v>
      </c>
      <c r="BD27">
        <f t="shared" si="10"/>
        <v>16.976900000000001</v>
      </c>
      <c r="BE27">
        <f t="shared" si="11"/>
        <v>-0.24350476977000002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25.463000000000001</v>
      </c>
      <c r="I28" s="22">
        <v>-5.3802499999999996E-3</v>
      </c>
      <c r="J28" s="22">
        <v>18</v>
      </c>
      <c r="K28" s="22">
        <v>1.7587299999999999</v>
      </c>
      <c r="L28">
        <f t="shared" si="0"/>
        <v>5.3802499999999993</v>
      </c>
      <c r="M28">
        <f t="shared" si="1"/>
        <v>9.4656890349999987</v>
      </c>
      <c r="N28" s="9"/>
      <c r="O28" s="22">
        <v>-9.3078599999999994E-3</v>
      </c>
      <c r="P28" s="22">
        <v>80.858900000000006</v>
      </c>
      <c r="Q28" s="22">
        <v>-1.7388899999999999E-2</v>
      </c>
      <c r="R28" s="22">
        <v>18</v>
      </c>
      <c r="S28" s="22">
        <v>-9.5153800000000004E-3</v>
      </c>
      <c r="T28">
        <f t="shared" si="2"/>
        <v>17.3889</v>
      </c>
      <c r="U28">
        <f t="shared" si="3"/>
        <v>-0.16185344675399999</v>
      </c>
      <c r="X28" s="9"/>
      <c r="Y28" s="22">
        <v>1.7593399999999999</v>
      </c>
      <c r="Z28" s="22">
        <v>142.816</v>
      </c>
      <c r="AA28" s="22">
        <v>-3.4304800000000001E-3</v>
      </c>
      <c r="AB28" s="22">
        <v>18</v>
      </c>
      <c r="AC28" s="22">
        <v>1.7590300000000001</v>
      </c>
      <c r="AD28">
        <f t="shared" si="4"/>
        <v>3.4304800000000002</v>
      </c>
      <c r="AE28">
        <f t="shared" si="5"/>
        <v>6.0353806831999997</v>
      </c>
      <c r="AF28" s="9"/>
      <c r="AG28" s="22">
        <v>-9.3078599999999994E-3</v>
      </c>
      <c r="AH28" s="22">
        <v>222.34800000000001</v>
      </c>
      <c r="AI28" s="22">
        <v>-1.71082E-2</v>
      </c>
      <c r="AJ28" s="22">
        <v>18</v>
      </c>
      <c r="AK28" s="22">
        <v>-9.47571E-3</v>
      </c>
      <c r="AL28">
        <f t="shared" si="6"/>
        <v>17.1082</v>
      </c>
      <c r="AM28">
        <f t="shared" si="7"/>
        <v>-0.15924073045199999</v>
      </c>
      <c r="AP28" s="9"/>
      <c r="AQ28" s="22">
        <v>1.7593399999999999</v>
      </c>
      <c r="AR28" s="22">
        <v>274.76499999999999</v>
      </c>
      <c r="AS28" s="22">
        <v>-3.0929600000000001E-3</v>
      </c>
      <c r="AT28" s="22">
        <v>18</v>
      </c>
      <c r="AU28" s="22">
        <v>1.7584200000000001</v>
      </c>
      <c r="AV28">
        <f t="shared" si="8"/>
        <v>3.0929600000000002</v>
      </c>
      <c r="AW28">
        <f t="shared" si="9"/>
        <v>5.4415682464000001</v>
      </c>
      <c r="AX28" s="9"/>
      <c r="AY28" s="22">
        <v>-9.3078599999999994E-3</v>
      </c>
      <c r="AZ28" s="22">
        <v>353.995</v>
      </c>
      <c r="BA28" s="22">
        <v>-1.6958600000000001E-2</v>
      </c>
      <c r="BB28" s="22">
        <v>18</v>
      </c>
      <c r="BC28" s="22">
        <v>-9.5062299999999992E-3</v>
      </c>
      <c r="BD28">
        <f t="shared" si="10"/>
        <v>16.958600000000001</v>
      </c>
      <c r="BE28">
        <f t="shared" si="11"/>
        <v>-0.15784827459599998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25.563800000000001</v>
      </c>
      <c r="I29" s="22">
        <v>-5.8960000000000002E-3</v>
      </c>
      <c r="J29" s="22">
        <v>19</v>
      </c>
      <c r="K29" s="22">
        <v>1.7535400000000001</v>
      </c>
      <c r="L29">
        <f t="shared" si="0"/>
        <v>5.8959999999999999</v>
      </c>
      <c r="M29">
        <f t="shared" si="1"/>
        <v>10.3433528</v>
      </c>
      <c r="N29" s="9"/>
      <c r="O29" s="22">
        <v>-4.2724599999999996E-3</v>
      </c>
      <c r="P29" s="22">
        <v>80.959599999999995</v>
      </c>
      <c r="Q29" s="22">
        <v>-1.7395000000000001E-2</v>
      </c>
      <c r="R29" s="22">
        <v>19</v>
      </c>
      <c r="S29" s="22">
        <v>-4.4525099999999998E-3</v>
      </c>
      <c r="T29">
        <f t="shared" si="2"/>
        <v>17.395</v>
      </c>
      <c r="U29">
        <f t="shared" si="3"/>
        <v>-7.4319441699999989E-2</v>
      </c>
      <c r="X29" s="9"/>
      <c r="Y29" s="22">
        <v>1.7543</v>
      </c>
      <c r="Z29" s="22">
        <v>142.917</v>
      </c>
      <c r="AA29" s="22">
        <v>-4.1070600000000001E-3</v>
      </c>
      <c r="AB29" s="22">
        <v>19</v>
      </c>
      <c r="AC29" s="22">
        <v>1.7535400000000001</v>
      </c>
      <c r="AD29">
        <f t="shared" si="4"/>
        <v>4.1070599999999997</v>
      </c>
      <c r="AE29">
        <f t="shared" si="5"/>
        <v>7.2050153579999998</v>
      </c>
      <c r="AF29" s="9"/>
      <c r="AG29" s="22">
        <v>-4.2724599999999996E-3</v>
      </c>
      <c r="AH29" s="22">
        <v>222.44900000000001</v>
      </c>
      <c r="AI29" s="22">
        <v>-1.71082E-2</v>
      </c>
      <c r="AJ29" s="22">
        <v>19</v>
      </c>
      <c r="AK29" s="22">
        <v>-4.4647200000000001E-3</v>
      </c>
      <c r="AL29">
        <f t="shared" si="6"/>
        <v>17.1082</v>
      </c>
      <c r="AM29">
        <f t="shared" si="7"/>
        <v>-7.3094100171999993E-2</v>
      </c>
      <c r="AP29" s="9"/>
      <c r="AQ29" s="22">
        <v>1.7543</v>
      </c>
      <c r="AR29" s="22">
        <v>274.86599999999999</v>
      </c>
      <c r="AS29" s="22">
        <v>-3.7847900000000001E-3</v>
      </c>
      <c r="AT29" s="22">
        <v>19</v>
      </c>
      <c r="AU29" s="22">
        <v>1.7535400000000001</v>
      </c>
      <c r="AV29">
        <f t="shared" si="8"/>
        <v>3.7847900000000001</v>
      </c>
      <c r="AW29">
        <f t="shared" si="9"/>
        <v>6.6396570969999997</v>
      </c>
      <c r="AX29" s="9"/>
      <c r="AY29" s="22">
        <v>-4.2724599999999996E-3</v>
      </c>
      <c r="AZ29" s="22">
        <v>354.096</v>
      </c>
      <c r="BA29" s="22">
        <v>-1.6949499999999999E-2</v>
      </c>
      <c r="BB29" s="22">
        <v>19</v>
      </c>
      <c r="BC29" s="22">
        <v>-4.5532200000000002E-3</v>
      </c>
      <c r="BD29">
        <f t="shared" si="10"/>
        <v>16.9495</v>
      </c>
      <c r="BE29">
        <f t="shared" si="11"/>
        <v>-7.2416060769999999E-2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25.6645</v>
      </c>
      <c r="I30" s="22">
        <v>-6.3812299999999999E-3</v>
      </c>
      <c r="J30" s="22">
        <v>20</v>
      </c>
      <c r="K30" s="22">
        <v>1.7492700000000001</v>
      </c>
      <c r="L30">
        <f t="shared" si="0"/>
        <v>6.3812299999999995</v>
      </c>
      <c r="M30">
        <f t="shared" si="1"/>
        <v>11.1624942021</v>
      </c>
      <c r="N30" s="9"/>
      <c r="O30" s="22">
        <v>7.6293900000000002E-4</v>
      </c>
      <c r="P30" s="22">
        <v>81.060299999999998</v>
      </c>
      <c r="Q30" s="22">
        <v>-1.73706E-2</v>
      </c>
      <c r="R30" s="22">
        <v>20</v>
      </c>
      <c r="S30" s="22">
        <v>5.5542000000000005E-4</v>
      </c>
      <c r="T30">
        <f t="shared" si="2"/>
        <v>17.3706</v>
      </c>
      <c r="U30">
        <f t="shared" si="3"/>
        <v>1.3252708193399999E-2</v>
      </c>
      <c r="X30" s="9"/>
      <c r="Y30" s="22">
        <v>1.7492700000000001</v>
      </c>
      <c r="Z30" s="22">
        <v>143.017</v>
      </c>
      <c r="AA30" s="22">
        <v>-4.75159E-3</v>
      </c>
      <c r="AB30" s="22">
        <v>20</v>
      </c>
      <c r="AC30" s="22">
        <v>1.7486600000000001</v>
      </c>
      <c r="AD30">
        <f t="shared" si="4"/>
        <v>4.7515900000000002</v>
      </c>
      <c r="AE30">
        <f t="shared" si="5"/>
        <v>8.311813839300001</v>
      </c>
      <c r="AF30" s="9"/>
      <c r="AG30" s="22">
        <v>7.6293900000000002E-4</v>
      </c>
      <c r="AH30" s="22">
        <v>222.55</v>
      </c>
      <c r="AI30" s="22">
        <v>-1.7086799999999999E-2</v>
      </c>
      <c r="AJ30" s="22">
        <v>20</v>
      </c>
      <c r="AK30" s="22">
        <v>5.8288600000000002E-4</v>
      </c>
      <c r="AL30">
        <f t="shared" si="6"/>
        <v>17.0868</v>
      </c>
      <c r="AM30">
        <f t="shared" si="7"/>
        <v>1.30361861052E-2</v>
      </c>
      <c r="AP30" s="9"/>
      <c r="AQ30" s="22">
        <v>1.7492700000000001</v>
      </c>
      <c r="AR30" s="22">
        <v>274.96600000000001</v>
      </c>
      <c r="AS30" s="22">
        <v>-4.4320699999999998E-3</v>
      </c>
      <c r="AT30" s="22">
        <v>20</v>
      </c>
      <c r="AU30" s="22">
        <v>1.7483500000000001</v>
      </c>
      <c r="AV30">
        <f t="shared" si="8"/>
        <v>4.4320699999999995</v>
      </c>
      <c r="AW30">
        <f t="shared" si="9"/>
        <v>7.7528870888999997</v>
      </c>
      <c r="AX30" s="9"/>
      <c r="AY30" s="22">
        <v>7.6293900000000002E-4</v>
      </c>
      <c r="AZ30" s="22">
        <v>354.197</v>
      </c>
      <c r="BA30" s="22">
        <v>-1.6952499999999999E-2</v>
      </c>
      <c r="BB30" s="22">
        <v>20</v>
      </c>
      <c r="BC30" s="22">
        <v>6.13403E-4</v>
      </c>
      <c r="BD30">
        <f t="shared" si="10"/>
        <v>16.952500000000001</v>
      </c>
      <c r="BE30">
        <f t="shared" si="11"/>
        <v>1.2933723397500001E-2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25.7652</v>
      </c>
      <c r="I31" s="22">
        <v>-6.84814E-3</v>
      </c>
      <c r="J31" s="22">
        <v>21</v>
      </c>
      <c r="K31" s="22">
        <v>1.7434700000000001</v>
      </c>
      <c r="L31">
        <f t="shared" si="0"/>
        <v>6.8481399999999999</v>
      </c>
      <c r="M31">
        <f t="shared" si="1"/>
        <v>11.944731232199999</v>
      </c>
      <c r="N31" s="9"/>
      <c r="O31" s="22">
        <v>5.7983399999999999E-3</v>
      </c>
      <c r="P31" s="22">
        <v>81.161000000000001</v>
      </c>
      <c r="Q31" s="22">
        <v>-1.73584E-2</v>
      </c>
      <c r="R31" s="22">
        <v>21</v>
      </c>
      <c r="S31" s="22">
        <v>5.5786100000000003E-3</v>
      </c>
      <c r="T31">
        <f t="shared" si="2"/>
        <v>17.3584</v>
      </c>
      <c r="U31">
        <f t="shared" si="3"/>
        <v>0.10064990505599999</v>
      </c>
      <c r="X31" s="9"/>
      <c r="Y31" s="22">
        <v>1.7442299999999999</v>
      </c>
      <c r="Z31" s="22">
        <v>143.11799999999999</v>
      </c>
      <c r="AA31" s="22">
        <v>-5.3436300000000003E-3</v>
      </c>
      <c r="AB31" s="22">
        <v>21</v>
      </c>
      <c r="AC31" s="22">
        <v>1.74377</v>
      </c>
      <c r="AD31">
        <f t="shared" si="4"/>
        <v>5.3436300000000001</v>
      </c>
      <c r="AE31">
        <f t="shared" si="5"/>
        <v>9.3205197548999994</v>
      </c>
      <c r="AF31" s="9"/>
      <c r="AG31" s="22">
        <v>5.7983399999999999E-3</v>
      </c>
      <c r="AH31" s="22">
        <v>222.65</v>
      </c>
      <c r="AI31" s="22">
        <v>-1.70715E-2</v>
      </c>
      <c r="AJ31" s="22">
        <v>21</v>
      </c>
      <c r="AK31" s="22">
        <v>5.6762699999999998E-3</v>
      </c>
      <c r="AL31">
        <f t="shared" si="6"/>
        <v>17.0715</v>
      </c>
      <c r="AM31">
        <f t="shared" si="7"/>
        <v>9.8986361310000007E-2</v>
      </c>
      <c r="AP31" s="9"/>
      <c r="AQ31" s="22">
        <v>1.7442299999999999</v>
      </c>
      <c r="AR31" s="22">
        <v>275.06700000000001</v>
      </c>
      <c r="AS31" s="22">
        <v>-5.0353999999999998E-3</v>
      </c>
      <c r="AT31" s="22">
        <v>21</v>
      </c>
      <c r="AU31" s="22">
        <v>1.74316</v>
      </c>
      <c r="AV31">
        <f t="shared" si="8"/>
        <v>5.0354000000000001</v>
      </c>
      <c r="AW31">
        <f t="shared" si="9"/>
        <v>8.7828957419999991</v>
      </c>
      <c r="AX31" s="9"/>
      <c r="AY31" s="22">
        <v>5.7983399999999999E-3</v>
      </c>
      <c r="AZ31" s="22">
        <v>354.29700000000003</v>
      </c>
      <c r="BA31" s="22">
        <v>-1.6937299999999999E-2</v>
      </c>
      <c r="BB31" s="22">
        <v>21</v>
      </c>
      <c r="BC31" s="22">
        <v>5.6487999999999998E-3</v>
      </c>
      <c r="BD31">
        <f t="shared" si="10"/>
        <v>16.9373</v>
      </c>
      <c r="BE31">
        <f t="shared" si="11"/>
        <v>9.8208224082000001E-2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25.8659</v>
      </c>
      <c r="I32" s="22">
        <v>-7.2692900000000003E-3</v>
      </c>
      <c r="J32" s="22">
        <v>22</v>
      </c>
      <c r="K32" s="22">
        <v>1.73889</v>
      </c>
      <c r="L32">
        <f t="shared" si="0"/>
        <v>7.2692900000000007</v>
      </c>
      <c r="M32">
        <f t="shared" si="1"/>
        <v>12.642749168000002</v>
      </c>
      <c r="N32" s="9"/>
      <c r="O32" s="22">
        <v>1.08337E-2</v>
      </c>
      <c r="P32" s="22">
        <v>81.261700000000005</v>
      </c>
      <c r="Q32" s="22">
        <v>-1.7388899999999999E-2</v>
      </c>
      <c r="R32" s="22">
        <v>22</v>
      </c>
      <c r="S32" s="22">
        <v>1.07574E-2</v>
      </c>
      <c r="T32">
        <f t="shared" si="2"/>
        <v>17.3889</v>
      </c>
      <c r="U32">
        <f t="shared" si="3"/>
        <v>0.18838612592999998</v>
      </c>
      <c r="X32" s="9"/>
      <c r="Y32" s="22">
        <v>1.7392000000000001</v>
      </c>
      <c r="Z32" s="22">
        <v>143.21899999999999</v>
      </c>
      <c r="AA32" s="22">
        <v>-5.8960000000000002E-3</v>
      </c>
      <c r="AB32" s="22">
        <v>22</v>
      </c>
      <c r="AC32" s="22">
        <v>1.73828</v>
      </c>
      <c r="AD32">
        <f t="shared" si="4"/>
        <v>5.8959999999999999</v>
      </c>
      <c r="AE32">
        <f t="shared" si="5"/>
        <v>10.2543232</v>
      </c>
      <c r="AF32" s="9"/>
      <c r="AG32" s="22">
        <v>1.08337E-2</v>
      </c>
      <c r="AH32" s="22">
        <v>222.751</v>
      </c>
      <c r="AI32" s="22">
        <v>-1.7047099999999999E-2</v>
      </c>
      <c r="AJ32" s="22">
        <v>22</v>
      </c>
      <c r="AK32" s="22">
        <v>1.07239E-2</v>
      </c>
      <c r="AL32">
        <f t="shared" si="6"/>
        <v>17.0471</v>
      </c>
      <c r="AM32">
        <f t="shared" si="7"/>
        <v>0.18468316727</v>
      </c>
      <c r="AP32" s="9"/>
      <c r="AQ32" s="22">
        <v>1.7392000000000001</v>
      </c>
      <c r="AR32" s="22">
        <v>275.16800000000001</v>
      </c>
      <c r="AS32" s="22">
        <v>-5.6182899999999997E-3</v>
      </c>
      <c r="AT32" s="22">
        <v>22</v>
      </c>
      <c r="AU32" s="22">
        <v>1.7379800000000001</v>
      </c>
      <c r="AV32">
        <f t="shared" si="8"/>
        <v>5.61829</v>
      </c>
      <c r="AW32">
        <f t="shared" si="9"/>
        <v>9.7713299679999999</v>
      </c>
      <c r="AX32" s="9"/>
      <c r="AY32" s="22">
        <v>1.08337E-2</v>
      </c>
      <c r="AZ32" s="22">
        <v>354.39800000000002</v>
      </c>
      <c r="BA32" s="22">
        <v>-1.6937299999999999E-2</v>
      </c>
      <c r="BB32" s="22">
        <v>22</v>
      </c>
      <c r="BC32" s="22">
        <v>1.08307E-2</v>
      </c>
      <c r="BD32">
        <f t="shared" si="10"/>
        <v>16.9373</v>
      </c>
      <c r="BE32">
        <f t="shared" si="11"/>
        <v>0.18349362700999999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25.9666</v>
      </c>
      <c r="I33" s="22">
        <v>-7.69653E-3</v>
      </c>
      <c r="J33" s="22">
        <v>23</v>
      </c>
      <c r="K33" s="22">
        <v>1.7334000000000001</v>
      </c>
      <c r="L33">
        <f t="shared" si="0"/>
        <v>7.6965300000000001</v>
      </c>
      <c r="M33">
        <f t="shared" si="1"/>
        <v>13.347014464799999</v>
      </c>
      <c r="N33" s="9"/>
      <c r="O33" s="22">
        <v>1.5869100000000001E-2</v>
      </c>
      <c r="P33" s="22">
        <v>81.362399999999994</v>
      </c>
      <c r="Q33" s="22">
        <v>-1.7364500000000001E-2</v>
      </c>
      <c r="R33" s="22">
        <v>23</v>
      </c>
      <c r="S33" s="22">
        <v>1.56677E-2</v>
      </c>
      <c r="T33">
        <f t="shared" si="2"/>
        <v>17.364500000000003</v>
      </c>
      <c r="U33">
        <f t="shared" si="3"/>
        <v>0.27555898695000008</v>
      </c>
      <c r="X33" s="9"/>
      <c r="Y33" s="22">
        <v>1.7341599999999999</v>
      </c>
      <c r="Z33" s="22">
        <v>143.31899999999999</v>
      </c>
      <c r="AA33" s="22">
        <v>-6.4025899999999997E-3</v>
      </c>
      <c r="AB33" s="22">
        <v>23</v>
      </c>
      <c r="AC33" s="22">
        <v>1.7334000000000001</v>
      </c>
      <c r="AD33">
        <f t="shared" si="4"/>
        <v>6.40259</v>
      </c>
      <c r="AE33">
        <f t="shared" si="5"/>
        <v>11.103115474399999</v>
      </c>
      <c r="AF33" s="9"/>
      <c r="AG33" s="22">
        <v>1.5869100000000001E-2</v>
      </c>
      <c r="AH33" s="22">
        <v>222.852</v>
      </c>
      <c r="AI33" s="22">
        <v>-1.7034899999999999E-2</v>
      </c>
      <c r="AJ33" s="22">
        <v>23</v>
      </c>
      <c r="AK33" s="22">
        <v>1.57593E-2</v>
      </c>
      <c r="AL33">
        <f t="shared" si="6"/>
        <v>17.0349</v>
      </c>
      <c r="AM33">
        <f t="shared" si="7"/>
        <v>0.27032853159000003</v>
      </c>
      <c r="AP33" s="9"/>
      <c r="AQ33" s="22">
        <v>1.7341599999999999</v>
      </c>
      <c r="AR33" s="22">
        <v>275.26799999999997</v>
      </c>
      <c r="AS33" s="22">
        <v>-6.14929E-3</v>
      </c>
      <c r="AT33" s="22">
        <v>23</v>
      </c>
      <c r="AU33" s="22">
        <v>1.73309</v>
      </c>
      <c r="AV33">
        <f t="shared" si="8"/>
        <v>6.1492899999999997</v>
      </c>
      <c r="AW33">
        <f t="shared" si="9"/>
        <v>10.663852746399998</v>
      </c>
      <c r="AX33" s="9"/>
      <c r="AY33" s="22">
        <v>1.5869100000000001E-2</v>
      </c>
      <c r="AZ33" s="22">
        <v>354.49900000000002</v>
      </c>
      <c r="BA33" s="22">
        <v>-1.6922E-2</v>
      </c>
      <c r="BB33" s="22">
        <v>23</v>
      </c>
      <c r="BC33" s="22">
        <v>1.57745E-2</v>
      </c>
      <c r="BD33">
        <f t="shared" si="10"/>
        <v>16.922000000000001</v>
      </c>
      <c r="BE33">
        <f t="shared" si="11"/>
        <v>0.26853691020000003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26.067299999999999</v>
      </c>
      <c r="I34" s="22">
        <v>-8.0932599999999997E-3</v>
      </c>
      <c r="J34" s="22">
        <v>24</v>
      </c>
      <c r="K34" s="22">
        <v>1.72821</v>
      </c>
      <c r="L34">
        <f t="shared" si="0"/>
        <v>8.093259999999999</v>
      </c>
      <c r="M34">
        <f t="shared" si="1"/>
        <v>13.994298663799999</v>
      </c>
      <c r="N34" s="9"/>
      <c r="O34" s="22">
        <v>2.0904499999999999E-2</v>
      </c>
      <c r="P34" s="22">
        <v>81.463099999999997</v>
      </c>
      <c r="Q34" s="22">
        <v>-1.73828E-2</v>
      </c>
      <c r="R34" s="22">
        <v>24</v>
      </c>
      <c r="S34" s="22">
        <v>2.0840500000000001E-2</v>
      </c>
      <c r="T34">
        <f t="shared" si="2"/>
        <v>17.3828</v>
      </c>
      <c r="U34">
        <f t="shared" si="3"/>
        <v>0.36337874259999997</v>
      </c>
      <c r="X34" s="9"/>
      <c r="Y34" s="22">
        <v>1.7291300000000001</v>
      </c>
      <c r="Z34" s="22">
        <v>143.41999999999999</v>
      </c>
      <c r="AA34" s="22">
        <v>-6.8847700000000001E-3</v>
      </c>
      <c r="AB34" s="22">
        <v>24</v>
      </c>
      <c r="AC34" s="22">
        <v>1.72821</v>
      </c>
      <c r="AD34">
        <f t="shared" si="4"/>
        <v>6.8847700000000005</v>
      </c>
      <c r="AE34">
        <f t="shared" si="5"/>
        <v>11.904662350100001</v>
      </c>
      <c r="AF34" s="9"/>
      <c r="AG34" s="22">
        <v>2.0904499999999999E-2</v>
      </c>
      <c r="AH34" s="22">
        <v>222.952</v>
      </c>
      <c r="AI34" s="22">
        <v>-1.7053200000000001E-2</v>
      </c>
      <c r="AJ34" s="22">
        <v>24</v>
      </c>
      <c r="AK34" s="22">
        <v>2.0797699999999999E-2</v>
      </c>
      <c r="AL34">
        <f t="shared" si="6"/>
        <v>17.0532</v>
      </c>
      <c r="AM34">
        <f t="shared" si="7"/>
        <v>0.35648861939999998</v>
      </c>
      <c r="AP34" s="9"/>
      <c r="AQ34" s="22">
        <v>1.7291300000000001</v>
      </c>
      <c r="AR34" s="22">
        <v>275.36900000000003</v>
      </c>
      <c r="AS34" s="22">
        <v>-6.6223100000000002E-3</v>
      </c>
      <c r="AT34" s="22">
        <v>24</v>
      </c>
      <c r="AU34" s="22">
        <v>1.7285200000000001</v>
      </c>
      <c r="AV34">
        <f t="shared" si="8"/>
        <v>6.6223100000000006</v>
      </c>
      <c r="AW34">
        <f t="shared" si="9"/>
        <v>11.450834890300001</v>
      </c>
      <c r="AX34" s="9"/>
      <c r="AY34" s="22">
        <v>2.0904499999999999E-2</v>
      </c>
      <c r="AZ34" s="22">
        <v>354.6</v>
      </c>
      <c r="BA34" s="22">
        <v>-1.6900600000000002E-2</v>
      </c>
      <c r="BB34" s="22">
        <v>24</v>
      </c>
      <c r="BC34" s="22">
        <v>2.09015E-2</v>
      </c>
      <c r="BD34">
        <f t="shared" si="10"/>
        <v>16.900600000000001</v>
      </c>
      <c r="BE34">
        <f t="shared" si="11"/>
        <v>0.35329859270000002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26.167999999999999</v>
      </c>
      <c r="I35" s="22">
        <v>-8.4381100000000004E-3</v>
      </c>
      <c r="J35" s="22">
        <v>25</v>
      </c>
      <c r="K35" s="22">
        <v>1.72333</v>
      </c>
      <c r="L35">
        <f t="shared" si="0"/>
        <v>8.43811</v>
      </c>
      <c r="M35">
        <f t="shared" si="1"/>
        <v>14.548061069899999</v>
      </c>
      <c r="N35" s="9"/>
      <c r="O35" s="22">
        <v>2.5939899999999998E-2</v>
      </c>
      <c r="P35" s="22">
        <v>81.563900000000004</v>
      </c>
      <c r="Q35" s="22">
        <v>-1.7379800000000001E-2</v>
      </c>
      <c r="R35" s="22">
        <v>25</v>
      </c>
      <c r="S35" s="22">
        <v>2.5866699999999999E-2</v>
      </c>
      <c r="T35">
        <f t="shared" si="2"/>
        <v>17.379799999999999</v>
      </c>
      <c r="U35">
        <f t="shared" si="3"/>
        <v>0.45083027401999998</v>
      </c>
      <c r="X35" s="9"/>
      <c r="Y35" s="22">
        <v>1.7240899999999999</v>
      </c>
      <c r="Z35" s="22">
        <v>143.52099999999999</v>
      </c>
      <c r="AA35" s="22">
        <v>-7.3577900000000003E-3</v>
      </c>
      <c r="AB35" s="22">
        <v>25</v>
      </c>
      <c r="AC35" s="22">
        <v>1.72363</v>
      </c>
      <c r="AD35">
        <f t="shared" si="4"/>
        <v>7.3577900000000005</v>
      </c>
      <c r="AE35">
        <f t="shared" si="5"/>
        <v>12.685492161100001</v>
      </c>
      <c r="AF35" s="9"/>
      <c r="AG35" s="22">
        <v>2.5939899999999998E-2</v>
      </c>
      <c r="AH35" s="22">
        <v>223.053</v>
      </c>
      <c r="AI35" s="22">
        <v>-1.70441E-2</v>
      </c>
      <c r="AJ35" s="22">
        <v>25</v>
      </c>
      <c r="AK35" s="22">
        <v>2.5824E-2</v>
      </c>
      <c r="AL35">
        <f t="shared" si="6"/>
        <v>17.0441</v>
      </c>
      <c r="AM35">
        <f t="shared" si="7"/>
        <v>0.44212224958999996</v>
      </c>
      <c r="AP35" s="9"/>
      <c r="AQ35" s="22">
        <v>1.7240899999999999</v>
      </c>
      <c r="AR35" s="22">
        <v>275.47000000000003</v>
      </c>
      <c r="AS35" s="22">
        <v>-7.0953400000000003E-3</v>
      </c>
      <c r="AT35" s="22">
        <v>25</v>
      </c>
      <c r="AU35" s="22">
        <v>1.72302</v>
      </c>
      <c r="AV35">
        <f t="shared" si="8"/>
        <v>7.0953400000000002</v>
      </c>
      <c r="AW35">
        <f t="shared" si="9"/>
        <v>12.2330047406</v>
      </c>
      <c r="AX35" s="9"/>
      <c r="AY35" s="22">
        <v>2.5939899999999998E-2</v>
      </c>
      <c r="AZ35" s="22">
        <v>354.7</v>
      </c>
      <c r="BA35" s="22">
        <v>-1.6912799999999999E-2</v>
      </c>
      <c r="BB35" s="22">
        <v>25</v>
      </c>
      <c r="BC35" s="22">
        <v>2.58362E-2</v>
      </c>
      <c r="BD35">
        <f t="shared" si="10"/>
        <v>16.912799999999997</v>
      </c>
      <c r="BE35">
        <f t="shared" si="11"/>
        <v>0.43871634071999988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26.268699999999999</v>
      </c>
      <c r="I36" s="22">
        <v>-8.8226299999999997E-3</v>
      </c>
      <c r="J36" s="22">
        <v>26</v>
      </c>
      <c r="K36" s="22">
        <v>1.71844</v>
      </c>
      <c r="L36">
        <f t="shared" si="0"/>
        <v>8.8226300000000002</v>
      </c>
      <c r="M36">
        <f t="shared" si="1"/>
        <v>15.1666303278</v>
      </c>
      <c r="N36" s="9"/>
      <c r="O36" s="22">
        <v>3.0975300000000001E-2</v>
      </c>
      <c r="P36" s="22">
        <v>81.664599999999993</v>
      </c>
      <c r="Q36" s="22">
        <v>-1.7355300000000001E-2</v>
      </c>
      <c r="R36" s="22">
        <v>26</v>
      </c>
      <c r="S36" s="22">
        <v>3.08533E-2</v>
      </c>
      <c r="T36">
        <f t="shared" si="2"/>
        <v>17.3553</v>
      </c>
      <c r="U36">
        <f t="shared" si="3"/>
        <v>0.53758562408999999</v>
      </c>
      <c r="X36" s="9"/>
      <c r="Y36" s="22">
        <v>1.71906</v>
      </c>
      <c r="Z36" s="22">
        <v>143.62200000000001</v>
      </c>
      <c r="AA36" s="22">
        <v>-7.7880900000000001E-3</v>
      </c>
      <c r="AB36" s="22">
        <v>26</v>
      </c>
      <c r="AC36" s="22">
        <v>1.71844</v>
      </c>
      <c r="AD36">
        <f t="shared" si="4"/>
        <v>7.7880900000000004</v>
      </c>
      <c r="AE36">
        <f t="shared" si="5"/>
        <v>13.388193995400002</v>
      </c>
      <c r="AF36" s="9"/>
      <c r="AG36" s="22">
        <v>3.0975300000000001E-2</v>
      </c>
      <c r="AH36" s="22">
        <v>223.154</v>
      </c>
      <c r="AI36" s="22">
        <v>-1.7022700000000002E-2</v>
      </c>
      <c r="AJ36" s="22">
        <v>26</v>
      </c>
      <c r="AK36" s="22">
        <v>3.08685E-2</v>
      </c>
      <c r="AL36">
        <f t="shared" si="6"/>
        <v>17.0227</v>
      </c>
      <c r="AM36">
        <f t="shared" si="7"/>
        <v>0.52728323930999998</v>
      </c>
      <c r="AP36" s="9"/>
      <c r="AQ36" s="22">
        <v>1.71906</v>
      </c>
      <c r="AR36" s="22">
        <v>275.57100000000003</v>
      </c>
      <c r="AS36" s="22">
        <v>-7.49207E-3</v>
      </c>
      <c r="AT36" s="22">
        <v>26</v>
      </c>
      <c r="AU36" s="22">
        <v>1.71875</v>
      </c>
      <c r="AV36">
        <f t="shared" si="8"/>
        <v>7.49207</v>
      </c>
      <c r="AW36">
        <f t="shared" si="9"/>
        <v>12.8793178542</v>
      </c>
      <c r="AX36" s="9"/>
      <c r="AY36" s="22">
        <v>3.0975300000000001E-2</v>
      </c>
      <c r="AZ36" s="22">
        <v>354.80099999999999</v>
      </c>
      <c r="BA36" s="22">
        <v>-1.68945E-2</v>
      </c>
      <c r="BB36" s="22">
        <v>26</v>
      </c>
      <c r="BC36" s="22">
        <v>3.0960100000000001E-2</v>
      </c>
      <c r="BD36">
        <f t="shared" si="10"/>
        <v>16.894500000000001</v>
      </c>
      <c r="BE36">
        <f t="shared" si="11"/>
        <v>0.52331220585000005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26.369399999999999</v>
      </c>
      <c r="I37" s="22">
        <v>-9.1522200000000008E-3</v>
      </c>
      <c r="J37" s="22">
        <v>27</v>
      </c>
      <c r="K37" s="22">
        <v>1.71326</v>
      </c>
      <c r="L37">
        <f t="shared" si="0"/>
        <v>9.1522200000000016</v>
      </c>
      <c r="M37">
        <f t="shared" si="1"/>
        <v>15.687088124400004</v>
      </c>
      <c r="N37" s="9"/>
      <c r="O37" s="22">
        <v>3.60107E-2</v>
      </c>
      <c r="P37" s="22">
        <v>81.765299999999996</v>
      </c>
      <c r="Q37" s="22">
        <v>-1.7318699999999999E-2</v>
      </c>
      <c r="R37" s="22">
        <v>27</v>
      </c>
      <c r="S37" s="22">
        <v>3.5968E-2</v>
      </c>
      <c r="T37">
        <f t="shared" si="2"/>
        <v>17.3187</v>
      </c>
      <c r="U37">
        <f t="shared" si="3"/>
        <v>0.62365851008999995</v>
      </c>
      <c r="X37" s="9"/>
      <c r="Y37" s="22">
        <v>1.7140200000000001</v>
      </c>
      <c r="Z37" s="22">
        <v>143.72200000000001</v>
      </c>
      <c r="AA37" s="22">
        <v>-8.1787100000000005E-3</v>
      </c>
      <c r="AB37" s="22">
        <v>27</v>
      </c>
      <c r="AC37" s="22">
        <v>1.71356</v>
      </c>
      <c r="AD37">
        <f t="shared" si="4"/>
        <v>8.1787100000000006</v>
      </c>
      <c r="AE37">
        <f t="shared" si="5"/>
        <v>14.018472514200003</v>
      </c>
      <c r="AF37" s="9"/>
      <c r="AG37" s="22">
        <v>3.60107E-2</v>
      </c>
      <c r="AH37" s="22">
        <v>223.255</v>
      </c>
      <c r="AI37" s="22">
        <v>-1.7010500000000001E-2</v>
      </c>
      <c r="AJ37" s="22">
        <v>27</v>
      </c>
      <c r="AK37" s="22">
        <v>3.5940600000000003E-2</v>
      </c>
      <c r="AL37">
        <f t="shared" si="6"/>
        <v>17.0105</v>
      </c>
      <c r="AM37">
        <f t="shared" si="7"/>
        <v>0.61256001235000002</v>
      </c>
      <c r="AP37" s="9"/>
      <c r="AQ37" s="22">
        <v>1.7140200000000001</v>
      </c>
      <c r="AR37" s="22">
        <v>275.67099999999999</v>
      </c>
      <c r="AS37" s="22">
        <v>-7.8887899999999997E-3</v>
      </c>
      <c r="AT37" s="22">
        <v>27</v>
      </c>
      <c r="AU37" s="22">
        <v>1.71326</v>
      </c>
      <c r="AV37">
        <f t="shared" si="8"/>
        <v>7.8887899999999993</v>
      </c>
      <c r="AW37">
        <f t="shared" si="9"/>
        <v>13.521543835799999</v>
      </c>
      <c r="AX37" s="9"/>
      <c r="AY37" s="22">
        <v>3.60107E-2</v>
      </c>
      <c r="AZ37" s="22">
        <v>354.90199999999999</v>
      </c>
      <c r="BA37" s="22">
        <v>-1.6876200000000001E-2</v>
      </c>
      <c r="BB37" s="22">
        <v>27</v>
      </c>
      <c r="BC37" s="22">
        <v>3.5903900000000002E-2</v>
      </c>
      <c r="BD37">
        <f t="shared" si="10"/>
        <v>16.876200000000001</v>
      </c>
      <c r="BE37">
        <f t="shared" si="11"/>
        <v>0.60772377533999999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26.470099999999999</v>
      </c>
      <c r="I38" s="22">
        <v>-9.4604500000000005E-3</v>
      </c>
      <c r="J38" s="22">
        <v>28</v>
      </c>
      <c r="K38" s="22">
        <v>1.7077599999999999</v>
      </c>
      <c r="L38">
        <f t="shared" si="0"/>
        <v>9.4604499999999998</v>
      </c>
      <c r="M38">
        <f t="shared" si="1"/>
        <v>16.167719841</v>
      </c>
      <c r="N38" s="9"/>
      <c r="O38" s="22">
        <v>4.1046100000000002E-2</v>
      </c>
      <c r="P38" s="22">
        <v>81.866</v>
      </c>
      <c r="Q38" s="22">
        <v>-1.7306499999999999E-2</v>
      </c>
      <c r="R38" s="22">
        <v>28</v>
      </c>
      <c r="S38" s="22">
        <v>4.104E-2</v>
      </c>
      <c r="T38">
        <f t="shared" si="2"/>
        <v>17.3065</v>
      </c>
      <c r="U38">
        <f t="shared" si="3"/>
        <v>0.71036432965000007</v>
      </c>
      <c r="X38" s="9"/>
      <c r="Y38" s="22">
        <v>1.7089799999999999</v>
      </c>
      <c r="Z38" s="22">
        <v>143.82300000000001</v>
      </c>
      <c r="AA38" s="22">
        <v>-8.5571299999999996E-3</v>
      </c>
      <c r="AB38" s="22">
        <v>28</v>
      </c>
      <c r="AC38" s="22">
        <v>1.70807</v>
      </c>
      <c r="AD38">
        <f t="shared" si="4"/>
        <v>8.557129999999999</v>
      </c>
      <c r="AE38">
        <f t="shared" si="5"/>
        <v>14.623964027399998</v>
      </c>
      <c r="AF38" s="9"/>
      <c r="AG38" s="22">
        <v>4.1046100000000002E-2</v>
      </c>
      <c r="AH38" s="22">
        <v>223.35499999999999</v>
      </c>
      <c r="AI38" s="22">
        <v>-1.7004399999999999E-2</v>
      </c>
      <c r="AJ38" s="22">
        <v>28</v>
      </c>
      <c r="AK38" s="22">
        <v>4.09821E-2</v>
      </c>
      <c r="AL38">
        <f t="shared" si="6"/>
        <v>17.0044</v>
      </c>
      <c r="AM38">
        <f t="shared" si="7"/>
        <v>0.69796430284000011</v>
      </c>
      <c r="AP38" s="9"/>
      <c r="AQ38" s="22">
        <v>1.7089799999999999</v>
      </c>
      <c r="AR38" s="22">
        <v>275.77199999999999</v>
      </c>
      <c r="AS38" s="22">
        <v>-8.2702599999999998E-3</v>
      </c>
      <c r="AT38" s="22">
        <v>28</v>
      </c>
      <c r="AU38" s="22">
        <v>1.7083699999999999</v>
      </c>
      <c r="AV38">
        <f t="shared" si="8"/>
        <v>8.2702600000000004</v>
      </c>
      <c r="AW38">
        <f t="shared" si="9"/>
        <v>14.1337089348</v>
      </c>
      <c r="AX38" s="9"/>
      <c r="AY38" s="22">
        <v>4.1046100000000002E-2</v>
      </c>
      <c r="AZ38" s="22">
        <v>355.00200000000001</v>
      </c>
      <c r="BA38" s="22">
        <v>-1.6857899999999999E-2</v>
      </c>
      <c r="BB38" s="22">
        <v>28</v>
      </c>
      <c r="BC38" s="22">
        <v>4.09821E-2</v>
      </c>
      <c r="BD38">
        <f t="shared" si="10"/>
        <v>16.857899999999997</v>
      </c>
      <c r="BE38">
        <f t="shared" si="11"/>
        <v>0.69195104918999994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26.570799999999998</v>
      </c>
      <c r="I39" s="22">
        <v>-9.7473100000000003E-3</v>
      </c>
      <c r="J39" s="22">
        <v>29</v>
      </c>
      <c r="K39" s="22">
        <v>1.7028799999999999</v>
      </c>
      <c r="L39">
        <f t="shared" si="0"/>
        <v>9.7473100000000006</v>
      </c>
      <c r="M39">
        <f t="shared" si="1"/>
        <v>16.608928874500002</v>
      </c>
      <c r="N39" s="9"/>
      <c r="O39" s="22">
        <v>4.6081499999999997E-2</v>
      </c>
      <c r="P39" s="22">
        <v>81.966700000000003</v>
      </c>
      <c r="Q39" s="22">
        <v>-1.73431E-2</v>
      </c>
      <c r="R39" s="22">
        <v>29</v>
      </c>
      <c r="S39" s="22">
        <v>4.6060200000000003E-2</v>
      </c>
      <c r="T39">
        <f t="shared" si="2"/>
        <v>17.3431</v>
      </c>
      <c r="U39">
        <f t="shared" si="3"/>
        <v>0.79919606264999998</v>
      </c>
      <c r="X39" s="9"/>
      <c r="Y39" s="22">
        <v>1.7039500000000001</v>
      </c>
      <c r="Z39" s="22">
        <v>143.92400000000001</v>
      </c>
      <c r="AA39" s="22">
        <v>-8.8958700000000002E-3</v>
      </c>
      <c r="AB39" s="22">
        <v>29</v>
      </c>
      <c r="AC39" s="22">
        <v>1.70319</v>
      </c>
      <c r="AD39">
        <f t="shared" si="4"/>
        <v>8.8958700000000004</v>
      </c>
      <c r="AE39">
        <f t="shared" si="5"/>
        <v>15.158117686500001</v>
      </c>
      <c r="AF39" s="9"/>
      <c r="AG39" s="22">
        <v>4.6081499999999997E-2</v>
      </c>
      <c r="AH39" s="22">
        <v>223.45599999999999</v>
      </c>
      <c r="AI39" s="22">
        <v>-1.70166E-2</v>
      </c>
      <c r="AJ39" s="22">
        <v>29</v>
      </c>
      <c r="AK39" s="22">
        <v>4.6090699999999998E-2</v>
      </c>
      <c r="AL39">
        <f t="shared" si="6"/>
        <v>17.0166</v>
      </c>
      <c r="AM39">
        <f t="shared" si="7"/>
        <v>0.78415045289999996</v>
      </c>
      <c r="AP39" s="9"/>
      <c r="AQ39" s="22">
        <v>1.7039500000000001</v>
      </c>
      <c r="AR39" s="22">
        <v>275.87299999999999</v>
      </c>
      <c r="AS39" s="22">
        <v>-8.6395299999999994E-3</v>
      </c>
      <c r="AT39" s="22">
        <v>29</v>
      </c>
      <c r="AU39" s="22">
        <v>1.7038</v>
      </c>
      <c r="AV39">
        <f t="shared" si="8"/>
        <v>8.6395299999999988</v>
      </c>
      <c r="AW39">
        <f t="shared" si="9"/>
        <v>14.721327143499998</v>
      </c>
      <c r="AX39" s="9"/>
      <c r="AY39" s="22">
        <v>4.6081499999999997E-2</v>
      </c>
      <c r="AZ39" s="22">
        <v>355.10300000000001</v>
      </c>
      <c r="BA39" s="22">
        <v>-1.6861000000000001E-2</v>
      </c>
      <c r="BB39" s="22">
        <v>29</v>
      </c>
      <c r="BC39" s="22">
        <v>4.6084600000000003E-2</v>
      </c>
      <c r="BD39">
        <f t="shared" si="10"/>
        <v>16.861000000000001</v>
      </c>
      <c r="BE39">
        <f t="shared" si="11"/>
        <v>0.77698017149999998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26.671500000000002</v>
      </c>
      <c r="I40" s="22">
        <v>-1.0024999999999999E-2</v>
      </c>
      <c r="J40" s="22">
        <v>30</v>
      </c>
      <c r="K40" s="22">
        <v>1.6989099999999999</v>
      </c>
      <c r="L40">
        <f t="shared" si="0"/>
        <v>10.024999999999999</v>
      </c>
      <c r="M40">
        <f t="shared" si="1"/>
        <v>17.031572749999995</v>
      </c>
      <c r="N40" s="9"/>
      <c r="O40" s="22">
        <v>5.11169E-2</v>
      </c>
      <c r="P40" s="22">
        <v>82.067400000000006</v>
      </c>
      <c r="Q40" s="22">
        <v>-1.73279E-2</v>
      </c>
      <c r="R40" s="22">
        <v>30</v>
      </c>
      <c r="S40" s="22">
        <v>5.1068099999999998E-2</v>
      </c>
      <c r="T40">
        <f t="shared" si="2"/>
        <v>17.3279</v>
      </c>
      <c r="U40">
        <f t="shared" si="3"/>
        <v>0.88574853150999999</v>
      </c>
      <c r="X40" s="9"/>
      <c r="Y40" s="22">
        <v>1.6989099999999999</v>
      </c>
      <c r="Z40" s="22">
        <v>144.024</v>
      </c>
      <c r="AA40" s="22">
        <v>-9.2376699999999999E-3</v>
      </c>
      <c r="AB40" s="22">
        <v>30</v>
      </c>
      <c r="AC40" s="22">
        <v>1.698</v>
      </c>
      <c r="AD40">
        <f t="shared" si="4"/>
        <v>9.2376699999999996</v>
      </c>
      <c r="AE40">
        <f t="shared" si="5"/>
        <v>15.693969939699999</v>
      </c>
      <c r="AF40" s="9"/>
      <c r="AG40" s="22">
        <v>5.11169E-2</v>
      </c>
      <c r="AH40" s="22">
        <v>223.55699999999999</v>
      </c>
      <c r="AI40" s="22">
        <v>-1.7007399999999999E-2</v>
      </c>
      <c r="AJ40" s="22">
        <v>30</v>
      </c>
      <c r="AK40" s="22">
        <v>5.1059E-2</v>
      </c>
      <c r="AL40">
        <f t="shared" si="6"/>
        <v>17.007400000000001</v>
      </c>
      <c r="AM40">
        <f t="shared" si="7"/>
        <v>0.86936556506000007</v>
      </c>
      <c r="AP40" s="9"/>
      <c r="AQ40" s="22">
        <v>1.6989099999999999</v>
      </c>
      <c r="AR40" s="22">
        <v>275.97300000000001</v>
      </c>
      <c r="AS40" s="22">
        <v>-8.9660599999999997E-3</v>
      </c>
      <c r="AT40" s="22">
        <v>30</v>
      </c>
      <c r="AU40" s="22">
        <v>1.6982999999999999</v>
      </c>
      <c r="AV40">
        <f t="shared" si="8"/>
        <v>8.9660599999999988</v>
      </c>
      <c r="AW40">
        <f t="shared" si="9"/>
        <v>15.232528994599997</v>
      </c>
      <c r="AX40" s="9"/>
      <c r="AY40" s="22">
        <v>5.11169E-2</v>
      </c>
      <c r="AZ40" s="22">
        <v>355.20400000000001</v>
      </c>
      <c r="BA40" s="22">
        <v>-1.6867099999999999E-2</v>
      </c>
      <c r="BB40" s="22">
        <v>30</v>
      </c>
      <c r="BC40" s="22">
        <v>5.1092499999999999E-2</v>
      </c>
      <c r="BD40">
        <f t="shared" si="10"/>
        <v>16.867100000000001</v>
      </c>
      <c r="BE40">
        <f t="shared" si="11"/>
        <v>0.86219386398999998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26.772200000000002</v>
      </c>
      <c r="I41" s="22">
        <v>-1.02936E-2</v>
      </c>
      <c r="J41" s="22">
        <v>31</v>
      </c>
      <c r="K41" s="22">
        <v>1.69312</v>
      </c>
      <c r="L41">
        <f t="shared" si="0"/>
        <v>10.2936</v>
      </c>
      <c r="M41">
        <f t="shared" si="1"/>
        <v>17.436123167999998</v>
      </c>
      <c r="N41" s="9"/>
      <c r="O41" s="22">
        <v>5.6152300000000002E-2</v>
      </c>
      <c r="P41" s="22">
        <v>82.168099999999995</v>
      </c>
      <c r="Q41" s="22">
        <v>-1.7321799999999998E-2</v>
      </c>
      <c r="R41" s="22">
        <v>31</v>
      </c>
      <c r="S41" s="22">
        <v>5.5572499999999997E-2</v>
      </c>
      <c r="T41">
        <f t="shared" si="2"/>
        <v>17.3218</v>
      </c>
      <c r="U41">
        <f t="shared" si="3"/>
        <v>0.97265891014000005</v>
      </c>
      <c r="X41" s="9"/>
      <c r="Y41" s="22">
        <v>1.6938800000000001</v>
      </c>
      <c r="Z41" s="22">
        <v>144.125</v>
      </c>
      <c r="AA41" s="22">
        <v>-9.5855699999999999E-3</v>
      </c>
      <c r="AB41" s="22">
        <v>31</v>
      </c>
      <c r="AC41" s="22">
        <v>1.69312</v>
      </c>
      <c r="AD41">
        <f t="shared" si="4"/>
        <v>9.5855700000000006</v>
      </c>
      <c r="AE41">
        <f t="shared" si="5"/>
        <v>16.236805311600001</v>
      </c>
      <c r="AF41" s="9"/>
      <c r="AG41" s="22">
        <v>5.6152300000000002E-2</v>
      </c>
      <c r="AH41" s="22">
        <v>223.65700000000001</v>
      </c>
      <c r="AI41" s="22">
        <v>-1.6998300000000001E-2</v>
      </c>
      <c r="AJ41" s="22">
        <v>31</v>
      </c>
      <c r="AK41" s="22">
        <v>5.5603E-2</v>
      </c>
      <c r="AL41">
        <f t="shared" si="6"/>
        <v>16.9983</v>
      </c>
      <c r="AM41">
        <f t="shared" si="7"/>
        <v>0.95449364109000001</v>
      </c>
      <c r="AP41" s="9"/>
      <c r="AQ41" s="22">
        <v>1.6938800000000001</v>
      </c>
      <c r="AR41" s="22">
        <v>276.07400000000001</v>
      </c>
      <c r="AS41" s="22">
        <v>-9.2956500000000008E-3</v>
      </c>
      <c r="AT41" s="22">
        <v>31</v>
      </c>
      <c r="AU41" s="22">
        <v>1.6934199999999999</v>
      </c>
      <c r="AV41">
        <f t="shared" si="8"/>
        <v>9.2956500000000002</v>
      </c>
      <c r="AW41">
        <f t="shared" si="9"/>
        <v>15.745715622000001</v>
      </c>
      <c r="AX41" s="9"/>
      <c r="AY41" s="22">
        <v>5.6152300000000002E-2</v>
      </c>
      <c r="AZ41" s="22">
        <v>355.30399999999997</v>
      </c>
      <c r="BA41" s="22">
        <v>-1.6848800000000001E-2</v>
      </c>
      <c r="BB41" s="22">
        <v>31</v>
      </c>
      <c r="BC41" s="22">
        <v>5.5603E-2</v>
      </c>
      <c r="BD41">
        <f t="shared" si="10"/>
        <v>16.848800000000001</v>
      </c>
      <c r="BE41">
        <f t="shared" si="11"/>
        <v>0.94609887224000011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26.873000000000001</v>
      </c>
      <c r="I42" s="22">
        <v>-1.05652E-2</v>
      </c>
      <c r="J42" s="22">
        <v>32</v>
      </c>
      <c r="K42" s="22">
        <v>1.6885399999999999</v>
      </c>
      <c r="L42">
        <f t="shared" si="0"/>
        <v>10.565200000000001</v>
      </c>
      <c r="M42">
        <f t="shared" si="1"/>
        <v>17.842932368</v>
      </c>
      <c r="N42" s="9"/>
      <c r="O42" s="22">
        <v>6.1187699999999998E-2</v>
      </c>
      <c r="P42" s="22">
        <v>82.268799999999999</v>
      </c>
      <c r="Q42" s="22">
        <v>-1.7349199999999999E-2</v>
      </c>
      <c r="R42" s="22">
        <v>32</v>
      </c>
      <c r="S42" s="22">
        <v>6.0638400000000002E-2</v>
      </c>
      <c r="T42">
        <f t="shared" si="2"/>
        <v>17.3492</v>
      </c>
      <c r="U42">
        <f t="shared" si="3"/>
        <v>1.0615576448399999</v>
      </c>
      <c r="X42" s="9"/>
      <c r="Y42" s="22">
        <v>1.6888399999999999</v>
      </c>
      <c r="Z42" s="22">
        <v>144.226</v>
      </c>
      <c r="AA42" s="22">
        <v>-9.8937999999999995E-3</v>
      </c>
      <c r="AB42" s="22">
        <v>32</v>
      </c>
      <c r="AC42" s="22">
        <v>1.6876199999999999</v>
      </c>
      <c r="AD42">
        <f t="shared" si="4"/>
        <v>9.8937999999999988</v>
      </c>
      <c r="AE42">
        <f t="shared" si="5"/>
        <v>16.709045191999998</v>
      </c>
      <c r="AF42" s="9"/>
      <c r="AG42" s="22">
        <v>6.1187699999999998E-2</v>
      </c>
      <c r="AH42" s="22">
        <v>223.75800000000001</v>
      </c>
      <c r="AI42" s="22">
        <v>-1.70166E-2</v>
      </c>
      <c r="AJ42" s="22">
        <v>32</v>
      </c>
      <c r="AK42" s="22">
        <v>6.0668899999999998E-2</v>
      </c>
      <c r="AL42">
        <f t="shared" si="6"/>
        <v>17.0166</v>
      </c>
      <c r="AM42">
        <f t="shared" si="7"/>
        <v>1.04120661582</v>
      </c>
      <c r="AP42" s="9"/>
      <c r="AQ42" s="22">
        <v>1.6888399999999999</v>
      </c>
      <c r="AR42" s="22">
        <v>276.17500000000001</v>
      </c>
      <c r="AS42" s="22">
        <v>-9.5886200000000008E-3</v>
      </c>
      <c r="AT42" s="22">
        <v>32</v>
      </c>
      <c r="AU42" s="22">
        <v>1.6879299999999999</v>
      </c>
      <c r="AV42">
        <f t="shared" si="8"/>
        <v>9.5886200000000006</v>
      </c>
      <c r="AW42">
        <f t="shared" si="9"/>
        <v>16.1936450008</v>
      </c>
      <c r="AX42" s="9"/>
      <c r="AY42" s="22">
        <v>6.1187699999999998E-2</v>
      </c>
      <c r="AZ42" s="22">
        <v>355.40499999999997</v>
      </c>
      <c r="BA42" s="22">
        <v>-1.6842699999999999E-2</v>
      </c>
      <c r="BB42" s="22">
        <v>32</v>
      </c>
      <c r="BC42" s="22">
        <v>6.0638400000000002E-2</v>
      </c>
      <c r="BD42">
        <f t="shared" si="10"/>
        <v>16.842699999999997</v>
      </c>
      <c r="BE42">
        <f t="shared" si="11"/>
        <v>1.0305660747899998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26.973700000000001</v>
      </c>
      <c r="I43" s="22">
        <v>-1.0815399999999999E-2</v>
      </c>
      <c r="J43" s="22">
        <v>33</v>
      </c>
      <c r="K43" s="22">
        <v>1.6830400000000001</v>
      </c>
      <c r="L43">
        <f t="shared" si="0"/>
        <v>10.815399999999999</v>
      </c>
      <c r="M43">
        <f t="shared" si="1"/>
        <v>18.211078673999999</v>
      </c>
      <c r="N43" s="9"/>
      <c r="O43" s="22">
        <v>6.6223099999999993E-2</v>
      </c>
      <c r="P43" s="22">
        <v>82.369500000000002</v>
      </c>
      <c r="Q43" s="22">
        <v>-1.7373699999999999E-2</v>
      </c>
      <c r="R43" s="22">
        <v>33</v>
      </c>
      <c r="S43" s="22">
        <v>6.5673800000000004E-2</v>
      </c>
      <c r="T43">
        <f t="shared" si="2"/>
        <v>17.373699999999999</v>
      </c>
      <c r="U43">
        <f t="shared" si="3"/>
        <v>1.1505402724699998</v>
      </c>
      <c r="X43" s="9"/>
      <c r="Y43" s="22">
        <v>1.68381</v>
      </c>
      <c r="Z43" s="22">
        <v>144.32599999999999</v>
      </c>
      <c r="AA43" s="22">
        <v>-1.0153199999999999E-2</v>
      </c>
      <c r="AB43" s="22">
        <v>33</v>
      </c>
      <c r="AC43" s="22">
        <v>1.6827399999999999</v>
      </c>
      <c r="AD43">
        <f t="shared" si="4"/>
        <v>10.1532</v>
      </c>
      <c r="AE43">
        <f t="shared" si="5"/>
        <v>17.096059692000001</v>
      </c>
      <c r="AF43" s="9"/>
      <c r="AG43" s="22">
        <v>6.6223099999999993E-2</v>
      </c>
      <c r="AH43" s="22">
        <v>223.85900000000001</v>
      </c>
      <c r="AI43" s="22">
        <v>-1.6986100000000001E-2</v>
      </c>
      <c r="AJ43" s="22">
        <v>33</v>
      </c>
      <c r="AK43" s="22">
        <v>6.5643300000000002E-2</v>
      </c>
      <c r="AL43">
        <f t="shared" si="6"/>
        <v>16.9861</v>
      </c>
      <c r="AM43">
        <f t="shared" si="7"/>
        <v>1.1248721989099999</v>
      </c>
      <c r="AP43" s="9"/>
      <c r="AQ43" s="22">
        <v>1.68381</v>
      </c>
      <c r="AR43" s="22">
        <v>276.27600000000001</v>
      </c>
      <c r="AS43" s="22">
        <v>-9.8754900000000007E-3</v>
      </c>
      <c r="AT43" s="22">
        <v>33</v>
      </c>
      <c r="AU43" s="22">
        <v>1.6830400000000001</v>
      </c>
      <c r="AV43">
        <f t="shared" si="8"/>
        <v>9.875490000000001</v>
      </c>
      <c r="AW43">
        <f t="shared" si="9"/>
        <v>16.628448816900001</v>
      </c>
      <c r="AX43" s="9"/>
      <c r="AY43" s="22">
        <v>6.6223099999999993E-2</v>
      </c>
      <c r="AZ43" s="22">
        <v>355.50599999999997</v>
      </c>
      <c r="BA43" s="22">
        <v>-1.6845700000000002E-2</v>
      </c>
      <c r="BB43" s="22">
        <v>33</v>
      </c>
      <c r="BC43" s="22">
        <v>6.5734899999999999E-2</v>
      </c>
      <c r="BD43">
        <f t="shared" si="10"/>
        <v>16.845700000000001</v>
      </c>
      <c r="BE43">
        <f t="shared" si="11"/>
        <v>1.1155744756699999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27.074400000000001</v>
      </c>
      <c r="I44" s="22">
        <v>-1.10321E-2</v>
      </c>
      <c r="J44" s="22">
        <v>34</v>
      </c>
      <c r="K44" s="22">
        <v>1.6784699999999999</v>
      </c>
      <c r="L44">
        <f t="shared" si="0"/>
        <v>11.0321</v>
      </c>
      <c r="M44">
        <f t="shared" si="1"/>
        <v>18.520358517000002</v>
      </c>
      <c r="N44" s="9"/>
      <c r="O44" s="22">
        <v>7.1258500000000002E-2</v>
      </c>
      <c r="P44" s="22">
        <v>82.470200000000006</v>
      </c>
      <c r="Q44" s="22">
        <v>-1.7361499999999998E-2</v>
      </c>
      <c r="R44" s="22">
        <v>34</v>
      </c>
      <c r="S44" s="22">
        <v>7.0739700000000003E-2</v>
      </c>
      <c r="T44">
        <f t="shared" si="2"/>
        <v>17.361499999999999</v>
      </c>
      <c r="U44">
        <f t="shared" si="3"/>
        <v>1.2371544477500001</v>
      </c>
      <c r="X44" s="9"/>
      <c r="Y44" s="22">
        <v>1.6787700000000001</v>
      </c>
      <c r="Z44" s="22">
        <v>144.42699999999999</v>
      </c>
      <c r="AA44" s="22">
        <v>-1.0418699999999999E-2</v>
      </c>
      <c r="AB44" s="22">
        <v>34</v>
      </c>
      <c r="AC44" s="22">
        <v>1.6775500000000001</v>
      </c>
      <c r="AD44">
        <f t="shared" si="4"/>
        <v>10.418699999999999</v>
      </c>
      <c r="AE44">
        <f t="shared" si="5"/>
        <v>17.490600999000002</v>
      </c>
      <c r="AF44" s="9"/>
      <c r="AG44" s="22">
        <v>7.1258500000000002E-2</v>
      </c>
      <c r="AH44" s="22">
        <v>223.959</v>
      </c>
      <c r="AI44" s="22">
        <v>-1.70013E-2</v>
      </c>
      <c r="AJ44" s="22">
        <v>34</v>
      </c>
      <c r="AK44" s="22">
        <v>7.0739700000000003E-2</v>
      </c>
      <c r="AL44">
        <f t="shared" si="6"/>
        <v>17.001300000000001</v>
      </c>
      <c r="AM44">
        <f t="shared" si="7"/>
        <v>1.2114871360500001</v>
      </c>
      <c r="AP44" s="9"/>
      <c r="AQ44" s="22">
        <v>1.6787700000000001</v>
      </c>
      <c r="AR44" s="22">
        <v>276.37599999999998</v>
      </c>
      <c r="AS44" s="22">
        <v>-1.0144E-2</v>
      </c>
      <c r="AT44" s="22">
        <v>34</v>
      </c>
      <c r="AU44" s="22">
        <v>1.6781600000000001</v>
      </c>
      <c r="AV44">
        <f t="shared" si="8"/>
        <v>10.144</v>
      </c>
      <c r="AW44">
        <f t="shared" si="9"/>
        <v>17.029442880000001</v>
      </c>
      <c r="AX44" s="9"/>
      <c r="AY44" s="22">
        <v>7.1258500000000002E-2</v>
      </c>
      <c r="AZ44" s="22">
        <v>355.60700000000003</v>
      </c>
      <c r="BA44" s="22">
        <v>-1.6821300000000001E-2</v>
      </c>
      <c r="BB44" s="22">
        <v>34</v>
      </c>
      <c r="BC44" s="22">
        <v>7.0770299999999994E-2</v>
      </c>
      <c r="BD44">
        <f t="shared" si="10"/>
        <v>16.821300000000001</v>
      </c>
      <c r="BE44">
        <f t="shared" si="11"/>
        <v>1.19866060605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27.1751</v>
      </c>
      <c r="I45" s="22">
        <v>-1.1230499999999999E-2</v>
      </c>
      <c r="J45" s="22">
        <v>35</v>
      </c>
      <c r="K45" s="22">
        <v>1.6729700000000001</v>
      </c>
      <c r="L45">
        <f t="shared" si="0"/>
        <v>11.230499999999999</v>
      </c>
      <c r="M45">
        <f t="shared" si="1"/>
        <v>18.796937069999998</v>
      </c>
      <c r="N45" s="9"/>
      <c r="O45" s="22">
        <v>7.6293899999999998E-2</v>
      </c>
      <c r="P45" s="22">
        <v>82.570899999999995</v>
      </c>
      <c r="Q45" s="22">
        <v>-1.7392000000000001E-2</v>
      </c>
      <c r="R45" s="22">
        <v>35</v>
      </c>
      <c r="S45" s="22">
        <v>7.5714100000000006E-2</v>
      </c>
      <c r="T45">
        <f t="shared" si="2"/>
        <v>17.391999999999999</v>
      </c>
      <c r="U45">
        <f t="shared" si="3"/>
        <v>1.3269035087999999</v>
      </c>
      <c r="X45" s="9"/>
      <c r="Y45" s="22">
        <v>1.67374</v>
      </c>
      <c r="Z45" s="22">
        <v>144.52799999999999</v>
      </c>
      <c r="AA45" s="22">
        <v>-1.06842E-2</v>
      </c>
      <c r="AB45" s="22">
        <v>35</v>
      </c>
      <c r="AC45" s="22">
        <v>1.6726700000000001</v>
      </c>
      <c r="AD45">
        <f t="shared" si="4"/>
        <v>10.684199999999999</v>
      </c>
      <c r="AE45">
        <f t="shared" si="5"/>
        <v>17.882572907999997</v>
      </c>
      <c r="AF45" s="9"/>
      <c r="AG45" s="22">
        <v>7.6293899999999998E-2</v>
      </c>
      <c r="AH45" s="22">
        <v>224.06</v>
      </c>
      <c r="AI45" s="22">
        <v>-1.6992199999999999E-2</v>
      </c>
      <c r="AJ45" s="22">
        <v>35</v>
      </c>
      <c r="AK45" s="22">
        <v>7.5775099999999998E-2</v>
      </c>
      <c r="AL45">
        <f t="shared" si="6"/>
        <v>16.9922</v>
      </c>
      <c r="AM45">
        <f t="shared" si="7"/>
        <v>1.29640120758</v>
      </c>
      <c r="AP45" s="9"/>
      <c r="AQ45" s="22">
        <v>1.67374</v>
      </c>
      <c r="AR45" s="22">
        <v>276.47699999999998</v>
      </c>
      <c r="AS45" s="22">
        <v>-1.04218E-2</v>
      </c>
      <c r="AT45" s="22">
        <v>35</v>
      </c>
      <c r="AU45" s="22">
        <v>1.6729700000000001</v>
      </c>
      <c r="AV45">
        <f t="shared" si="8"/>
        <v>10.421799999999999</v>
      </c>
      <c r="AW45">
        <f t="shared" si="9"/>
        <v>17.443383531999999</v>
      </c>
      <c r="AX45" s="9"/>
      <c r="AY45" s="22">
        <v>7.6293899999999998E-2</v>
      </c>
      <c r="AZ45" s="22">
        <v>355.70699999999999</v>
      </c>
      <c r="BA45" s="22">
        <v>-1.6818199999999998E-2</v>
      </c>
      <c r="BB45" s="22">
        <v>35</v>
      </c>
      <c r="BC45" s="22">
        <v>7.5744599999999995E-2</v>
      </c>
      <c r="BD45">
        <f t="shared" si="10"/>
        <v>16.818199999999997</v>
      </c>
      <c r="BE45">
        <f t="shared" si="11"/>
        <v>1.2831260689799997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27.2758</v>
      </c>
      <c r="I46" s="22">
        <v>-1.14777E-2</v>
      </c>
      <c r="J46" s="22">
        <v>36</v>
      </c>
      <c r="K46" s="22">
        <v>1.6680900000000001</v>
      </c>
      <c r="L46">
        <f t="shared" si="0"/>
        <v>11.4777</v>
      </c>
      <c r="M46">
        <f t="shared" si="1"/>
        <v>19.152837990000002</v>
      </c>
      <c r="N46" s="9"/>
      <c r="O46" s="22">
        <v>8.1329299999999993E-2</v>
      </c>
      <c r="P46" s="22">
        <v>82.671599999999998</v>
      </c>
      <c r="Q46" s="22">
        <v>-1.73584E-2</v>
      </c>
      <c r="R46" s="22">
        <v>36</v>
      </c>
      <c r="S46" s="22">
        <v>8.0780000000000005E-2</v>
      </c>
      <c r="T46">
        <f t="shared" si="2"/>
        <v>17.3584</v>
      </c>
      <c r="U46">
        <f t="shared" si="3"/>
        <v>1.4117465211199998</v>
      </c>
      <c r="X46" s="9"/>
      <c r="Y46" s="22">
        <v>1.6687000000000001</v>
      </c>
      <c r="Z46" s="22">
        <v>144.62899999999999</v>
      </c>
      <c r="AA46" s="22">
        <v>-1.09161E-2</v>
      </c>
      <c r="AB46" s="22">
        <v>36</v>
      </c>
      <c r="AC46" s="22">
        <v>1.6680900000000001</v>
      </c>
      <c r="AD46">
        <f t="shared" si="4"/>
        <v>10.9161</v>
      </c>
      <c r="AE46">
        <f t="shared" si="5"/>
        <v>18.21569607</v>
      </c>
      <c r="AF46" s="9"/>
      <c r="AG46" s="22">
        <v>8.1329299999999993E-2</v>
      </c>
      <c r="AH46" s="22">
        <v>224.161</v>
      </c>
      <c r="AI46" s="22">
        <v>-1.6992199999999999E-2</v>
      </c>
      <c r="AJ46" s="22">
        <v>36</v>
      </c>
      <c r="AK46" s="22">
        <v>8.0902100000000005E-2</v>
      </c>
      <c r="AL46">
        <f t="shared" si="6"/>
        <v>16.9922</v>
      </c>
      <c r="AM46">
        <f t="shared" si="7"/>
        <v>1.38196373146</v>
      </c>
      <c r="AP46" s="9"/>
      <c r="AQ46" s="22">
        <v>1.6687000000000001</v>
      </c>
      <c r="AR46" s="22">
        <v>276.57799999999997</v>
      </c>
      <c r="AS46" s="22">
        <v>-1.0638399999999999E-2</v>
      </c>
      <c r="AT46" s="22">
        <v>36</v>
      </c>
      <c r="AU46" s="22">
        <v>1.6677900000000001</v>
      </c>
      <c r="AV46">
        <f t="shared" si="8"/>
        <v>10.638399999999999</v>
      </c>
      <c r="AW46">
        <f t="shared" si="9"/>
        <v>17.752298079999999</v>
      </c>
      <c r="AX46" s="9"/>
      <c r="AY46" s="22">
        <v>8.1329299999999993E-2</v>
      </c>
      <c r="AZ46" s="22">
        <v>355.80799999999999</v>
      </c>
      <c r="BA46" s="22">
        <v>-1.6802999999999998E-2</v>
      </c>
      <c r="BB46" s="22">
        <v>36</v>
      </c>
      <c r="BC46" s="22">
        <v>8.0902100000000005E-2</v>
      </c>
      <c r="BD46">
        <f t="shared" si="10"/>
        <v>16.802999999999997</v>
      </c>
      <c r="BE46">
        <f t="shared" si="11"/>
        <v>1.3665762278999998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27.3765</v>
      </c>
      <c r="I47" s="22">
        <v>-1.1676000000000001E-2</v>
      </c>
      <c r="J47" s="22">
        <v>37</v>
      </c>
      <c r="K47" s="22">
        <v>1.6619900000000001</v>
      </c>
      <c r="L47">
        <f t="shared" si="0"/>
        <v>11.676</v>
      </c>
      <c r="M47">
        <f t="shared" si="1"/>
        <v>19.425010919999998</v>
      </c>
      <c r="N47" s="9"/>
      <c r="O47" s="22">
        <v>8.6364700000000003E-2</v>
      </c>
      <c r="P47" s="22">
        <v>82.772300000000001</v>
      </c>
      <c r="Q47" s="22">
        <v>-1.73828E-2</v>
      </c>
      <c r="R47" s="22">
        <v>37</v>
      </c>
      <c r="S47" s="22">
        <v>8.5876499999999995E-2</v>
      </c>
      <c r="T47">
        <f t="shared" si="2"/>
        <v>17.3828</v>
      </c>
      <c r="U47">
        <f t="shared" si="3"/>
        <v>1.5012603071599999</v>
      </c>
      <c r="X47" s="9"/>
      <c r="Y47" s="22">
        <v>1.66367</v>
      </c>
      <c r="Z47" s="22">
        <v>144.72900000000001</v>
      </c>
      <c r="AA47" s="22">
        <v>-1.11542E-2</v>
      </c>
      <c r="AB47" s="22">
        <v>37</v>
      </c>
      <c r="AC47" s="22">
        <v>1.6632100000000001</v>
      </c>
      <c r="AD47">
        <f t="shared" si="4"/>
        <v>11.154199999999999</v>
      </c>
      <c r="AE47">
        <f t="shared" si="5"/>
        <v>18.556907914</v>
      </c>
      <c r="AF47" s="9"/>
      <c r="AG47" s="22">
        <v>8.6364700000000003E-2</v>
      </c>
      <c r="AH47" s="22">
        <v>224.262</v>
      </c>
      <c r="AI47" s="22">
        <v>-1.6986100000000001E-2</v>
      </c>
      <c r="AJ47" s="22">
        <v>37</v>
      </c>
      <c r="AK47" s="22">
        <v>8.5845900000000003E-2</v>
      </c>
      <c r="AL47">
        <f t="shared" si="6"/>
        <v>16.9861</v>
      </c>
      <c r="AM47">
        <f t="shared" si="7"/>
        <v>1.46699943067</v>
      </c>
      <c r="AP47" s="9"/>
      <c r="AQ47" s="22">
        <v>1.66367</v>
      </c>
      <c r="AR47" s="22">
        <v>276.678</v>
      </c>
      <c r="AS47" s="22">
        <v>-1.0836800000000001E-2</v>
      </c>
      <c r="AT47" s="22">
        <v>37</v>
      </c>
      <c r="AU47" s="22">
        <v>1.6629</v>
      </c>
      <c r="AV47">
        <f t="shared" si="8"/>
        <v>10.8368</v>
      </c>
      <c r="AW47">
        <f t="shared" si="9"/>
        <v>18.028859056000002</v>
      </c>
      <c r="AX47" s="9"/>
      <c r="AY47" s="22">
        <v>8.6364700000000003E-2</v>
      </c>
      <c r="AZ47" s="22">
        <v>355.90899999999999</v>
      </c>
      <c r="BA47" s="22">
        <v>-1.68121E-2</v>
      </c>
      <c r="BB47" s="22">
        <v>37</v>
      </c>
      <c r="BC47" s="22">
        <v>8.59375E-2</v>
      </c>
      <c r="BD47">
        <f t="shared" si="10"/>
        <v>16.812100000000001</v>
      </c>
      <c r="BE47">
        <f t="shared" si="11"/>
        <v>1.45197197287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27.4772</v>
      </c>
      <c r="I48" s="22">
        <v>-1.18622E-2</v>
      </c>
      <c r="J48" s="22">
        <v>38</v>
      </c>
      <c r="K48" s="22">
        <v>1.65802</v>
      </c>
      <c r="L48">
        <f t="shared" si="0"/>
        <v>11.8622</v>
      </c>
      <c r="M48">
        <f t="shared" si="1"/>
        <v>19.675000785999998</v>
      </c>
      <c r="N48" s="9"/>
      <c r="O48" s="22">
        <v>9.1400099999999998E-2</v>
      </c>
      <c r="P48" s="22">
        <v>82.873099999999994</v>
      </c>
      <c r="Q48" s="22">
        <v>-1.73828E-2</v>
      </c>
      <c r="R48" s="22">
        <v>38</v>
      </c>
      <c r="S48" s="22">
        <v>9.0850799999999995E-2</v>
      </c>
      <c r="T48">
        <f t="shared" si="2"/>
        <v>17.3828</v>
      </c>
      <c r="U48">
        <f t="shared" si="3"/>
        <v>1.5887896582799999</v>
      </c>
      <c r="X48" s="9"/>
      <c r="Y48" s="22">
        <v>1.65863</v>
      </c>
      <c r="Z48" s="22">
        <v>144.83000000000001</v>
      </c>
      <c r="AA48" s="22">
        <v>-1.13434E-2</v>
      </c>
      <c r="AB48" s="22">
        <v>38</v>
      </c>
      <c r="AC48" s="22">
        <v>1.65802</v>
      </c>
      <c r="AD48">
        <f t="shared" si="4"/>
        <v>11.343400000000001</v>
      </c>
      <c r="AE48">
        <f t="shared" si="5"/>
        <v>18.814503542000001</v>
      </c>
      <c r="AF48" s="9"/>
      <c r="AG48" s="22">
        <v>9.1400099999999998E-2</v>
      </c>
      <c r="AH48" s="22">
        <v>224.36199999999999</v>
      </c>
      <c r="AI48" s="22">
        <v>-1.69739E-2</v>
      </c>
      <c r="AJ48" s="22">
        <v>38</v>
      </c>
      <c r="AK48" s="22">
        <v>9.0789800000000004E-2</v>
      </c>
      <c r="AL48">
        <f t="shared" si="6"/>
        <v>16.9739</v>
      </c>
      <c r="AM48">
        <f t="shared" si="7"/>
        <v>1.5514161573900001</v>
      </c>
      <c r="AP48" s="9"/>
      <c r="AQ48" s="22">
        <v>1.65863</v>
      </c>
      <c r="AR48" s="22">
        <v>276.779</v>
      </c>
      <c r="AS48" s="22">
        <v>-1.10718E-2</v>
      </c>
      <c r="AT48" s="22">
        <v>38</v>
      </c>
      <c r="AU48" s="22">
        <v>1.6583300000000001</v>
      </c>
      <c r="AV48">
        <f t="shared" si="8"/>
        <v>11.0718</v>
      </c>
      <c r="AW48">
        <f t="shared" si="9"/>
        <v>18.364019634000002</v>
      </c>
      <c r="AX48" s="9"/>
      <c r="AY48" s="22">
        <v>9.1400099999999998E-2</v>
      </c>
      <c r="AZ48" s="22">
        <v>356.00900000000001</v>
      </c>
      <c r="BA48" s="22">
        <v>-1.68121E-2</v>
      </c>
      <c r="BB48" s="22">
        <v>38</v>
      </c>
      <c r="BC48" s="22">
        <v>9.0911900000000004E-2</v>
      </c>
      <c r="BD48">
        <f t="shared" si="10"/>
        <v>16.812100000000001</v>
      </c>
      <c r="BE48">
        <f t="shared" si="11"/>
        <v>1.5366276212100001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27.5779</v>
      </c>
      <c r="I49" s="22">
        <v>-1.20667E-2</v>
      </c>
      <c r="J49" s="22">
        <v>39</v>
      </c>
      <c r="K49" s="22">
        <v>1.65283</v>
      </c>
      <c r="L49">
        <f t="shared" si="0"/>
        <v>12.066699999999999</v>
      </c>
      <c r="M49">
        <f t="shared" si="1"/>
        <v>19.953374452999999</v>
      </c>
      <c r="N49" s="9"/>
      <c r="O49" s="22">
        <v>9.6435499999999993E-2</v>
      </c>
      <c r="P49" s="22">
        <v>82.973799999999997</v>
      </c>
      <c r="Q49" s="22">
        <v>-1.7352300000000001E-2</v>
      </c>
      <c r="R49" s="22">
        <v>39</v>
      </c>
      <c r="S49" s="22">
        <v>9.5825199999999999E-2</v>
      </c>
      <c r="T49">
        <f t="shared" si="2"/>
        <v>17.3523</v>
      </c>
      <c r="U49">
        <f t="shared" si="3"/>
        <v>1.6733777266499998</v>
      </c>
      <c r="X49" s="9"/>
      <c r="Y49" s="22">
        <v>1.6535899999999999</v>
      </c>
      <c r="Z49" s="22">
        <v>144.93100000000001</v>
      </c>
      <c r="AA49" s="22">
        <v>-1.1538700000000001E-2</v>
      </c>
      <c r="AB49" s="22">
        <v>39</v>
      </c>
      <c r="AC49" s="22">
        <v>1.65283</v>
      </c>
      <c r="AD49">
        <f t="shared" si="4"/>
        <v>11.5387</v>
      </c>
      <c r="AE49">
        <f t="shared" si="5"/>
        <v>19.080278932999999</v>
      </c>
      <c r="AF49" s="9"/>
      <c r="AG49" s="22">
        <v>9.6435499999999993E-2</v>
      </c>
      <c r="AH49" s="22">
        <v>224.46299999999999</v>
      </c>
      <c r="AI49" s="22">
        <v>-1.6992199999999999E-2</v>
      </c>
      <c r="AJ49" s="22">
        <v>39</v>
      </c>
      <c r="AK49" s="22">
        <v>9.5825199999999999E-2</v>
      </c>
      <c r="AL49">
        <f t="shared" si="6"/>
        <v>16.9922</v>
      </c>
      <c r="AM49">
        <f t="shared" si="7"/>
        <v>1.6386513030999998</v>
      </c>
      <c r="AP49" s="9"/>
      <c r="AQ49" s="22">
        <v>1.6535899999999999</v>
      </c>
      <c r="AR49" s="22">
        <v>276.88</v>
      </c>
      <c r="AS49" s="22">
        <v>-1.12976E-2</v>
      </c>
      <c r="AT49" s="22">
        <v>39</v>
      </c>
      <c r="AU49" s="22">
        <v>1.6525300000000001</v>
      </c>
      <c r="AV49">
        <f t="shared" si="8"/>
        <v>11.297599999999999</v>
      </c>
      <c r="AW49">
        <f t="shared" si="9"/>
        <v>18.681598383999997</v>
      </c>
      <c r="AX49" s="9"/>
      <c r="AY49" s="22">
        <v>9.6435499999999993E-2</v>
      </c>
      <c r="AZ49" s="22">
        <v>356.11</v>
      </c>
      <c r="BA49" s="22">
        <v>-1.6787699999999999E-2</v>
      </c>
      <c r="BB49" s="22">
        <v>39</v>
      </c>
      <c r="BC49" s="22">
        <v>9.5886200000000005E-2</v>
      </c>
      <c r="BD49">
        <f t="shared" si="10"/>
        <v>16.787699999999997</v>
      </c>
      <c r="BE49">
        <f t="shared" si="11"/>
        <v>1.6189302433499997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27.678599999999999</v>
      </c>
      <c r="I50" s="22">
        <v>-1.22284E-2</v>
      </c>
      <c r="J50" s="22">
        <v>40</v>
      </c>
      <c r="K50" s="22">
        <v>1.64764</v>
      </c>
      <c r="L50">
        <f t="shared" si="0"/>
        <v>12.228400000000001</v>
      </c>
      <c r="M50">
        <f t="shared" si="1"/>
        <v>20.159251104000003</v>
      </c>
      <c r="N50" s="9"/>
      <c r="O50" s="22">
        <v>0.10147100000000001</v>
      </c>
      <c r="P50" s="22">
        <v>83.0745</v>
      </c>
      <c r="Q50" s="22">
        <v>-1.7346199999999999E-2</v>
      </c>
      <c r="R50" s="22">
        <v>40</v>
      </c>
      <c r="S50" s="22">
        <v>0.100983</v>
      </c>
      <c r="T50">
        <f t="shared" si="2"/>
        <v>17.3462</v>
      </c>
      <c r="U50">
        <f t="shared" si="3"/>
        <v>1.7601362602000001</v>
      </c>
      <c r="X50" s="9"/>
      <c r="Y50" s="22">
        <v>1.64856</v>
      </c>
      <c r="Z50" s="22">
        <v>145.03100000000001</v>
      </c>
      <c r="AA50" s="22">
        <v>-1.1761499999999999E-2</v>
      </c>
      <c r="AB50" s="22">
        <v>40</v>
      </c>
      <c r="AC50" s="22">
        <v>1.64795</v>
      </c>
      <c r="AD50">
        <f t="shared" si="4"/>
        <v>11.7615</v>
      </c>
      <c r="AE50">
        <f t="shared" si="5"/>
        <v>19.389538439999999</v>
      </c>
      <c r="AF50" s="9"/>
      <c r="AG50" s="22">
        <v>0.10147100000000001</v>
      </c>
      <c r="AH50" s="22">
        <v>224.56399999999999</v>
      </c>
      <c r="AI50" s="22">
        <v>-1.6964699999999999E-2</v>
      </c>
      <c r="AJ50" s="22">
        <v>40</v>
      </c>
      <c r="AK50" s="22">
        <v>0.10089099999999999</v>
      </c>
      <c r="AL50">
        <f t="shared" si="6"/>
        <v>16.964700000000001</v>
      </c>
      <c r="AM50">
        <f t="shared" si="7"/>
        <v>1.7214250737000001</v>
      </c>
      <c r="AP50" s="9"/>
      <c r="AQ50" s="22">
        <v>1.64856</v>
      </c>
      <c r="AR50" s="22">
        <v>276.98099999999999</v>
      </c>
      <c r="AS50" s="22">
        <v>-1.1499000000000001E-2</v>
      </c>
      <c r="AT50" s="22">
        <v>40</v>
      </c>
      <c r="AU50" s="22">
        <v>1.64764</v>
      </c>
      <c r="AV50">
        <f t="shared" si="8"/>
        <v>11.499000000000001</v>
      </c>
      <c r="AW50">
        <f t="shared" si="9"/>
        <v>18.95679144</v>
      </c>
      <c r="AX50" s="9"/>
      <c r="AY50" s="22">
        <v>0.10147100000000001</v>
      </c>
      <c r="AZ50" s="22">
        <v>356.21100000000001</v>
      </c>
      <c r="BA50" s="22">
        <v>-1.67847E-2</v>
      </c>
      <c r="BB50" s="22">
        <v>40</v>
      </c>
      <c r="BC50" s="22">
        <v>0.100922</v>
      </c>
      <c r="BD50">
        <f t="shared" si="10"/>
        <v>16.784700000000001</v>
      </c>
      <c r="BE50">
        <f t="shared" si="11"/>
        <v>1.7031602937000001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27.779299999999999</v>
      </c>
      <c r="I51" s="22">
        <v>-1.24084E-2</v>
      </c>
      <c r="J51" s="22">
        <v>41</v>
      </c>
      <c r="K51" s="22">
        <v>1.64246</v>
      </c>
      <c r="L51">
        <f t="shared" si="0"/>
        <v>12.4084</v>
      </c>
      <c r="M51">
        <f t="shared" si="1"/>
        <v>20.393453568000002</v>
      </c>
      <c r="N51" s="9"/>
      <c r="O51" s="22">
        <v>0.106506</v>
      </c>
      <c r="P51" s="22">
        <v>83.175200000000004</v>
      </c>
      <c r="Q51" s="22">
        <v>-1.7306499999999999E-2</v>
      </c>
      <c r="R51" s="22">
        <v>41</v>
      </c>
      <c r="S51" s="22">
        <v>0.10607900000000001</v>
      </c>
      <c r="T51">
        <f t="shared" si="2"/>
        <v>17.3065</v>
      </c>
      <c r="U51">
        <f t="shared" si="3"/>
        <v>1.843246089</v>
      </c>
      <c r="X51" s="9"/>
      <c r="Y51" s="22">
        <v>1.6435200000000001</v>
      </c>
      <c r="Z51" s="22">
        <v>145.13200000000001</v>
      </c>
      <c r="AA51" s="22">
        <v>-1.1975100000000001E-2</v>
      </c>
      <c r="AB51" s="22">
        <v>41</v>
      </c>
      <c r="AC51" s="22">
        <v>1.64215</v>
      </c>
      <c r="AD51">
        <f t="shared" si="4"/>
        <v>11.975100000000001</v>
      </c>
      <c r="AE51">
        <f t="shared" si="5"/>
        <v>19.681316352000003</v>
      </c>
      <c r="AF51" s="9"/>
      <c r="AG51" s="22">
        <v>0.106506</v>
      </c>
      <c r="AH51" s="22">
        <v>224.66399999999999</v>
      </c>
      <c r="AI51" s="22">
        <v>-1.6958600000000001E-2</v>
      </c>
      <c r="AJ51" s="22">
        <v>41</v>
      </c>
      <c r="AK51" s="22">
        <v>0.105957</v>
      </c>
      <c r="AL51">
        <f t="shared" si="6"/>
        <v>16.958600000000001</v>
      </c>
      <c r="AM51">
        <f t="shared" si="7"/>
        <v>1.8061926516000002</v>
      </c>
      <c r="AP51" s="9"/>
      <c r="AQ51" s="22">
        <v>1.6435200000000001</v>
      </c>
      <c r="AR51" s="22">
        <v>277.08100000000002</v>
      </c>
      <c r="AS51" s="22">
        <v>-1.16699E-2</v>
      </c>
      <c r="AT51" s="22">
        <v>41</v>
      </c>
      <c r="AU51" s="22">
        <v>1.64276</v>
      </c>
      <c r="AV51">
        <f t="shared" si="8"/>
        <v>11.6699</v>
      </c>
      <c r="AW51">
        <f t="shared" si="9"/>
        <v>19.179714048000001</v>
      </c>
      <c r="AX51" s="9"/>
      <c r="AY51" s="22">
        <v>0.106506</v>
      </c>
      <c r="AZ51" s="22">
        <v>356.31200000000001</v>
      </c>
      <c r="BA51" s="22">
        <v>-1.6763299999999998E-2</v>
      </c>
      <c r="BB51" s="22">
        <v>41</v>
      </c>
      <c r="BC51" s="22">
        <v>0.105988</v>
      </c>
      <c r="BD51">
        <f t="shared" si="10"/>
        <v>16.763299999999997</v>
      </c>
      <c r="BE51">
        <f t="shared" si="11"/>
        <v>1.7853920297999999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27.88</v>
      </c>
      <c r="I52" s="22">
        <v>-1.2554900000000001E-2</v>
      </c>
      <c r="J52" s="22">
        <v>42</v>
      </c>
      <c r="K52" s="22">
        <v>1.63818</v>
      </c>
      <c r="L52">
        <f t="shared" si="0"/>
        <v>12.5549</v>
      </c>
      <c r="M52">
        <f t="shared" si="1"/>
        <v>20.571078101000001</v>
      </c>
      <c r="N52" s="9"/>
      <c r="O52" s="22">
        <v>0.111542</v>
      </c>
      <c r="P52" s="22">
        <v>83.275899999999993</v>
      </c>
      <c r="Q52" s="22">
        <v>-1.7321799999999998E-2</v>
      </c>
      <c r="R52" s="22">
        <v>42</v>
      </c>
      <c r="S52" s="22">
        <v>0.11099199999999999</v>
      </c>
      <c r="T52">
        <f t="shared" si="2"/>
        <v>17.3218</v>
      </c>
      <c r="U52">
        <f t="shared" si="3"/>
        <v>1.9321082156</v>
      </c>
      <c r="X52" s="9"/>
      <c r="Y52" s="22">
        <v>1.63849</v>
      </c>
      <c r="Z52" s="22">
        <v>145.233</v>
      </c>
      <c r="AA52" s="22">
        <v>-1.2152100000000001E-2</v>
      </c>
      <c r="AB52" s="22">
        <v>42</v>
      </c>
      <c r="AC52" s="22">
        <v>1.63757</v>
      </c>
      <c r="AD52">
        <f t="shared" si="4"/>
        <v>12.152100000000001</v>
      </c>
      <c r="AE52">
        <f t="shared" si="5"/>
        <v>19.911094329000001</v>
      </c>
      <c r="AF52" s="9"/>
      <c r="AG52" s="22">
        <v>0.111542</v>
      </c>
      <c r="AH52" s="22">
        <v>224.76499999999999</v>
      </c>
      <c r="AI52" s="22">
        <v>-1.6943400000000001E-2</v>
      </c>
      <c r="AJ52" s="22">
        <v>42</v>
      </c>
      <c r="AK52" s="22">
        <v>0.111053</v>
      </c>
      <c r="AL52">
        <f t="shared" si="6"/>
        <v>16.9434</v>
      </c>
      <c r="AM52">
        <f t="shared" si="7"/>
        <v>1.8899007228</v>
      </c>
      <c r="AP52" s="9"/>
      <c r="AQ52" s="22">
        <v>1.63849</v>
      </c>
      <c r="AR52" s="22">
        <v>277.18200000000002</v>
      </c>
      <c r="AS52" s="22">
        <v>-1.1865199999999999E-2</v>
      </c>
      <c r="AT52" s="22">
        <v>42</v>
      </c>
      <c r="AU52" s="22">
        <v>1.63757</v>
      </c>
      <c r="AV52">
        <f t="shared" si="8"/>
        <v>11.8652</v>
      </c>
      <c r="AW52">
        <f t="shared" si="9"/>
        <v>19.441011547999999</v>
      </c>
      <c r="AX52" s="9"/>
      <c r="AY52" s="22">
        <v>0.111542</v>
      </c>
      <c r="AZ52" s="22">
        <v>356.41199999999998</v>
      </c>
      <c r="BA52" s="22">
        <v>-1.6760299999999999E-2</v>
      </c>
      <c r="BB52" s="22">
        <v>42</v>
      </c>
      <c r="BC52" s="22">
        <v>0.111023</v>
      </c>
      <c r="BD52">
        <f t="shared" si="10"/>
        <v>16.760299999999997</v>
      </c>
      <c r="BE52">
        <f t="shared" si="11"/>
        <v>1.8694773825999997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27.980699999999999</v>
      </c>
      <c r="I53" s="22">
        <v>-1.27136E-2</v>
      </c>
      <c r="J53" s="22">
        <v>43</v>
      </c>
      <c r="K53" s="22">
        <v>1.63239</v>
      </c>
      <c r="L53">
        <f t="shared" si="0"/>
        <v>12.7136</v>
      </c>
      <c r="M53">
        <f t="shared" si="1"/>
        <v>20.767029919999999</v>
      </c>
      <c r="N53" s="9"/>
      <c r="O53" s="22">
        <v>0.116577</v>
      </c>
      <c r="P53" s="22">
        <v>83.376599999999996</v>
      </c>
      <c r="Q53" s="22">
        <v>-1.7352300000000001E-2</v>
      </c>
      <c r="R53" s="22">
        <v>43</v>
      </c>
      <c r="S53" s="22">
        <v>0.11605799999999999</v>
      </c>
      <c r="T53">
        <f t="shared" si="2"/>
        <v>17.3523</v>
      </c>
      <c r="U53">
        <f t="shared" si="3"/>
        <v>2.0228790770999998</v>
      </c>
      <c r="X53" s="9"/>
      <c r="Y53" s="22">
        <v>1.6334500000000001</v>
      </c>
      <c r="Z53" s="22">
        <v>145.334</v>
      </c>
      <c r="AA53" s="22">
        <v>-1.2326E-2</v>
      </c>
      <c r="AB53" s="22">
        <v>43</v>
      </c>
      <c r="AC53" s="22">
        <v>1.633</v>
      </c>
      <c r="AD53">
        <f t="shared" si="4"/>
        <v>12.326000000000001</v>
      </c>
      <c r="AE53">
        <f t="shared" si="5"/>
        <v>20.133904700000002</v>
      </c>
      <c r="AF53" s="9"/>
      <c r="AG53" s="22">
        <v>0.116577</v>
      </c>
      <c r="AH53" s="22">
        <v>224.86600000000001</v>
      </c>
      <c r="AI53" s="22">
        <v>-1.6940299999999998E-2</v>
      </c>
      <c r="AJ53" s="22">
        <v>43</v>
      </c>
      <c r="AK53" s="22">
        <v>0.11605799999999999</v>
      </c>
      <c r="AL53">
        <f t="shared" si="6"/>
        <v>16.940299999999997</v>
      </c>
      <c r="AM53">
        <f t="shared" si="7"/>
        <v>1.9748493530999998</v>
      </c>
      <c r="AP53" s="9"/>
      <c r="AQ53" s="22">
        <v>1.6334500000000001</v>
      </c>
      <c r="AR53" s="22">
        <v>277.28300000000002</v>
      </c>
      <c r="AS53" s="22">
        <v>-1.2057500000000001E-2</v>
      </c>
      <c r="AT53" s="22">
        <v>43</v>
      </c>
      <c r="AU53" s="22">
        <v>1.633</v>
      </c>
      <c r="AV53">
        <f t="shared" si="8"/>
        <v>12.057500000000001</v>
      </c>
      <c r="AW53">
        <f t="shared" si="9"/>
        <v>19.695323375000001</v>
      </c>
      <c r="AX53" s="9"/>
      <c r="AY53" s="22">
        <v>0.116577</v>
      </c>
      <c r="AZ53" s="22">
        <v>356.51299999999998</v>
      </c>
      <c r="BA53" s="22">
        <v>-1.67542E-2</v>
      </c>
      <c r="BB53" s="22">
        <v>43</v>
      </c>
      <c r="BC53" s="22">
        <v>0.116119</v>
      </c>
      <c r="BD53">
        <f t="shared" si="10"/>
        <v>16.754200000000001</v>
      </c>
      <c r="BE53">
        <f t="shared" si="11"/>
        <v>1.9531543734000001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28.081499999999998</v>
      </c>
      <c r="I54" s="22">
        <v>-1.28754E-2</v>
      </c>
      <c r="J54" s="22">
        <v>44</v>
      </c>
      <c r="K54" s="22">
        <v>1.6272</v>
      </c>
      <c r="L54">
        <f t="shared" si="0"/>
        <v>12.875400000000001</v>
      </c>
      <c r="M54">
        <f t="shared" si="1"/>
        <v>20.966558868</v>
      </c>
      <c r="N54" s="9"/>
      <c r="O54" s="22">
        <v>0.121613</v>
      </c>
      <c r="P54" s="22">
        <v>83.4773</v>
      </c>
      <c r="Q54" s="22">
        <v>-1.7333999999999999E-2</v>
      </c>
      <c r="R54" s="22">
        <v>44</v>
      </c>
      <c r="S54" s="22">
        <v>0.121063</v>
      </c>
      <c r="T54">
        <f t="shared" si="2"/>
        <v>17.334</v>
      </c>
      <c r="U54">
        <f t="shared" si="3"/>
        <v>2.1080397419999999</v>
      </c>
      <c r="X54" s="9"/>
      <c r="Y54" s="22">
        <v>1.62842</v>
      </c>
      <c r="Z54" s="22">
        <v>145.434</v>
      </c>
      <c r="AA54" s="22">
        <v>-1.24908E-2</v>
      </c>
      <c r="AB54" s="22">
        <v>44</v>
      </c>
      <c r="AC54" s="22">
        <v>1.6281099999999999</v>
      </c>
      <c r="AD54">
        <f t="shared" si="4"/>
        <v>12.4908</v>
      </c>
      <c r="AE54">
        <f t="shared" si="5"/>
        <v>20.340268536</v>
      </c>
      <c r="AF54" s="9"/>
      <c r="AG54" s="22">
        <v>0.121613</v>
      </c>
      <c r="AH54" s="22">
        <v>224.96700000000001</v>
      </c>
      <c r="AI54" s="22">
        <v>-1.6928100000000001E-2</v>
      </c>
      <c r="AJ54" s="22">
        <v>44</v>
      </c>
      <c r="AK54" s="22">
        <v>0.121124</v>
      </c>
      <c r="AL54">
        <f t="shared" si="6"/>
        <v>16.928100000000001</v>
      </c>
      <c r="AM54">
        <f t="shared" si="7"/>
        <v>2.0586770253000002</v>
      </c>
      <c r="AP54" s="9"/>
      <c r="AQ54" s="22">
        <v>1.62842</v>
      </c>
      <c r="AR54" s="22">
        <v>277.38299999999998</v>
      </c>
      <c r="AS54" s="22">
        <v>-1.22192E-2</v>
      </c>
      <c r="AT54" s="22">
        <v>44</v>
      </c>
      <c r="AU54" s="22">
        <v>1.62781</v>
      </c>
      <c r="AV54">
        <f t="shared" si="8"/>
        <v>12.219199999999999</v>
      </c>
      <c r="AW54">
        <f t="shared" si="9"/>
        <v>19.897989663999997</v>
      </c>
      <c r="AX54" s="9"/>
      <c r="AY54" s="22">
        <v>0.121613</v>
      </c>
      <c r="AZ54" s="22">
        <v>356.61399999999998</v>
      </c>
      <c r="BA54" s="22">
        <v>-1.67694E-2</v>
      </c>
      <c r="BB54" s="22">
        <v>44</v>
      </c>
      <c r="BC54" s="22">
        <v>0.121155</v>
      </c>
      <c r="BD54">
        <f t="shared" si="10"/>
        <v>16.769400000000001</v>
      </c>
      <c r="BE54">
        <f t="shared" si="11"/>
        <v>2.0393770421999999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28.182200000000002</v>
      </c>
      <c r="I55" s="22">
        <v>-1.30615E-2</v>
      </c>
      <c r="J55" s="22">
        <v>45</v>
      </c>
      <c r="K55" s="22">
        <v>1.62201</v>
      </c>
      <c r="L55">
        <f t="shared" si="0"/>
        <v>13.061500000000001</v>
      </c>
      <c r="M55">
        <f t="shared" si="1"/>
        <v>21.203777870000003</v>
      </c>
      <c r="N55" s="9"/>
      <c r="O55" s="22">
        <v>0.12664800000000001</v>
      </c>
      <c r="P55" s="22">
        <v>83.578000000000003</v>
      </c>
      <c r="Q55" s="22">
        <v>-1.7340100000000001E-2</v>
      </c>
      <c r="R55" s="22">
        <v>45</v>
      </c>
      <c r="S55" s="22">
        <v>0.12615999999999999</v>
      </c>
      <c r="T55">
        <f t="shared" si="2"/>
        <v>17.3401</v>
      </c>
      <c r="U55">
        <f t="shared" si="3"/>
        <v>2.1960889848000003</v>
      </c>
      <c r="X55" s="9"/>
      <c r="Y55" s="22">
        <v>1.62338</v>
      </c>
      <c r="Z55" s="22">
        <v>145.535</v>
      </c>
      <c r="AA55" s="22">
        <v>-1.2677000000000001E-2</v>
      </c>
      <c r="AB55" s="22">
        <v>45</v>
      </c>
      <c r="AC55" s="22">
        <v>1.62262</v>
      </c>
      <c r="AD55">
        <f t="shared" si="4"/>
        <v>12.677000000000001</v>
      </c>
      <c r="AE55">
        <f t="shared" si="5"/>
        <v>20.579588260000001</v>
      </c>
      <c r="AF55" s="9"/>
      <c r="AG55" s="22">
        <v>0.12664800000000001</v>
      </c>
      <c r="AH55" s="22">
        <v>225.06700000000001</v>
      </c>
      <c r="AI55" s="22">
        <v>-1.6922E-2</v>
      </c>
      <c r="AJ55" s="22">
        <v>45</v>
      </c>
      <c r="AK55" s="22">
        <v>0.12609899999999999</v>
      </c>
      <c r="AL55">
        <f t="shared" si="6"/>
        <v>16.922000000000001</v>
      </c>
      <c r="AM55">
        <f t="shared" si="7"/>
        <v>2.1431374560000003</v>
      </c>
      <c r="AP55" s="9"/>
      <c r="AQ55" s="22">
        <v>1.62338</v>
      </c>
      <c r="AR55" s="22">
        <v>277.48399999999998</v>
      </c>
      <c r="AS55" s="22">
        <v>-1.24023E-2</v>
      </c>
      <c r="AT55" s="22">
        <v>45</v>
      </c>
      <c r="AU55" s="22">
        <v>1.62262</v>
      </c>
      <c r="AV55">
        <f t="shared" si="8"/>
        <v>12.4023</v>
      </c>
      <c r="AW55">
        <f t="shared" si="9"/>
        <v>20.133645774000001</v>
      </c>
      <c r="AX55" s="9"/>
      <c r="AY55" s="22">
        <v>0.12664800000000001</v>
      </c>
      <c r="AZ55" s="22">
        <v>356.714</v>
      </c>
      <c r="BA55" s="22">
        <v>-1.67694E-2</v>
      </c>
      <c r="BB55" s="22">
        <v>45</v>
      </c>
      <c r="BC55" s="22">
        <v>0.12606800000000001</v>
      </c>
      <c r="BD55">
        <f t="shared" si="10"/>
        <v>16.769400000000001</v>
      </c>
      <c r="BE55">
        <f t="shared" si="11"/>
        <v>2.1238109712000002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28.282900000000001</v>
      </c>
      <c r="I56" s="22">
        <v>-1.3162200000000001E-2</v>
      </c>
      <c r="J56" s="22">
        <v>46</v>
      </c>
      <c r="K56" s="22">
        <v>1.6174299999999999</v>
      </c>
      <c r="L56">
        <f t="shared" si="0"/>
        <v>13.1622</v>
      </c>
      <c r="M56">
        <f t="shared" si="1"/>
        <v>21.301046370000002</v>
      </c>
      <c r="N56" s="9"/>
      <c r="O56" s="22">
        <v>0.13168299999999999</v>
      </c>
      <c r="P56" s="22">
        <v>83.678700000000006</v>
      </c>
      <c r="Q56" s="22">
        <v>-1.7324800000000001E-2</v>
      </c>
      <c r="R56" s="22">
        <v>46</v>
      </c>
      <c r="S56" s="22">
        <v>0.13122600000000001</v>
      </c>
      <c r="T56">
        <f t="shared" si="2"/>
        <v>17.3248</v>
      </c>
      <c r="U56">
        <f t="shared" si="3"/>
        <v>2.2813816384000001</v>
      </c>
      <c r="X56" s="9"/>
      <c r="Y56" s="22">
        <v>1.61835</v>
      </c>
      <c r="Z56" s="22">
        <v>145.636</v>
      </c>
      <c r="AA56" s="22">
        <v>-1.28235E-2</v>
      </c>
      <c r="AB56" s="22">
        <v>46</v>
      </c>
      <c r="AC56" s="22">
        <v>1.61713</v>
      </c>
      <c r="AD56">
        <f t="shared" si="4"/>
        <v>12.823499999999999</v>
      </c>
      <c r="AE56">
        <f t="shared" si="5"/>
        <v>20.752911224999998</v>
      </c>
      <c r="AF56" s="9"/>
      <c r="AG56" s="22">
        <v>0.13168299999999999</v>
      </c>
      <c r="AH56" s="22">
        <v>225.16800000000001</v>
      </c>
      <c r="AI56" s="22">
        <v>-1.68945E-2</v>
      </c>
      <c r="AJ56" s="22">
        <v>46</v>
      </c>
      <c r="AK56" s="22">
        <v>0.131104</v>
      </c>
      <c r="AL56">
        <f t="shared" si="6"/>
        <v>16.894500000000001</v>
      </c>
      <c r="AM56">
        <f t="shared" si="7"/>
        <v>2.2247184435</v>
      </c>
      <c r="AP56" s="9"/>
      <c r="AQ56" s="22">
        <v>1.61835</v>
      </c>
      <c r="AR56" s="22">
        <v>277.58499999999998</v>
      </c>
      <c r="AS56" s="22">
        <v>-1.25916E-2</v>
      </c>
      <c r="AT56" s="22">
        <v>46</v>
      </c>
      <c r="AU56" s="22">
        <v>1.6174299999999999</v>
      </c>
      <c r="AV56">
        <f t="shared" si="8"/>
        <v>12.5916</v>
      </c>
      <c r="AW56">
        <f t="shared" si="9"/>
        <v>20.377615859999999</v>
      </c>
      <c r="AX56" s="9"/>
      <c r="AY56" s="22">
        <v>0.13168299999999999</v>
      </c>
      <c r="AZ56" s="22">
        <v>356.815</v>
      </c>
      <c r="BA56" s="22">
        <v>-1.6787699999999999E-2</v>
      </c>
      <c r="BB56" s="22">
        <v>46</v>
      </c>
      <c r="BC56" s="22">
        <v>0.131134</v>
      </c>
      <c r="BD56">
        <f t="shared" si="10"/>
        <v>16.787699999999997</v>
      </c>
      <c r="BE56">
        <f t="shared" si="11"/>
        <v>2.2106546990999996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28.383600000000001</v>
      </c>
      <c r="I57" s="22">
        <v>-1.32751E-2</v>
      </c>
      <c r="J57" s="22">
        <v>47</v>
      </c>
      <c r="K57" s="22">
        <v>1.6128499999999999</v>
      </c>
      <c r="L57">
        <f t="shared" si="0"/>
        <v>13.2751</v>
      </c>
      <c r="M57">
        <f t="shared" si="1"/>
        <v>21.416851581</v>
      </c>
      <c r="N57" s="9"/>
      <c r="O57" s="22">
        <v>0.13671900000000001</v>
      </c>
      <c r="P57" s="22">
        <v>83.779399999999995</v>
      </c>
      <c r="Q57" s="22">
        <v>-1.7321799999999998E-2</v>
      </c>
      <c r="R57" s="22">
        <v>47</v>
      </c>
      <c r="S57" s="22">
        <v>0.13613900000000001</v>
      </c>
      <c r="T57">
        <f t="shared" si="2"/>
        <v>17.3218</v>
      </c>
      <c r="U57">
        <f t="shared" si="3"/>
        <v>2.3682191742000001</v>
      </c>
      <c r="X57" s="9"/>
      <c r="Y57" s="22">
        <v>1.61331</v>
      </c>
      <c r="Z57" s="22">
        <v>145.73599999999999</v>
      </c>
      <c r="AA57" s="22">
        <v>-1.2988299999999999E-2</v>
      </c>
      <c r="AB57" s="22">
        <v>47</v>
      </c>
      <c r="AC57" s="22">
        <v>1.6131599999999999</v>
      </c>
      <c r="AD57">
        <f t="shared" si="4"/>
        <v>12.988299999999999</v>
      </c>
      <c r="AE57">
        <f t="shared" si="5"/>
        <v>20.954154272999997</v>
      </c>
      <c r="AF57" s="9"/>
      <c r="AG57" s="22">
        <v>0.13671900000000001</v>
      </c>
      <c r="AH57" s="22">
        <v>225.26900000000001</v>
      </c>
      <c r="AI57" s="22">
        <v>-1.69067E-2</v>
      </c>
      <c r="AJ57" s="22">
        <v>47</v>
      </c>
      <c r="AK57" s="22">
        <v>0.13619999999999999</v>
      </c>
      <c r="AL57">
        <f t="shared" si="6"/>
        <v>16.906700000000001</v>
      </c>
      <c r="AM57">
        <f t="shared" si="7"/>
        <v>2.3114671173000003</v>
      </c>
      <c r="AP57" s="9"/>
      <c r="AQ57" s="22">
        <v>1.61331</v>
      </c>
      <c r="AR57" s="22">
        <v>277.685</v>
      </c>
      <c r="AS57" s="22">
        <v>-1.2731900000000001E-2</v>
      </c>
      <c r="AT57" s="22">
        <v>47</v>
      </c>
      <c r="AU57" s="22">
        <v>1.6119399999999999</v>
      </c>
      <c r="AV57">
        <f t="shared" si="8"/>
        <v>12.731900000000001</v>
      </c>
      <c r="AW57">
        <f t="shared" si="9"/>
        <v>20.540501589000002</v>
      </c>
      <c r="AX57" s="9"/>
      <c r="AY57" s="22">
        <v>0.13671900000000001</v>
      </c>
      <c r="AZ57" s="22">
        <v>356.916</v>
      </c>
      <c r="BA57" s="22">
        <v>-1.6741900000000001E-2</v>
      </c>
      <c r="BB57" s="22">
        <v>47</v>
      </c>
      <c r="BC57" s="22">
        <v>0.13613900000000001</v>
      </c>
      <c r="BD57">
        <f t="shared" si="10"/>
        <v>16.741900000000001</v>
      </c>
      <c r="BE57">
        <f t="shared" si="11"/>
        <v>2.2889358261000003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28.484300000000001</v>
      </c>
      <c r="I58" s="22">
        <v>-1.3433799999999999E-2</v>
      </c>
      <c r="J58" s="22">
        <v>48</v>
      </c>
      <c r="K58" s="22">
        <v>1.6076699999999999</v>
      </c>
      <c r="L58">
        <f t="shared" si="0"/>
        <v>13.4338</v>
      </c>
      <c r="M58">
        <f t="shared" si="1"/>
        <v>21.605311863999997</v>
      </c>
      <c r="N58" s="9"/>
      <c r="O58" s="22">
        <v>0.14175399999999999</v>
      </c>
      <c r="P58" s="22">
        <v>83.880099999999999</v>
      </c>
      <c r="Q58" s="22">
        <v>-1.7312600000000001E-2</v>
      </c>
      <c r="R58" s="22">
        <v>48</v>
      </c>
      <c r="S58" s="22">
        <v>0.141266</v>
      </c>
      <c r="T58">
        <f t="shared" si="2"/>
        <v>17.3126</v>
      </c>
      <c r="U58">
        <f t="shared" si="3"/>
        <v>2.4541303003999997</v>
      </c>
      <c r="X58" s="9"/>
      <c r="Y58" s="22">
        <v>1.6082799999999999</v>
      </c>
      <c r="Z58" s="22">
        <v>145.83699999999999</v>
      </c>
      <c r="AA58" s="22">
        <v>-1.3119499999999999E-2</v>
      </c>
      <c r="AB58" s="22">
        <v>48</v>
      </c>
      <c r="AC58" s="22">
        <v>1.6076699999999999</v>
      </c>
      <c r="AD58">
        <f t="shared" si="4"/>
        <v>13.119499999999999</v>
      </c>
      <c r="AE58">
        <f t="shared" si="5"/>
        <v>21.099829459999995</v>
      </c>
      <c r="AF58" s="9"/>
      <c r="AG58" s="22">
        <v>0.14175399999999999</v>
      </c>
      <c r="AH58" s="22">
        <v>225.369</v>
      </c>
      <c r="AI58" s="22">
        <v>-1.6888400000000001E-2</v>
      </c>
      <c r="AJ58" s="22">
        <v>48</v>
      </c>
      <c r="AK58" s="22">
        <v>0.141266</v>
      </c>
      <c r="AL58">
        <f t="shared" si="6"/>
        <v>16.888400000000001</v>
      </c>
      <c r="AM58">
        <f t="shared" si="7"/>
        <v>2.3939982536</v>
      </c>
      <c r="AP58" s="9"/>
      <c r="AQ58" s="22">
        <v>1.6082799999999999</v>
      </c>
      <c r="AR58" s="22">
        <v>277.786</v>
      </c>
      <c r="AS58" s="22">
        <v>-1.28693E-2</v>
      </c>
      <c r="AT58" s="22">
        <v>48</v>
      </c>
      <c r="AU58" s="22">
        <v>1.6073599999999999</v>
      </c>
      <c r="AV58">
        <f t="shared" si="8"/>
        <v>12.869300000000001</v>
      </c>
      <c r="AW58">
        <f t="shared" si="9"/>
        <v>20.697437804</v>
      </c>
      <c r="AX58" s="9"/>
      <c r="AY58" s="22">
        <v>0.14175399999999999</v>
      </c>
      <c r="AZ58" s="22">
        <v>357.01600000000002</v>
      </c>
      <c r="BA58" s="22">
        <v>-1.6726700000000001E-2</v>
      </c>
      <c r="BB58" s="22">
        <v>48</v>
      </c>
      <c r="BC58" s="22">
        <v>0.141266</v>
      </c>
      <c r="BD58">
        <f t="shared" si="10"/>
        <v>16.726700000000001</v>
      </c>
      <c r="BE58">
        <f t="shared" si="11"/>
        <v>2.3710766317999998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28.585000000000001</v>
      </c>
      <c r="I59" s="22">
        <v>-1.35376E-2</v>
      </c>
      <c r="J59" s="22">
        <v>49</v>
      </c>
      <c r="K59" s="22">
        <v>1.6021700000000001</v>
      </c>
      <c r="L59">
        <f t="shared" si="0"/>
        <v>13.537600000000001</v>
      </c>
      <c r="M59">
        <f t="shared" si="1"/>
        <v>21.704021824000002</v>
      </c>
      <c r="N59" s="9"/>
      <c r="O59" s="22">
        <v>0.14679</v>
      </c>
      <c r="P59" s="22">
        <v>83.980800000000002</v>
      </c>
      <c r="Q59" s="22">
        <v>-1.7282100000000002E-2</v>
      </c>
      <c r="R59" s="22">
        <v>49</v>
      </c>
      <c r="S59" s="22">
        <v>0.14624000000000001</v>
      </c>
      <c r="T59">
        <f t="shared" si="2"/>
        <v>17.282100000000003</v>
      </c>
      <c r="U59">
        <f t="shared" si="3"/>
        <v>2.5368394590000007</v>
      </c>
      <c r="X59" s="9"/>
      <c r="Y59" s="22">
        <v>1.60324</v>
      </c>
      <c r="Z59" s="22">
        <v>145.93799999999999</v>
      </c>
      <c r="AA59" s="22">
        <v>-1.32599E-2</v>
      </c>
      <c r="AB59" s="22">
        <v>49</v>
      </c>
      <c r="AC59" s="22">
        <v>1.6027800000000001</v>
      </c>
      <c r="AD59">
        <f t="shared" si="4"/>
        <v>13.2599</v>
      </c>
      <c r="AE59">
        <f t="shared" si="5"/>
        <v>21.258802075999998</v>
      </c>
      <c r="AF59" s="9"/>
      <c r="AG59" s="22">
        <v>0.14679</v>
      </c>
      <c r="AH59" s="22">
        <v>225.47</v>
      </c>
      <c r="AI59" s="22">
        <v>-1.6885399999999998E-2</v>
      </c>
      <c r="AJ59" s="22">
        <v>49</v>
      </c>
      <c r="AK59" s="22">
        <v>0.14627100000000001</v>
      </c>
      <c r="AL59">
        <f t="shared" si="6"/>
        <v>16.885399999999997</v>
      </c>
      <c r="AM59">
        <f t="shared" si="7"/>
        <v>2.4786078659999995</v>
      </c>
      <c r="AP59" s="9"/>
      <c r="AQ59" s="22">
        <v>1.60324</v>
      </c>
      <c r="AR59" s="22">
        <v>277.887</v>
      </c>
      <c r="AS59" s="22">
        <v>-1.29791E-2</v>
      </c>
      <c r="AT59" s="22">
        <v>49</v>
      </c>
      <c r="AU59" s="22">
        <v>1.6024799999999999</v>
      </c>
      <c r="AV59">
        <f t="shared" si="8"/>
        <v>12.979100000000001</v>
      </c>
      <c r="AW59">
        <f t="shared" si="9"/>
        <v>20.808612284000002</v>
      </c>
      <c r="AX59" s="9"/>
      <c r="AY59" s="22">
        <v>0.14679</v>
      </c>
      <c r="AZ59" s="22">
        <v>357.11700000000002</v>
      </c>
      <c r="BA59" s="22">
        <v>-1.6726700000000001E-2</v>
      </c>
      <c r="BB59" s="22">
        <v>49</v>
      </c>
      <c r="BC59" s="22">
        <v>0.14633199999999999</v>
      </c>
      <c r="BD59">
        <f t="shared" si="10"/>
        <v>16.726700000000001</v>
      </c>
      <c r="BE59">
        <f t="shared" si="11"/>
        <v>2.4553122930000004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28.685700000000001</v>
      </c>
      <c r="I60" s="22">
        <v>-1.3681E-2</v>
      </c>
      <c r="J60" s="22">
        <v>50</v>
      </c>
      <c r="K60" s="22">
        <v>1.5972900000000001</v>
      </c>
      <c r="L60">
        <f t="shared" si="0"/>
        <v>13.681000000000001</v>
      </c>
      <c r="M60">
        <f t="shared" si="1"/>
        <v>21.86511101</v>
      </c>
      <c r="N60" s="9"/>
      <c r="O60" s="22">
        <v>0.15182499999999999</v>
      </c>
      <c r="P60" s="22">
        <v>84.081599999999995</v>
      </c>
      <c r="Q60" s="22">
        <v>-1.7279099999999999E-2</v>
      </c>
      <c r="R60" s="22">
        <v>50</v>
      </c>
      <c r="S60" s="22">
        <v>0.15127599999999999</v>
      </c>
      <c r="T60">
        <f t="shared" si="2"/>
        <v>17.2791</v>
      </c>
      <c r="U60">
        <f t="shared" si="3"/>
        <v>2.6233993574999999</v>
      </c>
      <c r="X60" s="9"/>
      <c r="Y60" s="22">
        <v>1.5982099999999999</v>
      </c>
      <c r="Z60" s="22">
        <v>146.03899999999999</v>
      </c>
      <c r="AA60" s="22">
        <v>-1.33636E-2</v>
      </c>
      <c r="AB60" s="22">
        <v>50</v>
      </c>
      <c r="AC60" s="22">
        <v>1.5972900000000001</v>
      </c>
      <c r="AD60">
        <f t="shared" si="4"/>
        <v>13.3636</v>
      </c>
      <c r="AE60">
        <f t="shared" si="5"/>
        <v>21.357839155999997</v>
      </c>
      <c r="AF60" s="9"/>
      <c r="AG60" s="22">
        <v>0.15182499999999999</v>
      </c>
      <c r="AH60" s="22">
        <v>225.571</v>
      </c>
      <c r="AI60" s="22">
        <v>-1.68945E-2</v>
      </c>
      <c r="AJ60" s="22">
        <v>50</v>
      </c>
      <c r="AK60" s="22">
        <v>0.151306</v>
      </c>
      <c r="AL60">
        <f t="shared" si="6"/>
        <v>16.894500000000001</v>
      </c>
      <c r="AM60">
        <f t="shared" si="7"/>
        <v>2.5650074625000001</v>
      </c>
      <c r="AP60" s="9"/>
      <c r="AQ60" s="22">
        <v>1.5982099999999999</v>
      </c>
      <c r="AR60" s="22">
        <v>277.988</v>
      </c>
      <c r="AS60" s="22">
        <v>-1.3085899999999999E-2</v>
      </c>
      <c r="AT60" s="22">
        <v>50</v>
      </c>
      <c r="AU60" s="22">
        <v>1.5979000000000001</v>
      </c>
      <c r="AV60">
        <f t="shared" si="8"/>
        <v>13.085899999999999</v>
      </c>
      <c r="AW60">
        <f t="shared" si="9"/>
        <v>20.914016238999995</v>
      </c>
      <c r="AX60" s="9"/>
      <c r="AY60" s="22">
        <v>0.15182499999999999</v>
      </c>
      <c r="AZ60" s="22">
        <v>357.21800000000002</v>
      </c>
      <c r="BA60" s="22">
        <v>-1.6747999999999999E-2</v>
      </c>
      <c r="BB60" s="22">
        <v>50</v>
      </c>
      <c r="BC60" s="22">
        <v>0.151306</v>
      </c>
      <c r="BD60">
        <f t="shared" si="10"/>
        <v>16.747999999999998</v>
      </c>
      <c r="BE60">
        <f t="shared" si="11"/>
        <v>2.5427650999999996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28.7864</v>
      </c>
      <c r="I61" s="22">
        <v>-1.38031E-2</v>
      </c>
      <c r="J61" s="22">
        <v>51</v>
      </c>
      <c r="K61" s="22">
        <v>1.5921000000000001</v>
      </c>
      <c r="L61">
        <f t="shared" si="0"/>
        <v>13.803100000000001</v>
      </c>
      <c r="M61">
        <f t="shared" si="1"/>
        <v>21.990684826999999</v>
      </c>
      <c r="N61" s="9"/>
      <c r="O61" s="22">
        <v>0.15686</v>
      </c>
      <c r="P61" s="22">
        <v>84.182299999999998</v>
      </c>
      <c r="Q61" s="22">
        <v>-1.7303499999999999E-2</v>
      </c>
      <c r="R61" s="22">
        <v>51</v>
      </c>
      <c r="S61" s="22">
        <v>0.15640299999999999</v>
      </c>
      <c r="T61">
        <f t="shared" si="2"/>
        <v>17.3035</v>
      </c>
      <c r="U61">
        <f t="shared" si="3"/>
        <v>2.7142270100000001</v>
      </c>
      <c r="X61" s="9"/>
      <c r="Y61" s="22">
        <v>1.59317</v>
      </c>
      <c r="Z61" s="22">
        <v>146.13900000000001</v>
      </c>
      <c r="AA61" s="22">
        <v>-1.3522299999999999E-2</v>
      </c>
      <c r="AB61" s="22">
        <v>51</v>
      </c>
      <c r="AC61" s="22">
        <v>1.5924100000000001</v>
      </c>
      <c r="AD61">
        <f t="shared" si="4"/>
        <v>13.5223</v>
      </c>
      <c r="AE61">
        <f t="shared" si="5"/>
        <v>21.543322691</v>
      </c>
      <c r="AF61" s="9"/>
      <c r="AG61" s="22">
        <v>0.15686</v>
      </c>
      <c r="AH61" s="22">
        <v>225.672</v>
      </c>
      <c r="AI61" s="22">
        <v>-1.6864000000000001E-2</v>
      </c>
      <c r="AJ61" s="22">
        <v>51</v>
      </c>
      <c r="AK61" s="22">
        <v>0.15625</v>
      </c>
      <c r="AL61">
        <f t="shared" si="6"/>
        <v>16.864000000000001</v>
      </c>
      <c r="AM61">
        <f t="shared" si="7"/>
        <v>2.6452870399999999</v>
      </c>
      <c r="AP61" s="9"/>
      <c r="AQ61" s="22">
        <v>1.59317</v>
      </c>
      <c r="AR61" s="22">
        <v>278.08800000000002</v>
      </c>
      <c r="AS61" s="22">
        <v>-1.3201900000000001E-2</v>
      </c>
      <c r="AT61" s="22">
        <v>51</v>
      </c>
      <c r="AU61" s="22">
        <v>1.5921000000000001</v>
      </c>
      <c r="AV61">
        <f t="shared" si="8"/>
        <v>13.2019</v>
      </c>
      <c r="AW61">
        <f t="shared" si="9"/>
        <v>21.032871022999998</v>
      </c>
      <c r="AX61" s="9"/>
      <c r="AY61" s="22">
        <v>0.15686</v>
      </c>
      <c r="AZ61" s="22">
        <v>357.31900000000002</v>
      </c>
      <c r="BA61" s="22">
        <v>-1.6705299999999999E-2</v>
      </c>
      <c r="BB61" s="22">
        <v>51</v>
      </c>
      <c r="BC61" s="22">
        <v>0.15634200000000001</v>
      </c>
      <c r="BD61">
        <f t="shared" si="10"/>
        <v>16.705299999999998</v>
      </c>
      <c r="BE61">
        <f t="shared" si="11"/>
        <v>2.6203933579999994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28.8871</v>
      </c>
      <c r="I62" s="22">
        <v>-1.3909899999999999E-2</v>
      </c>
      <c r="J62" s="22">
        <v>52</v>
      </c>
      <c r="K62" s="22">
        <v>1.58752</v>
      </c>
      <c r="L62">
        <f t="shared" si="0"/>
        <v>13.909899999999999</v>
      </c>
      <c r="M62">
        <f t="shared" si="1"/>
        <v>22.090729486999997</v>
      </c>
      <c r="N62" s="9"/>
      <c r="O62" s="22">
        <v>0.16189600000000001</v>
      </c>
      <c r="P62" s="22">
        <v>84.283000000000001</v>
      </c>
      <c r="Q62" s="22">
        <v>-1.7294299999999999E-2</v>
      </c>
      <c r="R62" s="22">
        <v>52</v>
      </c>
      <c r="S62" s="22">
        <v>0.16131599999999999</v>
      </c>
      <c r="T62">
        <f t="shared" si="2"/>
        <v>17.2943</v>
      </c>
      <c r="U62">
        <f t="shared" si="3"/>
        <v>2.7998779928000004</v>
      </c>
      <c r="X62" s="9"/>
      <c r="Y62" s="22">
        <v>1.58813</v>
      </c>
      <c r="Z62" s="22">
        <v>146.24</v>
      </c>
      <c r="AA62" s="22">
        <v>-1.35925E-2</v>
      </c>
      <c r="AB62" s="22">
        <v>52</v>
      </c>
      <c r="AC62" s="22">
        <v>1.5872200000000001</v>
      </c>
      <c r="AD62">
        <f t="shared" si="4"/>
        <v>13.592500000000001</v>
      </c>
      <c r="AE62">
        <f t="shared" si="5"/>
        <v>21.586657025000001</v>
      </c>
      <c r="AF62" s="9"/>
      <c r="AG62" s="22">
        <v>0.16189600000000001</v>
      </c>
      <c r="AH62" s="22">
        <v>225.77199999999999</v>
      </c>
      <c r="AI62" s="22">
        <v>-1.6864000000000001E-2</v>
      </c>
      <c r="AJ62" s="22">
        <v>52</v>
      </c>
      <c r="AK62" s="22">
        <v>0.16128500000000001</v>
      </c>
      <c r="AL62">
        <f t="shared" si="6"/>
        <v>16.864000000000001</v>
      </c>
      <c r="AM62">
        <f t="shared" si="7"/>
        <v>2.7302141440000005</v>
      </c>
      <c r="AP62" s="9"/>
      <c r="AQ62" s="22">
        <v>1.58813</v>
      </c>
      <c r="AR62" s="22">
        <v>278.18900000000002</v>
      </c>
      <c r="AS62" s="22">
        <v>-1.3333100000000001E-2</v>
      </c>
      <c r="AT62" s="22">
        <v>52</v>
      </c>
      <c r="AU62" s="22">
        <v>1.5878300000000001</v>
      </c>
      <c r="AV62">
        <f t="shared" si="8"/>
        <v>13.3331</v>
      </c>
      <c r="AW62">
        <f t="shared" si="9"/>
        <v>21.174696102999999</v>
      </c>
      <c r="AX62" s="9"/>
      <c r="AY62" s="22">
        <v>0.16189600000000001</v>
      </c>
      <c r="AZ62" s="22">
        <v>357.41899999999998</v>
      </c>
      <c r="BA62" s="22">
        <v>-1.67175E-2</v>
      </c>
      <c r="BB62" s="22">
        <v>52</v>
      </c>
      <c r="BC62" s="22">
        <v>0.16137699999999999</v>
      </c>
      <c r="BD62">
        <f t="shared" si="10"/>
        <v>16.717500000000001</v>
      </c>
      <c r="BE62">
        <f t="shared" si="11"/>
        <v>2.7064963800000004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28.9878</v>
      </c>
      <c r="I63" s="22">
        <v>-1.40106E-2</v>
      </c>
      <c r="J63" s="22">
        <v>53</v>
      </c>
      <c r="K63" s="22">
        <v>1.58264</v>
      </c>
      <c r="L63">
        <f t="shared" si="0"/>
        <v>14.0106</v>
      </c>
      <c r="M63">
        <f t="shared" si="1"/>
        <v>22.18018086</v>
      </c>
      <c r="N63" s="9"/>
      <c r="O63" s="22">
        <v>0.166931</v>
      </c>
      <c r="P63" s="22">
        <v>84.383700000000005</v>
      </c>
      <c r="Q63" s="22">
        <v>-1.7254599999999998E-2</v>
      </c>
      <c r="R63" s="22">
        <v>53</v>
      </c>
      <c r="S63" s="22">
        <v>0.166382</v>
      </c>
      <c r="T63">
        <f t="shared" si="2"/>
        <v>17.2546</v>
      </c>
      <c r="U63">
        <f t="shared" si="3"/>
        <v>2.8803276325999998</v>
      </c>
      <c r="X63" s="9"/>
      <c r="Y63" s="22">
        <v>1.5831</v>
      </c>
      <c r="Z63" s="22">
        <v>146.34100000000001</v>
      </c>
      <c r="AA63" s="22">
        <v>-1.3726800000000001E-2</v>
      </c>
      <c r="AB63" s="22">
        <v>53</v>
      </c>
      <c r="AC63" s="22">
        <v>1.58203</v>
      </c>
      <c r="AD63">
        <f t="shared" si="4"/>
        <v>13.726800000000001</v>
      </c>
      <c r="AE63">
        <f t="shared" si="5"/>
        <v>21.730897080000002</v>
      </c>
      <c r="AF63" s="9"/>
      <c r="AG63" s="22">
        <v>0.166931</v>
      </c>
      <c r="AH63" s="22">
        <v>225.87299999999999</v>
      </c>
      <c r="AI63" s="22">
        <v>-1.6867099999999999E-2</v>
      </c>
      <c r="AJ63" s="22">
        <v>53</v>
      </c>
      <c r="AK63" s="22">
        <v>0.16628999999999999</v>
      </c>
      <c r="AL63">
        <f t="shared" si="6"/>
        <v>16.867100000000001</v>
      </c>
      <c r="AM63">
        <f t="shared" si="7"/>
        <v>2.8156418700999999</v>
      </c>
      <c r="AP63" s="9"/>
      <c r="AQ63" s="22">
        <v>1.5831</v>
      </c>
      <c r="AR63" s="22">
        <v>278.29000000000002</v>
      </c>
      <c r="AS63" s="22">
        <v>-1.3439899999999999E-2</v>
      </c>
      <c r="AT63" s="22">
        <v>53</v>
      </c>
      <c r="AU63" s="22">
        <v>1.58203</v>
      </c>
      <c r="AV63">
        <f t="shared" si="8"/>
        <v>13.4399</v>
      </c>
      <c r="AW63">
        <f t="shared" si="9"/>
        <v>21.27670569</v>
      </c>
      <c r="AX63" s="9"/>
      <c r="AY63" s="22">
        <v>0.166931</v>
      </c>
      <c r="AZ63" s="22">
        <v>357.52</v>
      </c>
      <c r="BA63" s="22">
        <v>-1.67297E-2</v>
      </c>
      <c r="BB63" s="22">
        <v>53</v>
      </c>
      <c r="BC63" s="22">
        <v>0.166412</v>
      </c>
      <c r="BD63">
        <f t="shared" si="10"/>
        <v>16.729700000000001</v>
      </c>
      <c r="BE63">
        <f t="shared" si="11"/>
        <v>2.7927055507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29.0885</v>
      </c>
      <c r="I64" s="22">
        <v>-1.4129600000000001E-2</v>
      </c>
      <c r="J64" s="22">
        <v>54</v>
      </c>
      <c r="K64" s="22">
        <v>1.5777600000000001</v>
      </c>
      <c r="L64">
        <f t="shared" si="0"/>
        <v>14.129600000000002</v>
      </c>
      <c r="M64">
        <f t="shared" si="1"/>
        <v>22.297356576000002</v>
      </c>
      <c r="N64" s="9"/>
      <c r="O64" s="22">
        <v>0.17196700000000001</v>
      </c>
      <c r="P64" s="22">
        <v>84.484399999999994</v>
      </c>
      <c r="Q64" s="22">
        <v>-1.7257700000000001E-2</v>
      </c>
      <c r="R64" s="22">
        <v>54</v>
      </c>
      <c r="S64" s="22">
        <v>0.17157</v>
      </c>
      <c r="T64">
        <f t="shared" si="2"/>
        <v>17.2577</v>
      </c>
      <c r="U64">
        <f t="shared" si="3"/>
        <v>2.9677548959000002</v>
      </c>
      <c r="X64" s="9"/>
      <c r="Y64" s="22">
        <v>1.57806</v>
      </c>
      <c r="Z64" s="22">
        <v>146.441</v>
      </c>
      <c r="AA64" s="22">
        <v>-1.38519E-2</v>
      </c>
      <c r="AB64" s="22">
        <v>54</v>
      </c>
      <c r="AC64" s="22">
        <v>1.5777600000000001</v>
      </c>
      <c r="AD64">
        <f t="shared" si="4"/>
        <v>13.851900000000001</v>
      </c>
      <c r="AE64">
        <f t="shared" si="5"/>
        <v>21.859129314</v>
      </c>
      <c r="AF64" s="9"/>
      <c r="AG64" s="22">
        <v>0.17196700000000001</v>
      </c>
      <c r="AH64" s="22">
        <v>225.97399999999999</v>
      </c>
      <c r="AI64" s="22">
        <v>-1.6861000000000001E-2</v>
      </c>
      <c r="AJ64" s="22">
        <v>54</v>
      </c>
      <c r="AK64" s="22">
        <v>0.17141700000000001</v>
      </c>
      <c r="AL64">
        <f t="shared" si="6"/>
        <v>16.861000000000001</v>
      </c>
      <c r="AM64">
        <f t="shared" si="7"/>
        <v>2.8995355870000004</v>
      </c>
      <c r="AP64" s="9"/>
      <c r="AQ64" s="22">
        <v>1.57806</v>
      </c>
      <c r="AR64" s="22">
        <v>278.39</v>
      </c>
      <c r="AS64" s="22">
        <v>-1.35742E-2</v>
      </c>
      <c r="AT64" s="22">
        <v>54</v>
      </c>
      <c r="AU64" s="22">
        <v>1.5777600000000001</v>
      </c>
      <c r="AV64">
        <f t="shared" si="8"/>
        <v>13.574199999999999</v>
      </c>
      <c r="AW64">
        <f t="shared" si="9"/>
        <v>21.420902051999999</v>
      </c>
      <c r="AX64" s="9"/>
      <c r="AY64" s="22">
        <v>0.17196700000000001</v>
      </c>
      <c r="AZ64" s="22">
        <v>357.62099999999998</v>
      </c>
      <c r="BA64" s="22">
        <v>-1.67175E-2</v>
      </c>
      <c r="BB64" s="22">
        <v>54</v>
      </c>
      <c r="BC64" s="22">
        <v>0.17147799999999999</v>
      </c>
      <c r="BD64">
        <f t="shared" si="10"/>
        <v>16.717500000000001</v>
      </c>
      <c r="BE64">
        <f t="shared" si="11"/>
        <v>2.8748583225000002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29.1892</v>
      </c>
      <c r="I65" s="22">
        <v>-1.41998E-2</v>
      </c>
      <c r="J65" s="22">
        <v>55</v>
      </c>
      <c r="K65" s="22">
        <v>1.57196</v>
      </c>
      <c r="L65">
        <f t="shared" si="0"/>
        <v>14.1998</v>
      </c>
      <c r="M65">
        <f t="shared" si="1"/>
        <v>22.336711393999998</v>
      </c>
      <c r="N65" s="9"/>
      <c r="O65" s="22">
        <v>0.17700199999999999</v>
      </c>
      <c r="P65" s="22">
        <v>84.585099999999997</v>
      </c>
      <c r="Q65" s="22">
        <v>-1.7254599999999998E-2</v>
      </c>
      <c r="R65" s="22">
        <v>55</v>
      </c>
      <c r="S65" s="22">
        <v>0.176483</v>
      </c>
      <c r="T65">
        <f t="shared" si="2"/>
        <v>17.2546</v>
      </c>
      <c r="U65">
        <f t="shared" si="3"/>
        <v>3.0540987091999998</v>
      </c>
      <c r="X65" s="9"/>
      <c r="Y65" s="22">
        <v>1.5730299999999999</v>
      </c>
      <c r="Z65" s="22">
        <v>146.542</v>
      </c>
      <c r="AA65" s="22">
        <v>-1.3986200000000001E-2</v>
      </c>
      <c r="AB65" s="22">
        <v>55</v>
      </c>
      <c r="AC65" s="22">
        <v>1.5722700000000001</v>
      </c>
      <c r="AD65">
        <f t="shared" si="4"/>
        <v>13.9862</v>
      </c>
      <c r="AE65">
        <f t="shared" si="5"/>
        <v>22.000712185999998</v>
      </c>
      <c r="AF65" s="9"/>
      <c r="AG65" s="22">
        <v>0.17700199999999999</v>
      </c>
      <c r="AH65" s="22">
        <v>226.07400000000001</v>
      </c>
      <c r="AI65" s="22">
        <v>-1.6870099999999999E-2</v>
      </c>
      <c r="AJ65" s="22">
        <v>55</v>
      </c>
      <c r="AK65" s="22">
        <v>0.176483</v>
      </c>
      <c r="AL65">
        <f t="shared" si="6"/>
        <v>16.870100000000001</v>
      </c>
      <c r="AM65">
        <f t="shared" si="7"/>
        <v>2.9860414402000002</v>
      </c>
      <c r="AP65" s="9"/>
      <c r="AQ65" s="22">
        <v>1.5730299999999999</v>
      </c>
      <c r="AR65" s="22">
        <v>278.49099999999999</v>
      </c>
      <c r="AS65" s="22">
        <v>-1.36353E-2</v>
      </c>
      <c r="AT65" s="22">
        <v>55</v>
      </c>
      <c r="AU65" s="22">
        <v>1.5722700000000001</v>
      </c>
      <c r="AV65">
        <f t="shared" si="8"/>
        <v>13.635299999999999</v>
      </c>
      <c r="AW65">
        <f t="shared" si="9"/>
        <v>21.448735958999997</v>
      </c>
      <c r="AX65" s="9"/>
      <c r="AY65" s="22">
        <v>0.17700199999999999</v>
      </c>
      <c r="AZ65" s="22">
        <v>357.721</v>
      </c>
      <c r="BA65" s="22">
        <v>-1.6711400000000001E-2</v>
      </c>
      <c r="BB65" s="22">
        <v>55</v>
      </c>
      <c r="BC65" s="22">
        <v>0.17660500000000001</v>
      </c>
      <c r="BD65">
        <f t="shared" si="10"/>
        <v>16.711400000000001</v>
      </c>
      <c r="BE65">
        <f t="shared" si="11"/>
        <v>2.9579512228000002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29.289899999999999</v>
      </c>
      <c r="I66" s="22">
        <v>-1.4328E-2</v>
      </c>
      <c r="J66" s="22">
        <v>56</v>
      </c>
      <c r="K66" s="22">
        <v>1.56738</v>
      </c>
      <c r="L66">
        <f t="shared" si="0"/>
        <v>14.328000000000001</v>
      </c>
      <c r="M66">
        <f t="shared" si="1"/>
        <v>22.466160720000001</v>
      </c>
      <c r="N66" s="9"/>
      <c r="O66" s="22">
        <v>0.182037</v>
      </c>
      <c r="P66" s="22">
        <v>84.6858</v>
      </c>
      <c r="Q66" s="22">
        <v>-1.7272900000000001E-2</v>
      </c>
      <c r="R66" s="22">
        <v>56</v>
      </c>
      <c r="S66" s="22">
        <v>0.18151900000000001</v>
      </c>
      <c r="T66">
        <f t="shared" si="2"/>
        <v>17.2729</v>
      </c>
      <c r="U66">
        <f t="shared" si="3"/>
        <v>3.1443068972999999</v>
      </c>
      <c r="X66" s="9"/>
      <c r="Y66" s="22">
        <v>1.56799</v>
      </c>
      <c r="Z66" s="22">
        <v>146.643</v>
      </c>
      <c r="AA66" s="22">
        <v>-1.40991E-2</v>
      </c>
      <c r="AB66" s="22">
        <v>56</v>
      </c>
      <c r="AC66" s="22">
        <v>1.56708</v>
      </c>
      <c r="AD66">
        <f t="shared" si="4"/>
        <v>14.0991</v>
      </c>
      <c r="AE66">
        <f t="shared" si="5"/>
        <v>22.107247809</v>
      </c>
      <c r="AF66" s="9"/>
      <c r="AG66" s="22">
        <v>0.182037</v>
      </c>
      <c r="AH66" s="22">
        <v>226.17500000000001</v>
      </c>
      <c r="AI66" s="22">
        <v>-1.6857899999999999E-2</v>
      </c>
      <c r="AJ66" s="22">
        <v>56</v>
      </c>
      <c r="AK66" s="22">
        <v>0.18154899999999999</v>
      </c>
      <c r="AL66">
        <f t="shared" si="6"/>
        <v>16.857899999999997</v>
      </c>
      <c r="AM66">
        <f t="shared" si="7"/>
        <v>3.0687615422999994</v>
      </c>
      <c r="AP66" s="9"/>
      <c r="AQ66" s="22">
        <v>1.56799</v>
      </c>
      <c r="AR66" s="22">
        <v>278.59199999999998</v>
      </c>
      <c r="AS66" s="22">
        <v>-1.3717699999999999E-2</v>
      </c>
      <c r="AT66" s="22">
        <v>56</v>
      </c>
      <c r="AU66" s="22">
        <v>1.56708</v>
      </c>
      <c r="AV66">
        <f t="shared" si="8"/>
        <v>13.717699999999999</v>
      </c>
      <c r="AW66">
        <f t="shared" si="9"/>
        <v>21.509216422999998</v>
      </c>
      <c r="AX66" s="9"/>
      <c r="AY66" s="22">
        <v>0.182037</v>
      </c>
      <c r="AZ66" s="22">
        <v>357.822</v>
      </c>
      <c r="BA66" s="22">
        <v>-1.67145E-2</v>
      </c>
      <c r="BB66" s="22">
        <v>56</v>
      </c>
      <c r="BC66" s="22">
        <v>0.181396</v>
      </c>
      <c r="BD66">
        <f t="shared" si="10"/>
        <v>16.714500000000001</v>
      </c>
      <c r="BE66">
        <f t="shared" si="11"/>
        <v>3.0426574365000003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29.390699999999999</v>
      </c>
      <c r="I67" s="22">
        <v>-1.4428699999999999E-2</v>
      </c>
      <c r="J67" s="22">
        <v>57</v>
      </c>
      <c r="K67" s="22">
        <v>1.5625</v>
      </c>
      <c r="L67">
        <f t="shared" si="0"/>
        <v>14.428699999999999</v>
      </c>
      <c r="M67">
        <f t="shared" si="1"/>
        <v>22.551480951999999</v>
      </c>
      <c r="N67" s="9"/>
      <c r="O67" s="22">
        <v>0.18707299999999999</v>
      </c>
      <c r="P67" s="22">
        <v>84.786500000000004</v>
      </c>
      <c r="Q67" s="22">
        <v>-1.7282100000000002E-2</v>
      </c>
      <c r="R67" s="22">
        <v>57</v>
      </c>
      <c r="S67" s="22">
        <v>0.186584</v>
      </c>
      <c r="T67">
        <f t="shared" si="2"/>
        <v>17.282100000000003</v>
      </c>
      <c r="U67">
        <f t="shared" si="3"/>
        <v>3.2330142933000006</v>
      </c>
      <c r="X67" s="9"/>
      <c r="Y67" s="22">
        <v>1.5629599999999999</v>
      </c>
      <c r="Z67" s="22">
        <v>146.74299999999999</v>
      </c>
      <c r="AA67" s="22">
        <v>-1.4196800000000001E-2</v>
      </c>
      <c r="AB67" s="22">
        <v>57</v>
      </c>
      <c r="AC67" s="22">
        <v>1.5625</v>
      </c>
      <c r="AD67">
        <f t="shared" si="4"/>
        <v>14.196800000000001</v>
      </c>
      <c r="AE67">
        <f t="shared" si="5"/>
        <v>22.189030528</v>
      </c>
      <c r="AF67" s="9"/>
      <c r="AG67" s="22">
        <v>0.18707299999999999</v>
      </c>
      <c r="AH67" s="22">
        <v>226.27600000000001</v>
      </c>
      <c r="AI67" s="22">
        <v>-1.6842699999999999E-2</v>
      </c>
      <c r="AJ67" s="22">
        <v>57</v>
      </c>
      <c r="AK67" s="22">
        <v>0.186554</v>
      </c>
      <c r="AL67">
        <f t="shared" si="6"/>
        <v>16.842699999999997</v>
      </c>
      <c r="AM67">
        <f t="shared" si="7"/>
        <v>3.1508144170999994</v>
      </c>
      <c r="AP67" s="9"/>
      <c r="AQ67" s="22">
        <v>1.5629599999999999</v>
      </c>
      <c r="AR67" s="22">
        <v>278.69299999999998</v>
      </c>
      <c r="AS67" s="22">
        <v>-1.38184E-2</v>
      </c>
      <c r="AT67" s="22">
        <v>57</v>
      </c>
      <c r="AU67" s="22">
        <v>1.56219</v>
      </c>
      <c r="AV67">
        <f t="shared" si="8"/>
        <v>13.8184</v>
      </c>
      <c r="AW67">
        <f t="shared" si="9"/>
        <v>21.597606463999998</v>
      </c>
      <c r="AX67" s="9"/>
      <c r="AY67" s="22">
        <v>0.18707299999999999</v>
      </c>
      <c r="AZ67" s="22">
        <v>357.923</v>
      </c>
      <c r="BA67" s="22">
        <v>-1.6680899999999999E-2</v>
      </c>
      <c r="BB67" s="22">
        <v>57</v>
      </c>
      <c r="BC67" s="22">
        <v>0.186554</v>
      </c>
      <c r="BD67">
        <f t="shared" si="10"/>
        <v>16.680899999999998</v>
      </c>
      <c r="BE67">
        <f t="shared" si="11"/>
        <v>3.1205460056999992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29.491399999999999</v>
      </c>
      <c r="I68" s="22">
        <v>-1.4544700000000001E-2</v>
      </c>
      <c r="J68" s="22">
        <v>58</v>
      </c>
      <c r="K68" s="22">
        <v>1.55731</v>
      </c>
      <c r="L68">
        <f t="shared" si="0"/>
        <v>14.544700000000001</v>
      </c>
      <c r="M68">
        <f t="shared" si="1"/>
        <v>22.659479023999999</v>
      </c>
      <c r="N68" s="9"/>
      <c r="O68" s="22">
        <v>0.192108</v>
      </c>
      <c r="P68" s="22">
        <v>84.887200000000007</v>
      </c>
      <c r="Q68" s="22">
        <v>-1.7279099999999999E-2</v>
      </c>
      <c r="R68" s="22">
        <v>58</v>
      </c>
      <c r="S68" s="22">
        <v>0.191528</v>
      </c>
      <c r="T68">
        <f t="shared" si="2"/>
        <v>17.2791</v>
      </c>
      <c r="U68">
        <f t="shared" si="3"/>
        <v>3.3194533428000002</v>
      </c>
      <c r="X68" s="9"/>
      <c r="Y68" s="22">
        <v>1.55792</v>
      </c>
      <c r="Z68" s="22">
        <v>146.84399999999999</v>
      </c>
      <c r="AA68" s="22">
        <v>-1.43097E-2</v>
      </c>
      <c r="AB68" s="22">
        <v>58</v>
      </c>
      <c r="AC68" s="22">
        <v>1.55762</v>
      </c>
      <c r="AD68">
        <f t="shared" si="4"/>
        <v>14.309699999999999</v>
      </c>
      <c r="AE68">
        <f t="shared" si="5"/>
        <v>22.293367823999997</v>
      </c>
      <c r="AF68" s="9"/>
      <c r="AG68" s="22">
        <v>0.192108</v>
      </c>
      <c r="AH68" s="22">
        <v>226.376</v>
      </c>
      <c r="AI68" s="22">
        <v>-1.6854899999999999E-2</v>
      </c>
      <c r="AJ68" s="22">
        <v>58</v>
      </c>
      <c r="AK68" s="22">
        <v>0.19155900000000001</v>
      </c>
      <c r="AL68">
        <f t="shared" si="6"/>
        <v>16.854900000000001</v>
      </c>
      <c r="AM68">
        <f t="shared" si="7"/>
        <v>3.2379611292000003</v>
      </c>
      <c r="AP68" s="9"/>
      <c r="AQ68" s="22">
        <v>1.55792</v>
      </c>
      <c r="AR68" s="22">
        <v>278.79300000000001</v>
      </c>
      <c r="AS68" s="22">
        <v>-1.3943499999999999E-2</v>
      </c>
      <c r="AT68" s="22">
        <v>58</v>
      </c>
      <c r="AU68" s="22">
        <v>1.55701</v>
      </c>
      <c r="AV68">
        <f t="shared" si="8"/>
        <v>13.943499999999998</v>
      </c>
      <c r="AW68">
        <f t="shared" si="9"/>
        <v>21.722857519999998</v>
      </c>
      <c r="AX68" s="9"/>
      <c r="AY68" s="22">
        <v>0.192108</v>
      </c>
      <c r="AZ68" s="22">
        <v>358.024</v>
      </c>
      <c r="BA68" s="22">
        <v>-1.6699200000000001E-2</v>
      </c>
      <c r="BB68" s="22">
        <v>58</v>
      </c>
      <c r="BC68" s="22">
        <v>0.19155900000000001</v>
      </c>
      <c r="BD68">
        <f t="shared" si="10"/>
        <v>16.699200000000001</v>
      </c>
      <c r="BE68">
        <f t="shared" si="11"/>
        <v>3.2080499136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29.592099999999999</v>
      </c>
      <c r="I69" s="22">
        <v>-1.4593500000000001E-2</v>
      </c>
      <c r="J69" s="22">
        <v>59</v>
      </c>
      <c r="K69" s="22">
        <v>1.5521199999999999</v>
      </c>
      <c r="L69">
        <f t="shared" si="0"/>
        <v>14.593500000000001</v>
      </c>
      <c r="M69">
        <f t="shared" si="1"/>
        <v>22.662100215000002</v>
      </c>
      <c r="N69" s="9"/>
      <c r="O69" s="22">
        <v>0.19714400000000001</v>
      </c>
      <c r="P69" s="22">
        <v>84.987899999999996</v>
      </c>
      <c r="Q69" s="22">
        <v>-1.7291299999999999E-2</v>
      </c>
      <c r="R69" s="22">
        <v>59</v>
      </c>
      <c r="S69" s="22">
        <v>0.19659399999999999</v>
      </c>
      <c r="T69">
        <f t="shared" si="2"/>
        <v>17.2913</v>
      </c>
      <c r="U69">
        <f t="shared" si="3"/>
        <v>3.4088760472000001</v>
      </c>
      <c r="X69" s="9"/>
      <c r="Y69" s="22">
        <v>1.5528900000000001</v>
      </c>
      <c r="Z69" s="22">
        <v>146.94499999999999</v>
      </c>
      <c r="AA69" s="22">
        <v>-1.44043E-2</v>
      </c>
      <c r="AB69" s="22">
        <v>59</v>
      </c>
      <c r="AC69" s="22">
        <v>1.5521199999999999</v>
      </c>
      <c r="AD69">
        <f t="shared" si="4"/>
        <v>14.404299999999999</v>
      </c>
      <c r="AE69">
        <f t="shared" si="5"/>
        <v>22.368293427000001</v>
      </c>
      <c r="AF69" s="9"/>
      <c r="AG69" s="22">
        <v>0.19714400000000001</v>
      </c>
      <c r="AH69" s="22">
        <v>226.477</v>
      </c>
      <c r="AI69" s="22">
        <v>-1.6848800000000001E-2</v>
      </c>
      <c r="AJ69" s="22">
        <v>59</v>
      </c>
      <c r="AK69" s="22">
        <v>0.196655</v>
      </c>
      <c r="AL69">
        <f t="shared" si="6"/>
        <v>16.848800000000001</v>
      </c>
      <c r="AM69">
        <f t="shared" si="7"/>
        <v>3.3216398272000003</v>
      </c>
      <c r="AP69" s="9"/>
      <c r="AQ69" s="22">
        <v>1.5528900000000001</v>
      </c>
      <c r="AR69" s="22">
        <v>278.89400000000001</v>
      </c>
      <c r="AS69" s="22">
        <v>-1.4035000000000001E-2</v>
      </c>
      <c r="AT69" s="22">
        <v>59</v>
      </c>
      <c r="AU69" s="22">
        <v>1.55182</v>
      </c>
      <c r="AV69">
        <f t="shared" si="8"/>
        <v>14.035</v>
      </c>
      <c r="AW69">
        <f t="shared" si="9"/>
        <v>21.794811150000001</v>
      </c>
      <c r="AX69" s="9"/>
      <c r="AY69" s="22">
        <v>0.19714400000000001</v>
      </c>
      <c r="AZ69" s="22">
        <v>358.12400000000002</v>
      </c>
      <c r="BA69" s="22">
        <v>-1.66473E-2</v>
      </c>
      <c r="BB69" s="22">
        <v>59</v>
      </c>
      <c r="BC69" s="22">
        <v>0.19659399999999999</v>
      </c>
      <c r="BD69">
        <f t="shared" si="10"/>
        <v>16.647300000000001</v>
      </c>
      <c r="BE69">
        <f t="shared" si="11"/>
        <v>3.2819153112000006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29.692799999999998</v>
      </c>
      <c r="I70" s="22">
        <v>-1.4682000000000001E-2</v>
      </c>
      <c r="J70" s="22">
        <v>60</v>
      </c>
      <c r="K70" s="22">
        <v>1.54755</v>
      </c>
      <c r="L70">
        <f t="shared" si="0"/>
        <v>14.682</v>
      </c>
      <c r="M70">
        <f t="shared" si="1"/>
        <v>22.7255337</v>
      </c>
      <c r="N70" s="9"/>
      <c r="O70" s="22">
        <v>0.202179</v>
      </c>
      <c r="P70" s="22">
        <v>85.0886</v>
      </c>
      <c r="Q70" s="22">
        <v>-1.7303499999999999E-2</v>
      </c>
      <c r="R70" s="22">
        <v>60</v>
      </c>
      <c r="S70" s="22">
        <v>0.201599</v>
      </c>
      <c r="T70">
        <f t="shared" si="2"/>
        <v>17.3035</v>
      </c>
      <c r="U70">
        <f t="shared" si="3"/>
        <v>3.4984043264999998</v>
      </c>
      <c r="X70" s="9"/>
      <c r="Y70" s="22">
        <v>1.5478499999999999</v>
      </c>
      <c r="Z70" s="22">
        <v>147.04599999999999</v>
      </c>
      <c r="AA70" s="22">
        <v>-1.44745E-2</v>
      </c>
      <c r="AB70" s="22">
        <v>60</v>
      </c>
      <c r="AC70" s="22">
        <v>1.54694</v>
      </c>
      <c r="AD70">
        <f t="shared" si="4"/>
        <v>14.474499999999999</v>
      </c>
      <c r="AE70">
        <f t="shared" si="5"/>
        <v>22.404354824999999</v>
      </c>
      <c r="AF70" s="9"/>
      <c r="AG70" s="22">
        <v>0.202179</v>
      </c>
      <c r="AH70" s="22">
        <v>226.578</v>
      </c>
      <c r="AI70" s="22">
        <v>-1.68396E-2</v>
      </c>
      <c r="AJ70" s="22">
        <v>60</v>
      </c>
      <c r="AK70" s="22">
        <v>0.201599</v>
      </c>
      <c r="AL70">
        <f t="shared" si="6"/>
        <v>16.839600000000001</v>
      </c>
      <c r="AM70">
        <f t="shared" si="7"/>
        <v>3.4046134884000003</v>
      </c>
      <c r="AP70" s="9"/>
      <c r="AQ70" s="22">
        <v>1.5478499999999999</v>
      </c>
      <c r="AR70" s="22">
        <v>278.995</v>
      </c>
      <c r="AS70" s="22">
        <v>-1.4086899999999999E-2</v>
      </c>
      <c r="AT70" s="22">
        <v>60</v>
      </c>
      <c r="AU70" s="22">
        <v>1.54694</v>
      </c>
      <c r="AV70">
        <f t="shared" si="8"/>
        <v>14.0869</v>
      </c>
      <c r="AW70">
        <f t="shared" si="9"/>
        <v>21.804408164999998</v>
      </c>
      <c r="AX70" s="9"/>
      <c r="AY70" s="22">
        <v>0.202179</v>
      </c>
      <c r="AZ70" s="22">
        <v>358.22500000000002</v>
      </c>
      <c r="BA70" s="22">
        <v>-1.6653399999999999E-2</v>
      </c>
      <c r="BB70" s="22">
        <v>60</v>
      </c>
      <c r="BC70" s="22">
        <v>0.20163</v>
      </c>
      <c r="BD70">
        <f t="shared" si="10"/>
        <v>16.653399999999998</v>
      </c>
      <c r="BE70">
        <f t="shared" si="11"/>
        <v>3.3669677585999995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29.793500000000002</v>
      </c>
      <c r="I71" s="22">
        <v>-1.47461E-2</v>
      </c>
      <c r="J71" s="22">
        <v>61</v>
      </c>
      <c r="K71" s="22">
        <v>1.5414399999999999</v>
      </c>
      <c r="L71">
        <f t="shared" si="0"/>
        <v>14.7461</v>
      </c>
      <c r="M71">
        <f t="shared" si="1"/>
        <v>22.750578002000001</v>
      </c>
      <c r="N71" s="9"/>
      <c r="O71" s="22">
        <v>0.20721400000000001</v>
      </c>
      <c r="P71" s="22">
        <v>85.189300000000003</v>
      </c>
      <c r="Q71" s="22">
        <v>-1.7312600000000001E-2</v>
      </c>
      <c r="R71" s="22">
        <v>61</v>
      </c>
      <c r="S71" s="22">
        <v>0.20660400000000001</v>
      </c>
      <c r="T71">
        <f t="shared" si="2"/>
        <v>17.3126</v>
      </c>
      <c r="U71">
        <f t="shared" si="3"/>
        <v>3.5874130964000002</v>
      </c>
      <c r="X71" s="9"/>
      <c r="Y71" s="22">
        <v>1.5428200000000001</v>
      </c>
      <c r="Z71" s="22">
        <v>147.14599999999999</v>
      </c>
      <c r="AA71" s="22">
        <v>-1.4556899999999999E-2</v>
      </c>
      <c r="AB71" s="22">
        <v>61</v>
      </c>
      <c r="AC71" s="22">
        <v>1.5420499999999999</v>
      </c>
      <c r="AD71">
        <f t="shared" si="4"/>
        <v>14.556899999999999</v>
      </c>
      <c r="AE71">
        <f t="shared" si="5"/>
        <v>22.458676457999999</v>
      </c>
      <c r="AF71" s="9"/>
      <c r="AG71" s="22">
        <v>0.20721400000000001</v>
      </c>
      <c r="AH71" s="22">
        <v>226.679</v>
      </c>
      <c r="AI71" s="22">
        <v>-1.6848800000000001E-2</v>
      </c>
      <c r="AJ71" s="22">
        <v>61</v>
      </c>
      <c r="AK71" s="22">
        <v>0.206543</v>
      </c>
      <c r="AL71">
        <f t="shared" si="6"/>
        <v>16.848800000000001</v>
      </c>
      <c r="AM71">
        <f t="shared" si="7"/>
        <v>3.4913072432000001</v>
      </c>
      <c r="AP71" s="9"/>
      <c r="AQ71" s="22">
        <v>1.5428200000000001</v>
      </c>
      <c r="AR71" s="22">
        <v>279.09500000000003</v>
      </c>
      <c r="AS71" s="22">
        <v>-1.4202899999999999E-2</v>
      </c>
      <c r="AT71" s="22">
        <v>61</v>
      </c>
      <c r="AU71" s="22">
        <v>1.54236</v>
      </c>
      <c r="AV71">
        <f t="shared" si="8"/>
        <v>14.2029</v>
      </c>
      <c r="AW71">
        <f t="shared" si="9"/>
        <v>21.912518177999999</v>
      </c>
      <c r="AX71" s="9"/>
      <c r="AY71" s="22">
        <v>0.20721400000000001</v>
      </c>
      <c r="AZ71" s="22">
        <v>358.32600000000002</v>
      </c>
      <c r="BA71" s="22">
        <v>-1.66473E-2</v>
      </c>
      <c r="BB71" s="22">
        <v>61</v>
      </c>
      <c r="BC71" s="22">
        <v>0.206757</v>
      </c>
      <c r="BD71">
        <f t="shared" si="10"/>
        <v>16.647300000000001</v>
      </c>
      <c r="BE71">
        <f t="shared" si="11"/>
        <v>3.4495536222000003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29.894200000000001</v>
      </c>
      <c r="I72" s="22">
        <v>-1.4865099999999999E-2</v>
      </c>
      <c r="J72" s="22">
        <v>62</v>
      </c>
      <c r="K72" s="22">
        <v>1.53687</v>
      </c>
      <c r="L72">
        <f t="shared" si="0"/>
        <v>14.8651</v>
      </c>
      <c r="M72">
        <f t="shared" si="1"/>
        <v>22.859253477999999</v>
      </c>
      <c r="N72" s="9"/>
      <c r="O72" s="22">
        <v>0.21224999999999999</v>
      </c>
      <c r="P72" s="22">
        <v>85.29</v>
      </c>
      <c r="Q72" s="22">
        <v>-1.73279E-2</v>
      </c>
      <c r="R72" s="22">
        <v>62</v>
      </c>
      <c r="S72" s="22">
        <v>0.21163899999999999</v>
      </c>
      <c r="T72">
        <f t="shared" si="2"/>
        <v>17.3279</v>
      </c>
      <c r="U72">
        <f t="shared" si="3"/>
        <v>3.6778467749999999</v>
      </c>
      <c r="X72" s="9"/>
      <c r="Y72" s="22">
        <v>1.5377799999999999</v>
      </c>
      <c r="Z72" s="22">
        <v>147.24700000000001</v>
      </c>
      <c r="AA72" s="22">
        <v>-1.46179E-2</v>
      </c>
      <c r="AB72" s="22">
        <v>62</v>
      </c>
      <c r="AC72" s="22">
        <v>1.53748</v>
      </c>
      <c r="AD72">
        <f t="shared" si="4"/>
        <v>14.617899999999999</v>
      </c>
      <c r="AE72">
        <f t="shared" si="5"/>
        <v>22.479114261999996</v>
      </c>
      <c r="AF72" s="9"/>
      <c r="AG72" s="22">
        <v>0.21224999999999999</v>
      </c>
      <c r="AH72" s="22">
        <v>226.779</v>
      </c>
      <c r="AI72" s="22">
        <v>-1.6845700000000002E-2</v>
      </c>
      <c r="AJ72" s="22">
        <v>62</v>
      </c>
      <c r="AK72" s="22">
        <v>0.211731</v>
      </c>
      <c r="AL72">
        <f t="shared" si="6"/>
        <v>16.845700000000001</v>
      </c>
      <c r="AM72">
        <f t="shared" si="7"/>
        <v>3.5754998250000001</v>
      </c>
      <c r="AP72" s="9"/>
      <c r="AQ72" s="22">
        <v>1.5377799999999999</v>
      </c>
      <c r="AR72" s="22">
        <v>279.19600000000003</v>
      </c>
      <c r="AS72" s="22">
        <v>-1.42883E-2</v>
      </c>
      <c r="AT72" s="22">
        <v>62</v>
      </c>
      <c r="AU72" s="22">
        <v>1.53687</v>
      </c>
      <c r="AV72">
        <f t="shared" si="8"/>
        <v>14.2883</v>
      </c>
      <c r="AW72">
        <f t="shared" si="9"/>
        <v>21.972261973999998</v>
      </c>
      <c r="AX72" s="9"/>
      <c r="AY72" s="22">
        <v>0.21224999999999999</v>
      </c>
      <c r="AZ72" s="22">
        <v>358.42599999999999</v>
      </c>
      <c r="BA72" s="22">
        <v>-1.6671800000000001E-2</v>
      </c>
      <c r="BB72" s="22">
        <v>62</v>
      </c>
      <c r="BC72" s="22">
        <v>0.21157799999999999</v>
      </c>
      <c r="BD72">
        <f t="shared" si="10"/>
        <v>16.671800000000001</v>
      </c>
      <c r="BE72">
        <f t="shared" si="11"/>
        <v>3.5385895500000002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29.994900000000001</v>
      </c>
      <c r="I73" s="22">
        <v>-1.49689E-2</v>
      </c>
      <c r="J73" s="22">
        <v>63</v>
      </c>
      <c r="K73" s="22">
        <v>1.5319799999999999</v>
      </c>
      <c r="L73">
        <f t="shared" si="0"/>
        <v>14.9689</v>
      </c>
      <c r="M73">
        <f t="shared" si="1"/>
        <v>22.943581475000002</v>
      </c>
      <c r="N73" s="9"/>
      <c r="O73" s="22">
        <v>0.21728500000000001</v>
      </c>
      <c r="P73" s="22">
        <v>85.390799999999999</v>
      </c>
      <c r="Q73" s="22">
        <v>-1.73004E-2</v>
      </c>
      <c r="R73" s="22">
        <v>63</v>
      </c>
      <c r="S73" s="22">
        <v>0.21670500000000001</v>
      </c>
      <c r="T73">
        <f t="shared" si="2"/>
        <v>17.3004</v>
      </c>
      <c r="U73">
        <f t="shared" si="3"/>
        <v>3.7591174139999999</v>
      </c>
      <c r="X73" s="9"/>
      <c r="Y73" s="22">
        <v>1.5327500000000001</v>
      </c>
      <c r="Z73" s="22">
        <v>147.34800000000001</v>
      </c>
      <c r="AA73" s="22">
        <v>-1.46973E-2</v>
      </c>
      <c r="AB73" s="22">
        <v>63</v>
      </c>
      <c r="AC73" s="22">
        <v>1.5325899999999999</v>
      </c>
      <c r="AD73">
        <f t="shared" si="4"/>
        <v>14.6973</v>
      </c>
      <c r="AE73">
        <f t="shared" si="5"/>
        <v>22.527286575000002</v>
      </c>
      <c r="AF73" s="9"/>
      <c r="AG73" s="22">
        <v>0.21728500000000001</v>
      </c>
      <c r="AH73" s="22">
        <v>226.88</v>
      </c>
      <c r="AI73" s="22">
        <v>-1.6830399999999999E-2</v>
      </c>
      <c r="AJ73" s="22">
        <v>63</v>
      </c>
      <c r="AK73" s="22">
        <v>0.21676599999999999</v>
      </c>
      <c r="AL73">
        <f t="shared" si="6"/>
        <v>16.830399999999997</v>
      </c>
      <c r="AM73">
        <f t="shared" si="7"/>
        <v>3.6569934639999997</v>
      </c>
      <c r="AP73" s="9"/>
      <c r="AQ73" s="22">
        <v>1.5327500000000001</v>
      </c>
      <c r="AR73" s="22">
        <v>279.29700000000003</v>
      </c>
      <c r="AS73" s="22">
        <v>-1.43616E-2</v>
      </c>
      <c r="AT73" s="22">
        <v>63</v>
      </c>
      <c r="AU73" s="22">
        <v>1.5313699999999999</v>
      </c>
      <c r="AV73">
        <f t="shared" si="8"/>
        <v>14.361600000000001</v>
      </c>
      <c r="AW73">
        <f t="shared" si="9"/>
        <v>22.012742400000004</v>
      </c>
      <c r="AX73" s="9"/>
      <c r="AY73" s="22">
        <v>0.21728500000000001</v>
      </c>
      <c r="AZ73" s="22">
        <v>358.52699999999999</v>
      </c>
      <c r="BA73" s="22">
        <v>-1.66199E-2</v>
      </c>
      <c r="BB73" s="22">
        <v>63</v>
      </c>
      <c r="BC73" s="22">
        <v>0.21673600000000001</v>
      </c>
      <c r="BD73">
        <f t="shared" si="10"/>
        <v>16.619900000000001</v>
      </c>
      <c r="BE73">
        <f t="shared" si="11"/>
        <v>3.6112549715000002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30.095600000000001</v>
      </c>
      <c r="I74" s="22">
        <v>-1.50116E-2</v>
      </c>
      <c r="J74" s="22">
        <v>64</v>
      </c>
      <c r="K74" s="22">
        <v>1.5274000000000001</v>
      </c>
      <c r="L74">
        <f t="shared" si="0"/>
        <v>15.0116</v>
      </c>
      <c r="M74">
        <f t="shared" si="1"/>
        <v>22.933371435999998</v>
      </c>
      <c r="N74" s="9"/>
      <c r="O74" s="22">
        <v>0.22232099999999999</v>
      </c>
      <c r="P74" s="22">
        <v>85.491500000000002</v>
      </c>
      <c r="Q74" s="22">
        <v>-1.73279E-2</v>
      </c>
      <c r="R74" s="22">
        <v>64</v>
      </c>
      <c r="S74" s="22">
        <v>0.22170999999999999</v>
      </c>
      <c r="T74">
        <f t="shared" si="2"/>
        <v>17.3279</v>
      </c>
      <c r="U74">
        <f t="shared" si="3"/>
        <v>3.8523560558999996</v>
      </c>
      <c r="X74" s="9"/>
      <c r="Y74" s="22">
        <v>1.5277099999999999</v>
      </c>
      <c r="Z74" s="22">
        <v>147.44800000000001</v>
      </c>
      <c r="AA74" s="22">
        <v>-1.4749099999999999E-2</v>
      </c>
      <c r="AB74" s="22">
        <v>64</v>
      </c>
      <c r="AC74" s="22">
        <v>1.5274000000000001</v>
      </c>
      <c r="AD74">
        <f t="shared" si="4"/>
        <v>14.749099999999999</v>
      </c>
      <c r="AE74">
        <f t="shared" si="5"/>
        <v>22.532347560999995</v>
      </c>
      <c r="AF74" s="9"/>
      <c r="AG74" s="22">
        <v>0.22232099999999999</v>
      </c>
      <c r="AH74" s="22">
        <v>226.98099999999999</v>
      </c>
      <c r="AI74" s="22">
        <v>-1.6848800000000001E-2</v>
      </c>
      <c r="AJ74" s="22">
        <v>64</v>
      </c>
      <c r="AK74" s="22">
        <v>0.221771</v>
      </c>
      <c r="AL74">
        <f t="shared" si="6"/>
        <v>16.848800000000001</v>
      </c>
      <c r="AM74">
        <f t="shared" si="7"/>
        <v>3.7458420648000001</v>
      </c>
      <c r="AP74" s="9"/>
      <c r="AQ74" s="22">
        <v>1.5277099999999999</v>
      </c>
      <c r="AR74" s="22">
        <v>279.39800000000002</v>
      </c>
      <c r="AS74" s="22">
        <v>-1.44073E-2</v>
      </c>
      <c r="AT74" s="22">
        <v>64</v>
      </c>
      <c r="AU74" s="22">
        <v>1.5264899999999999</v>
      </c>
      <c r="AV74">
        <f t="shared" si="8"/>
        <v>14.407299999999999</v>
      </c>
      <c r="AW74">
        <f t="shared" si="9"/>
        <v>22.010176282999996</v>
      </c>
      <c r="AX74" s="9"/>
      <c r="AY74" s="22">
        <v>0.22232099999999999</v>
      </c>
      <c r="AZ74" s="22">
        <v>358.62799999999999</v>
      </c>
      <c r="BA74" s="22">
        <v>-1.66351E-2</v>
      </c>
      <c r="BB74" s="22">
        <v>64</v>
      </c>
      <c r="BC74" s="22">
        <v>0.221771</v>
      </c>
      <c r="BD74">
        <f t="shared" si="10"/>
        <v>16.635100000000001</v>
      </c>
      <c r="BE74">
        <f t="shared" si="11"/>
        <v>3.6983320671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30.196300000000001</v>
      </c>
      <c r="I75" s="22">
        <v>-1.50177E-2</v>
      </c>
      <c r="J75" s="22">
        <v>65</v>
      </c>
      <c r="K75" s="22">
        <v>1.5219100000000001</v>
      </c>
      <c r="L75">
        <f t="shared" si="0"/>
        <v>15.0177</v>
      </c>
      <c r="M75">
        <f t="shared" si="1"/>
        <v>22.867001258999998</v>
      </c>
      <c r="N75" s="9"/>
      <c r="O75" s="22">
        <v>0.227356</v>
      </c>
      <c r="P75" s="22">
        <v>85.592200000000005</v>
      </c>
      <c r="Q75" s="22">
        <v>-1.72882E-2</v>
      </c>
      <c r="R75" s="22">
        <v>65</v>
      </c>
      <c r="S75" s="22">
        <v>0.22680700000000001</v>
      </c>
      <c r="T75">
        <f t="shared" si="2"/>
        <v>17.2882</v>
      </c>
      <c r="U75">
        <f t="shared" si="3"/>
        <v>3.9305759991999998</v>
      </c>
      <c r="X75" s="9"/>
      <c r="Y75" s="22">
        <v>1.52267</v>
      </c>
      <c r="Z75" s="22">
        <v>147.54900000000001</v>
      </c>
      <c r="AA75" s="22">
        <v>-1.4804100000000001E-2</v>
      </c>
      <c r="AB75" s="22">
        <v>65</v>
      </c>
      <c r="AC75" s="22">
        <v>1.5219100000000001</v>
      </c>
      <c r="AD75">
        <f t="shared" si="4"/>
        <v>14.8041</v>
      </c>
      <c r="AE75">
        <f t="shared" si="5"/>
        <v>22.541758946999998</v>
      </c>
      <c r="AF75" s="9"/>
      <c r="AG75" s="22">
        <v>0.227356</v>
      </c>
      <c r="AH75" s="22">
        <v>227.08099999999999</v>
      </c>
      <c r="AI75" s="22">
        <v>-1.6848800000000001E-2</v>
      </c>
      <c r="AJ75" s="22">
        <v>65</v>
      </c>
      <c r="AK75" s="22">
        <v>0.22683700000000001</v>
      </c>
      <c r="AL75">
        <f t="shared" si="6"/>
        <v>16.848800000000001</v>
      </c>
      <c r="AM75">
        <f t="shared" si="7"/>
        <v>3.8306757728000003</v>
      </c>
      <c r="AP75" s="9"/>
      <c r="AQ75" s="22">
        <v>1.52267</v>
      </c>
      <c r="AR75" s="22">
        <v>279.49799999999999</v>
      </c>
      <c r="AS75" s="22">
        <v>-1.4508099999999999E-2</v>
      </c>
      <c r="AT75" s="22">
        <v>65</v>
      </c>
      <c r="AU75" s="22">
        <v>1.5213000000000001</v>
      </c>
      <c r="AV75">
        <f t="shared" si="8"/>
        <v>14.508099999999999</v>
      </c>
      <c r="AW75">
        <f t="shared" si="9"/>
        <v>22.091048626999999</v>
      </c>
      <c r="AX75" s="9"/>
      <c r="AY75" s="22">
        <v>0.227356</v>
      </c>
      <c r="AZ75" s="22">
        <v>358.72899999999998</v>
      </c>
      <c r="BA75" s="22">
        <v>-1.6610699999999999E-2</v>
      </c>
      <c r="BB75" s="22">
        <v>65</v>
      </c>
      <c r="BC75" s="22">
        <v>0.226715</v>
      </c>
      <c r="BD75">
        <f t="shared" si="10"/>
        <v>16.610699999999998</v>
      </c>
      <c r="BE75">
        <f t="shared" si="11"/>
        <v>3.7765423091999994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30.297000000000001</v>
      </c>
      <c r="I76" s="22">
        <v>-1.5075699999999999E-2</v>
      </c>
      <c r="J76" s="22">
        <v>66</v>
      </c>
      <c r="K76" s="22">
        <v>1.5170300000000001</v>
      </c>
      <c r="L76">
        <f t="shared" ref="L76:L139" si="12">-I76/$F$2*1000</f>
        <v>15.075699999999999</v>
      </c>
      <c r="M76">
        <f t="shared" ref="M76:M139" si="13">L76*G76</f>
        <v>22.879485347999999</v>
      </c>
      <c r="N76" s="9"/>
      <c r="O76" s="22">
        <v>0.23239099999999999</v>
      </c>
      <c r="P76" s="22">
        <v>85.692899999999995</v>
      </c>
      <c r="Q76" s="22">
        <v>-1.7303499999999999E-2</v>
      </c>
      <c r="R76" s="22">
        <v>66</v>
      </c>
      <c r="S76" s="22">
        <v>0.231873</v>
      </c>
      <c r="T76">
        <f t="shared" ref="T76:T139" si="14">-Q76/$F$2*1000</f>
        <v>17.3035</v>
      </c>
      <c r="U76">
        <f t="shared" ref="U76:U139" si="15">T76*O76</f>
        <v>4.0211776685</v>
      </c>
      <c r="X76" s="9"/>
      <c r="Y76" s="22">
        <v>1.5176400000000001</v>
      </c>
      <c r="Z76" s="22">
        <v>147.65</v>
      </c>
      <c r="AA76" s="22">
        <v>-1.48895E-2</v>
      </c>
      <c r="AB76" s="22">
        <v>66</v>
      </c>
      <c r="AC76" s="22">
        <v>1.5167200000000001</v>
      </c>
      <c r="AD76">
        <f t="shared" ref="AD76:AD139" si="16">-AA76/$F$2*1000</f>
        <v>14.8895</v>
      </c>
      <c r="AE76">
        <f t="shared" ref="AE76:AE139" si="17">AD76*Y76</f>
        <v>22.596900780000002</v>
      </c>
      <c r="AF76" s="9"/>
      <c r="AG76" s="22">
        <v>0.23239099999999999</v>
      </c>
      <c r="AH76" s="22">
        <v>227.18199999999999</v>
      </c>
      <c r="AI76" s="22">
        <v>-1.6857899999999999E-2</v>
      </c>
      <c r="AJ76" s="22">
        <v>66</v>
      </c>
      <c r="AK76" s="22">
        <v>0.23172000000000001</v>
      </c>
      <c r="AL76">
        <f t="shared" ref="AL76:AL139" si="18">-AI76/$F$2*1000</f>
        <v>16.857899999999997</v>
      </c>
      <c r="AM76">
        <f t="shared" ref="AM76:AM139" si="19">AL76*AG76</f>
        <v>3.9176242388999993</v>
      </c>
      <c r="AP76" s="9"/>
      <c r="AQ76" s="22">
        <v>1.5176400000000001</v>
      </c>
      <c r="AR76" s="22">
        <v>279.59899999999999</v>
      </c>
      <c r="AS76" s="22">
        <v>-1.45966E-2</v>
      </c>
      <c r="AT76" s="22">
        <v>66</v>
      </c>
      <c r="AU76" s="22">
        <v>1.5173300000000001</v>
      </c>
      <c r="AV76">
        <f t="shared" ref="AV76:AV139" si="20">-AS76/$F$2*1000</f>
        <v>14.596599999999999</v>
      </c>
      <c r="AW76">
        <f t="shared" ref="AW76:AW139" si="21">AV76*AQ76</f>
        <v>22.152384024</v>
      </c>
      <c r="AX76" s="9"/>
      <c r="AY76" s="22">
        <v>0.23239099999999999</v>
      </c>
      <c r="AZ76" s="22">
        <v>358.82900000000001</v>
      </c>
      <c r="BA76" s="22">
        <v>-1.6577100000000001E-2</v>
      </c>
      <c r="BB76" s="22">
        <v>66</v>
      </c>
      <c r="BC76" s="22">
        <v>0.23175000000000001</v>
      </c>
      <c r="BD76">
        <f t="shared" ref="BD76:BD139" si="22">-BA76/$F$2*1000</f>
        <v>16.577100000000002</v>
      </c>
      <c r="BE76">
        <f t="shared" ref="BE76:BE139" si="23">BD76*AY76</f>
        <v>3.8523688461000001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30.3977</v>
      </c>
      <c r="I77" s="22">
        <v>-1.5090900000000001E-2</v>
      </c>
      <c r="J77" s="22">
        <v>67</v>
      </c>
      <c r="K77" s="22">
        <v>1.5115400000000001</v>
      </c>
      <c r="L77">
        <f t="shared" si="12"/>
        <v>15.090900000000001</v>
      </c>
      <c r="M77">
        <f t="shared" si="13"/>
        <v>22.826495340000001</v>
      </c>
      <c r="N77" s="9"/>
      <c r="O77" s="22">
        <v>0.237427</v>
      </c>
      <c r="P77" s="22">
        <v>85.793599999999998</v>
      </c>
      <c r="Q77" s="22">
        <v>-1.7303499999999999E-2</v>
      </c>
      <c r="R77" s="22">
        <v>67</v>
      </c>
      <c r="S77" s="22">
        <v>0.236877</v>
      </c>
      <c r="T77">
        <f t="shared" si="14"/>
        <v>17.3035</v>
      </c>
      <c r="U77">
        <f t="shared" si="15"/>
        <v>4.1083180944999995</v>
      </c>
      <c r="X77" s="9"/>
      <c r="Y77" s="22">
        <v>1.5125999999999999</v>
      </c>
      <c r="Z77" s="22">
        <v>147.751</v>
      </c>
      <c r="AA77" s="22">
        <v>-1.4987199999999999E-2</v>
      </c>
      <c r="AB77" s="22">
        <v>67</v>
      </c>
      <c r="AC77" s="22">
        <v>1.5115400000000001</v>
      </c>
      <c r="AD77">
        <f t="shared" si="16"/>
        <v>14.9872</v>
      </c>
      <c r="AE77">
        <f t="shared" si="17"/>
        <v>22.669638719999998</v>
      </c>
      <c r="AF77" s="9"/>
      <c r="AG77" s="22">
        <v>0.237427</v>
      </c>
      <c r="AH77" s="22">
        <v>227.28299999999999</v>
      </c>
      <c r="AI77" s="22">
        <v>-1.6815199999999999E-2</v>
      </c>
      <c r="AJ77" s="22">
        <v>67</v>
      </c>
      <c r="AK77" s="22">
        <v>0.23690800000000001</v>
      </c>
      <c r="AL77">
        <f t="shared" si="18"/>
        <v>16.815199999999997</v>
      </c>
      <c r="AM77">
        <f t="shared" si="19"/>
        <v>3.9923824903999994</v>
      </c>
      <c r="AP77" s="9"/>
      <c r="AQ77" s="22">
        <v>1.5125999999999999</v>
      </c>
      <c r="AR77" s="22">
        <v>279.7</v>
      </c>
      <c r="AS77" s="22">
        <v>-1.4627100000000001E-2</v>
      </c>
      <c r="AT77" s="22">
        <v>67</v>
      </c>
      <c r="AU77" s="22">
        <v>1.5121500000000001</v>
      </c>
      <c r="AV77">
        <f t="shared" si="20"/>
        <v>14.6271</v>
      </c>
      <c r="AW77">
        <f t="shared" si="21"/>
        <v>22.124951459999998</v>
      </c>
      <c r="AX77" s="9"/>
      <c r="AY77" s="22">
        <v>0.237427</v>
      </c>
      <c r="AZ77" s="22">
        <v>358.93</v>
      </c>
      <c r="BA77" s="22">
        <v>-1.6616800000000001E-2</v>
      </c>
      <c r="BB77" s="22">
        <v>67</v>
      </c>
      <c r="BC77" s="22">
        <v>0.23690800000000001</v>
      </c>
      <c r="BD77">
        <f t="shared" si="22"/>
        <v>16.616800000000001</v>
      </c>
      <c r="BE77">
        <f t="shared" si="23"/>
        <v>3.9452769736000004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30.4984</v>
      </c>
      <c r="I78" s="22">
        <v>-1.51276E-2</v>
      </c>
      <c r="J78" s="22">
        <v>68</v>
      </c>
      <c r="K78" s="22">
        <v>1.5069600000000001</v>
      </c>
      <c r="L78">
        <f t="shared" si="12"/>
        <v>15.127599999999999</v>
      </c>
      <c r="M78">
        <f t="shared" si="13"/>
        <v>22.805915932000001</v>
      </c>
      <c r="N78" s="9"/>
      <c r="O78" s="22">
        <v>0.24246200000000001</v>
      </c>
      <c r="P78" s="22">
        <v>85.894300000000001</v>
      </c>
      <c r="Q78" s="22">
        <v>-1.72882E-2</v>
      </c>
      <c r="R78" s="22">
        <v>68</v>
      </c>
      <c r="S78" s="22">
        <v>0.24197399999999999</v>
      </c>
      <c r="T78">
        <f t="shared" si="14"/>
        <v>17.2882</v>
      </c>
      <c r="U78">
        <f t="shared" si="15"/>
        <v>4.1917315484</v>
      </c>
      <c r="X78" s="9"/>
      <c r="Y78" s="22">
        <v>1.5075700000000001</v>
      </c>
      <c r="Z78" s="22">
        <v>147.851</v>
      </c>
      <c r="AA78" s="22">
        <v>-1.50513E-2</v>
      </c>
      <c r="AB78" s="22">
        <v>68</v>
      </c>
      <c r="AC78" s="22">
        <v>1.50665</v>
      </c>
      <c r="AD78">
        <f t="shared" si="16"/>
        <v>15.051299999999999</v>
      </c>
      <c r="AE78">
        <f t="shared" si="17"/>
        <v>22.690888341000001</v>
      </c>
      <c r="AF78" s="9"/>
      <c r="AG78" s="22">
        <v>0.24246200000000001</v>
      </c>
      <c r="AH78" s="22">
        <v>227.38399999999999</v>
      </c>
      <c r="AI78" s="22">
        <v>-1.68243E-2</v>
      </c>
      <c r="AJ78" s="22">
        <v>68</v>
      </c>
      <c r="AK78" s="22">
        <v>0.24191299999999999</v>
      </c>
      <c r="AL78">
        <f t="shared" si="18"/>
        <v>16.824300000000001</v>
      </c>
      <c r="AM78">
        <f t="shared" si="19"/>
        <v>4.0792534266000002</v>
      </c>
      <c r="AP78" s="9"/>
      <c r="AQ78" s="22">
        <v>1.5075700000000001</v>
      </c>
      <c r="AR78" s="22">
        <v>279.8</v>
      </c>
      <c r="AS78" s="22">
        <v>-1.47064E-2</v>
      </c>
      <c r="AT78" s="22">
        <v>68</v>
      </c>
      <c r="AU78" s="22">
        <v>1.5075700000000001</v>
      </c>
      <c r="AV78">
        <f t="shared" si="20"/>
        <v>14.7064</v>
      </c>
      <c r="AW78">
        <f t="shared" si="21"/>
        <v>22.170927448</v>
      </c>
      <c r="AX78" s="9"/>
      <c r="AY78" s="22">
        <v>0.24246200000000001</v>
      </c>
      <c r="AZ78" s="22">
        <v>359.03100000000001</v>
      </c>
      <c r="BA78" s="22">
        <v>-1.6574100000000001E-2</v>
      </c>
      <c r="BB78" s="22">
        <v>68</v>
      </c>
      <c r="BC78" s="22">
        <v>0.24188200000000001</v>
      </c>
      <c r="BD78">
        <f t="shared" si="22"/>
        <v>16.574100000000001</v>
      </c>
      <c r="BE78">
        <f t="shared" si="23"/>
        <v>4.0185894342000008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30.5992</v>
      </c>
      <c r="I79" s="22">
        <v>-1.52161E-2</v>
      </c>
      <c r="J79" s="22">
        <v>69</v>
      </c>
      <c r="K79" s="22">
        <v>1.5020800000000001</v>
      </c>
      <c r="L79">
        <f t="shared" si="12"/>
        <v>15.216099999999999</v>
      </c>
      <c r="M79">
        <f t="shared" si="13"/>
        <v>22.862646732999998</v>
      </c>
      <c r="N79" s="9"/>
      <c r="O79" s="22">
        <v>0.247498</v>
      </c>
      <c r="P79" s="22">
        <v>85.995000000000005</v>
      </c>
      <c r="Q79" s="22">
        <v>-1.73004E-2</v>
      </c>
      <c r="R79" s="22">
        <v>69</v>
      </c>
      <c r="S79" s="22">
        <v>0.24704000000000001</v>
      </c>
      <c r="T79">
        <f t="shared" si="14"/>
        <v>17.3004</v>
      </c>
      <c r="U79">
        <f t="shared" si="15"/>
        <v>4.2818143992</v>
      </c>
      <c r="X79" s="9"/>
      <c r="Y79" s="22">
        <v>1.5025299999999999</v>
      </c>
      <c r="Z79" s="22">
        <v>147.952</v>
      </c>
      <c r="AA79" s="22">
        <v>-1.5109300000000001E-2</v>
      </c>
      <c r="AB79" s="22">
        <v>69</v>
      </c>
      <c r="AC79" s="22">
        <v>1.50177</v>
      </c>
      <c r="AD79">
        <f t="shared" si="16"/>
        <v>15.109300000000001</v>
      </c>
      <c r="AE79">
        <f t="shared" si="17"/>
        <v>22.702176528999999</v>
      </c>
      <c r="AF79" s="9"/>
      <c r="AG79" s="22">
        <v>0.247498</v>
      </c>
      <c r="AH79" s="22">
        <v>227.48400000000001</v>
      </c>
      <c r="AI79" s="22">
        <v>-1.68243E-2</v>
      </c>
      <c r="AJ79" s="22">
        <v>69</v>
      </c>
      <c r="AK79" s="22">
        <v>0.246948</v>
      </c>
      <c r="AL79">
        <f t="shared" si="18"/>
        <v>16.824300000000001</v>
      </c>
      <c r="AM79">
        <f t="shared" si="19"/>
        <v>4.1639806014000005</v>
      </c>
      <c r="AP79" s="9"/>
      <c r="AQ79" s="22">
        <v>1.5025299999999999</v>
      </c>
      <c r="AR79" s="22">
        <v>279.90100000000001</v>
      </c>
      <c r="AS79" s="22">
        <v>-1.4770500000000001E-2</v>
      </c>
      <c r="AT79" s="22">
        <v>69</v>
      </c>
      <c r="AU79" s="22">
        <v>1.50146</v>
      </c>
      <c r="AV79">
        <f t="shared" si="20"/>
        <v>14.7705</v>
      </c>
      <c r="AW79">
        <f t="shared" si="21"/>
        <v>22.193119364999998</v>
      </c>
      <c r="AX79" s="9"/>
      <c r="AY79" s="22">
        <v>0.247498</v>
      </c>
      <c r="AZ79" s="22">
        <v>359.13099999999997</v>
      </c>
      <c r="BA79" s="22">
        <v>-1.6583299999999999E-2</v>
      </c>
      <c r="BB79" s="22">
        <v>69</v>
      </c>
      <c r="BC79" s="22">
        <v>0.246979</v>
      </c>
      <c r="BD79">
        <f t="shared" si="22"/>
        <v>16.583299999999998</v>
      </c>
      <c r="BE79">
        <f t="shared" si="23"/>
        <v>4.104333583399999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30.6999</v>
      </c>
      <c r="I80" s="22">
        <v>-1.53198E-2</v>
      </c>
      <c r="J80" s="22">
        <v>70</v>
      </c>
      <c r="K80" s="22">
        <v>1.4968900000000001</v>
      </c>
      <c r="L80">
        <f t="shared" si="12"/>
        <v>15.319799999999999</v>
      </c>
      <c r="M80">
        <f t="shared" si="13"/>
        <v>22.9414005</v>
      </c>
      <c r="N80" s="9"/>
      <c r="O80" s="22">
        <v>0.25253300000000001</v>
      </c>
      <c r="P80" s="22">
        <v>86.095699999999994</v>
      </c>
      <c r="Q80" s="22">
        <v>-1.7309600000000001E-2</v>
      </c>
      <c r="R80" s="22">
        <v>70</v>
      </c>
      <c r="S80" s="22">
        <v>0.25195299999999998</v>
      </c>
      <c r="T80">
        <f t="shared" si="14"/>
        <v>17.3096</v>
      </c>
      <c r="U80">
        <f t="shared" si="15"/>
        <v>4.3712452168000002</v>
      </c>
      <c r="X80" s="9"/>
      <c r="Y80" s="22">
        <v>1.4975000000000001</v>
      </c>
      <c r="Z80" s="22">
        <v>148.053</v>
      </c>
      <c r="AA80" s="22">
        <v>-1.51489E-2</v>
      </c>
      <c r="AB80" s="22">
        <v>70</v>
      </c>
      <c r="AC80" s="22">
        <v>1.4968900000000001</v>
      </c>
      <c r="AD80">
        <f t="shared" si="16"/>
        <v>15.148899999999999</v>
      </c>
      <c r="AE80">
        <f t="shared" si="17"/>
        <v>22.68547775</v>
      </c>
      <c r="AF80" s="9"/>
      <c r="AG80" s="22">
        <v>0.25253300000000001</v>
      </c>
      <c r="AH80" s="22">
        <v>227.58500000000001</v>
      </c>
      <c r="AI80" s="22">
        <v>-1.68091E-2</v>
      </c>
      <c r="AJ80" s="22">
        <v>70</v>
      </c>
      <c r="AK80" s="22">
        <v>0.25195299999999998</v>
      </c>
      <c r="AL80">
        <f t="shared" si="18"/>
        <v>16.809100000000001</v>
      </c>
      <c r="AM80">
        <f t="shared" si="19"/>
        <v>4.2448524503000007</v>
      </c>
      <c r="AP80" s="9"/>
      <c r="AQ80" s="22">
        <v>1.4975000000000001</v>
      </c>
      <c r="AR80" s="22">
        <v>280.00200000000001</v>
      </c>
      <c r="AS80" s="22">
        <v>-1.4822399999999999E-2</v>
      </c>
      <c r="AT80" s="22">
        <v>70</v>
      </c>
      <c r="AU80" s="22">
        <v>1.49719</v>
      </c>
      <c r="AV80">
        <f t="shared" si="20"/>
        <v>14.8224</v>
      </c>
      <c r="AW80">
        <f t="shared" si="21"/>
        <v>22.196543999999999</v>
      </c>
      <c r="AX80" s="9"/>
      <c r="AY80" s="22">
        <v>0.25253300000000001</v>
      </c>
      <c r="AZ80" s="22">
        <v>359.23200000000003</v>
      </c>
      <c r="BA80" s="22">
        <v>-1.6629000000000001E-2</v>
      </c>
      <c r="BB80" s="22">
        <v>70</v>
      </c>
      <c r="BC80" s="22">
        <v>0.25195299999999998</v>
      </c>
      <c r="BD80">
        <f t="shared" si="22"/>
        <v>16.629000000000001</v>
      </c>
      <c r="BE80">
        <f t="shared" si="23"/>
        <v>4.1993712570000001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30.800599999999999</v>
      </c>
      <c r="I81" s="22">
        <v>-1.53778E-2</v>
      </c>
      <c r="J81" s="22">
        <v>71</v>
      </c>
      <c r="K81" s="22">
        <v>1.492</v>
      </c>
      <c r="L81">
        <f t="shared" si="12"/>
        <v>15.377800000000001</v>
      </c>
      <c r="M81">
        <f t="shared" si="13"/>
        <v>22.950751388</v>
      </c>
      <c r="N81" s="9"/>
      <c r="O81" s="22">
        <v>0.25756800000000002</v>
      </c>
      <c r="P81" s="22">
        <v>86.196399999999997</v>
      </c>
      <c r="Q81" s="22">
        <v>-1.73157E-2</v>
      </c>
      <c r="R81" s="22">
        <v>71</v>
      </c>
      <c r="S81" s="22">
        <v>0.25680500000000001</v>
      </c>
      <c r="T81">
        <f t="shared" si="14"/>
        <v>17.3157</v>
      </c>
      <c r="U81">
        <f t="shared" si="15"/>
        <v>4.4599702176000005</v>
      </c>
      <c r="X81" s="9"/>
      <c r="Y81" s="22">
        <v>1.4924599999999999</v>
      </c>
      <c r="Z81" s="22">
        <v>148.15299999999999</v>
      </c>
      <c r="AA81" s="22">
        <v>-1.51947E-2</v>
      </c>
      <c r="AB81" s="22">
        <v>71</v>
      </c>
      <c r="AC81" s="22">
        <v>1.492</v>
      </c>
      <c r="AD81">
        <f t="shared" si="16"/>
        <v>15.194700000000001</v>
      </c>
      <c r="AE81">
        <f t="shared" si="17"/>
        <v>22.677481962000002</v>
      </c>
      <c r="AF81" s="9"/>
      <c r="AG81" s="22">
        <v>0.25756800000000002</v>
      </c>
      <c r="AH81" s="22">
        <v>227.68600000000001</v>
      </c>
      <c r="AI81" s="22">
        <v>-1.6854899999999999E-2</v>
      </c>
      <c r="AJ81" s="22">
        <v>71</v>
      </c>
      <c r="AK81" s="22">
        <v>0.25698900000000002</v>
      </c>
      <c r="AL81">
        <f t="shared" si="18"/>
        <v>16.854900000000001</v>
      </c>
      <c r="AM81">
        <f t="shared" si="19"/>
        <v>4.3412828832000008</v>
      </c>
      <c r="AP81" s="9"/>
      <c r="AQ81" s="22">
        <v>1.4924599999999999</v>
      </c>
      <c r="AR81" s="22">
        <v>280.10199999999998</v>
      </c>
      <c r="AS81" s="22">
        <v>-1.4913900000000001E-2</v>
      </c>
      <c r="AT81" s="22">
        <v>71</v>
      </c>
      <c r="AU81" s="22">
        <v>1.49139</v>
      </c>
      <c r="AV81">
        <f t="shared" si="20"/>
        <v>14.9139</v>
      </c>
      <c r="AW81">
        <f t="shared" si="21"/>
        <v>22.258399193999999</v>
      </c>
      <c r="AX81" s="9"/>
      <c r="AY81" s="22">
        <v>0.25756800000000002</v>
      </c>
      <c r="AZ81" s="22">
        <v>359.33300000000003</v>
      </c>
      <c r="BA81" s="22">
        <v>-1.6625999999999998E-2</v>
      </c>
      <c r="BB81" s="22">
        <v>71</v>
      </c>
      <c r="BC81" s="22">
        <v>0.25698900000000002</v>
      </c>
      <c r="BD81">
        <f t="shared" si="22"/>
        <v>16.625999999999998</v>
      </c>
      <c r="BE81">
        <f t="shared" si="23"/>
        <v>4.2823255680000001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30.901299999999999</v>
      </c>
      <c r="I82" s="22">
        <v>-1.54266E-2</v>
      </c>
      <c r="J82" s="22">
        <v>72</v>
      </c>
      <c r="K82" s="22">
        <v>1.48651</v>
      </c>
      <c r="L82">
        <f t="shared" si="12"/>
        <v>15.426600000000001</v>
      </c>
      <c r="M82">
        <f t="shared" si="13"/>
        <v>22.945987638000002</v>
      </c>
      <c r="N82" s="9"/>
      <c r="O82" s="22">
        <v>0.262604</v>
      </c>
      <c r="P82" s="22">
        <v>86.2971</v>
      </c>
      <c r="Q82" s="22">
        <v>-1.7312600000000001E-2</v>
      </c>
      <c r="R82" s="22">
        <v>72</v>
      </c>
      <c r="S82" s="22">
        <v>0.26205400000000001</v>
      </c>
      <c r="T82">
        <f t="shared" si="14"/>
        <v>17.3126</v>
      </c>
      <c r="U82">
        <f t="shared" si="15"/>
        <v>4.5463580103999996</v>
      </c>
      <c r="X82" s="9"/>
      <c r="Y82" s="22">
        <v>1.48743</v>
      </c>
      <c r="Z82" s="22">
        <v>148.25399999999999</v>
      </c>
      <c r="AA82" s="22">
        <v>-1.5261800000000001E-2</v>
      </c>
      <c r="AB82" s="22">
        <v>72</v>
      </c>
      <c r="AC82" s="22">
        <v>1.48712</v>
      </c>
      <c r="AD82">
        <f t="shared" si="16"/>
        <v>15.261800000000001</v>
      </c>
      <c r="AE82">
        <f t="shared" si="17"/>
        <v>22.700859174000001</v>
      </c>
      <c r="AF82" s="9"/>
      <c r="AG82" s="22">
        <v>0.262604</v>
      </c>
      <c r="AH82" s="22">
        <v>227.786</v>
      </c>
      <c r="AI82" s="22">
        <v>-1.68396E-2</v>
      </c>
      <c r="AJ82" s="22">
        <v>72</v>
      </c>
      <c r="AK82" s="22">
        <v>0.26199299999999998</v>
      </c>
      <c r="AL82">
        <f t="shared" si="18"/>
        <v>16.839600000000001</v>
      </c>
      <c r="AM82">
        <f t="shared" si="19"/>
        <v>4.4221463184000003</v>
      </c>
      <c r="AP82" s="9"/>
      <c r="AQ82" s="22">
        <v>1.48743</v>
      </c>
      <c r="AR82" s="22">
        <v>280.20299999999997</v>
      </c>
      <c r="AS82" s="22">
        <v>-1.49567E-2</v>
      </c>
      <c r="AT82" s="22">
        <v>72</v>
      </c>
      <c r="AU82" s="22">
        <v>1.48621</v>
      </c>
      <c r="AV82">
        <f t="shared" si="20"/>
        <v>14.9567</v>
      </c>
      <c r="AW82">
        <f t="shared" si="21"/>
        <v>22.247044281000001</v>
      </c>
      <c r="AX82" s="9"/>
      <c r="AY82" s="22">
        <v>0.262604</v>
      </c>
      <c r="AZ82" s="22">
        <v>359.43299999999999</v>
      </c>
      <c r="BA82" s="22">
        <v>-1.65527E-2</v>
      </c>
      <c r="BB82" s="22">
        <v>72</v>
      </c>
      <c r="BC82" s="22">
        <v>0.26205400000000001</v>
      </c>
      <c r="BD82">
        <f t="shared" si="22"/>
        <v>16.552700000000002</v>
      </c>
      <c r="BE82">
        <f t="shared" si="23"/>
        <v>4.3468052308000003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31.001999999999999</v>
      </c>
      <c r="I83" s="22">
        <v>-1.5512099999999999E-2</v>
      </c>
      <c r="J83" s="22">
        <v>73</v>
      </c>
      <c r="K83" s="22">
        <v>1.48193</v>
      </c>
      <c r="L83">
        <f t="shared" si="12"/>
        <v>15.512099999999998</v>
      </c>
      <c r="M83">
        <f t="shared" si="13"/>
        <v>22.994981919000001</v>
      </c>
      <c r="N83" s="9"/>
      <c r="O83" s="22">
        <v>0.26763900000000002</v>
      </c>
      <c r="P83" s="22">
        <v>86.397800000000004</v>
      </c>
      <c r="Q83" s="22">
        <v>-1.7294299999999999E-2</v>
      </c>
      <c r="R83" s="22">
        <v>73</v>
      </c>
      <c r="S83" s="22">
        <v>0.26702900000000002</v>
      </c>
      <c r="T83">
        <f t="shared" si="14"/>
        <v>17.2943</v>
      </c>
      <c r="U83">
        <f t="shared" si="15"/>
        <v>4.6286291576999998</v>
      </c>
      <c r="X83" s="9"/>
      <c r="Y83" s="22">
        <v>1.4823900000000001</v>
      </c>
      <c r="Z83" s="22">
        <v>148.35499999999999</v>
      </c>
      <c r="AA83" s="22">
        <v>-1.53229E-2</v>
      </c>
      <c r="AB83" s="22">
        <v>73</v>
      </c>
      <c r="AC83" s="22">
        <v>1.48132</v>
      </c>
      <c r="AD83">
        <f t="shared" si="16"/>
        <v>15.322900000000001</v>
      </c>
      <c r="AE83">
        <f t="shared" si="17"/>
        <v>22.714513731000004</v>
      </c>
      <c r="AF83" s="9"/>
      <c r="AG83" s="22">
        <v>0.26763900000000002</v>
      </c>
      <c r="AH83" s="22">
        <v>227.887</v>
      </c>
      <c r="AI83" s="22">
        <v>-1.6827399999999999E-2</v>
      </c>
      <c r="AJ83" s="22">
        <v>73</v>
      </c>
      <c r="AK83" s="22">
        <v>0.26696799999999998</v>
      </c>
      <c r="AL83">
        <f t="shared" si="18"/>
        <v>16.827400000000001</v>
      </c>
      <c r="AM83">
        <f t="shared" si="19"/>
        <v>4.5036685086000006</v>
      </c>
      <c r="AP83" s="9"/>
      <c r="AQ83" s="22">
        <v>1.4823900000000001</v>
      </c>
      <c r="AR83" s="22">
        <v>280.30399999999997</v>
      </c>
      <c r="AS83" s="22">
        <v>-1.4996300000000001E-2</v>
      </c>
      <c r="AT83" s="22">
        <v>73</v>
      </c>
      <c r="AU83" s="22">
        <v>1.48102</v>
      </c>
      <c r="AV83">
        <f t="shared" si="20"/>
        <v>14.9963</v>
      </c>
      <c r="AW83">
        <f t="shared" si="21"/>
        <v>22.230365157000001</v>
      </c>
      <c r="AX83" s="9"/>
      <c r="AY83" s="22">
        <v>0.26763900000000002</v>
      </c>
      <c r="AZ83" s="22">
        <v>359.53399999999999</v>
      </c>
      <c r="BA83" s="22">
        <v>-1.6583299999999999E-2</v>
      </c>
      <c r="BB83" s="22">
        <v>73</v>
      </c>
      <c r="BC83" s="22">
        <v>0.26702900000000002</v>
      </c>
      <c r="BD83">
        <f t="shared" si="22"/>
        <v>16.583299999999998</v>
      </c>
      <c r="BE83">
        <f t="shared" si="23"/>
        <v>4.4383378286999999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31.102699999999999</v>
      </c>
      <c r="I84" s="22">
        <v>-1.55426E-2</v>
      </c>
      <c r="J84" s="22">
        <v>74</v>
      </c>
      <c r="K84" s="22">
        <v>1.47675</v>
      </c>
      <c r="L84">
        <f t="shared" si="12"/>
        <v>15.5426</v>
      </c>
      <c r="M84">
        <f t="shared" si="13"/>
        <v>22.962015535999999</v>
      </c>
      <c r="N84" s="9"/>
      <c r="O84" s="22">
        <v>0.272675</v>
      </c>
      <c r="P84" s="22">
        <v>86.498500000000007</v>
      </c>
      <c r="Q84" s="22">
        <v>-1.7294299999999999E-2</v>
      </c>
      <c r="R84" s="22">
        <v>74</v>
      </c>
      <c r="S84" s="22">
        <v>0.272034</v>
      </c>
      <c r="T84">
        <f t="shared" si="14"/>
        <v>17.2943</v>
      </c>
      <c r="U84">
        <f t="shared" si="15"/>
        <v>4.7157232525000001</v>
      </c>
      <c r="X84" s="9"/>
      <c r="Y84" s="22">
        <v>1.47736</v>
      </c>
      <c r="Z84" s="22">
        <v>148.45599999999999</v>
      </c>
      <c r="AA84" s="22">
        <v>-1.53534E-2</v>
      </c>
      <c r="AB84" s="22">
        <v>74</v>
      </c>
      <c r="AC84" s="22">
        <v>1.47644</v>
      </c>
      <c r="AD84">
        <f t="shared" si="16"/>
        <v>15.353399999999999</v>
      </c>
      <c r="AE84">
        <f t="shared" si="17"/>
        <v>22.682499023999998</v>
      </c>
      <c r="AF84" s="9"/>
      <c r="AG84" s="22">
        <v>0.272675</v>
      </c>
      <c r="AH84" s="22">
        <v>227.988</v>
      </c>
      <c r="AI84" s="22">
        <v>-1.6821300000000001E-2</v>
      </c>
      <c r="AJ84" s="22">
        <v>74</v>
      </c>
      <c r="AK84" s="22">
        <v>0.27209499999999998</v>
      </c>
      <c r="AL84">
        <f t="shared" si="18"/>
        <v>16.821300000000001</v>
      </c>
      <c r="AM84">
        <f t="shared" si="19"/>
        <v>4.5867479775</v>
      </c>
      <c r="AP84" s="9"/>
      <c r="AQ84" s="22">
        <v>1.47736</v>
      </c>
      <c r="AR84" s="22">
        <v>280.40499999999997</v>
      </c>
      <c r="AS84" s="22">
        <v>-1.50726E-2</v>
      </c>
      <c r="AT84" s="22">
        <v>74</v>
      </c>
      <c r="AU84" s="22">
        <v>1.47675</v>
      </c>
      <c r="AV84">
        <f t="shared" si="20"/>
        <v>15.0726</v>
      </c>
      <c r="AW84">
        <f t="shared" si="21"/>
        <v>22.267656335999998</v>
      </c>
      <c r="AX84" s="9"/>
      <c r="AY84" s="22">
        <v>0.272675</v>
      </c>
      <c r="AZ84" s="22">
        <v>359.63499999999999</v>
      </c>
      <c r="BA84" s="22">
        <v>-1.65924E-2</v>
      </c>
      <c r="BB84" s="22">
        <v>74</v>
      </c>
      <c r="BC84" s="22">
        <v>0.27206399999999997</v>
      </c>
      <c r="BD84">
        <f t="shared" si="22"/>
        <v>16.592400000000001</v>
      </c>
      <c r="BE84">
        <f t="shared" si="23"/>
        <v>4.5243326700000006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31.203399999999998</v>
      </c>
      <c r="I85" s="22">
        <v>-1.5631099999999998E-2</v>
      </c>
      <c r="J85" s="22">
        <v>75</v>
      </c>
      <c r="K85" s="22">
        <v>1.4712499999999999</v>
      </c>
      <c r="L85">
        <f t="shared" si="12"/>
        <v>15.631099999999998</v>
      </c>
      <c r="M85">
        <f t="shared" si="13"/>
        <v>23.013981151999999</v>
      </c>
      <c r="N85" s="9"/>
      <c r="O85" s="22">
        <v>0.27771000000000001</v>
      </c>
      <c r="P85" s="22">
        <v>86.599299999999999</v>
      </c>
      <c r="Q85" s="22">
        <v>-1.7269900000000001E-2</v>
      </c>
      <c r="R85" s="22">
        <v>75</v>
      </c>
      <c r="S85" s="22">
        <v>0.27706900000000001</v>
      </c>
      <c r="T85">
        <f t="shared" si="14"/>
        <v>17.2699</v>
      </c>
      <c r="U85">
        <f t="shared" si="15"/>
        <v>4.7960239290000004</v>
      </c>
      <c r="X85" s="9"/>
      <c r="Y85" s="22">
        <v>1.4723200000000001</v>
      </c>
      <c r="Z85" s="22">
        <v>148.55600000000001</v>
      </c>
      <c r="AA85" s="22">
        <v>-1.5389999999999999E-2</v>
      </c>
      <c r="AB85" s="22">
        <v>75</v>
      </c>
      <c r="AC85" s="22">
        <v>1.4712499999999999</v>
      </c>
      <c r="AD85">
        <f t="shared" si="16"/>
        <v>15.389999999999999</v>
      </c>
      <c r="AE85">
        <f t="shared" si="17"/>
        <v>22.659004799999998</v>
      </c>
      <c r="AF85" s="9"/>
      <c r="AG85" s="22">
        <v>0.27771000000000001</v>
      </c>
      <c r="AH85" s="22">
        <v>228.089</v>
      </c>
      <c r="AI85" s="22">
        <v>-1.67999E-2</v>
      </c>
      <c r="AJ85" s="22">
        <v>75</v>
      </c>
      <c r="AK85" s="22">
        <v>0.27706900000000001</v>
      </c>
      <c r="AL85">
        <f t="shared" si="18"/>
        <v>16.799900000000001</v>
      </c>
      <c r="AM85">
        <f t="shared" si="19"/>
        <v>4.6655002290000001</v>
      </c>
      <c r="AP85" s="9"/>
      <c r="AQ85" s="22">
        <v>1.4723200000000001</v>
      </c>
      <c r="AR85" s="22">
        <v>280.505</v>
      </c>
      <c r="AS85" s="22">
        <v>-1.5124500000000001E-2</v>
      </c>
      <c r="AT85" s="22">
        <v>75</v>
      </c>
      <c r="AU85" s="22">
        <v>1.47156</v>
      </c>
      <c r="AV85">
        <f t="shared" si="20"/>
        <v>15.124500000000001</v>
      </c>
      <c r="AW85">
        <f t="shared" si="21"/>
        <v>22.268103840000002</v>
      </c>
      <c r="AX85" s="9"/>
      <c r="AY85" s="22">
        <v>0.27771000000000001</v>
      </c>
      <c r="AZ85" s="22">
        <v>359.73599999999999</v>
      </c>
      <c r="BA85" s="22">
        <v>-1.6577100000000001E-2</v>
      </c>
      <c r="BB85" s="22">
        <v>75</v>
      </c>
      <c r="BC85" s="22">
        <v>0.27710000000000001</v>
      </c>
      <c r="BD85">
        <f t="shared" si="22"/>
        <v>16.577100000000002</v>
      </c>
      <c r="BE85">
        <f t="shared" si="23"/>
        <v>4.6036264410000003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31.304099999999998</v>
      </c>
      <c r="I86" s="22">
        <v>-1.5615800000000001E-2</v>
      </c>
      <c r="J86" s="22">
        <v>76</v>
      </c>
      <c r="K86" s="22">
        <v>1.4666699999999999</v>
      </c>
      <c r="L86">
        <f t="shared" si="12"/>
        <v>15.6158</v>
      </c>
      <c r="M86">
        <f t="shared" si="13"/>
        <v>22.912907182000001</v>
      </c>
      <c r="N86" s="9"/>
      <c r="O86" s="22">
        <v>0.28274500000000002</v>
      </c>
      <c r="P86" s="22">
        <v>86.7</v>
      </c>
      <c r="Q86" s="22">
        <v>-1.72607E-2</v>
      </c>
      <c r="R86" s="22">
        <v>76</v>
      </c>
      <c r="S86" s="22">
        <v>0.282196</v>
      </c>
      <c r="T86">
        <f t="shared" si="14"/>
        <v>17.2607</v>
      </c>
      <c r="U86">
        <f t="shared" si="15"/>
        <v>4.8803766215</v>
      </c>
      <c r="X86" s="9"/>
      <c r="Y86" s="22">
        <v>1.46729</v>
      </c>
      <c r="Z86" s="22">
        <v>148.65700000000001</v>
      </c>
      <c r="AA86" s="22">
        <v>-1.54602E-2</v>
      </c>
      <c r="AB86" s="22">
        <v>76</v>
      </c>
      <c r="AC86" s="22">
        <v>1.4666699999999999</v>
      </c>
      <c r="AD86">
        <f t="shared" si="16"/>
        <v>15.4602</v>
      </c>
      <c r="AE86">
        <f t="shared" si="17"/>
        <v>22.684596857999999</v>
      </c>
      <c r="AF86" s="9"/>
      <c r="AG86" s="22">
        <v>0.28274500000000002</v>
      </c>
      <c r="AH86" s="22">
        <v>228.18899999999999</v>
      </c>
      <c r="AI86" s="22">
        <v>-1.6778600000000001E-2</v>
      </c>
      <c r="AJ86" s="22">
        <v>76</v>
      </c>
      <c r="AK86" s="22">
        <v>0.28210400000000002</v>
      </c>
      <c r="AL86">
        <f t="shared" si="18"/>
        <v>16.778600000000001</v>
      </c>
      <c r="AM86">
        <f t="shared" si="19"/>
        <v>4.7440652570000008</v>
      </c>
      <c r="AP86" s="9"/>
      <c r="AQ86" s="22">
        <v>1.46729</v>
      </c>
      <c r="AR86" s="22">
        <v>280.60599999999999</v>
      </c>
      <c r="AS86" s="22">
        <v>-1.51947E-2</v>
      </c>
      <c r="AT86" s="22">
        <v>76</v>
      </c>
      <c r="AU86" s="22">
        <v>1.46698</v>
      </c>
      <c r="AV86">
        <f t="shared" si="20"/>
        <v>15.194700000000001</v>
      </c>
      <c r="AW86">
        <f t="shared" si="21"/>
        <v>22.295031363</v>
      </c>
      <c r="AX86" s="9"/>
      <c r="AY86" s="22">
        <v>0.28274500000000002</v>
      </c>
      <c r="AZ86" s="22">
        <v>359.83600000000001</v>
      </c>
      <c r="BA86" s="22">
        <v>-1.6610699999999999E-2</v>
      </c>
      <c r="BB86" s="22">
        <v>76</v>
      </c>
      <c r="BC86" s="22">
        <v>0.282196</v>
      </c>
      <c r="BD86">
        <f t="shared" si="22"/>
        <v>16.610699999999998</v>
      </c>
      <c r="BE86">
        <f t="shared" si="23"/>
        <v>4.6965923714999995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31.404800000000002</v>
      </c>
      <c r="I87" s="22">
        <v>-1.5655499999999999E-2</v>
      </c>
      <c r="J87" s="22">
        <v>77</v>
      </c>
      <c r="K87" s="22">
        <v>1.4617899999999999</v>
      </c>
      <c r="L87">
        <f t="shared" si="12"/>
        <v>15.6555</v>
      </c>
      <c r="M87">
        <f t="shared" si="13"/>
        <v>22.892254874999999</v>
      </c>
      <c r="N87" s="9"/>
      <c r="O87" s="22">
        <v>0.28778100000000001</v>
      </c>
      <c r="P87" s="22">
        <v>86.800700000000006</v>
      </c>
      <c r="Q87" s="22">
        <v>-1.7266799999999999E-2</v>
      </c>
      <c r="R87" s="22">
        <v>77</v>
      </c>
      <c r="S87" s="22">
        <v>0.28716999999999998</v>
      </c>
      <c r="T87">
        <f t="shared" si="14"/>
        <v>17.2668</v>
      </c>
      <c r="U87">
        <f t="shared" si="15"/>
        <v>4.9690569708000005</v>
      </c>
      <c r="X87" s="9"/>
      <c r="Y87" s="22">
        <v>1.46225</v>
      </c>
      <c r="Z87" s="22">
        <v>148.75800000000001</v>
      </c>
      <c r="AA87" s="22">
        <v>-1.54907E-2</v>
      </c>
      <c r="AB87" s="22">
        <v>77</v>
      </c>
      <c r="AC87" s="22">
        <v>1.4617899999999999</v>
      </c>
      <c r="AD87">
        <f t="shared" si="16"/>
        <v>15.4907</v>
      </c>
      <c r="AE87">
        <f t="shared" si="17"/>
        <v>22.651276075000002</v>
      </c>
      <c r="AF87" s="9"/>
      <c r="AG87" s="22">
        <v>0.28778100000000001</v>
      </c>
      <c r="AH87" s="22">
        <v>228.29</v>
      </c>
      <c r="AI87" s="22">
        <v>-1.6787699999999999E-2</v>
      </c>
      <c r="AJ87" s="22">
        <v>77</v>
      </c>
      <c r="AK87" s="22">
        <v>0.28720099999999998</v>
      </c>
      <c r="AL87">
        <f t="shared" si="18"/>
        <v>16.787699999999997</v>
      </c>
      <c r="AM87">
        <f t="shared" si="19"/>
        <v>4.8311810936999997</v>
      </c>
      <c r="AP87" s="9"/>
      <c r="AQ87" s="22">
        <v>1.46225</v>
      </c>
      <c r="AR87" s="22">
        <v>280.70699999999999</v>
      </c>
      <c r="AS87" s="22">
        <v>-1.52344E-2</v>
      </c>
      <c r="AT87" s="22">
        <v>77</v>
      </c>
      <c r="AU87" s="22">
        <v>1.4617899999999999</v>
      </c>
      <c r="AV87">
        <f t="shared" si="20"/>
        <v>15.234400000000001</v>
      </c>
      <c r="AW87">
        <f t="shared" si="21"/>
        <v>22.276501400000001</v>
      </c>
      <c r="AX87" s="9"/>
      <c r="AY87" s="22">
        <v>0.28778100000000001</v>
      </c>
      <c r="AZ87" s="22">
        <v>359.93700000000001</v>
      </c>
      <c r="BA87" s="22">
        <v>-1.6616800000000001E-2</v>
      </c>
      <c r="BB87" s="22">
        <v>77</v>
      </c>
      <c r="BC87" s="22">
        <v>0.28720099999999998</v>
      </c>
      <c r="BD87">
        <f t="shared" si="22"/>
        <v>16.616800000000001</v>
      </c>
      <c r="BE87">
        <f t="shared" si="23"/>
        <v>4.7819993208000007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31.505500000000001</v>
      </c>
      <c r="I88" s="22">
        <v>-1.5695199999999999E-2</v>
      </c>
      <c r="J88" s="22">
        <v>78</v>
      </c>
      <c r="K88" s="22">
        <v>1.4562999999999999</v>
      </c>
      <c r="L88">
        <f t="shared" si="12"/>
        <v>15.6952</v>
      </c>
      <c r="M88">
        <f t="shared" si="13"/>
        <v>22.871202391999997</v>
      </c>
      <c r="N88" s="9"/>
      <c r="O88" s="22">
        <v>0.29281600000000002</v>
      </c>
      <c r="P88" s="22">
        <v>86.901399999999995</v>
      </c>
      <c r="Q88" s="22">
        <v>-1.7263799999999999E-2</v>
      </c>
      <c r="R88" s="22">
        <v>78</v>
      </c>
      <c r="S88" s="22">
        <v>0.292236</v>
      </c>
      <c r="T88">
        <f t="shared" si="14"/>
        <v>17.2638</v>
      </c>
      <c r="U88">
        <f t="shared" si="15"/>
        <v>5.0551168608000001</v>
      </c>
      <c r="X88" s="9"/>
      <c r="Y88" s="22">
        <v>1.4572099999999999</v>
      </c>
      <c r="Z88" s="22">
        <v>148.858</v>
      </c>
      <c r="AA88" s="22">
        <v>-1.5554800000000001E-2</v>
      </c>
      <c r="AB88" s="22">
        <v>78</v>
      </c>
      <c r="AC88" s="22">
        <v>1.4559899999999999</v>
      </c>
      <c r="AD88">
        <f t="shared" si="16"/>
        <v>15.5548</v>
      </c>
      <c r="AE88">
        <f t="shared" si="17"/>
        <v>22.666610107999997</v>
      </c>
      <c r="AF88" s="9"/>
      <c r="AG88" s="22">
        <v>0.29281600000000002</v>
      </c>
      <c r="AH88" s="22">
        <v>228.39099999999999</v>
      </c>
      <c r="AI88" s="22">
        <v>-1.67572E-2</v>
      </c>
      <c r="AJ88" s="22">
        <v>78</v>
      </c>
      <c r="AK88" s="22">
        <v>0.29217500000000002</v>
      </c>
      <c r="AL88">
        <f t="shared" si="18"/>
        <v>16.757200000000001</v>
      </c>
      <c r="AM88">
        <f t="shared" si="19"/>
        <v>4.9067762752000004</v>
      </c>
      <c r="AP88" s="9"/>
      <c r="AQ88" s="22">
        <v>1.4572099999999999</v>
      </c>
      <c r="AR88" s="22">
        <v>280.80700000000002</v>
      </c>
      <c r="AS88" s="22">
        <v>-1.5329000000000001E-2</v>
      </c>
      <c r="AT88" s="22">
        <v>78</v>
      </c>
      <c r="AU88" s="22">
        <v>1.4565999999999999</v>
      </c>
      <c r="AV88">
        <f t="shared" si="20"/>
        <v>15.329000000000001</v>
      </c>
      <c r="AW88">
        <f t="shared" si="21"/>
        <v>22.337572089999998</v>
      </c>
      <c r="AX88" s="9"/>
      <c r="AY88" s="22">
        <v>0.29281600000000002</v>
      </c>
      <c r="AZ88" s="22">
        <v>360.03800000000001</v>
      </c>
      <c r="BA88" s="22">
        <v>-1.6601600000000001E-2</v>
      </c>
      <c r="BB88" s="22">
        <v>78</v>
      </c>
      <c r="BC88" s="22">
        <v>0.29217500000000002</v>
      </c>
      <c r="BD88">
        <f t="shared" si="22"/>
        <v>16.601600000000001</v>
      </c>
      <c r="BE88">
        <f t="shared" si="23"/>
        <v>4.8612141056000011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31.606200000000001</v>
      </c>
      <c r="I89" s="22">
        <v>-1.5771500000000001E-2</v>
      </c>
      <c r="J89" s="22">
        <v>79</v>
      </c>
      <c r="K89" s="22">
        <v>1.4514199999999999</v>
      </c>
      <c r="L89">
        <f t="shared" si="12"/>
        <v>15.771500000000001</v>
      </c>
      <c r="M89">
        <f t="shared" si="13"/>
        <v>22.903056870000004</v>
      </c>
      <c r="N89" s="9"/>
      <c r="O89" s="22">
        <v>0.29785200000000001</v>
      </c>
      <c r="P89" s="22">
        <v>87.002099999999999</v>
      </c>
      <c r="Q89" s="22">
        <v>-1.7282100000000002E-2</v>
      </c>
      <c r="R89" s="22">
        <v>79</v>
      </c>
      <c r="S89" s="22">
        <v>0.29730200000000001</v>
      </c>
      <c r="T89">
        <f t="shared" si="14"/>
        <v>17.282100000000003</v>
      </c>
      <c r="U89">
        <f t="shared" si="15"/>
        <v>5.1475080492000007</v>
      </c>
      <c r="X89" s="9"/>
      <c r="Y89" s="22">
        <v>1.45218</v>
      </c>
      <c r="Z89" s="22">
        <v>148.959</v>
      </c>
      <c r="AA89" s="22">
        <v>-1.55975E-2</v>
      </c>
      <c r="AB89" s="22">
        <v>79</v>
      </c>
      <c r="AC89" s="22">
        <v>1.4514199999999999</v>
      </c>
      <c r="AD89">
        <f t="shared" si="16"/>
        <v>15.5975</v>
      </c>
      <c r="AE89">
        <f t="shared" si="17"/>
        <v>22.650377550000002</v>
      </c>
      <c r="AF89" s="9"/>
      <c r="AG89" s="22">
        <v>0.29785200000000001</v>
      </c>
      <c r="AH89" s="22">
        <v>228.49100000000001</v>
      </c>
      <c r="AI89" s="22">
        <v>-1.6760299999999999E-2</v>
      </c>
      <c r="AJ89" s="22">
        <v>79</v>
      </c>
      <c r="AK89" s="22">
        <v>0.29724099999999998</v>
      </c>
      <c r="AL89">
        <f t="shared" si="18"/>
        <v>16.760299999999997</v>
      </c>
      <c r="AM89">
        <f t="shared" si="19"/>
        <v>4.9920888755999995</v>
      </c>
      <c r="AP89" s="9"/>
      <c r="AQ89" s="22">
        <v>1.45218</v>
      </c>
      <c r="AR89" s="22">
        <v>280.90800000000002</v>
      </c>
      <c r="AS89" s="22">
        <v>-1.5362499999999999E-2</v>
      </c>
      <c r="AT89" s="22">
        <v>79</v>
      </c>
      <c r="AU89" s="22">
        <v>1.4514199999999999</v>
      </c>
      <c r="AV89">
        <f t="shared" si="20"/>
        <v>15.362499999999999</v>
      </c>
      <c r="AW89">
        <f t="shared" si="21"/>
        <v>22.309115249999998</v>
      </c>
      <c r="AX89" s="9"/>
      <c r="AY89" s="22">
        <v>0.29785200000000001</v>
      </c>
      <c r="AZ89" s="22">
        <v>360.13799999999998</v>
      </c>
      <c r="BA89" s="22">
        <v>-1.6595499999999999E-2</v>
      </c>
      <c r="BB89" s="22">
        <v>79</v>
      </c>
      <c r="BC89" s="22">
        <v>0.29733300000000001</v>
      </c>
      <c r="BD89">
        <f t="shared" si="22"/>
        <v>16.595499999999998</v>
      </c>
      <c r="BE89">
        <f t="shared" si="23"/>
        <v>4.9430028659999996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31.706900000000001</v>
      </c>
      <c r="I90" s="22">
        <v>-1.58142E-2</v>
      </c>
      <c r="J90" s="22">
        <v>80</v>
      </c>
      <c r="K90" s="22">
        <v>1.4471400000000001</v>
      </c>
      <c r="L90">
        <f t="shared" si="12"/>
        <v>15.8142</v>
      </c>
      <c r="M90">
        <f t="shared" si="13"/>
        <v>22.885361388</v>
      </c>
      <c r="N90" s="9"/>
      <c r="O90" s="22">
        <v>0.30288700000000002</v>
      </c>
      <c r="P90" s="22">
        <v>87.102800000000002</v>
      </c>
      <c r="Q90" s="22">
        <v>-1.7254599999999998E-2</v>
      </c>
      <c r="R90" s="22">
        <v>80</v>
      </c>
      <c r="S90" s="22">
        <v>0.302338</v>
      </c>
      <c r="T90">
        <f t="shared" si="14"/>
        <v>17.2546</v>
      </c>
      <c r="U90">
        <f t="shared" si="15"/>
        <v>5.2261940302000003</v>
      </c>
      <c r="X90" s="9"/>
      <c r="Y90" s="22">
        <v>1.4471400000000001</v>
      </c>
      <c r="Z90" s="22">
        <v>149.06</v>
      </c>
      <c r="AA90" s="22">
        <v>-1.5621899999999999E-2</v>
      </c>
      <c r="AB90" s="22">
        <v>80</v>
      </c>
      <c r="AC90" s="22">
        <v>1.4468399999999999</v>
      </c>
      <c r="AD90">
        <f t="shared" si="16"/>
        <v>15.6219</v>
      </c>
      <c r="AE90">
        <f t="shared" si="17"/>
        <v>22.607076366000001</v>
      </c>
      <c r="AF90" s="9"/>
      <c r="AG90" s="22">
        <v>0.30288700000000002</v>
      </c>
      <c r="AH90" s="22">
        <v>228.59200000000001</v>
      </c>
      <c r="AI90" s="22">
        <v>-1.6775499999999999E-2</v>
      </c>
      <c r="AJ90" s="22">
        <v>80</v>
      </c>
      <c r="AK90" s="22">
        <v>0.30224600000000001</v>
      </c>
      <c r="AL90">
        <f t="shared" si="18"/>
        <v>16.775499999999997</v>
      </c>
      <c r="AM90">
        <f t="shared" si="19"/>
        <v>5.0810808684999991</v>
      </c>
      <c r="AP90" s="9"/>
      <c r="AQ90" s="22">
        <v>1.4471400000000001</v>
      </c>
      <c r="AR90" s="22">
        <v>281.00900000000001</v>
      </c>
      <c r="AS90" s="22">
        <v>-1.5417500000000001E-2</v>
      </c>
      <c r="AT90" s="22">
        <v>80</v>
      </c>
      <c r="AU90" s="22">
        <v>1.4471400000000001</v>
      </c>
      <c r="AV90">
        <f t="shared" si="20"/>
        <v>15.4175</v>
      </c>
      <c r="AW90">
        <f t="shared" si="21"/>
        <v>22.31128095</v>
      </c>
      <c r="AX90" s="9"/>
      <c r="AY90" s="22">
        <v>0.30288700000000002</v>
      </c>
      <c r="AZ90" s="22">
        <v>360.23899999999998</v>
      </c>
      <c r="BA90" s="22">
        <v>-1.6558799999999999E-2</v>
      </c>
      <c r="BB90" s="22">
        <v>80</v>
      </c>
      <c r="BC90" s="22">
        <v>0.30227700000000002</v>
      </c>
      <c r="BD90">
        <f t="shared" si="22"/>
        <v>16.558799999999998</v>
      </c>
      <c r="BE90">
        <f t="shared" si="23"/>
        <v>5.0154452555999995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31.807600000000001</v>
      </c>
      <c r="I91" s="22">
        <v>-1.58447E-2</v>
      </c>
      <c r="J91" s="22">
        <v>81</v>
      </c>
      <c r="K91" s="22">
        <v>1.4413499999999999</v>
      </c>
      <c r="L91">
        <f t="shared" si="12"/>
        <v>15.8447</v>
      </c>
      <c r="M91">
        <f t="shared" si="13"/>
        <v>22.849800317</v>
      </c>
      <c r="N91" s="9"/>
      <c r="O91" s="22">
        <v>0.30792199999999997</v>
      </c>
      <c r="P91" s="22">
        <v>87.203500000000005</v>
      </c>
      <c r="Q91" s="22">
        <v>-1.7254599999999998E-2</v>
      </c>
      <c r="R91" s="22">
        <v>81</v>
      </c>
      <c r="S91" s="22">
        <v>0.30734299999999998</v>
      </c>
      <c r="T91">
        <f t="shared" si="14"/>
        <v>17.2546</v>
      </c>
      <c r="U91">
        <f t="shared" si="15"/>
        <v>5.3130709411999995</v>
      </c>
      <c r="X91" s="9"/>
      <c r="Y91" s="22">
        <v>1.44211</v>
      </c>
      <c r="Z91" s="22">
        <v>149.16</v>
      </c>
      <c r="AA91" s="22">
        <v>-1.5695199999999999E-2</v>
      </c>
      <c r="AB91" s="22">
        <v>81</v>
      </c>
      <c r="AC91" s="22">
        <v>1.4413499999999999</v>
      </c>
      <c r="AD91">
        <f t="shared" si="16"/>
        <v>15.6952</v>
      </c>
      <c r="AE91">
        <f t="shared" si="17"/>
        <v>22.634204872000002</v>
      </c>
      <c r="AF91" s="9"/>
      <c r="AG91" s="22">
        <v>0.30792199999999997</v>
      </c>
      <c r="AH91" s="22">
        <v>228.69300000000001</v>
      </c>
      <c r="AI91" s="22">
        <v>-1.67572E-2</v>
      </c>
      <c r="AJ91" s="22">
        <v>81</v>
      </c>
      <c r="AK91" s="22">
        <v>0.30731199999999997</v>
      </c>
      <c r="AL91">
        <f t="shared" si="18"/>
        <v>16.757200000000001</v>
      </c>
      <c r="AM91">
        <f t="shared" si="19"/>
        <v>5.1599105384000001</v>
      </c>
      <c r="AP91" s="9"/>
      <c r="AQ91" s="22">
        <v>1.44211</v>
      </c>
      <c r="AR91" s="22">
        <v>281.11</v>
      </c>
      <c r="AS91" s="22">
        <v>-1.5448E-2</v>
      </c>
      <c r="AT91" s="22">
        <v>81</v>
      </c>
      <c r="AU91" s="22">
        <v>1.4422600000000001</v>
      </c>
      <c r="AV91">
        <f t="shared" si="20"/>
        <v>15.448</v>
      </c>
      <c r="AW91">
        <f t="shared" si="21"/>
        <v>22.277715279999999</v>
      </c>
      <c r="AX91" s="9"/>
      <c r="AY91" s="22">
        <v>0.30792199999999997</v>
      </c>
      <c r="AZ91" s="22">
        <v>360.34</v>
      </c>
      <c r="BA91" s="22">
        <v>-1.6610699999999999E-2</v>
      </c>
      <c r="BB91" s="22">
        <v>81</v>
      </c>
      <c r="BC91" s="22">
        <v>0.30737300000000001</v>
      </c>
      <c r="BD91">
        <f t="shared" si="22"/>
        <v>16.610699999999998</v>
      </c>
      <c r="BE91">
        <f t="shared" si="23"/>
        <v>5.1147999653999987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31.9084</v>
      </c>
      <c r="I92" s="22">
        <v>-1.5893600000000001E-2</v>
      </c>
      <c r="J92" s="22">
        <v>82</v>
      </c>
      <c r="K92" s="22">
        <v>1.4361600000000001</v>
      </c>
      <c r="L92">
        <f t="shared" si="12"/>
        <v>15.893600000000001</v>
      </c>
      <c r="M92">
        <f t="shared" si="13"/>
        <v>22.840215752000002</v>
      </c>
      <c r="N92" s="9"/>
      <c r="O92" s="22">
        <v>0.31295800000000001</v>
      </c>
      <c r="P92" s="22">
        <v>87.304199999999994</v>
      </c>
      <c r="Q92" s="22">
        <v>-1.7266799999999999E-2</v>
      </c>
      <c r="R92" s="22">
        <v>82</v>
      </c>
      <c r="S92" s="22">
        <v>0.31234699999999999</v>
      </c>
      <c r="T92">
        <f t="shared" si="14"/>
        <v>17.2668</v>
      </c>
      <c r="U92">
        <f t="shared" si="15"/>
        <v>5.4037831943999999</v>
      </c>
      <c r="X92" s="9"/>
      <c r="Y92" s="22">
        <v>1.4370700000000001</v>
      </c>
      <c r="Z92" s="22">
        <v>149.261</v>
      </c>
      <c r="AA92" s="22">
        <v>-1.57593E-2</v>
      </c>
      <c r="AB92" s="22">
        <v>82</v>
      </c>
      <c r="AC92" s="22">
        <v>1.4364600000000001</v>
      </c>
      <c r="AD92">
        <f t="shared" si="16"/>
        <v>15.7593</v>
      </c>
      <c r="AE92">
        <f t="shared" si="17"/>
        <v>22.647217251000001</v>
      </c>
      <c r="AF92" s="9"/>
      <c r="AG92" s="22">
        <v>0.31295800000000001</v>
      </c>
      <c r="AH92" s="22">
        <v>228.79300000000001</v>
      </c>
      <c r="AI92" s="22">
        <v>-1.6747999999999999E-2</v>
      </c>
      <c r="AJ92" s="22">
        <v>82</v>
      </c>
      <c r="AK92" s="22">
        <v>0.31231700000000001</v>
      </c>
      <c r="AL92">
        <f t="shared" si="18"/>
        <v>16.747999999999998</v>
      </c>
      <c r="AM92">
        <f t="shared" si="19"/>
        <v>5.2414205839999992</v>
      </c>
      <c r="AP92" s="9"/>
      <c r="AQ92" s="22">
        <v>1.4370700000000001</v>
      </c>
      <c r="AR92" s="22">
        <v>281.20999999999998</v>
      </c>
      <c r="AS92" s="22">
        <v>-1.54755E-2</v>
      </c>
      <c r="AT92" s="22">
        <v>82</v>
      </c>
      <c r="AU92" s="22">
        <v>1.4364600000000001</v>
      </c>
      <c r="AV92">
        <f t="shared" si="20"/>
        <v>15.4755</v>
      </c>
      <c r="AW92">
        <f t="shared" si="21"/>
        <v>22.239376785000001</v>
      </c>
      <c r="AX92" s="9"/>
      <c r="AY92" s="22">
        <v>0.31295800000000001</v>
      </c>
      <c r="AZ92" s="22">
        <v>360.44099999999997</v>
      </c>
      <c r="BA92" s="22">
        <v>-1.6601600000000001E-2</v>
      </c>
      <c r="BB92" s="22">
        <v>82</v>
      </c>
      <c r="BC92" s="22">
        <v>0.31234699999999999</v>
      </c>
      <c r="BD92">
        <f t="shared" si="22"/>
        <v>16.601600000000001</v>
      </c>
      <c r="BE92">
        <f t="shared" si="23"/>
        <v>5.1956035328000008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32.009099999999997</v>
      </c>
      <c r="I93" s="22">
        <v>-1.5957599999999999E-2</v>
      </c>
      <c r="J93" s="22">
        <v>83</v>
      </c>
      <c r="K93" s="22">
        <v>1.4315800000000001</v>
      </c>
      <c r="L93">
        <f t="shared" si="12"/>
        <v>15.957599999999999</v>
      </c>
      <c r="M93">
        <f t="shared" si="13"/>
        <v>22.851921504</v>
      </c>
      <c r="N93" s="9"/>
      <c r="O93" s="22">
        <v>0.31799300000000003</v>
      </c>
      <c r="P93" s="22">
        <v>87.404899999999998</v>
      </c>
      <c r="Q93" s="22">
        <v>-1.7272900000000001E-2</v>
      </c>
      <c r="R93" s="22">
        <v>83</v>
      </c>
      <c r="S93" s="22">
        <v>0.31732199999999999</v>
      </c>
      <c r="T93">
        <f t="shared" si="14"/>
        <v>17.2729</v>
      </c>
      <c r="U93">
        <f t="shared" si="15"/>
        <v>5.4926612897</v>
      </c>
      <c r="X93" s="9"/>
      <c r="Y93" s="22">
        <v>1.43204</v>
      </c>
      <c r="Z93" s="22">
        <v>149.36199999999999</v>
      </c>
      <c r="AA93" s="22">
        <v>-1.57745E-2</v>
      </c>
      <c r="AB93" s="22">
        <v>83</v>
      </c>
      <c r="AC93" s="22">
        <v>1.4309700000000001</v>
      </c>
      <c r="AD93">
        <f t="shared" si="16"/>
        <v>15.7745</v>
      </c>
      <c r="AE93">
        <f t="shared" si="17"/>
        <v>22.58971498</v>
      </c>
      <c r="AF93" s="9"/>
      <c r="AG93" s="22">
        <v>0.31799300000000003</v>
      </c>
      <c r="AH93" s="22">
        <v>228.89400000000001</v>
      </c>
      <c r="AI93" s="22">
        <v>-1.68121E-2</v>
      </c>
      <c r="AJ93" s="22">
        <v>83</v>
      </c>
      <c r="AK93" s="22">
        <v>0.317444</v>
      </c>
      <c r="AL93">
        <f t="shared" si="18"/>
        <v>16.812100000000001</v>
      </c>
      <c r="AM93">
        <f t="shared" si="19"/>
        <v>5.3461301153000012</v>
      </c>
      <c r="AP93" s="9"/>
      <c r="AQ93" s="22">
        <v>1.43204</v>
      </c>
      <c r="AR93" s="22">
        <v>281.31099999999998</v>
      </c>
      <c r="AS93" s="22">
        <v>-1.54816E-2</v>
      </c>
      <c r="AT93" s="22">
        <v>83</v>
      </c>
      <c r="AU93" s="22">
        <v>1.43188</v>
      </c>
      <c r="AV93">
        <f t="shared" si="20"/>
        <v>15.4816</v>
      </c>
      <c r="AW93">
        <f t="shared" si="21"/>
        <v>22.170270464000001</v>
      </c>
      <c r="AX93" s="9"/>
      <c r="AY93" s="22">
        <v>0.31799300000000003</v>
      </c>
      <c r="AZ93" s="22">
        <v>360.541</v>
      </c>
      <c r="BA93" s="22">
        <v>-1.6577100000000001E-2</v>
      </c>
      <c r="BB93" s="22">
        <v>83</v>
      </c>
      <c r="BC93" s="22">
        <v>0.31738300000000003</v>
      </c>
      <c r="BD93">
        <f t="shared" si="22"/>
        <v>16.577100000000002</v>
      </c>
      <c r="BE93">
        <f t="shared" si="23"/>
        <v>5.2714017603000007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32.1098</v>
      </c>
      <c r="I94" s="22">
        <v>-1.5948500000000001E-2</v>
      </c>
      <c r="J94" s="22">
        <v>84</v>
      </c>
      <c r="K94" s="22">
        <v>1.42578</v>
      </c>
      <c r="L94">
        <f t="shared" si="12"/>
        <v>15.948500000000001</v>
      </c>
      <c r="M94">
        <f t="shared" si="13"/>
        <v>22.758509500000002</v>
      </c>
      <c r="N94" s="9"/>
      <c r="O94" s="22">
        <v>0.32302900000000001</v>
      </c>
      <c r="P94" s="22">
        <v>87.505600000000001</v>
      </c>
      <c r="Q94" s="22">
        <v>-1.7279099999999999E-2</v>
      </c>
      <c r="R94" s="22">
        <v>84</v>
      </c>
      <c r="S94" s="22">
        <v>0.32251000000000002</v>
      </c>
      <c r="T94">
        <f t="shared" si="14"/>
        <v>17.2791</v>
      </c>
      <c r="U94">
        <f t="shared" si="15"/>
        <v>5.5816503939000004</v>
      </c>
      <c r="X94" s="9"/>
      <c r="Y94" s="22">
        <v>1.427</v>
      </c>
      <c r="Z94" s="22">
        <v>149.46299999999999</v>
      </c>
      <c r="AA94" s="22">
        <v>-1.5826400000000001E-2</v>
      </c>
      <c r="AB94" s="22">
        <v>84</v>
      </c>
      <c r="AC94" s="22">
        <v>1.4260900000000001</v>
      </c>
      <c r="AD94">
        <f t="shared" si="16"/>
        <v>15.826400000000001</v>
      </c>
      <c r="AE94">
        <f t="shared" si="17"/>
        <v>22.584272800000004</v>
      </c>
      <c r="AF94" s="9"/>
      <c r="AG94" s="22">
        <v>0.32302900000000001</v>
      </c>
      <c r="AH94" s="22">
        <v>228.995</v>
      </c>
      <c r="AI94" s="22">
        <v>-1.6802999999999998E-2</v>
      </c>
      <c r="AJ94" s="22">
        <v>84</v>
      </c>
      <c r="AK94" s="22">
        <v>0.32238800000000001</v>
      </c>
      <c r="AL94">
        <f t="shared" si="18"/>
        <v>16.802999999999997</v>
      </c>
      <c r="AM94">
        <f t="shared" si="19"/>
        <v>5.4278562869999991</v>
      </c>
      <c r="AP94" s="9"/>
      <c r="AQ94" s="22">
        <v>1.427</v>
      </c>
      <c r="AR94" s="22">
        <v>281.41199999999998</v>
      </c>
      <c r="AS94" s="22">
        <v>-1.55365E-2</v>
      </c>
      <c r="AT94" s="22">
        <v>84</v>
      </c>
      <c r="AU94" s="22">
        <v>1.42578</v>
      </c>
      <c r="AV94">
        <f t="shared" si="20"/>
        <v>15.5365</v>
      </c>
      <c r="AW94">
        <f t="shared" si="21"/>
        <v>22.170585500000001</v>
      </c>
      <c r="AX94" s="9"/>
      <c r="AY94" s="22">
        <v>0.32302900000000001</v>
      </c>
      <c r="AZ94" s="22">
        <v>360.642</v>
      </c>
      <c r="BA94" s="22">
        <v>-1.6558799999999999E-2</v>
      </c>
      <c r="BB94" s="22">
        <v>84</v>
      </c>
      <c r="BC94" s="22">
        <v>0.32238800000000001</v>
      </c>
      <c r="BD94">
        <f t="shared" si="22"/>
        <v>16.558799999999998</v>
      </c>
      <c r="BE94">
        <f t="shared" si="23"/>
        <v>5.3489726051999993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32.210500000000003</v>
      </c>
      <c r="I95" s="22">
        <v>-1.5969799999999999E-2</v>
      </c>
      <c r="J95" s="22">
        <v>85</v>
      </c>
      <c r="K95" s="22">
        <v>1.4212</v>
      </c>
      <c r="L95">
        <f t="shared" si="12"/>
        <v>15.969799999999999</v>
      </c>
      <c r="M95">
        <f t="shared" si="13"/>
        <v>22.708576506</v>
      </c>
      <c r="N95" s="9"/>
      <c r="O95" s="22">
        <v>0.32806400000000002</v>
      </c>
      <c r="P95" s="22">
        <v>87.606300000000005</v>
      </c>
      <c r="Q95" s="22">
        <v>-1.7294299999999999E-2</v>
      </c>
      <c r="R95" s="22">
        <v>85</v>
      </c>
      <c r="S95" s="22">
        <v>0.327484</v>
      </c>
      <c r="T95">
        <f t="shared" si="14"/>
        <v>17.2943</v>
      </c>
      <c r="U95">
        <f t="shared" si="15"/>
        <v>5.6736372352000002</v>
      </c>
      <c r="X95" s="9"/>
      <c r="Y95" s="22">
        <v>1.42197</v>
      </c>
      <c r="Z95" s="22">
        <v>149.56299999999999</v>
      </c>
      <c r="AA95" s="22">
        <v>-1.58447E-2</v>
      </c>
      <c r="AB95" s="22">
        <v>85</v>
      </c>
      <c r="AC95" s="22">
        <v>1.4215100000000001</v>
      </c>
      <c r="AD95">
        <f t="shared" si="16"/>
        <v>15.8447</v>
      </c>
      <c r="AE95">
        <f t="shared" si="17"/>
        <v>22.530688058999999</v>
      </c>
      <c r="AF95" s="9"/>
      <c r="AG95" s="22">
        <v>0.32806400000000002</v>
      </c>
      <c r="AH95" s="22">
        <v>229.096</v>
      </c>
      <c r="AI95" s="22">
        <v>-1.67999E-2</v>
      </c>
      <c r="AJ95" s="22">
        <v>85</v>
      </c>
      <c r="AK95" s="22">
        <v>0.32733200000000001</v>
      </c>
      <c r="AL95">
        <f t="shared" si="18"/>
        <v>16.799900000000001</v>
      </c>
      <c r="AM95">
        <f t="shared" si="19"/>
        <v>5.5114423936000003</v>
      </c>
      <c r="AP95" s="9"/>
      <c r="AQ95" s="22">
        <v>1.42197</v>
      </c>
      <c r="AR95" s="22">
        <v>281.512</v>
      </c>
      <c r="AS95" s="22">
        <v>-1.55487E-2</v>
      </c>
      <c r="AT95" s="22">
        <v>85</v>
      </c>
      <c r="AU95" s="22">
        <v>1.4212</v>
      </c>
      <c r="AV95">
        <f t="shared" si="20"/>
        <v>15.5487</v>
      </c>
      <c r="AW95">
        <f t="shared" si="21"/>
        <v>22.109784939000001</v>
      </c>
      <c r="AX95" s="9"/>
      <c r="AY95" s="22">
        <v>0.32806400000000002</v>
      </c>
      <c r="AZ95" s="22">
        <v>360.74299999999999</v>
      </c>
      <c r="BA95" s="22">
        <v>-1.6555799999999999E-2</v>
      </c>
      <c r="BB95" s="22">
        <v>85</v>
      </c>
      <c r="BC95" s="22">
        <v>0.327484</v>
      </c>
      <c r="BD95">
        <f t="shared" si="22"/>
        <v>16.555799999999998</v>
      </c>
      <c r="BE95">
        <f t="shared" si="23"/>
        <v>5.4313619711999994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32.311199999999999</v>
      </c>
      <c r="I96" s="22">
        <v>-1.6030900000000001E-2</v>
      </c>
      <c r="J96" s="22">
        <v>86</v>
      </c>
      <c r="K96" s="22">
        <v>1.41571</v>
      </c>
      <c r="L96">
        <f t="shared" si="12"/>
        <v>16.030899999999999</v>
      </c>
      <c r="M96">
        <f t="shared" si="13"/>
        <v>22.714663136999999</v>
      </c>
      <c r="N96" s="9"/>
      <c r="O96" s="22">
        <v>0.33309899999999998</v>
      </c>
      <c r="P96" s="22">
        <v>87.706999999999994</v>
      </c>
      <c r="Q96" s="22">
        <v>-1.7297400000000001E-2</v>
      </c>
      <c r="R96" s="22">
        <v>86</v>
      </c>
      <c r="S96" s="22">
        <v>0.33258100000000002</v>
      </c>
      <c r="T96">
        <f t="shared" si="14"/>
        <v>17.2974</v>
      </c>
      <c r="U96">
        <f t="shared" si="15"/>
        <v>5.7617466425999995</v>
      </c>
      <c r="X96" s="9"/>
      <c r="Y96" s="22">
        <v>1.41693</v>
      </c>
      <c r="Z96" s="22">
        <v>149.66399999999999</v>
      </c>
      <c r="AA96" s="22">
        <v>-1.59119E-2</v>
      </c>
      <c r="AB96" s="22">
        <v>86</v>
      </c>
      <c r="AC96" s="22">
        <v>1.41632</v>
      </c>
      <c r="AD96">
        <f t="shared" si="16"/>
        <v>15.911899999999999</v>
      </c>
      <c r="AE96">
        <f t="shared" si="17"/>
        <v>22.546048466999999</v>
      </c>
      <c r="AF96" s="9"/>
      <c r="AG96" s="22">
        <v>0.33309899999999998</v>
      </c>
      <c r="AH96" s="22">
        <v>229.196</v>
      </c>
      <c r="AI96" s="22">
        <v>-1.6830399999999999E-2</v>
      </c>
      <c r="AJ96" s="22">
        <v>86</v>
      </c>
      <c r="AK96" s="22">
        <v>0.33245799999999998</v>
      </c>
      <c r="AL96">
        <f t="shared" si="18"/>
        <v>16.830399999999997</v>
      </c>
      <c r="AM96">
        <f t="shared" si="19"/>
        <v>5.6061894095999989</v>
      </c>
      <c r="AP96" s="9"/>
      <c r="AQ96" s="22">
        <v>1.41693</v>
      </c>
      <c r="AR96" s="22">
        <v>281.613</v>
      </c>
      <c r="AS96" s="22">
        <v>-1.5594500000000001E-2</v>
      </c>
      <c r="AT96" s="22">
        <v>86</v>
      </c>
      <c r="AU96" s="22">
        <v>1.41632</v>
      </c>
      <c r="AV96">
        <f t="shared" si="20"/>
        <v>15.5945</v>
      </c>
      <c r="AW96">
        <f t="shared" si="21"/>
        <v>22.096314885000002</v>
      </c>
      <c r="AX96" s="9"/>
      <c r="AY96" s="22">
        <v>0.33309899999999998</v>
      </c>
      <c r="AZ96" s="22">
        <v>360.84300000000002</v>
      </c>
      <c r="BA96" s="22">
        <v>-1.65649E-2</v>
      </c>
      <c r="BB96" s="22">
        <v>86</v>
      </c>
      <c r="BC96" s="22">
        <v>0.33251999999999998</v>
      </c>
      <c r="BD96">
        <f t="shared" si="22"/>
        <v>16.564900000000002</v>
      </c>
      <c r="BE96">
        <f t="shared" si="23"/>
        <v>5.5177516250999998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32.411900000000003</v>
      </c>
      <c r="I97" s="22">
        <v>-1.6064499999999999E-2</v>
      </c>
      <c r="J97" s="22">
        <v>87</v>
      </c>
      <c r="K97" s="22">
        <v>1.41144</v>
      </c>
      <c r="L97">
        <f t="shared" si="12"/>
        <v>16.064499999999999</v>
      </c>
      <c r="M97">
        <f t="shared" si="13"/>
        <v>22.681467549999997</v>
      </c>
      <c r="N97" s="9"/>
      <c r="O97" s="22">
        <v>0.33813500000000002</v>
      </c>
      <c r="P97" s="22">
        <v>87.807699999999997</v>
      </c>
      <c r="Q97" s="22">
        <v>-1.7251599999999999E-2</v>
      </c>
      <c r="R97" s="22">
        <v>87</v>
      </c>
      <c r="S97" s="22">
        <v>0.33755499999999999</v>
      </c>
      <c r="T97">
        <f t="shared" si="14"/>
        <v>17.2516</v>
      </c>
      <c r="U97">
        <f t="shared" si="15"/>
        <v>5.8333697660000006</v>
      </c>
      <c r="X97" s="9"/>
      <c r="Y97" s="22">
        <v>1.4118999999999999</v>
      </c>
      <c r="Z97" s="22">
        <v>149.76499999999999</v>
      </c>
      <c r="AA97" s="22">
        <v>-1.5948500000000001E-2</v>
      </c>
      <c r="AB97" s="22">
        <v>87</v>
      </c>
      <c r="AC97" s="22">
        <v>1.41144</v>
      </c>
      <c r="AD97">
        <f t="shared" si="16"/>
        <v>15.948500000000001</v>
      </c>
      <c r="AE97">
        <f t="shared" si="17"/>
        <v>22.51768715</v>
      </c>
      <c r="AF97" s="9"/>
      <c r="AG97" s="22">
        <v>0.33813500000000002</v>
      </c>
      <c r="AH97" s="22">
        <v>229.297</v>
      </c>
      <c r="AI97" s="22">
        <v>-1.68243E-2</v>
      </c>
      <c r="AJ97" s="22">
        <v>87</v>
      </c>
      <c r="AK97" s="22">
        <v>0.33761600000000003</v>
      </c>
      <c r="AL97">
        <f t="shared" si="18"/>
        <v>16.824300000000001</v>
      </c>
      <c r="AM97">
        <f t="shared" si="19"/>
        <v>5.6888846805000011</v>
      </c>
      <c r="AP97" s="9"/>
      <c r="AQ97" s="22">
        <v>1.4118999999999999</v>
      </c>
      <c r="AR97" s="22">
        <v>281.714</v>
      </c>
      <c r="AS97" s="22">
        <v>-1.5621899999999999E-2</v>
      </c>
      <c r="AT97" s="22">
        <v>87</v>
      </c>
      <c r="AU97" s="22">
        <v>1.41113</v>
      </c>
      <c r="AV97">
        <f t="shared" si="20"/>
        <v>15.6219</v>
      </c>
      <c r="AW97">
        <f t="shared" si="21"/>
        <v>22.056560609999998</v>
      </c>
      <c r="AX97" s="9"/>
      <c r="AY97" s="22">
        <v>0.33813500000000002</v>
      </c>
      <c r="AZ97" s="22">
        <v>360.94400000000002</v>
      </c>
      <c r="BA97" s="22">
        <v>-1.6546600000000002E-2</v>
      </c>
      <c r="BB97" s="22">
        <v>87</v>
      </c>
      <c r="BC97" s="22">
        <v>0.337646</v>
      </c>
      <c r="BD97">
        <f t="shared" si="22"/>
        <v>16.546600000000002</v>
      </c>
      <c r="BE97">
        <f t="shared" si="23"/>
        <v>5.5949845910000011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32.512599999999999</v>
      </c>
      <c r="I98" s="22">
        <v>-1.6082800000000001E-2</v>
      </c>
      <c r="J98" s="22">
        <v>88</v>
      </c>
      <c r="K98" s="22">
        <v>1.40564</v>
      </c>
      <c r="L98">
        <f t="shared" si="12"/>
        <v>16.082800000000002</v>
      </c>
      <c r="M98">
        <f t="shared" si="13"/>
        <v>22.626248008000005</v>
      </c>
      <c r="N98" s="9"/>
      <c r="O98" s="22">
        <v>0.34316999999999998</v>
      </c>
      <c r="P98" s="22">
        <v>87.908500000000004</v>
      </c>
      <c r="Q98" s="22">
        <v>-1.7251599999999999E-2</v>
      </c>
      <c r="R98" s="22">
        <v>88</v>
      </c>
      <c r="S98" s="22">
        <v>0.34262100000000001</v>
      </c>
      <c r="T98">
        <f t="shared" si="14"/>
        <v>17.2516</v>
      </c>
      <c r="U98">
        <f t="shared" si="15"/>
        <v>5.9202315719999996</v>
      </c>
      <c r="X98" s="9"/>
      <c r="Y98" s="22">
        <v>1.40686</v>
      </c>
      <c r="Z98" s="22">
        <v>149.86500000000001</v>
      </c>
      <c r="AA98" s="22">
        <v>-1.5979E-2</v>
      </c>
      <c r="AB98" s="22">
        <v>88</v>
      </c>
      <c r="AC98" s="22">
        <v>1.40594</v>
      </c>
      <c r="AD98">
        <f t="shared" si="16"/>
        <v>15.979000000000001</v>
      </c>
      <c r="AE98">
        <f t="shared" si="17"/>
        <v>22.480215940000001</v>
      </c>
      <c r="AF98" s="9"/>
      <c r="AG98" s="22">
        <v>0.34316999999999998</v>
      </c>
      <c r="AH98" s="22">
        <v>229.398</v>
      </c>
      <c r="AI98" s="22">
        <v>-1.68243E-2</v>
      </c>
      <c r="AJ98" s="22">
        <v>88</v>
      </c>
      <c r="AK98" s="22">
        <v>0.34262100000000001</v>
      </c>
      <c r="AL98">
        <f t="shared" si="18"/>
        <v>16.824300000000001</v>
      </c>
      <c r="AM98">
        <f t="shared" si="19"/>
        <v>5.7735950310000002</v>
      </c>
      <c r="AP98" s="9"/>
      <c r="AQ98" s="22">
        <v>1.40686</v>
      </c>
      <c r="AR98" s="22">
        <v>281.815</v>
      </c>
      <c r="AS98" s="22">
        <v>-1.56677E-2</v>
      </c>
      <c r="AT98" s="22">
        <v>88</v>
      </c>
      <c r="AU98" s="22">
        <v>1.40625</v>
      </c>
      <c r="AV98">
        <f t="shared" si="20"/>
        <v>15.6677</v>
      </c>
      <c r="AW98">
        <f t="shared" si="21"/>
        <v>22.042260421999998</v>
      </c>
      <c r="AX98" s="9"/>
      <c r="AY98" s="22">
        <v>0.34316999999999998</v>
      </c>
      <c r="AZ98" s="22">
        <v>361.04500000000002</v>
      </c>
      <c r="BA98" s="22">
        <v>-1.6574100000000001E-2</v>
      </c>
      <c r="BB98" s="22">
        <v>88</v>
      </c>
      <c r="BC98" s="22">
        <v>0.34255999999999998</v>
      </c>
      <c r="BD98">
        <f t="shared" si="22"/>
        <v>16.574100000000001</v>
      </c>
      <c r="BE98">
        <f t="shared" si="23"/>
        <v>5.6877338970000002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32.613300000000002</v>
      </c>
      <c r="I99" s="22">
        <v>-1.6107199999999999E-2</v>
      </c>
      <c r="J99" s="22">
        <v>89</v>
      </c>
      <c r="K99" s="22">
        <v>1.40106</v>
      </c>
      <c r="L99">
        <f t="shared" si="12"/>
        <v>16.107199999999999</v>
      </c>
      <c r="M99">
        <f t="shared" si="13"/>
        <v>22.579395104</v>
      </c>
      <c r="N99" s="9"/>
      <c r="O99" s="22">
        <v>0.34820600000000002</v>
      </c>
      <c r="P99" s="22">
        <v>88.009200000000007</v>
      </c>
      <c r="Q99" s="22">
        <v>-1.7257700000000001E-2</v>
      </c>
      <c r="R99" s="22">
        <v>89</v>
      </c>
      <c r="S99" s="22">
        <v>0.34756500000000001</v>
      </c>
      <c r="T99">
        <f t="shared" si="14"/>
        <v>17.2577</v>
      </c>
      <c r="U99">
        <f t="shared" si="15"/>
        <v>6.0092346862000001</v>
      </c>
      <c r="X99" s="9"/>
      <c r="Y99" s="22">
        <v>1.4018200000000001</v>
      </c>
      <c r="Z99" s="22">
        <v>149.96600000000001</v>
      </c>
      <c r="AA99" s="22">
        <v>-1.6015600000000001E-2</v>
      </c>
      <c r="AB99" s="22">
        <v>89</v>
      </c>
      <c r="AC99" s="22">
        <v>1.40076</v>
      </c>
      <c r="AD99">
        <f t="shared" si="16"/>
        <v>16.015600000000003</v>
      </c>
      <c r="AE99">
        <f t="shared" si="17"/>
        <v>22.450988392000006</v>
      </c>
      <c r="AF99" s="9"/>
      <c r="AG99" s="22">
        <v>0.34820600000000002</v>
      </c>
      <c r="AH99" s="22">
        <v>229.49799999999999</v>
      </c>
      <c r="AI99" s="22">
        <v>-1.68243E-2</v>
      </c>
      <c r="AJ99" s="22">
        <v>89</v>
      </c>
      <c r="AK99" s="22">
        <v>0.34756500000000001</v>
      </c>
      <c r="AL99">
        <f t="shared" si="18"/>
        <v>16.824300000000001</v>
      </c>
      <c r="AM99">
        <f t="shared" si="19"/>
        <v>5.8583222058000004</v>
      </c>
      <c r="AP99" s="9"/>
      <c r="AQ99" s="22">
        <v>1.4018200000000001</v>
      </c>
      <c r="AR99" s="22">
        <v>281.91500000000002</v>
      </c>
      <c r="AS99" s="22">
        <v>-1.5655499999999999E-2</v>
      </c>
      <c r="AT99" s="22">
        <v>89</v>
      </c>
      <c r="AU99" s="22">
        <v>1.40137</v>
      </c>
      <c r="AV99">
        <f t="shared" si="20"/>
        <v>15.6555</v>
      </c>
      <c r="AW99">
        <f t="shared" si="21"/>
        <v>21.946193010000002</v>
      </c>
      <c r="AX99" s="9"/>
      <c r="AY99" s="22">
        <v>0.34820600000000002</v>
      </c>
      <c r="AZ99" s="22">
        <v>361.14600000000002</v>
      </c>
      <c r="BA99" s="22">
        <v>-1.6589400000000001E-2</v>
      </c>
      <c r="BB99" s="22">
        <v>89</v>
      </c>
      <c r="BC99" s="22">
        <v>0.34759499999999999</v>
      </c>
      <c r="BD99">
        <f t="shared" si="22"/>
        <v>16.589400000000001</v>
      </c>
      <c r="BE99">
        <f t="shared" si="23"/>
        <v>5.7765286164000003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32.713999999999999</v>
      </c>
      <c r="I100" s="22">
        <v>-1.6149899999999998E-2</v>
      </c>
      <c r="J100" s="22">
        <v>90</v>
      </c>
      <c r="K100" s="22">
        <v>1.3958699999999999</v>
      </c>
      <c r="L100">
        <f t="shared" si="12"/>
        <v>16.149899999999999</v>
      </c>
      <c r="M100">
        <f t="shared" si="13"/>
        <v>22.558018820999997</v>
      </c>
      <c r="N100" s="9"/>
      <c r="O100" s="22">
        <v>0.35324100000000003</v>
      </c>
      <c r="P100" s="22">
        <v>88.109899999999996</v>
      </c>
      <c r="Q100" s="22">
        <v>-1.7257700000000001E-2</v>
      </c>
      <c r="R100" s="22">
        <v>90</v>
      </c>
      <c r="S100" s="22">
        <v>0.35263100000000003</v>
      </c>
      <c r="T100">
        <f t="shared" si="14"/>
        <v>17.2577</v>
      </c>
      <c r="U100">
        <f t="shared" si="15"/>
        <v>6.0961272057000002</v>
      </c>
      <c r="X100" s="9"/>
      <c r="Y100" s="22">
        <v>1.39679</v>
      </c>
      <c r="Z100" s="22">
        <v>150.06700000000001</v>
      </c>
      <c r="AA100" s="22">
        <v>-1.6058300000000001E-2</v>
      </c>
      <c r="AB100" s="22">
        <v>90</v>
      </c>
      <c r="AC100" s="22">
        <v>1.3964799999999999</v>
      </c>
      <c r="AD100">
        <f t="shared" si="16"/>
        <v>16.058300000000003</v>
      </c>
      <c r="AE100">
        <f t="shared" si="17"/>
        <v>22.430072857000003</v>
      </c>
      <c r="AF100" s="9"/>
      <c r="AG100" s="22">
        <v>0.35324100000000003</v>
      </c>
      <c r="AH100" s="22">
        <v>229.59899999999999</v>
      </c>
      <c r="AI100" s="22">
        <v>-1.6818199999999998E-2</v>
      </c>
      <c r="AJ100" s="22">
        <v>90</v>
      </c>
      <c r="AK100" s="22">
        <v>0.35256999999999999</v>
      </c>
      <c r="AL100">
        <f t="shared" si="18"/>
        <v>16.818199999999997</v>
      </c>
      <c r="AM100">
        <f t="shared" si="19"/>
        <v>5.9408777861999997</v>
      </c>
      <c r="AP100" s="9"/>
      <c r="AQ100" s="22">
        <v>1.39679</v>
      </c>
      <c r="AR100" s="22">
        <v>282.01600000000002</v>
      </c>
      <c r="AS100" s="22">
        <v>-1.56921E-2</v>
      </c>
      <c r="AT100" s="22">
        <v>90</v>
      </c>
      <c r="AU100" s="22">
        <v>1.3958699999999999</v>
      </c>
      <c r="AV100">
        <f t="shared" si="20"/>
        <v>15.6921</v>
      </c>
      <c r="AW100">
        <f t="shared" si="21"/>
        <v>21.918568358999998</v>
      </c>
      <c r="AX100" s="9"/>
      <c r="AY100" s="22">
        <v>0.35324100000000003</v>
      </c>
      <c r="AZ100" s="22">
        <v>361.24599999999998</v>
      </c>
      <c r="BA100" s="22">
        <v>-1.6616800000000001E-2</v>
      </c>
      <c r="BB100" s="22">
        <v>90</v>
      </c>
      <c r="BC100" s="22">
        <v>0.35263100000000003</v>
      </c>
      <c r="BD100">
        <f t="shared" si="22"/>
        <v>16.616800000000001</v>
      </c>
      <c r="BE100">
        <f t="shared" si="23"/>
        <v>5.8697350488000009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32.814700000000002</v>
      </c>
      <c r="I101" s="22">
        <v>-1.6192600000000001E-2</v>
      </c>
      <c r="J101" s="22">
        <v>91</v>
      </c>
      <c r="K101" s="22">
        <v>1.39069</v>
      </c>
      <c r="L101">
        <f t="shared" si="12"/>
        <v>16.192600000000002</v>
      </c>
      <c r="M101">
        <f t="shared" si="13"/>
        <v>22.536051050000005</v>
      </c>
      <c r="N101" s="9"/>
      <c r="O101" s="22">
        <v>0.35827599999999998</v>
      </c>
      <c r="P101" s="22">
        <v>88.210599999999999</v>
      </c>
      <c r="Q101" s="22">
        <v>-1.7276E-2</v>
      </c>
      <c r="R101" s="22">
        <v>91</v>
      </c>
      <c r="S101" s="22">
        <v>0.35763499999999998</v>
      </c>
      <c r="T101">
        <f t="shared" si="14"/>
        <v>17.276</v>
      </c>
      <c r="U101">
        <f t="shared" si="15"/>
        <v>6.1895761759999992</v>
      </c>
      <c r="X101" s="9"/>
      <c r="Y101" s="22">
        <v>1.39175</v>
      </c>
      <c r="Z101" s="22">
        <v>150.16800000000001</v>
      </c>
      <c r="AA101" s="22">
        <v>-1.6039999999999999E-2</v>
      </c>
      <c r="AB101" s="22">
        <v>91</v>
      </c>
      <c r="AC101" s="22">
        <v>1.3909899999999999</v>
      </c>
      <c r="AD101">
        <f t="shared" si="16"/>
        <v>16.04</v>
      </c>
      <c r="AE101">
        <f t="shared" si="17"/>
        <v>22.32367</v>
      </c>
      <c r="AF101" s="9"/>
      <c r="AG101" s="22">
        <v>0.35827599999999998</v>
      </c>
      <c r="AH101" s="22">
        <v>229.7</v>
      </c>
      <c r="AI101" s="22">
        <v>-1.6815199999999999E-2</v>
      </c>
      <c r="AJ101" s="22">
        <v>91</v>
      </c>
      <c r="AK101" s="22">
        <v>0.35766599999999998</v>
      </c>
      <c r="AL101">
        <f t="shared" si="18"/>
        <v>16.815199999999997</v>
      </c>
      <c r="AM101">
        <f t="shared" si="19"/>
        <v>6.0244825951999985</v>
      </c>
      <c r="AP101" s="9"/>
      <c r="AQ101" s="22">
        <v>1.39175</v>
      </c>
      <c r="AR101" s="22">
        <v>282.11700000000002</v>
      </c>
      <c r="AS101" s="22">
        <v>-1.5753199999999998E-2</v>
      </c>
      <c r="AT101" s="22">
        <v>91</v>
      </c>
      <c r="AU101" s="22">
        <v>1.3909899999999999</v>
      </c>
      <c r="AV101">
        <f t="shared" si="20"/>
        <v>15.753199999999998</v>
      </c>
      <c r="AW101">
        <f t="shared" si="21"/>
        <v>21.924516099999998</v>
      </c>
      <c r="AX101" s="9"/>
      <c r="AY101" s="22">
        <v>0.35827599999999998</v>
      </c>
      <c r="AZ101" s="22">
        <v>361.34699999999998</v>
      </c>
      <c r="BA101" s="22">
        <v>-1.6583299999999999E-2</v>
      </c>
      <c r="BB101" s="22">
        <v>91</v>
      </c>
      <c r="BC101" s="22">
        <v>0.35763499999999998</v>
      </c>
      <c r="BD101">
        <f t="shared" si="22"/>
        <v>16.583299999999998</v>
      </c>
      <c r="BE101">
        <f t="shared" si="23"/>
        <v>5.941398390799999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32.915399999999998</v>
      </c>
      <c r="I102" s="22">
        <v>-1.6204799999999998E-2</v>
      </c>
      <c r="J102" s="22">
        <v>92</v>
      </c>
      <c r="K102" s="22">
        <v>1.38611</v>
      </c>
      <c r="L102">
        <f t="shared" si="12"/>
        <v>16.204799999999999</v>
      </c>
      <c r="M102">
        <f t="shared" si="13"/>
        <v>22.471520255999998</v>
      </c>
      <c r="N102" s="9"/>
      <c r="O102" s="22">
        <v>0.36331200000000002</v>
      </c>
      <c r="P102" s="22">
        <v>88.311300000000003</v>
      </c>
      <c r="Q102" s="22">
        <v>-1.7254599999999998E-2</v>
      </c>
      <c r="R102" s="22">
        <v>92</v>
      </c>
      <c r="S102" s="22">
        <v>0.36267100000000002</v>
      </c>
      <c r="T102">
        <f t="shared" si="14"/>
        <v>17.2546</v>
      </c>
      <c r="U102">
        <f t="shared" si="15"/>
        <v>6.2688032352</v>
      </c>
      <c r="X102" s="9"/>
      <c r="Y102" s="22">
        <v>1.38672</v>
      </c>
      <c r="Z102" s="22">
        <v>150.268</v>
      </c>
      <c r="AA102" s="22">
        <v>-1.6052199999999999E-2</v>
      </c>
      <c r="AB102" s="22">
        <v>92</v>
      </c>
      <c r="AC102" s="22">
        <v>1.3857999999999999</v>
      </c>
      <c r="AD102">
        <f t="shared" si="16"/>
        <v>16.052199999999999</v>
      </c>
      <c r="AE102">
        <f t="shared" si="17"/>
        <v>22.259906783999998</v>
      </c>
      <c r="AF102" s="9"/>
      <c r="AG102" s="22">
        <v>0.36331200000000002</v>
      </c>
      <c r="AH102" s="22">
        <v>229.80099999999999</v>
      </c>
      <c r="AI102" s="22">
        <v>-1.6821300000000001E-2</v>
      </c>
      <c r="AJ102" s="22">
        <v>92</v>
      </c>
      <c r="AK102" s="22">
        <v>0.362732</v>
      </c>
      <c r="AL102">
        <f t="shared" si="18"/>
        <v>16.821300000000001</v>
      </c>
      <c r="AM102">
        <f t="shared" si="19"/>
        <v>6.111380145600001</v>
      </c>
      <c r="AP102" s="9"/>
      <c r="AQ102" s="22">
        <v>1.38672</v>
      </c>
      <c r="AR102" s="22">
        <v>282.21699999999998</v>
      </c>
      <c r="AS102" s="22">
        <v>-1.5771500000000001E-2</v>
      </c>
      <c r="AT102" s="22">
        <v>92</v>
      </c>
      <c r="AU102" s="22">
        <v>1.38611</v>
      </c>
      <c r="AV102">
        <f t="shared" si="20"/>
        <v>15.771500000000001</v>
      </c>
      <c r="AW102">
        <f t="shared" si="21"/>
        <v>21.870654480000002</v>
      </c>
      <c r="AX102" s="9"/>
      <c r="AY102" s="22">
        <v>0.36331200000000002</v>
      </c>
      <c r="AZ102" s="22">
        <v>361.44799999999998</v>
      </c>
      <c r="BA102" s="22">
        <v>-1.6570999999999999E-2</v>
      </c>
      <c r="BB102" s="22">
        <v>92</v>
      </c>
      <c r="BC102" s="22">
        <v>0.36267100000000002</v>
      </c>
      <c r="BD102">
        <f t="shared" si="22"/>
        <v>16.570999999999998</v>
      </c>
      <c r="BE102">
        <f t="shared" si="23"/>
        <v>6.0204431519999995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33.016100000000002</v>
      </c>
      <c r="I103" s="22">
        <v>-1.62384E-2</v>
      </c>
      <c r="J103" s="22">
        <v>93</v>
      </c>
      <c r="K103" s="22">
        <v>1.38123</v>
      </c>
      <c r="L103">
        <f t="shared" si="12"/>
        <v>16.238399999999999</v>
      </c>
      <c r="M103">
        <f t="shared" si="13"/>
        <v>22.436272511999999</v>
      </c>
      <c r="N103" s="9"/>
      <c r="O103" s="22">
        <v>0.36834699999999998</v>
      </c>
      <c r="P103" s="22">
        <v>88.412000000000006</v>
      </c>
      <c r="Q103" s="22">
        <v>-1.72485E-2</v>
      </c>
      <c r="R103" s="22">
        <v>93</v>
      </c>
      <c r="S103" s="22">
        <v>0.367676</v>
      </c>
      <c r="T103">
        <f t="shared" si="14"/>
        <v>17.2485</v>
      </c>
      <c r="U103">
        <f t="shared" si="15"/>
        <v>6.3534332294999993</v>
      </c>
      <c r="X103" s="9"/>
      <c r="Y103" s="22">
        <v>1.38168</v>
      </c>
      <c r="Z103" s="22">
        <v>150.369</v>
      </c>
      <c r="AA103" s="22">
        <v>-1.6085800000000001E-2</v>
      </c>
      <c r="AB103" s="22">
        <v>93</v>
      </c>
      <c r="AC103" s="22">
        <v>1.3809199999999999</v>
      </c>
      <c r="AD103">
        <f t="shared" si="16"/>
        <v>16.085800000000003</v>
      </c>
      <c r="AE103">
        <f t="shared" si="17"/>
        <v>22.225428144000002</v>
      </c>
      <c r="AF103" s="9"/>
      <c r="AG103" s="22">
        <v>0.36834699999999998</v>
      </c>
      <c r="AH103" s="22">
        <v>229.90100000000001</v>
      </c>
      <c r="AI103" s="22">
        <v>-1.6802999999999998E-2</v>
      </c>
      <c r="AJ103" s="22">
        <v>93</v>
      </c>
      <c r="AK103" s="22">
        <v>0.36773699999999998</v>
      </c>
      <c r="AL103">
        <f t="shared" si="18"/>
        <v>16.802999999999997</v>
      </c>
      <c r="AM103">
        <f t="shared" si="19"/>
        <v>6.1893346409999985</v>
      </c>
      <c r="AP103" s="9"/>
      <c r="AQ103" s="22">
        <v>1.38168</v>
      </c>
      <c r="AR103" s="22">
        <v>282.31799999999998</v>
      </c>
      <c r="AS103" s="22">
        <v>-1.5786700000000001E-2</v>
      </c>
      <c r="AT103" s="22">
        <v>93</v>
      </c>
      <c r="AU103" s="22">
        <v>1.38062</v>
      </c>
      <c r="AV103">
        <f t="shared" si="20"/>
        <v>15.786700000000002</v>
      </c>
      <c r="AW103">
        <f t="shared" si="21"/>
        <v>21.812167656000003</v>
      </c>
      <c r="AX103" s="9"/>
      <c r="AY103" s="22">
        <v>0.36834699999999998</v>
      </c>
      <c r="AZ103" s="22">
        <v>361.548</v>
      </c>
      <c r="BA103" s="22">
        <v>-1.6583299999999999E-2</v>
      </c>
      <c r="BB103" s="22">
        <v>93</v>
      </c>
      <c r="BC103" s="22">
        <v>0.36755399999999999</v>
      </c>
      <c r="BD103">
        <f t="shared" si="22"/>
        <v>16.583299999999998</v>
      </c>
      <c r="BE103">
        <f t="shared" si="23"/>
        <v>6.108408805099999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33.116900000000001</v>
      </c>
      <c r="I104" s="22">
        <v>-1.6244499999999999E-2</v>
      </c>
      <c r="J104" s="22">
        <v>94</v>
      </c>
      <c r="K104" s="22">
        <v>1.3760399999999999</v>
      </c>
      <c r="L104">
        <f t="shared" si="12"/>
        <v>16.244499999999999</v>
      </c>
      <c r="M104">
        <f t="shared" si="13"/>
        <v>22.362990924999998</v>
      </c>
      <c r="N104" s="9"/>
      <c r="O104" s="22">
        <v>0.37338300000000002</v>
      </c>
      <c r="P104" s="22">
        <v>88.512699999999995</v>
      </c>
      <c r="Q104" s="22">
        <v>-1.72607E-2</v>
      </c>
      <c r="R104" s="22">
        <v>94</v>
      </c>
      <c r="S104" s="22">
        <v>0.37277199999999999</v>
      </c>
      <c r="T104">
        <f t="shared" si="14"/>
        <v>17.2607</v>
      </c>
      <c r="U104">
        <f t="shared" si="15"/>
        <v>6.4448519481000002</v>
      </c>
      <c r="X104" s="9"/>
      <c r="Y104" s="22">
        <v>1.3766499999999999</v>
      </c>
      <c r="Z104" s="22">
        <v>150.47</v>
      </c>
      <c r="AA104" s="22">
        <v>-1.6149899999999998E-2</v>
      </c>
      <c r="AB104" s="22">
        <v>94</v>
      </c>
      <c r="AC104" s="22">
        <v>1.3754299999999999</v>
      </c>
      <c r="AD104">
        <f t="shared" si="16"/>
        <v>16.149899999999999</v>
      </c>
      <c r="AE104">
        <f t="shared" si="17"/>
        <v>22.232759834999996</v>
      </c>
      <c r="AF104" s="9"/>
      <c r="AG104" s="22">
        <v>0.37338300000000002</v>
      </c>
      <c r="AH104" s="22">
        <v>230.00200000000001</v>
      </c>
      <c r="AI104" s="22">
        <v>-1.6778600000000001E-2</v>
      </c>
      <c r="AJ104" s="22">
        <v>94</v>
      </c>
      <c r="AK104" s="22">
        <v>0.37277199999999999</v>
      </c>
      <c r="AL104">
        <f t="shared" si="18"/>
        <v>16.778600000000001</v>
      </c>
      <c r="AM104">
        <f t="shared" si="19"/>
        <v>6.2648440038000004</v>
      </c>
      <c r="AP104" s="9"/>
      <c r="AQ104" s="22">
        <v>1.3766499999999999</v>
      </c>
      <c r="AR104" s="22">
        <v>282.41899999999998</v>
      </c>
      <c r="AS104" s="22">
        <v>-1.5826400000000001E-2</v>
      </c>
      <c r="AT104" s="22">
        <v>94</v>
      </c>
      <c r="AU104" s="22">
        <v>1.3757299999999999</v>
      </c>
      <c r="AV104">
        <f t="shared" si="20"/>
        <v>15.826400000000001</v>
      </c>
      <c r="AW104">
        <f t="shared" si="21"/>
        <v>21.787413560000001</v>
      </c>
      <c r="AX104" s="9"/>
      <c r="AY104" s="22">
        <v>0.37338300000000002</v>
      </c>
      <c r="AZ104" s="22">
        <v>361.649</v>
      </c>
      <c r="BA104" s="22">
        <v>-1.66077E-2</v>
      </c>
      <c r="BB104" s="22">
        <v>94</v>
      </c>
      <c r="BC104" s="22">
        <v>0.37262000000000001</v>
      </c>
      <c r="BD104">
        <f t="shared" si="22"/>
        <v>16.607700000000001</v>
      </c>
      <c r="BE104">
        <f t="shared" si="23"/>
        <v>6.2010328491000006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33.217599999999997</v>
      </c>
      <c r="I105" s="22">
        <v>-1.6284199999999999E-2</v>
      </c>
      <c r="J105" s="22">
        <v>95</v>
      </c>
      <c r="K105" s="22">
        <v>1.3708499999999999</v>
      </c>
      <c r="L105">
        <f t="shared" si="12"/>
        <v>16.284199999999998</v>
      </c>
      <c r="M105">
        <f t="shared" si="13"/>
        <v>22.335571561999998</v>
      </c>
      <c r="N105" s="9"/>
      <c r="O105" s="22">
        <v>0.37841799999999998</v>
      </c>
      <c r="P105" s="22">
        <v>88.613399999999999</v>
      </c>
      <c r="Q105" s="22">
        <v>-1.7254599999999998E-2</v>
      </c>
      <c r="R105" s="22">
        <v>95</v>
      </c>
      <c r="S105" s="22">
        <v>0.37777699999999997</v>
      </c>
      <c r="T105">
        <f t="shared" si="14"/>
        <v>17.2546</v>
      </c>
      <c r="U105">
        <f t="shared" si="15"/>
        <v>6.5294512227999997</v>
      </c>
      <c r="X105" s="9"/>
      <c r="Y105" s="22">
        <v>1.37161</v>
      </c>
      <c r="Z105" s="22">
        <v>150.57</v>
      </c>
      <c r="AA105" s="22">
        <v>-1.6146899999999999E-2</v>
      </c>
      <c r="AB105" s="22">
        <v>95</v>
      </c>
      <c r="AC105" s="22">
        <v>1.3708499999999999</v>
      </c>
      <c r="AD105">
        <f t="shared" si="16"/>
        <v>16.146899999999999</v>
      </c>
      <c r="AE105">
        <f t="shared" si="17"/>
        <v>22.147249508999998</v>
      </c>
      <c r="AF105" s="9"/>
      <c r="AG105" s="22">
        <v>0.37841799999999998</v>
      </c>
      <c r="AH105" s="22">
        <v>230.10300000000001</v>
      </c>
      <c r="AI105" s="22">
        <v>-1.68091E-2</v>
      </c>
      <c r="AJ105" s="22">
        <v>95</v>
      </c>
      <c r="AK105" s="22">
        <v>0.37780799999999998</v>
      </c>
      <c r="AL105">
        <f t="shared" si="18"/>
        <v>16.809100000000001</v>
      </c>
      <c r="AM105">
        <f t="shared" si="19"/>
        <v>6.3608660038</v>
      </c>
      <c r="AP105" s="9"/>
      <c r="AQ105" s="22">
        <v>1.37161</v>
      </c>
      <c r="AR105" s="22">
        <v>282.51900000000001</v>
      </c>
      <c r="AS105" s="22">
        <v>-1.5859999999999999E-2</v>
      </c>
      <c r="AT105" s="22">
        <v>95</v>
      </c>
      <c r="AU105" s="22">
        <v>1.3705400000000001</v>
      </c>
      <c r="AV105">
        <f t="shared" si="20"/>
        <v>15.86</v>
      </c>
      <c r="AW105">
        <f t="shared" si="21"/>
        <v>21.753734599999998</v>
      </c>
      <c r="AX105" s="9"/>
      <c r="AY105" s="22">
        <v>0.37841799999999998</v>
      </c>
      <c r="AZ105" s="22">
        <v>361.75</v>
      </c>
      <c r="BA105" s="22">
        <v>-1.6583299999999999E-2</v>
      </c>
      <c r="BB105" s="22">
        <v>95</v>
      </c>
      <c r="BC105" s="22">
        <v>0.377716</v>
      </c>
      <c r="BD105">
        <f t="shared" si="22"/>
        <v>16.583299999999998</v>
      </c>
      <c r="BE105">
        <f t="shared" si="23"/>
        <v>6.2754192193999989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33.318300000000001</v>
      </c>
      <c r="I106" s="22">
        <v>-1.6314700000000001E-2</v>
      </c>
      <c r="J106" s="22">
        <v>96</v>
      </c>
      <c r="K106" s="22">
        <v>1.3665799999999999</v>
      </c>
      <c r="L106">
        <f t="shared" si="12"/>
        <v>16.314700000000002</v>
      </c>
      <c r="M106">
        <f t="shared" si="13"/>
        <v>22.295342726000001</v>
      </c>
      <c r="N106" s="9"/>
      <c r="O106" s="22">
        <v>0.38345299999999999</v>
      </c>
      <c r="P106" s="22">
        <v>88.714100000000002</v>
      </c>
      <c r="Q106" s="22">
        <v>-1.7257700000000001E-2</v>
      </c>
      <c r="R106" s="22">
        <v>96</v>
      </c>
      <c r="S106" s="22">
        <v>0.38284299999999999</v>
      </c>
      <c r="T106">
        <f t="shared" si="14"/>
        <v>17.2577</v>
      </c>
      <c r="U106">
        <f t="shared" si="15"/>
        <v>6.6175168380999994</v>
      </c>
      <c r="X106" s="9"/>
      <c r="Y106" s="22">
        <v>1.3665799999999999</v>
      </c>
      <c r="Z106" s="22">
        <v>150.67099999999999</v>
      </c>
      <c r="AA106" s="22">
        <v>-1.6216999999999999E-2</v>
      </c>
      <c r="AB106" s="22">
        <v>96</v>
      </c>
      <c r="AC106" s="22">
        <v>1.3656600000000001</v>
      </c>
      <c r="AD106">
        <f t="shared" si="16"/>
        <v>16.216999999999999</v>
      </c>
      <c r="AE106">
        <f t="shared" si="17"/>
        <v>22.161827859999995</v>
      </c>
      <c r="AF106" s="9"/>
      <c r="AG106" s="22">
        <v>0.38345299999999999</v>
      </c>
      <c r="AH106" s="22">
        <v>230.203</v>
      </c>
      <c r="AI106" s="22">
        <v>-1.6815199999999999E-2</v>
      </c>
      <c r="AJ106" s="22">
        <v>96</v>
      </c>
      <c r="AK106" s="22">
        <v>0.38284299999999999</v>
      </c>
      <c r="AL106">
        <f t="shared" si="18"/>
        <v>16.815199999999997</v>
      </c>
      <c r="AM106">
        <f t="shared" si="19"/>
        <v>6.4478388855999986</v>
      </c>
      <c r="AP106" s="9"/>
      <c r="AQ106" s="22">
        <v>1.3665799999999999</v>
      </c>
      <c r="AR106" s="22">
        <v>282.62</v>
      </c>
      <c r="AS106" s="22">
        <v>-1.5887499999999999E-2</v>
      </c>
      <c r="AT106" s="22">
        <v>96</v>
      </c>
      <c r="AU106" s="22">
        <v>1.3656600000000001</v>
      </c>
      <c r="AV106">
        <f t="shared" si="20"/>
        <v>15.887499999999999</v>
      </c>
      <c r="AW106">
        <f t="shared" si="21"/>
        <v>21.711539749999996</v>
      </c>
      <c r="AX106" s="9"/>
      <c r="AY106" s="22">
        <v>0.38345299999999999</v>
      </c>
      <c r="AZ106" s="22">
        <v>361.85</v>
      </c>
      <c r="BA106" s="22">
        <v>-1.6558799999999999E-2</v>
      </c>
      <c r="BB106" s="22">
        <v>96</v>
      </c>
      <c r="BC106" s="22">
        <v>0.38281300000000001</v>
      </c>
      <c r="BD106">
        <f t="shared" si="22"/>
        <v>16.558799999999998</v>
      </c>
      <c r="BE106">
        <f t="shared" si="23"/>
        <v>6.3495215363999993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33.418999999999997</v>
      </c>
      <c r="I107" s="22">
        <v>-1.63208E-2</v>
      </c>
      <c r="J107" s="22">
        <v>97</v>
      </c>
      <c r="K107" s="22">
        <v>1.3604700000000001</v>
      </c>
      <c r="L107">
        <f t="shared" si="12"/>
        <v>16.320799999999998</v>
      </c>
      <c r="M107">
        <f t="shared" si="13"/>
        <v>22.221422031999996</v>
      </c>
      <c r="N107" s="9"/>
      <c r="O107" s="22">
        <v>0.38848899999999997</v>
      </c>
      <c r="P107" s="22">
        <v>88.814800000000005</v>
      </c>
      <c r="Q107" s="22">
        <v>-1.72607E-2</v>
      </c>
      <c r="R107" s="22">
        <v>97</v>
      </c>
      <c r="S107" s="22">
        <v>0.387909</v>
      </c>
      <c r="T107">
        <f t="shared" si="14"/>
        <v>17.2607</v>
      </c>
      <c r="U107">
        <f t="shared" si="15"/>
        <v>6.7055920822999999</v>
      </c>
      <c r="X107" s="9"/>
      <c r="Y107" s="22">
        <v>1.36154</v>
      </c>
      <c r="Z107" s="22">
        <v>150.77199999999999</v>
      </c>
      <c r="AA107" s="22">
        <v>-1.6213999999999999E-2</v>
      </c>
      <c r="AB107" s="22">
        <v>97</v>
      </c>
      <c r="AC107" s="22">
        <v>1.3607800000000001</v>
      </c>
      <c r="AD107">
        <f t="shared" si="16"/>
        <v>16.213999999999999</v>
      </c>
      <c r="AE107">
        <f t="shared" si="17"/>
        <v>22.076009559999999</v>
      </c>
      <c r="AF107" s="9"/>
      <c r="AG107" s="22">
        <v>0.38848899999999997</v>
      </c>
      <c r="AH107" s="22">
        <v>230.304</v>
      </c>
      <c r="AI107" s="22">
        <v>-1.67694E-2</v>
      </c>
      <c r="AJ107" s="22">
        <v>97</v>
      </c>
      <c r="AK107" s="22">
        <v>0.38784800000000003</v>
      </c>
      <c r="AL107">
        <f t="shared" si="18"/>
        <v>16.769400000000001</v>
      </c>
      <c r="AM107">
        <f t="shared" si="19"/>
        <v>6.5147274366000003</v>
      </c>
      <c r="AP107" s="9"/>
      <c r="AQ107" s="22">
        <v>1.36154</v>
      </c>
      <c r="AR107" s="22">
        <v>282.721</v>
      </c>
      <c r="AS107" s="22">
        <v>-1.58966E-2</v>
      </c>
      <c r="AT107" s="22">
        <v>97</v>
      </c>
      <c r="AU107" s="22">
        <v>1.3610800000000001</v>
      </c>
      <c r="AV107">
        <f t="shared" si="20"/>
        <v>15.896600000000001</v>
      </c>
      <c r="AW107">
        <f t="shared" si="21"/>
        <v>21.643856764000002</v>
      </c>
      <c r="AX107" s="9"/>
      <c r="AY107" s="22">
        <v>0.38848899999999997</v>
      </c>
      <c r="AZ107" s="22">
        <v>361.95100000000002</v>
      </c>
      <c r="BA107" s="22">
        <v>-1.6558799999999999E-2</v>
      </c>
      <c r="BB107" s="22">
        <v>97</v>
      </c>
      <c r="BC107" s="22">
        <v>0.387909</v>
      </c>
      <c r="BD107">
        <f t="shared" si="22"/>
        <v>16.558799999999998</v>
      </c>
      <c r="BE107">
        <f t="shared" si="23"/>
        <v>6.4329116531999988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33.5197</v>
      </c>
      <c r="I108" s="22">
        <v>-1.63483E-2</v>
      </c>
      <c r="J108" s="22">
        <v>98</v>
      </c>
      <c r="K108" s="22">
        <v>1.3562000000000001</v>
      </c>
      <c r="L108">
        <f t="shared" si="12"/>
        <v>16.348299999999998</v>
      </c>
      <c r="M108">
        <f t="shared" si="13"/>
        <v>22.176632432999998</v>
      </c>
      <c r="N108" s="9"/>
      <c r="O108" s="22">
        <v>0.39352399999999998</v>
      </c>
      <c r="P108" s="22">
        <v>88.915499999999994</v>
      </c>
      <c r="Q108" s="22">
        <v>-1.72607E-2</v>
      </c>
      <c r="R108" s="22">
        <v>98</v>
      </c>
      <c r="S108" s="22">
        <v>0.39300499999999999</v>
      </c>
      <c r="T108">
        <f t="shared" si="14"/>
        <v>17.2607</v>
      </c>
      <c r="U108">
        <f t="shared" si="15"/>
        <v>6.7924997068000001</v>
      </c>
      <c r="X108" s="9"/>
      <c r="Y108" s="22">
        <v>1.3565100000000001</v>
      </c>
      <c r="Z108" s="22">
        <v>150.87200000000001</v>
      </c>
      <c r="AA108" s="22">
        <v>-1.6235400000000001E-2</v>
      </c>
      <c r="AB108" s="22">
        <v>98</v>
      </c>
      <c r="AC108" s="22">
        <v>1.3549800000000001</v>
      </c>
      <c r="AD108">
        <f t="shared" si="16"/>
        <v>16.235400000000002</v>
      </c>
      <c r="AE108">
        <f t="shared" si="17"/>
        <v>22.023482454000003</v>
      </c>
      <c r="AF108" s="9"/>
      <c r="AG108" s="22">
        <v>0.39352399999999998</v>
      </c>
      <c r="AH108" s="22">
        <v>230.405</v>
      </c>
      <c r="AI108" s="22">
        <v>-1.6732799999999999E-2</v>
      </c>
      <c r="AJ108" s="22">
        <v>98</v>
      </c>
      <c r="AK108" s="22">
        <v>0.39294400000000002</v>
      </c>
      <c r="AL108">
        <f t="shared" si="18"/>
        <v>16.732799999999997</v>
      </c>
      <c r="AM108">
        <f t="shared" si="19"/>
        <v>6.5847583871999991</v>
      </c>
      <c r="AP108" s="9"/>
      <c r="AQ108" s="22">
        <v>1.3565100000000001</v>
      </c>
      <c r="AR108" s="22">
        <v>282.822</v>
      </c>
      <c r="AS108" s="22">
        <v>-1.5957599999999999E-2</v>
      </c>
      <c r="AT108" s="22">
        <v>98</v>
      </c>
      <c r="AU108" s="22">
        <v>1.3555900000000001</v>
      </c>
      <c r="AV108">
        <f t="shared" si="20"/>
        <v>15.957599999999999</v>
      </c>
      <c r="AW108">
        <f t="shared" si="21"/>
        <v>21.646643976</v>
      </c>
      <c r="AX108" s="9"/>
      <c r="AY108" s="22">
        <v>0.39352399999999998</v>
      </c>
      <c r="AZ108" s="22">
        <v>362.05200000000002</v>
      </c>
      <c r="BA108" s="22">
        <v>-1.6570999999999999E-2</v>
      </c>
      <c r="BB108" s="22">
        <v>98</v>
      </c>
      <c r="BC108" s="22">
        <v>0.39285300000000001</v>
      </c>
      <c r="BD108">
        <f t="shared" si="22"/>
        <v>16.570999999999998</v>
      </c>
      <c r="BE108">
        <f t="shared" si="23"/>
        <v>6.5210862039999986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33.620399999999997</v>
      </c>
      <c r="I109" s="22">
        <v>-1.6369600000000002E-2</v>
      </c>
      <c r="J109" s="22">
        <v>99</v>
      </c>
      <c r="K109" s="22">
        <v>1.3504</v>
      </c>
      <c r="L109">
        <f t="shared" si="12"/>
        <v>16.369600000000002</v>
      </c>
      <c r="M109">
        <f t="shared" si="13"/>
        <v>22.123023312000001</v>
      </c>
      <c r="N109" s="9"/>
      <c r="O109" s="22">
        <v>0.39856000000000003</v>
      </c>
      <c r="P109" s="22">
        <v>89.016199999999998</v>
      </c>
      <c r="Q109" s="22">
        <v>-1.7242400000000001E-2</v>
      </c>
      <c r="R109" s="22">
        <v>99</v>
      </c>
      <c r="S109" s="22">
        <v>0.39800999999999997</v>
      </c>
      <c r="T109">
        <f t="shared" si="14"/>
        <v>17.2424</v>
      </c>
      <c r="U109">
        <f t="shared" si="15"/>
        <v>6.8721309440000002</v>
      </c>
      <c r="X109" s="9"/>
      <c r="Y109" s="22">
        <v>1.3514699999999999</v>
      </c>
      <c r="Z109" s="22">
        <v>150.97300000000001</v>
      </c>
      <c r="AA109" s="22">
        <v>-1.6253699999999999E-2</v>
      </c>
      <c r="AB109" s="22">
        <v>99</v>
      </c>
      <c r="AC109" s="22">
        <v>1.3504</v>
      </c>
      <c r="AD109">
        <f t="shared" si="16"/>
        <v>16.253699999999998</v>
      </c>
      <c r="AE109">
        <f t="shared" si="17"/>
        <v>21.966387938999997</v>
      </c>
      <c r="AF109" s="9"/>
      <c r="AG109" s="22">
        <v>0.39856000000000003</v>
      </c>
      <c r="AH109" s="22">
        <v>230.506</v>
      </c>
      <c r="AI109" s="22">
        <v>-1.67694E-2</v>
      </c>
      <c r="AJ109" s="22">
        <v>99</v>
      </c>
      <c r="AK109" s="22">
        <v>0.397949</v>
      </c>
      <c r="AL109">
        <f t="shared" si="18"/>
        <v>16.769400000000001</v>
      </c>
      <c r="AM109">
        <f t="shared" si="19"/>
        <v>6.683612064000001</v>
      </c>
      <c r="AP109" s="9"/>
      <c r="AQ109" s="22">
        <v>1.3514699999999999</v>
      </c>
      <c r="AR109" s="22">
        <v>282.92200000000003</v>
      </c>
      <c r="AS109" s="22">
        <v>-1.6000400000000001E-2</v>
      </c>
      <c r="AT109" s="22">
        <v>99</v>
      </c>
      <c r="AU109" s="22">
        <v>1.3504</v>
      </c>
      <c r="AV109">
        <f t="shared" si="20"/>
        <v>16.000400000000003</v>
      </c>
      <c r="AW109">
        <f t="shared" si="21"/>
        <v>21.624060588000003</v>
      </c>
      <c r="AX109" s="9"/>
      <c r="AY109" s="22">
        <v>0.39856000000000003</v>
      </c>
      <c r="AZ109" s="22">
        <v>362.15300000000002</v>
      </c>
      <c r="BA109" s="22">
        <v>-1.6558799999999999E-2</v>
      </c>
      <c r="BB109" s="22">
        <v>99</v>
      </c>
      <c r="BC109" s="22">
        <v>0.39804099999999998</v>
      </c>
      <c r="BD109">
        <f t="shared" si="22"/>
        <v>16.558799999999998</v>
      </c>
      <c r="BE109">
        <f t="shared" si="23"/>
        <v>6.599675328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33.7211</v>
      </c>
      <c r="I110" s="22">
        <v>-1.6381799999999998E-2</v>
      </c>
      <c r="J110" s="22">
        <v>100</v>
      </c>
      <c r="K110" s="22">
        <v>1.3458300000000001</v>
      </c>
      <c r="L110">
        <f t="shared" si="12"/>
        <v>16.381799999999998</v>
      </c>
      <c r="M110">
        <f t="shared" si="13"/>
        <v>22.057110792</v>
      </c>
      <c r="N110" s="9"/>
      <c r="O110" s="22">
        <v>0.40359499999999998</v>
      </c>
      <c r="P110" s="22">
        <v>89.117000000000004</v>
      </c>
      <c r="Q110" s="22">
        <v>-1.7242400000000001E-2</v>
      </c>
      <c r="R110" s="22">
        <v>100</v>
      </c>
      <c r="S110" s="22">
        <v>0.40298499999999998</v>
      </c>
      <c r="T110">
        <f t="shared" si="14"/>
        <v>17.2424</v>
      </c>
      <c r="U110">
        <f t="shared" si="15"/>
        <v>6.958946428</v>
      </c>
      <c r="X110" s="9"/>
      <c r="Y110" s="22">
        <v>1.3464400000000001</v>
      </c>
      <c r="Z110" s="22">
        <v>151.07400000000001</v>
      </c>
      <c r="AA110" s="22">
        <v>-1.62811E-2</v>
      </c>
      <c r="AB110" s="22">
        <v>100</v>
      </c>
      <c r="AC110" s="22">
        <v>1.34552</v>
      </c>
      <c r="AD110">
        <f t="shared" si="16"/>
        <v>16.281099999999999</v>
      </c>
      <c r="AE110">
        <f t="shared" si="17"/>
        <v>21.921524284</v>
      </c>
      <c r="AF110" s="9"/>
      <c r="AG110" s="22">
        <v>0.40359499999999998</v>
      </c>
      <c r="AH110" s="22">
        <v>230.60599999999999</v>
      </c>
      <c r="AI110" s="22">
        <v>-1.6760299999999999E-2</v>
      </c>
      <c r="AJ110" s="22">
        <v>100</v>
      </c>
      <c r="AK110" s="22">
        <v>0.40298499999999998</v>
      </c>
      <c r="AL110">
        <f t="shared" si="18"/>
        <v>16.760299999999997</v>
      </c>
      <c r="AM110">
        <f t="shared" si="19"/>
        <v>6.764373278499999</v>
      </c>
      <c r="AP110" s="9"/>
      <c r="AQ110" s="22">
        <v>1.3464400000000001</v>
      </c>
      <c r="AR110" s="22">
        <v>283.02300000000002</v>
      </c>
      <c r="AS110" s="22">
        <v>-1.5997299999999999E-2</v>
      </c>
      <c r="AT110" s="22">
        <v>100</v>
      </c>
      <c r="AU110" s="22">
        <v>1.3458300000000001</v>
      </c>
      <c r="AV110">
        <f t="shared" si="20"/>
        <v>15.997299999999999</v>
      </c>
      <c r="AW110">
        <f t="shared" si="21"/>
        <v>21.539404611999998</v>
      </c>
      <c r="AX110" s="9"/>
      <c r="AY110" s="22">
        <v>0.40359499999999998</v>
      </c>
      <c r="AZ110" s="22">
        <v>362.25299999999999</v>
      </c>
      <c r="BA110" s="22">
        <v>-1.6531400000000002E-2</v>
      </c>
      <c r="BB110" s="22">
        <v>100</v>
      </c>
      <c r="BC110" s="22">
        <v>0.40298499999999998</v>
      </c>
      <c r="BD110">
        <f t="shared" si="22"/>
        <v>16.531400000000001</v>
      </c>
      <c r="BE110">
        <f t="shared" si="23"/>
        <v>6.6719903830000007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33.821800000000003</v>
      </c>
      <c r="I111" s="22">
        <v>-1.64154E-2</v>
      </c>
      <c r="J111" s="22">
        <v>101</v>
      </c>
      <c r="K111" s="22">
        <v>1.3406400000000001</v>
      </c>
      <c r="L111">
        <f t="shared" si="12"/>
        <v>16.415400000000002</v>
      </c>
      <c r="M111">
        <f t="shared" si="13"/>
        <v>22.01961756</v>
      </c>
      <c r="N111" s="9"/>
      <c r="O111" s="22">
        <v>0.40862999999999999</v>
      </c>
      <c r="P111" s="22">
        <v>89.217699999999994</v>
      </c>
      <c r="Q111" s="22">
        <v>-1.72607E-2</v>
      </c>
      <c r="R111" s="22">
        <v>101</v>
      </c>
      <c r="S111" s="22">
        <v>0.40799000000000002</v>
      </c>
      <c r="T111">
        <f t="shared" si="14"/>
        <v>17.2607</v>
      </c>
      <c r="U111">
        <f t="shared" si="15"/>
        <v>7.0532398409999999</v>
      </c>
      <c r="X111" s="9"/>
      <c r="Y111" s="22">
        <v>1.3413999999999999</v>
      </c>
      <c r="Z111" s="22">
        <v>151.17500000000001</v>
      </c>
      <c r="AA111" s="22">
        <v>-1.6302500000000001E-2</v>
      </c>
      <c r="AB111" s="22">
        <v>101</v>
      </c>
      <c r="AC111" s="22">
        <v>1.34033</v>
      </c>
      <c r="AD111">
        <f t="shared" si="16"/>
        <v>16.302500000000002</v>
      </c>
      <c r="AE111">
        <f t="shared" si="17"/>
        <v>21.868173500000001</v>
      </c>
      <c r="AF111" s="9"/>
      <c r="AG111" s="22">
        <v>0.40862999999999999</v>
      </c>
      <c r="AH111" s="22">
        <v>230.70699999999999</v>
      </c>
      <c r="AI111" s="22">
        <v>-1.6787699999999999E-2</v>
      </c>
      <c r="AJ111" s="22">
        <v>101</v>
      </c>
      <c r="AK111" s="22">
        <v>0.40795900000000002</v>
      </c>
      <c r="AL111">
        <f t="shared" si="18"/>
        <v>16.787699999999997</v>
      </c>
      <c r="AM111">
        <f t="shared" si="19"/>
        <v>6.859957850999999</v>
      </c>
      <c r="AP111" s="9"/>
      <c r="AQ111" s="22">
        <v>1.3413999999999999</v>
      </c>
      <c r="AR111" s="22">
        <v>283.12400000000002</v>
      </c>
      <c r="AS111" s="22">
        <v>-1.60187E-2</v>
      </c>
      <c r="AT111" s="22">
        <v>101</v>
      </c>
      <c r="AU111" s="22">
        <v>1.34033</v>
      </c>
      <c r="AV111">
        <f t="shared" si="20"/>
        <v>16.018699999999999</v>
      </c>
      <c r="AW111">
        <f t="shared" si="21"/>
        <v>21.487484179999999</v>
      </c>
      <c r="AX111" s="9"/>
      <c r="AY111" s="22">
        <v>0.40862999999999999</v>
      </c>
      <c r="AZ111" s="22">
        <v>362.35399999999998</v>
      </c>
      <c r="BA111" s="22">
        <v>-1.65253E-2</v>
      </c>
      <c r="BB111" s="22">
        <v>101</v>
      </c>
      <c r="BC111" s="22">
        <v>0.40795900000000002</v>
      </c>
      <c r="BD111">
        <f t="shared" si="22"/>
        <v>16.525300000000001</v>
      </c>
      <c r="BE111">
        <f t="shared" si="23"/>
        <v>6.7527333390000006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33.922499999999999</v>
      </c>
      <c r="I112" s="22">
        <v>-1.64154E-2</v>
      </c>
      <c r="J112" s="22">
        <v>102</v>
      </c>
      <c r="K112" s="22">
        <v>1.33575</v>
      </c>
      <c r="L112">
        <f t="shared" si="12"/>
        <v>16.415400000000002</v>
      </c>
      <c r="M112">
        <f t="shared" si="13"/>
        <v>21.936883944000002</v>
      </c>
      <c r="N112" s="9"/>
      <c r="O112" s="22">
        <v>0.41366599999999998</v>
      </c>
      <c r="P112" s="22">
        <v>89.318399999999997</v>
      </c>
      <c r="Q112" s="22">
        <v>-1.7257700000000001E-2</v>
      </c>
      <c r="R112" s="22">
        <v>102</v>
      </c>
      <c r="S112" s="22">
        <v>0.41302499999999998</v>
      </c>
      <c r="T112">
        <f t="shared" si="14"/>
        <v>17.2577</v>
      </c>
      <c r="U112">
        <f t="shared" si="15"/>
        <v>7.1389237282</v>
      </c>
      <c r="X112" s="9"/>
      <c r="Y112" s="22">
        <v>1.33636</v>
      </c>
      <c r="Z112" s="22">
        <v>151.27500000000001</v>
      </c>
      <c r="AA112" s="22">
        <v>-1.63605E-2</v>
      </c>
      <c r="AB112" s="22">
        <v>102</v>
      </c>
      <c r="AC112" s="22">
        <v>1.33606</v>
      </c>
      <c r="AD112">
        <f t="shared" si="16"/>
        <v>16.360500000000002</v>
      </c>
      <c r="AE112">
        <f t="shared" si="17"/>
        <v>21.863517780000002</v>
      </c>
      <c r="AF112" s="9"/>
      <c r="AG112" s="22">
        <v>0.41366599999999998</v>
      </c>
      <c r="AH112" s="22">
        <v>230.80799999999999</v>
      </c>
      <c r="AI112" s="22">
        <v>-1.6790800000000002E-2</v>
      </c>
      <c r="AJ112" s="22">
        <v>102</v>
      </c>
      <c r="AK112" s="22">
        <v>0.41308600000000001</v>
      </c>
      <c r="AL112">
        <f t="shared" si="18"/>
        <v>16.790800000000001</v>
      </c>
      <c r="AM112">
        <f t="shared" si="19"/>
        <v>6.9457830728000003</v>
      </c>
      <c r="AP112" s="9"/>
      <c r="AQ112" s="22">
        <v>1.33636</v>
      </c>
      <c r="AR112" s="22">
        <v>283.22399999999999</v>
      </c>
      <c r="AS112" s="22">
        <v>-1.60217E-2</v>
      </c>
      <c r="AT112" s="22">
        <v>102</v>
      </c>
      <c r="AU112" s="22">
        <v>1.33606</v>
      </c>
      <c r="AV112">
        <f t="shared" si="20"/>
        <v>16.021699999999999</v>
      </c>
      <c r="AW112">
        <f t="shared" si="21"/>
        <v>21.410759012</v>
      </c>
      <c r="AX112" s="9"/>
      <c r="AY112" s="22">
        <v>0.41366599999999998</v>
      </c>
      <c r="AZ112" s="22">
        <v>362.45499999999998</v>
      </c>
      <c r="BA112" s="22">
        <v>-1.6534400000000001E-2</v>
      </c>
      <c r="BB112" s="22">
        <v>102</v>
      </c>
      <c r="BC112" s="22">
        <v>0.41311599999999998</v>
      </c>
      <c r="BD112">
        <f t="shared" si="22"/>
        <v>16.534400000000002</v>
      </c>
      <c r="BE112">
        <f t="shared" si="23"/>
        <v>6.8397191103999999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34.023200000000003</v>
      </c>
      <c r="I113" s="22">
        <v>-1.6448999999999998E-2</v>
      </c>
      <c r="J113" s="22">
        <v>103</v>
      </c>
      <c r="K113" s="22">
        <v>1.33057</v>
      </c>
      <c r="L113">
        <f t="shared" si="12"/>
        <v>16.448999999999998</v>
      </c>
      <c r="M113">
        <f t="shared" si="13"/>
        <v>21.899047169999996</v>
      </c>
      <c r="N113" s="9"/>
      <c r="O113" s="22">
        <v>0.41870099999999999</v>
      </c>
      <c r="P113" s="22">
        <v>89.4191</v>
      </c>
      <c r="Q113" s="22">
        <v>-1.7251599999999999E-2</v>
      </c>
      <c r="R113" s="22">
        <v>103</v>
      </c>
      <c r="S113" s="22">
        <v>0.41809099999999999</v>
      </c>
      <c r="T113">
        <f t="shared" si="14"/>
        <v>17.2516</v>
      </c>
      <c r="U113">
        <f t="shared" si="15"/>
        <v>7.2232621716000001</v>
      </c>
      <c r="X113" s="9"/>
      <c r="Y113" s="22">
        <v>1.3313299999999999</v>
      </c>
      <c r="Z113" s="22">
        <v>151.376</v>
      </c>
      <c r="AA113" s="22">
        <v>-1.63483E-2</v>
      </c>
      <c r="AB113" s="22">
        <v>103</v>
      </c>
      <c r="AC113" s="22">
        <v>1.33057</v>
      </c>
      <c r="AD113">
        <f t="shared" si="16"/>
        <v>16.348299999999998</v>
      </c>
      <c r="AE113">
        <f t="shared" si="17"/>
        <v>21.764982238999995</v>
      </c>
      <c r="AF113" s="9"/>
      <c r="AG113" s="22">
        <v>0.41870099999999999</v>
      </c>
      <c r="AH113" s="22">
        <v>230.90799999999999</v>
      </c>
      <c r="AI113" s="22">
        <v>-1.6802999999999998E-2</v>
      </c>
      <c r="AJ113" s="22">
        <v>103</v>
      </c>
      <c r="AK113" s="22">
        <v>0.41805999999999999</v>
      </c>
      <c r="AL113">
        <f t="shared" si="18"/>
        <v>16.802999999999997</v>
      </c>
      <c r="AM113">
        <f t="shared" si="19"/>
        <v>7.0354329029999985</v>
      </c>
      <c r="AP113" s="9"/>
      <c r="AQ113" s="22">
        <v>1.3313299999999999</v>
      </c>
      <c r="AR113" s="22">
        <v>283.32499999999999</v>
      </c>
      <c r="AS113" s="22">
        <v>-1.60339E-2</v>
      </c>
      <c r="AT113" s="22">
        <v>103</v>
      </c>
      <c r="AU113" s="22">
        <v>1.32965</v>
      </c>
      <c r="AV113">
        <f t="shared" si="20"/>
        <v>16.033899999999999</v>
      </c>
      <c r="AW113">
        <f t="shared" si="21"/>
        <v>21.346412086999997</v>
      </c>
      <c r="AX113" s="9"/>
      <c r="AY113" s="22">
        <v>0.41870099999999999</v>
      </c>
      <c r="AZ113" s="22">
        <v>362.55500000000001</v>
      </c>
      <c r="BA113" s="22">
        <v>-1.6574100000000001E-2</v>
      </c>
      <c r="BB113" s="22">
        <v>103</v>
      </c>
      <c r="BC113" s="22">
        <v>0.41805999999999999</v>
      </c>
      <c r="BD113">
        <f t="shared" si="22"/>
        <v>16.574100000000001</v>
      </c>
      <c r="BE113">
        <f t="shared" si="23"/>
        <v>6.9395922441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34.123899999999999</v>
      </c>
      <c r="I114" s="22">
        <v>-1.6445899999999999E-2</v>
      </c>
      <c r="J114" s="22">
        <v>104</v>
      </c>
      <c r="K114" s="22">
        <v>1.32568</v>
      </c>
      <c r="L114">
        <f t="shared" si="12"/>
        <v>16.445899999999998</v>
      </c>
      <c r="M114">
        <f t="shared" si="13"/>
        <v>21.812032710999997</v>
      </c>
      <c r="N114" s="9"/>
      <c r="O114" s="22">
        <v>0.42373699999999997</v>
      </c>
      <c r="P114" s="22">
        <v>89.519800000000004</v>
      </c>
      <c r="Q114" s="22">
        <v>-1.72485E-2</v>
      </c>
      <c r="R114" s="22">
        <v>104</v>
      </c>
      <c r="S114" s="22">
        <v>0.42306500000000002</v>
      </c>
      <c r="T114">
        <f t="shared" si="14"/>
        <v>17.2485</v>
      </c>
      <c r="U114">
        <f t="shared" si="15"/>
        <v>7.3088276444999991</v>
      </c>
      <c r="X114" s="9"/>
      <c r="Y114" s="22">
        <v>1.32629</v>
      </c>
      <c r="Z114" s="22">
        <v>151.477</v>
      </c>
      <c r="AA114" s="22">
        <v>-1.6378799999999999E-2</v>
      </c>
      <c r="AB114" s="22">
        <v>104</v>
      </c>
      <c r="AC114" s="22">
        <v>1.32507</v>
      </c>
      <c r="AD114">
        <f t="shared" si="16"/>
        <v>16.378799999999998</v>
      </c>
      <c r="AE114">
        <f t="shared" si="17"/>
        <v>21.723038651999996</v>
      </c>
      <c r="AF114" s="9"/>
      <c r="AG114" s="22">
        <v>0.42373699999999997</v>
      </c>
      <c r="AH114" s="22">
        <v>231.00899999999999</v>
      </c>
      <c r="AI114" s="22">
        <v>-1.6818199999999998E-2</v>
      </c>
      <c r="AJ114" s="22">
        <v>104</v>
      </c>
      <c r="AK114" s="22">
        <v>0.42318699999999998</v>
      </c>
      <c r="AL114">
        <f t="shared" si="18"/>
        <v>16.818199999999997</v>
      </c>
      <c r="AM114">
        <f t="shared" si="19"/>
        <v>7.1264936133999983</v>
      </c>
      <c r="AP114" s="9"/>
      <c r="AQ114" s="22">
        <v>1.32629</v>
      </c>
      <c r="AR114" s="22">
        <v>283.42599999999999</v>
      </c>
      <c r="AS114" s="22">
        <v>-1.60614E-2</v>
      </c>
      <c r="AT114" s="22">
        <v>104</v>
      </c>
      <c r="AU114" s="22">
        <v>1.32599</v>
      </c>
      <c r="AV114">
        <f t="shared" si="20"/>
        <v>16.061399999999999</v>
      </c>
      <c r="AW114">
        <f t="shared" si="21"/>
        <v>21.302074205999997</v>
      </c>
      <c r="AX114" s="9"/>
      <c r="AY114" s="22">
        <v>0.42373699999999997</v>
      </c>
      <c r="AZ114" s="22">
        <v>362.65600000000001</v>
      </c>
      <c r="BA114" s="22">
        <v>-1.6586299999999998E-2</v>
      </c>
      <c r="BB114" s="22">
        <v>104</v>
      </c>
      <c r="BC114" s="22">
        <v>0.42309600000000003</v>
      </c>
      <c r="BD114">
        <f t="shared" si="22"/>
        <v>16.586299999999998</v>
      </c>
      <c r="BE114">
        <f t="shared" si="23"/>
        <v>7.028229003099999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34.224600000000002</v>
      </c>
      <c r="I115" s="22">
        <v>-1.6467300000000001E-2</v>
      </c>
      <c r="J115" s="22">
        <v>105</v>
      </c>
      <c r="K115" s="22">
        <v>1.3205</v>
      </c>
      <c r="L115">
        <f t="shared" si="12"/>
        <v>16.467300000000002</v>
      </c>
      <c r="M115">
        <f t="shared" si="13"/>
        <v>21.757584798000003</v>
      </c>
      <c r="N115" s="9"/>
      <c r="O115" s="22">
        <v>0.42877199999999999</v>
      </c>
      <c r="P115" s="22">
        <v>89.620500000000007</v>
      </c>
      <c r="Q115" s="22">
        <v>-1.72485E-2</v>
      </c>
      <c r="R115" s="22">
        <v>105</v>
      </c>
      <c r="S115" s="22">
        <v>0.42807000000000001</v>
      </c>
      <c r="T115">
        <f t="shared" si="14"/>
        <v>17.2485</v>
      </c>
      <c r="U115">
        <f t="shared" si="15"/>
        <v>7.3956738419999999</v>
      </c>
      <c r="X115" s="9"/>
      <c r="Y115" s="22">
        <v>1.3212600000000001</v>
      </c>
      <c r="Z115" s="22">
        <v>151.577</v>
      </c>
      <c r="AA115" s="22">
        <v>-1.6369600000000002E-2</v>
      </c>
      <c r="AB115" s="22">
        <v>105</v>
      </c>
      <c r="AC115" s="22">
        <v>1.3208</v>
      </c>
      <c r="AD115">
        <f t="shared" si="16"/>
        <v>16.369600000000002</v>
      </c>
      <c r="AE115">
        <f t="shared" si="17"/>
        <v>21.628497696000004</v>
      </c>
      <c r="AF115" s="9"/>
      <c r="AG115" s="22">
        <v>0.42877199999999999</v>
      </c>
      <c r="AH115" s="22">
        <v>231.11</v>
      </c>
      <c r="AI115" s="22">
        <v>-1.6802999999999998E-2</v>
      </c>
      <c r="AJ115" s="22">
        <v>105</v>
      </c>
      <c r="AK115" s="22">
        <v>0.42819200000000002</v>
      </c>
      <c r="AL115">
        <f t="shared" si="18"/>
        <v>16.802999999999997</v>
      </c>
      <c r="AM115">
        <f t="shared" si="19"/>
        <v>7.2046559159999983</v>
      </c>
      <c r="AP115" s="9"/>
      <c r="AQ115" s="22">
        <v>1.3212600000000001</v>
      </c>
      <c r="AR115" s="22">
        <v>283.52699999999999</v>
      </c>
      <c r="AS115" s="22">
        <v>-1.6095000000000002E-2</v>
      </c>
      <c r="AT115" s="22">
        <v>105</v>
      </c>
      <c r="AU115" s="22">
        <v>1.3205</v>
      </c>
      <c r="AV115">
        <f t="shared" si="20"/>
        <v>16.095000000000002</v>
      </c>
      <c r="AW115">
        <f t="shared" si="21"/>
        <v>21.265679700000003</v>
      </c>
      <c r="AX115" s="9"/>
      <c r="AY115" s="22">
        <v>0.42877199999999999</v>
      </c>
      <c r="AZ115" s="22">
        <v>362.75700000000001</v>
      </c>
      <c r="BA115" s="22">
        <v>-1.6610699999999999E-2</v>
      </c>
      <c r="BB115" s="22">
        <v>105</v>
      </c>
      <c r="BC115" s="22">
        <v>0.42813099999999998</v>
      </c>
      <c r="BD115">
        <f t="shared" si="22"/>
        <v>16.610699999999998</v>
      </c>
      <c r="BE115">
        <f t="shared" si="23"/>
        <v>7.1222030603999986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34.325299999999999</v>
      </c>
      <c r="I116" s="22">
        <v>-1.6464199999999998E-2</v>
      </c>
      <c r="J116" s="22">
        <v>106</v>
      </c>
      <c r="K116" s="22">
        <v>1.3156099999999999</v>
      </c>
      <c r="L116">
        <f t="shared" si="12"/>
        <v>16.464199999999998</v>
      </c>
      <c r="M116">
        <f t="shared" si="13"/>
        <v>21.670509323999998</v>
      </c>
      <c r="N116" s="9"/>
      <c r="O116" s="22">
        <v>0.433807</v>
      </c>
      <c r="P116" s="22">
        <v>89.721199999999996</v>
      </c>
      <c r="Q116" s="22">
        <v>-1.7242400000000001E-2</v>
      </c>
      <c r="R116" s="22">
        <v>106</v>
      </c>
      <c r="S116" s="22">
        <v>0.43307499999999999</v>
      </c>
      <c r="T116">
        <f t="shared" si="14"/>
        <v>17.2424</v>
      </c>
      <c r="U116">
        <f t="shared" si="15"/>
        <v>7.4798738167999996</v>
      </c>
      <c r="X116" s="9"/>
      <c r="Y116" s="22">
        <v>1.3162199999999999</v>
      </c>
      <c r="Z116" s="22">
        <v>151.678</v>
      </c>
      <c r="AA116" s="22">
        <v>-1.6412400000000001E-2</v>
      </c>
      <c r="AB116" s="22">
        <v>106</v>
      </c>
      <c r="AC116" s="22">
        <v>1.31531</v>
      </c>
      <c r="AD116">
        <f t="shared" si="16"/>
        <v>16.412400000000002</v>
      </c>
      <c r="AE116">
        <f t="shared" si="17"/>
        <v>21.602329128000001</v>
      </c>
      <c r="AF116" s="9"/>
      <c r="AG116" s="22">
        <v>0.433807</v>
      </c>
      <c r="AH116" s="22">
        <v>231.21</v>
      </c>
      <c r="AI116" s="22">
        <v>-1.6815199999999999E-2</v>
      </c>
      <c r="AJ116" s="22">
        <v>106</v>
      </c>
      <c r="AK116" s="22">
        <v>0.433197</v>
      </c>
      <c r="AL116">
        <f t="shared" si="18"/>
        <v>16.815199999999997</v>
      </c>
      <c r="AM116">
        <f t="shared" si="19"/>
        <v>7.2945514663999989</v>
      </c>
      <c r="AP116" s="9"/>
      <c r="AQ116" s="22">
        <v>1.3162199999999999</v>
      </c>
      <c r="AR116" s="22">
        <v>283.62700000000001</v>
      </c>
      <c r="AS116" s="22">
        <v>-1.61011E-2</v>
      </c>
      <c r="AT116" s="22">
        <v>106</v>
      </c>
      <c r="AU116" s="22">
        <v>1.31531</v>
      </c>
      <c r="AV116">
        <f t="shared" si="20"/>
        <v>16.101099999999999</v>
      </c>
      <c r="AW116">
        <f t="shared" si="21"/>
        <v>21.192589841999997</v>
      </c>
      <c r="AX116" s="9"/>
      <c r="AY116" s="22">
        <v>0.433807</v>
      </c>
      <c r="AZ116" s="22">
        <v>362.858</v>
      </c>
      <c r="BA116" s="22">
        <v>-1.6613800000000001E-2</v>
      </c>
      <c r="BB116" s="22">
        <v>106</v>
      </c>
      <c r="BC116" s="22">
        <v>0.433197</v>
      </c>
      <c r="BD116">
        <f t="shared" si="22"/>
        <v>16.613800000000001</v>
      </c>
      <c r="BE116">
        <f t="shared" si="23"/>
        <v>7.2071827366000001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34.426099999999998</v>
      </c>
      <c r="I117" s="22">
        <v>-1.6464199999999998E-2</v>
      </c>
      <c r="J117" s="22">
        <v>107</v>
      </c>
      <c r="K117" s="22">
        <v>1.31104</v>
      </c>
      <c r="L117">
        <f t="shared" si="12"/>
        <v>16.464199999999998</v>
      </c>
      <c r="M117">
        <f t="shared" si="13"/>
        <v>21.587694398</v>
      </c>
      <c r="N117" s="9"/>
      <c r="O117" s="22">
        <v>0.43884299999999998</v>
      </c>
      <c r="P117" s="22">
        <v>89.821899999999999</v>
      </c>
      <c r="Q117" s="22">
        <v>-1.7242400000000001E-2</v>
      </c>
      <c r="R117" s="22">
        <v>107</v>
      </c>
      <c r="S117" s="22">
        <v>0.43820199999999998</v>
      </c>
      <c r="T117">
        <f t="shared" si="14"/>
        <v>17.2424</v>
      </c>
      <c r="U117">
        <f t="shared" si="15"/>
        <v>7.5667065431999996</v>
      </c>
      <c r="X117" s="9"/>
      <c r="Y117" s="22">
        <v>1.3111900000000001</v>
      </c>
      <c r="Z117" s="22">
        <v>151.779</v>
      </c>
      <c r="AA117" s="22">
        <v>-1.6464199999999998E-2</v>
      </c>
      <c r="AB117" s="22">
        <v>107</v>
      </c>
      <c r="AC117" s="22">
        <v>1.31012</v>
      </c>
      <c r="AD117">
        <f t="shared" si="16"/>
        <v>16.464199999999998</v>
      </c>
      <c r="AE117">
        <f t="shared" si="17"/>
        <v>21.587694398</v>
      </c>
      <c r="AF117" s="9"/>
      <c r="AG117" s="22">
        <v>0.43884299999999998</v>
      </c>
      <c r="AH117" s="22">
        <v>231.31100000000001</v>
      </c>
      <c r="AI117" s="22">
        <v>-1.6836500000000001E-2</v>
      </c>
      <c r="AJ117" s="22">
        <v>107</v>
      </c>
      <c r="AK117" s="22">
        <v>0.43826300000000001</v>
      </c>
      <c r="AL117">
        <f t="shared" si="18"/>
        <v>16.836500000000001</v>
      </c>
      <c r="AM117">
        <f t="shared" si="19"/>
        <v>7.3885801695</v>
      </c>
      <c r="AP117" s="9"/>
      <c r="AQ117" s="22">
        <v>1.3111900000000001</v>
      </c>
      <c r="AR117" s="22">
        <v>283.72800000000001</v>
      </c>
      <c r="AS117" s="22">
        <v>-1.6137700000000001E-2</v>
      </c>
      <c r="AT117" s="22">
        <v>107</v>
      </c>
      <c r="AU117" s="22">
        <v>1.31012</v>
      </c>
      <c r="AV117">
        <f t="shared" si="20"/>
        <v>16.137700000000002</v>
      </c>
      <c r="AW117">
        <f t="shared" si="21"/>
        <v>21.159590863000005</v>
      </c>
      <c r="AX117" s="9"/>
      <c r="AY117" s="22">
        <v>0.43884299999999998</v>
      </c>
      <c r="AZ117" s="22">
        <v>362.95800000000003</v>
      </c>
      <c r="BA117" s="22">
        <v>-1.6555799999999999E-2</v>
      </c>
      <c r="BB117" s="22">
        <v>107</v>
      </c>
      <c r="BC117" s="22">
        <v>0.43826300000000001</v>
      </c>
      <c r="BD117">
        <f t="shared" si="22"/>
        <v>16.555799999999998</v>
      </c>
      <c r="BE117">
        <f t="shared" si="23"/>
        <v>7.2653969393999986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34.526800000000001</v>
      </c>
      <c r="I118" s="22">
        <v>-1.651E-2</v>
      </c>
      <c r="J118" s="22">
        <v>108</v>
      </c>
      <c r="K118" s="22">
        <v>1.30524</v>
      </c>
      <c r="L118">
        <f t="shared" si="12"/>
        <v>16.510000000000002</v>
      </c>
      <c r="M118">
        <f t="shared" si="13"/>
        <v>21.564536499999999</v>
      </c>
      <c r="N118" s="9"/>
      <c r="O118" s="22">
        <v>0.44387799999999999</v>
      </c>
      <c r="P118" s="22">
        <v>89.922600000000003</v>
      </c>
      <c r="Q118" s="22">
        <v>-1.7218000000000001E-2</v>
      </c>
      <c r="R118" s="22">
        <v>108</v>
      </c>
      <c r="S118" s="22">
        <v>0.443268</v>
      </c>
      <c r="T118">
        <f t="shared" si="14"/>
        <v>17.218</v>
      </c>
      <c r="U118">
        <f t="shared" si="15"/>
        <v>7.6426914039999998</v>
      </c>
      <c r="X118" s="9"/>
      <c r="Y118" s="22">
        <v>1.3061499999999999</v>
      </c>
      <c r="Z118" s="22">
        <v>151.88</v>
      </c>
      <c r="AA118" s="22">
        <v>-1.6473399999999999E-2</v>
      </c>
      <c r="AB118" s="22">
        <v>108</v>
      </c>
      <c r="AC118" s="22">
        <v>1.3055399999999999</v>
      </c>
      <c r="AD118">
        <f t="shared" si="16"/>
        <v>16.473399999999998</v>
      </c>
      <c r="AE118">
        <f t="shared" si="17"/>
        <v>21.516731409999995</v>
      </c>
      <c r="AF118" s="9"/>
      <c r="AG118" s="22">
        <v>0.44387799999999999</v>
      </c>
      <c r="AH118" s="22">
        <v>231.41200000000001</v>
      </c>
      <c r="AI118" s="22">
        <v>-1.6870099999999999E-2</v>
      </c>
      <c r="AJ118" s="22">
        <v>108</v>
      </c>
      <c r="AK118" s="22">
        <v>0.44329800000000003</v>
      </c>
      <c r="AL118">
        <f t="shared" si="18"/>
        <v>16.870100000000001</v>
      </c>
      <c r="AM118">
        <f t="shared" si="19"/>
        <v>7.4882662478000004</v>
      </c>
      <c r="AP118" s="9"/>
      <c r="AQ118" s="22">
        <v>1.3061499999999999</v>
      </c>
      <c r="AR118" s="22">
        <v>283.82900000000001</v>
      </c>
      <c r="AS118" s="22">
        <v>-1.6186499999999999E-2</v>
      </c>
      <c r="AT118" s="22">
        <v>108</v>
      </c>
      <c r="AU118" s="22">
        <v>1.3055399999999999</v>
      </c>
      <c r="AV118">
        <f t="shared" si="20"/>
        <v>16.186499999999999</v>
      </c>
      <c r="AW118">
        <f t="shared" si="21"/>
        <v>21.141996974999998</v>
      </c>
      <c r="AX118" s="9"/>
      <c r="AY118" s="22">
        <v>0.44387799999999999</v>
      </c>
      <c r="AZ118" s="22">
        <v>363.05900000000003</v>
      </c>
      <c r="BA118" s="22">
        <v>-1.6534400000000001E-2</v>
      </c>
      <c r="BB118" s="22">
        <v>108</v>
      </c>
      <c r="BC118" s="22">
        <v>0.443359</v>
      </c>
      <c r="BD118">
        <f t="shared" si="22"/>
        <v>16.534400000000002</v>
      </c>
      <c r="BE118">
        <f t="shared" si="23"/>
        <v>7.3392564032000003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34.627499999999998</v>
      </c>
      <c r="I119" s="22">
        <v>-1.6513099999999999E-2</v>
      </c>
      <c r="J119" s="22">
        <v>109</v>
      </c>
      <c r="K119" s="22">
        <v>1.3006599999999999</v>
      </c>
      <c r="L119">
        <f t="shared" si="12"/>
        <v>16.513099999999998</v>
      </c>
      <c r="M119">
        <f t="shared" si="13"/>
        <v>21.485524671999997</v>
      </c>
      <c r="N119" s="9"/>
      <c r="O119" s="22">
        <v>0.44891399999999998</v>
      </c>
      <c r="P119" s="22">
        <v>90.023300000000006</v>
      </c>
      <c r="Q119" s="22">
        <v>-1.72363E-2</v>
      </c>
      <c r="R119" s="22">
        <v>109</v>
      </c>
      <c r="S119" s="22">
        <v>0.44812000000000002</v>
      </c>
      <c r="T119">
        <f t="shared" si="14"/>
        <v>17.2363</v>
      </c>
      <c r="U119">
        <f t="shared" si="15"/>
        <v>7.7376163781999994</v>
      </c>
      <c r="X119" s="9"/>
      <c r="Y119" s="22">
        <v>1.3011200000000001</v>
      </c>
      <c r="Z119" s="22">
        <v>151.97999999999999</v>
      </c>
      <c r="AA119" s="22">
        <v>-1.6482500000000001E-2</v>
      </c>
      <c r="AB119" s="22">
        <v>109</v>
      </c>
      <c r="AC119" s="22">
        <v>1.3009599999999999</v>
      </c>
      <c r="AD119">
        <f t="shared" si="16"/>
        <v>16.482500000000002</v>
      </c>
      <c r="AE119">
        <f t="shared" si="17"/>
        <v>21.445710400000003</v>
      </c>
      <c r="AF119" s="9"/>
      <c r="AG119" s="22">
        <v>0.44891399999999998</v>
      </c>
      <c r="AH119" s="22">
        <v>231.51300000000001</v>
      </c>
      <c r="AI119" s="22">
        <v>-1.6876200000000001E-2</v>
      </c>
      <c r="AJ119" s="22">
        <v>109</v>
      </c>
      <c r="AK119" s="22">
        <v>0.44833400000000001</v>
      </c>
      <c r="AL119">
        <f t="shared" si="18"/>
        <v>16.876200000000001</v>
      </c>
      <c r="AM119">
        <f t="shared" si="19"/>
        <v>7.5759624468000002</v>
      </c>
      <c r="AP119" s="9"/>
      <c r="AQ119" s="22">
        <v>1.3011200000000001</v>
      </c>
      <c r="AR119" s="22">
        <v>283.92899999999997</v>
      </c>
      <c r="AS119" s="22">
        <v>-1.6168200000000001E-2</v>
      </c>
      <c r="AT119" s="22">
        <v>109</v>
      </c>
      <c r="AU119" s="22">
        <v>1.3003499999999999</v>
      </c>
      <c r="AV119">
        <f t="shared" si="20"/>
        <v>16.168200000000002</v>
      </c>
      <c r="AW119">
        <f t="shared" si="21"/>
        <v>21.036768384000005</v>
      </c>
      <c r="AX119" s="9"/>
      <c r="AY119" s="22">
        <v>0.44891399999999998</v>
      </c>
      <c r="AZ119" s="22">
        <v>363.16</v>
      </c>
      <c r="BA119" s="22">
        <v>-1.65527E-2</v>
      </c>
      <c r="BB119" s="22">
        <v>109</v>
      </c>
      <c r="BC119" s="22">
        <v>0.44842500000000002</v>
      </c>
      <c r="BD119">
        <f t="shared" si="22"/>
        <v>16.552700000000002</v>
      </c>
      <c r="BE119">
        <f t="shared" si="23"/>
        <v>7.4307387678000003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34.728200000000001</v>
      </c>
      <c r="I120" s="22">
        <v>-1.6519200000000001E-2</v>
      </c>
      <c r="J120" s="22">
        <v>110</v>
      </c>
      <c r="K120" s="22">
        <v>1.2951699999999999</v>
      </c>
      <c r="L120">
        <f t="shared" si="12"/>
        <v>16.519200000000001</v>
      </c>
      <c r="M120">
        <f t="shared" si="13"/>
        <v>21.410204736000001</v>
      </c>
      <c r="N120" s="9"/>
      <c r="O120" s="22">
        <v>0.45394899999999999</v>
      </c>
      <c r="P120" s="22">
        <v>90.123999999999995</v>
      </c>
      <c r="Q120" s="22">
        <v>-1.7218000000000001E-2</v>
      </c>
      <c r="R120" s="22">
        <v>110</v>
      </c>
      <c r="S120" s="22">
        <v>0.45327800000000001</v>
      </c>
      <c r="T120">
        <f t="shared" si="14"/>
        <v>17.218</v>
      </c>
      <c r="U120">
        <f t="shared" si="15"/>
        <v>7.8160938819999997</v>
      </c>
      <c r="X120" s="9"/>
      <c r="Y120" s="22">
        <v>1.2960799999999999</v>
      </c>
      <c r="Z120" s="22">
        <v>152.08099999999999</v>
      </c>
      <c r="AA120" s="22">
        <v>-1.6482500000000001E-2</v>
      </c>
      <c r="AB120" s="22">
        <v>110</v>
      </c>
      <c r="AC120" s="22">
        <v>1.2948599999999999</v>
      </c>
      <c r="AD120">
        <f t="shared" si="16"/>
        <v>16.482500000000002</v>
      </c>
      <c r="AE120">
        <f t="shared" si="17"/>
        <v>21.3626386</v>
      </c>
      <c r="AF120" s="9"/>
      <c r="AG120" s="22">
        <v>0.45394899999999999</v>
      </c>
      <c r="AH120" s="22">
        <v>231.613</v>
      </c>
      <c r="AI120" s="22">
        <v>-1.6857899999999999E-2</v>
      </c>
      <c r="AJ120" s="22">
        <v>110</v>
      </c>
      <c r="AK120" s="22">
        <v>0.453461</v>
      </c>
      <c r="AL120">
        <f t="shared" si="18"/>
        <v>16.857899999999997</v>
      </c>
      <c r="AM120">
        <f t="shared" si="19"/>
        <v>7.6526268470999987</v>
      </c>
      <c r="AP120" s="9"/>
      <c r="AQ120" s="22">
        <v>1.2960799999999999</v>
      </c>
      <c r="AR120" s="22">
        <v>284.02999999999997</v>
      </c>
      <c r="AS120" s="22">
        <v>-1.6216999999999999E-2</v>
      </c>
      <c r="AT120" s="22">
        <v>110</v>
      </c>
      <c r="AU120" s="22">
        <v>1.2951699999999999</v>
      </c>
      <c r="AV120">
        <f t="shared" si="20"/>
        <v>16.216999999999999</v>
      </c>
      <c r="AW120">
        <f t="shared" si="21"/>
        <v>21.018529359999995</v>
      </c>
      <c r="AX120" s="9"/>
      <c r="AY120" s="22">
        <v>0.45394899999999999</v>
      </c>
      <c r="AZ120" s="22">
        <v>363.26</v>
      </c>
      <c r="BA120" s="22">
        <v>-1.6567999999999999E-2</v>
      </c>
      <c r="BB120" s="22">
        <v>110</v>
      </c>
      <c r="BC120" s="22">
        <v>0.45340000000000003</v>
      </c>
      <c r="BD120">
        <f t="shared" si="22"/>
        <v>16.567999999999998</v>
      </c>
      <c r="BE120">
        <f t="shared" si="23"/>
        <v>7.5210270319999992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34.828899999999997</v>
      </c>
      <c r="I121" s="22">
        <v>-1.6528299999999999E-2</v>
      </c>
      <c r="J121" s="22">
        <v>111</v>
      </c>
      <c r="K121" s="22">
        <v>1.2902800000000001</v>
      </c>
      <c r="L121">
        <f t="shared" si="12"/>
        <v>16.528299999999998</v>
      </c>
      <c r="M121">
        <f t="shared" si="13"/>
        <v>21.338861714999997</v>
      </c>
      <c r="N121" s="9"/>
      <c r="O121" s="22">
        <v>0.458984</v>
      </c>
      <c r="P121" s="22">
        <v>90.224699999999999</v>
      </c>
      <c r="Q121" s="22">
        <v>-1.7218000000000001E-2</v>
      </c>
      <c r="R121" s="22">
        <v>111</v>
      </c>
      <c r="S121" s="22">
        <v>0.45828200000000002</v>
      </c>
      <c r="T121">
        <f t="shared" si="14"/>
        <v>17.218</v>
      </c>
      <c r="U121">
        <f t="shared" si="15"/>
        <v>7.9027865119999996</v>
      </c>
      <c r="X121" s="9"/>
      <c r="Y121" s="22">
        <v>1.29105</v>
      </c>
      <c r="Z121" s="22">
        <v>152.18199999999999</v>
      </c>
      <c r="AA121" s="22">
        <v>-1.6531400000000002E-2</v>
      </c>
      <c r="AB121" s="22">
        <v>111</v>
      </c>
      <c r="AC121" s="22">
        <v>1.2905899999999999</v>
      </c>
      <c r="AD121">
        <f t="shared" si="16"/>
        <v>16.531400000000001</v>
      </c>
      <c r="AE121">
        <f t="shared" si="17"/>
        <v>21.342863970000003</v>
      </c>
      <c r="AF121" s="9"/>
      <c r="AG121" s="22">
        <v>0.458984</v>
      </c>
      <c r="AH121" s="22">
        <v>231.714</v>
      </c>
      <c r="AI121" s="22">
        <v>-1.6842699999999999E-2</v>
      </c>
      <c r="AJ121" s="22">
        <v>111</v>
      </c>
      <c r="AK121" s="22">
        <v>0.45828200000000002</v>
      </c>
      <c r="AL121">
        <f t="shared" si="18"/>
        <v>16.842699999999997</v>
      </c>
      <c r="AM121">
        <f t="shared" si="19"/>
        <v>7.730529816799999</v>
      </c>
      <c r="AP121" s="9"/>
      <c r="AQ121" s="22">
        <v>1.29105</v>
      </c>
      <c r="AR121" s="22">
        <v>284.13099999999997</v>
      </c>
      <c r="AS121" s="22">
        <v>-1.6207900000000001E-2</v>
      </c>
      <c r="AT121" s="22">
        <v>111</v>
      </c>
      <c r="AU121" s="22">
        <v>1.2899799999999999</v>
      </c>
      <c r="AV121">
        <f t="shared" si="20"/>
        <v>16.207900000000002</v>
      </c>
      <c r="AW121">
        <f t="shared" si="21"/>
        <v>20.925209295000002</v>
      </c>
      <c r="AX121" s="9"/>
      <c r="AY121" s="22">
        <v>0.458984</v>
      </c>
      <c r="AZ121" s="22">
        <v>363.36099999999999</v>
      </c>
      <c r="BA121" s="22">
        <v>-1.6543599999999999E-2</v>
      </c>
      <c r="BB121" s="22">
        <v>111</v>
      </c>
      <c r="BC121" s="22">
        <v>0.45843499999999998</v>
      </c>
      <c r="BD121">
        <f t="shared" si="22"/>
        <v>16.543599999999998</v>
      </c>
      <c r="BE121">
        <f t="shared" si="23"/>
        <v>7.5932477023999994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34.929600000000001</v>
      </c>
      <c r="I122" s="22">
        <v>-1.65375E-2</v>
      </c>
      <c r="J122" s="22">
        <v>112</v>
      </c>
      <c r="K122" s="22">
        <v>1.2850999999999999</v>
      </c>
      <c r="L122">
        <f t="shared" si="12"/>
        <v>16.537500000000001</v>
      </c>
      <c r="M122">
        <f t="shared" si="13"/>
        <v>21.267390375000005</v>
      </c>
      <c r="N122" s="9"/>
      <c r="O122" s="22">
        <v>0.46401999999999999</v>
      </c>
      <c r="P122" s="22">
        <v>90.325400000000002</v>
      </c>
      <c r="Q122" s="22">
        <v>-1.7211899999999999E-2</v>
      </c>
      <c r="R122" s="22">
        <v>112</v>
      </c>
      <c r="S122" s="22">
        <v>0.46340900000000002</v>
      </c>
      <c r="T122">
        <f t="shared" si="14"/>
        <v>17.2119</v>
      </c>
      <c r="U122">
        <f t="shared" si="15"/>
        <v>7.9866658379999995</v>
      </c>
      <c r="X122" s="9"/>
      <c r="Y122" s="22">
        <v>1.2860100000000001</v>
      </c>
      <c r="Z122" s="22">
        <v>152.28200000000001</v>
      </c>
      <c r="AA122" s="22">
        <v>-1.6534400000000001E-2</v>
      </c>
      <c r="AB122" s="22">
        <v>112</v>
      </c>
      <c r="AC122" s="22">
        <v>1.2854000000000001</v>
      </c>
      <c r="AD122">
        <f t="shared" si="16"/>
        <v>16.534400000000002</v>
      </c>
      <c r="AE122">
        <f t="shared" si="17"/>
        <v>21.263403744000005</v>
      </c>
      <c r="AF122" s="9"/>
      <c r="AG122" s="22">
        <v>0.46401999999999999</v>
      </c>
      <c r="AH122" s="22">
        <v>231.815</v>
      </c>
      <c r="AI122" s="22">
        <v>-1.67847E-2</v>
      </c>
      <c r="AJ122" s="22">
        <v>112</v>
      </c>
      <c r="AK122" s="22">
        <v>0.46337899999999999</v>
      </c>
      <c r="AL122">
        <f t="shared" si="18"/>
        <v>16.784700000000001</v>
      </c>
      <c r="AM122">
        <f t="shared" si="19"/>
        <v>7.7884364939999999</v>
      </c>
      <c r="AP122" s="9"/>
      <c r="AQ122" s="22">
        <v>1.2860100000000001</v>
      </c>
      <c r="AR122" s="22">
        <v>284.23200000000003</v>
      </c>
      <c r="AS122" s="22">
        <v>-1.6220100000000001E-2</v>
      </c>
      <c r="AT122" s="22">
        <v>112</v>
      </c>
      <c r="AU122" s="22">
        <v>1.2854000000000001</v>
      </c>
      <c r="AV122">
        <f t="shared" si="20"/>
        <v>16.220100000000002</v>
      </c>
      <c r="AW122">
        <f t="shared" si="21"/>
        <v>20.859210801000003</v>
      </c>
      <c r="AX122" s="9"/>
      <c r="AY122" s="22">
        <v>0.46401999999999999</v>
      </c>
      <c r="AZ122" s="22">
        <v>363.46199999999999</v>
      </c>
      <c r="BA122" s="22">
        <v>-1.6500899999999999E-2</v>
      </c>
      <c r="BB122" s="22">
        <v>112</v>
      </c>
      <c r="BC122" s="22">
        <v>0.46346999999999999</v>
      </c>
      <c r="BD122">
        <f t="shared" si="22"/>
        <v>16.500899999999998</v>
      </c>
      <c r="BE122">
        <f t="shared" si="23"/>
        <v>7.6567476179999989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35.030299999999997</v>
      </c>
      <c r="I123" s="22">
        <v>-1.6543599999999999E-2</v>
      </c>
      <c r="J123" s="22">
        <v>113</v>
      </c>
      <c r="K123" s="22">
        <v>1.2799100000000001</v>
      </c>
      <c r="L123">
        <f t="shared" si="12"/>
        <v>16.543599999999998</v>
      </c>
      <c r="M123">
        <f t="shared" si="13"/>
        <v>21.192020727999996</v>
      </c>
      <c r="N123" s="9"/>
      <c r="O123" s="22">
        <v>0.469055</v>
      </c>
      <c r="P123" s="22">
        <v>90.426199999999994</v>
      </c>
      <c r="Q123" s="22">
        <v>-1.72211E-2</v>
      </c>
      <c r="R123" s="22">
        <v>113</v>
      </c>
      <c r="S123" s="22">
        <v>0.46838400000000002</v>
      </c>
      <c r="T123">
        <f t="shared" si="14"/>
        <v>17.2211</v>
      </c>
      <c r="U123">
        <f t="shared" si="15"/>
        <v>8.0776430604999998</v>
      </c>
      <c r="X123" s="9"/>
      <c r="Y123" s="22">
        <v>1.28098</v>
      </c>
      <c r="Z123" s="22">
        <v>152.38300000000001</v>
      </c>
      <c r="AA123" s="22">
        <v>-1.65527E-2</v>
      </c>
      <c r="AB123" s="22">
        <v>113</v>
      </c>
      <c r="AC123" s="22">
        <v>1.2799100000000001</v>
      </c>
      <c r="AD123">
        <f t="shared" si="16"/>
        <v>16.552700000000002</v>
      </c>
      <c r="AE123">
        <f t="shared" si="17"/>
        <v>21.203677646000003</v>
      </c>
      <c r="AF123" s="9"/>
      <c r="AG123" s="22">
        <v>0.469055</v>
      </c>
      <c r="AH123" s="22">
        <v>231.91499999999999</v>
      </c>
      <c r="AI123" s="22">
        <v>-1.6815199999999999E-2</v>
      </c>
      <c r="AJ123" s="22">
        <v>113</v>
      </c>
      <c r="AK123" s="22">
        <v>0.46838400000000002</v>
      </c>
      <c r="AL123">
        <f t="shared" si="18"/>
        <v>16.815199999999997</v>
      </c>
      <c r="AM123">
        <f t="shared" si="19"/>
        <v>7.8872536359999987</v>
      </c>
      <c r="AP123" s="9"/>
      <c r="AQ123" s="22">
        <v>1.28098</v>
      </c>
      <c r="AR123" s="22">
        <v>284.33199999999999</v>
      </c>
      <c r="AS123" s="22">
        <v>-1.6204799999999998E-2</v>
      </c>
      <c r="AT123" s="22">
        <v>113</v>
      </c>
      <c r="AU123" s="22">
        <v>1.2802100000000001</v>
      </c>
      <c r="AV123">
        <f t="shared" si="20"/>
        <v>16.204799999999999</v>
      </c>
      <c r="AW123">
        <f t="shared" si="21"/>
        <v>20.758024703999997</v>
      </c>
      <c r="AX123" s="9"/>
      <c r="AY123" s="22">
        <v>0.469055</v>
      </c>
      <c r="AZ123" s="22">
        <v>363.56299999999999</v>
      </c>
      <c r="BA123" s="22">
        <v>-1.6519200000000001E-2</v>
      </c>
      <c r="BB123" s="22">
        <v>113</v>
      </c>
      <c r="BC123" s="22">
        <v>0.46847499999999997</v>
      </c>
      <c r="BD123">
        <f t="shared" si="22"/>
        <v>16.519200000000001</v>
      </c>
      <c r="BE123">
        <f t="shared" si="23"/>
        <v>7.7484133560000004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35.131</v>
      </c>
      <c r="I124" s="22">
        <v>-1.6567999999999999E-2</v>
      </c>
      <c r="J124" s="22">
        <v>114</v>
      </c>
      <c r="K124" s="22">
        <v>1.27502</v>
      </c>
      <c r="L124">
        <f t="shared" si="12"/>
        <v>16.567999999999998</v>
      </c>
      <c r="M124">
        <f t="shared" si="13"/>
        <v>21.13977392</v>
      </c>
      <c r="N124" s="9"/>
      <c r="O124" s="22">
        <v>0.47409099999999998</v>
      </c>
      <c r="P124" s="22">
        <v>90.526899999999998</v>
      </c>
      <c r="Q124" s="22">
        <v>-1.7227200000000002E-2</v>
      </c>
      <c r="R124" s="22">
        <v>114</v>
      </c>
      <c r="S124" s="22">
        <v>0.47354099999999999</v>
      </c>
      <c r="T124">
        <f t="shared" si="14"/>
        <v>17.2272</v>
      </c>
      <c r="U124">
        <f t="shared" si="15"/>
        <v>8.1672604751999991</v>
      </c>
      <c r="X124" s="9"/>
      <c r="Y124" s="22">
        <v>1.2759400000000001</v>
      </c>
      <c r="Z124" s="22">
        <v>152.48400000000001</v>
      </c>
      <c r="AA124" s="22">
        <v>-1.6534400000000001E-2</v>
      </c>
      <c r="AB124" s="22">
        <v>114</v>
      </c>
      <c r="AC124" s="22">
        <v>1.27502</v>
      </c>
      <c r="AD124">
        <f t="shared" si="16"/>
        <v>16.534400000000002</v>
      </c>
      <c r="AE124">
        <f t="shared" si="17"/>
        <v>21.096902336000003</v>
      </c>
      <c r="AF124" s="9"/>
      <c r="AG124" s="22">
        <v>0.47409099999999998</v>
      </c>
      <c r="AH124" s="22">
        <v>232.01599999999999</v>
      </c>
      <c r="AI124" s="22">
        <v>-1.6842699999999999E-2</v>
      </c>
      <c r="AJ124" s="22">
        <v>114</v>
      </c>
      <c r="AK124" s="22">
        <v>0.47351100000000002</v>
      </c>
      <c r="AL124">
        <f t="shared" si="18"/>
        <v>16.842699999999997</v>
      </c>
      <c r="AM124">
        <f t="shared" si="19"/>
        <v>7.9849724856999984</v>
      </c>
      <c r="AP124" s="9"/>
      <c r="AQ124" s="22">
        <v>1.2759400000000001</v>
      </c>
      <c r="AR124" s="22">
        <v>284.43299999999999</v>
      </c>
      <c r="AS124" s="22">
        <v>-1.62109E-2</v>
      </c>
      <c r="AT124" s="22">
        <v>114</v>
      </c>
      <c r="AU124" s="22">
        <v>1.2753300000000001</v>
      </c>
      <c r="AV124">
        <f t="shared" si="20"/>
        <v>16.210899999999999</v>
      </c>
      <c r="AW124">
        <f t="shared" si="21"/>
        <v>20.684135745999999</v>
      </c>
      <c r="AX124" s="9"/>
      <c r="AY124" s="22">
        <v>0.47409099999999998</v>
      </c>
      <c r="AZ124" s="22">
        <v>363.66300000000001</v>
      </c>
      <c r="BA124" s="22">
        <v>-1.6534400000000001E-2</v>
      </c>
      <c r="BB124" s="22">
        <v>114</v>
      </c>
      <c r="BC124" s="22">
        <v>0.47344999999999998</v>
      </c>
      <c r="BD124">
        <f t="shared" si="22"/>
        <v>16.534400000000002</v>
      </c>
      <c r="BE124">
        <f t="shared" si="23"/>
        <v>7.8388102304000009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35.231699999999996</v>
      </c>
      <c r="I125" s="22">
        <v>-1.65649E-2</v>
      </c>
      <c r="J125" s="22">
        <v>115</v>
      </c>
      <c r="K125" s="22">
        <v>1.27014</v>
      </c>
      <c r="L125">
        <f t="shared" si="12"/>
        <v>16.564900000000002</v>
      </c>
      <c r="M125">
        <f t="shared" si="13"/>
        <v>21.052331410000001</v>
      </c>
      <c r="N125" s="9"/>
      <c r="O125" s="22">
        <v>0.479126</v>
      </c>
      <c r="P125" s="22">
        <v>90.627600000000001</v>
      </c>
      <c r="Q125" s="22">
        <v>-1.7224099999999999E-2</v>
      </c>
      <c r="R125" s="22">
        <v>115</v>
      </c>
      <c r="S125" s="22">
        <v>0.47857699999999997</v>
      </c>
      <c r="T125">
        <f t="shared" si="14"/>
        <v>17.2241</v>
      </c>
      <c r="U125">
        <f t="shared" si="15"/>
        <v>8.2525141366000003</v>
      </c>
      <c r="X125" s="9"/>
      <c r="Y125" s="22">
        <v>1.2708999999999999</v>
      </c>
      <c r="Z125" s="22">
        <v>152.58500000000001</v>
      </c>
      <c r="AA125" s="22">
        <v>-1.6555799999999999E-2</v>
      </c>
      <c r="AB125" s="22">
        <v>115</v>
      </c>
      <c r="AC125" s="22">
        <v>1.2704500000000001</v>
      </c>
      <c r="AD125">
        <f t="shared" si="16"/>
        <v>16.555799999999998</v>
      </c>
      <c r="AE125">
        <f t="shared" si="17"/>
        <v>21.040766219999995</v>
      </c>
      <c r="AF125" s="9"/>
      <c r="AG125" s="22">
        <v>0.479126</v>
      </c>
      <c r="AH125" s="22">
        <v>232.11699999999999</v>
      </c>
      <c r="AI125" s="22">
        <v>-1.68396E-2</v>
      </c>
      <c r="AJ125" s="22">
        <v>115</v>
      </c>
      <c r="AK125" s="22">
        <v>0.47854600000000003</v>
      </c>
      <c r="AL125">
        <f t="shared" si="18"/>
        <v>16.839600000000001</v>
      </c>
      <c r="AM125">
        <f t="shared" si="19"/>
        <v>8.0682901896000008</v>
      </c>
      <c r="AP125" s="9"/>
      <c r="AQ125" s="22">
        <v>1.2708999999999999</v>
      </c>
      <c r="AR125" s="22">
        <v>284.53399999999999</v>
      </c>
      <c r="AS125" s="22">
        <v>-1.62262E-2</v>
      </c>
      <c r="AT125" s="22">
        <v>115</v>
      </c>
      <c r="AU125" s="22">
        <v>1.27075</v>
      </c>
      <c r="AV125">
        <f t="shared" si="20"/>
        <v>16.226199999999999</v>
      </c>
      <c r="AW125">
        <f t="shared" si="21"/>
        <v>20.621877579999996</v>
      </c>
      <c r="AX125" s="9"/>
      <c r="AY125" s="22">
        <v>0.479126</v>
      </c>
      <c r="AZ125" s="22">
        <v>363.76400000000001</v>
      </c>
      <c r="BA125" s="22">
        <v>-1.6546600000000002E-2</v>
      </c>
      <c r="BB125" s="22">
        <v>115</v>
      </c>
      <c r="BC125" s="22">
        <v>0.47848499999999999</v>
      </c>
      <c r="BD125">
        <f t="shared" si="22"/>
        <v>16.546600000000002</v>
      </c>
      <c r="BE125">
        <f t="shared" si="23"/>
        <v>7.9279062716000004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35.3324</v>
      </c>
      <c r="I126" s="22">
        <v>-1.6589400000000001E-2</v>
      </c>
      <c r="J126" s="22">
        <v>116</v>
      </c>
      <c r="K126" s="22">
        <v>1.26556</v>
      </c>
      <c r="L126">
        <f t="shared" si="12"/>
        <v>16.589400000000001</v>
      </c>
      <c r="M126">
        <f t="shared" si="13"/>
        <v>21.000023778000003</v>
      </c>
      <c r="N126" s="9"/>
      <c r="O126" s="22">
        <v>0.48416100000000001</v>
      </c>
      <c r="P126" s="22">
        <v>90.728300000000004</v>
      </c>
      <c r="Q126" s="22">
        <v>-1.7208899999999999E-2</v>
      </c>
      <c r="R126" s="22">
        <v>116</v>
      </c>
      <c r="S126" s="22">
        <v>0.48355100000000001</v>
      </c>
      <c r="T126">
        <f t="shared" si="14"/>
        <v>17.2089</v>
      </c>
      <c r="U126">
        <f t="shared" si="15"/>
        <v>8.3318782328999994</v>
      </c>
      <c r="X126" s="9"/>
      <c r="Y126" s="22">
        <v>1.2658700000000001</v>
      </c>
      <c r="Z126" s="22">
        <v>152.685</v>
      </c>
      <c r="AA126" s="22">
        <v>-1.6577100000000001E-2</v>
      </c>
      <c r="AB126" s="22">
        <v>116</v>
      </c>
      <c r="AC126" s="22">
        <v>1.2646500000000001</v>
      </c>
      <c r="AD126">
        <f t="shared" si="16"/>
        <v>16.577100000000002</v>
      </c>
      <c r="AE126">
        <f t="shared" si="17"/>
        <v>20.984453577000004</v>
      </c>
      <c r="AF126" s="9"/>
      <c r="AG126" s="22">
        <v>0.48416100000000001</v>
      </c>
      <c r="AH126" s="22">
        <v>232.21799999999999</v>
      </c>
      <c r="AI126" s="22">
        <v>-1.67999E-2</v>
      </c>
      <c r="AJ126" s="22">
        <v>116</v>
      </c>
      <c r="AK126" s="22">
        <v>0.48348999999999998</v>
      </c>
      <c r="AL126">
        <f t="shared" si="18"/>
        <v>16.799900000000001</v>
      </c>
      <c r="AM126">
        <f t="shared" si="19"/>
        <v>8.1338563839000013</v>
      </c>
      <c r="AP126" s="9"/>
      <c r="AQ126" s="22">
        <v>1.2658700000000001</v>
      </c>
      <c r="AR126" s="22">
        <v>284.63400000000001</v>
      </c>
      <c r="AS126" s="22">
        <v>-1.6275000000000001E-2</v>
      </c>
      <c r="AT126" s="22">
        <v>116</v>
      </c>
      <c r="AU126" s="22">
        <v>1.2652600000000001</v>
      </c>
      <c r="AV126">
        <f t="shared" si="20"/>
        <v>16.275000000000002</v>
      </c>
      <c r="AW126">
        <f t="shared" si="21"/>
        <v>20.602034250000003</v>
      </c>
      <c r="AX126" s="9"/>
      <c r="AY126" s="22">
        <v>0.48416100000000001</v>
      </c>
      <c r="AZ126" s="22">
        <v>363.86500000000001</v>
      </c>
      <c r="BA126" s="22">
        <v>-1.6567999999999999E-2</v>
      </c>
      <c r="BB126" s="22">
        <v>116</v>
      </c>
      <c r="BC126" s="22">
        <v>0.48345900000000003</v>
      </c>
      <c r="BD126">
        <f t="shared" si="22"/>
        <v>16.567999999999998</v>
      </c>
      <c r="BE126">
        <f t="shared" si="23"/>
        <v>8.0215794479999989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35.433100000000003</v>
      </c>
      <c r="I127" s="22">
        <v>-1.65924E-2</v>
      </c>
      <c r="J127" s="22">
        <v>117</v>
      </c>
      <c r="K127" s="22">
        <v>1.2603800000000001</v>
      </c>
      <c r="L127">
        <f t="shared" si="12"/>
        <v>16.592400000000001</v>
      </c>
      <c r="M127">
        <f t="shared" si="13"/>
        <v>20.920195692</v>
      </c>
      <c r="N127" s="9"/>
      <c r="O127" s="22">
        <v>0.48919699999999999</v>
      </c>
      <c r="P127" s="22">
        <v>90.828999999999994</v>
      </c>
      <c r="Q127" s="22">
        <v>-1.7199699999999998E-2</v>
      </c>
      <c r="R127" s="22">
        <v>117</v>
      </c>
      <c r="S127" s="22">
        <v>0.48843399999999998</v>
      </c>
      <c r="T127">
        <f t="shared" si="14"/>
        <v>17.1997</v>
      </c>
      <c r="U127">
        <f t="shared" si="15"/>
        <v>8.4140416409000007</v>
      </c>
      <c r="X127" s="9"/>
      <c r="Y127" s="22">
        <v>1.2608299999999999</v>
      </c>
      <c r="Z127" s="22">
        <v>152.786</v>
      </c>
      <c r="AA127" s="22">
        <v>-1.6595499999999999E-2</v>
      </c>
      <c r="AB127" s="22">
        <v>117</v>
      </c>
      <c r="AC127" s="22">
        <v>1.2597700000000001</v>
      </c>
      <c r="AD127">
        <f t="shared" si="16"/>
        <v>16.595499999999998</v>
      </c>
      <c r="AE127">
        <f t="shared" si="17"/>
        <v>20.924104264999997</v>
      </c>
      <c r="AF127" s="9"/>
      <c r="AG127" s="22">
        <v>0.48919699999999999</v>
      </c>
      <c r="AH127" s="22">
        <v>232.31800000000001</v>
      </c>
      <c r="AI127" s="22">
        <v>-1.67847E-2</v>
      </c>
      <c r="AJ127" s="22">
        <v>117</v>
      </c>
      <c r="AK127" s="22">
        <v>0.48858600000000002</v>
      </c>
      <c r="AL127">
        <f t="shared" si="18"/>
        <v>16.784700000000001</v>
      </c>
      <c r="AM127">
        <f t="shared" si="19"/>
        <v>8.2110248859000006</v>
      </c>
      <c r="AP127" s="9"/>
      <c r="AQ127" s="22">
        <v>1.2608299999999999</v>
      </c>
      <c r="AR127" s="22">
        <v>284.73500000000001</v>
      </c>
      <c r="AS127" s="22">
        <v>-1.6259800000000001E-2</v>
      </c>
      <c r="AT127" s="22">
        <v>117</v>
      </c>
      <c r="AU127" s="22">
        <v>1.2603800000000001</v>
      </c>
      <c r="AV127">
        <f t="shared" si="20"/>
        <v>16.259800000000002</v>
      </c>
      <c r="AW127">
        <f t="shared" si="21"/>
        <v>20.500843634000002</v>
      </c>
      <c r="AX127" s="9"/>
      <c r="AY127" s="22">
        <v>0.48919699999999999</v>
      </c>
      <c r="AZ127" s="22">
        <v>363.96499999999997</v>
      </c>
      <c r="BA127" s="22">
        <v>-1.66077E-2</v>
      </c>
      <c r="BB127" s="22">
        <v>117</v>
      </c>
      <c r="BC127" s="22">
        <v>0.48855599999999999</v>
      </c>
      <c r="BD127">
        <f t="shared" si="22"/>
        <v>16.607700000000001</v>
      </c>
      <c r="BE127">
        <f t="shared" si="23"/>
        <v>8.1244370169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35.533799999999999</v>
      </c>
      <c r="I128" s="22">
        <v>-1.6610699999999999E-2</v>
      </c>
      <c r="J128" s="22">
        <v>118</v>
      </c>
      <c r="K128" s="22">
        <v>1.25488</v>
      </c>
      <c r="L128">
        <f t="shared" si="12"/>
        <v>16.610699999999998</v>
      </c>
      <c r="M128">
        <f t="shared" si="13"/>
        <v>20.859717059999998</v>
      </c>
      <c r="N128" s="9"/>
      <c r="O128" s="22">
        <v>0.494232</v>
      </c>
      <c r="P128" s="22">
        <v>90.929699999999997</v>
      </c>
      <c r="Q128" s="22">
        <v>-1.7181399999999999E-2</v>
      </c>
      <c r="R128" s="22">
        <v>118</v>
      </c>
      <c r="S128" s="22">
        <v>0.49356100000000003</v>
      </c>
      <c r="T128">
        <f t="shared" si="14"/>
        <v>17.1814</v>
      </c>
      <c r="U128">
        <f t="shared" si="15"/>
        <v>8.4915976848000003</v>
      </c>
      <c r="X128" s="9"/>
      <c r="Y128" s="22">
        <v>1.2558</v>
      </c>
      <c r="Z128" s="22">
        <v>152.887</v>
      </c>
      <c r="AA128" s="22">
        <v>-1.6601600000000001E-2</v>
      </c>
      <c r="AB128" s="22">
        <v>118</v>
      </c>
      <c r="AC128" s="22">
        <v>1.25519</v>
      </c>
      <c r="AD128">
        <f t="shared" si="16"/>
        <v>16.601600000000001</v>
      </c>
      <c r="AE128">
        <f t="shared" si="17"/>
        <v>20.848289280000003</v>
      </c>
      <c r="AF128" s="9"/>
      <c r="AG128" s="22">
        <v>0.494232</v>
      </c>
      <c r="AH128" s="22">
        <v>232.41900000000001</v>
      </c>
      <c r="AI128" s="22">
        <v>-1.67847E-2</v>
      </c>
      <c r="AJ128" s="22">
        <v>118</v>
      </c>
      <c r="AK128" s="22">
        <v>0.49368299999999998</v>
      </c>
      <c r="AL128">
        <f t="shared" si="18"/>
        <v>16.784700000000001</v>
      </c>
      <c r="AM128">
        <f t="shared" si="19"/>
        <v>8.2955358504000003</v>
      </c>
      <c r="AP128" s="9"/>
      <c r="AQ128" s="22">
        <v>1.2558</v>
      </c>
      <c r="AR128" s="22">
        <v>284.83600000000001</v>
      </c>
      <c r="AS128" s="22">
        <v>-1.6323899999999999E-2</v>
      </c>
      <c r="AT128" s="22">
        <v>118</v>
      </c>
      <c r="AU128" s="22">
        <v>1.25519</v>
      </c>
      <c r="AV128">
        <f t="shared" si="20"/>
        <v>16.323899999999998</v>
      </c>
      <c r="AW128">
        <f t="shared" si="21"/>
        <v>20.499553619999997</v>
      </c>
      <c r="AX128" s="9"/>
      <c r="AY128" s="22">
        <v>0.494232</v>
      </c>
      <c r="AZ128" s="22">
        <v>364.06599999999997</v>
      </c>
      <c r="BA128" s="22">
        <v>-1.6577100000000001E-2</v>
      </c>
      <c r="BB128" s="22">
        <v>118</v>
      </c>
      <c r="BC128" s="22">
        <v>0.493591</v>
      </c>
      <c r="BD128">
        <f t="shared" si="22"/>
        <v>16.577100000000002</v>
      </c>
      <c r="BE128">
        <f t="shared" si="23"/>
        <v>8.1929332872000007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35.634599999999999</v>
      </c>
      <c r="I129" s="22">
        <v>-1.66077E-2</v>
      </c>
      <c r="J129" s="22">
        <v>119</v>
      </c>
      <c r="K129" s="22">
        <v>1.25031</v>
      </c>
      <c r="L129">
        <f t="shared" si="12"/>
        <v>16.607700000000001</v>
      </c>
      <c r="M129">
        <f t="shared" si="13"/>
        <v>20.772246852000002</v>
      </c>
      <c r="N129" s="9"/>
      <c r="O129" s="22">
        <v>0.49926799999999999</v>
      </c>
      <c r="P129" s="22">
        <v>91.0304</v>
      </c>
      <c r="Q129" s="22">
        <v>-1.7181399999999999E-2</v>
      </c>
      <c r="R129" s="22">
        <v>119</v>
      </c>
      <c r="S129" s="22">
        <v>0.49859599999999998</v>
      </c>
      <c r="T129">
        <f t="shared" si="14"/>
        <v>17.1814</v>
      </c>
      <c r="U129">
        <f t="shared" si="15"/>
        <v>8.5781232151999998</v>
      </c>
      <c r="X129" s="9"/>
      <c r="Y129" s="22">
        <v>1.2507600000000001</v>
      </c>
      <c r="Z129" s="22">
        <v>152.98699999999999</v>
      </c>
      <c r="AA129" s="22">
        <v>-1.66321E-2</v>
      </c>
      <c r="AB129" s="22">
        <v>119</v>
      </c>
      <c r="AC129" s="22">
        <v>1.25031</v>
      </c>
      <c r="AD129">
        <f t="shared" si="16"/>
        <v>16.632100000000001</v>
      </c>
      <c r="AE129">
        <f t="shared" si="17"/>
        <v>20.802765396000002</v>
      </c>
      <c r="AF129" s="9"/>
      <c r="AG129" s="22">
        <v>0.49926799999999999</v>
      </c>
      <c r="AH129" s="22">
        <v>232.52</v>
      </c>
      <c r="AI129" s="22">
        <v>-1.6806000000000001E-2</v>
      </c>
      <c r="AJ129" s="22">
        <v>119</v>
      </c>
      <c r="AK129" s="22">
        <v>0.49862699999999999</v>
      </c>
      <c r="AL129">
        <f t="shared" si="18"/>
        <v>16.806000000000001</v>
      </c>
      <c r="AM129">
        <f t="shared" si="19"/>
        <v>8.3906980080000011</v>
      </c>
      <c r="AP129" s="9"/>
      <c r="AQ129" s="22">
        <v>1.2507600000000001</v>
      </c>
      <c r="AR129" s="22">
        <v>284.93599999999998</v>
      </c>
      <c r="AS129" s="22">
        <v>-1.63208E-2</v>
      </c>
      <c r="AT129" s="22">
        <v>119</v>
      </c>
      <c r="AU129" s="22">
        <v>1.24969</v>
      </c>
      <c r="AV129">
        <f t="shared" si="20"/>
        <v>16.320799999999998</v>
      </c>
      <c r="AW129">
        <f t="shared" si="21"/>
        <v>20.413403807999998</v>
      </c>
      <c r="AX129" s="9"/>
      <c r="AY129" s="22">
        <v>0.49926799999999999</v>
      </c>
      <c r="AZ129" s="22">
        <v>364.16699999999997</v>
      </c>
      <c r="BA129" s="22">
        <v>-1.6549700000000001E-2</v>
      </c>
      <c r="BB129" s="22">
        <v>119</v>
      </c>
      <c r="BC129" s="22">
        <v>0.49859599999999998</v>
      </c>
      <c r="BD129">
        <f t="shared" si="22"/>
        <v>16.549700000000001</v>
      </c>
      <c r="BE129">
        <f t="shared" si="23"/>
        <v>8.2627356196000008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35.735300000000002</v>
      </c>
      <c r="I130" s="22">
        <v>-1.6601600000000001E-2</v>
      </c>
      <c r="J130" s="22">
        <v>120</v>
      </c>
      <c r="K130" s="22">
        <v>1.24451</v>
      </c>
      <c r="L130">
        <f t="shared" si="12"/>
        <v>16.601600000000001</v>
      </c>
      <c r="M130">
        <f t="shared" si="13"/>
        <v>20.681111168000001</v>
      </c>
      <c r="N130" s="9"/>
      <c r="O130" s="22">
        <v>0.50430299999999995</v>
      </c>
      <c r="P130" s="22">
        <v>91.131100000000004</v>
      </c>
      <c r="Q130" s="22">
        <v>-1.7199699999999998E-2</v>
      </c>
      <c r="R130" s="22">
        <v>120</v>
      </c>
      <c r="S130" s="22">
        <v>0.50366200000000005</v>
      </c>
      <c r="T130">
        <f t="shared" si="14"/>
        <v>17.1997</v>
      </c>
      <c r="U130">
        <f t="shared" si="15"/>
        <v>8.6738603090999984</v>
      </c>
      <c r="X130" s="9"/>
      <c r="Y130" s="22">
        <v>1.24573</v>
      </c>
      <c r="Z130" s="22">
        <v>153.08799999999999</v>
      </c>
      <c r="AA130" s="22">
        <v>-1.66473E-2</v>
      </c>
      <c r="AB130" s="22">
        <v>120</v>
      </c>
      <c r="AC130" s="22">
        <v>1.24512</v>
      </c>
      <c r="AD130">
        <f t="shared" si="16"/>
        <v>16.647300000000001</v>
      </c>
      <c r="AE130">
        <f t="shared" si="17"/>
        <v>20.738041029000001</v>
      </c>
      <c r="AF130" s="9"/>
      <c r="AG130" s="22">
        <v>0.50430299999999995</v>
      </c>
      <c r="AH130" s="22">
        <v>232.62</v>
      </c>
      <c r="AI130" s="22">
        <v>-1.67999E-2</v>
      </c>
      <c r="AJ130" s="22">
        <v>120</v>
      </c>
      <c r="AK130" s="22">
        <v>0.50375400000000004</v>
      </c>
      <c r="AL130">
        <f t="shared" si="18"/>
        <v>16.799900000000001</v>
      </c>
      <c r="AM130">
        <f t="shared" si="19"/>
        <v>8.4722399697000004</v>
      </c>
      <c r="AP130" s="9"/>
      <c r="AQ130" s="22">
        <v>1.24573</v>
      </c>
      <c r="AR130" s="22">
        <v>285.03699999999998</v>
      </c>
      <c r="AS130" s="22">
        <v>-1.63635E-2</v>
      </c>
      <c r="AT130" s="22">
        <v>120</v>
      </c>
      <c r="AU130" s="22">
        <v>1.24512</v>
      </c>
      <c r="AV130">
        <f t="shared" si="20"/>
        <v>16.363499999999998</v>
      </c>
      <c r="AW130">
        <f t="shared" si="21"/>
        <v>20.384502854999997</v>
      </c>
      <c r="AX130" s="9"/>
      <c r="AY130" s="22">
        <v>0.50430299999999995</v>
      </c>
      <c r="AZ130" s="22">
        <v>364.267</v>
      </c>
      <c r="BA130" s="22">
        <v>-1.6586299999999998E-2</v>
      </c>
      <c r="BB130" s="22">
        <v>120</v>
      </c>
      <c r="BC130" s="22">
        <v>0.50363199999999997</v>
      </c>
      <c r="BD130">
        <f t="shared" si="22"/>
        <v>16.586299999999998</v>
      </c>
      <c r="BE130">
        <f t="shared" si="23"/>
        <v>8.364520848899998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35.835999999999999</v>
      </c>
      <c r="I131" s="22">
        <v>-1.6616800000000001E-2</v>
      </c>
      <c r="J131" s="22">
        <v>121</v>
      </c>
      <c r="K131" s="22">
        <v>1.2396199999999999</v>
      </c>
      <c r="L131">
        <f t="shared" si="12"/>
        <v>16.616800000000001</v>
      </c>
      <c r="M131">
        <f t="shared" si="13"/>
        <v>20.616297592000002</v>
      </c>
      <c r="N131" s="9"/>
      <c r="O131" s="22">
        <v>0.50933799999999996</v>
      </c>
      <c r="P131" s="22">
        <v>91.231800000000007</v>
      </c>
      <c r="Q131" s="22">
        <v>-1.7187500000000001E-2</v>
      </c>
      <c r="R131" s="22">
        <v>121</v>
      </c>
      <c r="S131" s="22">
        <v>0.50851400000000002</v>
      </c>
      <c r="T131">
        <f t="shared" si="14"/>
        <v>17.1875</v>
      </c>
      <c r="U131">
        <f t="shared" si="15"/>
        <v>8.7542468749999998</v>
      </c>
      <c r="X131" s="9"/>
      <c r="Y131" s="22">
        <v>1.2406900000000001</v>
      </c>
      <c r="Z131" s="22">
        <v>153.18899999999999</v>
      </c>
      <c r="AA131" s="22">
        <v>-1.6629000000000001E-2</v>
      </c>
      <c r="AB131" s="22">
        <v>121</v>
      </c>
      <c r="AC131" s="22">
        <v>1.23993</v>
      </c>
      <c r="AD131">
        <f t="shared" si="16"/>
        <v>16.629000000000001</v>
      </c>
      <c r="AE131">
        <f t="shared" si="17"/>
        <v>20.631434010000003</v>
      </c>
      <c r="AF131" s="9"/>
      <c r="AG131" s="22">
        <v>0.50933799999999996</v>
      </c>
      <c r="AH131" s="22">
        <v>232.721</v>
      </c>
      <c r="AI131" s="22">
        <v>-1.6781600000000001E-2</v>
      </c>
      <c r="AJ131" s="22">
        <v>121</v>
      </c>
      <c r="AK131" s="22">
        <v>0.50863599999999998</v>
      </c>
      <c r="AL131">
        <f t="shared" si="18"/>
        <v>16.781600000000001</v>
      </c>
      <c r="AM131">
        <f t="shared" si="19"/>
        <v>8.5475065808000004</v>
      </c>
      <c r="AP131" s="9"/>
      <c r="AQ131" s="22">
        <v>1.2406900000000001</v>
      </c>
      <c r="AR131" s="22">
        <v>285.13799999999998</v>
      </c>
      <c r="AS131" s="22">
        <v>-1.6378799999999999E-2</v>
      </c>
      <c r="AT131" s="22">
        <v>121</v>
      </c>
      <c r="AU131" s="22">
        <v>1.2396199999999999</v>
      </c>
      <c r="AV131">
        <f t="shared" si="20"/>
        <v>16.378799999999998</v>
      </c>
      <c r="AW131">
        <f t="shared" si="21"/>
        <v>20.321013371999999</v>
      </c>
      <c r="AX131" s="9"/>
      <c r="AY131" s="22">
        <v>0.50933799999999996</v>
      </c>
      <c r="AZ131" s="22">
        <v>364.36799999999999</v>
      </c>
      <c r="BA131" s="22">
        <v>-1.6589400000000001E-2</v>
      </c>
      <c r="BB131" s="22">
        <v>121</v>
      </c>
      <c r="BC131" s="22">
        <v>0.50866699999999998</v>
      </c>
      <c r="BD131">
        <f t="shared" si="22"/>
        <v>16.589400000000001</v>
      </c>
      <c r="BE131">
        <f t="shared" si="23"/>
        <v>8.4496118171999992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35.936700000000002</v>
      </c>
      <c r="I132" s="22">
        <v>-1.6598499999999999E-2</v>
      </c>
      <c r="J132" s="22">
        <v>122</v>
      </c>
      <c r="K132" s="22">
        <v>1.23444</v>
      </c>
      <c r="L132">
        <f t="shared" si="12"/>
        <v>16.598499999999998</v>
      </c>
      <c r="M132">
        <f t="shared" si="13"/>
        <v>20.510102509999996</v>
      </c>
      <c r="N132" s="9"/>
      <c r="O132" s="22">
        <v>0.514374</v>
      </c>
      <c r="P132" s="22">
        <v>91.332499999999996</v>
      </c>
      <c r="Q132" s="22">
        <v>-1.7169199999999999E-2</v>
      </c>
      <c r="R132" s="22">
        <v>122</v>
      </c>
      <c r="S132" s="22">
        <v>0.513733</v>
      </c>
      <c r="T132">
        <f t="shared" si="14"/>
        <v>17.1692</v>
      </c>
      <c r="U132">
        <f t="shared" si="15"/>
        <v>8.8313900808000003</v>
      </c>
      <c r="X132" s="9"/>
      <c r="Y132" s="22">
        <v>1.23566</v>
      </c>
      <c r="Z132" s="22">
        <v>153.28899999999999</v>
      </c>
      <c r="AA132" s="22">
        <v>-1.6598499999999999E-2</v>
      </c>
      <c r="AB132" s="22">
        <v>122</v>
      </c>
      <c r="AC132" s="22">
        <v>1.2347399999999999</v>
      </c>
      <c r="AD132">
        <f t="shared" si="16"/>
        <v>16.598499999999998</v>
      </c>
      <c r="AE132">
        <f t="shared" si="17"/>
        <v>20.510102509999996</v>
      </c>
      <c r="AF132" s="9"/>
      <c r="AG132" s="22">
        <v>0.514374</v>
      </c>
      <c r="AH132" s="22">
        <v>232.822</v>
      </c>
      <c r="AI132" s="22">
        <v>-1.6787699999999999E-2</v>
      </c>
      <c r="AJ132" s="22">
        <v>122</v>
      </c>
      <c r="AK132" s="22">
        <v>0.51367200000000002</v>
      </c>
      <c r="AL132">
        <f t="shared" si="18"/>
        <v>16.787699999999997</v>
      </c>
      <c r="AM132">
        <f t="shared" si="19"/>
        <v>8.6351563997999978</v>
      </c>
      <c r="AP132" s="9"/>
      <c r="AQ132" s="22">
        <v>1.23566</v>
      </c>
      <c r="AR132" s="22">
        <v>285.23899999999998</v>
      </c>
      <c r="AS132" s="22">
        <v>-1.64032E-2</v>
      </c>
      <c r="AT132" s="22">
        <v>122</v>
      </c>
      <c r="AU132" s="22">
        <v>1.23505</v>
      </c>
      <c r="AV132">
        <f t="shared" si="20"/>
        <v>16.403199999999998</v>
      </c>
      <c r="AW132">
        <f t="shared" si="21"/>
        <v>20.268778111999996</v>
      </c>
      <c r="AX132" s="9"/>
      <c r="AY132" s="22">
        <v>0.514374</v>
      </c>
      <c r="AZ132" s="22">
        <v>364.46899999999999</v>
      </c>
      <c r="BA132" s="22">
        <v>-1.6586299999999998E-2</v>
      </c>
      <c r="BB132" s="22">
        <v>122</v>
      </c>
      <c r="BC132" s="22">
        <v>0.51364100000000001</v>
      </c>
      <c r="BD132">
        <f t="shared" si="22"/>
        <v>16.586299999999998</v>
      </c>
      <c r="BE132">
        <f t="shared" si="23"/>
        <v>8.5315614761999985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36.037399999999998</v>
      </c>
      <c r="I133" s="22">
        <v>-1.6622899999999999E-2</v>
      </c>
      <c r="J133" s="22">
        <v>123</v>
      </c>
      <c r="K133" s="22">
        <v>1.2301599999999999</v>
      </c>
      <c r="L133">
        <f t="shared" si="12"/>
        <v>16.622899999999998</v>
      </c>
      <c r="M133">
        <f t="shared" si="13"/>
        <v>20.456473197999998</v>
      </c>
      <c r="N133" s="9"/>
      <c r="O133" s="22">
        <v>0.51940900000000001</v>
      </c>
      <c r="P133" s="22">
        <v>91.433199999999999</v>
      </c>
      <c r="Q133" s="22">
        <v>-1.7199699999999998E-2</v>
      </c>
      <c r="R133" s="22">
        <v>123</v>
      </c>
      <c r="S133" s="22">
        <v>0.51873800000000003</v>
      </c>
      <c r="T133">
        <f t="shared" si="14"/>
        <v>17.1997</v>
      </c>
      <c r="U133">
        <f t="shared" si="15"/>
        <v>8.9336789772999996</v>
      </c>
      <c r="X133" s="9"/>
      <c r="Y133" s="22">
        <v>1.23062</v>
      </c>
      <c r="Z133" s="22">
        <v>153.38999999999999</v>
      </c>
      <c r="AA133" s="22">
        <v>-1.6577100000000001E-2</v>
      </c>
      <c r="AB133" s="22">
        <v>123</v>
      </c>
      <c r="AC133" s="22">
        <v>1.2301599999999999</v>
      </c>
      <c r="AD133">
        <f t="shared" si="16"/>
        <v>16.577100000000002</v>
      </c>
      <c r="AE133">
        <f t="shared" si="17"/>
        <v>20.400110802000004</v>
      </c>
      <c r="AF133" s="9"/>
      <c r="AG133" s="22">
        <v>0.51940900000000001</v>
      </c>
      <c r="AH133" s="22">
        <v>232.923</v>
      </c>
      <c r="AI133" s="22">
        <v>-1.67847E-2</v>
      </c>
      <c r="AJ133" s="22">
        <v>123</v>
      </c>
      <c r="AK133" s="22">
        <v>0.51861599999999997</v>
      </c>
      <c r="AL133">
        <f t="shared" si="18"/>
        <v>16.784700000000001</v>
      </c>
      <c r="AM133">
        <f t="shared" si="19"/>
        <v>8.7181242423</v>
      </c>
      <c r="AP133" s="9"/>
      <c r="AQ133" s="22">
        <v>1.23062</v>
      </c>
      <c r="AR133" s="22">
        <v>285.339</v>
      </c>
      <c r="AS133" s="22">
        <v>-1.6421499999999999E-2</v>
      </c>
      <c r="AT133" s="22">
        <v>123</v>
      </c>
      <c r="AU133" s="22">
        <v>1.2301599999999999</v>
      </c>
      <c r="AV133">
        <f t="shared" si="20"/>
        <v>16.421499999999998</v>
      </c>
      <c r="AW133">
        <f t="shared" si="21"/>
        <v>20.208626329999998</v>
      </c>
      <c r="AX133" s="9"/>
      <c r="AY133" s="22">
        <v>0.51940900000000001</v>
      </c>
      <c r="AZ133" s="22">
        <v>364.57</v>
      </c>
      <c r="BA133" s="22">
        <v>-1.65924E-2</v>
      </c>
      <c r="BB133" s="22">
        <v>123</v>
      </c>
      <c r="BC133" s="22">
        <v>0.51873800000000003</v>
      </c>
      <c r="BD133">
        <f t="shared" si="22"/>
        <v>16.592400000000001</v>
      </c>
      <c r="BE133">
        <f t="shared" si="23"/>
        <v>8.6182418916000003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36.138100000000001</v>
      </c>
      <c r="I134" s="22">
        <v>-1.6616800000000001E-2</v>
      </c>
      <c r="J134" s="22">
        <v>124</v>
      </c>
      <c r="K134" s="22">
        <v>1.22437</v>
      </c>
      <c r="L134">
        <f t="shared" si="12"/>
        <v>16.616800000000001</v>
      </c>
      <c r="M134">
        <f t="shared" si="13"/>
        <v>20.365383912000002</v>
      </c>
      <c r="N134" s="9"/>
      <c r="O134" s="22">
        <v>0.52444500000000005</v>
      </c>
      <c r="P134" s="22">
        <v>91.533900000000003</v>
      </c>
      <c r="Q134" s="22">
        <v>-1.7184399999999999E-2</v>
      </c>
      <c r="R134" s="22">
        <v>124</v>
      </c>
      <c r="S134" s="22">
        <v>0.52365099999999998</v>
      </c>
      <c r="T134">
        <f t="shared" si="14"/>
        <v>17.1844</v>
      </c>
      <c r="U134">
        <f t="shared" si="15"/>
        <v>9.0122726580000005</v>
      </c>
      <c r="X134" s="9"/>
      <c r="Y134" s="22">
        <v>1.22559</v>
      </c>
      <c r="Z134" s="22">
        <v>153.49100000000001</v>
      </c>
      <c r="AA134" s="22">
        <v>-1.6613800000000001E-2</v>
      </c>
      <c r="AB134" s="22">
        <v>124</v>
      </c>
      <c r="AC134" s="22">
        <v>1.22498</v>
      </c>
      <c r="AD134">
        <f t="shared" si="16"/>
        <v>16.613800000000001</v>
      </c>
      <c r="AE134">
        <f t="shared" si="17"/>
        <v>20.361707142</v>
      </c>
      <c r="AF134" s="9"/>
      <c r="AG134" s="22">
        <v>0.52444500000000005</v>
      </c>
      <c r="AH134" s="22">
        <v>233.023</v>
      </c>
      <c r="AI134" s="22">
        <v>-1.6741900000000001E-2</v>
      </c>
      <c r="AJ134" s="22">
        <v>124</v>
      </c>
      <c r="AK134" s="22">
        <v>0.52377300000000004</v>
      </c>
      <c r="AL134">
        <f t="shared" si="18"/>
        <v>16.741900000000001</v>
      </c>
      <c r="AM134">
        <f t="shared" si="19"/>
        <v>8.7802057455000018</v>
      </c>
      <c r="AP134" s="9"/>
      <c r="AQ134" s="22">
        <v>1.22559</v>
      </c>
      <c r="AR134" s="22">
        <v>285.44</v>
      </c>
      <c r="AS134" s="22">
        <v>-1.6397100000000001E-2</v>
      </c>
      <c r="AT134" s="22">
        <v>124</v>
      </c>
      <c r="AU134" s="22">
        <v>1.22498</v>
      </c>
      <c r="AV134">
        <f t="shared" si="20"/>
        <v>16.397100000000002</v>
      </c>
      <c r="AW134">
        <f t="shared" si="21"/>
        <v>20.096121789000001</v>
      </c>
      <c r="AX134" s="9"/>
      <c r="AY134" s="22">
        <v>0.52444500000000005</v>
      </c>
      <c r="AZ134" s="22">
        <v>364.67</v>
      </c>
      <c r="BA134" s="22">
        <v>-1.6604600000000001E-2</v>
      </c>
      <c r="BB134" s="22">
        <v>124</v>
      </c>
      <c r="BC134" s="22">
        <v>0.52377300000000004</v>
      </c>
      <c r="BD134">
        <f t="shared" si="22"/>
        <v>16.604600000000001</v>
      </c>
      <c r="BE134">
        <f t="shared" si="23"/>
        <v>8.7081994470000019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36.238799999999998</v>
      </c>
      <c r="I135" s="22">
        <v>-1.6629000000000001E-2</v>
      </c>
      <c r="J135" s="22">
        <v>125</v>
      </c>
      <c r="K135" s="22">
        <v>1.2197899999999999</v>
      </c>
      <c r="L135">
        <f t="shared" si="12"/>
        <v>16.629000000000001</v>
      </c>
      <c r="M135">
        <f t="shared" si="13"/>
        <v>20.296525950000003</v>
      </c>
      <c r="N135" s="9"/>
      <c r="O135" s="22">
        <v>0.52947999999999995</v>
      </c>
      <c r="P135" s="22">
        <v>91.634699999999995</v>
      </c>
      <c r="Q135" s="22">
        <v>-1.7175300000000001E-2</v>
      </c>
      <c r="R135" s="22">
        <v>125</v>
      </c>
      <c r="S135" s="22">
        <v>0.52871699999999999</v>
      </c>
      <c r="T135">
        <f t="shared" si="14"/>
        <v>17.1753</v>
      </c>
      <c r="U135">
        <f t="shared" si="15"/>
        <v>9.0939778439999994</v>
      </c>
      <c r="X135" s="9"/>
      <c r="Y135" s="22">
        <v>1.22055</v>
      </c>
      <c r="Z135" s="22">
        <v>153.59200000000001</v>
      </c>
      <c r="AA135" s="22">
        <v>-1.66077E-2</v>
      </c>
      <c r="AB135" s="22">
        <v>125</v>
      </c>
      <c r="AC135" s="22">
        <v>1.2194799999999999</v>
      </c>
      <c r="AD135">
        <f t="shared" si="16"/>
        <v>16.607700000000001</v>
      </c>
      <c r="AE135">
        <f t="shared" si="17"/>
        <v>20.270528235</v>
      </c>
      <c r="AF135" s="9"/>
      <c r="AG135" s="22">
        <v>0.52947999999999995</v>
      </c>
      <c r="AH135" s="22">
        <v>233.124</v>
      </c>
      <c r="AI135" s="22">
        <v>-1.6726700000000001E-2</v>
      </c>
      <c r="AJ135" s="22">
        <v>125</v>
      </c>
      <c r="AK135" s="22">
        <v>0.52890000000000004</v>
      </c>
      <c r="AL135">
        <f t="shared" si="18"/>
        <v>16.726700000000001</v>
      </c>
      <c r="AM135">
        <f t="shared" si="19"/>
        <v>8.8564531159999991</v>
      </c>
      <c r="AP135" s="9"/>
      <c r="AQ135" s="22">
        <v>1.22055</v>
      </c>
      <c r="AR135" s="22">
        <v>285.541</v>
      </c>
      <c r="AS135" s="22">
        <v>-1.64032E-2</v>
      </c>
      <c r="AT135" s="22">
        <v>125</v>
      </c>
      <c r="AU135" s="22">
        <v>1.2194799999999999</v>
      </c>
      <c r="AV135">
        <f t="shared" si="20"/>
        <v>16.403199999999998</v>
      </c>
      <c r="AW135">
        <f t="shared" si="21"/>
        <v>20.020925759999997</v>
      </c>
      <c r="AX135" s="9"/>
      <c r="AY135" s="22">
        <v>0.52947999999999995</v>
      </c>
      <c r="AZ135" s="22">
        <v>364.77100000000002</v>
      </c>
      <c r="BA135" s="22">
        <v>-1.6616800000000001E-2</v>
      </c>
      <c r="BB135" s="22">
        <v>125</v>
      </c>
      <c r="BC135" s="22">
        <v>0.52877799999999997</v>
      </c>
      <c r="BD135">
        <f t="shared" si="22"/>
        <v>16.616800000000001</v>
      </c>
      <c r="BE135">
        <f t="shared" si="23"/>
        <v>8.7982632639999991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36.339500000000001</v>
      </c>
      <c r="I136" s="22">
        <v>-1.6656500000000001E-2</v>
      </c>
      <c r="J136" s="22">
        <v>126</v>
      </c>
      <c r="K136" s="22">
        <v>1.2142900000000001</v>
      </c>
      <c r="L136">
        <f t="shared" si="12"/>
        <v>16.656500000000001</v>
      </c>
      <c r="M136">
        <f t="shared" si="13"/>
        <v>20.246308880000001</v>
      </c>
      <c r="N136" s="9"/>
      <c r="O136" s="22">
        <v>0.53451499999999996</v>
      </c>
      <c r="P136" s="22">
        <v>91.735399999999998</v>
      </c>
      <c r="Q136" s="22">
        <v>-1.7184399999999999E-2</v>
      </c>
      <c r="R136" s="22">
        <v>126</v>
      </c>
      <c r="S136" s="22">
        <v>0.53387499999999999</v>
      </c>
      <c r="T136">
        <f t="shared" si="14"/>
        <v>17.1844</v>
      </c>
      <c r="U136">
        <f t="shared" si="15"/>
        <v>9.1853195659999987</v>
      </c>
      <c r="X136" s="9"/>
      <c r="Y136" s="22">
        <v>1.2155199999999999</v>
      </c>
      <c r="Z136" s="22">
        <v>153.69200000000001</v>
      </c>
      <c r="AA136" s="22">
        <v>-1.66077E-2</v>
      </c>
      <c r="AB136" s="22">
        <v>126</v>
      </c>
      <c r="AC136" s="22">
        <v>1.2149000000000001</v>
      </c>
      <c r="AD136">
        <f t="shared" si="16"/>
        <v>16.607700000000001</v>
      </c>
      <c r="AE136">
        <f t="shared" si="17"/>
        <v>20.186991504000002</v>
      </c>
      <c r="AF136" s="9"/>
      <c r="AG136" s="22">
        <v>0.53451499999999996</v>
      </c>
      <c r="AH136" s="22">
        <v>233.22499999999999</v>
      </c>
      <c r="AI136" s="22">
        <v>-1.6760299999999999E-2</v>
      </c>
      <c r="AJ136" s="22">
        <v>126</v>
      </c>
      <c r="AK136" s="22">
        <v>0.53393599999999997</v>
      </c>
      <c r="AL136">
        <f t="shared" si="18"/>
        <v>16.760299999999997</v>
      </c>
      <c r="AM136">
        <f t="shared" si="19"/>
        <v>8.9586317544999972</v>
      </c>
      <c r="AP136" s="9"/>
      <c r="AQ136" s="22">
        <v>1.2155199999999999</v>
      </c>
      <c r="AR136" s="22">
        <v>285.64100000000002</v>
      </c>
      <c r="AS136" s="22">
        <v>-1.6427600000000001E-2</v>
      </c>
      <c r="AT136" s="22">
        <v>126</v>
      </c>
      <c r="AU136" s="22">
        <v>1.2149000000000001</v>
      </c>
      <c r="AV136">
        <f t="shared" si="20"/>
        <v>16.427600000000002</v>
      </c>
      <c r="AW136">
        <f t="shared" si="21"/>
        <v>19.968076352000001</v>
      </c>
      <c r="AX136" s="9"/>
      <c r="AY136" s="22">
        <v>0.53451499999999996</v>
      </c>
      <c r="AZ136" s="22">
        <v>364.87200000000001</v>
      </c>
      <c r="BA136" s="22">
        <v>-1.6601600000000001E-2</v>
      </c>
      <c r="BB136" s="22">
        <v>126</v>
      </c>
      <c r="BC136" s="22">
        <v>0.53387499999999999</v>
      </c>
      <c r="BD136">
        <f t="shared" si="22"/>
        <v>16.601600000000001</v>
      </c>
      <c r="BE136">
        <f t="shared" si="23"/>
        <v>8.8738042240000006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36.440199999999997</v>
      </c>
      <c r="I137" s="22">
        <v>-1.6641199999999998E-2</v>
      </c>
      <c r="J137" s="22">
        <v>127</v>
      </c>
      <c r="K137" s="22">
        <v>1.2094100000000001</v>
      </c>
      <c r="L137">
        <f t="shared" si="12"/>
        <v>16.641199999999998</v>
      </c>
      <c r="M137">
        <f t="shared" si="13"/>
        <v>20.143839775999997</v>
      </c>
      <c r="N137" s="9"/>
      <c r="O137" s="22">
        <v>0.539551</v>
      </c>
      <c r="P137" s="22">
        <v>91.836100000000002</v>
      </c>
      <c r="Q137" s="22">
        <v>-1.7178300000000001E-2</v>
      </c>
      <c r="R137" s="22">
        <v>127</v>
      </c>
      <c r="S137" s="22">
        <v>0.53891</v>
      </c>
      <c r="T137">
        <f t="shared" si="14"/>
        <v>17.1783</v>
      </c>
      <c r="U137">
        <f t="shared" si="15"/>
        <v>9.2685689433</v>
      </c>
      <c r="X137" s="9"/>
      <c r="Y137" s="22">
        <v>1.21048</v>
      </c>
      <c r="Z137" s="22">
        <v>153.79300000000001</v>
      </c>
      <c r="AA137" s="22">
        <v>-1.6653399999999999E-2</v>
      </c>
      <c r="AB137" s="22">
        <v>127</v>
      </c>
      <c r="AC137" s="22">
        <v>1.2094100000000001</v>
      </c>
      <c r="AD137">
        <f t="shared" si="16"/>
        <v>16.653399999999998</v>
      </c>
      <c r="AE137">
        <f t="shared" si="17"/>
        <v>20.158607631999999</v>
      </c>
      <c r="AF137" s="9"/>
      <c r="AG137" s="22">
        <v>0.539551</v>
      </c>
      <c r="AH137" s="22">
        <v>233.32499999999999</v>
      </c>
      <c r="AI137" s="22">
        <v>-1.6720599999999999E-2</v>
      </c>
      <c r="AJ137" s="22">
        <v>127</v>
      </c>
      <c r="AK137" s="22">
        <v>0.53897099999999998</v>
      </c>
      <c r="AL137">
        <f t="shared" si="18"/>
        <v>16.720599999999997</v>
      </c>
      <c r="AM137">
        <f t="shared" si="19"/>
        <v>9.0216164505999981</v>
      </c>
      <c r="AP137" s="9"/>
      <c r="AQ137" s="22">
        <v>1.21048</v>
      </c>
      <c r="AR137" s="22">
        <v>285.74200000000002</v>
      </c>
      <c r="AS137" s="22">
        <v>-1.6445899999999999E-2</v>
      </c>
      <c r="AT137" s="22">
        <v>127</v>
      </c>
      <c r="AU137" s="22">
        <v>1.2097199999999999</v>
      </c>
      <c r="AV137">
        <f t="shared" si="20"/>
        <v>16.445899999999998</v>
      </c>
      <c r="AW137">
        <f t="shared" si="21"/>
        <v>19.907433031999997</v>
      </c>
      <c r="AX137" s="9"/>
      <c r="AY137" s="22">
        <v>0.539551</v>
      </c>
      <c r="AZ137" s="22">
        <v>364.97199999999998</v>
      </c>
      <c r="BA137" s="22">
        <v>-1.65649E-2</v>
      </c>
      <c r="BB137" s="22">
        <v>127</v>
      </c>
      <c r="BC137" s="22">
        <v>0.53891</v>
      </c>
      <c r="BD137">
        <f t="shared" si="22"/>
        <v>16.564900000000002</v>
      </c>
      <c r="BE137">
        <f t="shared" si="23"/>
        <v>8.9376083599000005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36.540900000000001</v>
      </c>
      <c r="I138" s="22">
        <v>-1.6644300000000001E-2</v>
      </c>
      <c r="J138" s="22">
        <v>128</v>
      </c>
      <c r="K138" s="22">
        <v>1.2045300000000001</v>
      </c>
      <c r="L138">
        <f t="shared" si="12"/>
        <v>16.644300000000001</v>
      </c>
      <c r="M138">
        <f t="shared" si="13"/>
        <v>20.063704992000002</v>
      </c>
      <c r="N138" s="9"/>
      <c r="O138" s="22">
        <v>0.54458600000000001</v>
      </c>
      <c r="P138" s="22">
        <v>91.936800000000005</v>
      </c>
      <c r="Q138" s="22">
        <v>-1.7184399999999999E-2</v>
      </c>
      <c r="R138" s="22">
        <v>128</v>
      </c>
      <c r="S138" s="22">
        <v>0.54391500000000004</v>
      </c>
      <c r="T138">
        <f t="shared" si="14"/>
        <v>17.1844</v>
      </c>
      <c r="U138">
        <f t="shared" si="15"/>
        <v>9.3583836584000011</v>
      </c>
      <c r="X138" s="9"/>
      <c r="Y138" s="22">
        <v>1.2054400000000001</v>
      </c>
      <c r="Z138" s="22">
        <v>153.89400000000001</v>
      </c>
      <c r="AA138" s="22">
        <v>-1.6656500000000001E-2</v>
      </c>
      <c r="AB138" s="22">
        <v>128</v>
      </c>
      <c r="AC138" s="22">
        <v>1.2045300000000001</v>
      </c>
      <c r="AD138">
        <f t="shared" si="16"/>
        <v>16.656500000000001</v>
      </c>
      <c r="AE138">
        <f t="shared" si="17"/>
        <v>20.078411360000004</v>
      </c>
      <c r="AF138" s="9"/>
      <c r="AG138" s="22">
        <v>0.54458600000000001</v>
      </c>
      <c r="AH138" s="22">
        <v>233.42599999999999</v>
      </c>
      <c r="AI138" s="22">
        <v>-1.6744999999999999E-2</v>
      </c>
      <c r="AJ138" s="22">
        <v>128</v>
      </c>
      <c r="AK138" s="22">
        <v>0.54388400000000003</v>
      </c>
      <c r="AL138">
        <f t="shared" si="18"/>
        <v>16.745000000000001</v>
      </c>
      <c r="AM138">
        <f t="shared" si="19"/>
        <v>9.1190925700000012</v>
      </c>
      <c r="AP138" s="9"/>
      <c r="AQ138" s="22">
        <v>1.2054400000000001</v>
      </c>
      <c r="AR138" s="22">
        <v>285.84300000000002</v>
      </c>
      <c r="AS138" s="22">
        <v>-1.64581E-2</v>
      </c>
      <c r="AT138" s="22">
        <v>128</v>
      </c>
      <c r="AU138" s="22">
        <v>1.2048300000000001</v>
      </c>
      <c r="AV138">
        <f t="shared" si="20"/>
        <v>16.458099999999998</v>
      </c>
      <c r="AW138">
        <f t="shared" si="21"/>
        <v>19.839252064</v>
      </c>
      <c r="AX138" s="9"/>
      <c r="AY138" s="22">
        <v>0.54458600000000001</v>
      </c>
      <c r="AZ138" s="22">
        <v>365.07299999999998</v>
      </c>
      <c r="BA138" s="22">
        <v>-1.6561900000000001E-2</v>
      </c>
      <c r="BB138" s="22">
        <v>128</v>
      </c>
      <c r="BC138" s="22">
        <v>0.54391500000000004</v>
      </c>
      <c r="BD138">
        <f t="shared" si="22"/>
        <v>16.561900000000001</v>
      </c>
      <c r="BE138">
        <f t="shared" si="23"/>
        <v>9.0193788734000009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36.641599999999997</v>
      </c>
      <c r="I139" s="22">
        <v>-1.6665599999999999E-2</v>
      </c>
      <c r="J139" s="22">
        <v>129</v>
      </c>
      <c r="K139" s="22">
        <v>1.1993400000000001</v>
      </c>
      <c r="L139">
        <f t="shared" si="12"/>
        <v>16.665599999999998</v>
      </c>
      <c r="M139">
        <f t="shared" si="13"/>
        <v>20.005552895999998</v>
      </c>
      <c r="N139" s="9"/>
      <c r="O139" s="22">
        <v>0.54962200000000005</v>
      </c>
      <c r="P139" s="22">
        <v>92.037499999999994</v>
      </c>
      <c r="Q139" s="22">
        <v>-1.7172199999999999E-2</v>
      </c>
      <c r="R139" s="22">
        <v>129</v>
      </c>
      <c r="S139" s="22">
        <v>0.54891999999999996</v>
      </c>
      <c r="T139">
        <f t="shared" si="14"/>
        <v>17.1722</v>
      </c>
      <c r="U139">
        <f t="shared" si="15"/>
        <v>9.4382189084000014</v>
      </c>
      <c r="X139" s="9"/>
      <c r="Y139" s="22">
        <v>1.20041</v>
      </c>
      <c r="Z139" s="22">
        <v>153.994</v>
      </c>
      <c r="AA139" s="22">
        <v>-1.6659500000000001E-2</v>
      </c>
      <c r="AB139" s="22">
        <v>129</v>
      </c>
      <c r="AC139" s="22">
        <v>1.1996500000000001</v>
      </c>
      <c r="AD139">
        <f t="shared" si="16"/>
        <v>16.659500000000001</v>
      </c>
      <c r="AE139">
        <f t="shared" si="17"/>
        <v>19.998230395</v>
      </c>
      <c r="AF139" s="9"/>
      <c r="AG139" s="22">
        <v>0.54962200000000005</v>
      </c>
      <c r="AH139" s="22">
        <v>233.52699999999999</v>
      </c>
      <c r="AI139" s="22">
        <v>-1.6744999999999999E-2</v>
      </c>
      <c r="AJ139" s="22">
        <v>129</v>
      </c>
      <c r="AK139" s="22">
        <v>0.54888899999999996</v>
      </c>
      <c r="AL139">
        <f t="shared" si="18"/>
        <v>16.745000000000001</v>
      </c>
      <c r="AM139">
        <f t="shared" si="19"/>
        <v>9.2034203900000016</v>
      </c>
      <c r="AP139" s="9"/>
      <c r="AQ139" s="22">
        <v>1.20041</v>
      </c>
      <c r="AR139" s="22">
        <v>285.94400000000002</v>
      </c>
      <c r="AS139" s="22">
        <v>-1.6464199999999998E-2</v>
      </c>
      <c r="AT139" s="22">
        <v>129</v>
      </c>
      <c r="AU139" s="22">
        <v>1.1996500000000001</v>
      </c>
      <c r="AV139">
        <f t="shared" si="20"/>
        <v>16.464199999999998</v>
      </c>
      <c r="AW139">
        <f t="shared" si="21"/>
        <v>19.763790321999998</v>
      </c>
      <c r="AX139" s="9"/>
      <c r="AY139" s="22">
        <v>0.54962200000000005</v>
      </c>
      <c r="AZ139" s="22">
        <v>365.17399999999998</v>
      </c>
      <c r="BA139" s="22">
        <v>-1.6561900000000001E-2</v>
      </c>
      <c r="BB139" s="22">
        <v>129</v>
      </c>
      <c r="BC139" s="22">
        <v>0.54895000000000005</v>
      </c>
      <c r="BD139">
        <f t="shared" si="22"/>
        <v>16.561900000000001</v>
      </c>
      <c r="BE139">
        <f t="shared" si="23"/>
        <v>9.1027846018000016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36.7423</v>
      </c>
      <c r="I140" s="22">
        <v>-1.6687E-2</v>
      </c>
      <c r="J140" s="22">
        <v>130</v>
      </c>
      <c r="K140" s="22">
        <v>1.1944600000000001</v>
      </c>
      <c r="L140">
        <f t="shared" ref="L140:L203" si="24">-I140/$F$2*1000</f>
        <v>16.687000000000001</v>
      </c>
      <c r="M140">
        <f t="shared" ref="M140:M203" si="25">L140*G140</f>
        <v>19.947139190000001</v>
      </c>
      <c r="N140" s="9"/>
      <c r="O140" s="22">
        <v>0.55465699999999996</v>
      </c>
      <c r="P140" s="22">
        <v>92.138199999999998</v>
      </c>
      <c r="Q140" s="22">
        <v>-1.7181399999999999E-2</v>
      </c>
      <c r="R140" s="22">
        <v>130</v>
      </c>
      <c r="S140" s="22">
        <v>0.553925</v>
      </c>
      <c r="T140">
        <f t="shared" ref="T140:T203" si="26">-Q140/$F$2*1000</f>
        <v>17.1814</v>
      </c>
      <c r="U140">
        <f t="shared" ref="U140:U203" si="27">T140*O140</f>
        <v>9.5297837797999989</v>
      </c>
      <c r="X140" s="9"/>
      <c r="Y140" s="22">
        <v>1.19537</v>
      </c>
      <c r="Z140" s="22">
        <v>154.095</v>
      </c>
      <c r="AA140" s="22">
        <v>-1.6629000000000001E-2</v>
      </c>
      <c r="AB140" s="22">
        <v>130</v>
      </c>
      <c r="AC140" s="22">
        <v>1.19476</v>
      </c>
      <c r="AD140">
        <f t="shared" ref="AD140:AD203" si="28">-AA140/$F$2*1000</f>
        <v>16.629000000000001</v>
      </c>
      <c r="AE140">
        <f t="shared" ref="AE140:AE203" si="29">AD140*Y140</f>
        <v>19.877807730000001</v>
      </c>
      <c r="AF140" s="9"/>
      <c r="AG140" s="22">
        <v>0.55465699999999996</v>
      </c>
      <c r="AH140" s="22">
        <v>233.62700000000001</v>
      </c>
      <c r="AI140" s="22">
        <v>-1.67694E-2</v>
      </c>
      <c r="AJ140" s="22">
        <v>130</v>
      </c>
      <c r="AK140" s="22">
        <v>0.55395499999999998</v>
      </c>
      <c r="AL140">
        <f t="shared" ref="AL140:AL203" si="30">-AI140/$F$2*1000</f>
        <v>16.769400000000001</v>
      </c>
      <c r="AM140">
        <f t="shared" ref="AM140:AM203" si="31">AL140*AG140</f>
        <v>9.3012650957999998</v>
      </c>
      <c r="AP140" s="9"/>
      <c r="AQ140" s="22">
        <v>1.19537</v>
      </c>
      <c r="AR140" s="22">
        <v>286.04399999999998</v>
      </c>
      <c r="AS140" s="22">
        <v>-1.6473399999999999E-2</v>
      </c>
      <c r="AT140" s="22">
        <v>130</v>
      </c>
      <c r="AU140" s="22">
        <v>1.19476</v>
      </c>
      <c r="AV140">
        <f t="shared" ref="AV140:AV203" si="32">-AS140/$F$2*1000</f>
        <v>16.473399999999998</v>
      </c>
      <c r="AW140">
        <f t="shared" ref="AW140:AW203" si="33">AV140*AQ140</f>
        <v>19.691808157999997</v>
      </c>
      <c r="AX140" s="9"/>
      <c r="AY140" s="22">
        <v>0.55465699999999996</v>
      </c>
      <c r="AZ140" s="22">
        <v>365.27499999999998</v>
      </c>
      <c r="BA140" s="22">
        <v>-1.6561900000000001E-2</v>
      </c>
      <c r="BB140" s="22">
        <v>130</v>
      </c>
      <c r="BC140" s="22">
        <v>0.553925</v>
      </c>
      <c r="BD140">
        <f t="shared" ref="BD140:BD203" si="34">-BA140/$F$2*1000</f>
        <v>16.561900000000001</v>
      </c>
      <c r="BE140">
        <f t="shared" ref="BE140:BE203" si="35">BD140*AY140</f>
        <v>9.1861737682999998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36.843000000000004</v>
      </c>
      <c r="I141" s="22">
        <v>-1.6665599999999999E-2</v>
      </c>
      <c r="J141" s="22">
        <v>131</v>
      </c>
      <c r="K141" s="22">
        <v>1.18927</v>
      </c>
      <c r="L141">
        <f t="shared" si="24"/>
        <v>16.665599999999998</v>
      </c>
      <c r="M141">
        <f t="shared" si="25"/>
        <v>19.837730303999997</v>
      </c>
      <c r="N141" s="9"/>
      <c r="O141" s="22">
        <v>0.55969199999999997</v>
      </c>
      <c r="P141" s="22">
        <v>92.238900000000001</v>
      </c>
      <c r="Q141" s="22">
        <v>-1.7181399999999999E-2</v>
      </c>
      <c r="R141" s="22">
        <v>131</v>
      </c>
      <c r="S141" s="22">
        <v>0.55908199999999997</v>
      </c>
      <c r="T141">
        <f t="shared" si="26"/>
        <v>17.1814</v>
      </c>
      <c r="U141">
        <f t="shared" si="27"/>
        <v>9.6162921287999996</v>
      </c>
      <c r="X141" s="9"/>
      <c r="Y141" s="22">
        <v>1.19034</v>
      </c>
      <c r="Z141" s="22">
        <v>154.196</v>
      </c>
      <c r="AA141" s="22">
        <v>-1.66351E-2</v>
      </c>
      <c r="AB141" s="22">
        <v>131</v>
      </c>
      <c r="AC141" s="22">
        <v>1.18988</v>
      </c>
      <c r="AD141">
        <f t="shared" si="28"/>
        <v>16.635100000000001</v>
      </c>
      <c r="AE141">
        <f t="shared" si="29"/>
        <v>19.801424934</v>
      </c>
      <c r="AF141" s="9"/>
      <c r="AG141" s="22">
        <v>0.55969199999999997</v>
      </c>
      <c r="AH141" s="22">
        <v>233.72800000000001</v>
      </c>
      <c r="AI141" s="22">
        <v>-1.6763299999999998E-2</v>
      </c>
      <c r="AJ141" s="22">
        <v>131</v>
      </c>
      <c r="AK141" s="22">
        <v>0.55914299999999995</v>
      </c>
      <c r="AL141">
        <f t="shared" si="30"/>
        <v>16.763299999999997</v>
      </c>
      <c r="AM141">
        <f t="shared" si="31"/>
        <v>9.3822849035999987</v>
      </c>
      <c r="AP141" s="9"/>
      <c r="AQ141" s="22">
        <v>1.19034</v>
      </c>
      <c r="AR141" s="22">
        <v>286.14499999999998</v>
      </c>
      <c r="AS141" s="22">
        <v>-1.6491700000000001E-2</v>
      </c>
      <c r="AT141" s="22">
        <v>131</v>
      </c>
      <c r="AU141" s="22">
        <v>1.18927</v>
      </c>
      <c r="AV141">
        <f t="shared" si="32"/>
        <v>16.491700000000002</v>
      </c>
      <c r="AW141">
        <f t="shared" si="33"/>
        <v>19.630730178</v>
      </c>
      <c r="AX141" s="9"/>
      <c r="AY141" s="22">
        <v>0.55969199999999997</v>
      </c>
      <c r="AZ141" s="22">
        <v>365.375</v>
      </c>
      <c r="BA141" s="22">
        <v>-1.6570999999999999E-2</v>
      </c>
      <c r="BB141" s="22">
        <v>131</v>
      </c>
      <c r="BC141" s="22">
        <v>0.55905199999999999</v>
      </c>
      <c r="BD141">
        <f t="shared" si="34"/>
        <v>16.570999999999998</v>
      </c>
      <c r="BE141">
        <f t="shared" si="35"/>
        <v>9.2746561319999987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36.943800000000003</v>
      </c>
      <c r="I142" s="22">
        <v>-1.6693099999999999E-2</v>
      </c>
      <c r="J142" s="22">
        <v>132</v>
      </c>
      <c r="K142" s="22">
        <v>1.18469</v>
      </c>
      <c r="L142">
        <f t="shared" si="24"/>
        <v>16.693099999999998</v>
      </c>
      <c r="M142">
        <f t="shared" si="25"/>
        <v>19.786331429999997</v>
      </c>
      <c r="N142" s="9"/>
      <c r="O142" s="22">
        <v>0.56472800000000001</v>
      </c>
      <c r="P142" s="22">
        <v>92.339600000000004</v>
      </c>
      <c r="Q142" s="22">
        <v>-1.7181399999999999E-2</v>
      </c>
      <c r="R142" s="22">
        <v>132</v>
      </c>
      <c r="S142" s="22">
        <v>0.56402600000000003</v>
      </c>
      <c r="T142">
        <f t="shared" si="26"/>
        <v>17.1814</v>
      </c>
      <c r="U142">
        <f t="shared" si="27"/>
        <v>9.7028176592000008</v>
      </c>
      <c r="X142" s="9"/>
      <c r="Y142" s="22">
        <v>1.1853</v>
      </c>
      <c r="Z142" s="22">
        <v>154.297</v>
      </c>
      <c r="AA142" s="22">
        <v>-1.6653399999999999E-2</v>
      </c>
      <c r="AB142" s="22">
        <v>132</v>
      </c>
      <c r="AC142" s="22">
        <v>1.1853</v>
      </c>
      <c r="AD142">
        <f t="shared" si="28"/>
        <v>16.653399999999998</v>
      </c>
      <c r="AE142">
        <f t="shared" si="29"/>
        <v>19.739275019999997</v>
      </c>
      <c r="AF142" s="9"/>
      <c r="AG142" s="22">
        <v>0.56472800000000001</v>
      </c>
      <c r="AH142" s="22">
        <v>233.82900000000001</v>
      </c>
      <c r="AI142" s="22">
        <v>-1.6763299999999998E-2</v>
      </c>
      <c r="AJ142" s="22">
        <v>132</v>
      </c>
      <c r="AK142" s="22">
        <v>0.56408700000000001</v>
      </c>
      <c r="AL142">
        <f t="shared" si="30"/>
        <v>16.763299999999997</v>
      </c>
      <c r="AM142">
        <f t="shared" si="31"/>
        <v>9.4667048823999984</v>
      </c>
      <c r="AP142" s="9"/>
      <c r="AQ142" s="22">
        <v>1.1853</v>
      </c>
      <c r="AR142" s="22">
        <v>286.24599999999998</v>
      </c>
      <c r="AS142" s="22">
        <v>-1.651E-2</v>
      </c>
      <c r="AT142" s="22">
        <v>132</v>
      </c>
      <c r="AU142" s="22">
        <v>1.1843900000000001</v>
      </c>
      <c r="AV142">
        <f t="shared" si="32"/>
        <v>16.510000000000002</v>
      </c>
      <c r="AW142">
        <f t="shared" si="33"/>
        <v>19.569303000000001</v>
      </c>
      <c r="AX142" s="9"/>
      <c r="AY142" s="22">
        <v>0.56472800000000001</v>
      </c>
      <c r="AZ142" s="22">
        <v>365.476</v>
      </c>
      <c r="BA142" s="22">
        <v>-1.6595499999999999E-2</v>
      </c>
      <c r="BB142" s="22">
        <v>132</v>
      </c>
      <c r="BC142" s="22">
        <v>0.56402600000000003</v>
      </c>
      <c r="BD142">
        <f t="shared" si="34"/>
        <v>16.595499999999998</v>
      </c>
      <c r="BE142">
        <f t="shared" si="35"/>
        <v>9.3719435239999989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37.044499999999999</v>
      </c>
      <c r="I143" s="22">
        <v>-1.67023E-2</v>
      </c>
      <c r="J143" s="22">
        <v>133</v>
      </c>
      <c r="K143" s="22">
        <v>1.17981</v>
      </c>
      <c r="L143">
        <f t="shared" si="24"/>
        <v>16.702300000000001</v>
      </c>
      <c r="M143">
        <f t="shared" si="25"/>
        <v>19.713223621000001</v>
      </c>
      <c r="N143" s="9"/>
      <c r="O143" s="22">
        <v>0.56976300000000002</v>
      </c>
      <c r="P143" s="22">
        <v>92.440299999999993</v>
      </c>
      <c r="Q143" s="22">
        <v>-1.7163100000000001E-2</v>
      </c>
      <c r="R143" s="22">
        <v>133</v>
      </c>
      <c r="S143" s="22">
        <v>0.56912200000000002</v>
      </c>
      <c r="T143">
        <f t="shared" si="26"/>
        <v>17.1631</v>
      </c>
      <c r="U143">
        <f t="shared" si="27"/>
        <v>9.778899345300001</v>
      </c>
      <c r="X143" s="9"/>
      <c r="Y143" s="22">
        <v>1.1802699999999999</v>
      </c>
      <c r="Z143" s="22">
        <v>154.39699999999999</v>
      </c>
      <c r="AA143" s="22">
        <v>-1.66626E-2</v>
      </c>
      <c r="AB143" s="22">
        <v>133</v>
      </c>
      <c r="AC143" s="22">
        <v>1.1792</v>
      </c>
      <c r="AD143">
        <f t="shared" si="28"/>
        <v>16.662600000000001</v>
      </c>
      <c r="AE143">
        <f t="shared" si="29"/>
        <v>19.666366902</v>
      </c>
      <c r="AF143" s="9"/>
      <c r="AG143" s="22">
        <v>0.56976300000000002</v>
      </c>
      <c r="AH143" s="22">
        <v>233.93</v>
      </c>
      <c r="AI143" s="22">
        <v>-1.67969E-2</v>
      </c>
      <c r="AJ143" s="22">
        <v>133</v>
      </c>
      <c r="AK143" s="22">
        <v>0.56912200000000002</v>
      </c>
      <c r="AL143">
        <f t="shared" si="30"/>
        <v>16.796900000000001</v>
      </c>
      <c r="AM143">
        <f t="shared" si="31"/>
        <v>9.5702521347000005</v>
      </c>
      <c r="AP143" s="9"/>
      <c r="AQ143" s="22">
        <v>1.1802699999999999</v>
      </c>
      <c r="AR143" s="22">
        <v>286.346</v>
      </c>
      <c r="AS143" s="22">
        <v>-1.6476399999999999E-2</v>
      </c>
      <c r="AT143" s="22">
        <v>133</v>
      </c>
      <c r="AU143" s="22">
        <v>1.1792</v>
      </c>
      <c r="AV143">
        <f t="shared" si="32"/>
        <v>16.476399999999998</v>
      </c>
      <c r="AW143">
        <f t="shared" si="33"/>
        <v>19.446600627999995</v>
      </c>
      <c r="AX143" s="9"/>
      <c r="AY143" s="22">
        <v>0.56976300000000002</v>
      </c>
      <c r="AZ143" s="22">
        <v>365.577</v>
      </c>
      <c r="BA143" s="22">
        <v>-1.65649E-2</v>
      </c>
      <c r="BB143" s="22">
        <v>133</v>
      </c>
      <c r="BC143" s="22">
        <v>0.56906100000000004</v>
      </c>
      <c r="BD143">
        <f t="shared" si="34"/>
        <v>16.564900000000002</v>
      </c>
      <c r="BE143">
        <f t="shared" si="35"/>
        <v>9.4380671187000011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37.145200000000003</v>
      </c>
      <c r="I144" s="22">
        <v>-1.6690099999999999E-2</v>
      </c>
      <c r="J144" s="22">
        <v>134</v>
      </c>
      <c r="K144" s="22">
        <v>1.17462</v>
      </c>
      <c r="L144">
        <f t="shared" si="24"/>
        <v>16.690100000000001</v>
      </c>
      <c r="M144">
        <f t="shared" si="25"/>
        <v>19.614706223000002</v>
      </c>
      <c r="N144" s="9"/>
      <c r="O144" s="22">
        <v>0.57479899999999995</v>
      </c>
      <c r="P144" s="22">
        <v>92.540999999999997</v>
      </c>
      <c r="Q144" s="22">
        <v>-1.71661E-2</v>
      </c>
      <c r="R144" s="22">
        <v>134</v>
      </c>
      <c r="S144" s="22">
        <v>0.57412700000000005</v>
      </c>
      <c r="T144">
        <f t="shared" si="26"/>
        <v>17.1661</v>
      </c>
      <c r="U144">
        <f t="shared" si="27"/>
        <v>9.8670571138999996</v>
      </c>
      <c r="X144" s="9"/>
      <c r="Y144" s="22">
        <v>1.17523</v>
      </c>
      <c r="Z144" s="22">
        <v>154.49799999999999</v>
      </c>
      <c r="AA144" s="22">
        <v>-1.6671800000000001E-2</v>
      </c>
      <c r="AB144" s="22">
        <v>134</v>
      </c>
      <c r="AC144" s="22">
        <v>1.17401</v>
      </c>
      <c r="AD144">
        <f t="shared" si="28"/>
        <v>16.671800000000001</v>
      </c>
      <c r="AE144">
        <f t="shared" si="29"/>
        <v>19.593199514000002</v>
      </c>
      <c r="AF144" s="9"/>
      <c r="AG144" s="22">
        <v>0.57479899999999995</v>
      </c>
      <c r="AH144" s="22">
        <v>234.03</v>
      </c>
      <c r="AI144" s="22">
        <v>-1.6778600000000001E-2</v>
      </c>
      <c r="AJ144" s="22">
        <v>134</v>
      </c>
      <c r="AK144" s="22">
        <v>0.57418800000000003</v>
      </c>
      <c r="AL144">
        <f t="shared" si="30"/>
        <v>16.778600000000001</v>
      </c>
      <c r="AM144">
        <f t="shared" si="31"/>
        <v>9.6443225013999996</v>
      </c>
      <c r="AP144" s="9"/>
      <c r="AQ144" s="22">
        <v>1.17523</v>
      </c>
      <c r="AR144" s="22">
        <v>286.447</v>
      </c>
      <c r="AS144" s="22">
        <v>-1.6491700000000001E-2</v>
      </c>
      <c r="AT144" s="22">
        <v>134</v>
      </c>
      <c r="AU144" s="22">
        <v>1.17371</v>
      </c>
      <c r="AV144">
        <f t="shared" si="32"/>
        <v>16.491700000000002</v>
      </c>
      <c r="AW144">
        <f t="shared" si="33"/>
        <v>19.381540591</v>
      </c>
      <c r="AX144" s="9"/>
      <c r="AY144" s="22">
        <v>0.57479899999999995</v>
      </c>
      <c r="AZ144" s="22">
        <v>365.67700000000002</v>
      </c>
      <c r="BA144" s="22">
        <v>-1.6577100000000001E-2</v>
      </c>
      <c r="BB144" s="22">
        <v>134</v>
      </c>
      <c r="BC144" s="22">
        <v>0.57409699999999997</v>
      </c>
      <c r="BD144">
        <f t="shared" si="34"/>
        <v>16.577100000000002</v>
      </c>
      <c r="BE144">
        <f t="shared" si="35"/>
        <v>9.5285005029000001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37.245899999999999</v>
      </c>
      <c r="I145" s="22">
        <v>-1.6693099999999999E-2</v>
      </c>
      <c r="J145" s="22">
        <v>135</v>
      </c>
      <c r="K145" s="22">
        <v>1.16943</v>
      </c>
      <c r="L145">
        <f t="shared" si="24"/>
        <v>16.693099999999998</v>
      </c>
      <c r="M145">
        <f t="shared" si="25"/>
        <v>19.534265619999996</v>
      </c>
      <c r="N145" s="9"/>
      <c r="O145" s="22">
        <v>0.57983399999999996</v>
      </c>
      <c r="P145" s="22">
        <v>92.6417</v>
      </c>
      <c r="Q145" s="22">
        <v>-1.71661E-2</v>
      </c>
      <c r="R145" s="22">
        <v>135</v>
      </c>
      <c r="S145" s="22">
        <v>0.57910200000000001</v>
      </c>
      <c r="T145">
        <f t="shared" si="26"/>
        <v>17.1661</v>
      </c>
      <c r="U145">
        <f t="shared" si="27"/>
        <v>9.9534884273999999</v>
      </c>
      <c r="X145" s="9"/>
      <c r="Y145" s="22">
        <v>1.1701999999999999</v>
      </c>
      <c r="Z145" s="22">
        <v>154.59899999999999</v>
      </c>
      <c r="AA145" s="22">
        <v>-1.6696200000000001E-2</v>
      </c>
      <c r="AB145" s="22">
        <v>135</v>
      </c>
      <c r="AC145" s="22">
        <v>1.16943</v>
      </c>
      <c r="AD145">
        <f t="shared" si="28"/>
        <v>16.696200000000001</v>
      </c>
      <c r="AE145">
        <f t="shared" si="29"/>
        <v>19.537893239999999</v>
      </c>
      <c r="AF145" s="9"/>
      <c r="AG145" s="22">
        <v>0.57983399999999996</v>
      </c>
      <c r="AH145" s="22">
        <v>234.131</v>
      </c>
      <c r="AI145" s="22">
        <v>-1.6763299999999998E-2</v>
      </c>
      <c r="AJ145" s="22">
        <v>135</v>
      </c>
      <c r="AK145" s="22">
        <v>0.57919299999999996</v>
      </c>
      <c r="AL145">
        <f t="shared" si="30"/>
        <v>16.763299999999997</v>
      </c>
      <c r="AM145">
        <f t="shared" si="31"/>
        <v>9.7199312921999983</v>
      </c>
      <c r="AP145" s="9"/>
      <c r="AQ145" s="22">
        <v>1.1701999999999999</v>
      </c>
      <c r="AR145" s="22">
        <v>286.548</v>
      </c>
      <c r="AS145" s="22">
        <v>-1.6479500000000001E-2</v>
      </c>
      <c r="AT145" s="22">
        <v>135</v>
      </c>
      <c r="AU145" s="22">
        <v>1.16943</v>
      </c>
      <c r="AV145">
        <f t="shared" si="32"/>
        <v>16.479500000000002</v>
      </c>
      <c r="AW145">
        <f t="shared" si="33"/>
        <v>19.284310900000001</v>
      </c>
      <c r="AX145" s="9"/>
      <c r="AY145" s="22">
        <v>0.57983399999999996</v>
      </c>
      <c r="AZ145" s="22">
        <v>365.77800000000002</v>
      </c>
      <c r="BA145" s="22">
        <v>-1.6589400000000001E-2</v>
      </c>
      <c r="BB145" s="22">
        <v>135</v>
      </c>
      <c r="BC145" s="22">
        <v>0.57916299999999998</v>
      </c>
      <c r="BD145">
        <f t="shared" si="34"/>
        <v>16.589400000000001</v>
      </c>
      <c r="BE145">
        <f t="shared" si="35"/>
        <v>9.6190981596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37.346600000000002</v>
      </c>
      <c r="I146" s="22">
        <v>-1.6699200000000001E-2</v>
      </c>
      <c r="J146" s="22">
        <v>136</v>
      </c>
      <c r="K146" s="22">
        <v>1.16364</v>
      </c>
      <c r="L146">
        <f t="shared" si="24"/>
        <v>16.699200000000001</v>
      </c>
      <c r="M146">
        <f t="shared" si="25"/>
        <v>19.457239872000002</v>
      </c>
      <c r="N146" s="9"/>
      <c r="O146" s="22">
        <v>0.58486899999999997</v>
      </c>
      <c r="P146" s="22">
        <v>92.742400000000004</v>
      </c>
      <c r="Q146" s="22">
        <v>-1.7160000000000002E-2</v>
      </c>
      <c r="R146" s="22">
        <v>136</v>
      </c>
      <c r="S146" s="22">
        <v>0.584229</v>
      </c>
      <c r="T146">
        <f t="shared" si="26"/>
        <v>17.16</v>
      </c>
      <c r="U146">
        <f t="shared" si="27"/>
        <v>10.036352039999999</v>
      </c>
      <c r="X146" s="9"/>
      <c r="Y146" s="22">
        <v>1.16516</v>
      </c>
      <c r="Z146" s="22">
        <v>154.69900000000001</v>
      </c>
      <c r="AA146" s="22">
        <v>-1.6708400000000002E-2</v>
      </c>
      <c r="AB146" s="22">
        <v>136</v>
      </c>
      <c r="AC146" s="22">
        <v>1.16425</v>
      </c>
      <c r="AD146">
        <f t="shared" si="28"/>
        <v>16.708400000000001</v>
      </c>
      <c r="AE146">
        <f t="shared" si="29"/>
        <v>19.467959344</v>
      </c>
      <c r="AF146" s="9"/>
      <c r="AG146" s="22">
        <v>0.58486899999999997</v>
      </c>
      <c r="AH146" s="22">
        <v>234.232</v>
      </c>
      <c r="AI146" s="22">
        <v>-1.67572E-2</v>
      </c>
      <c r="AJ146" s="22">
        <v>136</v>
      </c>
      <c r="AK146" s="22">
        <v>0.584229</v>
      </c>
      <c r="AL146">
        <f t="shared" si="30"/>
        <v>16.757200000000001</v>
      </c>
      <c r="AM146">
        <f t="shared" si="31"/>
        <v>9.8007668068000005</v>
      </c>
      <c r="AP146" s="9"/>
      <c r="AQ146" s="22">
        <v>1.16516</v>
      </c>
      <c r="AR146" s="22">
        <v>286.649</v>
      </c>
      <c r="AS146" s="22">
        <v>-1.6513099999999999E-2</v>
      </c>
      <c r="AT146" s="22">
        <v>136</v>
      </c>
      <c r="AU146" s="22">
        <v>1.16425</v>
      </c>
      <c r="AV146">
        <f t="shared" si="32"/>
        <v>16.513099999999998</v>
      </c>
      <c r="AW146">
        <f t="shared" si="33"/>
        <v>19.240403595999997</v>
      </c>
      <c r="AX146" s="9"/>
      <c r="AY146" s="22">
        <v>0.58486899999999997</v>
      </c>
      <c r="AZ146" s="22">
        <v>365.87900000000002</v>
      </c>
      <c r="BA146" s="22">
        <v>-1.6583299999999999E-2</v>
      </c>
      <c r="BB146" s="22">
        <v>136</v>
      </c>
      <c r="BC146" s="22">
        <v>0.58431999999999995</v>
      </c>
      <c r="BD146">
        <f t="shared" si="34"/>
        <v>16.583299999999998</v>
      </c>
      <c r="BE146">
        <f t="shared" si="35"/>
        <v>9.6990580876999974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37.447299999999998</v>
      </c>
      <c r="I147" s="22">
        <v>-1.67023E-2</v>
      </c>
      <c r="J147" s="22">
        <v>137</v>
      </c>
      <c r="K147" s="22">
        <v>1.1593599999999999</v>
      </c>
      <c r="L147">
        <f t="shared" si="24"/>
        <v>16.702300000000001</v>
      </c>
      <c r="M147">
        <f t="shared" si="25"/>
        <v>19.376839299000004</v>
      </c>
      <c r="N147" s="9"/>
      <c r="O147" s="22">
        <v>0.58990500000000001</v>
      </c>
      <c r="P147" s="22">
        <v>92.843100000000007</v>
      </c>
      <c r="Q147" s="22">
        <v>-1.71661E-2</v>
      </c>
      <c r="R147" s="22">
        <v>137</v>
      </c>
      <c r="S147" s="22">
        <v>0.58920300000000003</v>
      </c>
      <c r="T147">
        <f t="shared" si="26"/>
        <v>17.1661</v>
      </c>
      <c r="U147">
        <f t="shared" si="27"/>
        <v>10.1263682205</v>
      </c>
      <c r="X147" s="9"/>
      <c r="Y147" s="22">
        <v>1.1601300000000001</v>
      </c>
      <c r="Z147" s="22">
        <v>154.80000000000001</v>
      </c>
      <c r="AA147" s="22">
        <v>-1.6708400000000002E-2</v>
      </c>
      <c r="AB147" s="22">
        <v>137</v>
      </c>
      <c r="AC147" s="22">
        <v>1.15906</v>
      </c>
      <c r="AD147">
        <f t="shared" si="28"/>
        <v>16.708400000000001</v>
      </c>
      <c r="AE147">
        <f t="shared" si="29"/>
        <v>19.383916092000003</v>
      </c>
      <c r="AF147" s="9"/>
      <c r="AG147" s="22">
        <v>0.58990500000000001</v>
      </c>
      <c r="AH147" s="22">
        <v>234.33199999999999</v>
      </c>
      <c r="AI147" s="22">
        <v>-1.67694E-2</v>
      </c>
      <c r="AJ147" s="22">
        <v>137</v>
      </c>
      <c r="AK147" s="22">
        <v>0.58923300000000001</v>
      </c>
      <c r="AL147">
        <f t="shared" si="30"/>
        <v>16.769400000000001</v>
      </c>
      <c r="AM147">
        <f t="shared" si="31"/>
        <v>9.8923529070000011</v>
      </c>
      <c r="AP147" s="9"/>
      <c r="AQ147" s="22">
        <v>1.1601300000000001</v>
      </c>
      <c r="AR147" s="22">
        <v>286.74900000000002</v>
      </c>
      <c r="AS147" s="22">
        <v>-1.64948E-2</v>
      </c>
      <c r="AT147" s="22">
        <v>137</v>
      </c>
      <c r="AU147" s="22">
        <v>1.1599699999999999</v>
      </c>
      <c r="AV147">
        <f t="shared" si="32"/>
        <v>16.494800000000001</v>
      </c>
      <c r="AW147">
        <f t="shared" si="33"/>
        <v>19.136112324000003</v>
      </c>
      <c r="AX147" s="9"/>
      <c r="AY147" s="22">
        <v>0.58990500000000001</v>
      </c>
      <c r="AZ147" s="22">
        <v>365.98</v>
      </c>
      <c r="BA147" s="22">
        <v>-1.6567999999999999E-2</v>
      </c>
      <c r="BB147" s="22">
        <v>137</v>
      </c>
      <c r="BC147" s="22">
        <v>0.58926400000000001</v>
      </c>
      <c r="BD147">
        <f t="shared" si="34"/>
        <v>16.567999999999998</v>
      </c>
      <c r="BE147">
        <f t="shared" si="35"/>
        <v>9.7735460399999994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37.548000000000002</v>
      </c>
      <c r="I148" s="22">
        <v>-1.6705299999999999E-2</v>
      </c>
      <c r="J148" s="22">
        <v>138</v>
      </c>
      <c r="K148" s="22">
        <v>1.15479</v>
      </c>
      <c r="L148">
        <f t="shared" si="24"/>
        <v>16.705299999999998</v>
      </c>
      <c r="M148">
        <f t="shared" si="25"/>
        <v>19.296124976999998</v>
      </c>
      <c r="N148" s="9"/>
      <c r="O148" s="22">
        <v>0.59494000000000002</v>
      </c>
      <c r="P148" s="22">
        <v>92.943899999999999</v>
      </c>
      <c r="Q148" s="22">
        <v>-1.7163100000000001E-2</v>
      </c>
      <c r="R148" s="22">
        <v>138</v>
      </c>
      <c r="S148" s="22">
        <v>0.59423800000000004</v>
      </c>
      <c r="T148">
        <f t="shared" si="26"/>
        <v>17.1631</v>
      </c>
      <c r="U148">
        <f t="shared" si="27"/>
        <v>10.211014714000001</v>
      </c>
      <c r="X148" s="9"/>
      <c r="Y148" s="22">
        <v>1.15509</v>
      </c>
      <c r="Z148" s="22">
        <v>154.90100000000001</v>
      </c>
      <c r="AA148" s="22">
        <v>-1.6726700000000001E-2</v>
      </c>
      <c r="AB148" s="22">
        <v>138</v>
      </c>
      <c r="AC148" s="22">
        <v>1.15387</v>
      </c>
      <c r="AD148">
        <f t="shared" si="28"/>
        <v>16.726700000000001</v>
      </c>
      <c r="AE148">
        <f t="shared" si="29"/>
        <v>19.320843903</v>
      </c>
      <c r="AF148" s="9"/>
      <c r="AG148" s="22">
        <v>0.59494000000000002</v>
      </c>
      <c r="AH148" s="22">
        <v>234.43299999999999</v>
      </c>
      <c r="AI148" s="22">
        <v>-1.6751100000000001E-2</v>
      </c>
      <c r="AJ148" s="22">
        <v>138</v>
      </c>
      <c r="AK148" s="22">
        <v>0.59433000000000002</v>
      </c>
      <c r="AL148">
        <f t="shared" si="30"/>
        <v>16.751100000000001</v>
      </c>
      <c r="AM148">
        <f t="shared" si="31"/>
        <v>9.9658994340000007</v>
      </c>
      <c r="AP148" s="9"/>
      <c r="AQ148" s="22">
        <v>1.15509</v>
      </c>
      <c r="AR148" s="22">
        <v>286.85000000000002</v>
      </c>
      <c r="AS148" s="22">
        <v>-1.6507000000000001E-2</v>
      </c>
      <c r="AT148" s="22">
        <v>138</v>
      </c>
      <c r="AU148" s="22">
        <v>1.15448</v>
      </c>
      <c r="AV148">
        <f t="shared" si="32"/>
        <v>16.507000000000001</v>
      </c>
      <c r="AW148">
        <f t="shared" si="33"/>
        <v>19.06707063</v>
      </c>
      <c r="AX148" s="9"/>
      <c r="AY148" s="22">
        <v>0.59494000000000002</v>
      </c>
      <c r="AZ148" s="22">
        <v>366.08</v>
      </c>
      <c r="BA148" s="22">
        <v>-1.6555799999999999E-2</v>
      </c>
      <c r="BB148" s="22">
        <v>138</v>
      </c>
      <c r="BC148" s="22">
        <v>0.59426900000000005</v>
      </c>
      <c r="BD148">
        <f t="shared" si="34"/>
        <v>16.555799999999998</v>
      </c>
      <c r="BE148">
        <f t="shared" si="35"/>
        <v>9.8497076519999993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37.648699999999998</v>
      </c>
      <c r="I149" s="22">
        <v>-1.6696200000000001E-2</v>
      </c>
      <c r="J149" s="22">
        <v>139</v>
      </c>
      <c r="K149" s="22">
        <v>1.1496</v>
      </c>
      <c r="L149">
        <f t="shared" si="24"/>
        <v>16.696200000000001</v>
      </c>
      <c r="M149">
        <f t="shared" si="25"/>
        <v>19.201464810000001</v>
      </c>
      <c r="N149" s="9"/>
      <c r="O149" s="22">
        <v>0.59997599999999995</v>
      </c>
      <c r="P149" s="22">
        <v>93.044600000000003</v>
      </c>
      <c r="Q149" s="22">
        <v>-1.7144800000000002E-2</v>
      </c>
      <c r="R149" s="22">
        <v>139</v>
      </c>
      <c r="S149" s="22">
        <v>0.59930399999999995</v>
      </c>
      <c r="T149">
        <f t="shared" si="26"/>
        <v>17.1448</v>
      </c>
      <c r="U149">
        <f t="shared" si="27"/>
        <v>10.2864685248</v>
      </c>
      <c r="X149" s="9"/>
      <c r="Y149" s="22">
        <v>1.15005</v>
      </c>
      <c r="Z149" s="22">
        <v>155.00200000000001</v>
      </c>
      <c r="AA149" s="22">
        <v>-1.67297E-2</v>
      </c>
      <c r="AB149" s="22">
        <v>139</v>
      </c>
      <c r="AC149" s="22">
        <v>1.1486799999999999</v>
      </c>
      <c r="AD149">
        <f t="shared" si="28"/>
        <v>16.729700000000001</v>
      </c>
      <c r="AE149">
        <f t="shared" si="29"/>
        <v>19.239991485000001</v>
      </c>
      <c r="AF149" s="9"/>
      <c r="AG149" s="22">
        <v>0.59997599999999995</v>
      </c>
      <c r="AH149" s="22">
        <v>234.53399999999999</v>
      </c>
      <c r="AI149" s="22">
        <v>-1.6806000000000001E-2</v>
      </c>
      <c r="AJ149" s="22">
        <v>139</v>
      </c>
      <c r="AK149" s="22">
        <v>0.59933499999999995</v>
      </c>
      <c r="AL149">
        <f t="shared" si="30"/>
        <v>16.806000000000001</v>
      </c>
      <c r="AM149">
        <f t="shared" si="31"/>
        <v>10.083196656</v>
      </c>
      <c r="AP149" s="9"/>
      <c r="AQ149" s="22">
        <v>1.15005</v>
      </c>
      <c r="AR149" s="22">
        <v>286.95100000000002</v>
      </c>
      <c r="AS149" s="22">
        <v>-1.6519200000000001E-2</v>
      </c>
      <c r="AT149" s="22">
        <v>139</v>
      </c>
      <c r="AU149" s="22">
        <v>1.1496</v>
      </c>
      <c r="AV149">
        <f t="shared" si="32"/>
        <v>16.519200000000001</v>
      </c>
      <c r="AW149">
        <f t="shared" si="33"/>
        <v>18.997905960000001</v>
      </c>
      <c r="AX149" s="9"/>
      <c r="AY149" s="22">
        <v>0.59997599999999995</v>
      </c>
      <c r="AZ149" s="22">
        <v>366.18099999999998</v>
      </c>
      <c r="BA149" s="22">
        <v>-1.6519200000000001E-2</v>
      </c>
      <c r="BB149" s="22">
        <v>139</v>
      </c>
      <c r="BC149" s="22">
        <v>0.59933499999999995</v>
      </c>
      <c r="BD149">
        <f t="shared" si="34"/>
        <v>16.519200000000001</v>
      </c>
      <c r="BE149">
        <f t="shared" si="35"/>
        <v>9.9111235392000001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37.749400000000001</v>
      </c>
      <c r="I150" s="22">
        <v>-1.6723600000000002E-2</v>
      </c>
      <c r="J150" s="22">
        <v>140</v>
      </c>
      <c r="K150" s="22">
        <v>1.1444099999999999</v>
      </c>
      <c r="L150">
        <f t="shared" si="24"/>
        <v>16.723600000000001</v>
      </c>
      <c r="M150">
        <f t="shared" si="25"/>
        <v>19.148856471999999</v>
      </c>
      <c r="N150" s="9"/>
      <c r="O150" s="22">
        <v>0.60501099999999997</v>
      </c>
      <c r="P150" s="22">
        <v>93.145300000000006</v>
      </c>
      <c r="Q150" s="22">
        <v>-1.7160000000000002E-2</v>
      </c>
      <c r="R150" s="22">
        <v>140</v>
      </c>
      <c r="S150" s="22">
        <v>0.60433999999999999</v>
      </c>
      <c r="T150">
        <f t="shared" si="26"/>
        <v>17.16</v>
      </c>
      <c r="U150">
        <f t="shared" si="27"/>
        <v>10.381988759999999</v>
      </c>
      <c r="X150" s="9"/>
      <c r="Y150" s="22">
        <v>1.1450199999999999</v>
      </c>
      <c r="Z150" s="22">
        <v>155.102</v>
      </c>
      <c r="AA150" s="22">
        <v>-1.6738900000000001E-2</v>
      </c>
      <c r="AB150" s="22">
        <v>140</v>
      </c>
      <c r="AC150" s="22">
        <v>1.1447099999999999</v>
      </c>
      <c r="AD150">
        <f t="shared" si="28"/>
        <v>16.738900000000001</v>
      </c>
      <c r="AE150">
        <f t="shared" si="29"/>
        <v>19.166375278</v>
      </c>
      <c r="AF150" s="9"/>
      <c r="AG150" s="22">
        <v>0.60501099999999997</v>
      </c>
      <c r="AH150" s="22">
        <v>234.63499999999999</v>
      </c>
      <c r="AI150" s="22">
        <v>-1.6787699999999999E-2</v>
      </c>
      <c r="AJ150" s="22">
        <v>140</v>
      </c>
      <c r="AK150" s="22">
        <v>0.60427900000000001</v>
      </c>
      <c r="AL150">
        <f t="shared" si="30"/>
        <v>16.787699999999997</v>
      </c>
      <c r="AM150">
        <f t="shared" si="31"/>
        <v>10.156743164699998</v>
      </c>
      <c r="AP150" s="9"/>
      <c r="AQ150" s="22">
        <v>1.1450199999999999</v>
      </c>
      <c r="AR150" s="22">
        <v>287.05099999999999</v>
      </c>
      <c r="AS150" s="22">
        <v>-1.6534400000000001E-2</v>
      </c>
      <c r="AT150" s="22">
        <v>140</v>
      </c>
      <c r="AU150" s="22">
        <v>1.1447099999999999</v>
      </c>
      <c r="AV150">
        <f t="shared" si="32"/>
        <v>16.534400000000002</v>
      </c>
      <c r="AW150">
        <f t="shared" si="33"/>
        <v>18.932218687999999</v>
      </c>
      <c r="AX150" s="9"/>
      <c r="AY150" s="22">
        <v>0.60501099999999997</v>
      </c>
      <c r="AZ150" s="22">
        <v>366.28199999999998</v>
      </c>
      <c r="BA150" s="22">
        <v>-1.65375E-2</v>
      </c>
      <c r="BB150" s="22">
        <v>140</v>
      </c>
      <c r="BC150" s="22">
        <v>0.60436999999999996</v>
      </c>
      <c r="BD150">
        <f t="shared" si="34"/>
        <v>16.537500000000001</v>
      </c>
      <c r="BE150">
        <f t="shared" si="35"/>
        <v>10.0053694125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37.850099999999998</v>
      </c>
      <c r="I151" s="22">
        <v>-1.6720599999999999E-2</v>
      </c>
      <c r="J151" s="22">
        <v>141</v>
      </c>
      <c r="K151" s="22">
        <v>1.1395299999999999</v>
      </c>
      <c r="L151">
        <f t="shared" si="24"/>
        <v>16.720599999999997</v>
      </c>
      <c r="M151">
        <f t="shared" si="25"/>
        <v>19.061149587999996</v>
      </c>
      <c r="N151" s="9"/>
      <c r="O151" s="22">
        <v>0.61004599999999998</v>
      </c>
      <c r="P151" s="22">
        <v>93.245999999999995</v>
      </c>
      <c r="Q151" s="22">
        <v>-1.7147800000000001E-2</v>
      </c>
      <c r="R151" s="22">
        <v>141</v>
      </c>
      <c r="S151" s="22">
        <v>0.60946699999999998</v>
      </c>
      <c r="T151">
        <f t="shared" si="26"/>
        <v>17.1478</v>
      </c>
      <c r="U151">
        <f t="shared" si="27"/>
        <v>10.4609467988</v>
      </c>
      <c r="X151" s="9"/>
      <c r="Y151" s="22">
        <v>1.13998</v>
      </c>
      <c r="Z151" s="22">
        <v>155.203</v>
      </c>
      <c r="AA151" s="22">
        <v>-1.6735799999999999E-2</v>
      </c>
      <c r="AB151" s="22">
        <v>141</v>
      </c>
      <c r="AC151" s="22">
        <v>1.1386099999999999</v>
      </c>
      <c r="AD151">
        <f t="shared" si="28"/>
        <v>16.735799999999998</v>
      </c>
      <c r="AE151">
        <f t="shared" si="29"/>
        <v>19.078477283999998</v>
      </c>
      <c r="AF151" s="9"/>
      <c r="AG151" s="22">
        <v>0.61004599999999998</v>
      </c>
      <c r="AH151" s="22">
        <v>234.73500000000001</v>
      </c>
      <c r="AI151" s="22">
        <v>-1.67847E-2</v>
      </c>
      <c r="AJ151" s="22">
        <v>141</v>
      </c>
      <c r="AK151" s="22">
        <v>0.609375</v>
      </c>
      <c r="AL151">
        <f t="shared" si="30"/>
        <v>16.784700000000001</v>
      </c>
      <c r="AM151">
        <f t="shared" si="31"/>
        <v>10.2394390962</v>
      </c>
      <c r="AP151" s="9"/>
      <c r="AQ151" s="22">
        <v>1.13998</v>
      </c>
      <c r="AR151" s="22">
        <v>287.15199999999999</v>
      </c>
      <c r="AS151" s="22">
        <v>-1.65375E-2</v>
      </c>
      <c r="AT151" s="22">
        <v>141</v>
      </c>
      <c r="AU151" s="22">
        <v>1.1392199999999999</v>
      </c>
      <c r="AV151">
        <f t="shared" si="32"/>
        <v>16.537500000000001</v>
      </c>
      <c r="AW151">
        <f t="shared" si="33"/>
        <v>18.852419250000001</v>
      </c>
      <c r="AX151" s="9"/>
      <c r="AY151" s="22">
        <v>0.61004599999999998</v>
      </c>
      <c r="AZ151" s="22">
        <v>366.38200000000001</v>
      </c>
      <c r="BA151" s="22">
        <v>-1.65253E-2</v>
      </c>
      <c r="BB151" s="22">
        <v>141</v>
      </c>
      <c r="BC151" s="22">
        <v>0.60946699999999998</v>
      </c>
      <c r="BD151">
        <f t="shared" si="34"/>
        <v>16.525300000000001</v>
      </c>
      <c r="BE151">
        <f t="shared" si="35"/>
        <v>10.0811931638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37.950800000000001</v>
      </c>
      <c r="I152" s="22">
        <v>-1.6720599999999999E-2</v>
      </c>
      <c r="J152" s="22">
        <v>142</v>
      </c>
      <c r="K152" s="22">
        <v>1.1343399999999999</v>
      </c>
      <c r="L152">
        <f t="shared" si="24"/>
        <v>16.720599999999997</v>
      </c>
      <c r="M152">
        <f t="shared" si="25"/>
        <v>18.977044969999994</v>
      </c>
      <c r="N152" s="9"/>
      <c r="O152" s="22">
        <v>0.61508200000000002</v>
      </c>
      <c r="P152" s="22">
        <v>93.346699999999998</v>
      </c>
      <c r="Q152" s="22">
        <v>-1.7147800000000001E-2</v>
      </c>
      <c r="R152" s="22">
        <v>142</v>
      </c>
      <c r="S152" s="22">
        <v>0.61441000000000001</v>
      </c>
      <c r="T152">
        <f t="shared" si="26"/>
        <v>17.1478</v>
      </c>
      <c r="U152">
        <f t="shared" si="27"/>
        <v>10.5473031196</v>
      </c>
      <c r="X152" s="9"/>
      <c r="Y152" s="22">
        <v>1.1349499999999999</v>
      </c>
      <c r="Z152" s="22">
        <v>155.304</v>
      </c>
      <c r="AA152" s="22">
        <v>-1.6741900000000001E-2</v>
      </c>
      <c r="AB152" s="22">
        <v>142</v>
      </c>
      <c r="AC152" s="22">
        <v>1.1337299999999999</v>
      </c>
      <c r="AD152">
        <f t="shared" si="28"/>
        <v>16.741900000000001</v>
      </c>
      <c r="AE152">
        <f t="shared" si="29"/>
        <v>19.001219405000001</v>
      </c>
      <c r="AF152" s="9"/>
      <c r="AG152" s="22">
        <v>0.61508200000000002</v>
      </c>
      <c r="AH152" s="22">
        <v>234.83600000000001</v>
      </c>
      <c r="AI152" s="22">
        <v>-1.6836500000000001E-2</v>
      </c>
      <c r="AJ152" s="22">
        <v>142</v>
      </c>
      <c r="AK152" s="22">
        <v>0.61450199999999999</v>
      </c>
      <c r="AL152">
        <f t="shared" si="30"/>
        <v>16.836500000000001</v>
      </c>
      <c r="AM152">
        <f t="shared" si="31"/>
        <v>10.355828093000001</v>
      </c>
      <c r="AP152" s="9"/>
      <c r="AQ152" s="22">
        <v>1.1349499999999999</v>
      </c>
      <c r="AR152" s="22">
        <v>287.25299999999999</v>
      </c>
      <c r="AS152" s="22">
        <v>-1.65527E-2</v>
      </c>
      <c r="AT152" s="22">
        <v>142</v>
      </c>
      <c r="AU152" s="22">
        <v>1.1340300000000001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366.483</v>
      </c>
      <c r="BA152" s="22">
        <v>-1.65527E-2</v>
      </c>
      <c r="BB152" s="22">
        <v>142</v>
      </c>
      <c r="BC152" s="22">
        <v>0.61453199999999997</v>
      </c>
      <c r="BD152">
        <f t="shared" si="34"/>
        <v>16.552700000000002</v>
      </c>
      <c r="BE152">
        <f t="shared" si="35"/>
        <v>10.181267821400001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38.051499999999997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93.447400000000002</v>
      </c>
      <c r="Q153" s="22">
        <v>-1.7144800000000002E-2</v>
      </c>
      <c r="R153" s="22">
        <v>143</v>
      </c>
      <c r="S153" s="22">
        <v>0.61944600000000005</v>
      </c>
      <c r="T153">
        <f t="shared" si="26"/>
        <v>17.1448</v>
      </c>
      <c r="U153">
        <f t="shared" si="27"/>
        <v>10.6317819416</v>
      </c>
      <c r="X153" s="9"/>
      <c r="Y153" s="22">
        <v>1.12991</v>
      </c>
      <c r="Z153" s="22">
        <v>155.404</v>
      </c>
      <c r="AA153" s="22">
        <v>-1.6732799999999999E-2</v>
      </c>
      <c r="AB153" s="22">
        <v>143</v>
      </c>
      <c r="AC153" s="22">
        <v>1.1291500000000001</v>
      </c>
      <c r="AD153">
        <f t="shared" si="28"/>
        <v>16.732799999999997</v>
      </c>
      <c r="AE153">
        <f t="shared" si="29"/>
        <v>18.906558047999997</v>
      </c>
      <c r="AF153" s="9"/>
      <c r="AG153" s="22">
        <v>0.62011700000000003</v>
      </c>
      <c r="AH153" s="22">
        <v>234.93700000000001</v>
      </c>
      <c r="AI153" s="22">
        <v>-1.68091E-2</v>
      </c>
      <c r="AJ153" s="22">
        <v>143</v>
      </c>
      <c r="AK153" s="22">
        <v>0.61938499999999996</v>
      </c>
      <c r="AL153">
        <f t="shared" si="30"/>
        <v>16.809100000000001</v>
      </c>
      <c r="AM153">
        <f t="shared" si="31"/>
        <v>10.423608664700001</v>
      </c>
      <c r="AP153" s="9"/>
      <c r="AQ153" s="22">
        <v>1.12991</v>
      </c>
      <c r="AR153" s="22">
        <v>287.35300000000001</v>
      </c>
      <c r="AS153" s="22">
        <v>-1.6567999999999999E-2</v>
      </c>
      <c r="AT153" s="22">
        <v>143</v>
      </c>
      <c r="AU153" s="22">
        <v>1.1285400000000001</v>
      </c>
      <c r="AV153">
        <f t="shared" si="32"/>
        <v>16.567999999999998</v>
      </c>
      <c r="AW153">
        <f t="shared" si="33"/>
        <v>18.720348879999996</v>
      </c>
      <c r="AX153" s="9"/>
      <c r="AY153" s="22">
        <v>0.62011700000000003</v>
      </c>
      <c r="AZ153" s="22">
        <v>366.584</v>
      </c>
      <c r="BA153" s="22">
        <v>-1.6522200000000001E-2</v>
      </c>
      <c r="BB153" s="22">
        <v>143</v>
      </c>
      <c r="BC153" s="22">
        <v>0.61950700000000003</v>
      </c>
      <c r="BD153">
        <f t="shared" si="34"/>
        <v>16.522200000000002</v>
      </c>
      <c r="BE153">
        <f t="shared" si="35"/>
        <v>10.245697097400001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38.152299999999997</v>
      </c>
      <c r="I154" s="22">
        <v>-1.6708400000000002E-2</v>
      </c>
      <c r="J154" s="22">
        <v>144</v>
      </c>
      <c r="K154" s="22">
        <v>1.1239600000000001</v>
      </c>
      <c r="L154">
        <f t="shared" si="24"/>
        <v>16.708400000000001</v>
      </c>
      <c r="M154">
        <f t="shared" si="25"/>
        <v>18.794944992000001</v>
      </c>
      <c r="N154" s="9"/>
      <c r="O154" s="22">
        <v>0.62515299999999996</v>
      </c>
      <c r="P154" s="22">
        <v>93.548100000000005</v>
      </c>
      <c r="Q154" s="22">
        <v>-1.7147800000000001E-2</v>
      </c>
      <c r="R154" s="22">
        <v>144</v>
      </c>
      <c r="S154" s="22">
        <v>0.62451199999999996</v>
      </c>
      <c r="T154">
        <f t="shared" si="26"/>
        <v>17.1478</v>
      </c>
      <c r="U154">
        <f t="shared" si="27"/>
        <v>10.7199986134</v>
      </c>
      <c r="X154" s="9"/>
      <c r="Y154" s="22">
        <v>1.1248800000000001</v>
      </c>
      <c r="Z154" s="22">
        <v>155.505</v>
      </c>
      <c r="AA154" s="22">
        <v>-1.67542E-2</v>
      </c>
      <c r="AB154" s="22">
        <v>144</v>
      </c>
      <c r="AC154" s="22">
        <v>1.1233500000000001</v>
      </c>
      <c r="AD154">
        <f t="shared" si="28"/>
        <v>16.754200000000001</v>
      </c>
      <c r="AE154">
        <f t="shared" si="29"/>
        <v>18.846464496000003</v>
      </c>
      <c r="AF154" s="9"/>
      <c r="AG154" s="22">
        <v>0.62515299999999996</v>
      </c>
      <c r="AH154" s="22">
        <v>235.03700000000001</v>
      </c>
      <c r="AI154" s="22">
        <v>-1.6790800000000002E-2</v>
      </c>
      <c r="AJ154" s="22">
        <v>144</v>
      </c>
      <c r="AK154" s="22">
        <v>0.62451199999999996</v>
      </c>
      <c r="AL154">
        <f t="shared" si="30"/>
        <v>16.790800000000001</v>
      </c>
      <c r="AM154">
        <f t="shared" si="31"/>
        <v>10.4968189924</v>
      </c>
      <c r="AP154" s="9"/>
      <c r="AQ154" s="22">
        <v>1.1248800000000001</v>
      </c>
      <c r="AR154" s="22">
        <v>287.45400000000001</v>
      </c>
      <c r="AS154" s="22">
        <v>-1.65527E-2</v>
      </c>
      <c r="AT154" s="22">
        <v>144</v>
      </c>
      <c r="AU154" s="22">
        <v>1.1236600000000001</v>
      </c>
      <c r="AV154">
        <f t="shared" si="32"/>
        <v>16.552700000000002</v>
      </c>
      <c r="AW154">
        <f t="shared" si="33"/>
        <v>18.619801176000003</v>
      </c>
      <c r="AX154" s="9"/>
      <c r="AY154" s="22">
        <v>0.62515299999999996</v>
      </c>
      <c r="AZ154" s="22">
        <v>366.68400000000003</v>
      </c>
      <c r="BA154" s="22">
        <v>-1.6561900000000001E-2</v>
      </c>
      <c r="BB154" s="22">
        <v>144</v>
      </c>
      <c r="BC154" s="22">
        <v>0.62451199999999996</v>
      </c>
      <c r="BD154">
        <f t="shared" si="34"/>
        <v>16.561900000000001</v>
      </c>
      <c r="BE154">
        <f t="shared" si="35"/>
        <v>10.3537214707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38.253</v>
      </c>
      <c r="I155" s="22">
        <v>-1.6735799999999999E-2</v>
      </c>
      <c r="J155" s="22">
        <v>145</v>
      </c>
      <c r="K155" s="22">
        <v>1.11938</v>
      </c>
      <c r="L155">
        <f t="shared" si="24"/>
        <v>16.735799999999998</v>
      </c>
      <c r="M155">
        <f t="shared" si="25"/>
        <v>18.741418271999997</v>
      </c>
      <c r="N155" s="9"/>
      <c r="O155" s="22">
        <v>0.63018799999999997</v>
      </c>
      <c r="P155" s="22">
        <v>93.648799999999994</v>
      </c>
      <c r="Q155" s="22">
        <v>-1.7141699999999999E-2</v>
      </c>
      <c r="R155" s="22">
        <v>145</v>
      </c>
      <c r="S155" s="22">
        <v>0.62954699999999997</v>
      </c>
      <c r="T155">
        <f t="shared" si="26"/>
        <v>17.1417</v>
      </c>
      <c r="U155">
        <f t="shared" si="27"/>
        <v>10.8024936396</v>
      </c>
      <c r="X155" s="9"/>
      <c r="Y155" s="22">
        <v>1.1198399999999999</v>
      </c>
      <c r="Z155" s="22">
        <v>155.60599999999999</v>
      </c>
      <c r="AA155" s="22">
        <v>-1.6766400000000001E-2</v>
      </c>
      <c r="AB155" s="22">
        <v>145</v>
      </c>
      <c r="AC155" s="22">
        <v>1.1190800000000001</v>
      </c>
      <c r="AD155">
        <f t="shared" si="28"/>
        <v>16.766400000000001</v>
      </c>
      <c r="AE155">
        <f t="shared" si="29"/>
        <v>18.775685375999998</v>
      </c>
      <c r="AF155" s="9"/>
      <c r="AG155" s="22">
        <v>0.63018799999999997</v>
      </c>
      <c r="AH155" s="22">
        <v>235.13800000000001</v>
      </c>
      <c r="AI155" s="22">
        <v>-1.6781600000000001E-2</v>
      </c>
      <c r="AJ155" s="22">
        <v>145</v>
      </c>
      <c r="AK155" s="22">
        <v>0.62945600000000002</v>
      </c>
      <c r="AL155">
        <f t="shared" si="30"/>
        <v>16.781600000000001</v>
      </c>
      <c r="AM155">
        <f t="shared" si="31"/>
        <v>10.575562940799999</v>
      </c>
      <c r="AP155" s="9"/>
      <c r="AQ155" s="22">
        <v>1.1198399999999999</v>
      </c>
      <c r="AR155" s="22">
        <v>287.55500000000001</v>
      </c>
      <c r="AS155" s="22">
        <v>-1.6570999999999999E-2</v>
      </c>
      <c r="AT155" s="22">
        <v>145</v>
      </c>
      <c r="AU155" s="22">
        <v>1.11877</v>
      </c>
      <c r="AV155">
        <f t="shared" si="32"/>
        <v>16.570999999999998</v>
      </c>
      <c r="AW155">
        <f t="shared" si="33"/>
        <v>18.556868639999998</v>
      </c>
      <c r="AX155" s="9"/>
      <c r="AY155" s="22">
        <v>0.63018799999999997</v>
      </c>
      <c r="AZ155" s="22">
        <v>366.78500000000003</v>
      </c>
      <c r="BA155" s="22">
        <v>-1.6583299999999999E-2</v>
      </c>
      <c r="BB155" s="22">
        <v>145</v>
      </c>
      <c r="BC155" s="22">
        <v>0.62951699999999999</v>
      </c>
      <c r="BD155">
        <f t="shared" si="34"/>
        <v>16.583299999999998</v>
      </c>
      <c r="BE155">
        <f t="shared" si="35"/>
        <v>10.450596660399999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38.353700000000003</v>
      </c>
      <c r="I156" s="22">
        <v>-1.6735799999999999E-2</v>
      </c>
      <c r="J156" s="22">
        <v>146</v>
      </c>
      <c r="K156" s="22">
        <v>1.1142000000000001</v>
      </c>
      <c r="L156">
        <f t="shared" si="24"/>
        <v>16.735799999999998</v>
      </c>
      <c r="M156">
        <f t="shared" si="25"/>
        <v>18.657237197999997</v>
      </c>
      <c r="N156" s="9"/>
      <c r="O156" s="22">
        <v>0.63522299999999998</v>
      </c>
      <c r="P156" s="22">
        <v>93.749499999999998</v>
      </c>
      <c r="Q156" s="22">
        <v>-1.7156999999999999E-2</v>
      </c>
      <c r="R156" s="22">
        <v>146</v>
      </c>
      <c r="S156" s="22">
        <v>0.63461299999999998</v>
      </c>
      <c r="T156">
        <f t="shared" si="26"/>
        <v>17.157</v>
      </c>
      <c r="U156">
        <f t="shared" si="27"/>
        <v>10.898521011</v>
      </c>
      <c r="X156" s="9"/>
      <c r="Y156" s="22">
        <v>1.1148100000000001</v>
      </c>
      <c r="Z156" s="22">
        <v>155.70599999999999</v>
      </c>
      <c r="AA156" s="22">
        <v>-1.6763299999999998E-2</v>
      </c>
      <c r="AB156" s="22">
        <v>146</v>
      </c>
      <c r="AC156" s="22">
        <v>1.1142000000000001</v>
      </c>
      <c r="AD156">
        <f t="shared" si="28"/>
        <v>16.763299999999997</v>
      </c>
      <c r="AE156">
        <f t="shared" si="29"/>
        <v>18.687894473</v>
      </c>
      <c r="AF156" s="9"/>
      <c r="AG156" s="22">
        <v>0.63522299999999998</v>
      </c>
      <c r="AH156" s="22">
        <v>235.239</v>
      </c>
      <c r="AI156" s="22">
        <v>-1.6775499999999999E-2</v>
      </c>
      <c r="AJ156" s="22">
        <v>146</v>
      </c>
      <c r="AK156" s="22">
        <v>0.634552</v>
      </c>
      <c r="AL156">
        <f t="shared" si="30"/>
        <v>16.775499999999997</v>
      </c>
      <c r="AM156">
        <f t="shared" si="31"/>
        <v>10.656183436499997</v>
      </c>
      <c r="AP156" s="9"/>
      <c r="AQ156" s="22">
        <v>1.1148100000000001</v>
      </c>
      <c r="AR156" s="22">
        <v>287.65600000000001</v>
      </c>
      <c r="AS156" s="22">
        <v>-1.65527E-2</v>
      </c>
      <c r="AT156" s="22">
        <v>146</v>
      </c>
      <c r="AU156" s="22">
        <v>1.1135900000000001</v>
      </c>
      <c r="AV156">
        <f t="shared" si="32"/>
        <v>16.552700000000002</v>
      </c>
      <c r="AW156">
        <f t="shared" si="33"/>
        <v>18.453115487000002</v>
      </c>
      <c r="AX156" s="9"/>
      <c r="AY156" s="22">
        <v>0.63522299999999998</v>
      </c>
      <c r="AZ156" s="22">
        <v>366.88600000000002</v>
      </c>
      <c r="BA156" s="22">
        <v>-1.6558799999999999E-2</v>
      </c>
      <c r="BB156" s="22">
        <v>146</v>
      </c>
      <c r="BC156" s="22">
        <v>0.634552</v>
      </c>
      <c r="BD156">
        <f t="shared" si="34"/>
        <v>16.558799999999998</v>
      </c>
      <c r="BE156">
        <f t="shared" si="35"/>
        <v>10.518530612399998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38.4544</v>
      </c>
      <c r="I157" s="22">
        <v>-1.6738900000000001E-2</v>
      </c>
      <c r="J157" s="22">
        <v>147</v>
      </c>
      <c r="K157" s="22">
        <v>1.1090100000000001</v>
      </c>
      <c r="L157">
        <f t="shared" si="24"/>
        <v>16.738900000000001</v>
      </c>
      <c r="M157">
        <f t="shared" si="25"/>
        <v>18.576329052999998</v>
      </c>
      <c r="N157" s="9"/>
      <c r="O157" s="22">
        <v>0.64025900000000002</v>
      </c>
      <c r="P157" s="22">
        <v>93.850200000000001</v>
      </c>
      <c r="Q157" s="22">
        <v>-1.71387E-2</v>
      </c>
      <c r="R157" s="22">
        <v>147</v>
      </c>
      <c r="S157" s="22">
        <v>0.63955700000000004</v>
      </c>
      <c r="T157">
        <f t="shared" si="26"/>
        <v>17.1387</v>
      </c>
      <c r="U157">
        <f t="shared" si="27"/>
        <v>10.973206923300001</v>
      </c>
      <c r="X157" s="9"/>
      <c r="Y157" s="22">
        <v>1.1097699999999999</v>
      </c>
      <c r="Z157" s="22">
        <v>155.80699999999999</v>
      </c>
      <c r="AA157" s="22">
        <v>-1.6760299999999999E-2</v>
      </c>
      <c r="AB157" s="22">
        <v>147</v>
      </c>
      <c r="AC157" s="22">
        <v>1.1090100000000001</v>
      </c>
      <c r="AD157">
        <f t="shared" si="28"/>
        <v>16.760299999999997</v>
      </c>
      <c r="AE157">
        <f t="shared" si="29"/>
        <v>18.600078130999997</v>
      </c>
      <c r="AF157" s="9"/>
      <c r="AG157" s="22">
        <v>0.64025900000000002</v>
      </c>
      <c r="AH157" s="22">
        <v>235.339</v>
      </c>
      <c r="AI157" s="22">
        <v>-1.67847E-2</v>
      </c>
      <c r="AJ157" s="22">
        <v>147</v>
      </c>
      <c r="AK157" s="22">
        <v>0.63958700000000002</v>
      </c>
      <c r="AL157">
        <f t="shared" si="30"/>
        <v>16.784700000000001</v>
      </c>
      <c r="AM157">
        <f t="shared" si="31"/>
        <v>10.746555237300001</v>
      </c>
      <c r="AP157" s="9"/>
      <c r="AQ157" s="22">
        <v>1.1097699999999999</v>
      </c>
      <c r="AR157" s="22">
        <v>287.75599999999997</v>
      </c>
      <c r="AS157" s="22">
        <v>-1.6601600000000001E-2</v>
      </c>
      <c r="AT157" s="22">
        <v>147</v>
      </c>
      <c r="AU157" s="22">
        <v>1.1084000000000001</v>
      </c>
      <c r="AV157">
        <f t="shared" si="32"/>
        <v>16.601600000000001</v>
      </c>
      <c r="AW157">
        <f t="shared" si="33"/>
        <v>18.423957632</v>
      </c>
      <c r="AX157" s="9"/>
      <c r="AY157" s="22">
        <v>0.64025900000000002</v>
      </c>
      <c r="AZ157" s="22">
        <v>366.98700000000002</v>
      </c>
      <c r="BA157" s="22">
        <v>-1.6570999999999999E-2</v>
      </c>
      <c r="BB157" s="22">
        <v>147</v>
      </c>
      <c r="BC157" s="22">
        <v>0.63961800000000002</v>
      </c>
      <c r="BD157">
        <f t="shared" si="34"/>
        <v>16.570999999999998</v>
      </c>
      <c r="BE157">
        <f t="shared" si="35"/>
        <v>10.609731888999999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38.555100000000003</v>
      </c>
      <c r="I158" s="22">
        <v>-1.6766400000000001E-2</v>
      </c>
      <c r="J158" s="22">
        <v>148</v>
      </c>
      <c r="K158" s="22">
        <v>1.10382</v>
      </c>
      <c r="L158">
        <f t="shared" si="24"/>
        <v>16.766400000000001</v>
      </c>
      <c r="M158">
        <f t="shared" si="25"/>
        <v>18.522512736000003</v>
      </c>
      <c r="N158" s="9"/>
      <c r="O158" s="22">
        <v>0.64529400000000003</v>
      </c>
      <c r="P158" s="22">
        <v>93.950900000000004</v>
      </c>
      <c r="Q158" s="22">
        <v>-1.71234E-2</v>
      </c>
      <c r="R158" s="22">
        <v>148</v>
      </c>
      <c r="S158" s="22">
        <v>0.64456199999999997</v>
      </c>
      <c r="T158">
        <f t="shared" si="26"/>
        <v>17.1234</v>
      </c>
      <c r="U158">
        <f t="shared" si="27"/>
        <v>11.049627279600001</v>
      </c>
      <c r="X158" s="9"/>
      <c r="Y158" s="22">
        <v>1.1047400000000001</v>
      </c>
      <c r="Z158" s="22">
        <v>155.90799999999999</v>
      </c>
      <c r="AA158" s="22">
        <v>-1.6778600000000001E-2</v>
      </c>
      <c r="AB158" s="22">
        <v>148</v>
      </c>
      <c r="AC158" s="22">
        <v>1.1041300000000001</v>
      </c>
      <c r="AD158">
        <f t="shared" si="28"/>
        <v>16.778600000000001</v>
      </c>
      <c r="AE158">
        <f t="shared" si="29"/>
        <v>18.535990564000002</v>
      </c>
      <c r="AF158" s="9"/>
      <c r="AG158" s="22">
        <v>0.64529400000000003</v>
      </c>
      <c r="AH158" s="22">
        <v>235.44</v>
      </c>
      <c r="AI158" s="22">
        <v>-1.67847E-2</v>
      </c>
      <c r="AJ158" s="22">
        <v>148</v>
      </c>
      <c r="AK158" s="22">
        <v>0.64465300000000003</v>
      </c>
      <c r="AL158">
        <f t="shared" si="30"/>
        <v>16.784700000000001</v>
      </c>
      <c r="AM158">
        <f t="shared" si="31"/>
        <v>10.831066201800001</v>
      </c>
      <c r="AP158" s="9"/>
      <c r="AQ158" s="22">
        <v>1.1047400000000001</v>
      </c>
      <c r="AR158" s="22">
        <v>287.85700000000003</v>
      </c>
      <c r="AS158" s="22">
        <v>-1.6610699999999999E-2</v>
      </c>
      <c r="AT158" s="22">
        <v>148</v>
      </c>
      <c r="AU158" s="22">
        <v>1.1041300000000001</v>
      </c>
      <c r="AV158">
        <f t="shared" si="32"/>
        <v>16.610699999999998</v>
      </c>
      <c r="AW158">
        <f t="shared" si="33"/>
        <v>18.350504718</v>
      </c>
      <c r="AX158" s="9"/>
      <c r="AY158" s="22">
        <v>0.64529400000000003</v>
      </c>
      <c r="AZ158" s="22">
        <v>367.08699999999999</v>
      </c>
      <c r="BA158" s="22">
        <v>-1.6558799999999999E-2</v>
      </c>
      <c r="BB158" s="22">
        <v>148</v>
      </c>
      <c r="BC158" s="22">
        <v>0.64465300000000003</v>
      </c>
      <c r="BD158">
        <f t="shared" si="34"/>
        <v>16.558799999999998</v>
      </c>
      <c r="BE158">
        <f t="shared" si="35"/>
        <v>10.6852942872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38.655799999999999</v>
      </c>
      <c r="I159" s="22">
        <v>-1.67542E-2</v>
      </c>
      <c r="J159" s="22">
        <v>149</v>
      </c>
      <c r="K159" s="22">
        <v>1.09924</v>
      </c>
      <c r="L159">
        <f t="shared" si="24"/>
        <v>16.754200000000001</v>
      </c>
      <c r="M159">
        <f t="shared" si="25"/>
        <v>18.424593739999999</v>
      </c>
      <c r="N159" s="9"/>
      <c r="O159" s="22">
        <v>0.65032999999999996</v>
      </c>
      <c r="P159" s="22">
        <v>94.051599999999993</v>
      </c>
      <c r="Q159" s="22">
        <v>-1.7126499999999999E-2</v>
      </c>
      <c r="R159" s="22">
        <v>149</v>
      </c>
      <c r="S159" s="22">
        <v>0.64965799999999996</v>
      </c>
      <c r="T159">
        <f t="shared" si="26"/>
        <v>17.1265</v>
      </c>
      <c r="U159">
        <f t="shared" si="27"/>
        <v>11.137876745</v>
      </c>
      <c r="X159" s="9"/>
      <c r="Y159" s="22">
        <v>1.0996999999999999</v>
      </c>
      <c r="Z159" s="22">
        <v>156.00899999999999</v>
      </c>
      <c r="AA159" s="22">
        <v>-1.6775499999999999E-2</v>
      </c>
      <c r="AB159" s="22">
        <v>149</v>
      </c>
      <c r="AC159" s="22">
        <v>1.09894</v>
      </c>
      <c r="AD159">
        <f t="shared" si="28"/>
        <v>16.775499999999997</v>
      </c>
      <c r="AE159">
        <f t="shared" si="29"/>
        <v>18.448017349999997</v>
      </c>
      <c r="AF159" s="9"/>
      <c r="AG159" s="22">
        <v>0.65032999999999996</v>
      </c>
      <c r="AH159" s="22">
        <v>235.541</v>
      </c>
      <c r="AI159" s="22">
        <v>-1.6772499999999999E-2</v>
      </c>
      <c r="AJ159" s="22">
        <v>149</v>
      </c>
      <c r="AK159" s="22">
        <v>0.64965799999999996</v>
      </c>
      <c r="AL159">
        <f t="shared" si="30"/>
        <v>16.772500000000001</v>
      </c>
      <c r="AM159">
        <f t="shared" si="31"/>
        <v>10.907659925000001</v>
      </c>
      <c r="AP159" s="9"/>
      <c r="AQ159" s="22">
        <v>1.0996999999999999</v>
      </c>
      <c r="AR159" s="22">
        <v>287.95800000000003</v>
      </c>
      <c r="AS159" s="22">
        <v>-1.66351E-2</v>
      </c>
      <c r="AT159" s="22">
        <v>149</v>
      </c>
      <c r="AU159" s="22">
        <v>1.09894</v>
      </c>
      <c r="AV159">
        <f t="shared" si="32"/>
        <v>16.635100000000001</v>
      </c>
      <c r="AW159">
        <f t="shared" si="33"/>
        <v>18.293619469999999</v>
      </c>
      <c r="AX159" s="9"/>
      <c r="AY159" s="22">
        <v>0.65032999999999996</v>
      </c>
      <c r="AZ159" s="22">
        <v>367.18799999999999</v>
      </c>
      <c r="BA159" s="22">
        <v>-1.65527E-2</v>
      </c>
      <c r="BB159" s="22">
        <v>149</v>
      </c>
      <c r="BC159" s="22">
        <v>0.64968899999999996</v>
      </c>
      <c r="BD159">
        <f t="shared" si="34"/>
        <v>16.552700000000002</v>
      </c>
      <c r="BE159">
        <f t="shared" si="35"/>
        <v>10.764717391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38.756500000000003</v>
      </c>
      <c r="I160" s="22">
        <v>-1.6747999999999999E-2</v>
      </c>
      <c r="J160" s="22">
        <v>150</v>
      </c>
      <c r="K160" s="22">
        <v>1.09314</v>
      </c>
      <c r="L160">
        <f t="shared" si="24"/>
        <v>16.747999999999998</v>
      </c>
      <c r="M160">
        <f t="shared" si="25"/>
        <v>18.333533159999998</v>
      </c>
      <c r="N160" s="9"/>
      <c r="O160" s="22">
        <v>0.65536499999999998</v>
      </c>
      <c r="P160" s="22">
        <v>94.1524</v>
      </c>
      <c r="Q160" s="22">
        <v>-1.7120400000000001E-2</v>
      </c>
      <c r="R160" s="22">
        <v>150</v>
      </c>
      <c r="S160" s="22">
        <v>0.65472399999999997</v>
      </c>
      <c r="T160">
        <f t="shared" si="26"/>
        <v>17.1204</v>
      </c>
      <c r="U160">
        <f t="shared" si="27"/>
        <v>11.220110946</v>
      </c>
      <c r="X160" s="9"/>
      <c r="Y160" s="22">
        <v>1.09467</v>
      </c>
      <c r="Z160" s="22">
        <v>156.10900000000001</v>
      </c>
      <c r="AA160" s="22">
        <v>-1.6772499999999999E-2</v>
      </c>
      <c r="AB160" s="22">
        <v>150</v>
      </c>
      <c r="AC160" s="22">
        <v>1.09375</v>
      </c>
      <c r="AD160">
        <f t="shared" si="28"/>
        <v>16.772500000000001</v>
      </c>
      <c r="AE160">
        <f t="shared" si="29"/>
        <v>18.360352575</v>
      </c>
      <c r="AF160" s="9"/>
      <c r="AG160" s="22">
        <v>0.65536499999999998</v>
      </c>
      <c r="AH160" s="22">
        <v>235.642</v>
      </c>
      <c r="AI160" s="22">
        <v>-1.6790800000000002E-2</v>
      </c>
      <c r="AJ160" s="22">
        <v>150</v>
      </c>
      <c r="AK160" s="22">
        <v>0.65475499999999998</v>
      </c>
      <c r="AL160">
        <f t="shared" si="30"/>
        <v>16.790800000000001</v>
      </c>
      <c r="AM160">
        <f t="shared" si="31"/>
        <v>11.004102641999999</v>
      </c>
      <c r="AP160" s="9"/>
      <c r="AQ160" s="22">
        <v>1.09467</v>
      </c>
      <c r="AR160" s="22">
        <v>288.05799999999999</v>
      </c>
      <c r="AS160" s="22">
        <v>-1.66321E-2</v>
      </c>
      <c r="AT160" s="22">
        <v>150</v>
      </c>
      <c r="AU160" s="22">
        <v>1.09406</v>
      </c>
      <c r="AV160">
        <f t="shared" si="32"/>
        <v>16.632100000000001</v>
      </c>
      <c r="AW160">
        <f t="shared" si="33"/>
        <v>18.206660907000003</v>
      </c>
      <c r="AX160" s="9"/>
      <c r="AY160" s="22">
        <v>0.65536499999999998</v>
      </c>
      <c r="AZ160" s="22">
        <v>367.28899999999999</v>
      </c>
      <c r="BA160" s="22">
        <v>-1.65253E-2</v>
      </c>
      <c r="BB160" s="22">
        <v>150</v>
      </c>
      <c r="BC160" s="22">
        <v>0.65478499999999995</v>
      </c>
      <c r="BD160">
        <f t="shared" si="34"/>
        <v>16.525300000000001</v>
      </c>
      <c r="BE160">
        <f t="shared" si="35"/>
        <v>10.830103234500001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38.857199999999999</v>
      </c>
      <c r="I161" s="22">
        <v>-1.6735799999999999E-2</v>
      </c>
      <c r="J161" s="22">
        <v>151</v>
      </c>
      <c r="K161" s="22">
        <v>1.08917</v>
      </c>
      <c r="L161">
        <f t="shared" si="24"/>
        <v>16.735799999999998</v>
      </c>
      <c r="M161">
        <f t="shared" si="25"/>
        <v>18.235829753999997</v>
      </c>
      <c r="N161" s="9"/>
      <c r="O161" s="22">
        <v>0.66039999999999999</v>
      </c>
      <c r="P161" s="22">
        <v>94.253100000000003</v>
      </c>
      <c r="Q161" s="22">
        <v>-1.7117299999999998E-2</v>
      </c>
      <c r="R161" s="22">
        <v>151</v>
      </c>
      <c r="S161" s="22">
        <v>0.65966800000000003</v>
      </c>
      <c r="T161">
        <f t="shared" si="26"/>
        <v>17.1173</v>
      </c>
      <c r="U161">
        <f t="shared" si="27"/>
        <v>11.30426492</v>
      </c>
      <c r="X161" s="9"/>
      <c r="Y161" s="22">
        <v>1.0896300000000001</v>
      </c>
      <c r="Z161" s="22">
        <v>156.21</v>
      </c>
      <c r="AA161" s="22">
        <v>-1.6790800000000002E-2</v>
      </c>
      <c r="AB161" s="22">
        <v>151</v>
      </c>
      <c r="AC161" s="22">
        <v>1.08826</v>
      </c>
      <c r="AD161">
        <f t="shared" si="28"/>
        <v>16.790800000000001</v>
      </c>
      <c r="AE161">
        <f t="shared" si="29"/>
        <v>18.295759404000002</v>
      </c>
      <c r="AF161" s="9"/>
      <c r="AG161" s="22">
        <v>0.66039999999999999</v>
      </c>
      <c r="AH161" s="22">
        <v>235.74199999999999</v>
      </c>
      <c r="AI161" s="22">
        <v>-1.67969E-2</v>
      </c>
      <c r="AJ161" s="22">
        <v>151</v>
      </c>
      <c r="AK161" s="22">
        <v>0.65978999999999999</v>
      </c>
      <c r="AL161">
        <f t="shared" si="30"/>
        <v>16.796900000000001</v>
      </c>
      <c r="AM161">
        <f t="shared" si="31"/>
        <v>11.092672760000001</v>
      </c>
      <c r="AP161" s="9"/>
      <c r="AQ161" s="22">
        <v>1.0896300000000001</v>
      </c>
      <c r="AR161" s="22">
        <v>288.15899999999999</v>
      </c>
      <c r="AS161" s="22">
        <v>-1.6613800000000001E-2</v>
      </c>
      <c r="AT161" s="22">
        <v>151</v>
      </c>
      <c r="AU161" s="22">
        <v>1.08856</v>
      </c>
      <c r="AV161">
        <f t="shared" si="32"/>
        <v>16.613800000000001</v>
      </c>
      <c r="AW161">
        <f t="shared" si="33"/>
        <v>18.102894894000002</v>
      </c>
      <c r="AX161" s="9"/>
      <c r="AY161" s="22">
        <v>0.66039999999999999</v>
      </c>
      <c r="AZ161" s="22">
        <v>367.38900000000001</v>
      </c>
      <c r="BA161" s="22">
        <v>-1.65527E-2</v>
      </c>
      <c r="BB161" s="22">
        <v>151</v>
      </c>
      <c r="BC161" s="22">
        <v>0.65982099999999999</v>
      </c>
      <c r="BD161">
        <f t="shared" si="34"/>
        <v>16.552700000000002</v>
      </c>
      <c r="BE161">
        <f t="shared" si="35"/>
        <v>10.931403080000001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38.957900000000002</v>
      </c>
      <c r="I162" s="22">
        <v>-1.6732799999999999E-2</v>
      </c>
      <c r="J162" s="22">
        <v>152</v>
      </c>
      <c r="K162" s="22">
        <v>1.08368</v>
      </c>
      <c r="L162">
        <f t="shared" si="24"/>
        <v>16.732799999999997</v>
      </c>
      <c r="M162">
        <f t="shared" si="25"/>
        <v>18.148227551999998</v>
      </c>
      <c r="N162" s="9"/>
      <c r="O162" s="22">
        <v>0.66543600000000003</v>
      </c>
      <c r="P162" s="22">
        <v>94.353800000000007</v>
      </c>
      <c r="Q162" s="22">
        <v>-1.7132600000000001E-2</v>
      </c>
      <c r="R162" s="22">
        <v>152</v>
      </c>
      <c r="S162" s="22">
        <v>0.66473400000000005</v>
      </c>
      <c r="T162">
        <f t="shared" si="26"/>
        <v>17.1326</v>
      </c>
      <c r="U162">
        <f t="shared" si="27"/>
        <v>11.4006488136</v>
      </c>
      <c r="X162" s="9"/>
      <c r="Y162" s="22">
        <v>1.0845899999999999</v>
      </c>
      <c r="Z162" s="22">
        <v>156.31100000000001</v>
      </c>
      <c r="AA162" s="22">
        <v>-1.67999E-2</v>
      </c>
      <c r="AB162" s="22">
        <v>152</v>
      </c>
      <c r="AC162" s="22">
        <v>1.0833699999999999</v>
      </c>
      <c r="AD162">
        <f t="shared" si="28"/>
        <v>16.799900000000001</v>
      </c>
      <c r="AE162">
        <f t="shared" si="29"/>
        <v>18.221003541000002</v>
      </c>
      <c r="AF162" s="9"/>
      <c r="AG162" s="22">
        <v>0.66543600000000003</v>
      </c>
      <c r="AH162" s="22">
        <v>235.84299999999999</v>
      </c>
      <c r="AI162" s="22">
        <v>-1.6830399999999999E-2</v>
      </c>
      <c r="AJ162" s="22">
        <v>152</v>
      </c>
      <c r="AK162" s="22">
        <v>0.66479500000000002</v>
      </c>
      <c r="AL162">
        <f t="shared" si="30"/>
        <v>16.830399999999997</v>
      </c>
      <c r="AM162">
        <f t="shared" si="31"/>
        <v>11.199554054399998</v>
      </c>
      <c r="AP162" s="9"/>
      <c r="AQ162" s="22">
        <v>1.0845899999999999</v>
      </c>
      <c r="AR162" s="22">
        <v>288.26</v>
      </c>
      <c r="AS162" s="22">
        <v>-1.6604600000000001E-2</v>
      </c>
      <c r="AT162" s="22">
        <v>152</v>
      </c>
      <c r="AU162" s="22">
        <v>1.08368</v>
      </c>
      <c r="AV162">
        <f t="shared" si="32"/>
        <v>16.604600000000001</v>
      </c>
      <c r="AW162">
        <f t="shared" si="33"/>
        <v>18.009183113999999</v>
      </c>
      <c r="AX162" s="9"/>
      <c r="AY162" s="22">
        <v>0.66543600000000003</v>
      </c>
      <c r="AZ162" s="22">
        <v>367.49</v>
      </c>
      <c r="BA162" s="22">
        <v>-1.6531400000000002E-2</v>
      </c>
      <c r="BB162" s="22">
        <v>152</v>
      </c>
      <c r="BC162" s="22">
        <v>0.66467299999999996</v>
      </c>
      <c r="BD162">
        <f t="shared" si="34"/>
        <v>16.531400000000001</v>
      </c>
      <c r="BE162">
        <f t="shared" si="35"/>
        <v>11.000588690400001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39.058599999999998</v>
      </c>
      <c r="I163" s="22">
        <v>-1.6747999999999999E-2</v>
      </c>
      <c r="J163" s="22">
        <v>153</v>
      </c>
      <c r="K163" s="22">
        <v>1.0784899999999999</v>
      </c>
      <c r="L163">
        <f t="shared" si="24"/>
        <v>16.747999999999998</v>
      </c>
      <c r="M163">
        <f t="shared" si="25"/>
        <v>18.08047088</v>
      </c>
      <c r="N163" s="9"/>
      <c r="O163" s="22">
        <v>0.67047100000000004</v>
      </c>
      <c r="P163" s="22">
        <v>94.454499999999996</v>
      </c>
      <c r="Q163" s="22">
        <v>-1.7135600000000001E-2</v>
      </c>
      <c r="R163" s="22">
        <v>153</v>
      </c>
      <c r="S163" s="22">
        <v>0.66979999999999995</v>
      </c>
      <c r="T163">
        <f t="shared" si="26"/>
        <v>17.1356</v>
      </c>
      <c r="U163">
        <f t="shared" si="27"/>
        <v>11.488922867600001</v>
      </c>
      <c r="X163" s="9"/>
      <c r="Y163" s="22">
        <v>1.0795600000000001</v>
      </c>
      <c r="Z163" s="22">
        <v>156.411</v>
      </c>
      <c r="AA163" s="22">
        <v>-1.6787699999999999E-2</v>
      </c>
      <c r="AB163" s="22">
        <v>153</v>
      </c>
      <c r="AC163" s="22">
        <v>1.0788</v>
      </c>
      <c r="AD163">
        <f t="shared" si="28"/>
        <v>16.787699999999997</v>
      </c>
      <c r="AE163">
        <f t="shared" si="29"/>
        <v>18.123329411999997</v>
      </c>
      <c r="AF163" s="9"/>
      <c r="AG163" s="22">
        <v>0.67047100000000004</v>
      </c>
      <c r="AH163" s="22">
        <v>235.94399999999999</v>
      </c>
      <c r="AI163" s="22">
        <v>-1.6845700000000002E-2</v>
      </c>
      <c r="AJ163" s="22">
        <v>153</v>
      </c>
      <c r="AK163" s="22">
        <v>0.66979999999999995</v>
      </c>
      <c r="AL163">
        <f t="shared" si="30"/>
        <v>16.845700000000001</v>
      </c>
      <c r="AM163">
        <f t="shared" si="31"/>
        <v>11.294553324700001</v>
      </c>
      <c r="AP163" s="9"/>
      <c r="AQ163" s="22">
        <v>1.0795600000000001</v>
      </c>
      <c r="AR163" s="22">
        <v>288.36099999999999</v>
      </c>
      <c r="AS163" s="22">
        <v>-1.66077E-2</v>
      </c>
      <c r="AT163" s="22">
        <v>153</v>
      </c>
      <c r="AU163" s="22">
        <v>1.0784899999999999</v>
      </c>
      <c r="AV163">
        <f t="shared" si="32"/>
        <v>16.607700000000001</v>
      </c>
      <c r="AW163">
        <f t="shared" si="33"/>
        <v>17.929008612000004</v>
      </c>
      <c r="AX163" s="9"/>
      <c r="AY163" s="22">
        <v>0.67047100000000004</v>
      </c>
      <c r="AZ163" s="22">
        <v>367.59100000000001</v>
      </c>
      <c r="BA163" s="22">
        <v>-1.65405E-2</v>
      </c>
      <c r="BB163" s="22">
        <v>153</v>
      </c>
      <c r="BC163" s="22">
        <v>0.669678</v>
      </c>
      <c r="BD163">
        <f t="shared" si="34"/>
        <v>16.540499999999998</v>
      </c>
      <c r="BE163">
        <f t="shared" si="35"/>
        <v>11.089925575499999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39.159300000000002</v>
      </c>
      <c r="I164" s="22">
        <v>-1.6751100000000001E-2</v>
      </c>
      <c r="J164" s="22">
        <v>154</v>
      </c>
      <c r="K164" s="22">
        <v>1.073</v>
      </c>
      <c r="L164">
        <f t="shared" si="24"/>
        <v>16.751100000000001</v>
      </c>
      <c r="M164">
        <f t="shared" si="25"/>
        <v>17.999391971999998</v>
      </c>
      <c r="N164" s="9"/>
      <c r="O164" s="22">
        <v>0.67550699999999997</v>
      </c>
      <c r="P164" s="22">
        <v>94.555199999999999</v>
      </c>
      <c r="Q164" s="22">
        <v>-1.71234E-2</v>
      </c>
      <c r="R164" s="22">
        <v>154</v>
      </c>
      <c r="S164" s="22">
        <v>0.67483499999999996</v>
      </c>
      <c r="T164">
        <f t="shared" si="26"/>
        <v>17.1234</v>
      </c>
      <c r="U164">
        <f t="shared" si="27"/>
        <v>11.566976563799999</v>
      </c>
      <c r="X164" s="9"/>
      <c r="Y164" s="22">
        <v>1.0745199999999999</v>
      </c>
      <c r="Z164" s="22">
        <v>156.512</v>
      </c>
      <c r="AA164" s="22">
        <v>-1.67999E-2</v>
      </c>
      <c r="AB164" s="22">
        <v>154</v>
      </c>
      <c r="AC164" s="22">
        <v>1.0739099999999999</v>
      </c>
      <c r="AD164">
        <f t="shared" si="28"/>
        <v>16.799900000000001</v>
      </c>
      <c r="AE164">
        <f t="shared" si="29"/>
        <v>18.051828548</v>
      </c>
      <c r="AF164" s="9"/>
      <c r="AG164" s="22">
        <v>0.67550699999999997</v>
      </c>
      <c r="AH164" s="22">
        <v>236.04400000000001</v>
      </c>
      <c r="AI164" s="22">
        <v>-1.6802999999999998E-2</v>
      </c>
      <c r="AJ164" s="22">
        <v>154</v>
      </c>
      <c r="AK164" s="22">
        <v>0.67477399999999998</v>
      </c>
      <c r="AL164">
        <f t="shared" si="30"/>
        <v>16.802999999999997</v>
      </c>
      <c r="AM164">
        <f t="shared" si="31"/>
        <v>11.350544120999997</v>
      </c>
      <c r="AP164" s="9"/>
      <c r="AQ164" s="22">
        <v>1.0745199999999999</v>
      </c>
      <c r="AR164" s="22">
        <v>288.46100000000001</v>
      </c>
      <c r="AS164" s="22">
        <v>-1.6625999999999998E-2</v>
      </c>
      <c r="AT164" s="22">
        <v>154</v>
      </c>
      <c r="AU164" s="22">
        <v>1.0739099999999999</v>
      </c>
      <c r="AV164">
        <f t="shared" si="32"/>
        <v>16.625999999999998</v>
      </c>
      <c r="AW164">
        <f t="shared" si="33"/>
        <v>17.864969519999995</v>
      </c>
      <c r="AX164" s="9"/>
      <c r="AY164" s="22">
        <v>0.67550699999999997</v>
      </c>
      <c r="AZ164" s="22">
        <v>367.69200000000001</v>
      </c>
      <c r="BA164" s="22">
        <v>-1.65375E-2</v>
      </c>
      <c r="BB164" s="22">
        <v>154</v>
      </c>
      <c r="BC164" s="22">
        <v>0.67483499999999996</v>
      </c>
      <c r="BD164">
        <f t="shared" si="34"/>
        <v>16.537500000000001</v>
      </c>
      <c r="BE164">
        <f t="shared" si="35"/>
        <v>11.1711970125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39.26</v>
      </c>
      <c r="I165" s="22">
        <v>-1.6772499999999999E-2</v>
      </c>
      <c r="J165" s="22">
        <v>155</v>
      </c>
      <c r="K165" s="22">
        <v>1.06873</v>
      </c>
      <c r="L165">
        <f t="shared" si="24"/>
        <v>16.772500000000001</v>
      </c>
      <c r="M165">
        <f t="shared" si="25"/>
        <v>17.938021025000001</v>
      </c>
      <c r="N165" s="9"/>
      <c r="O165" s="22">
        <v>0.68054199999999998</v>
      </c>
      <c r="P165" s="22">
        <v>94.655900000000003</v>
      </c>
      <c r="Q165" s="22">
        <v>-1.71387E-2</v>
      </c>
      <c r="R165" s="22">
        <v>155</v>
      </c>
      <c r="S165" s="22">
        <v>0.679871</v>
      </c>
      <c r="T165">
        <f t="shared" si="26"/>
        <v>17.1387</v>
      </c>
      <c r="U165">
        <f t="shared" si="27"/>
        <v>11.663605175399999</v>
      </c>
      <c r="X165" s="9"/>
      <c r="Y165" s="22">
        <v>1.0694900000000001</v>
      </c>
      <c r="Z165" s="22">
        <v>156.613</v>
      </c>
      <c r="AA165" s="22">
        <v>-1.6802999999999998E-2</v>
      </c>
      <c r="AB165" s="22">
        <v>155</v>
      </c>
      <c r="AC165" s="22">
        <v>1.06812</v>
      </c>
      <c r="AD165">
        <f t="shared" si="28"/>
        <v>16.802999999999997</v>
      </c>
      <c r="AE165">
        <f t="shared" si="29"/>
        <v>17.970640469999999</v>
      </c>
      <c r="AF165" s="9"/>
      <c r="AG165" s="22">
        <v>0.68054199999999998</v>
      </c>
      <c r="AH165" s="22">
        <v>236.14500000000001</v>
      </c>
      <c r="AI165" s="22">
        <v>-1.6806000000000001E-2</v>
      </c>
      <c r="AJ165" s="22">
        <v>155</v>
      </c>
      <c r="AK165" s="22">
        <v>0.67984</v>
      </c>
      <c r="AL165">
        <f t="shared" si="30"/>
        <v>16.806000000000001</v>
      </c>
      <c r="AM165">
        <f t="shared" si="31"/>
        <v>11.437188852</v>
      </c>
      <c r="AP165" s="9"/>
      <c r="AQ165" s="22">
        <v>1.0694900000000001</v>
      </c>
      <c r="AR165" s="22">
        <v>288.56200000000001</v>
      </c>
      <c r="AS165" s="22">
        <v>-1.66199E-2</v>
      </c>
      <c r="AT165" s="22">
        <v>155</v>
      </c>
      <c r="AU165" s="22">
        <v>1.0684199999999999</v>
      </c>
      <c r="AV165">
        <f t="shared" si="32"/>
        <v>16.619900000000001</v>
      </c>
      <c r="AW165">
        <f t="shared" si="33"/>
        <v>17.774816851000001</v>
      </c>
      <c r="AX165" s="9"/>
      <c r="AY165" s="22">
        <v>0.68054199999999998</v>
      </c>
      <c r="AZ165" s="22">
        <v>367.79199999999997</v>
      </c>
      <c r="BA165" s="22">
        <v>-1.6519200000000001E-2</v>
      </c>
      <c r="BB165" s="22">
        <v>155</v>
      </c>
      <c r="BC165" s="22">
        <v>0.679871</v>
      </c>
      <c r="BD165">
        <f t="shared" si="34"/>
        <v>16.519200000000001</v>
      </c>
      <c r="BE165">
        <f t="shared" si="35"/>
        <v>11.242009406400001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39.360700000000001</v>
      </c>
      <c r="I166" s="22">
        <v>-1.67694E-2</v>
      </c>
      <c r="J166" s="22">
        <v>156</v>
      </c>
      <c r="K166" s="22">
        <v>1.0635399999999999</v>
      </c>
      <c r="L166">
        <f t="shared" si="24"/>
        <v>16.769400000000001</v>
      </c>
      <c r="M166">
        <f t="shared" si="25"/>
        <v>17.850187829999999</v>
      </c>
      <c r="N166" s="9"/>
      <c r="O166" s="22">
        <v>0.68557699999999999</v>
      </c>
      <c r="P166" s="22">
        <v>94.756600000000006</v>
      </c>
      <c r="Q166" s="22">
        <v>-1.7117299999999998E-2</v>
      </c>
      <c r="R166" s="22">
        <v>156</v>
      </c>
      <c r="S166" s="22">
        <v>0.68490600000000001</v>
      </c>
      <c r="T166">
        <f t="shared" si="26"/>
        <v>17.1173</v>
      </c>
      <c r="U166">
        <f t="shared" si="27"/>
        <v>11.735227182099999</v>
      </c>
      <c r="X166" s="9"/>
      <c r="Y166" s="22">
        <v>1.0644499999999999</v>
      </c>
      <c r="Z166" s="22">
        <v>156.714</v>
      </c>
      <c r="AA166" s="22">
        <v>-1.6827399999999999E-2</v>
      </c>
      <c r="AB166" s="22">
        <v>156</v>
      </c>
      <c r="AC166" s="22">
        <v>1.0635399999999999</v>
      </c>
      <c r="AD166">
        <f t="shared" si="28"/>
        <v>16.827400000000001</v>
      </c>
      <c r="AE166">
        <f t="shared" si="29"/>
        <v>17.911925929999999</v>
      </c>
      <c r="AF166" s="9"/>
      <c r="AG166" s="22">
        <v>0.68557699999999999</v>
      </c>
      <c r="AH166" s="22">
        <v>236.24600000000001</v>
      </c>
      <c r="AI166" s="22">
        <v>-1.67969E-2</v>
      </c>
      <c r="AJ166" s="22">
        <v>156</v>
      </c>
      <c r="AK166" s="22">
        <v>0.68496699999999999</v>
      </c>
      <c r="AL166">
        <f t="shared" si="30"/>
        <v>16.796900000000001</v>
      </c>
      <c r="AM166">
        <f t="shared" si="31"/>
        <v>11.515568311300001</v>
      </c>
      <c r="AP166" s="9"/>
      <c r="AQ166" s="22">
        <v>1.0644499999999999</v>
      </c>
      <c r="AR166" s="22">
        <v>288.66300000000001</v>
      </c>
      <c r="AS166" s="22">
        <v>-1.66473E-2</v>
      </c>
      <c r="AT166" s="22">
        <v>156</v>
      </c>
      <c r="AU166" s="22">
        <v>1.0635399999999999</v>
      </c>
      <c r="AV166">
        <f t="shared" si="32"/>
        <v>16.647300000000001</v>
      </c>
      <c r="AW166">
        <f t="shared" si="33"/>
        <v>17.720218485</v>
      </c>
      <c r="AX166" s="9"/>
      <c r="AY166" s="22">
        <v>0.68557699999999999</v>
      </c>
      <c r="AZ166" s="22">
        <v>367.89299999999997</v>
      </c>
      <c r="BA166" s="22">
        <v>-1.6555799999999999E-2</v>
      </c>
      <c r="BB166" s="22">
        <v>156</v>
      </c>
      <c r="BC166" s="22">
        <v>0.68490600000000001</v>
      </c>
      <c r="BD166">
        <f t="shared" si="34"/>
        <v>16.555799999999998</v>
      </c>
      <c r="BE166">
        <f t="shared" si="35"/>
        <v>11.350275696599999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39.461500000000001</v>
      </c>
      <c r="I167" s="22">
        <v>-1.6787699999999999E-2</v>
      </c>
      <c r="J167" s="22">
        <v>157</v>
      </c>
      <c r="K167" s="22">
        <v>1.0586500000000001</v>
      </c>
      <c r="L167">
        <f t="shared" si="24"/>
        <v>16.787699999999997</v>
      </c>
      <c r="M167">
        <f t="shared" si="25"/>
        <v>17.785225133999997</v>
      </c>
      <c r="N167" s="9"/>
      <c r="O167" s="22">
        <v>0.69061300000000003</v>
      </c>
      <c r="P167" s="22">
        <v>94.857299999999995</v>
      </c>
      <c r="Q167" s="22">
        <v>-1.71234E-2</v>
      </c>
      <c r="R167" s="22">
        <v>157</v>
      </c>
      <c r="S167" s="22">
        <v>0.68991100000000005</v>
      </c>
      <c r="T167">
        <f t="shared" si="26"/>
        <v>17.1234</v>
      </c>
      <c r="U167">
        <f t="shared" si="27"/>
        <v>11.8256426442</v>
      </c>
      <c r="X167" s="9"/>
      <c r="Y167" s="22">
        <v>1.05942</v>
      </c>
      <c r="Z167" s="22">
        <v>156.81399999999999</v>
      </c>
      <c r="AA167" s="22">
        <v>-1.6836500000000001E-2</v>
      </c>
      <c r="AB167" s="22">
        <v>157</v>
      </c>
      <c r="AC167" s="22">
        <v>1.0589599999999999</v>
      </c>
      <c r="AD167">
        <f t="shared" si="28"/>
        <v>16.836500000000001</v>
      </c>
      <c r="AE167">
        <f t="shared" si="29"/>
        <v>17.836924830000001</v>
      </c>
      <c r="AF167" s="9"/>
      <c r="AG167" s="22">
        <v>0.69061300000000003</v>
      </c>
      <c r="AH167" s="22">
        <v>236.34700000000001</v>
      </c>
      <c r="AI167" s="22">
        <v>-1.68091E-2</v>
      </c>
      <c r="AJ167" s="22">
        <v>157</v>
      </c>
      <c r="AK167" s="22">
        <v>0.68994100000000003</v>
      </c>
      <c r="AL167">
        <f t="shared" si="30"/>
        <v>16.809100000000001</v>
      </c>
      <c r="AM167">
        <f t="shared" si="31"/>
        <v>11.608582978300001</v>
      </c>
      <c r="AP167" s="9"/>
      <c r="AQ167" s="22">
        <v>1.05942</v>
      </c>
      <c r="AR167" s="22">
        <v>288.76299999999998</v>
      </c>
      <c r="AS167" s="22">
        <v>-1.6656500000000001E-2</v>
      </c>
      <c r="AT167" s="22">
        <v>157</v>
      </c>
      <c r="AU167" s="22">
        <v>1.0583499999999999</v>
      </c>
      <c r="AV167">
        <f t="shared" si="32"/>
        <v>16.656500000000001</v>
      </c>
      <c r="AW167">
        <f t="shared" si="33"/>
        <v>17.646229230000003</v>
      </c>
      <c r="AX167" s="9"/>
      <c r="AY167" s="22">
        <v>0.69061300000000003</v>
      </c>
      <c r="AZ167" s="22">
        <v>367.99400000000003</v>
      </c>
      <c r="BA167" s="22">
        <v>-1.65253E-2</v>
      </c>
      <c r="BB167" s="22">
        <v>157</v>
      </c>
      <c r="BC167" s="22">
        <v>0.68997200000000003</v>
      </c>
      <c r="BD167">
        <f t="shared" si="34"/>
        <v>16.525300000000001</v>
      </c>
      <c r="BE167">
        <f t="shared" si="35"/>
        <v>11.412587008900001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39.562199999999997</v>
      </c>
      <c r="I168" s="22">
        <v>-1.68121E-2</v>
      </c>
      <c r="J168" s="22">
        <v>158</v>
      </c>
      <c r="K168" s="22">
        <v>1.0534699999999999</v>
      </c>
      <c r="L168">
        <f t="shared" si="24"/>
        <v>16.812100000000001</v>
      </c>
      <c r="M168">
        <f t="shared" si="25"/>
        <v>17.726341998000002</v>
      </c>
      <c r="N168" s="9"/>
      <c r="O168" s="22">
        <v>0.69564800000000004</v>
      </c>
      <c r="P168" s="22">
        <v>94.957999999999998</v>
      </c>
      <c r="Q168" s="22">
        <v>-1.71112E-2</v>
      </c>
      <c r="R168" s="22">
        <v>158</v>
      </c>
      <c r="S168" s="22">
        <v>0.69494599999999995</v>
      </c>
      <c r="T168">
        <f t="shared" si="26"/>
        <v>17.1112</v>
      </c>
      <c r="U168">
        <f t="shared" si="27"/>
        <v>11.9033720576</v>
      </c>
      <c r="X168" s="9"/>
      <c r="Y168" s="22">
        <v>1.0543800000000001</v>
      </c>
      <c r="Z168" s="22">
        <v>156.91499999999999</v>
      </c>
      <c r="AA168" s="22">
        <v>-1.6833500000000001E-2</v>
      </c>
      <c r="AB168" s="22">
        <v>158</v>
      </c>
      <c r="AC168" s="22">
        <v>1.0534699999999999</v>
      </c>
      <c r="AD168">
        <f t="shared" si="28"/>
        <v>16.833500000000001</v>
      </c>
      <c r="AE168">
        <f t="shared" si="29"/>
        <v>17.748905730000004</v>
      </c>
      <c r="AF168" s="9"/>
      <c r="AG168" s="22">
        <v>0.69564800000000004</v>
      </c>
      <c r="AH168" s="22">
        <v>236.447</v>
      </c>
      <c r="AI168" s="22">
        <v>-1.67969E-2</v>
      </c>
      <c r="AJ168" s="22">
        <v>158</v>
      </c>
      <c r="AK168" s="22">
        <v>0.69494599999999995</v>
      </c>
      <c r="AL168">
        <f t="shared" si="30"/>
        <v>16.796900000000001</v>
      </c>
      <c r="AM168">
        <f t="shared" si="31"/>
        <v>11.684729891200002</v>
      </c>
      <c r="AP168" s="9"/>
      <c r="AQ168" s="22">
        <v>1.0543800000000001</v>
      </c>
      <c r="AR168" s="22">
        <v>288.86399999999998</v>
      </c>
      <c r="AS168" s="22">
        <v>-1.6659500000000001E-2</v>
      </c>
      <c r="AT168" s="22">
        <v>158</v>
      </c>
      <c r="AU168" s="22">
        <v>1.0531600000000001</v>
      </c>
      <c r="AV168">
        <f t="shared" si="32"/>
        <v>16.659500000000001</v>
      </c>
      <c r="AW168">
        <f t="shared" si="33"/>
        <v>17.565443610000003</v>
      </c>
      <c r="AX168" s="9"/>
      <c r="AY168" s="22">
        <v>0.69564800000000004</v>
      </c>
      <c r="AZ168" s="22">
        <v>368.09399999999999</v>
      </c>
      <c r="BA168" s="22">
        <v>-1.6543599999999999E-2</v>
      </c>
      <c r="BB168" s="22">
        <v>158</v>
      </c>
      <c r="BC168" s="22">
        <v>0.69503800000000004</v>
      </c>
      <c r="BD168">
        <f t="shared" si="34"/>
        <v>16.543599999999998</v>
      </c>
      <c r="BE168">
        <f t="shared" si="35"/>
        <v>11.508522252799999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39.6629</v>
      </c>
      <c r="I169" s="22">
        <v>-1.6802999999999998E-2</v>
      </c>
      <c r="J169" s="22">
        <v>159</v>
      </c>
      <c r="K169" s="22">
        <v>1.0488900000000001</v>
      </c>
      <c r="L169">
        <f t="shared" si="24"/>
        <v>16.802999999999997</v>
      </c>
      <c r="M169">
        <f t="shared" si="25"/>
        <v>17.632228049999998</v>
      </c>
      <c r="N169" s="9"/>
      <c r="O169" s="22">
        <v>0.70068399999999997</v>
      </c>
      <c r="P169" s="22">
        <v>95.058700000000002</v>
      </c>
      <c r="Q169" s="22">
        <v>-1.71082E-2</v>
      </c>
      <c r="R169" s="22">
        <v>159</v>
      </c>
      <c r="S169" s="22">
        <v>0.69992100000000002</v>
      </c>
      <c r="T169">
        <f t="shared" si="26"/>
        <v>17.1082</v>
      </c>
      <c r="U169">
        <f t="shared" si="27"/>
        <v>11.9874420088</v>
      </c>
      <c r="X169" s="9"/>
      <c r="Y169" s="22">
        <v>1.04935</v>
      </c>
      <c r="Z169" s="22">
        <v>157.01599999999999</v>
      </c>
      <c r="AA169" s="22">
        <v>-1.6842699999999999E-2</v>
      </c>
      <c r="AB169" s="22">
        <v>159</v>
      </c>
      <c r="AC169" s="22">
        <v>1.0482800000000001</v>
      </c>
      <c r="AD169">
        <f t="shared" si="28"/>
        <v>16.842699999999997</v>
      </c>
      <c r="AE169">
        <f t="shared" si="29"/>
        <v>17.673887244999996</v>
      </c>
      <c r="AF169" s="9"/>
      <c r="AG169" s="22">
        <v>0.70068399999999997</v>
      </c>
      <c r="AH169" s="22">
        <v>236.548</v>
      </c>
      <c r="AI169" s="22">
        <v>-1.6827399999999999E-2</v>
      </c>
      <c r="AJ169" s="22">
        <v>159</v>
      </c>
      <c r="AK169" s="22">
        <v>0.70004299999999997</v>
      </c>
      <c r="AL169">
        <f t="shared" si="30"/>
        <v>16.827400000000001</v>
      </c>
      <c r="AM169">
        <f t="shared" si="31"/>
        <v>11.7906899416</v>
      </c>
      <c r="AP169" s="9"/>
      <c r="AQ169" s="22">
        <v>1.04935</v>
      </c>
      <c r="AR169" s="22">
        <v>288.96499999999997</v>
      </c>
      <c r="AS169" s="22">
        <v>-1.66626E-2</v>
      </c>
      <c r="AT169" s="22">
        <v>159</v>
      </c>
      <c r="AU169" s="22">
        <v>1.0479700000000001</v>
      </c>
      <c r="AV169">
        <f t="shared" si="32"/>
        <v>16.662600000000001</v>
      </c>
      <c r="AW169">
        <f t="shared" si="33"/>
        <v>17.484899310000003</v>
      </c>
      <c r="AX169" s="9"/>
      <c r="AY169" s="22">
        <v>0.70068399999999997</v>
      </c>
      <c r="AZ169" s="22">
        <v>368.19499999999999</v>
      </c>
      <c r="BA169" s="22">
        <v>-1.6519200000000001E-2</v>
      </c>
      <c r="BB169" s="22">
        <v>159</v>
      </c>
      <c r="BC169" s="22">
        <v>0.70007299999999995</v>
      </c>
      <c r="BD169">
        <f t="shared" si="34"/>
        <v>16.519200000000001</v>
      </c>
      <c r="BE169">
        <f t="shared" si="35"/>
        <v>11.574739132800001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39.763599999999997</v>
      </c>
      <c r="I170" s="22">
        <v>-1.6806000000000001E-2</v>
      </c>
      <c r="J170" s="22">
        <v>160</v>
      </c>
      <c r="K170" s="22">
        <v>1.0430900000000001</v>
      </c>
      <c r="L170">
        <f t="shared" si="24"/>
        <v>16.806000000000001</v>
      </c>
      <c r="M170">
        <f t="shared" si="25"/>
        <v>17.550673860000003</v>
      </c>
      <c r="N170" s="9"/>
      <c r="O170" s="22">
        <v>0.70571899999999999</v>
      </c>
      <c r="P170" s="22">
        <v>95.159400000000005</v>
      </c>
      <c r="Q170" s="22">
        <v>-1.7114299999999999E-2</v>
      </c>
      <c r="R170" s="22">
        <v>160</v>
      </c>
      <c r="S170" s="22">
        <v>0.70507799999999998</v>
      </c>
      <c r="T170">
        <f t="shared" si="26"/>
        <v>17.1143</v>
      </c>
      <c r="U170">
        <f t="shared" si="27"/>
        <v>12.077886681699999</v>
      </c>
      <c r="X170" s="9"/>
      <c r="Y170" s="22">
        <v>1.0443100000000001</v>
      </c>
      <c r="Z170" s="22">
        <v>157.11600000000001</v>
      </c>
      <c r="AA170" s="22">
        <v>-1.6821300000000001E-2</v>
      </c>
      <c r="AB170" s="22">
        <v>160</v>
      </c>
      <c r="AC170" s="22">
        <v>1.0430900000000001</v>
      </c>
      <c r="AD170">
        <f t="shared" si="28"/>
        <v>16.821300000000001</v>
      </c>
      <c r="AE170">
        <f t="shared" si="29"/>
        <v>17.566651803000003</v>
      </c>
      <c r="AF170" s="9"/>
      <c r="AG170" s="22">
        <v>0.70571899999999999</v>
      </c>
      <c r="AH170" s="22">
        <v>236.649</v>
      </c>
      <c r="AI170" s="22">
        <v>-1.6833500000000001E-2</v>
      </c>
      <c r="AJ170" s="22">
        <v>160</v>
      </c>
      <c r="AK170" s="22">
        <v>0.70523100000000005</v>
      </c>
      <c r="AL170">
        <f t="shared" si="30"/>
        <v>16.833500000000001</v>
      </c>
      <c r="AM170">
        <f t="shared" si="31"/>
        <v>11.8797207865</v>
      </c>
      <c r="AP170" s="9"/>
      <c r="AQ170" s="22">
        <v>1.0443100000000001</v>
      </c>
      <c r="AR170" s="22">
        <v>289.065</v>
      </c>
      <c r="AS170" s="22">
        <v>-1.6644300000000001E-2</v>
      </c>
      <c r="AT170" s="22">
        <v>160</v>
      </c>
      <c r="AU170" s="22">
        <v>1.0427900000000001</v>
      </c>
      <c r="AV170">
        <f t="shared" si="32"/>
        <v>16.644300000000001</v>
      </c>
      <c r="AW170">
        <f t="shared" si="33"/>
        <v>17.381808933000002</v>
      </c>
      <c r="AX170" s="9"/>
      <c r="AY170" s="22">
        <v>0.70571899999999999</v>
      </c>
      <c r="AZ170" s="22">
        <v>368.29599999999999</v>
      </c>
      <c r="BA170" s="22">
        <v>-1.65649E-2</v>
      </c>
      <c r="BB170" s="22">
        <v>160</v>
      </c>
      <c r="BC170" s="22">
        <v>0.70516999999999996</v>
      </c>
      <c r="BD170">
        <f t="shared" si="34"/>
        <v>16.564900000000002</v>
      </c>
      <c r="BE170">
        <f t="shared" si="35"/>
        <v>11.690164663100001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39.8643</v>
      </c>
      <c r="I171" s="22">
        <v>-1.68121E-2</v>
      </c>
      <c r="J171" s="22">
        <v>161</v>
      </c>
      <c r="K171" s="22">
        <v>1.03851</v>
      </c>
      <c r="L171">
        <f t="shared" si="24"/>
        <v>16.812100000000001</v>
      </c>
      <c r="M171">
        <f t="shared" si="25"/>
        <v>17.472479288000002</v>
      </c>
      <c r="N171" s="9"/>
      <c r="O171" s="22">
        <v>0.710754</v>
      </c>
      <c r="P171" s="22">
        <v>95.260099999999994</v>
      </c>
      <c r="Q171" s="22">
        <v>-1.7102099999999999E-2</v>
      </c>
      <c r="R171" s="22">
        <v>161</v>
      </c>
      <c r="S171" s="22">
        <v>0.71011400000000002</v>
      </c>
      <c r="T171">
        <f t="shared" si="26"/>
        <v>17.1021</v>
      </c>
      <c r="U171">
        <f t="shared" si="27"/>
        <v>12.1553859834</v>
      </c>
      <c r="X171" s="9"/>
      <c r="Y171" s="22">
        <v>1.03928</v>
      </c>
      <c r="Z171" s="22">
        <v>157.21700000000001</v>
      </c>
      <c r="AA171" s="22">
        <v>-1.6833500000000001E-2</v>
      </c>
      <c r="AB171" s="22">
        <v>161</v>
      </c>
      <c r="AC171" s="22">
        <v>1.03851</v>
      </c>
      <c r="AD171">
        <f t="shared" si="28"/>
        <v>16.833500000000001</v>
      </c>
      <c r="AE171">
        <f t="shared" si="29"/>
        <v>17.494719880000002</v>
      </c>
      <c r="AF171" s="9"/>
      <c r="AG171" s="22">
        <v>0.710754</v>
      </c>
      <c r="AH171" s="22">
        <v>236.749</v>
      </c>
      <c r="AI171" s="22">
        <v>-1.67999E-2</v>
      </c>
      <c r="AJ171" s="22">
        <v>161</v>
      </c>
      <c r="AK171" s="22">
        <v>0.71002200000000004</v>
      </c>
      <c r="AL171">
        <f t="shared" si="30"/>
        <v>16.799900000000001</v>
      </c>
      <c r="AM171">
        <f t="shared" si="31"/>
        <v>11.940596124600001</v>
      </c>
      <c r="AP171" s="9"/>
      <c r="AQ171" s="22">
        <v>1.03928</v>
      </c>
      <c r="AR171" s="22">
        <v>289.166</v>
      </c>
      <c r="AS171" s="22">
        <v>-1.6641199999999998E-2</v>
      </c>
      <c r="AT171" s="22">
        <v>161</v>
      </c>
      <c r="AU171" s="22">
        <v>1.03851</v>
      </c>
      <c r="AV171">
        <f t="shared" si="32"/>
        <v>16.641199999999998</v>
      </c>
      <c r="AW171">
        <f t="shared" si="33"/>
        <v>17.294866335999998</v>
      </c>
      <c r="AX171" s="9"/>
      <c r="AY171" s="22">
        <v>0.710754</v>
      </c>
      <c r="AZ171" s="22">
        <v>368.39699999999999</v>
      </c>
      <c r="BA171" s="22">
        <v>-1.6567999999999999E-2</v>
      </c>
      <c r="BB171" s="22">
        <v>161</v>
      </c>
      <c r="BC171" s="22">
        <v>0.710175</v>
      </c>
      <c r="BD171">
        <f t="shared" si="34"/>
        <v>16.567999999999998</v>
      </c>
      <c r="BE171">
        <f t="shared" si="35"/>
        <v>11.775772271999998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39.965000000000003</v>
      </c>
      <c r="I172" s="22">
        <v>-1.6827399999999999E-2</v>
      </c>
      <c r="J172" s="22">
        <v>162</v>
      </c>
      <c r="K172" s="22">
        <v>1.0333300000000001</v>
      </c>
      <c r="L172">
        <f t="shared" si="24"/>
        <v>16.827400000000001</v>
      </c>
      <c r="M172">
        <f t="shared" si="25"/>
        <v>17.403570176000002</v>
      </c>
      <c r="N172" s="9"/>
      <c r="O172" s="22">
        <v>0.71579000000000004</v>
      </c>
      <c r="P172" s="22">
        <v>95.360799999999998</v>
      </c>
      <c r="Q172" s="22">
        <v>-1.71112E-2</v>
      </c>
      <c r="R172" s="22">
        <v>162</v>
      </c>
      <c r="S172" s="22">
        <v>0.71521000000000001</v>
      </c>
      <c r="T172">
        <f t="shared" si="26"/>
        <v>17.1112</v>
      </c>
      <c r="U172">
        <f t="shared" si="27"/>
        <v>12.248025848000001</v>
      </c>
      <c r="X172" s="9"/>
      <c r="Y172" s="22">
        <v>1.03424</v>
      </c>
      <c r="Z172" s="22">
        <v>157.31800000000001</v>
      </c>
      <c r="AA172" s="22">
        <v>-1.6857899999999999E-2</v>
      </c>
      <c r="AB172" s="22">
        <v>162</v>
      </c>
      <c r="AC172" s="22">
        <v>1.0333300000000001</v>
      </c>
      <c r="AD172">
        <f t="shared" si="28"/>
        <v>16.857899999999997</v>
      </c>
      <c r="AE172">
        <f t="shared" si="29"/>
        <v>17.435114495999997</v>
      </c>
      <c r="AF172" s="9"/>
      <c r="AG172" s="22">
        <v>0.71579000000000004</v>
      </c>
      <c r="AH172" s="22">
        <v>236.85</v>
      </c>
      <c r="AI172" s="22">
        <v>-1.6793800000000001E-2</v>
      </c>
      <c r="AJ172" s="22">
        <v>162</v>
      </c>
      <c r="AK172" s="22">
        <v>0.71517900000000001</v>
      </c>
      <c r="AL172">
        <f t="shared" si="30"/>
        <v>16.793800000000001</v>
      </c>
      <c r="AM172">
        <f t="shared" si="31"/>
        <v>12.020834102000002</v>
      </c>
      <c r="AP172" s="9"/>
      <c r="AQ172" s="22">
        <v>1.03424</v>
      </c>
      <c r="AR172" s="22">
        <v>289.267</v>
      </c>
      <c r="AS172" s="22">
        <v>-1.6656500000000001E-2</v>
      </c>
      <c r="AT172" s="22">
        <v>162</v>
      </c>
      <c r="AU172" s="22">
        <v>1.03363</v>
      </c>
      <c r="AV172">
        <f t="shared" si="32"/>
        <v>16.656500000000001</v>
      </c>
      <c r="AW172">
        <f t="shared" si="33"/>
        <v>17.226818560000002</v>
      </c>
      <c r="AX172" s="9"/>
      <c r="AY172" s="22">
        <v>0.71579000000000004</v>
      </c>
      <c r="AZ172" s="22">
        <v>368.49700000000001</v>
      </c>
      <c r="BA172" s="22">
        <v>-1.65375E-2</v>
      </c>
      <c r="BB172" s="22">
        <v>162</v>
      </c>
      <c r="BC172" s="22">
        <v>0.71514900000000003</v>
      </c>
      <c r="BD172">
        <f t="shared" si="34"/>
        <v>16.537500000000001</v>
      </c>
      <c r="BE172">
        <f t="shared" si="35"/>
        <v>11.837377125000001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40.0657</v>
      </c>
      <c r="I173" s="22">
        <v>-1.6830399999999999E-2</v>
      </c>
      <c r="J173" s="22">
        <v>163</v>
      </c>
      <c r="K173" s="22">
        <v>1.02844</v>
      </c>
      <c r="L173">
        <f t="shared" si="24"/>
        <v>16.830399999999997</v>
      </c>
      <c r="M173">
        <f t="shared" si="25"/>
        <v>17.322015983999997</v>
      </c>
      <c r="N173" s="9"/>
      <c r="O173" s="22">
        <v>0.72082500000000005</v>
      </c>
      <c r="P173" s="22">
        <v>95.461600000000004</v>
      </c>
      <c r="Q173" s="22">
        <v>-1.7114299999999999E-2</v>
      </c>
      <c r="R173" s="22">
        <v>163</v>
      </c>
      <c r="S173" s="22">
        <v>0.72015399999999996</v>
      </c>
      <c r="T173">
        <f t="shared" si="26"/>
        <v>17.1143</v>
      </c>
      <c r="U173">
        <f t="shared" si="27"/>
        <v>12.3364152975</v>
      </c>
      <c r="X173" s="9"/>
      <c r="Y173" s="22">
        <v>1.02921</v>
      </c>
      <c r="Z173" s="22">
        <v>157.41900000000001</v>
      </c>
      <c r="AA173" s="22">
        <v>-1.6848800000000001E-2</v>
      </c>
      <c r="AB173" s="22">
        <v>163</v>
      </c>
      <c r="AC173" s="22">
        <v>1.0281400000000001</v>
      </c>
      <c r="AD173">
        <f t="shared" si="28"/>
        <v>16.848800000000001</v>
      </c>
      <c r="AE173">
        <f t="shared" si="29"/>
        <v>17.340953448</v>
      </c>
      <c r="AF173" s="9"/>
      <c r="AG173" s="22">
        <v>0.72082500000000005</v>
      </c>
      <c r="AH173" s="22">
        <v>236.95099999999999</v>
      </c>
      <c r="AI173" s="22">
        <v>-1.6802999999999998E-2</v>
      </c>
      <c r="AJ173" s="22">
        <v>163</v>
      </c>
      <c r="AK173" s="22">
        <v>0.72015399999999996</v>
      </c>
      <c r="AL173">
        <f t="shared" si="30"/>
        <v>16.802999999999997</v>
      </c>
      <c r="AM173">
        <f t="shared" si="31"/>
        <v>12.112022474999998</v>
      </c>
      <c r="AP173" s="9"/>
      <c r="AQ173" s="22">
        <v>1.02921</v>
      </c>
      <c r="AR173" s="22">
        <v>289.36799999999999</v>
      </c>
      <c r="AS173" s="22">
        <v>-1.6650399999999999E-2</v>
      </c>
      <c r="AT173" s="22">
        <v>163</v>
      </c>
      <c r="AU173" s="22">
        <v>1.0281400000000001</v>
      </c>
      <c r="AV173">
        <f t="shared" si="32"/>
        <v>16.650399999999998</v>
      </c>
      <c r="AW173">
        <f t="shared" si="33"/>
        <v>17.136758183999998</v>
      </c>
      <c r="AX173" s="9"/>
      <c r="AY173" s="22">
        <v>0.72082500000000005</v>
      </c>
      <c r="AZ173" s="22">
        <v>368.59800000000001</v>
      </c>
      <c r="BA173" s="22">
        <v>-1.6522200000000001E-2</v>
      </c>
      <c r="BB173" s="22">
        <v>163</v>
      </c>
      <c r="BC173" s="22">
        <v>0.72018400000000005</v>
      </c>
      <c r="BD173">
        <f t="shared" si="34"/>
        <v>16.522200000000002</v>
      </c>
      <c r="BE173">
        <f t="shared" si="35"/>
        <v>11.909614815000001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40.166400000000003</v>
      </c>
      <c r="I174" s="22">
        <v>-1.6821300000000001E-2</v>
      </c>
      <c r="J174" s="22">
        <v>164</v>
      </c>
      <c r="K174" s="22">
        <v>1.02295</v>
      </c>
      <c r="L174">
        <f t="shared" si="24"/>
        <v>16.821300000000001</v>
      </c>
      <c r="M174">
        <f t="shared" si="25"/>
        <v>17.227870821</v>
      </c>
      <c r="N174" s="9"/>
      <c r="O174" s="22">
        <v>0.72586099999999998</v>
      </c>
      <c r="P174" s="22">
        <v>95.562299999999993</v>
      </c>
      <c r="Q174" s="22">
        <v>-1.7095900000000001E-2</v>
      </c>
      <c r="R174" s="22">
        <v>164</v>
      </c>
      <c r="S174" s="22">
        <v>0.72518899999999997</v>
      </c>
      <c r="T174">
        <f t="shared" si="26"/>
        <v>17.0959</v>
      </c>
      <c r="U174">
        <f t="shared" si="27"/>
        <v>12.409247069899999</v>
      </c>
      <c r="X174" s="9"/>
      <c r="Y174" s="22">
        <v>1.02417</v>
      </c>
      <c r="Z174" s="22">
        <v>157.51900000000001</v>
      </c>
      <c r="AA174" s="22">
        <v>-1.6854899999999999E-2</v>
      </c>
      <c r="AB174" s="22">
        <v>164</v>
      </c>
      <c r="AC174" s="22">
        <v>1.02295</v>
      </c>
      <c r="AD174">
        <f t="shared" si="28"/>
        <v>16.854900000000001</v>
      </c>
      <c r="AE174">
        <f t="shared" si="29"/>
        <v>17.262282933000002</v>
      </c>
      <c r="AF174" s="9"/>
      <c r="AG174" s="22">
        <v>0.72586099999999998</v>
      </c>
      <c r="AH174" s="22">
        <v>237.05199999999999</v>
      </c>
      <c r="AI174" s="22">
        <v>-1.6806000000000001E-2</v>
      </c>
      <c r="AJ174" s="22">
        <v>164</v>
      </c>
      <c r="AK174" s="22">
        <v>0.725159</v>
      </c>
      <c r="AL174">
        <f t="shared" si="30"/>
        <v>16.806000000000001</v>
      </c>
      <c r="AM174">
        <f t="shared" si="31"/>
        <v>12.198819966</v>
      </c>
      <c r="AP174" s="9"/>
      <c r="AQ174" s="22">
        <v>1.02417</v>
      </c>
      <c r="AR174" s="22">
        <v>289.46800000000002</v>
      </c>
      <c r="AS174" s="22">
        <v>-1.66473E-2</v>
      </c>
      <c r="AT174" s="22">
        <v>164</v>
      </c>
      <c r="AU174" s="22">
        <v>1.02325</v>
      </c>
      <c r="AV174">
        <f t="shared" si="32"/>
        <v>16.647300000000001</v>
      </c>
      <c r="AW174">
        <f t="shared" si="33"/>
        <v>17.049665241000003</v>
      </c>
      <c r="AX174" s="9"/>
      <c r="AY174" s="22">
        <v>0.72586099999999998</v>
      </c>
      <c r="AZ174" s="22">
        <v>368.69900000000001</v>
      </c>
      <c r="BA174" s="22">
        <v>-1.6519200000000001E-2</v>
      </c>
      <c r="BB174" s="22">
        <v>164</v>
      </c>
      <c r="BC174" s="22">
        <v>0.72524999999999995</v>
      </c>
      <c r="BD174">
        <f t="shared" si="34"/>
        <v>16.519200000000001</v>
      </c>
      <c r="BE174">
        <f t="shared" si="35"/>
        <v>11.990643031200001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40.267099999999999</v>
      </c>
      <c r="I175" s="22">
        <v>-1.6818199999999998E-2</v>
      </c>
      <c r="J175" s="22">
        <v>165</v>
      </c>
      <c r="K175" s="22">
        <v>1.01807</v>
      </c>
      <c r="L175">
        <f t="shared" si="24"/>
        <v>16.818199999999997</v>
      </c>
      <c r="M175">
        <f t="shared" si="25"/>
        <v>17.139932165999998</v>
      </c>
      <c r="N175" s="9"/>
      <c r="O175" s="22">
        <v>0.73089599999999999</v>
      </c>
      <c r="P175" s="22">
        <v>95.662999999999997</v>
      </c>
      <c r="Q175" s="22">
        <v>-1.7074599999999999E-2</v>
      </c>
      <c r="R175" s="22">
        <v>165</v>
      </c>
      <c r="S175" s="22">
        <v>0.73025499999999999</v>
      </c>
      <c r="T175">
        <f t="shared" si="26"/>
        <v>17.0746</v>
      </c>
      <c r="U175">
        <f t="shared" si="27"/>
        <v>12.4797568416</v>
      </c>
      <c r="X175" s="9"/>
      <c r="Y175" s="22">
        <v>1.0191300000000001</v>
      </c>
      <c r="Z175" s="22">
        <v>157.62</v>
      </c>
      <c r="AA175" s="22">
        <v>-1.6857899999999999E-2</v>
      </c>
      <c r="AB175" s="22">
        <v>165</v>
      </c>
      <c r="AC175" s="22">
        <v>1.01807</v>
      </c>
      <c r="AD175">
        <f t="shared" si="28"/>
        <v>16.857899999999997</v>
      </c>
      <c r="AE175">
        <f t="shared" si="29"/>
        <v>17.180391626999999</v>
      </c>
      <c r="AF175" s="9"/>
      <c r="AG175" s="22">
        <v>0.73089599999999999</v>
      </c>
      <c r="AH175" s="22">
        <v>237.15199999999999</v>
      </c>
      <c r="AI175" s="22">
        <v>-1.6787699999999999E-2</v>
      </c>
      <c r="AJ175" s="22">
        <v>165</v>
      </c>
      <c r="AK175" s="22">
        <v>0.73028599999999999</v>
      </c>
      <c r="AL175">
        <f t="shared" si="30"/>
        <v>16.787699999999997</v>
      </c>
      <c r="AM175">
        <f t="shared" si="31"/>
        <v>12.270062779199998</v>
      </c>
      <c r="AP175" s="9"/>
      <c r="AQ175" s="22">
        <v>1.0191300000000001</v>
      </c>
      <c r="AR175" s="22">
        <v>289.56900000000002</v>
      </c>
      <c r="AS175" s="22">
        <v>-1.6625999999999998E-2</v>
      </c>
      <c r="AT175" s="22">
        <v>165</v>
      </c>
      <c r="AU175" s="22">
        <v>1.01776</v>
      </c>
      <c r="AV175">
        <f t="shared" si="32"/>
        <v>16.625999999999998</v>
      </c>
      <c r="AW175">
        <f t="shared" si="33"/>
        <v>16.944055379999998</v>
      </c>
      <c r="AX175" s="9"/>
      <c r="AY175" s="22">
        <v>0.73089599999999999</v>
      </c>
      <c r="AZ175" s="22">
        <v>368.79899999999998</v>
      </c>
      <c r="BA175" s="22">
        <v>-1.65375E-2</v>
      </c>
      <c r="BB175" s="22">
        <v>165</v>
      </c>
      <c r="BC175" s="22">
        <v>0.73019400000000001</v>
      </c>
      <c r="BD175">
        <f t="shared" si="34"/>
        <v>16.537500000000001</v>
      </c>
      <c r="BE175">
        <f t="shared" si="35"/>
        <v>12.087192600000002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40.367800000000003</v>
      </c>
      <c r="I176" s="22">
        <v>-1.68243E-2</v>
      </c>
      <c r="J176" s="22">
        <v>166</v>
      </c>
      <c r="K176" s="22">
        <v>1.01288</v>
      </c>
      <c r="L176">
        <f t="shared" si="24"/>
        <v>16.824300000000001</v>
      </c>
      <c r="M176">
        <f t="shared" si="25"/>
        <v>17.061522630000002</v>
      </c>
      <c r="N176" s="9"/>
      <c r="O176" s="22">
        <v>0.735931</v>
      </c>
      <c r="P176" s="22">
        <v>95.7637</v>
      </c>
      <c r="Q176" s="22">
        <v>-1.7077599999999998E-2</v>
      </c>
      <c r="R176" s="22">
        <v>166</v>
      </c>
      <c r="S176" s="22">
        <v>0.73526000000000002</v>
      </c>
      <c r="T176">
        <f t="shared" si="26"/>
        <v>17.077599999999997</v>
      </c>
      <c r="U176">
        <f t="shared" si="27"/>
        <v>12.567935245599998</v>
      </c>
      <c r="X176" s="9"/>
      <c r="Y176" s="22">
        <v>1.0141</v>
      </c>
      <c r="Z176" s="22">
        <v>157.721</v>
      </c>
      <c r="AA176" s="22">
        <v>-1.6864000000000001E-2</v>
      </c>
      <c r="AB176" s="22">
        <v>166</v>
      </c>
      <c r="AC176" s="22">
        <v>1.01349</v>
      </c>
      <c r="AD176">
        <f t="shared" si="28"/>
        <v>16.864000000000001</v>
      </c>
      <c r="AE176">
        <f t="shared" si="29"/>
        <v>17.101782400000001</v>
      </c>
      <c r="AF176" s="9"/>
      <c r="AG176" s="22">
        <v>0.735931</v>
      </c>
      <c r="AH176" s="22">
        <v>237.25299999999999</v>
      </c>
      <c r="AI176" s="22">
        <v>-1.6787699999999999E-2</v>
      </c>
      <c r="AJ176" s="22">
        <v>166</v>
      </c>
      <c r="AK176" s="22">
        <v>0.73526000000000002</v>
      </c>
      <c r="AL176">
        <f t="shared" si="30"/>
        <v>16.787699999999997</v>
      </c>
      <c r="AM176">
        <f t="shared" si="31"/>
        <v>12.354588848699999</v>
      </c>
      <c r="AP176" s="9"/>
      <c r="AQ176" s="22">
        <v>1.0141</v>
      </c>
      <c r="AR176" s="22">
        <v>289.67</v>
      </c>
      <c r="AS176" s="22">
        <v>-1.66351E-2</v>
      </c>
      <c r="AT176" s="22">
        <v>166</v>
      </c>
      <c r="AU176" s="22">
        <v>1.01349</v>
      </c>
      <c r="AV176">
        <f t="shared" si="32"/>
        <v>16.635100000000001</v>
      </c>
      <c r="AW176">
        <f t="shared" si="33"/>
        <v>16.869654910000001</v>
      </c>
      <c r="AX176" s="9"/>
      <c r="AY176" s="22">
        <v>0.735931</v>
      </c>
      <c r="AZ176" s="22">
        <v>368.9</v>
      </c>
      <c r="BA176" s="22">
        <v>-1.64856E-2</v>
      </c>
      <c r="BB176" s="22">
        <v>166</v>
      </c>
      <c r="BC176" s="22">
        <v>0.73526000000000002</v>
      </c>
      <c r="BD176">
        <f t="shared" si="34"/>
        <v>16.485599999999998</v>
      </c>
      <c r="BE176">
        <f t="shared" si="35"/>
        <v>12.132264093599998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40.468499999999999</v>
      </c>
      <c r="I177" s="22">
        <v>-1.6836500000000001E-2</v>
      </c>
      <c r="J177" s="22">
        <v>167</v>
      </c>
      <c r="K177" s="22">
        <v>1.0083</v>
      </c>
      <c r="L177">
        <f t="shared" si="24"/>
        <v>16.836500000000001</v>
      </c>
      <c r="M177">
        <f t="shared" si="25"/>
        <v>16.989038690000001</v>
      </c>
      <c r="N177" s="9"/>
      <c r="O177" s="22">
        <v>0.74096700000000004</v>
      </c>
      <c r="P177" s="22">
        <v>95.864400000000003</v>
      </c>
      <c r="Q177" s="22">
        <v>-1.7053200000000001E-2</v>
      </c>
      <c r="R177" s="22">
        <v>167</v>
      </c>
      <c r="S177" s="22">
        <v>0.74038700000000002</v>
      </c>
      <c r="T177">
        <f t="shared" si="26"/>
        <v>17.0532</v>
      </c>
      <c r="U177">
        <f t="shared" si="27"/>
        <v>12.6358584444</v>
      </c>
      <c r="X177" s="9"/>
      <c r="Y177" s="22">
        <v>1.0090600000000001</v>
      </c>
      <c r="Z177" s="22">
        <v>157.821</v>
      </c>
      <c r="AA177" s="22">
        <v>-1.6854899999999999E-2</v>
      </c>
      <c r="AB177" s="22">
        <v>167</v>
      </c>
      <c r="AC177" s="22">
        <v>1.0083</v>
      </c>
      <c r="AD177">
        <f t="shared" si="28"/>
        <v>16.854900000000001</v>
      </c>
      <c r="AE177">
        <f t="shared" si="29"/>
        <v>17.007605394000002</v>
      </c>
      <c r="AF177" s="9"/>
      <c r="AG177" s="22">
        <v>0.74096700000000004</v>
      </c>
      <c r="AH177" s="22">
        <v>237.35400000000001</v>
      </c>
      <c r="AI177" s="22">
        <v>-1.6827399999999999E-2</v>
      </c>
      <c r="AJ177" s="22">
        <v>167</v>
      </c>
      <c r="AK177" s="22">
        <v>0.74023399999999995</v>
      </c>
      <c r="AL177">
        <f t="shared" si="30"/>
        <v>16.827400000000001</v>
      </c>
      <c r="AM177">
        <f t="shared" si="31"/>
        <v>12.468548095800001</v>
      </c>
      <c r="AP177" s="9"/>
      <c r="AQ177" s="22">
        <v>1.0090600000000001</v>
      </c>
      <c r="AR177" s="22">
        <v>289.77</v>
      </c>
      <c r="AS177" s="22">
        <v>-1.6616800000000001E-2</v>
      </c>
      <c r="AT177" s="22">
        <v>167</v>
      </c>
      <c r="AU177" s="22">
        <v>1.00769</v>
      </c>
      <c r="AV177">
        <f t="shared" si="32"/>
        <v>16.616800000000001</v>
      </c>
      <c r="AW177">
        <f t="shared" si="33"/>
        <v>16.767348208000001</v>
      </c>
      <c r="AX177" s="9"/>
      <c r="AY177" s="22">
        <v>0.74096700000000004</v>
      </c>
      <c r="AZ177" s="22">
        <v>369.00099999999998</v>
      </c>
      <c r="BA177" s="22">
        <v>-1.6516099999999999E-2</v>
      </c>
      <c r="BB177" s="22">
        <v>167</v>
      </c>
      <c r="BC177" s="22">
        <v>0.74035600000000001</v>
      </c>
      <c r="BD177">
        <f t="shared" si="34"/>
        <v>16.516099999999998</v>
      </c>
      <c r="BE177">
        <f t="shared" si="35"/>
        <v>12.237885068699999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40.569200000000002</v>
      </c>
      <c r="I178" s="22">
        <v>-1.6842699999999999E-2</v>
      </c>
      <c r="J178" s="22">
        <v>168</v>
      </c>
      <c r="K178" s="22">
        <v>1.00281</v>
      </c>
      <c r="L178">
        <f t="shared" si="24"/>
        <v>16.842699999999997</v>
      </c>
      <c r="M178">
        <f t="shared" si="25"/>
        <v>16.910576080999995</v>
      </c>
      <c r="N178" s="9"/>
      <c r="O178" s="22">
        <v>0.74600200000000005</v>
      </c>
      <c r="P178" s="22">
        <v>95.965100000000007</v>
      </c>
      <c r="Q178" s="22">
        <v>-1.70715E-2</v>
      </c>
      <c r="R178" s="22">
        <v>168</v>
      </c>
      <c r="S178" s="22">
        <v>0.74526999999999999</v>
      </c>
      <c r="T178">
        <f t="shared" si="26"/>
        <v>17.0715</v>
      </c>
      <c r="U178">
        <f t="shared" si="27"/>
        <v>12.735373143</v>
      </c>
      <c r="X178" s="9"/>
      <c r="Y178" s="22">
        <v>1.00403</v>
      </c>
      <c r="Z178" s="22">
        <v>157.922</v>
      </c>
      <c r="AA178" s="22">
        <v>-1.6857899999999999E-2</v>
      </c>
      <c r="AB178" s="22">
        <v>168</v>
      </c>
      <c r="AC178" s="22">
        <v>1.00342</v>
      </c>
      <c r="AD178">
        <f t="shared" si="28"/>
        <v>16.857899999999997</v>
      </c>
      <c r="AE178">
        <f t="shared" si="29"/>
        <v>16.925837336999997</v>
      </c>
      <c r="AF178" s="9"/>
      <c r="AG178" s="22">
        <v>0.74600200000000005</v>
      </c>
      <c r="AH178" s="22">
        <v>237.45400000000001</v>
      </c>
      <c r="AI178" s="22">
        <v>-1.68243E-2</v>
      </c>
      <c r="AJ178" s="22">
        <v>168</v>
      </c>
      <c r="AK178" s="22">
        <v>0.74536100000000005</v>
      </c>
      <c r="AL178">
        <f t="shared" si="30"/>
        <v>16.824300000000001</v>
      </c>
      <c r="AM178">
        <f t="shared" si="31"/>
        <v>12.550961448600001</v>
      </c>
      <c r="AP178" s="9"/>
      <c r="AQ178" s="22">
        <v>1.00403</v>
      </c>
      <c r="AR178" s="22">
        <v>289.87099999999998</v>
      </c>
      <c r="AS178" s="22">
        <v>-1.6641199999999998E-2</v>
      </c>
      <c r="AT178" s="22">
        <v>168</v>
      </c>
      <c r="AU178" s="22">
        <v>1.0031099999999999</v>
      </c>
      <c r="AV178">
        <f t="shared" si="32"/>
        <v>16.641199999999998</v>
      </c>
      <c r="AW178">
        <f t="shared" si="33"/>
        <v>16.708264035999996</v>
      </c>
      <c r="AX178" s="9"/>
      <c r="AY178" s="22">
        <v>0.74600200000000005</v>
      </c>
      <c r="AZ178" s="22">
        <v>369.101</v>
      </c>
      <c r="BA178" s="22">
        <v>-1.6503899999999998E-2</v>
      </c>
      <c r="BB178" s="22">
        <v>168</v>
      </c>
      <c r="BC178" s="22">
        <v>0.74536100000000005</v>
      </c>
      <c r="BD178">
        <f t="shared" si="34"/>
        <v>16.503899999999998</v>
      </c>
      <c r="BE178">
        <f t="shared" si="35"/>
        <v>12.3119424078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40.67</v>
      </c>
      <c r="I179" s="22">
        <v>-1.6836500000000001E-2</v>
      </c>
      <c r="J179" s="22">
        <v>169</v>
      </c>
      <c r="K179" s="22">
        <v>0.99883999999999995</v>
      </c>
      <c r="L179">
        <f t="shared" si="24"/>
        <v>16.836500000000001</v>
      </c>
      <c r="M179">
        <f t="shared" si="25"/>
        <v>16.8195456445</v>
      </c>
      <c r="N179" s="9"/>
      <c r="O179" s="22">
        <v>0.75103799999999998</v>
      </c>
      <c r="P179" s="22">
        <v>96.065799999999996</v>
      </c>
      <c r="Q179" s="22">
        <v>-1.7062399999999998E-2</v>
      </c>
      <c r="R179" s="22">
        <v>169</v>
      </c>
      <c r="S179" s="22">
        <v>0.750336</v>
      </c>
      <c r="T179">
        <f t="shared" si="26"/>
        <v>17.062399999999997</v>
      </c>
      <c r="U179">
        <f t="shared" si="27"/>
        <v>12.814510771199997</v>
      </c>
      <c r="X179" s="9"/>
      <c r="Y179" s="22">
        <v>0.99899300000000002</v>
      </c>
      <c r="Z179" s="22">
        <v>158.023</v>
      </c>
      <c r="AA179" s="22">
        <v>-1.6845700000000002E-2</v>
      </c>
      <c r="AB179" s="22">
        <v>169</v>
      </c>
      <c r="AC179" s="22">
        <v>0.99792499999999995</v>
      </c>
      <c r="AD179">
        <f t="shared" si="28"/>
        <v>16.845700000000001</v>
      </c>
      <c r="AE179">
        <f t="shared" si="29"/>
        <v>16.828736380100001</v>
      </c>
      <c r="AF179" s="9"/>
      <c r="AG179" s="22">
        <v>0.75103799999999998</v>
      </c>
      <c r="AH179" s="22">
        <v>237.55500000000001</v>
      </c>
      <c r="AI179" s="22">
        <v>-1.6787699999999999E-2</v>
      </c>
      <c r="AJ179" s="22">
        <v>169</v>
      </c>
      <c r="AK179" s="22">
        <v>0.75036599999999998</v>
      </c>
      <c r="AL179">
        <f t="shared" si="30"/>
        <v>16.787699999999997</v>
      </c>
      <c r="AM179">
        <f t="shared" si="31"/>
        <v>12.608200632599997</v>
      </c>
      <c r="AP179" s="9"/>
      <c r="AQ179" s="22">
        <v>0.99899300000000002</v>
      </c>
      <c r="AR179" s="22">
        <v>289.97199999999998</v>
      </c>
      <c r="AS179" s="22">
        <v>-1.66351E-2</v>
      </c>
      <c r="AT179" s="22">
        <v>169</v>
      </c>
      <c r="AU179" s="22">
        <v>0.99792499999999995</v>
      </c>
      <c r="AV179">
        <f t="shared" si="32"/>
        <v>16.635100000000001</v>
      </c>
      <c r="AW179">
        <f t="shared" si="33"/>
        <v>16.618348454300001</v>
      </c>
      <c r="AX179" s="9"/>
      <c r="AY179" s="22">
        <v>0.75103799999999998</v>
      </c>
      <c r="AZ179" s="22">
        <v>369.202</v>
      </c>
      <c r="BA179" s="22">
        <v>-1.6507000000000001E-2</v>
      </c>
      <c r="BB179" s="22">
        <v>169</v>
      </c>
      <c r="BC179" s="22">
        <v>0.750336</v>
      </c>
      <c r="BD179">
        <f t="shared" si="34"/>
        <v>16.507000000000001</v>
      </c>
      <c r="BE179">
        <f t="shared" si="35"/>
        <v>12.397384266000001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40.770699999999998</v>
      </c>
      <c r="I180" s="22">
        <v>-1.68518E-2</v>
      </c>
      <c r="J180" s="22">
        <v>170</v>
      </c>
      <c r="K180" s="22">
        <v>0.99334699999999998</v>
      </c>
      <c r="L180">
        <f t="shared" si="24"/>
        <v>16.851800000000001</v>
      </c>
      <c r="M180">
        <f t="shared" si="25"/>
        <v>16.749981424400001</v>
      </c>
      <c r="N180" s="9"/>
      <c r="O180" s="22">
        <v>0.756073</v>
      </c>
      <c r="P180" s="22">
        <v>96.166499999999999</v>
      </c>
      <c r="Q180" s="22">
        <v>-1.7053200000000001E-2</v>
      </c>
      <c r="R180" s="22">
        <v>170</v>
      </c>
      <c r="S180" s="22">
        <v>0.75561500000000004</v>
      </c>
      <c r="T180">
        <f t="shared" si="26"/>
        <v>17.0532</v>
      </c>
      <c r="U180">
        <f t="shared" si="27"/>
        <v>12.8934640836</v>
      </c>
      <c r="X180" s="9"/>
      <c r="Y180" s="22">
        <v>0.99395800000000001</v>
      </c>
      <c r="Z180" s="22">
        <v>158.12299999999999</v>
      </c>
      <c r="AA180" s="22">
        <v>-1.6882299999999999E-2</v>
      </c>
      <c r="AB180" s="22">
        <v>170</v>
      </c>
      <c r="AC180" s="22">
        <v>0.99304199999999998</v>
      </c>
      <c r="AD180">
        <f t="shared" si="28"/>
        <v>16.882300000000001</v>
      </c>
      <c r="AE180">
        <f t="shared" si="29"/>
        <v>16.780297143400002</v>
      </c>
      <c r="AF180" s="9"/>
      <c r="AG180" s="22">
        <v>0.756073</v>
      </c>
      <c r="AH180" s="22">
        <v>237.65600000000001</v>
      </c>
      <c r="AI180" s="22">
        <v>-1.6802999999999998E-2</v>
      </c>
      <c r="AJ180" s="22">
        <v>170</v>
      </c>
      <c r="AK180" s="22">
        <v>0.75531000000000004</v>
      </c>
      <c r="AL180">
        <f t="shared" si="30"/>
        <v>16.802999999999997</v>
      </c>
      <c r="AM180">
        <f t="shared" si="31"/>
        <v>12.704294618999997</v>
      </c>
      <c r="AP180" s="9"/>
      <c r="AQ180" s="22">
        <v>0.99395800000000001</v>
      </c>
      <c r="AR180" s="22">
        <v>290.07299999999998</v>
      </c>
      <c r="AS180" s="22">
        <v>-1.6653399999999999E-2</v>
      </c>
      <c r="AT180" s="22">
        <v>170</v>
      </c>
      <c r="AU180" s="22">
        <v>0.99304199999999998</v>
      </c>
      <c r="AV180">
        <f t="shared" si="32"/>
        <v>16.653399999999998</v>
      </c>
      <c r="AW180">
        <f t="shared" si="33"/>
        <v>16.552780157199997</v>
      </c>
      <c r="AX180" s="9"/>
      <c r="AY180" s="22">
        <v>0.756073</v>
      </c>
      <c r="AZ180" s="22">
        <v>369.303</v>
      </c>
      <c r="BA180" s="22">
        <v>-1.6507000000000001E-2</v>
      </c>
      <c r="BB180" s="22">
        <v>170</v>
      </c>
      <c r="BC180" s="22">
        <v>0.75561500000000004</v>
      </c>
      <c r="BD180">
        <f t="shared" si="34"/>
        <v>16.507000000000001</v>
      </c>
      <c r="BE180">
        <f t="shared" si="35"/>
        <v>12.480497011000001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40.871400000000001</v>
      </c>
      <c r="I181" s="22">
        <v>-1.6861000000000001E-2</v>
      </c>
      <c r="J181" s="22">
        <v>171</v>
      </c>
      <c r="K181" s="22">
        <v>0.98785400000000001</v>
      </c>
      <c r="L181">
        <f t="shared" si="24"/>
        <v>16.861000000000001</v>
      </c>
      <c r="M181">
        <f t="shared" si="25"/>
        <v>16.674213842</v>
      </c>
      <c r="N181" s="9"/>
      <c r="O181" s="22">
        <v>0.76110800000000001</v>
      </c>
      <c r="P181" s="22">
        <v>96.267200000000003</v>
      </c>
      <c r="Q181" s="22">
        <v>-1.70563E-2</v>
      </c>
      <c r="R181" s="22">
        <v>171</v>
      </c>
      <c r="S181" s="22">
        <v>0.76019300000000001</v>
      </c>
      <c r="T181">
        <f t="shared" si="26"/>
        <v>17.0563</v>
      </c>
      <c r="U181">
        <f t="shared" si="27"/>
        <v>12.981686380400001</v>
      </c>
      <c r="X181" s="9"/>
      <c r="Y181" s="22">
        <v>0.98892199999999997</v>
      </c>
      <c r="Z181" s="22">
        <v>158.22399999999999</v>
      </c>
      <c r="AA181" s="22">
        <v>-1.6864000000000001E-2</v>
      </c>
      <c r="AB181" s="22">
        <v>171</v>
      </c>
      <c r="AC181" s="22">
        <v>0.98754900000000001</v>
      </c>
      <c r="AD181">
        <f t="shared" si="28"/>
        <v>16.864000000000001</v>
      </c>
      <c r="AE181">
        <f t="shared" si="29"/>
        <v>16.677180608</v>
      </c>
      <c r="AF181" s="9"/>
      <c r="AG181" s="22">
        <v>0.76110800000000001</v>
      </c>
      <c r="AH181" s="22">
        <v>237.756</v>
      </c>
      <c r="AI181" s="22">
        <v>-1.6790800000000002E-2</v>
      </c>
      <c r="AJ181" s="22">
        <v>171</v>
      </c>
      <c r="AK181" s="22">
        <v>0.76019300000000001</v>
      </c>
      <c r="AL181">
        <f t="shared" si="30"/>
        <v>16.790800000000001</v>
      </c>
      <c r="AM181">
        <f t="shared" si="31"/>
        <v>12.779612206400001</v>
      </c>
      <c r="AP181" s="9"/>
      <c r="AQ181" s="22">
        <v>0.98892199999999997</v>
      </c>
      <c r="AR181" s="22">
        <v>290.173</v>
      </c>
      <c r="AS181" s="22">
        <v>-1.6705299999999999E-2</v>
      </c>
      <c r="AT181" s="22">
        <v>171</v>
      </c>
      <c r="AU181" s="22">
        <v>0.98785400000000001</v>
      </c>
      <c r="AV181">
        <f t="shared" si="32"/>
        <v>16.705299999999998</v>
      </c>
      <c r="AW181">
        <f t="shared" si="33"/>
        <v>16.520238686599996</v>
      </c>
      <c r="AX181" s="9"/>
      <c r="AY181" s="22">
        <v>0.76110800000000001</v>
      </c>
      <c r="AZ181" s="22">
        <v>369.404</v>
      </c>
      <c r="BA181" s="22">
        <v>-1.6464199999999998E-2</v>
      </c>
      <c r="BB181" s="22">
        <v>171</v>
      </c>
      <c r="BC181" s="22">
        <v>0.76019300000000001</v>
      </c>
      <c r="BD181">
        <f t="shared" si="34"/>
        <v>16.464199999999998</v>
      </c>
      <c r="BE181">
        <f t="shared" si="35"/>
        <v>12.531034333599999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40.972099999999998</v>
      </c>
      <c r="I182" s="22">
        <v>-1.68518E-2</v>
      </c>
      <c r="J182" s="22">
        <v>172</v>
      </c>
      <c r="K182" s="22">
        <v>0.98266600000000004</v>
      </c>
      <c r="L182">
        <f t="shared" si="24"/>
        <v>16.851800000000001</v>
      </c>
      <c r="M182">
        <f t="shared" si="25"/>
        <v>16.580266946599998</v>
      </c>
      <c r="N182" s="9"/>
      <c r="O182" s="22">
        <v>0.76614400000000005</v>
      </c>
      <c r="P182" s="22">
        <v>96.367900000000006</v>
      </c>
      <c r="Q182" s="22">
        <v>-1.70441E-2</v>
      </c>
      <c r="R182" s="22">
        <v>172</v>
      </c>
      <c r="S182" s="22">
        <v>0.76507599999999998</v>
      </c>
      <c r="T182">
        <f t="shared" si="26"/>
        <v>17.0441</v>
      </c>
      <c r="U182">
        <f t="shared" si="27"/>
        <v>13.058234950400001</v>
      </c>
      <c r="X182" s="9"/>
      <c r="Y182" s="22">
        <v>0.98388699999999996</v>
      </c>
      <c r="Z182" s="22">
        <v>158.32499999999999</v>
      </c>
      <c r="AA182" s="22">
        <v>-1.68793E-2</v>
      </c>
      <c r="AB182" s="22">
        <v>172</v>
      </c>
      <c r="AC182" s="22">
        <v>0.98327600000000004</v>
      </c>
      <c r="AD182">
        <f t="shared" si="28"/>
        <v>16.879300000000001</v>
      </c>
      <c r="AE182">
        <f t="shared" si="29"/>
        <v>16.607323839100001</v>
      </c>
      <c r="AF182" s="9"/>
      <c r="AG182" s="22">
        <v>0.76614400000000005</v>
      </c>
      <c r="AH182" s="22">
        <v>237.857</v>
      </c>
      <c r="AI182" s="22">
        <v>-1.6772499999999999E-2</v>
      </c>
      <c r="AJ182" s="22">
        <v>172</v>
      </c>
      <c r="AK182" s="22">
        <v>0.76599099999999998</v>
      </c>
      <c r="AL182">
        <f t="shared" si="30"/>
        <v>16.772500000000001</v>
      </c>
      <c r="AM182">
        <f t="shared" si="31"/>
        <v>12.850150240000001</v>
      </c>
      <c r="AP182" s="9"/>
      <c r="AQ182" s="22">
        <v>0.98388699999999996</v>
      </c>
      <c r="AR182" s="22">
        <v>290.274</v>
      </c>
      <c r="AS182" s="22">
        <v>-1.6699200000000001E-2</v>
      </c>
      <c r="AT182" s="22">
        <v>172</v>
      </c>
      <c r="AU182" s="22">
        <v>0.98266600000000004</v>
      </c>
      <c r="AV182">
        <f t="shared" si="32"/>
        <v>16.699200000000001</v>
      </c>
      <c r="AW182">
        <f t="shared" si="33"/>
        <v>16.430125790400002</v>
      </c>
      <c r="AX182" s="9"/>
      <c r="AY182" s="22">
        <v>0.76614400000000005</v>
      </c>
      <c r="AZ182" s="22">
        <v>369.50400000000002</v>
      </c>
      <c r="BA182" s="22">
        <v>-1.6488599999999999E-2</v>
      </c>
      <c r="BB182" s="22">
        <v>172</v>
      </c>
      <c r="BC182" s="22">
        <v>0.76507599999999998</v>
      </c>
      <c r="BD182">
        <f t="shared" si="34"/>
        <v>16.488599999999998</v>
      </c>
      <c r="BE182">
        <f t="shared" si="35"/>
        <v>12.632641958399999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41.072800000000001</v>
      </c>
      <c r="I183" s="22">
        <v>-1.6867099999999999E-2</v>
      </c>
      <c r="J183" s="22">
        <v>173</v>
      </c>
      <c r="K183" s="22">
        <v>0.97778299999999996</v>
      </c>
      <c r="L183">
        <f t="shared" si="24"/>
        <v>16.867100000000001</v>
      </c>
      <c r="M183">
        <f t="shared" si="25"/>
        <v>16.510377702100001</v>
      </c>
      <c r="N183" s="9"/>
      <c r="O183" s="22">
        <v>0.77117899999999995</v>
      </c>
      <c r="P183" s="22">
        <v>96.468599999999995</v>
      </c>
      <c r="Q183" s="22">
        <v>-1.7047099999999999E-2</v>
      </c>
      <c r="R183" s="22">
        <v>173</v>
      </c>
      <c r="S183" s="22">
        <v>0.77026399999999995</v>
      </c>
      <c r="T183">
        <f t="shared" si="26"/>
        <v>17.0471</v>
      </c>
      <c r="U183">
        <f t="shared" si="27"/>
        <v>13.146365530899999</v>
      </c>
      <c r="X183" s="9"/>
      <c r="Y183" s="22">
        <v>0.97885100000000003</v>
      </c>
      <c r="Z183" s="22">
        <v>158.42599999999999</v>
      </c>
      <c r="AA183" s="22">
        <v>-1.6873200000000001E-2</v>
      </c>
      <c r="AB183" s="22">
        <v>173</v>
      </c>
      <c r="AC183" s="22">
        <v>0.97839399999999999</v>
      </c>
      <c r="AD183">
        <f t="shared" si="28"/>
        <v>16.873200000000001</v>
      </c>
      <c r="AE183">
        <f t="shared" si="29"/>
        <v>16.516348693200001</v>
      </c>
      <c r="AF183" s="9"/>
      <c r="AG183" s="22">
        <v>0.77117899999999995</v>
      </c>
      <c r="AH183" s="22">
        <v>237.958</v>
      </c>
      <c r="AI183" s="22">
        <v>-1.6818199999999998E-2</v>
      </c>
      <c r="AJ183" s="22">
        <v>173</v>
      </c>
      <c r="AK183" s="22">
        <v>0.77056899999999995</v>
      </c>
      <c r="AL183">
        <f t="shared" si="30"/>
        <v>16.818199999999997</v>
      </c>
      <c r="AM183">
        <f t="shared" si="31"/>
        <v>12.969842657799997</v>
      </c>
      <c r="AP183" s="9"/>
      <c r="AQ183" s="22">
        <v>0.97885100000000003</v>
      </c>
      <c r="AR183" s="22">
        <v>290.375</v>
      </c>
      <c r="AS183" s="22">
        <v>-1.6690099999999999E-2</v>
      </c>
      <c r="AT183" s="22">
        <v>173</v>
      </c>
      <c r="AU183" s="22">
        <v>0.97778299999999996</v>
      </c>
      <c r="AV183">
        <f t="shared" si="32"/>
        <v>16.690100000000001</v>
      </c>
      <c r="AW183">
        <f t="shared" si="33"/>
        <v>16.337121075100001</v>
      </c>
      <c r="AX183" s="9"/>
      <c r="AY183" s="22">
        <v>0.77117899999999995</v>
      </c>
      <c r="AZ183" s="22">
        <v>369.60500000000002</v>
      </c>
      <c r="BA183" s="22">
        <v>-1.6549700000000001E-2</v>
      </c>
      <c r="BB183" s="22">
        <v>173</v>
      </c>
      <c r="BC183" s="22">
        <v>0.77056899999999995</v>
      </c>
      <c r="BD183">
        <f t="shared" si="34"/>
        <v>16.549700000000001</v>
      </c>
      <c r="BE183">
        <f t="shared" si="35"/>
        <v>12.762781096299999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41.173499999999997</v>
      </c>
      <c r="I184" s="22">
        <v>-1.6873200000000001E-2</v>
      </c>
      <c r="J184" s="22">
        <v>174</v>
      </c>
      <c r="K184" s="22">
        <v>0.97320600000000002</v>
      </c>
      <c r="L184">
        <f t="shared" si="24"/>
        <v>16.873200000000001</v>
      </c>
      <c r="M184">
        <f t="shared" si="25"/>
        <v>16.431392131200003</v>
      </c>
      <c r="N184" s="9"/>
      <c r="O184" s="22">
        <v>0.77621499999999999</v>
      </c>
      <c r="P184" s="22">
        <v>96.569299999999998</v>
      </c>
      <c r="Q184" s="22">
        <v>-1.7041000000000001E-2</v>
      </c>
      <c r="R184" s="22">
        <v>174</v>
      </c>
      <c r="S184" s="22">
        <v>0.77575700000000003</v>
      </c>
      <c r="T184">
        <f t="shared" si="26"/>
        <v>17.041</v>
      </c>
      <c r="U184">
        <f t="shared" si="27"/>
        <v>13.227479815000001</v>
      </c>
      <c r="X184" s="9"/>
      <c r="Y184" s="22">
        <v>0.97381600000000001</v>
      </c>
      <c r="Z184" s="22">
        <v>158.52600000000001</v>
      </c>
      <c r="AA184" s="22">
        <v>-1.6897599999999999E-2</v>
      </c>
      <c r="AB184" s="22">
        <v>174</v>
      </c>
      <c r="AC184" s="22">
        <v>0.97320600000000002</v>
      </c>
      <c r="AD184">
        <f t="shared" si="28"/>
        <v>16.897599999999997</v>
      </c>
      <c r="AE184">
        <f t="shared" si="29"/>
        <v>16.455153241599998</v>
      </c>
      <c r="AF184" s="9"/>
      <c r="AG184" s="22">
        <v>0.77621499999999999</v>
      </c>
      <c r="AH184" s="22">
        <v>238.059</v>
      </c>
      <c r="AI184" s="22">
        <v>-1.67999E-2</v>
      </c>
      <c r="AJ184" s="22">
        <v>174</v>
      </c>
      <c r="AK184" s="22">
        <v>0.77545200000000003</v>
      </c>
      <c r="AL184">
        <f t="shared" si="30"/>
        <v>16.799900000000001</v>
      </c>
      <c r="AM184">
        <f t="shared" si="31"/>
        <v>13.040334378500001</v>
      </c>
      <c r="AP184" s="9"/>
      <c r="AQ184" s="22">
        <v>0.97381600000000001</v>
      </c>
      <c r="AR184" s="22">
        <v>290.47500000000002</v>
      </c>
      <c r="AS184" s="22">
        <v>-1.6684000000000001E-2</v>
      </c>
      <c r="AT184" s="22">
        <v>174</v>
      </c>
      <c r="AU184" s="22">
        <v>0.97259499999999999</v>
      </c>
      <c r="AV184">
        <f t="shared" si="32"/>
        <v>16.684000000000001</v>
      </c>
      <c r="AW184">
        <f t="shared" si="33"/>
        <v>16.247146144000002</v>
      </c>
      <c r="AX184" s="9"/>
      <c r="AY184" s="22">
        <v>0.77621499999999999</v>
      </c>
      <c r="AZ184" s="22">
        <v>369.70600000000002</v>
      </c>
      <c r="BA184" s="22">
        <v>-1.6491700000000001E-2</v>
      </c>
      <c r="BB184" s="22">
        <v>174</v>
      </c>
      <c r="BC184" s="22">
        <v>0.77545200000000003</v>
      </c>
      <c r="BD184">
        <f t="shared" si="34"/>
        <v>16.491700000000002</v>
      </c>
      <c r="BE184">
        <f t="shared" si="35"/>
        <v>12.801104915500002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41.2742</v>
      </c>
      <c r="I185" s="22">
        <v>-1.6882299999999999E-2</v>
      </c>
      <c r="J185" s="22">
        <v>175</v>
      </c>
      <c r="K185" s="22">
        <v>0.96740700000000002</v>
      </c>
      <c r="L185">
        <f t="shared" si="24"/>
        <v>16.882300000000001</v>
      </c>
      <c r="M185">
        <f t="shared" si="25"/>
        <v>16.355251476300001</v>
      </c>
      <c r="N185" s="9"/>
      <c r="O185" s="22">
        <v>0.78125</v>
      </c>
      <c r="P185" s="22">
        <v>96.670100000000005</v>
      </c>
      <c r="Q185" s="22">
        <v>-1.7059299999999999E-2</v>
      </c>
      <c r="R185" s="22">
        <v>175</v>
      </c>
      <c r="S185" s="22">
        <v>0.780945</v>
      </c>
      <c r="T185">
        <f t="shared" si="26"/>
        <v>17.0593</v>
      </c>
      <c r="U185">
        <f t="shared" si="27"/>
        <v>13.327578125</v>
      </c>
      <c r="X185" s="9"/>
      <c r="Y185" s="22">
        <v>0.968781</v>
      </c>
      <c r="Z185" s="22">
        <v>158.62700000000001</v>
      </c>
      <c r="AA185" s="22">
        <v>-1.6909799999999999E-2</v>
      </c>
      <c r="AB185" s="22">
        <v>175</v>
      </c>
      <c r="AC185" s="22">
        <v>0.96801800000000005</v>
      </c>
      <c r="AD185">
        <f t="shared" si="28"/>
        <v>16.909800000000001</v>
      </c>
      <c r="AE185">
        <f t="shared" si="29"/>
        <v>16.381892953800001</v>
      </c>
      <c r="AF185" s="9"/>
      <c r="AG185" s="22">
        <v>0.78125</v>
      </c>
      <c r="AH185" s="22">
        <v>238.15899999999999</v>
      </c>
      <c r="AI185" s="22">
        <v>-1.68121E-2</v>
      </c>
      <c r="AJ185" s="22">
        <v>175</v>
      </c>
      <c r="AK185" s="22">
        <v>0.78033399999999997</v>
      </c>
      <c r="AL185">
        <f t="shared" si="30"/>
        <v>16.812100000000001</v>
      </c>
      <c r="AM185">
        <f t="shared" si="31"/>
        <v>13.134453125</v>
      </c>
      <c r="AP185" s="9"/>
      <c r="AQ185" s="22">
        <v>0.968781</v>
      </c>
      <c r="AR185" s="22">
        <v>290.57600000000002</v>
      </c>
      <c r="AS185" s="22">
        <v>-1.6677899999999999E-2</v>
      </c>
      <c r="AT185" s="22">
        <v>175</v>
      </c>
      <c r="AU185" s="22">
        <v>0.96801800000000005</v>
      </c>
      <c r="AV185">
        <f t="shared" si="32"/>
        <v>16.677899999999998</v>
      </c>
      <c r="AW185">
        <f t="shared" si="33"/>
        <v>16.157232639899998</v>
      </c>
      <c r="AX185" s="9"/>
      <c r="AY185" s="22">
        <v>0.78125</v>
      </c>
      <c r="AZ185" s="22">
        <v>369.80599999999998</v>
      </c>
      <c r="BA185" s="22">
        <v>-1.6476399999999999E-2</v>
      </c>
      <c r="BB185" s="22">
        <v>175</v>
      </c>
      <c r="BC185" s="22">
        <v>0.78064</v>
      </c>
      <c r="BD185">
        <f t="shared" si="34"/>
        <v>16.476399999999998</v>
      </c>
      <c r="BE185">
        <f t="shared" si="35"/>
        <v>12.872187499999999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41.374899999999997</v>
      </c>
      <c r="I186" s="22">
        <v>-1.6888400000000001E-2</v>
      </c>
      <c r="J186" s="22">
        <v>176</v>
      </c>
      <c r="K186" s="22">
        <v>0.96221900000000005</v>
      </c>
      <c r="L186">
        <f t="shared" si="24"/>
        <v>16.888400000000001</v>
      </c>
      <c r="M186">
        <f t="shared" si="25"/>
        <v>16.276111058000001</v>
      </c>
      <c r="N186" s="9"/>
      <c r="O186" s="22">
        <v>0.78628500000000001</v>
      </c>
      <c r="P186" s="22">
        <v>96.770799999999994</v>
      </c>
      <c r="Q186" s="22">
        <v>-1.7050200000000001E-2</v>
      </c>
      <c r="R186" s="22">
        <v>176</v>
      </c>
      <c r="S186" s="22">
        <v>0.78521700000000005</v>
      </c>
      <c r="T186">
        <f t="shared" si="26"/>
        <v>17.0502</v>
      </c>
      <c r="U186">
        <f t="shared" si="27"/>
        <v>13.406316507</v>
      </c>
      <c r="X186" s="9"/>
      <c r="Y186" s="22">
        <v>0.96374499999999996</v>
      </c>
      <c r="Z186" s="22">
        <v>158.72800000000001</v>
      </c>
      <c r="AA186" s="22">
        <v>-1.69067E-2</v>
      </c>
      <c r="AB186" s="22">
        <v>176</v>
      </c>
      <c r="AC186" s="22">
        <v>0.96252400000000005</v>
      </c>
      <c r="AD186">
        <f t="shared" si="28"/>
        <v>16.906700000000001</v>
      </c>
      <c r="AE186">
        <f t="shared" si="29"/>
        <v>16.293747591500001</v>
      </c>
      <c r="AF186" s="9"/>
      <c r="AG186" s="22">
        <v>0.78628500000000001</v>
      </c>
      <c r="AH186" s="22">
        <v>238.26</v>
      </c>
      <c r="AI186" s="22">
        <v>-1.6815199999999999E-2</v>
      </c>
      <c r="AJ186" s="22">
        <v>176</v>
      </c>
      <c r="AK186" s="22">
        <v>0.78582799999999997</v>
      </c>
      <c r="AL186">
        <f t="shared" si="30"/>
        <v>16.815199999999997</v>
      </c>
      <c r="AM186">
        <f t="shared" si="31"/>
        <v>13.221539531999998</v>
      </c>
      <c r="AP186" s="9"/>
      <c r="AQ186" s="22">
        <v>0.96374499999999996</v>
      </c>
      <c r="AR186" s="22">
        <v>290.67700000000002</v>
      </c>
      <c r="AS186" s="22">
        <v>-1.6677899999999999E-2</v>
      </c>
      <c r="AT186" s="22">
        <v>176</v>
      </c>
      <c r="AU186" s="22">
        <v>0.96313499999999996</v>
      </c>
      <c r="AV186">
        <f t="shared" si="32"/>
        <v>16.677899999999998</v>
      </c>
      <c r="AW186">
        <f t="shared" si="33"/>
        <v>16.073242735499996</v>
      </c>
      <c r="AX186" s="9"/>
      <c r="AY186" s="22">
        <v>0.78628500000000001</v>
      </c>
      <c r="AZ186" s="22">
        <v>369.90699999999998</v>
      </c>
      <c r="BA186" s="22">
        <v>-1.64856E-2</v>
      </c>
      <c r="BB186" s="22">
        <v>176</v>
      </c>
      <c r="BC186" s="22">
        <v>0.78491200000000005</v>
      </c>
      <c r="BD186">
        <f t="shared" si="34"/>
        <v>16.485599999999998</v>
      </c>
      <c r="BE186">
        <f t="shared" si="35"/>
        <v>12.962379995999999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41.4756</v>
      </c>
      <c r="I187" s="22">
        <v>-1.6882299999999999E-2</v>
      </c>
      <c r="J187" s="22">
        <v>177</v>
      </c>
      <c r="K187" s="22">
        <v>0.95764199999999999</v>
      </c>
      <c r="L187">
        <f t="shared" si="24"/>
        <v>16.882300000000001</v>
      </c>
      <c r="M187">
        <f t="shared" si="25"/>
        <v>16.185229833000001</v>
      </c>
      <c r="N187" s="9"/>
      <c r="O187" s="22">
        <v>0.79132100000000005</v>
      </c>
      <c r="P187" s="22">
        <v>96.871499999999997</v>
      </c>
      <c r="Q187" s="22">
        <v>-1.7053200000000001E-2</v>
      </c>
      <c r="R187" s="22">
        <v>177</v>
      </c>
      <c r="S187" s="22">
        <v>0.79071000000000002</v>
      </c>
      <c r="T187">
        <f t="shared" si="26"/>
        <v>17.0532</v>
      </c>
      <c r="U187">
        <f t="shared" si="27"/>
        <v>13.494555277200002</v>
      </c>
      <c r="X187" s="9"/>
      <c r="Y187" s="22">
        <v>0.95870999999999995</v>
      </c>
      <c r="Z187" s="22">
        <v>158.828</v>
      </c>
      <c r="AA187" s="22">
        <v>-1.6909799999999999E-2</v>
      </c>
      <c r="AB187" s="22">
        <v>177</v>
      </c>
      <c r="AC187" s="22">
        <v>0.95855699999999999</v>
      </c>
      <c r="AD187">
        <f t="shared" si="28"/>
        <v>16.909800000000001</v>
      </c>
      <c r="AE187">
        <f t="shared" si="29"/>
        <v>16.211594357999999</v>
      </c>
      <c r="AF187" s="9"/>
      <c r="AG187" s="22">
        <v>0.79132100000000005</v>
      </c>
      <c r="AH187" s="22">
        <v>238.36099999999999</v>
      </c>
      <c r="AI187" s="22">
        <v>-1.6781600000000001E-2</v>
      </c>
      <c r="AJ187" s="22">
        <v>177</v>
      </c>
      <c r="AK187" s="22">
        <v>0.79040500000000002</v>
      </c>
      <c r="AL187">
        <f t="shared" si="30"/>
        <v>16.781600000000001</v>
      </c>
      <c r="AM187">
        <f t="shared" si="31"/>
        <v>13.279632493600001</v>
      </c>
      <c r="AP187" s="9"/>
      <c r="AQ187" s="22">
        <v>0.95870999999999995</v>
      </c>
      <c r="AR187" s="22">
        <v>290.77800000000002</v>
      </c>
      <c r="AS187" s="22">
        <v>-1.6665599999999999E-2</v>
      </c>
      <c r="AT187" s="22">
        <v>177</v>
      </c>
      <c r="AU187" s="22">
        <v>0.95764199999999999</v>
      </c>
      <c r="AV187">
        <f t="shared" si="32"/>
        <v>16.665599999999998</v>
      </c>
      <c r="AW187">
        <f t="shared" si="33"/>
        <v>15.977477375999998</v>
      </c>
      <c r="AX187" s="9"/>
      <c r="AY187" s="22">
        <v>0.79132100000000005</v>
      </c>
      <c r="AZ187" s="22">
        <v>370.00799999999998</v>
      </c>
      <c r="BA187" s="22">
        <v>-1.6503899999999998E-2</v>
      </c>
      <c r="BB187" s="22">
        <v>177</v>
      </c>
      <c r="BC187" s="22">
        <v>0.79071000000000002</v>
      </c>
      <c r="BD187">
        <f t="shared" si="34"/>
        <v>16.503899999999998</v>
      </c>
      <c r="BE187">
        <f t="shared" si="35"/>
        <v>13.059882651899999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41.576300000000003</v>
      </c>
      <c r="I188" s="22">
        <v>-1.6897599999999999E-2</v>
      </c>
      <c r="J188" s="22">
        <v>178</v>
      </c>
      <c r="K188" s="22">
        <v>0.95245400000000002</v>
      </c>
      <c r="L188">
        <f t="shared" si="24"/>
        <v>16.897599999999997</v>
      </c>
      <c r="M188">
        <f t="shared" si="25"/>
        <v>16.114801782399997</v>
      </c>
      <c r="N188" s="9"/>
      <c r="O188" s="22">
        <v>0.79635599999999995</v>
      </c>
      <c r="P188" s="22">
        <v>96.972200000000001</v>
      </c>
      <c r="Q188" s="22">
        <v>-1.7025800000000001E-2</v>
      </c>
      <c r="R188" s="22">
        <v>178</v>
      </c>
      <c r="S188" s="22">
        <v>0.79528799999999999</v>
      </c>
      <c r="T188">
        <f t="shared" si="26"/>
        <v>17.0258</v>
      </c>
      <c r="U188">
        <f t="shared" si="27"/>
        <v>13.558597984799999</v>
      </c>
      <c r="X188" s="9"/>
      <c r="Y188" s="22">
        <v>0.95367400000000002</v>
      </c>
      <c r="Z188" s="22">
        <v>158.929</v>
      </c>
      <c r="AA188" s="22">
        <v>-1.68915E-2</v>
      </c>
      <c r="AB188" s="22">
        <v>178</v>
      </c>
      <c r="AC188" s="22">
        <v>0.95275900000000002</v>
      </c>
      <c r="AD188">
        <f t="shared" si="28"/>
        <v>16.891500000000001</v>
      </c>
      <c r="AE188">
        <f t="shared" si="29"/>
        <v>16.108984371000002</v>
      </c>
      <c r="AF188" s="9"/>
      <c r="AG188" s="22">
        <v>0.79635599999999995</v>
      </c>
      <c r="AH188" s="22">
        <v>238.46100000000001</v>
      </c>
      <c r="AI188" s="22">
        <v>-1.6815199999999999E-2</v>
      </c>
      <c r="AJ188" s="22">
        <v>178</v>
      </c>
      <c r="AK188" s="22">
        <v>0.79559299999999999</v>
      </c>
      <c r="AL188">
        <f t="shared" si="30"/>
        <v>16.815199999999997</v>
      </c>
      <c r="AM188">
        <f t="shared" si="31"/>
        <v>13.390885411199998</v>
      </c>
      <c r="AP188" s="9"/>
      <c r="AQ188" s="22">
        <v>0.95367400000000002</v>
      </c>
      <c r="AR188" s="22">
        <v>290.87799999999999</v>
      </c>
      <c r="AS188" s="22">
        <v>-1.6690099999999999E-2</v>
      </c>
      <c r="AT188" s="22">
        <v>178</v>
      </c>
      <c r="AU188" s="22">
        <v>0.95275900000000002</v>
      </c>
      <c r="AV188">
        <f t="shared" si="32"/>
        <v>16.690100000000001</v>
      </c>
      <c r="AW188">
        <f t="shared" si="33"/>
        <v>15.916914427400002</v>
      </c>
      <c r="AX188" s="9"/>
      <c r="AY188" s="22">
        <v>0.79635599999999995</v>
      </c>
      <c r="AZ188" s="22">
        <v>370.10899999999998</v>
      </c>
      <c r="BA188" s="22">
        <v>-1.6519200000000001E-2</v>
      </c>
      <c r="BB188" s="22">
        <v>178</v>
      </c>
      <c r="BC188" s="22">
        <v>0.79589799999999999</v>
      </c>
      <c r="BD188">
        <f t="shared" si="34"/>
        <v>16.519200000000001</v>
      </c>
      <c r="BE188">
        <f t="shared" si="35"/>
        <v>13.1551640352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41.677</v>
      </c>
      <c r="I189" s="22">
        <v>-1.6912799999999999E-2</v>
      </c>
      <c r="J189" s="22">
        <v>179</v>
      </c>
      <c r="K189" s="22">
        <v>0.94787600000000005</v>
      </c>
      <c r="L189">
        <f t="shared" si="24"/>
        <v>16.912799999999997</v>
      </c>
      <c r="M189">
        <f t="shared" si="25"/>
        <v>16.044141679199999</v>
      </c>
      <c r="N189" s="9"/>
      <c r="O189" s="22">
        <v>0.80139199999999999</v>
      </c>
      <c r="P189" s="22">
        <v>97.072900000000004</v>
      </c>
      <c r="Q189" s="22">
        <v>-1.7050200000000001E-2</v>
      </c>
      <c r="R189" s="22">
        <v>179</v>
      </c>
      <c r="S189" s="22">
        <v>0.80047599999999997</v>
      </c>
      <c r="T189">
        <f t="shared" si="26"/>
        <v>17.0502</v>
      </c>
      <c r="U189">
        <f t="shared" si="27"/>
        <v>13.6638938784</v>
      </c>
      <c r="X189" s="9"/>
      <c r="Y189" s="22">
        <v>0.94863900000000001</v>
      </c>
      <c r="Z189" s="22">
        <v>159.03</v>
      </c>
      <c r="AA189" s="22">
        <v>-1.69067E-2</v>
      </c>
      <c r="AB189" s="22">
        <v>179</v>
      </c>
      <c r="AC189" s="22">
        <v>0.94726600000000005</v>
      </c>
      <c r="AD189">
        <f t="shared" si="28"/>
        <v>16.906700000000001</v>
      </c>
      <c r="AE189">
        <f t="shared" si="29"/>
        <v>16.038354981299999</v>
      </c>
      <c r="AF189" s="9"/>
      <c r="AG189" s="22">
        <v>0.80139199999999999</v>
      </c>
      <c r="AH189" s="22">
        <v>238.56200000000001</v>
      </c>
      <c r="AI189" s="22">
        <v>-1.67999E-2</v>
      </c>
      <c r="AJ189" s="22">
        <v>179</v>
      </c>
      <c r="AK189" s="22">
        <v>0.80047599999999997</v>
      </c>
      <c r="AL189">
        <f t="shared" si="30"/>
        <v>16.799900000000001</v>
      </c>
      <c r="AM189">
        <f t="shared" si="31"/>
        <v>13.463305460800001</v>
      </c>
      <c r="AP189" s="9"/>
      <c r="AQ189" s="22">
        <v>0.94863900000000001</v>
      </c>
      <c r="AR189" s="22">
        <v>290.97899999999998</v>
      </c>
      <c r="AS189" s="22">
        <v>-1.6668700000000002E-2</v>
      </c>
      <c r="AT189" s="22">
        <v>179</v>
      </c>
      <c r="AU189" s="22">
        <v>0.94757100000000005</v>
      </c>
      <c r="AV189">
        <f t="shared" si="32"/>
        <v>16.668700000000001</v>
      </c>
      <c r="AW189">
        <f t="shared" si="33"/>
        <v>15.812578899300002</v>
      </c>
      <c r="AX189" s="9"/>
      <c r="AY189" s="22">
        <v>0.80139199999999999</v>
      </c>
      <c r="AZ189" s="22">
        <v>370.209</v>
      </c>
      <c r="BA189" s="22">
        <v>-1.6479500000000001E-2</v>
      </c>
      <c r="BB189" s="22">
        <v>179</v>
      </c>
      <c r="BC189" s="22">
        <v>0.80047599999999997</v>
      </c>
      <c r="BD189">
        <f t="shared" si="34"/>
        <v>16.479500000000002</v>
      </c>
      <c r="BE189">
        <f t="shared" si="35"/>
        <v>13.206539464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41.777700000000003</v>
      </c>
      <c r="I190" s="22">
        <v>-1.6903700000000001E-2</v>
      </c>
      <c r="J190" s="22">
        <v>180</v>
      </c>
      <c r="K190" s="22">
        <v>0.94268799999999997</v>
      </c>
      <c r="L190">
        <f t="shared" si="24"/>
        <v>16.903700000000001</v>
      </c>
      <c r="M190">
        <f t="shared" si="25"/>
        <v>15.950398934800001</v>
      </c>
      <c r="N190" s="9"/>
      <c r="O190" s="22">
        <v>0.806427</v>
      </c>
      <c r="P190" s="22">
        <v>97.173599999999993</v>
      </c>
      <c r="Q190" s="22">
        <v>-1.7059299999999999E-2</v>
      </c>
      <c r="R190" s="22">
        <v>180</v>
      </c>
      <c r="S190" s="22">
        <v>0.80566400000000005</v>
      </c>
      <c r="T190">
        <f t="shared" si="26"/>
        <v>17.0593</v>
      </c>
      <c r="U190">
        <f t="shared" si="27"/>
        <v>13.7570801211</v>
      </c>
      <c r="X190" s="9"/>
      <c r="Y190" s="22">
        <v>0.943604</v>
      </c>
      <c r="Z190" s="22">
        <v>159.131</v>
      </c>
      <c r="AA190" s="22">
        <v>-1.6903700000000001E-2</v>
      </c>
      <c r="AB190" s="22">
        <v>180</v>
      </c>
      <c r="AC190" s="22">
        <v>0.94268799999999997</v>
      </c>
      <c r="AD190">
        <f t="shared" si="28"/>
        <v>16.903700000000001</v>
      </c>
      <c r="AE190">
        <f t="shared" si="29"/>
        <v>15.950398934800001</v>
      </c>
      <c r="AF190" s="9"/>
      <c r="AG190" s="22">
        <v>0.806427</v>
      </c>
      <c r="AH190" s="22">
        <v>238.66300000000001</v>
      </c>
      <c r="AI190" s="22">
        <v>-1.6806000000000001E-2</v>
      </c>
      <c r="AJ190" s="22">
        <v>180</v>
      </c>
      <c r="AK190" s="22">
        <v>0.80566400000000005</v>
      </c>
      <c r="AL190">
        <f t="shared" si="30"/>
        <v>16.806000000000001</v>
      </c>
      <c r="AM190">
        <f t="shared" si="31"/>
        <v>13.552812162</v>
      </c>
      <c r="AP190" s="9"/>
      <c r="AQ190" s="22">
        <v>0.943604</v>
      </c>
      <c r="AR190" s="22">
        <v>291.08</v>
      </c>
      <c r="AS190" s="22">
        <v>-1.66748E-2</v>
      </c>
      <c r="AT190" s="22">
        <v>180</v>
      </c>
      <c r="AU190" s="22">
        <v>0.94268799999999997</v>
      </c>
      <c r="AV190">
        <f t="shared" si="32"/>
        <v>16.674800000000001</v>
      </c>
      <c r="AW190">
        <f t="shared" si="33"/>
        <v>15.7344079792</v>
      </c>
      <c r="AX190" s="9"/>
      <c r="AY190" s="22">
        <v>0.806427</v>
      </c>
      <c r="AZ190" s="22">
        <v>370.31</v>
      </c>
      <c r="BA190" s="22">
        <v>-1.6500899999999999E-2</v>
      </c>
      <c r="BB190" s="22">
        <v>180</v>
      </c>
      <c r="BC190" s="22">
        <v>0.80596900000000005</v>
      </c>
      <c r="BD190">
        <f t="shared" si="34"/>
        <v>16.500899999999998</v>
      </c>
      <c r="BE190">
        <f t="shared" si="35"/>
        <v>13.306771284299998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41.878399999999999</v>
      </c>
      <c r="I191" s="22">
        <v>-1.6918900000000001E-2</v>
      </c>
      <c r="J191" s="22">
        <v>181</v>
      </c>
      <c r="K191" s="22">
        <v>0.93811</v>
      </c>
      <c r="L191">
        <f t="shared" si="24"/>
        <v>16.918900000000001</v>
      </c>
      <c r="M191">
        <f t="shared" si="25"/>
        <v>15.879538135200001</v>
      </c>
      <c r="N191" s="9"/>
      <c r="O191" s="22">
        <v>0.81146200000000002</v>
      </c>
      <c r="P191" s="22">
        <v>97.274299999999997</v>
      </c>
      <c r="Q191" s="22">
        <v>-1.70441E-2</v>
      </c>
      <c r="R191" s="22">
        <v>181</v>
      </c>
      <c r="S191" s="22">
        <v>0.81085200000000002</v>
      </c>
      <c r="T191">
        <f t="shared" si="26"/>
        <v>17.0441</v>
      </c>
      <c r="U191">
        <f t="shared" si="27"/>
        <v>13.8306394742</v>
      </c>
      <c r="X191" s="9"/>
      <c r="Y191" s="22">
        <v>0.93856799999999996</v>
      </c>
      <c r="Z191" s="22">
        <v>159.23099999999999</v>
      </c>
      <c r="AA191" s="22">
        <v>-1.6928100000000001E-2</v>
      </c>
      <c r="AB191" s="22">
        <v>181</v>
      </c>
      <c r="AC191" s="22">
        <v>0.93811</v>
      </c>
      <c r="AD191">
        <f t="shared" si="28"/>
        <v>16.928100000000001</v>
      </c>
      <c r="AE191">
        <f t="shared" si="29"/>
        <v>15.8881729608</v>
      </c>
      <c r="AF191" s="9"/>
      <c r="AG191" s="22">
        <v>0.81146200000000002</v>
      </c>
      <c r="AH191" s="22">
        <v>238.76400000000001</v>
      </c>
      <c r="AI191" s="22">
        <v>-1.68121E-2</v>
      </c>
      <c r="AJ191" s="22">
        <v>181</v>
      </c>
      <c r="AK191" s="22">
        <v>0.81085200000000002</v>
      </c>
      <c r="AL191">
        <f t="shared" si="30"/>
        <v>16.812100000000001</v>
      </c>
      <c r="AM191">
        <f t="shared" si="31"/>
        <v>13.6423802902</v>
      </c>
      <c r="AP191" s="9"/>
      <c r="AQ191" s="22">
        <v>0.93856799999999996</v>
      </c>
      <c r="AR191" s="22">
        <v>291.18</v>
      </c>
      <c r="AS191" s="22">
        <v>-1.66748E-2</v>
      </c>
      <c r="AT191" s="22">
        <v>181</v>
      </c>
      <c r="AU191" s="22">
        <v>0.937805</v>
      </c>
      <c r="AV191">
        <f t="shared" si="32"/>
        <v>16.674800000000001</v>
      </c>
      <c r="AW191">
        <f t="shared" si="33"/>
        <v>15.6504336864</v>
      </c>
      <c r="AX191" s="9"/>
      <c r="AY191" s="22">
        <v>0.81146200000000002</v>
      </c>
      <c r="AZ191" s="22">
        <v>370.411</v>
      </c>
      <c r="BA191" s="22">
        <v>-1.651E-2</v>
      </c>
      <c r="BB191" s="22">
        <v>181</v>
      </c>
      <c r="BC191" s="22">
        <v>0.81054700000000002</v>
      </c>
      <c r="BD191">
        <f t="shared" si="34"/>
        <v>16.510000000000002</v>
      </c>
      <c r="BE191">
        <f t="shared" si="35"/>
        <v>13.397237620000002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41.979199999999999</v>
      </c>
      <c r="I192" s="22">
        <v>-1.6924999999999999E-2</v>
      </c>
      <c r="J192" s="22">
        <v>182</v>
      </c>
      <c r="K192" s="22">
        <v>0.93261700000000003</v>
      </c>
      <c r="L192">
        <f t="shared" si="24"/>
        <v>16.925000000000001</v>
      </c>
      <c r="M192">
        <f t="shared" si="25"/>
        <v>15.800046025</v>
      </c>
      <c r="N192" s="9"/>
      <c r="O192" s="22">
        <v>0.81649799999999995</v>
      </c>
      <c r="P192" s="22">
        <v>97.375</v>
      </c>
      <c r="Q192" s="22">
        <v>-1.7025800000000001E-2</v>
      </c>
      <c r="R192" s="22">
        <v>182</v>
      </c>
      <c r="S192" s="22">
        <v>0.81542999999999999</v>
      </c>
      <c r="T192">
        <f t="shared" si="26"/>
        <v>17.0258</v>
      </c>
      <c r="U192">
        <f t="shared" si="27"/>
        <v>13.901531648399999</v>
      </c>
      <c r="X192" s="9"/>
      <c r="Y192" s="22">
        <v>0.93353299999999995</v>
      </c>
      <c r="Z192" s="22">
        <v>159.33199999999999</v>
      </c>
      <c r="AA192" s="22">
        <v>-1.6915900000000001E-2</v>
      </c>
      <c r="AB192" s="22">
        <v>182</v>
      </c>
      <c r="AC192" s="22">
        <v>0.93292200000000003</v>
      </c>
      <c r="AD192">
        <f t="shared" si="28"/>
        <v>16.915900000000001</v>
      </c>
      <c r="AE192">
        <f t="shared" si="29"/>
        <v>15.7915508747</v>
      </c>
      <c r="AF192" s="9"/>
      <c r="AG192" s="22">
        <v>0.81649799999999995</v>
      </c>
      <c r="AH192" s="22">
        <v>238.864</v>
      </c>
      <c r="AI192" s="22">
        <v>-1.67999E-2</v>
      </c>
      <c r="AJ192" s="22">
        <v>182</v>
      </c>
      <c r="AK192" s="22">
        <v>0.81542999999999999</v>
      </c>
      <c r="AL192">
        <f t="shared" si="30"/>
        <v>16.799900000000001</v>
      </c>
      <c r="AM192">
        <f t="shared" si="31"/>
        <v>13.7170847502</v>
      </c>
      <c r="AP192" s="9"/>
      <c r="AQ192" s="22">
        <v>0.93353299999999995</v>
      </c>
      <c r="AR192" s="22">
        <v>291.28100000000001</v>
      </c>
      <c r="AS192" s="22">
        <v>-1.67023E-2</v>
      </c>
      <c r="AT192" s="22">
        <v>182</v>
      </c>
      <c r="AU192" s="22">
        <v>0.93261700000000003</v>
      </c>
      <c r="AV192">
        <f t="shared" si="32"/>
        <v>16.702300000000001</v>
      </c>
      <c r="AW192">
        <f t="shared" si="33"/>
        <v>15.592148225900001</v>
      </c>
      <c r="AX192" s="9"/>
      <c r="AY192" s="22">
        <v>0.81649799999999995</v>
      </c>
      <c r="AZ192" s="22">
        <v>370.51100000000002</v>
      </c>
      <c r="BA192" s="22">
        <v>-1.6467300000000001E-2</v>
      </c>
      <c r="BB192" s="22">
        <v>182</v>
      </c>
      <c r="BC192" s="22">
        <v>0.81603999999999999</v>
      </c>
      <c r="BD192">
        <f t="shared" si="34"/>
        <v>16.467300000000002</v>
      </c>
      <c r="BE192">
        <f t="shared" si="35"/>
        <v>13.445517515400001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42.079900000000002</v>
      </c>
      <c r="I193" s="22">
        <v>-1.69067E-2</v>
      </c>
      <c r="J193" s="22">
        <v>183</v>
      </c>
      <c r="K193" s="22">
        <v>0.92712399999999995</v>
      </c>
      <c r="L193">
        <f t="shared" si="24"/>
        <v>16.906700000000001</v>
      </c>
      <c r="M193">
        <f t="shared" si="25"/>
        <v>15.697820229900001</v>
      </c>
      <c r="N193" s="9"/>
      <c r="O193" s="22">
        <v>0.82153299999999996</v>
      </c>
      <c r="P193" s="22">
        <v>97.475700000000003</v>
      </c>
      <c r="Q193" s="22">
        <v>-1.7022700000000002E-2</v>
      </c>
      <c r="R193" s="22">
        <v>183</v>
      </c>
      <c r="S193" s="22">
        <v>0.82061799999999996</v>
      </c>
      <c r="T193">
        <f t="shared" si="26"/>
        <v>17.0227</v>
      </c>
      <c r="U193">
        <f t="shared" si="27"/>
        <v>13.984709799099999</v>
      </c>
      <c r="X193" s="9"/>
      <c r="Y193" s="22">
        <v>0.92849700000000002</v>
      </c>
      <c r="Z193" s="22">
        <v>159.43299999999999</v>
      </c>
      <c r="AA193" s="22">
        <v>-1.6922E-2</v>
      </c>
      <c r="AB193" s="22">
        <v>183</v>
      </c>
      <c r="AC193" s="22">
        <v>0.92773399999999995</v>
      </c>
      <c r="AD193">
        <f t="shared" si="28"/>
        <v>16.922000000000001</v>
      </c>
      <c r="AE193">
        <f t="shared" si="29"/>
        <v>15.712026234000001</v>
      </c>
      <c r="AF193" s="9"/>
      <c r="AG193" s="22">
        <v>0.82153299999999996</v>
      </c>
      <c r="AH193" s="22">
        <v>238.965</v>
      </c>
      <c r="AI193" s="22">
        <v>-1.6747999999999999E-2</v>
      </c>
      <c r="AJ193" s="22">
        <v>183</v>
      </c>
      <c r="AK193" s="22">
        <v>0.82092299999999996</v>
      </c>
      <c r="AL193">
        <f t="shared" si="30"/>
        <v>16.747999999999998</v>
      </c>
      <c r="AM193">
        <f t="shared" si="31"/>
        <v>13.759034683999998</v>
      </c>
      <c r="AP193" s="9"/>
      <c r="AQ193" s="22">
        <v>0.92849700000000002</v>
      </c>
      <c r="AR193" s="22">
        <v>291.38200000000001</v>
      </c>
      <c r="AS193" s="22">
        <v>-1.67023E-2</v>
      </c>
      <c r="AT193" s="22">
        <v>183</v>
      </c>
      <c r="AU193" s="22">
        <v>0.92773399999999995</v>
      </c>
      <c r="AV193">
        <f t="shared" si="32"/>
        <v>16.702300000000001</v>
      </c>
      <c r="AW193">
        <f t="shared" si="33"/>
        <v>15.508035443100001</v>
      </c>
      <c r="AX193" s="9"/>
      <c r="AY193" s="22">
        <v>0.82153299999999996</v>
      </c>
      <c r="AZ193" s="22">
        <v>370.61200000000002</v>
      </c>
      <c r="BA193" s="22">
        <v>-1.6476399999999999E-2</v>
      </c>
      <c r="BB193" s="22">
        <v>183</v>
      </c>
      <c r="BC193" s="22">
        <v>0.82061799999999996</v>
      </c>
      <c r="BD193">
        <f t="shared" si="34"/>
        <v>16.476399999999998</v>
      </c>
      <c r="BE193">
        <f t="shared" si="35"/>
        <v>13.535906321199997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42.180599999999998</v>
      </c>
      <c r="I194" s="22">
        <v>-1.6918900000000001E-2</v>
      </c>
      <c r="J194" s="22">
        <v>184</v>
      </c>
      <c r="K194" s="22">
        <v>0.92254599999999998</v>
      </c>
      <c r="L194">
        <f t="shared" si="24"/>
        <v>16.918900000000001</v>
      </c>
      <c r="M194">
        <f t="shared" si="25"/>
        <v>15.623961231800001</v>
      </c>
      <c r="N194" s="9"/>
      <c r="O194" s="22">
        <v>0.826569</v>
      </c>
      <c r="P194" s="22">
        <v>97.576400000000007</v>
      </c>
      <c r="Q194" s="22">
        <v>-1.7034899999999999E-2</v>
      </c>
      <c r="R194" s="22">
        <v>184</v>
      </c>
      <c r="S194" s="22">
        <v>0.82580600000000004</v>
      </c>
      <c r="T194">
        <f t="shared" si="26"/>
        <v>17.0349</v>
      </c>
      <c r="U194">
        <f t="shared" si="27"/>
        <v>14.0805202581</v>
      </c>
      <c r="X194" s="9"/>
      <c r="Y194" s="22">
        <v>0.92346200000000001</v>
      </c>
      <c r="Z194" s="22">
        <v>159.53299999999999</v>
      </c>
      <c r="AA194" s="22">
        <v>-1.6924999999999999E-2</v>
      </c>
      <c r="AB194" s="22">
        <v>184</v>
      </c>
      <c r="AC194" s="22">
        <v>0.92285200000000001</v>
      </c>
      <c r="AD194">
        <f t="shared" si="28"/>
        <v>16.925000000000001</v>
      </c>
      <c r="AE194">
        <f t="shared" si="29"/>
        <v>15.629594350000001</v>
      </c>
      <c r="AF194" s="9"/>
      <c r="AG194" s="22">
        <v>0.826569</v>
      </c>
      <c r="AH194" s="22">
        <v>239.066</v>
      </c>
      <c r="AI194" s="22">
        <v>-1.6720599999999999E-2</v>
      </c>
      <c r="AJ194" s="22">
        <v>184</v>
      </c>
      <c r="AK194" s="22">
        <v>0.82580600000000004</v>
      </c>
      <c r="AL194">
        <f t="shared" si="30"/>
        <v>16.720599999999997</v>
      </c>
      <c r="AM194">
        <f t="shared" si="31"/>
        <v>13.820729621399998</v>
      </c>
      <c r="AP194" s="9"/>
      <c r="AQ194" s="22">
        <v>0.92346200000000001</v>
      </c>
      <c r="AR194" s="22">
        <v>291.48200000000003</v>
      </c>
      <c r="AS194" s="22">
        <v>-1.6684000000000001E-2</v>
      </c>
      <c r="AT194" s="22">
        <v>184</v>
      </c>
      <c r="AU194" s="22">
        <v>0.92315700000000001</v>
      </c>
      <c r="AV194">
        <f t="shared" si="32"/>
        <v>16.684000000000001</v>
      </c>
      <c r="AW194">
        <f t="shared" si="33"/>
        <v>15.407040008000001</v>
      </c>
      <c r="AX194" s="9"/>
      <c r="AY194" s="22">
        <v>0.826569</v>
      </c>
      <c r="AZ194" s="22">
        <v>370.71300000000002</v>
      </c>
      <c r="BA194" s="22">
        <v>-1.6491700000000001E-2</v>
      </c>
      <c r="BB194" s="22">
        <v>184</v>
      </c>
      <c r="BC194" s="22">
        <v>0.82550000000000001</v>
      </c>
      <c r="BD194">
        <f t="shared" si="34"/>
        <v>16.491700000000002</v>
      </c>
      <c r="BE194">
        <f t="shared" si="35"/>
        <v>13.631527977300001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42.281300000000002</v>
      </c>
      <c r="I195" s="22">
        <v>-1.6922E-2</v>
      </c>
      <c r="J195" s="22">
        <v>185</v>
      </c>
      <c r="K195" s="22">
        <v>0.91705300000000001</v>
      </c>
      <c r="L195">
        <f t="shared" si="24"/>
        <v>16.922000000000001</v>
      </c>
      <c r="M195">
        <f t="shared" si="25"/>
        <v>15.541621694</v>
      </c>
      <c r="N195" s="9"/>
      <c r="O195" s="22">
        <v>0.83160400000000001</v>
      </c>
      <c r="P195" s="22">
        <v>97.677099999999996</v>
      </c>
      <c r="Q195" s="22">
        <v>-1.70013E-2</v>
      </c>
      <c r="R195" s="22">
        <v>185</v>
      </c>
      <c r="S195" s="22">
        <v>0.83099400000000001</v>
      </c>
      <c r="T195">
        <f t="shared" si="26"/>
        <v>17.001300000000001</v>
      </c>
      <c r="U195">
        <f t="shared" si="27"/>
        <v>14.1383490852</v>
      </c>
      <c r="X195" s="9"/>
      <c r="Y195" s="22">
        <v>0.91842699999999999</v>
      </c>
      <c r="Z195" s="22">
        <v>159.63399999999999</v>
      </c>
      <c r="AA195" s="22">
        <v>-1.6918900000000001E-2</v>
      </c>
      <c r="AB195" s="22">
        <v>185</v>
      </c>
      <c r="AC195" s="22">
        <v>0.91735800000000001</v>
      </c>
      <c r="AD195">
        <f t="shared" si="28"/>
        <v>16.918900000000001</v>
      </c>
      <c r="AE195">
        <f t="shared" si="29"/>
        <v>15.538774570300001</v>
      </c>
      <c r="AF195" s="9"/>
      <c r="AG195" s="22">
        <v>0.83160400000000001</v>
      </c>
      <c r="AH195" s="22">
        <v>239.166</v>
      </c>
      <c r="AI195" s="22">
        <v>-1.6744999999999999E-2</v>
      </c>
      <c r="AJ195" s="22">
        <v>185</v>
      </c>
      <c r="AK195" s="22">
        <v>0.83038299999999998</v>
      </c>
      <c r="AL195">
        <f t="shared" si="30"/>
        <v>16.745000000000001</v>
      </c>
      <c r="AM195">
        <f t="shared" si="31"/>
        <v>13.925208980000001</v>
      </c>
      <c r="AP195" s="9"/>
      <c r="AQ195" s="22">
        <v>0.91842699999999999</v>
      </c>
      <c r="AR195" s="22">
        <v>291.58300000000003</v>
      </c>
      <c r="AS195" s="22">
        <v>-1.6656500000000001E-2</v>
      </c>
      <c r="AT195" s="22">
        <v>185</v>
      </c>
      <c r="AU195" s="22">
        <v>0.91796900000000003</v>
      </c>
      <c r="AV195">
        <f t="shared" si="32"/>
        <v>16.656500000000001</v>
      </c>
      <c r="AW195">
        <f t="shared" si="33"/>
        <v>15.297779325500001</v>
      </c>
      <c r="AX195" s="9"/>
      <c r="AY195" s="22">
        <v>0.83160400000000001</v>
      </c>
      <c r="AZ195" s="22">
        <v>370.81299999999999</v>
      </c>
      <c r="BA195" s="22">
        <v>-1.6522200000000001E-2</v>
      </c>
      <c r="BB195" s="22">
        <v>185</v>
      </c>
      <c r="BC195" s="22">
        <v>0.83129900000000001</v>
      </c>
      <c r="BD195">
        <f t="shared" si="34"/>
        <v>16.522200000000002</v>
      </c>
      <c r="BE195">
        <f t="shared" si="35"/>
        <v>13.739927608800002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42.381999999999998</v>
      </c>
      <c r="I196" s="22">
        <v>-1.6922E-2</v>
      </c>
      <c r="J196" s="22">
        <v>186</v>
      </c>
      <c r="K196" s="22">
        <v>0.91308599999999995</v>
      </c>
      <c r="L196">
        <f t="shared" si="24"/>
        <v>16.922000000000001</v>
      </c>
      <c r="M196">
        <f t="shared" si="25"/>
        <v>15.456402502</v>
      </c>
      <c r="N196" s="9"/>
      <c r="O196" s="22">
        <v>0.83663900000000002</v>
      </c>
      <c r="P196" s="22">
        <v>97.777799999999999</v>
      </c>
      <c r="Q196" s="22">
        <v>-1.6998300000000001E-2</v>
      </c>
      <c r="R196" s="22">
        <v>186</v>
      </c>
      <c r="S196" s="22">
        <v>0.83648699999999998</v>
      </c>
      <c r="T196">
        <f t="shared" si="26"/>
        <v>16.9983</v>
      </c>
      <c r="U196">
        <f t="shared" si="27"/>
        <v>14.2214407137</v>
      </c>
      <c r="X196" s="9"/>
      <c r="Y196" s="22">
        <v>0.91339099999999995</v>
      </c>
      <c r="Z196" s="22">
        <v>159.73500000000001</v>
      </c>
      <c r="AA196" s="22">
        <v>-1.6918900000000001E-2</v>
      </c>
      <c r="AB196" s="22">
        <v>186</v>
      </c>
      <c r="AC196" s="22">
        <v>0.91278099999999995</v>
      </c>
      <c r="AD196">
        <f t="shared" si="28"/>
        <v>16.918900000000001</v>
      </c>
      <c r="AE196">
        <f t="shared" si="29"/>
        <v>15.453570989899999</v>
      </c>
      <c r="AF196" s="9"/>
      <c r="AG196" s="22">
        <v>0.83663900000000002</v>
      </c>
      <c r="AH196" s="22">
        <v>239.267</v>
      </c>
      <c r="AI196" s="22">
        <v>-1.67572E-2</v>
      </c>
      <c r="AJ196" s="22">
        <v>186</v>
      </c>
      <c r="AK196" s="22">
        <v>0.83526599999999995</v>
      </c>
      <c r="AL196">
        <f t="shared" si="30"/>
        <v>16.757200000000001</v>
      </c>
      <c r="AM196">
        <f t="shared" si="31"/>
        <v>14.019727050800002</v>
      </c>
      <c r="AP196" s="9"/>
      <c r="AQ196" s="22">
        <v>0.91339099999999995</v>
      </c>
      <c r="AR196" s="22">
        <v>291.68400000000003</v>
      </c>
      <c r="AS196" s="22">
        <v>-1.6690099999999999E-2</v>
      </c>
      <c r="AT196" s="22">
        <v>186</v>
      </c>
      <c r="AU196" s="22">
        <v>0.91247599999999995</v>
      </c>
      <c r="AV196">
        <f t="shared" si="32"/>
        <v>16.690100000000001</v>
      </c>
      <c r="AW196">
        <f t="shared" si="33"/>
        <v>15.244587129100001</v>
      </c>
      <c r="AX196" s="9"/>
      <c r="AY196" s="22">
        <v>0.83663900000000002</v>
      </c>
      <c r="AZ196" s="22">
        <v>370.91399999999999</v>
      </c>
      <c r="BA196" s="22">
        <v>-1.6528299999999999E-2</v>
      </c>
      <c r="BB196" s="22">
        <v>186</v>
      </c>
      <c r="BC196" s="22">
        <v>0.83557099999999995</v>
      </c>
      <c r="BD196">
        <f t="shared" si="34"/>
        <v>16.528299999999998</v>
      </c>
      <c r="BE196">
        <f t="shared" si="35"/>
        <v>13.828220383699998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42.482700000000001</v>
      </c>
      <c r="I197" s="22">
        <v>-1.6922E-2</v>
      </c>
      <c r="J197" s="22">
        <v>187</v>
      </c>
      <c r="K197" s="22">
        <v>0.90759299999999998</v>
      </c>
      <c r="L197">
        <f t="shared" si="24"/>
        <v>16.922000000000001</v>
      </c>
      <c r="M197">
        <f t="shared" si="25"/>
        <v>15.371200232000001</v>
      </c>
      <c r="N197" s="9"/>
      <c r="O197" s="22">
        <v>0.84167499999999995</v>
      </c>
      <c r="P197" s="22">
        <v>97.878500000000003</v>
      </c>
      <c r="Q197" s="22">
        <v>-1.6998300000000001E-2</v>
      </c>
      <c r="R197" s="22">
        <v>187</v>
      </c>
      <c r="S197" s="22">
        <v>0.84167499999999995</v>
      </c>
      <c r="T197">
        <f t="shared" si="26"/>
        <v>16.9983</v>
      </c>
      <c r="U197">
        <f t="shared" si="27"/>
        <v>14.3070441525</v>
      </c>
      <c r="X197" s="9"/>
      <c r="Y197" s="22">
        <v>0.90835600000000005</v>
      </c>
      <c r="Z197" s="22">
        <v>159.83600000000001</v>
      </c>
      <c r="AA197" s="22">
        <v>-1.6937299999999999E-2</v>
      </c>
      <c r="AB197" s="22">
        <v>187</v>
      </c>
      <c r="AC197" s="22">
        <v>0.90728799999999998</v>
      </c>
      <c r="AD197">
        <f t="shared" si="28"/>
        <v>16.9373</v>
      </c>
      <c r="AE197">
        <f t="shared" si="29"/>
        <v>15.3850980788</v>
      </c>
      <c r="AF197" s="9"/>
      <c r="AG197" s="22">
        <v>0.84167499999999995</v>
      </c>
      <c r="AH197" s="22">
        <v>239.36799999999999</v>
      </c>
      <c r="AI197" s="22">
        <v>-1.6720599999999999E-2</v>
      </c>
      <c r="AJ197" s="22">
        <v>187</v>
      </c>
      <c r="AK197" s="22">
        <v>0.84045400000000003</v>
      </c>
      <c r="AL197">
        <f t="shared" si="30"/>
        <v>16.720599999999997</v>
      </c>
      <c r="AM197">
        <f t="shared" si="31"/>
        <v>14.073311004999997</v>
      </c>
      <c r="AP197" s="9"/>
      <c r="AQ197" s="22">
        <v>0.90835600000000005</v>
      </c>
      <c r="AR197" s="22">
        <v>291.78500000000003</v>
      </c>
      <c r="AS197" s="22">
        <v>-1.6690099999999999E-2</v>
      </c>
      <c r="AT197" s="22">
        <v>187</v>
      </c>
      <c r="AU197" s="22">
        <v>0.90759299999999998</v>
      </c>
      <c r="AV197">
        <f t="shared" si="32"/>
        <v>16.690100000000001</v>
      </c>
      <c r="AW197">
        <f t="shared" si="33"/>
        <v>15.160552475600001</v>
      </c>
      <c r="AX197" s="9"/>
      <c r="AY197" s="22">
        <v>0.84167499999999995</v>
      </c>
      <c r="AZ197" s="22">
        <v>371.01499999999999</v>
      </c>
      <c r="BA197" s="22">
        <v>-1.65527E-2</v>
      </c>
      <c r="BB197" s="22">
        <v>187</v>
      </c>
      <c r="BC197" s="22">
        <v>0.84075900000000003</v>
      </c>
      <c r="BD197">
        <f t="shared" si="34"/>
        <v>16.552700000000002</v>
      </c>
      <c r="BE197">
        <f t="shared" si="35"/>
        <v>13.9319937725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42.583399999999997</v>
      </c>
      <c r="I198" s="22">
        <v>-1.6928100000000001E-2</v>
      </c>
      <c r="J198" s="22">
        <v>188</v>
      </c>
      <c r="K198" s="22">
        <v>0.90240500000000001</v>
      </c>
      <c r="L198">
        <f t="shared" si="24"/>
        <v>16.928100000000001</v>
      </c>
      <c r="M198">
        <f t="shared" si="25"/>
        <v>15.291491292</v>
      </c>
      <c r="N198" s="9"/>
      <c r="O198" s="22">
        <v>0.84670999999999996</v>
      </c>
      <c r="P198" s="22">
        <v>97.979299999999995</v>
      </c>
      <c r="Q198" s="22">
        <v>-1.6983000000000002E-2</v>
      </c>
      <c r="R198" s="22">
        <v>188</v>
      </c>
      <c r="S198" s="22">
        <v>0.845642</v>
      </c>
      <c r="T198">
        <f t="shared" si="26"/>
        <v>16.983000000000001</v>
      </c>
      <c r="U198">
        <f t="shared" si="27"/>
        <v>14.379675929999999</v>
      </c>
      <c r="X198" s="9"/>
      <c r="Y198" s="22">
        <v>0.90332000000000001</v>
      </c>
      <c r="Z198" s="22">
        <v>159.93600000000001</v>
      </c>
      <c r="AA198" s="22">
        <v>-1.6909799999999999E-2</v>
      </c>
      <c r="AB198" s="22">
        <v>188</v>
      </c>
      <c r="AC198" s="22">
        <v>0.90240500000000001</v>
      </c>
      <c r="AD198">
        <f t="shared" si="28"/>
        <v>16.909800000000001</v>
      </c>
      <c r="AE198">
        <f t="shared" si="29"/>
        <v>15.274960536</v>
      </c>
      <c r="AF198" s="9"/>
      <c r="AG198" s="22">
        <v>0.84670999999999996</v>
      </c>
      <c r="AH198" s="22">
        <v>239.46899999999999</v>
      </c>
      <c r="AI198" s="22">
        <v>-1.6741900000000001E-2</v>
      </c>
      <c r="AJ198" s="22">
        <v>188</v>
      </c>
      <c r="AK198" s="22">
        <v>0.845642</v>
      </c>
      <c r="AL198">
        <f t="shared" si="30"/>
        <v>16.741900000000001</v>
      </c>
      <c r="AM198">
        <f t="shared" si="31"/>
        <v>14.175534149000001</v>
      </c>
      <c r="AP198" s="9"/>
      <c r="AQ198" s="22">
        <v>0.90332000000000001</v>
      </c>
      <c r="AR198" s="22">
        <v>291.88499999999999</v>
      </c>
      <c r="AS198" s="22">
        <v>-1.6680899999999999E-2</v>
      </c>
      <c r="AT198" s="22">
        <v>188</v>
      </c>
      <c r="AU198" s="22">
        <v>0.90148899999999998</v>
      </c>
      <c r="AV198">
        <f t="shared" si="32"/>
        <v>16.680899999999998</v>
      </c>
      <c r="AW198">
        <f t="shared" si="33"/>
        <v>15.068190587999998</v>
      </c>
      <c r="AX198" s="9"/>
      <c r="AY198" s="22">
        <v>0.84670999999999996</v>
      </c>
      <c r="AZ198" s="22">
        <v>371.11599999999999</v>
      </c>
      <c r="BA198" s="22">
        <v>-1.6531400000000002E-2</v>
      </c>
      <c r="BB198" s="22">
        <v>188</v>
      </c>
      <c r="BC198" s="22">
        <v>0.845642</v>
      </c>
      <c r="BD198">
        <f t="shared" si="34"/>
        <v>16.531400000000001</v>
      </c>
      <c r="BE198">
        <f t="shared" si="35"/>
        <v>13.997301694000001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42.684100000000001</v>
      </c>
      <c r="I199" s="22">
        <v>-1.6915900000000001E-2</v>
      </c>
      <c r="J199" s="22">
        <v>189</v>
      </c>
      <c r="K199" s="22">
        <v>0.89843799999999996</v>
      </c>
      <c r="L199">
        <f t="shared" si="24"/>
        <v>16.915900000000001</v>
      </c>
      <c r="M199">
        <f t="shared" si="25"/>
        <v>15.1952992315</v>
      </c>
      <c r="N199" s="9"/>
      <c r="O199" s="22">
        <v>0.851746</v>
      </c>
      <c r="P199" s="22">
        <v>98.08</v>
      </c>
      <c r="Q199" s="22">
        <v>-1.7007399999999999E-2</v>
      </c>
      <c r="R199" s="22">
        <v>189</v>
      </c>
      <c r="S199" s="22">
        <v>0.85082999999999998</v>
      </c>
      <c r="T199">
        <f t="shared" si="26"/>
        <v>17.007400000000001</v>
      </c>
      <c r="U199">
        <f t="shared" si="27"/>
        <v>14.4859849204</v>
      </c>
      <c r="X199" s="9"/>
      <c r="Y199" s="22">
        <v>0.898285</v>
      </c>
      <c r="Z199" s="22">
        <v>160.03700000000001</v>
      </c>
      <c r="AA199" s="22">
        <v>-1.6912799999999999E-2</v>
      </c>
      <c r="AB199" s="22">
        <v>189</v>
      </c>
      <c r="AC199" s="22">
        <v>0.89691200000000004</v>
      </c>
      <c r="AD199">
        <f t="shared" si="28"/>
        <v>16.912799999999997</v>
      </c>
      <c r="AE199">
        <f t="shared" si="29"/>
        <v>15.192514547999998</v>
      </c>
      <c r="AF199" s="9"/>
      <c r="AG199" s="22">
        <v>0.851746</v>
      </c>
      <c r="AH199" s="22">
        <v>239.56899999999999</v>
      </c>
      <c r="AI199" s="22">
        <v>-1.6790800000000002E-2</v>
      </c>
      <c r="AJ199" s="22">
        <v>189</v>
      </c>
      <c r="AK199" s="22">
        <v>0.85113499999999997</v>
      </c>
      <c r="AL199">
        <f t="shared" si="30"/>
        <v>16.790800000000001</v>
      </c>
      <c r="AM199">
        <f t="shared" si="31"/>
        <v>14.301496736800001</v>
      </c>
      <c r="AP199" s="9"/>
      <c r="AQ199" s="22">
        <v>0.898285</v>
      </c>
      <c r="AR199" s="22">
        <v>291.98599999999999</v>
      </c>
      <c r="AS199" s="22">
        <v>-1.6687E-2</v>
      </c>
      <c r="AT199" s="22">
        <v>189</v>
      </c>
      <c r="AU199" s="22">
        <v>0.89721700000000004</v>
      </c>
      <c r="AV199">
        <f t="shared" si="32"/>
        <v>16.687000000000001</v>
      </c>
      <c r="AW199">
        <f t="shared" si="33"/>
        <v>14.989681795000001</v>
      </c>
      <c r="AX199" s="9"/>
      <c r="AY199" s="22">
        <v>0.851746</v>
      </c>
      <c r="AZ199" s="22">
        <v>371.21600000000001</v>
      </c>
      <c r="BA199" s="22">
        <v>-1.64948E-2</v>
      </c>
      <c r="BB199" s="22">
        <v>189</v>
      </c>
      <c r="BC199" s="22">
        <v>0.85113499999999997</v>
      </c>
      <c r="BD199">
        <f t="shared" si="34"/>
        <v>16.494800000000001</v>
      </c>
      <c r="BE199">
        <f t="shared" si="35"/>
        <v>14.049379920800002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42.784799999999997</v>
      </c>
      <c r="I200" s="22">
        <v>-1.6928100000000001E-2</v>
      </c>
      <c r="J200" s="22">
        <v>190</v>
      </c>
      <c r="K200" s="22">
        <v>0.89233399999999996</v>
      </c>
      <c r="L200">
        <f t="shared" si="24"/>
        <v>16.928100000000001</v>
      </c>
      <c r="M200">
        <f t="shared" si="25"/>
        <v>15.121025325</v>
      </c>
      <c r="N200" s="9"/>
      <c r="O200" s="22">
        <v>0.85678100000000001</v>
      </c>
      <c r="P200" s="22">
        <v>98.180700000000002</v>
      </c>
      <c r="Q200" s="22">
        <v>-1.7004399999999999E-2</v>
      </c>
      <c r="R200" s="22">
        <v>190</v>
      </c>
      <c r="S200" s="22">
        <v>0.85632299999999995</v>
      </c>
      <c r="T200">
        <f t="shared" si="26"/>
        <v>17.0044</v>
      </c>
      <c r="U200">
        <f t="shared" si="27"/>
        <v>14.5690468364</v>
      </c>
      <c r="X200" s="9"/>
      <c r="Y200" s="22">
        <v>0.89324999999999999</v>
      </c>
      <c r="Z200" s="22">
        <v>160.13800000000001</v>
      </c>
      <c r="AA200" s="22">
        <v>-1.6912799999999999E-2</v>
      </c>
      <c r="AB200" s="22">
        <v>190</v>
      </c>
      <c r="AC200" s="22">
        <v>0.89263899999999996</v>
      </c>
      <c r="AD200">
        <f t="shared" si="28"/>
        <v>16.912799999999997</v>
      </c>
      <c r="AE200">
        <f t="shared" si="29"/>
        <v>15.107358599999998</v>
      </c>
      <c r="AF200" s="9"/>
      <c r="AG200" s="22">
        <v>0.85678100000000001</v>
      </c>
      <c r="AH200" s="22">
        <v>239.67</v>
      </c>
      <c r="AI200" s="22">
        <v>-1.67694E-2</v>
      </c>
      <c r="AJ200" s="22">
        <v>190</v>
      </c>
      <c r="AK200" s="22">
        <v>0.85601799999999995</v>
      </c>
      <c r="AL200">
        <f t="shared" si="30"/>
        <v>16.769400000000001</v>
      </c>
      <c r="AM200">
        <f t="shared" si="31"/>
        <v>14.367703301400001</v>
      </c>
      <c r="AP200" s="9"/>
      <c r="AQ200" s="22">
        <v>0.89324999999999999</v>
      </c>
      <c r="AR200" s="22">
        <v>292.08699999999999</v>
      </c>
      <c r="AS200" s="22">
        <v>-1.6735799999999999E-2</v>
      </c>
      <c r="AT200" s="22">
        <v>190</v>
      </c>
      <c r="AU200" s="22">
        <v>0.89202899999999996</v>
      </c>
      <c r="AV200">
        <f t="shared" si="32"/>
        <v>16.735799999999998</v>
      </c>
      <c r="AW200">
        <f t="shared" si="33"/>
        <v>14.949253349999998</v>
      </c>
      <c r="AX200" s="9"/>
      <c r="AY200" s="22">
        <v>0.85678100000000001</v>
      </c>
      <c r="AZ200" s="22">
        <v>371.31700000000001</v>
      </c>
      <c r="BA200" s="22">
        <v>-1.651E-2</v>
      </c>
      <c r="BB200" s="22">
        <v>190</v>
      </c>
      <c r="BC200" s="22">
        <v>0.85601799999999995</v>
      </c>
      <c r="BD200">
        <f t="shared" si="34"/>
        <v>16.510000000000002</v>
      </c>
      <c r="BE200">
        <f t="shared" si="35"/>
        <v>14.145454310000002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42.8855</v>
      </c>
      <c r="I201" s="22">
        <v>-1.6952499999999999E-2</v>
      </c>
      <c r="J201" s="22">
        <v>191</v>
      </c>
      <c r="K201" s="22">
        <v>0.88714599999999999</v>
      </c>
      <c r="L201">
        <f t="shared" si="24"/>
        <v>16.952500000000001</v>
      </c>
      <c r="M201">
        <f t="shared" si="25"/>
        <v>15.057447835</v>
      </c>
      <c r="N201" s="9"/>
      <c r="O201" s="22">
        <v>0.86181600000000003</v>
      </c>
      <c r="P201" s="22">
        <v>98.281400000000005</v>
      </c>
      <c r="Q201" s="22">
        <v>-1.7019699999999999E-2</v>
      </c>
      <c r="R201" s="22">
        <v>191</v>
      </c>
      <c r="S201" s="22">
        <v>0.86120600000000003</v>
      </c>
      <c r="T201">
        <f t="shared" si="26"/>
        <v>17.0197</v>
      </c>
      <c r="U201">
        <f t="shared" si="27"/>
        <v>14.667849775200001</v>
      </c>
      <c r="X201" s="9"/>
      <c r="Y201" s="22">
        <v>0.88821399999999995</v>
      </c>
      <c r="Z201" s="22">
        <v>160.238</v>
      </c>
      <c r="AA201" s="22">
        <v>-1.69342E-2</v>
      </c>
      <c r="AB201" s="22">
        <v>191</v>
      </c>
      <c r="AC201" s="22">
        <v>0.88775599999999999</v>
      </c>
      <c r="AD201">
        <f t="shared" si="28"/>
        <v>16.934200000000001</v>
      </c>
      <c r="AE201">
        <f t="shared" si="29"/>
        <v>15.0411935188</v>
      </c>
      <c r="AF201" s="9"/>
      <c r="AG201" s="22">
        <v>0.86181600000000003</v>
      </c>
      <c r="AH201" s="22">
        <v>239.77099999999999</v>
      </c>
      <c r="AI201" s="22">
        <v>-1.6763299999999998E-2</v>
      </c>
      <c r="AJ201" s="22">
        <v>191</v>
      </c>
      <c r="AK201" s="22">
        <v>0.86151100000000003</v>
      </c>
      <c r="AL201">
        <f t="shared" si="30"/>
        <v>16.763299999999997</v>
      </c>
      <c r="AM201">
        <f t="shared" si="31"/>
        <v>14.446880152799999</v>
      </c>
      <c r="AP201" s="9"/>
      <c r="AQ201" s="22">
        <v>0.88821399999999995</v>
      </c>
      <c r="AR201" s="22">
        <v>292.18700000000001</v>
      </c>
      <c r="AS201" s="22">
        <v>-1.6738900000000001E-2</v>
      </c>
      <c r="AT201" s="22">
        <v>191</v>
      </c>
      <c r="AU201" s="22">
        <v>0.88745099999999999</v>
      </c>
      <c r="AV201">
        <f t="shared" si="32"/>
        <v>16.738900000000001</v>
      </c>
      <c r="AW201">
        <f t="shared" si="33"/>
        <v>14.8677253246</v>
      </c>
      <c r="AX201" s="9"/>
      <c r="AY201" s="22">
        <v>0.86181600000000003</v>
      </c>
      <c r="AZ201" s="22">
        <v>371.41800000000001</v>
      </c>
      <c r="BA201" s="22">
        <v>-1.6488599999999999E-2</v>
      </c>
      <c r="BB201" s="22">
        <v>191</v>
      </c>
      <c r="BC201" s="22">
        <v>0.86120600000000003</v>
      </c>
      <c r="BD201">
        <f t="shared" si="34"/>
        <v>16.488599999999998</v>
      </c>
      <c r="BE201">
        <f t="shared" si="35"/>
        <v>14.2101392976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42.986199999999997</v>
      </c>
      <c r="I202" s="22">
        <v>-1.6958600000000001E-2</v>
      </c>
      <c r="J202" s="22">
        <v>192</v>
      </c>
      <c r="K202" s="22">
        <v>0.88226300000000002</v>
      </c>
      <c r="L202">
        <f t="shared" si="24"/>
        <v>16.958600000000001</v>
      </c>
      <c r="M202">
        <f t="shared" si="25"/>
        <v>14.977479389400001</v>
      </c>
      <c r="N202" s="9"/>
      <c r="O202" s="22">
        <v>0.86685199999999996</v>
      </c>
      <c r="P202" s="22">
        <v>98.382099999999994</v>
      </c>
      <c r="Q202" s="22">
        <v>-1.7025800000000001E-2</v>
      </c>
      <c r="R202" s="22">
        <v>192</v>
      </c>
      <c r="S202" s="22">
        <v>0.866089</v>
      </c>
      <c r="T202">
        <f t="shared" si="26"/>
        <v>17.0258</v>
      </c>
      <c r="U202">
        <f t="shared" si="27"/>
        <v>14.758848781599999</v>
      </c>
      <c r="X202" s="9"/>
      <c r="Y202" s="22">
        <v>0.88317900000000005</v>
      </c>
      <c r="Z202" s="22">
        <v>160.339</v>
      </c>
      <c r="AA202" s="22">
        <v>-1.6937299999999999E-2</v>
      </c>
      <c r="AB202" s="22">
        <v>192</v>
      </c>
      <c r="AC202" s="22">
        <v>0.88165300000000002</v>
      </c>
      <c r="AD202">
        <f t="shared" si="28"/>
        <v>16.9373</v>
      </c>
      <c r="AE202">
        <f t="shared" si="29"/>
        <v>14.958667676700001</v>
      </c>
      <c r="AF202" s="9"/>
      <c r="AG202" s="22">
        <v>0.86685199999999996</v>
      </c>
      <c r="AH202" s="22">
        <v>239.87100000000001</v>
      </c>
      <c r="AI202" s="22">
        <v>-1.6760299999999999E-2</v>
      </c>
      <c r="AJ202" s="22">
        <v>192</v>
      </c>
      <c r="AK202" s="22">
        <v>0.866089</v>
      </c>
      <c r="AL202">
        <f t="shared" si="30"/>
        <v>16.760299999999997</v>
      </c>
      <c r="AM202">
        <f t="shared" si="31"/>
        <v>14.528699575599997</v>
      </c>
      <c r="AP202" s="9"/>
      <c r="AQ202" s="22">
        <v>0.88317900000000005</v>
      </c>
      <c r="AR202" s="22">
        <v>292.28800000000001</v>
      </c>
      <c r="AS202" s="22">
        <v>-1.67297E-2</v>
      </c>
      <c r="AT202" s="22">
        <v>192</v>
      </c>
      <c r="AU202" s="22">
        <v>0.88226300000000002</v>
      </c>
      <c r="AV202">
        <f t="shared" si="32"/>
        <v>16.729700000000001</v>
      </c>
      <c r="AW202">
        <f t="shared" si="33"/>
        <v>14.775319716300002</v>
      </c>
      <c r="AX202" s="9"/>
      <c r="AY202" s="22">
        <v>0.86685199999999996</v>
      </c>
      <c r="AZ202" s="22">
        <v>371.51799999999997</v>
      </c>
      <c r="BA202" s="22">
        <v>-1.64856E-2</v>
      </c>
      <c r="BB202" s="22">
        <v>192</v>
      </c>
      <c r="BC202" s="22">
        <v>0.866089</v>
      </c>
      <c r="BD202">
        <f t="shared" si="34"/>
        <v>16.485599999999998</v>
      </c>
      <c r="BE202">
        <f t="shared" si="35"/>
        <v>14.290575331199998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43.0869</v>
      </c>
      <c r="I203" s="22">
        <v>-1.6955600000000001E-2</v>
      </c>
      <c r="J203" s="22">
        <v>193</v>
      </c>
      <c r="K203" s="22">
        <v>0.87738000000000005</v>
      </c>
      <c r="L203">
        <f t="shared" si="24"/>
        <v>16.9556</v>
      </c>
      <c r="M203">
        <f t="shared" si="25"/>
        <v>14.8894414508</v>
      </c>
      <c r="N203" s="9"/>
      <c r="O203" s="22">
        <v>0.87188699999999997</v>
      </c>
      <c r="P203" s="22">
        <v>98.482799999999997</v>
      </c>
      <c r="Q203" s="22">
        <v>-1.7013500000000001E-2</v>
      </c>
      <c r="R203" s="22">
        <v>193</v>
      </c>
      <c r="S203" s="22">
        <v>0.87097199999999997</v>
      </c>
      <c r="T203">
        <f t="shared" si="26"/>
        <v>17.013500000000001</v>
      </c>
      <c r="U203">
        <f t="shared" si="27"/>
        <v>14.833849474499999</v>
      </c>
      <c r="X203" s="9"/>
      <c r="Y203" s="22">
        <v>0.87814300000000001</v>
      </c>
      <c r="Z203" s="22">
        <v>160.44</v>
      </c>
      <c r="AA203" s="22">
        <v>-1.6928100000000001E-2</v>
      </c>
      <c r="AB203" s="22">
        <v>193</v>
      </c>
      <c r="AC203" s="22">
        <v>0.87707500000000005</v>
      </c>
      <c r="AD203">
        <f t="shared" si="28"/>
        <v>16.928100000000001</v>
      </c>
      <c r="AE203">
        <f t="shared" si="29"/>
        <v>14.8652925183</v>
      </c>
      <c r="AF203" s="9"/>
      <c r="AG203" s="22">
        <v>0.87188699999999997</v>
      </c>
      <c r="AH203" s="22">
        <v>239.97200000000001</v>
      </c>
      <c r="AI203" s="22">
        <v>-1.67694E-2</v>
      </c>
      <c r="AJ203" s="22">
        <v>193</v>
      </c>
      <c r="AK203" s="22">
        <v>0.87127699999999997</v>
      </c>
      <c r="AL203">
        <f t="shared" si="30"/>
        <v>16.769400000000001</v>
      </c>
      <c r="AM203">
        <f t="shared" si="31"/>
        <v>14.621021857800001</v>
      </c>
      <c r="AP203" s="9"/>
      <c r="AQ203" s="22">
        <v>0.87814300000000001</v>
      </c>
      <c r="AR203" s="22">
        <v>292.38900000000001</v>
      </c>
      <c r="AS203" s="22">
        <v>-1.6726700000000001E-2</v>
      </c>
      <c r="AT203" s="22">
        <v>193</v>
      </c>
      <c r="AU203" s="22">
        <v>0.87707500000000005</v>
      </c>
      <c r="AV203">
        <f t="shared" si="32"/>
        <v>16.726700000000001</v>
      </c>
      <c r="AW203">
        <f t="shared" si="33"/>
        <v>14.688434518100001</v>
      </c>
      <c r="AX203" s="9"/>
      <c r="AY203" s="22">
        <v>0.87188699999999997</v>
      </c>
      <c r="AZ203" s="22">
        <v>371.61900000000003</v>
      </c>
      <c r="BA203" s="22">
        <v>-1.6531400000000002E-2</v>
      </c>
      <c r="BB203" s="22">
        <v>193</v>
      </c>
      <c r="BC203" s="22">
        <v>0.87066699999999997</v>
      </c>
      <c r="BD203">
        <f t="shared" si="34"/>
        <v>16.531400000000001</v>
      </c>
      <c r="BE203">
        <f t="shared" si="35"/>
        <v>14.413512751800001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43.1877</v>
      </c>
      <c r="I204" s="22">
        <v>-1.6955600000000001E-2</v>
      </c>
      <c r="J204" s="22">
        <v>194</v>
      </c>
      <c r="K204" s="22">
        <v>0.87188699999999997</v>
      </c>
      <c r="L204">
        <f t="shared" ref="L204:L267" si="36">-I204/$F$2*1000</f>
        <v>16.9556</v>
      </c>
      <c r="M204">
        <f t="shared" ref="M204:M267" si="37">L204*G204</f>
        <v>14.8040700048</v>
      </c>
      <c r="N204" s="9"/>
      <c r="O204" s="22">
        <v>0.87692300000000001</v>
      </c>
      <c r="P204" s="22">
        <v>98.583500000000001</v>
      </c>
      <c r="Q204" s="22">
        <v>-1.7007399999999999E-2</v>
      </c>
      <c r="R204" s="22">
        <v>194</v>
      </c>
      <c r="S204" s="22">
        <v>0.87646500000000005</v>
      </c>
      <c r="T204">
        <f t="shared" ref="T204:T267" si="38">-Q204/$F$2*1000</f>
        <v>17.007400000000001</v>
      </c>
      <c r="U204">
        <f t="shared" ref="U204:U267" si="39">T204*O204</f>
        <v>14.914180230200001</v>
      </c>
      <c r="X204" s="9"/>
      <c r="Y204" s="22">
        <v>0.873108</v>
      </c>
      <c r="Z204" s="22">
        <v>160.54</v>
      </c>
      <c r="AA204" s="22">
        <v>-1.6940299999999998E-2</v>
      </c>
      <c r="AB204" s="22">
        <v>194</v>
      </c>
      <c r="AC204" s="22">
        <v>0.87219199999999997</v>
      </c>
      <c r="AD204">
        <f t="shared" ref="AD204:AD267" si="40">-AA204/$F$2*1000</f>
        <v>16.940299999999997</v>
      </c>
      <c r="AE204">
        <f t="shared" ref="AE204:AE267" si="41">AD204*Y204</f>
        <v>14.790711452399997</v>
      </c>
      <c r="AF204" s="9"/>
      <c r="AG204" s="22">
        <v>0.87692300000000001</v>
      </c>
      <c r="AH204" s="22">
        <v>240.07300000000001</v>
      </c>
      <c r="AI204" s="22">
        <v>-1.67847E-2</v>
      </c>
      <c r="AJ204" s="22">
        <v>194</v>
      </c>
      <c r="AK204" s="22">
        <v>0.87616000000000005</v>
      </c>
      <c r="AL204">
        <f t="shared" ref="AL204:AL267" si="42">-AI204/$F$2*1000</f>
        <v>16.784700000000001</v>
      </c>
      <c r="AM204">
        <f t="shared" ref="AM204:AM267" si="43">AL204*AG204</f>
        <v>14.718889478100001</v>
      </c>
      <c r="AP204" s="9"/>
      <c r="AQ204" s="22">
        <v>0.873108</v>
      </c>
      <c r="AR204" s="22">
        <v>292.49</v>
      </c>
      <c r="AS204" s="22">
        <v>-1.6711400000000001E-2</v>
      </c>
      <c r="AT204" s="22">
        <v>194</v>
      </c>
      <c r="AU204" s="22">
        <v>0.87188699999999997</v>
      </c>
      <c r="AV204">
        <f t="shared" ref="AV204:AV267" si="44">-AS204/$F$2*1000</f>
        <v>16.711400000000001</v>
      </c>
      <c r="AW204">
        <f t="shared" ref="AW204:AW267" si="45">AV204*AQ204</f>
        <v>14.590857031200001</v>
      </c>
      <c r="AX204" s="9"/>
      <c r="AY204" s="22">
        <v>0.87692300000000001</v>
      </c>
      <c r="AZ204" s="22">
        <v>371.72</v>
      </c>
      <c r="BA204" s="22">
        <v>-1.6534400000000001E-2</v>
      </c>
      <c r="BB204" s="22">
        <v>194</v>
      </c>
      <c r="BC204" s="22">
        <v>0.87616000000000005</v>
      </c>
      <c r="BD204">
        <f t="shared" ref="BD204:BD267" si="46">-BA204/$F$2*1000</f>
        <v>16.534400000000002</v>
      </c>
      <c r="BE204">
        <f t="shared" ref="BE204:BE267" si="47">BD204*AY204</f>
        <v>14.499395651200002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43.288400000000003</v>
      </c>
      <c r="I205" s="22">
        <v>-1.6952499999999999E-2</v>
      </c>
      <c r="J205" s="22">
        <v>195</v>
      </c>
      <c r="K205" s="22">
        <v>0.86731000000000003</v>
      </c>
      <c r="L205">
        <f t="shared" si="36"/>
        <v>16.952500000000001</v>
      </c>
      <c r="M205">
        <f t="shared" si="37"/>
        <v>14.716007532500001</v>
      </c>
      <c r="N205" s="9"/>
      <c r="O205" s="22">
        <v>0.88195800000000002</v>
      </c>
      <c r="P205" s="22">
        <v>98.684200000000004</v>
      </c>
      <c r="Q205" s="22">
        <v>-1.70166E-2</v>
      </c>
      <c r="R205" s="22">
        <v>195</v>
      </c>
      <c r="S205" s="22">
        <v>0.88134800000000002</v>
      </c>
      <c r="T205">
        <f t="shared" si="38"/>
        <v>17.0166</v>
      </c>
      <c r="U205">
        <f t="shared" si="39"/>
        <v>15.0079265028</v>
      </c>
      <c r="X205" s="9"/>
      <c r="Y205" s="22">
        <v>0.86807299999999998</v>
      </c>
      <c r="Z205" s="22">
        <v>160.64099999999999</v>
      </c>
      <c r="AA205" s="22">
        <v>-1.6955600000000001E-2</v>
      </c>
      <c r="AB205" s="22">
        <v>195</v>
      </c>
      <c r="AC205" s="22">
        <v>0.86731000000000003</v>
      </c>
      <c r="AD205">
        <f t="shared" si="40"/>
        <v>16.9556</v>
      </c>
      <c r="AE205">
        <f t="shared" si="41"/>
        <v>14.7186985588</v>
      </c>
      <c r="AF205" s="9"/>
      <c r="AG205" s="22">
        <v>0.88195800000000002</v>
      </c>
      <c r="AH205" s="22">
        <v>240.173</v>
      </c>
      <c r="AI205" s="22">
        <v>-1.67969E-2</v>
      </c>
      <c r="AJ205" s="22">
        <v>195</v>
      </c>
      <c r="AK205" s="22">
        <v>0.88134800000000002</v>
      </c>
      <c r="AL205">
        <f t="shared" si="42"/>
        <v>16.796900000000001</v>
      </c>
      <c r="AM205">
        <f t="shared" si="43"/>
        <v>14.814160330200002</v>
      </c>
      <c r="AP205" s="9"/>
      <c r="AQ205" s="22">
        <v>0.86807299999999998</v>
      </c>
      <c r="AR205" s="22">
        <v>292.58999999999997</v>
      </c>
      <c r="AS205" s="22">
        <v>-1.67145E-2</v>
      </c>
      <c r="AT205" s="22">
        <v>195</v>
      </c>
      <c r="AU205" s="22">
        <v>0.86761500000000003</v>
      </c>
      <c r="AV205">
        <f t="shared" si="44"/>
        <v>16.714500000000001</v>
      </c>
      <c r="AW205">
        <f t="shared" si="45"/>
        <v>14.509406158500001</v>
      </c>
      <c r="AX205" s="9"/>
      <c r="AY205" s="22">
        <v>0.88195800000000002</v>
      </c>
      <c r="AZ205" s="22">
        <v>371.82100000000003</v>
      </c>
      <c r="BA205" s="22">
        <v>-1.65375E-2</v>
      </c>
      <c r="BB205" s="22">
        <v>195</v>
      </c>
      <c r="BC205" s="22">
        <v>0.88073699999999999</v>
      </c>
      <c r="BD205">
        <f t="shared" si="46"/>
        <v>16.537500000000001</v>
      </c>
      <c r="BE205">
        <f t="shared" si="47"/>
        <v>14.585380425000002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43.389099999999999</v>
      </c>
      <c r="I206" s="22">
        <v>-1.6958600000000001E-2</v>
      </c>
      <c r="J206" s="22">
        <v>196</v>
      </c>
      <c r="K206" s="22">
        <v>0.86242700000000005</v>
      </c>
      <c r="L206">
        <f t="shared" si="36"/>
        <v>16.958600000000001</v>
      </c>
      <c r="M206">
        <f t="shared" si="37"/>
        <v>14.635899268200001</v>
      </c>
      <c r="N206" s="9"/>
      <c r="O206" s="22">
        <v>0.88699300000000003</v>
      </c>
      <c r="P206" s="22">
        <v>98.784899999999993</v>
      </c>
      <c r="Q206" s="22">
        <v>-1.6995199999999999E-2</v>
      </c>
      <c r="R206" s="22">
        <v>196</v>
      </c>
      <c r="S206" s="22">
        <v>0.88592499999999996</v>
      </c>
      <c r="T206">
        <f t="shared" si="38"/>
        <v>16.995199999999997</v>
      </c>
      <c r="U206">
        <f t="shared" si="39"/>
        <v>15.074623433599998</v>
      </c>
      <c r="X206" s="9"/>
      <c r="Y206" s="22">
        <v>0.86303700000000005</v>
      </c>
      <c r="Z206" s="22">
        <v>160.74199999999999</v>
      </c>
      <c r="AA206" s="22">
        <v>-1.6964699999999999E-2</v>
      </c>
      <c r="AB206" s="22">
        <v>196</v>
      </c>
      <c r="AC206" s="22">
        <v>0.86212200000000005</v>
      </c>
      <c r="AD206">
        <f t="shared" si="40"/>
        <v>16.964700000000001</v>
      </c>
      <c r="AE206">
        <f t="shared" si="41"/>
        <v>14.641163793900001</v>
      </c>
      <c r="AF206" s="9"/>
      <c r="AG206" s="22">
        <v>0.88699300000000003</v>
      </c>
      <c r="AH206" s="22">
        <v>240.274</v>
      </c>
      <c r="AI206" s="22">
        <v>-1.6787699999999999E-2</v>
      </c>
      <c r="AJ206" s="22">
        <v>196</v>
      </c>
      <c r="AK206" s="22">
        <v>0.88622999999999996</v>
      </c>
      <c r="AL206">
        <f t="shared" si="42"/>
        <v>16.787699999999997</v>
      </c>
      <c r="AM206">
        <f t="shared" si="43"/>
        <v>14.890572386099999</v>
      </c>
      <c r="AP206" s="9"/>
      <c r="AQ206" s="22">
        <v>0.86303700000000005</v>
      </c>
      <c r="AR206" s="22">
        <v>292.69099999999997</v>
      </c>
      <c r="AS206" s="22">
        <v>-1.67572E-2</v>
      </c>
      <c r="AT206" s="22">
        <v>196</v>
      </c>
      <c r="AU206" s="22">
        <v>0.86181600000000003</v>
      </c>
      <c r="AV206">
        <f t="shared" si="44"/>
        <v>16.757200000000001</v>
      </c>
      <c r="AW206">
        <f t="shared" si="45"/>
        <v>14.462083616400001</v>
      </c>
      <c r="AX206" s="9"/>
      <c r="AY206" s="22">
        <v>0.88699300000000003</v>
      </c>
      <c r="AZ206" s="22">
        <v>371.92099999999999</v>
      </c>
      <c r="BA206" s="22">
        <v>-1.6513099999999999E-2</v>
      </c>
      <c r="BB206" s="22">
        <v>196</v>
      </c>
      <c r="BC206" s="22">
        <v>0.88653599999999999</v>
      </c>
      <c r="BD206">
        <f t="shared" si="46"/>
        <v>16.513099999999998</v>
      </c>
      <c r="BE206">
        <f t="shared" si="47"/>
        <v>14.647004108299999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43.489800000000002</v>
      </c>
      <c r="I207" s="22">
        <v>-1.6964699999999999E-2</v>
      </c>
      <c r="J207" s="22">
        <v>197</v>
      </c>
      <c r="K207" s="22">
        <v>0.85662799999999995</v>
      </c>
      <c r="L207">
        <f t="shared" si="36"/>
        <v>16.964700000000001</v>
      </c>
      <c r="M207">
        <f t="shared" si="37"/>
        <v>14.5557465294</v>
      </c>
      <c r="N207" s="9"/>
      <c r="O207" s="22">
        <v>0.89202899999999996</v>
      </c>
      <c r="P207" s="22">
        <v>98.885599999999997</v>
      </c>
      <c r="Q207" s="22">
        <v>-1.6983000000000002E-2</v>
      </c>
      <c r="R207" s="22">
        <v>197</v>
      </c>
      <c r="S207" s="22">
        <v>0.89080800000000004</v>
      </c>
      <c r="T207">
        <f t="shared" si="38"/>
        <v>16.983000000000001</v>
      </c>
      <c r="U207">
        <f t="shared" si="39"/>
        <v>15.149328507</v>
      </c>
      <c r="X207" s="9"/>
      <c r="Y207" s="22">
        <v>0.85800200000000004</v>
      </c>
      <c r="Z207" s="22">
        <v>160.84299999999999</v>
      </c>
      <c r="AA207" s="22">
        <v>-1.6949499999999999E-2</v>
      </c>
      <c r="AB207" s="22">
        <v>197</v>
      </c>
      <c r="AC207" s="22">
        <v>0.85754399999999997</v>
      </c>
      <c r="AD207">
        <f t="shared" si="40"/>
        <v>16.9495</v>
      </c>
      <c r="AE207">
        <f t="shared" si="41"/>
        <v>14.542704899</v>
      </c>
      <c r="AF207" s="9"/>
      <c r="AG207" s="22">
        <v>0.89202899999999996</v>
      </c>
      <c r="AH207" s="22">
        <v>240.375</v>
      </c>
      <c r="AI207" s="22">
        <v>-1.6793800000000001E-2</v>
      </c>
      <c r="AJ207" s="22">
        <v>197</v>
      </c>
      <c r="AK207" s="22">
        <v>0.89080800000000004</v>
      </c>
      <c r="AL207">
        <f t="shared" si="42"/>
        <v>16.793800000000001</v>
      </c>
      <c r="AM207">
        <f t="shared" si="43"/>
        <v>14.9805566202</v>
      </c>
      <c r="AP207" s="9"/>
      <c r="AQ207" s="22">
        <v>0.85800200000000004</v>
      </c>
      <c r="AR207" s="22">
        <v>292.79199999999997</v>
      </c>
      <c r="AS207" s="22">
        <v>-1.67694E-2</v>
      </c>
      <c r="AT207" s="22">
        <v>197</v>
      </c>
      <c r="AU207" s="22">
        <v>0.85723899999999997</v>
      </c>
      <c r="AV207">
        <f t="shared" si="44"/>
        <v>16.769400000000001</v>
      </c>
      <c r="AW207">
        <f t="shared" si="45"/>
        <v>14.388178738800002</v>
      </c>
      <c r="AX207" s="9"/>
      <c r="AY207" s="22">
        <v>0.89202899999999996</v>
      </c>
      <c r="AZ207" s="22">
        <v>372.02199999999999</v>
      </c>
      <c r="BA207" s="22">
        <v>-1.6500899999999999E-2</v>
      </c>
      <c r="BB207" s="22">
        <v>197</v>
      </c>
      <c r="BC207" s="22">
        <v>0.89080800000000004</v>
      </c>
      <c r="BD207">
        <f t="shared" si="46"/>
        <v>16.500899999999998</v>
      </c>
      <c r="BE207">
        <f t="shared" si="47"/>
        <v>14.719281326099997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43.590499999999999</v>
      </c>
      <c r="I208" s="22">
        <v>-1.6970800000000001E-2</v>
      </c>
      <c r="J208" s="22">
        <v>198</v>
      </c>
      <c r="K208" s="22">
        <v>0.852051</v>
      </c>
      <c r="L208">
        <f t="shared" si="36"/>
        <v>16.970800000000001</v>
      </c>
      <c r="M208">
        <f t="shared" si="37"/>
        <v>14.4755153928</v>
      </c>
      <c r="N208" s="9"/>
      <c r="O208" s="22">
        <v>0.89706399999999997</v>
      </c>
      <c r="P208" s="22">
        <v>98.9863</v>
      </c>
      <c r="Q208" s="22">
        <v>-1.6998300000000001E-2</v>
      </c>
      <c r="R208" s="22">
        <v>198</v>
      </c>
      <c r="S208" s="22">
        <v>0.89599600000000001</v>
      </c>
      <c r="T208">
        <f t="shared" si="38"/>
        <v>16.9983</v>
      </c>
      <c r="U208">
        <f t="shared" si="39"/>
        <v>15.2485629912</v>
      </c>
      <c r="X208" s="9"/>
      <c r="Y208" s="22">
        <v>0.852966</v>
      </c>
      <c r="Z208" s="22">
        <v>160.94300000000001</v>
      </c>
      <c r="AA208" s="22">
        <v>-1.6955600000000001E-2</v>
      </c>
      <c r="AB208" s="22">
        <v>198</v>
      </c>
      <c r="AC208" s="22">
        <v>0.852356</v>
      </c>
      <c r="AD208">
        <f t="shared" si="40"/>
        <v>16.9556</v>
      </c>
      <c r="AE208">
        <f t="shared" si="41"/>
        <v>14.462550309600001</v>
      </c>
      <c r="AF208" s="9"/>
      <c r="AG208" s="22">
        <v>0.89706399999999997</v>
      </c>
      <c r="AH208" s="22">
        <v>240.476</v>
      </c>
      <c r="AI208" s="22">
        <v>-1.6802999999999998E-2</v>
      </c>
      <c r="AJ208" s="22">
        <v>198</v>
      </c>
      <c r="AK208" s="22">
        <v>0.89569100000000001</v>
      </c>
      <c r="AL208">
        <f t="shared" si="42"/>
        <v>16.802999999999997</v>
      </c>
      <c r="AM208">
        <f t="shared" si="43"/>
        <v>15.073366391999997</v>
      </c>
      <c r="AP208" s="9"/>
      <c r="AQ208" s="22">
        <v>0.852966</v>
      </c>
      <c r="AR208" s="22">
        <v>292.892</v>
      </c>
      <c r="AS208" s="22">
        <v>-1.6778600000000001E-2</v>
      </c>
      <c r="AT208" s="22">
        <v>198</v>
      </c>
      <c r="AU208" s="22">
        <v>0.851746</v>
      </c>
      <c r="AV208">
        <f t="shared" si="44"/>
        <v>16.778600000000001</v>
      </c>
      <c r="AW208">
        <f t="shared" si="45"/>
        <v>14.3115753276</v>
      </c>
      <c r="AX208" s="9"/>
      <c r="AY208" s="22">
        <v>0.89706399999999997</v>
      </c>
      <c r="AZ208" s="22">
        <v>372.12299999999999</v>
      </c>
      <c r="BA208" s="22">
        <v>-1.6503899999999998E-2</v>
      </c>
      <c r="BB208" s="22">
        <v>198</v>
      </c>
      <c r="BC208" s="22">
        <v>0.89630100000000001</v>
      </c>
      <c r="BD208">
        <f t="shared" si="46"/>
        <v>16.503899999999998</v>
      </c>
      <c r="BE208">
        <f t="shared" si="47"/>
        <v>14.805054549599998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43.691200000000002</v>
      </c>
      <c r="I209" s="22">
        <v>-1.6979999999999999E-2</v>
      </c>
      <c r="J209" s="22">
        <v>199</v>
      </c>
      <c r="K209" s="22">
        <v>0.84686300000000003</v>
      </c>
      <c r="L209">
        <f t="shared" si="36"/>
        <v>16.979999999999997</v>
      </c>
      <c r="M209">
        <f t="shared" si="37"/>
        <v>14.397868379999997</v>
      </c>
      <c r="N209" s="9"/>
      <c r="O209" s="22">
        <v>0.90210000000000001</v>
      </c>
      <c r="P209" s="22">
        <v>99.087000000000003</v>
      </c>
      <c r="Q209" s="22">
        <v>-1.6979999999999999E-2</v>
      </c>
      <c r="R209" s="22">
        <v>199</v>
      </c>
      <c r="S209" s="22">
        <v>0.90087899999999999</v>
      </c>
      <c r="T209">
        <f t="shared" si="38"/>
        <v>16.979999999999997</v>
      </c>
      <c r="U209">
        <f t="shared" si="39"/>
        <v>15.317657999999998</v>
      </c>
      <c r="X209" s="9"/>
      <c r="Y209" s="22">
        <v>0.84793099999999999</v>
      </c>
      <c r="Z209" s="22">
        <v>161.04400000000001</v>
      </c>
      <c r="AA209" s="22">
        <v>-1.69617E-2</v>
      </c>
      <c r="AB209" s="22">
        <v>199</v>
      </c>
      <c r="AC209" s="22">
        <v>0.84716800000000003</v>
      </c>
      <c r="AD209">
        <f t="shared" si="40"/>
        <v>16.9617</v>
      </c>
      <c r="AE209">
        <f t="shared" si="41"/>
        <v>14.3823512427</v>
      </c>
      <c r="AF209" s="9"/>
      <c r="AG209" s="22">
        <v>0.90210000000000001</v>
      </c>
      <c r="AH209" s="22">
        <v>240.57599999999999</v>
      </c>
      <c r="AI209" s="22">
        <v>-1.6830399999999999E-2</v>
      </c>
      <c r="AJ209" s="22">
        <v>199</v>
      </c>
      <c r="AK209" s="22">
        <v>0.90118399999999999</v>
      </c>
      <c r="AL209">
        <f t="shared" si="42"/>
        <v>16.830399999999997</v>
      </c>
      <c r="AM209">
        <f t="shared" si="43"/>
        <v>15.182703839999999</v>
      </c>
      <c r="AP209" s="9"/>
      <c r="AQ209" s="22">
        <v>0.84793099999999999</v>
      </c>
      <c r="AR209" s="22">
        <v>292.99299999999999</v>
      </c>
      <c r="AS209" s="22">
        <v>-1.6744999999999999E-2</v>
      </c>
      <c r="AT209" s="22">
        <v>199</v>
      </c>
      <c r="AU209" s="22">
        <v>0.84686300000000003</v>
      </c>
      <c r="AV209">
        <f t="shared" si="44"/>
        <v>16.745000000000001</v>
      </c>
      <c r="AW209">
        <f t="shared" si="45"/>
        <v>14.198604595000001</v>
      </c>
      <c r="AX209" s="9"/>
      <c r="AY209" s="22">
        <v>0.90210000000000001</v>
      </c>
      <c r="AZ209" s="22">
        <v>372.22300000000001</v>
      </c>
      <c r="BA209" s="22">
        <v>-1.6503899999999998E-2</v>
      </c>
      <c r="BB209" s="22">
        <v>199</v>
      </c>
      <c r="BC209" s="22">
        <v>0.90118399999999999</v>
      </c>
      <c r="BD209">
        <f t="shared" si="46"/>
        <v>16.503899999999998</v>
      </c>
      <c r="BE209">
        <f t="shared" si="47"/>
        <v>14.888168189999998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43.791899999999998</v>
      </c>
      <c r="I210" s="22">
        <v>-1.6986100000000001E-2</v>
      </c>
      <c r="J210" s="22">
        <v>200</v>
      </c>
      <c r="K210" s="22">
        <v>0.84197999999999995</v>
      </c>
      <c r="L210">
        <f t="shared" si="36"/>
        <v>16.9861</v>
      </c>
      <c r="M210">
        <f t="shared" si="37"/>
        <v>14.3175157456</v>
      </c>
      <c r="N210" s="9"/>
      <c r="O210" s="22">
        <v>0.90713500000000002</v>
      </c>
      <c r="P210" s="22">
        <v>99.187799999999996</v>
      </c>
      <c r="Q210" s="22">
        <v>-1.6979999999999999E-2</v>
      </c>
      <c r="R210" s="22">
        <v>200</v>
      </c>
      <c r="S210" s="22">
        <v>0.90637199999999996</v>
      </c>
      <c r="T210">
        <f t="shared" si="38"/>
        <v>16.979999999999997</v>
      </c>
      <c r="U210">
        <f t="shared" si="39"/>
        <v>15.403152299999997</v>
      </c>
      <c r="X210" s="9"/>
      <c r="Y210" s="22">
        <v>0.84289599999999998</v>
      </c>
      <c r="Z210" s="22">
        <v>161.14500000000001</v>
      </c>
      <c r="AA210" s="22">
        <v>-1.69739E-2</v>
      </c>
      <c r="AB210" s="22">
        <v>200</v>
      </c>
      <c r="AC210" s="22">
        <v>0.84258999999999995</v>
      </c>
      <c r="AD210">
        <f t="shared" si="40"/>
        <v>16.9739</v>
      </c>
      <c r="AE210">
        <f t="shared" si="41"/>
        <v>14.3072324144</v>
      </c>
      <c r="AF210" s="9"/>
      <c r="AG210" s="22">
        <v>0.90713500000000002</v>
      </c>
      <c r="AH210" s="22">
        <v>240.67699999999999</v>
      </c>
      <c r="AI210" s="22">
        <v>-1.68396E-2</v>
      </c>
      <c r="AJ210" s="22">
        <v>200</v>
      </c>
      <c r="AK210" s="22">
        <v>0.90667699999999996</v>
      </c>
      <c r="AL210">
        <f t="shared" si="42"/>
        <v>16.839600000000001</v>
      </c>
      <c r="AM210">
        <f t="shared" si="43"/>
        <v>15.275790546000001</v>
      </c>
      <c r="AP210" s="9"/>
      <c r="AQ210" s="22">
        <v>0.84289599999999998</v>
      </c>
      <c r="AR210" s="22">
        <v>293.09399999999999</v>
      </c>
      <c r="AS210" s="22">
        <v>-1.6760299999999999E-2</v>
      </c>
      <c r="AT210" s="22">
        <v>200</v>
      </c>
      <c r="AU210" s="22">
        <v>0.84167499999999995</v>
      </c>
      <c r="AV210">
        <f t="shared" si="44"/>
        <v>16.760299999999997</v>
      </c>
      <c r="AW210">
        <f t="shared" si="45"/>
        <v>14.127189828799997</v>
      </c>
      <c r="AX210" s="9"/>
      <c r="AY210" s="22">
        <v>0.90713500000000002</v>
      </c>
      <c r="AZ210" s="22">
        <v>372.32400000000001</v>
      </c>
      <c r="BA210" s="22">
        <v>-1.6439800000000001E-2</v>
      </c>
      <c r="BB210" s="22">
        <v>200</v>
      </c>
      <c r="BC210" s="22">
        <v>0.90606699999999996</v>
      </c>
      <c r="BD210">
        <f t="shared" si="46"/>
        <v>16.439800000000002</v>
      </c>
      <c r="BE210">
        <f t="shared" si="47"/>
        <v>14.913117973000002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43.892600000000002</v>
      </c>
      <c r="I211" s="22">
        <v>-1.6983000000000002E-2</v>
      </c>
      <c r="J211" s="22">
        <v>201</v>
      </c>
      <c r="K211" s="22">
        <v>0.83679199999999998</v>
      </c>
      <c r="L211">
        <f t="shared" si="36"/>
        <v>16.983000000000001</v>
      </c>
      <c r="M211">
        <f t="shared" si="37"/>
        <v>14.229376380000001</v>
      </c>
      <c r="N211" s="9"/>
      <c r="O211" s="22">
        <v>0.91217000000000004</v>
      </c>
      <c r="P211" s="22">
        <v>99.288499999999999</v>
      </c>
      <c r="Q211" s="22">
        <v>-1.69739E-2</v>
      </c>
      <c r="R211" s="22">
        <v>201</v>
      </c>
      <c r="S211" s="22">
        <v>0.91156000000000004</v>
      </c>
      <c r="T211">
        <f t="shared" si="38"/>
        <v>16.9739</v>
      </c>
      <c r="U211">
        <f t="shared" si="39"/>
        <v>15.483082363000001</v>
      </c>
      <c r="X211" s="9"/>
      <c r="Y211" s="22">
        <v>0.83786000000000005</v>
      </c>
      <c r="Z211" s="22">
        <v>161.245</v>
      </c>
      <c r="AA211" s="22">
        <v>-1.69617E-2</v>
      </c>
      <c r="AB211" s="22">
        <v>201</v>
      </c>
      <c r="AC211" s="22">
        <v>0.83648699999999998</v>
      </c>
      <c r="AD211">
        <f t="shared" si="40"/>
        <v>16.9617</v>
      </c>
      <c r="AE211">
        <f t="shared" si="41"/>
        <v>14.211529962000002</v>
      </c>
      <c r="AF211" s="9"/>
      <c r="AG211" s="22">
        <v>0.91217000000000004</v>
      </c>
      <c r="AH211" s="22">
        <v>240.77799999999999</v>
      </c>
      <c r="AI211" s="22">
        <v>-1.6781600000000001E-2</v>
      </c>
      <c r="AJ211" s="22">
        <v>201</v>
      </c>
      <c r="AK211" s="22">
        <v>0.91125500000000004</v>
      </c>
      <c r="AL211">
        <f t="shared" si="42"/>
        <v>16.781600000000001</v>
      </c>
      <c r="AM211">
        <f t="shared" si="43"/>
        <v>15.307672072000001</v>
      </c>
      <c r="AP211" s="9"/>
      <c r="AQ211" s="22">
        <v>0.83786000000000005</v>
      </c>
      <c r="AR211" s="22">
        <v>293.19499999999999</v>
      </c>
      <c r="AS211" s="22">
        <v>-1.67297E-2</v>
      </c>
      <c r="AT211" s="22">
        <v>201</v>
      </c>
      <c r="AU211" s="22">
        <v>0.83709699999999998</v>
      </c>
      <c r="AV211">
        <f t="shared" si="44"/>
        <v>16.729700000000001</v>
      </c>
      <c r="AW211">
        <f t="shared" si="45"/>
        <v>14.017146442000001</v>
      </c>
      <c r="AX211" s="9"/>
      <c r="AY211" s="22">
        <v>0.91217000000000004</v>
      </c>
      <c r="AZ211" s="22">
        <v>372.42500000000001</v>
      </c>
      <c r="BA211" s="22">
        <v>-1.6503899999999998E-2</v>
      </c>
      <c r="BB211" s="22">
        <v>201</v>
      </c>
      <c r="BC211" s="22">
        <v>0.91186500000000004</v>
      </c>
      <c r="BD211">
        <f t="shared" si="46"/>
        <v>16.503899999999998</v>
      </c>
      <c r="BE211">
        <f t="shared" si="47"/>
        <v>15.054362462999999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43.993299999999998</v>
      </c>
      <c r="I212" s="22">
        <v>-1.6998300000000001E-2</v>
      </c>
      <c r="J212" s="22">
        <v>202</v>
      </c>
      <c r="K212" s="22">
        <v>0.83190900000000001</v>
      </c>
      <c r="L212">
        <f t="shared" si="36"/>
        <v>16.9983</v>
      </c>
      <c r="M212">
        <f t="shared" si="37"/>
        <v>14.156609197500002</v>
      </c>
      <c r="N212" s="9"/>
      <c r="O212" s="22">
        <v>0.91720599999999997</v>
      </c>
      <c r="P212" s="22">
        <v>99.389200000000002</v>
      </c>
      <c r="Q212" s="22">
        <v>-1.69617E-2</v>
      </c>
      <c r="R212" s="22">
        <v>202</v>
      </c>
      <c r="S212" s="22">
        <v>0.91583300000000001</v>
      </c>
      <c r="T212">
        <f t="shared" si="38"/>
        <v>16.9617</v>
      </c>
      <c r="U212">
        <f t="shared" si="39"/>
        <v>15.557373010199999</v>
      </c>
      <c r="X212" s="9"/>
      <c r="Y212" s="22">
        <v>0.83282500000000004</v>
      </c>
      <c r="Z212" s="22">
        <v>161.346</v>
      </c>
      <c r="AA212" s="22">
        <v>-1.6983000000000002E-2</v>
      </c>
      <c r="AB212" s="22">
        <v>202</v>
      </c>
      <c r="AC212" s="22">
        <v>0.83252000000000004</v>
      </c>
      <c r="AD212">
        <f t="shared" si="40"/>
        <v>16.983000000000001</v>
      </c>
      <c r="AE212">
        <f t="shared" si="41"/>
        <v>14.143866975000002</v>
      </c>
      <c r="AF212" s="9"/>
      <c r="AG212" s="22">
        <v>0.91720599999999997</v>
      </c>
      <c r="AH212" s="22">
        <v>240.87799999999999</v>
      </c>
      <c r="AI212" s="22">
        <v>-1.6790800000000002E-2</v>
      </c>
      <c r="AJ212" s="22">
        <v>202</v>
      </c>
      <c r="AK212" s="22">
        <v>0.91583300000000001</v>
      </c>
      <c r="AL212">
        <f t="shared" si="42"/>
        <v>16.790800000000001</v>
      </c>
      <c r="AM212">
        <f t="shared" si="43"/>
        <v>15.400622504799999</v>
      </c>
      <c r="AP212" s="9"/>
      <c r="AQ212" s="22">
        <v>0.83282500000000004</v>
      </c>
      <c r="AR212" s="22">
        <v>293.29500000000002</v>
      </c>
      <c r="AS212" s="22">
        <v>-1.67175E-2</v>
      </c>
      <c r="AT212" s="22">
        <v>202</v>
      </c>
      <c r="AU212" s="22">
        <v>0.83221400000000001</v>
      </c>
      <c r="AV212">
        <f t="shared" si="44"/>
        <v>16.717500000000001</v>
      </c>
      <c r="AW212">
        <f t="shared" si="45"/>
        <v>13.922751937500001</v>
      </c>
      <c r="AX212" s="9"/>
      <c r="AY212" s="22">
        <v>0.91720599999999997</v>
      </c>
      <c r="AZ212" s="22">
        <v>372.52600000000001</v>
      </c>
      <c r="BA212" s="22">
        <v>-1.64978E-2</v>
      </c>
      <c r="BB212" s="22">
        <v>202</v>
      </c>
      <c r="BC212" s="22">
        <v>0.91613800000000001</v>
      </c>
      <c r="BD212">
        <f t="shared" si="46"/>
        <v>16.497800000000002</v>
      </c>
      <c r="BE212">
        <f t="shared" si="47"/>
        <v>15.131881146800001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44.094000000000001</v>
      </c>
      <c r="I213" s="22">
        <v>-1.7004399999999999E-2</v>
      </c>
      <c r="J213" s="22">
        <v>203</v>
      </c>
      <c r="K213" s="22">
        <v>0.82641600000000004</v>
      </c>
      <c r="L213">
        <f t="shared" si="36"/>
        <v>17.0044</v>
      </c>
      <c r="M213">
        <f t="shared" si="37"/>
        <v>14.0760552716</v>
      </c>
      <c r="N213" s="9"/>
      <c r="O213" s="22">
        <v>0.92224099999999998</v>
      </c>
      <c r="P213" s="22">
        <v>99.489900000000006</v>
      </c>
      <c r="Q213" s="22">
        <v>-1.69739E-2</v>
      </c>
      <c r="R213" s="22">
        <v>203</v>
      </c>
      <c r="S213" s="22">
        <v>0.92132599999999998</v>
      </c>
      <c r="T213">
        <f t="shared" si="38"/>
        <v>16.9739</v>
      </c>
      <c r="U213">
        <f t="shared" si="39"/>
        <v>15.6540265099</v>
      </c>
      <c r="X213" s="9"/>
      <c r="Y213" s="22">
        <v>0.827789</v>
      </c>
      <c r="Z213" s="22">
        <v>161.447</v>
      </c>
      <c r="AA213" s="22">
        <v>-1.6967800000000002E-2</v>
      </c>
      <c r="AB213" s="22">
        <v>203</v>
      </c>
      <c r="AC213" s="22">
        <v>0.82672100000000004</v>
      </c>
      <c r="AD213">
        <f t="shared" si="40"/>
        <v>16.9678</v>
      </c>
      <c r="AE213">
        <f t="shared" si="41"/>
        <v>14.045758194200001</v>
      </c>
      <c r="AF213" s="9"/>
      <c r="AG213" s="22">
        <v>0.92224099999999998</v>
      </c>
      <c r="AH213" s="22">
        <v>240.97900000000001</v>
      </c>
      <c r="AI213" s="22">
        <v>-1.68121E-2</v>
      </c>
      <c r="AJ213" s="22">
        <v>203</v>
      </c>
      <c r="AK213" s="22">
        <v>0.92163099999999998</v>
      </c>
      <c r="AL213">
        <f t="shared" si="42"/>
        <v>16.812100000000001</v>
      </c>
      <c r="AM213">
        <f t="shared" si="43"/>
        <v>15.504807916100001</v>
      </c>
      <c r="AP213" s="9"/>
      <c r="AQ213" s="22">
        <v>0.827789</v>
      </c>
      <c r="AR213" s="22">
        <v>293.39600000000002</v>
      </c>
      <c r="AS213" s="22">
        <v>-1.6726700000000001E-2</v>
      </c>
      <c r="AT213" s="22">
        <v>203</v>
      </c>
      <c r="AU213" s="22">
        <v>0.82702600000000004</v>
      </c>
      <c r="AV213">
        <f t="shared" si="44"/>
        <v>16.726700000000001</v>
      </c>
      <c r="AW213">
        <f t="shared" si="45"/>
        <v>13.846178266300001</v>
      </c>
      <c r="AX213" s="9"/>
      <c r="AY213" s="22">
        <v>0.92224099999999998</v>
      </c>
      <c r="AZ213" s="22">
        <v>372.62599999999998</v>
      </c>
      <c r="BA213" s="22">
        <v>-1.6488599999999999E-2</v>
      </c>
      <c r="BB213" s="22">
        <v>203</v>
      </c>
      <c r="BC213" s="22">
        <v>0.92132599999999998</v>
      </c>
      <c r="BD213">
        <f t="shared" si="46"/>
        <v>16.488599999999998</v>
      </c>
      <c r="BE213">
        <f t="shared" si="47"/>
        <v>15.206462952599997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44.194699999999997</v>
      </c>
      <c r="I214" s="22">
        <v>-1.6986100000000001E-2</v>
      </c>
      <c r="J214" s="22">
        <v>204</v>
      </c>
      <c r="K214" s="22">
        <v>0.82244899999999999</v>
      </c>
      <c r="L214">
        <f t="shared" si="36"/>
        <v>16.9861</v>
      </c>
      <c r="M214">
        <f t="shared" si="37"/>
        <v>13.9753817194</v>
      </c>
      <c r="N214" s="9"/>
      <c r="O214" s="22">
        <v>0.92727700000000002</v>
      </c>
      <c r="P214" s="22">
        <v>99.590599999999995</v>
      </c>
      <c r="Q214" s="22">
        <v>-1.69739E-2</v>
      </c>
      <c r="R214" s="22">
        <v>204</v>
      </c>
      <c r="S214" s="22">
        <v>0.92681899999999995</v>
      </c>
      <c r="T214">
        <f t="shared" si="38"/>
        <v>16.9739</v>
      </c>
      <c r="U214">
        <f t="shared" si="39"/>
        <v>15.7395070703</v>
      </c>
      <c r="X214" s="9"/>
      <c r="Y214" s="22">
        <v>0.82275399999999999</v>
      </c>
      <c r="Z214" s="22">
        <v>161.548</v>
      </c>
      <c r="AA214" s="22">
        <v>-1.6979999999999999E-2</v>
      </c>
      <c r="AB214" s="22">
        <v>204</v>
      </c>
      <c r="AC214" s="22">
        <v>0.82244899999999999</v>
      </c>
      <c r="AD214">
        <f t="shared" si="40"/>
        <v>16.979999999999997</v>
      </c>
      <c r="AE214">
        <f t="shared" si="41"/>
        <v>13.970362919999998</v>
      </c>
      <c r="AF214" s="9"/>
      <c r="AG214" s="22">
        <v>0.92727700000000002</v>
      </c>
      <c r="AH214" s="22">
        <v>241.08</v>
      </c>
      <c r="AI214" s="22">
        <v>-1.68121E-2</v>
      </c>
      <c r="AJ214" s="22">
        <v>204</v>
      </c>
      <c r="AK214" s="22">
        <v>0.92712399999999995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293.49700000000001</v>
      </c>
      <c r="AS214" s="22">
        <v>-1.6781600000000001E-2</v>
      </c>
      <c r="AT214" s="22">
        <v>204</v>
      </c>
      <c r="AU214" s="22">
        <v>0.82244899999999999</v>
      </c>
      <c r="AV214">
        <f t="shared" si="44"/>
        <v>16.781600000000001</v>
      </c>
      <c r="AW214">
        <f t="shared" si="45"/>
        <v>13.8071285264</v>
      </c>
      <c r="AX214" s="9"/>
      <c r="AY214" s="22">
        <v>0.92727700000000002</v>
      </c>
      <c r="AZ214" s="22">
        <v>372.72699999999998</v>
      </c>
      <c r="BA214" s="22">
        <v>-1.6488599999999999E-2</v>
      </c>
      <c r="BB214" s="22">
        <v>204</v>
      </c>
      <c r="BC214" s="22">
        <v>0.92590300000000003</v>
      </c>
      <c r="BD214">
        <f t="shared" si="46"/>
        <v>16.488599999999998</v>
      </c>
      <c r="BE214">
        <f t="shared" si="47"/>
        <v>15.289499542199998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44.295400000000001</v>
      </c>
      <c r="I215" s="22">
        <v>-1.6995199999999999E-2</v>
      </c>
      <c r="J215" s="22">
        <v>205</v>
      </c>
      <c r="K215" s="22">
        <v>0.81695600000000002</v>
      </c>
      <c r="L215">
        <f t="shared" si="36"/>
        <v>16.995199999999997</v>
      </c>
      <c r="M215">
        <f t="shared" si="37"/>
        <v>13.897297948799997</v>
      </c>
      <c r="N215" s="9"/>
      <c r="O215" s="22">
        <v>0.93231200000000003</v>
      </c>
      <c r="P215" s="22">
        <v>99.691299999999998</v>
      </c>
      <c r="Q215" s="22">
        <v>-1.69739E-2</v>
      </c>
      <c r="R215" s="22">
        <v>205</v>
      </c>
      <c r="S215" s="22">
        <v>0.931091</v>
      </c>
      <c r="T215">
        <f t="shared" si="38"/>
        <v>16.9739</v>
      </c>
      <c r="U215">
        <f t="shared" si="39"/>
        <v>15.824970656800001</v>
      </c>
      <c r="X215" s="9"/>
      <c r="Y215" s="22">
        <v>0.81771899999999997</v>
      </c>
      <c r="Z215" s="22">
        <v>161.648</v>
      </c>
      <c r="AA215" s="22">
        <v>-1.69769E-2</v>
      </c>
      <c r="AB215" s="22">
        <v>205</v>
      </c>
      <c r="AC215" s="22">
        <v>0.81695600000000002</v>
      </c>
      <c r="AD215">
        <f t="shared" si="40"/>
        <v>16.976900000000001</v>
      </c>
      <c r="AE215">
        <f t="shared" si="41"/>
        <v>13.882333691099999</v>
      </c>
      <c r="AF215" s="9"/>
      <c r="AG215" s="22">
        <v>0.93231200000000003</v>
      </c>
      <c r="AH215" s="22">
        <v>241.18100000000001</v>
      </c>
      <c r="AI215" s="22">
        <v>-1.6821300000000001E-2</v>
      </c>
      <c r="AJ215" s="22">
        <v>205</v>
      </c>
      <c r="AK215" s="22">
        <v>0.930786</v>
      </c>
      <c r="AL215">
        <f t="shared" si="42"/>
        <v>16.821300000000001</v>
      </c>
      <c r="AM215">
        <f t="shared" si="43"/>
        <v>15.682699845600002</v>
      </c>
      <c r="AP215" s="9"/>
      <c r="AQ215" s="22">
        <v>0.81771899999999997</v>
      </c>
      <c r="AR215" s="22">
        <v>293.59699999999998</v>
      </c>
      <c r="AS215" s="22">
        <v>-1.67694E-2</v>
      </c>
      <c r="AT215" s="22">
        <v>205</v>
      </c>
      <c r="AU215" s="22">
        <v>0.81695600000000002</v>
      </c>
      <c r="AV215">
        <f t="shared" si="44"/>
        <v>16.769400000000001</v>
      </c>
      <c r="AW215">
        <f t="shared" si="45"/>
        <v>13.7126569986</v>
      </c>
      <c r="AX215" s="9"/>
      <c r="AY215" s="22">
        <v>0.93231200000000003</v>
      </c>
      <c r="AZ215" s="22">
        <v>372.82799999999997</v>
      </c>
      <c r="BA215" s="22">
        <v>-1.64429E-2</v>
      </c>
      <c r="BB215" s="22">
        <v>205</v>
      </c>
      <c r="BC215" s="22">
        <v>0.931091</v>
      </c>
      <c r="BD215">
        <f t="shared" si="46"/>
        <v>16.442900000000002</v>
      </c>
      <c r="BE215">
        <f t="shared" si="47"/>
        <v>15.329912984800002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44.396099999999997</v>
      </c>
      <c r="I216" s="22">
        <v>-1.7010500000000001E-2</v>
      </c>
      <c r="J216" s="22">
        <v>206</v>
      </c>
      <c r="K216" s="22">
        <v>0.81207300000000004</v>
      </c>
      <c r="L216">
        <f t="shared" si="36"/>
        <v>17.0105</v>
      </c>
      <c r="M216">
        <f t="shared" si="37"/>
        <v>13.8241441715</v>
      </c>
      <c r="N216" s="9"/>
      <c r="O216" s="22">
        <v>0.93734700000000004</v>
      </c>
      <c r="P216" s="22">
        <v>99.792000000000002</v>
      </c>
      <c r="Q216" s="22">
        <v>-1.69617E-2</v>
      </c>
      <c r="R216" s="22">
        <v>206</v>
      </c>
      <c r="S216" s="22">
        <v>0.93627899999999997</v>
      </c>
      <c r="T216">
        <f t="shared" si="38"/>
        <v>16.9617</v>
      </c>
      <c r="U216">
        <f t="shared" si="39"/>
        <v>15.898998609900001</v>
      </c>
      <c r="X216" s="9"/>
      <c r="Y216" s="22">
        <v>0.81268300000000004</v>
      </c>
      <c r="Z216" s="22">
        <v>161.749</v>
      </c>
      <c r="AA216" s="22">
        <v>-1.6983000000000002E-2</v>
      </c>
      <c r="AB216" s="22">
        <v>206</v>
      </c>
      <c r="AC216" s="22">
        <v>0.81207300000000004</v>
      </c>
      <c r="AD216">
        <f t="shared" si="40"/>
        <v>16.983000000000001</v>
      </c>
      <c r="AE216">
        <f t="shared" si="41"/>
        <v>13.801795389</v>
      </c>
      <c r="AF216" s="9"/>
      <c r="AG216" s="22">
        <v>0.93734700000000004</v>
      </c>
      <c r="AH216" s="22">
        <v>241.28100000000001</v>
      </c>
      <c r="AI216" s="22">
        <v>-1.6821300000000001E-2</v>
      </c>
      <c r="AJ216" s="22">
        <v>206</v>
      </c>
      <c r="AK216" s="22">
        <v>0.93627899999999997</v>
      </c>
      <c r="AL216">
        <f t="shared" si="42"/>
        <v>16.821300000000001</v>
      </c>
      <c r="AM216">
        <f t="shared" si="43"/>
        <v>15.767395091100001</v>
      </c>
      <c r="AP216" s="9"/>
      <c r="AQ216" s="22">
        <v>0.81268300000000004</v>
      </c>
      <c r="AR216" s="22">
        <v>293.69799999999998</v>
      </c>
      <c r="AS216" s="22">
        <v>-1.67542E-2</v>
      </c>
      <c r="AT216" s="22">
        <v>206</v>
      </c>
      <c r="AU216" s="22">
        <v>0.81146200000000002</v>
      </c>
      <c r="AV216">
        <f t="shared" si="44"/>
        <v>16.754200000000001</v>
      </c>
      <c r="AW216">
        <f t="shared" si="45"/>
        <v>13.615853518600002</v>
      </c>
      <c r="AX216" s="9"/>
      <c r="AY216" s="22">
        <v>0.93734700000000004</v>
      </c>
      <c r="AZ216" s="22">
        <v>372.928</v>
      </c>
      <c r="BA216" s="22">
        <v>-1.6534400000000001E-2</v>
      </c>
      <c r="BB216" s="22">
        <v>206</v>
      </c>
      <c r="BC216" s="22">
        <v>0.93627899999999997</v>
      </c>
      <c r="BD216">
        <f t="shared" si="46"/>
        <v>16.534400000000002</v>
      </c>
      <c r="BE216">
        <f t="shared" si="47"/>
        <v>15.498470236800003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44.496899999999997</v>
      </c>
      <c r="I217" s="22">
        <v>-1.69769E-2</v>
      </c>
      <c r="J217" s="22">
        <v>207</v>
      </c>
      <c r="K217" s="22">
        <v>0.80657999999999996</v>
      </c>
      <c r="L217">
        <f t="shared" si="36"/>
        <v>16.976900000000001</v>
      </c>
      <c r="M217">
        <f t="shared" si="37"/>
        <v>13.711359331200001</v>
      </c>
      <c r="N217" s="9"/>
      <c r="O217" s="22">
        <v>0.94238299999999997</v>
      </c>
      <c r="P217" s="22">
        <v>99.892700000000005</v>
      </c>
      <c r="Q217" s="22">
        <v>-1.6964699999999999E-2</v>
      </c>
      <c r="R217" s="22">
        <v>207</v>
      </c>
      <c r="S217" s="22">
        <v>0.94146700000000005</v>
      </c>
      <c r="T217">
        <f t="shared" si="38"/>
        <v>16.964700000000001</v>
      </c>
      <c r="U217">
        <f t="shared" si="39"/>
        <v>15.9872448801</v>
      </c>
      <c r="X217" s="9"/>
      <c r="Y217" s="22">
        <v>0.80764800000000003</v>
      </c>
      <c r="Z217" s="22">
        <v>161.85</v>
      </c>
      <c r="AA217" s="22">
        <v>-1.6986100000000001E-2</v>
      </c>
      <c r="AB217" s="22">
        <v>207</v>
      </c>
      <c r="AC217" s="22">
        <v>0.80627400000000005</v>
      </c>
      <c r="AD217">
        <f t="shared" si="40"/>
        <v>16.9861</v>
      </c>
      <c r="AE217">
        <f t="shared" si="41"/>
        <v>13.718789692800001</v>
      </c>
      <c r="AF217" s="9"/>
      <c r="AG217" s="22">
        <v>0.94238299999999997</v>
      </c>
      <c r="AH217" s="22">
        <v>241.38200000000001</v>
      </c>
      <c r="AI217" s="22">
        <v>-1.6793800000000001E-2</v>
      </c>
      <c r="AJ217" s="22">
        <v>207</v>
      </c>
      <c r="AK217" s="22">
        <v>0.94116200000000005</v>
      </c>
      <c r="AL217">
        <f t="shared" si="42"/>
        <v>16.793800000000001</v>
      </c>
      <c r="AM217">
        <f t="shared" si="43"/>
        <v>15.8261916254</v>
      </c>
      <c r="AP217" s="9"/>
      <c r="AQ217" s="22">
        <v>0.80764800000000003</v>
      </c>
      <c r="AR217" s="22">
        <v>293.79899999999998</v>
      </c>
      <c r="AS217" s="22">
        <v>-1.6766400000000001E-2</v>
      </c>
      <c r="AT217" s="22">
        <v>207</v>
      </c>
      <c r="AU217" s="22">
        <v>0.80718999999999996</v>
      </c>
      <c r="AV217">
        <f t="shared" si="44"/>
        <v>16.766400000000001</v>
      </c>
      <c r="AW217">
        <f t="shared" si="45"/>
        <v>13.541349427200002</v>
      </c>
      <c r="AX217" s="9"/>
      <c r="AY217" s="22">
        <v>0.94238299999999997</v>
      </c>
      <c r="AZ217" s="22">
        <v>373.029</v>
      </c>
      <c r="BA217" s="22">
        <v>-1.6464199999999998E-2</v>
      </c>
      <c r="BB217" s="22">
        <v>207</v>
      </c>
      <c r="BC217" s="22">
        <v>0.94116200000000005</v>
      </c>
      <c r="BD217">
        <f t="shared" si="46"/>
        <v>16.464199999999998</v>
      </c>
      <c r="BE217">
        <f t="shared" si="47"/>
        <v>15.515582188599998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44.5976</v>
      </c>
      <c r="I218" s="22">
        <v>-1.6986100000000001E-2</v>
      </c>
      <c r="J218" s="22">
        <v>208</v>
      </c>
      <c r="K218" s="22">
        <v>0.80139199999999999</v>
      </c>
      <c r="L218">
        <f t="shared" si="36"/>
        <v>16.9861</v>
      </c>
      <c r="M218">
        <f t="shared" si="37"/>
        <v>13.6332476932</v>
      </c>
      <c r="N218" s="9"/>
      <c r="O218" s="22">
        <v>0.94741799999999998</v>
      </c>
      <c r="P218" s="22">
        <v>99.993399999999994</v>
      </c>
      <c r="Q218" s="22">
        <v>-1.69739E-2</v>
      </c>
      <c r="R218" s="22">
        <v>208</v>
      </c>
      <c r="S218" s="22">
        <v>0.94604500000000002</v>
      </c>
      <c r="T218">
        <f t="shared" si="38"/>
        <v>16.9739</v>
      </c>
      <c r="U218">
        <f t="shared" si="39"/>
        <v>16.081378390200001</v>
      </c>
      <c r="X218" s="9"/>
      <c r="Y218" s="22">
        <v>0.80261199999999999</v>
      </c>
      <c r="Z218" s="22">
        <v>161.94999999999999</v>
      </c>
      <c r="AA218" s="22">
        <v>-1.6998300000000001E-2</v>
      </c>
      <c r="AB218" s="22">
        <v>208</v>
      </c>
      <c r="AC218" s="22">
        <v>0.80200199999999999</v>
      </c>
      <c r="AD218">
        <f t="shared" si="40"/>
        <v>16.9983</v>
      </c>
      <c r="AE218">
        <f t="shared" si="41"/>
        <v>13.6430395596</v>
      </c>
      <c r="AF218" s="9"/>
      <c r="AG218" s="22">
        <v>0.94741799999999998</v>
      </c>
      <c r="AH218" s="22">
        <v>241.483</v>
      </c>
      <c r="AI218" s="22">
        <v>-1.68091E-2</v>
      </c>
      <c r="AJ218" s="22">
        <v>208</v>
      </c>
      <c r="AK218" s="22">
        <v>0.94604500000000002</v>
      </c>
      <c r="AL218">
        <f t="shared" si="42"/>
        <v>16.809100000000001</v>
      </c>
      <c r="AM218">
        <f t="shared" si="43"/>
        <v>15.9252439038</v>
      </c>
      <c r="AP218" s="9"/>
      <c r="AQ218" s="22">
        <v>0.80261199999999999</v>
      </c>
      <c r="AR218" s="22">
        <v>293.899</v>
      </c>
      <c r="AS218" s="22">
        <v>-1.6763299999999998E-2</v>
      </c>
      <c r="AT218" s="22">
        <v>208</v>
      </c>
      <c r="AU218" s="22">
        <v>0.80139199999999999</v>
      </c>
      <c r="AV218">
        <f t="shared" si="44"/>
        <v>16.763299999999997</v>
      </c>
      <c r="AW218">
        <f t="shared" si="45"/>
        <v>13.454425739599998</v>
      </c>
      <c r="AX218" s="9"/>
      <c r="AY218" s="22">
        <v>0.94741799999999998</v>
      </c>
      <c r="AZ218" s="22">
        <v>373.13</v>
      </c>
      <c r="BA218" s="22">
        <v>-1.6464199999999998E-2</v>
      </c>
      <c r="BB218" s="22">
        <v>208</v>
      </c>
      <c r="BC218" s="22">
        <v>0.94696000000000002</v>
      </c>
      <c r="BD218">
        <f t="shared" si="46"/>
        <v>16.464199999999998</v>
      </c>
      <c r="BE218">
        <f t="shared" si="47"/>
        <v>15.598479435599998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44.698300000000003</v>
      </c>
      <c r="I219" s="22">
        <v>-1.69891E-2</v>
      </c>
      <c r="J219" s="22">
        <v>209</v>
      </c>
      <c r="K219" s="22">
        <v>0.79681400000000002</v>
      </c>
      <c r="L219">
        <f t="shared" si="36"/>
        <v>16.989100000000001</v>
      </c>
      <c r="M219">
        <f t="shared" si="37"/>
        <v>13.5501154107</v>
      </c>
      <c r="N219" s="9"/>
      <c r="O219" s="22">
        <v>0.95245400000000002</v>
      </c>
      <c r="P219" s="22">
        <v>100.09399999999999</v>
      </c>
      <c r="Q219" s="22">
        <v>-1.6964699999999999E-2</v>
      </c>
      <c r="R219" s="22">
        <v>209</v>
      </c>
      <c r="S219" s="22">
        <v>0.95153799999999999</v>
      </c>
      <c r="T219">
        <f t="shared" si="38"/>
        <v>16.964700000000001</v>
      </c>
      <c r="U219">
        <f t="shared" si="39"/>
        <v>16.158096373799999</v>
      </c>
      <c r="X219" s="9"/>
      <c r="Y219" s="22">
        <v>0.79757699999999998</v>
      </c>
      <c r="Z219" s="22">
        <v>162.05099999999999</v>
      </c>
      <c r="AA219" s="22">
        <v>-1.7007399999999999E-2</v>
      </c>
      <c r="AB219" s="22">
        <v>209</v>
      </c>
      <c r="AC219" s="22">
        <v>0.79711900000000002</v>
      </c>
      <c r="AD219">
        <f t="shared" si="40"/>
        <v>17.007400000000001</v>
      </c>
      <c r="AE219">
        <f t="shared" si="41"/>
        <v>13.5647110698</v>
      </c>
      <c r="AF219" s="9"/>
      <c r="AG219" s="22">
        <v>0.95245400000000002</v>
      </c>
      <c r="AH219" s="22">
        <v>241.583</v>
      </c>
      <c r="AI219" s="22">
        <v>-1.68121E-2</v>
      </c>
      <c r="AJ219" s="22">
        <v>209</v>
      </c>
      <c r="AK219" s="22">
        <v>0.951233</v>
      </c>
      <c r="AL219">
        <f t="shared" si="42"/>
        <v>16.812100000000001</v>
      </c>
      <c r="AM219">
        <f t="shared" si="43"/>
        <v>16.012751893400001</v>
      </c>
      <c r="AP219" s="9"/>
      <c r="AQ219" s="22">
        <v>0.79757699999999998</v>
      </c>
      <c r="AR219" s="22">
        <v>294</v>
      </c>
      <c r="AS219" s="22">
        <v>-1.6766400000000001E-2</v>
      </c>
      <c r="AT219" s="22">
        <v>209</v>
      </c>
      <c r="AU219" s="22">
        <v>0.79650900000000002</v>
      </c>
      <c r="AV219">
        <f t="shared" si="44"/>
        <v>16.766400000000001</v>
      </c>
      <c r="AW219">
        <f t="shared" si="45"/>
        <v>13.3724950128</v>
      </c>
      <c r="AX219" s="9"/>
      <c r="AY219" s="22">
        <v>0.95245400000000002</v>
      </c>
      <c r="AZ219" s="22">
        <v>373.23</v>
      </c>
      <c r="BA219" s="22">
        <v>-1.6439800000000001E-2</v>
      </c>
      <c r="BB219" s="22">
        <v>209</v>
      </c>
      <c r="BC219" s="22">
        <v>0.95153799999999999</v>
      </c>
      <c r="BD219">
        <f t="shared" si="46"/>
        <v>16.439800000000002</v>
      </c>
      <c r="BE219">
        <f t="shared" si="47"/>
        <v>15.658153269200001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44.798999999999999</v>
      </c>
      <c r="I220" s="22">
        <v>-1.70166E-2</v>
      </c>
      <c r="J220" s="22">
        <v>210</v>
      </c>
      <c r="K220" s="22">
        <v>0.79162600000000005</v>
      </c>
      <c r="L220">
        <f t="shared" si="36"/>
        <v>17.0166</v>
      </c>
      <c r="M220">
        <f t="shared" si="37"/>
        <v>13.486370197199999</v>
      </c>
      <c r="N220" s="9"/>
      <c r="O220" s="22">
        <v>0.95748900000000003</v>
      </c>
      <c r="P220" s="22">
        <v>100.19499999999999</v>
      </c>
      <c r="Q220" s="22">
        <v>-1.6958600000000001E-2</v>
      </c>
      <c r="R220" s="22">
        <v>210</v>
      </c>
      <c r="S220" s="22">
        <v>0.95642099999999997</v>
      </c>
      <c r="T220">
        <f t="shared" si="38"/>
        <v>16.958600000000001</v>
      </c>
      <c r="U220">
        <f t="shared" si="39"/>
        <v>16.237672955400001</v>
      </c>
      <c r="X220" s="9"/>
      <c r="Y220" s="22">
        <v>0.79254199999999997</v>
      </c>
      <c r="Z220" s="22">
        <v>162.15199999999999</v>
      </c>
      <c r="AA220" s="22">
        <v>-1.7013500000000001E-2</v>
      </c>
      <c r="AB220" s="22">
        <v>210</v>
      </c>
      <c r="AC220" s="22">
        <v>0.79132100000000005</v>
      </c>
      <c r="AD220">
        <f t="shared" si="40"/>
        <v>17.013500000000001</v>
      </c>
      <c r="AE220">
        <f t="shared" si="41"/>
        <v>13.483913317000001</v>
      </c>
      <c r="AF220" s="9"/>
      <c r="AG220" s="22">
        <v>0.95748900000000003</v>
      </c>
      <c r="AH220" s="22">
        <v>241.684</v>
      </c>
      <c r="AI220" s="22">
        <v>-1.6787699999999999E-2</v>
      </c>
      <c r="AJ220" s="22">
        <v>210</v>
      </c>
      <c r="AK220" s="22">
        <v>0.95703099999999997</v>
      </c>
      <c r="AL220">
        <f t="shared" si="42"/>
        <v>16.787699999999997</v>
      </c>
      <c r="AM220">
        <f t="shared" si="43"/>
        <v>16.0740380853</v>
      </c>
      <c r="AP220" s="9"/>
      <c r="AQ220" s="22">
        <v>0.79254199999999997</v>
      </c>
      <c r="AR220" s="22">
        <v>294.101</v>
      </c>
      <c r="AS220" s="22">
        <v>-1.67999E-2</v>
      </c>
      <c r="AT220" s="22">
        <v>210</v>
      </c>
      <c r="AU220" s="22">
        <v>0.79223600000000005</v>
      </c>
      <c r="AV220">
        <f t="shared" si="44"/>
        <v>16.799900000000001</v>
      </c>
      <c r="AW220">
        <f t="shared" si="45"/>
        <v>13.314626345800001</v>
      </c>
      <c r="AX220" s="9"/>
      <c r="AY220" s="22">
        <v>0.95748900000000003</v>
      </c>
      <c r="AZ220" s="22">
        <v>373.33100000000002</v>
      </c>
      <c r="BA220" s="22">
        <v>-1.6464199999999998E-2</v>
      </c>
      <c r="BB220" s="22">
        <v>210</v>
      </c>
      <c r="BC220" s="22">
        <v>0.95611599999999997</v>
      </c>
      <c r="BD220">
        <f t="shared" si="46"/>
        <v>16.464199999999998</v>
      </c>
      <c r="BE220">
        <f t="shared" si="47"/>
        <v>15.7642903938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44.899700000000003</v>
      </c>
      <c r="I221" s="22">
        <v>-1.7010500000000001E-2</v>
      </c>
      <c r="J221" s="22">
        <v>211</v>
      </c>
      <c r="K221" s="22">
        <v>0.78674299999999997</v>
      </c>
      <c r="L221">
        <f t="shared" si="36"/>
        <v>17.0105</v>
      </c>
      <c r="M221">
        <f t="shared" si="37"/>
        <v>13.395870813</v>
      </c>
      <c r="N221" s="9"/>
      <c r="O221" s="22">
        <v>0.96252400000000005</v>
      </c>
      <c r="P221" s="22">
        <v>100.29600000000001</v>
      </c>
      <c r="Q221" s="22">
        <v>-1.6952499999999999E-2</v>
      </c>
      <c r="R221" s="22">
        <v>211</v>
      </c>
      <c r="S221" s="22">
        <v>0.96099900000000005</v>
      </c>
      <c r="T221">
        <f t="shared" si="38"/>
        <v>16.952500000000001</v>
      </c>
      <c r="U221">
        <f t="shared" si="39"/>
        <v>16.31718811</v>
      </c>
      <c r="X221" s="9"/>
      <c r="Y221" s="22">
        <v>0.78750600000000004</v>
      </c>
      <c r="Z221" s="22">
        <v>162.25299999999999</v>
      </c>
      <c r="AA221" s="22">
        <v>-1.7007399999999999E-2</v>
      </c>
      <c r="AB221" s="22">
        <v>211</v>
      </c>
      <c r="AC221" s="22">
        <v>0.78613299999999997</v>
      </c>
      <c r="AD221">
        <f t="shared" si="40"/>
        <v>17.007400000000001</v>
      </c>
      <c r="AE221">
        <f t="shared" si="41"/>
        <v>13.393429544400002</v>
      </c>
      <c r="AF221" s="9"/>
      <c r="AG221" s="22">
        <v>0.96252400000000005</v>
      </c>
      <c r="AH221" s="22">
        <v>241.785</v>
      </c>
      <c r="AI221" s="22">
        <v>-1.67999E-2</v>
      </c>
      <c r="AJ221" s="22">
        <v>211</v>
      </c>
      <c r="AK221" s="22">
        <v>0.96160900000000005</v>
      </c>
      <c r="AL221">
        <f t="shared" si="42"/>
        <v>16.799900000000001</v>
      </c>
      <c r="AM221">
        <f t="shared" si="43"/>
        <v>16.1703069476</v>
      </c>
      <c r="AP221" s="9"/>
      <c r="AQ221" s="22">
        <v>0.78750600000000004</v>
      </c>
      <c r="AR221" s="22">
        <v>294.202</v>
      </c>
      <c r="AS221" s="22">
        <v>-1.6790800000000002E-2</v>
      </c>
      <c r="AT221" s="22">
        <v>211</v>
      </c>
      <c r="AU221" s="22">
        <v>0.78643799999999997</v>
      </c>
      <c r="AV221">
        <f t="shared" si="44"/>
        <v>16.790800000000001</v>
      </c>
      <c r="AW221">
        <f t="shared" si="45"/>
        <v>13.222855744800002</v>
      </c>
      <c r="AX221" s="9"/>
      <c r="AY221" s="22">
        <v>0.96252400000000005</v>
      </c>
      <c r="AZ221" s="22">
        <v>373.43200000000002</v>
      </c>
      <c r="BA221" s="22">
        <v>-1.64703E-2</v>
      </c>
      <c r="BB221" s="22">
        <v>211</v>
      </c>
      <c r="BC221" s="22">
        <v>0.96130400000000005</v>
      </c>
      <c r="BD221">
        <f t="shared" si="46"/>
        <v>16.470300000000002</v>
      </c>
      <c r="BE221">
        <f t="shared" si="47"/>
        <v>15.853059037200003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45.000399999999999</v>
      </c>
      <c r="I222" s="22">
        <v>-1.7010500000000001E-2</v>
      </c>
      <c r="J222" s="22">
        <v>212</v>
      </c>
      <c r="K222" s="22">
        <v>0.78186</v>
      </c>
      <c r="L222">
        <f t="shared" si="36"/>
        <v>17.0105</v>
      </c>
      <c r="M222">
        <f t="shared" si="37"/>
        <v>13.310222945500001</v>
      </c>
      <c r="N222" s="9"/>
      <c r="O222" s="22">
        <v>0.96755999999999998</v>
      </c>
      <c r="P222" s="22">
        <v>100.396</v>
      </c>
      <c r="Q222" s="22">
        <v>-1.69617E-2</v>
      </c>
      <c r="R222" s="22">
        <v>212</v>
      </c>
      <c r="S222" s="22">
        <v>0.96649200000000002</v>
      </c>
      <c r="T222">
        <f t="shared" si="38"/>
        <v>16.9617</v>
      </c>
      <c r="U222">
        <f t="shared" si="39"/>
        <v>16.411462451999999</v>
      </c>
      <c r="X222" s="9"/>
      <c r="Y222" s="22">
        <v>0.78247100000000003</v>
      </c>
      <c r="Z222" s="22">
        <v>162.35300000000001</v>
      </c>
      <c r="AA222" s="22">
        <v>-1.7022700000000002E-2</v>
      </c>
      <c r="AB222" s="22">
        <v>212</v>
      </c>
      <c r="AC222" s="22">
        <v>0.780945</v>
      </c>
      <c r="AD222">
        <f t="shared" si="40"/>
        <v>17.0227</v>
      </c>
      <c r="AE222">
        <f t="shared" si="41"/>
        <v>13.319769091700001</v>
      </c>
      <c r="AF222" s="9"/>
      <c r="AG222" s="22">
        <v>0.96755999999999998</v>
      </c>
      <c r="AH222" s="22">
        <v>241.886</v>
      </c>
      <c r="AI222" s="22">
        <v>-1.6787699999999999E-2</v>
      </c>
      <c r="AJ222" s="22">
        <v>212</v>
      </c>
      <c r="AK222" s="22">
        <v>0.96649200000000002</v>
      </c>
      <c r="AL222">
        <f t="shared" si="42"/>
        <v>16.787699999999997</v>
      </c>
      <c r="AM222">
        <f t="shared" si="43"/>
        <v>16.243107011999996</v>
      </c>
      <c r="AP222" s="9"/>
      <c r="AQ222" s="22">
        <v>0.78247100000000003</v>
      </c>
      <c r="AR222" s="22">
        <v>294.30200000000002</v>
      </c>
      <c r="AS222" s="22">
        <v>-1.67969E-2</v>
      </c>
      <c r="AT222" s="22">
        <v>212</v>
      </c>
      <c r="AU222" s="22">
        <v>0.781555</v>
      </c>
      <c r="AV222">
        <f t="shared" si="44"/>
        <v>16.796900000000001</v>
      </c>
      <c r="AW222">
        <f t="shared" si="45"/>
        <v>13.1430871399</v>
      </c>
      <c r="AX222" s="9"/>
      <c r="AY222" s="22">
        <v>0.96755999999999998</v>
      </c>
      <c r="AZ222" s="22">
        <v>373.53300000000002</v>
      </c>
      <c r="BA222" s="22">
        <v>-1.6482500000000001E-2</v>
      </c>
      <c r="BB222" s="22">
        <v>212</v>
      </c>
      <c r="BC222" s="22">
        <v>0.96588099999999999</v>
      </c>
      <c r="BD222">
        <f t="shared" si="46"/>
        <v>16.482500000000002</v>
      </c>
      <c r="BE222">
        <f t="shared" si="47"/>
        <v>15.947807700000002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45.101100000000002</v>
      </c>
      <c r="I223" s="22">
        <v>-1.70013E-2</v>
      </c>
      <c r="J223" s="22">
        <v>213</v>
      </c>
      <c r="K223" s="22">
        <v>0.77636700000000003</v>
      </c>
      <c r="L223">
        <f t="shared" si="36"/>
        <v>17.001300000000001</v>
      </c>
      <c r="M223">
        <f t="shared" si="37"/>
        <v>13.217405665499999</v>
      </c>
      <c r="N223" s="9"/>
      <c r="O223" s="22">
        <v>0.97259499999999999</v>
      </c>
      <c r="P223" s="22">
        <v>100.497</v>
      </c>
      <c r="Q223" s="22">
        <v>-1.6943400000000001E-2</v>
      </c>
      <c r="R223" s="22">
        <v>213</v>
      </c>
      <c r="S223" s="22">
        <v>0.97198499999999999</v>
      </c>
      <c r="T223">
        <f t="shared" si="38"/>
        <v>16.9434</v>
      </c>
      <c r="U223">
        <f t="shared" si="39"/>
        <v>16.479066122999999</v>
      </c>
      <c r="X223" s="9"/>
      <c r="Y223" s="22">
        <v>0.77743499999999999</v>
      </c>
      <c r="Z223" s="22">
        <v>162.45400000000001</v>
      </c>
      <c r="AA223" s="22">
        <v>-1.70166E-2</v>
      </c>
      <c r="AB223" s="22">
        <v>213</v>
      </c>
      <c r="AC223" s="22">
        <v>0.77636700000000003</v>
      </c>
      <c r="AD223">
        <f t="shared" si="40"/>
        <v>17.0166</v>
      </c>
      <c r="AE223">
        <f t="shared" si="41"/>
        <v>13.229300421</v>
      </c>
      <c r="AF223" s="9"/>
      <c r="AG223" s="22">
        <v>0.97259499999999999</v>
      </c>
      <c r="AH223" s="22">
        <v>241.98599999999999</v>
      </c>
      <c r="AI223" s="22">
        <v>-1.6763299999999998E-2</v>
      </c>
      <c r="AJ223" s="22">
        <v>213</v>
      </c>
      <c r="AK223" s="22">
        <v>0.97137499999999999</v>
      </c>
      <c r="AL223">
        <f t="shared" si="42"/>
        <v>16.763299999999997</v>
      </c>
      <c r="AM223">
        <f t="shared" si="43"/>
        <v>16.303901763499997</v>
      </c>
      <c r="AP223" s="9"/>
      <c r="AQ223" s="22">
        <v>0.77743499999999999</v>
      </c>
      <c r="AR223" s="22">
        <v>294.40300000000002</v>
      </c>
      <c r="AS223" s="22">
        <v>-1.67999E-2</v>
      </c>
      <c r="AT223" s="22">
        <v>213</v>
      </c>
      <c r="AU223" s="22">
        <v>0.77697799999999995</v>
      </c>
      <c r="AV223">
        <f t="shared" si="44"/>
        <v>16.799900000000001</v>
      </c>
      <c r="AW223">
        <f t="shared" si="45"/>
        <v>13.060830256500001</v>
      </c>
      <c r="AX223" s="9"/>
      <c r="AY223" s="22">
        <v>0.97259499999999999</v>
      </c>
      <c r="AZ223" s="22">
        <v>373.63299999999998</v>
      </c>
      <c r="BA223" s="22">
        <v>-1.6467300000000001E-2</v>
      </c>
      <c r="BB223" s="22">
        <v>213</v>
      </c>
      <c r="BC223" s="22">
        <v>0.97167999999999999</v>
      </c>
      <c r="BD223">
        <f t="shared" si="46"/>
        <v>16.467300000000002</v>
      </c>
      <c r="BE223">
        <f t="shared" si="47"/>
        <v>16.016013643500003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45.201799999999999</v>
      </c>
      <c r="I224" s="22">
        <v>-1.7004399999999999E-2</v>
      </c>
      <c r="J224" s="22">
        <v>214</v>
      </c>
      <c r="K224" s="22">
        <v>0.77148399999999995</v>
      </c>
      <c r="L224">
        <f t="shared" si="36"/>
        <v>17.0044</v>
      </c>
      <c r="M224">
        <f t="shared" si="37"/>
        <v>13.13419856</v>
      </c>
      <c r="N224" s="9"/>
      <c r="O224" s="22">
        <v>0.97763100000000003</v>
      </c>
      <c r="P224" s="22">
        <v>100.598</v>
      </c>
      <c r="Q224" s="22">
        <v>-1.69342E-2</v>
      </c>
      <c r="R224" s="22">
        <v>214</v>
      </c>
      <c r="S224" s="22">
        <v>0.97686799999999996</v>
      </c>
      <c r="T224">
        <f t="shared" si="38"/>
        <v>16.934200000000001</v>
      </c>
      <c r="U224">
        <f t="shared" si="39"/>
        <v>16.555398880200002</v>
      </c>
      <c r="X224" s="9"/>
      <c r="Y224" s="22">
        <v>0.77239999999999998</v>
      </c>
      <c r="Z224" s="22">
        <v>162.55500000000001</v>
      </c>
      <c r="AA224" s="22">
        <v>-1.7025800000000001E-2</v>
      </c>
      <c r="AB224" s="22">
        <v>214</v>
      </c>
      <c r="AC224" s="22">
        <v>0.77148399999999995</v>
      </c>
      <c r="AD224">
        <f t="shared" si="40"/>
        <v>17.0258</v>
      </c>
      <c r="AE224">
        <f t="shared" si="41"/>
        <v>13.15072792</v>
      </c>
      <c r="AF224" s="9"/>
      <c r="AG224" s="22">
        <v>0.97763100000000003</v>
      </c>
      <c r="AH224" s="22">
        <v>242.08699999999999</v>
      </c>
      <c r="AI224" s="22">
        <v>-1.6793800000000001E-2</v>
      </c>
      <c r="AJ224" s="22">
        <v>214</v>
      </c>
      <c r="AK224" s="22">
        <v>0.97686799999999996</v>
      </c>
      <c r="AL224">
        <f t="shared" si="42"/>
        <v>16.793800000000001</v>
      </c>
      <c r="AM224">
        <f t="shared" si="43"/>
        <v>16.418139487800001</v>
      </c>
      <c r="AP224" s="9"/>
      <c r="AQ224" s="22">
        <v>0.77239999999999998</v>
      </c>
      <c r="AR224" s="22">
        <v>294.50400000000002</v>
      </c>
      <c r="AS224" s="22">
        <v>-1.6781600000000001E-2</v>
      </c>
      <c r="AT224" s="22">
        <v>214</v>
      </c>
      <c r="AU224" s="22">
        <v>0.77178999999999998</v>
      </c>
      <c r="AV224">
        <f t="shared" si="44"/>
        <v>16.781600000000001</v>
      </c>
      <c r="AW224">
        <f t="shared" si="45"/>
        <v>12.96210784</v>
      </c>
      <c r="AX224" s="9"/>
      <c r="AY224" s="22">
        <v>0.97763100000000003</v>
      </c>
      <c r="AZ224" s="22">
        <v>373.73399999999998</v>
      </c>
      <c r="BA224" s="22">
        <v>-1.651E-2</v>
      </c>
      <c r="BB224" s="22">
        <v>214</v>
      </c>
      <c r="BC224" s="22">
        <v>0.97595200000000004</v>
      </c>
      <c r="BD224">
        <f t="shared" si="46"/>
        <v>16.510000000000002</v>
      </c>
      <c r="BE224">
        <f t="shared" si="47"/>
        <v>16.140687810000003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45.302500000000002</v>
      </c>
      <c r="I225" s="22">
        <v>-1.7019699999999999E-2</v>
      </c>
      <c r="J225" s="22">
        <v>215</v>
      </c>
      <c r="K225" s="22">
        <v>0.76690700000000001</v>
      </c>
      <c r="L225">
        <f t="shared" si="36"/>
        <v>17.0197</v>
      </c>
      <c r="M225">
        <f t="shared" si="37"/>
        <v>13.0603220905</v>
      </c>
      <c r="N225" s="9"/>
      <c r="O225" s="22">
        <v>0.98266600000000004</v>
      </c>
      <c r="P225" s="22">
        <v>100.69799999999999</v>
      </c>
      <c r="Q225" s="22">
        <v>-1.69617E-2</v>
      </c>
      <c r="R225" s="22">
        <v>215</v>
      </c>
      <c r="S225" s="22">
        <v>0.98175000000000001</v>
      </c>
      <c r="T225">
        <f t="shared" si="38"/>
        <v>16.9617</v>
      </c>
      <c r="U225">
        <f t="shared" si="39"/>
        <v>16.667685892200002</v>
      </c>
      <c r="X225" s="9"/>
      <c r="Y225" s="22">
        <v>0.76736499999999996</v>
      </c>
      <c r="Z225" s="22">
        <v>162.655</v>
      </c>
      <c r="AA225" s="22">
        <v>-1.7047099999999999E-2</v>
      </c>
      <c r="AB225" s="22">
        <v>215</v>
      </c>
      <c r="AC225" s="22">
        <v>0.76629599999999998</v>
      </c>
      <c r="AD225">
        <f t="shared" si="40"/>
        <v>17.0471</v>
      </c>
      <c r="AE225">
        <f t="shared" si="41"/>
        <v>13.0813478915</v>
      </c>
      <c r="AF225" s="9"/>
      <c r="AG225" s="22">
        <v>0.98266600000000004</v>
      </c>
      <c r="AH225" s="22">
        <v>242.18799999999999</v>
      </c>
      <c r="AI225" s="22">
        <v>-1.6787699999999999E-2</v>
      </c>
      <c r="AJ225" s="22">
        <v>215</v>
      </c>
      <c r="AK225" s="22">
        <v>0.98205600000000004</v>
      </c>
      <c r="AL225">
        <f t="shared" si="42"/>
        <v>16.787699999999997</v>
      </c>
      <c r="AM225">
        <f t="shared" si="43"/>
        <v>16.4967020082</v>
      </c>
      <c r="AP225" s="9"/>
      <c r="AQ225" s="22">
        <v>0.76736499999999996</v>
      </c>
      <c r="AR225" s="22">
        <v>294.60399999999998</v>
      </c>
      <c r="AS225" s="22">
        <v>-1.6802999999999998E-2</v>
      </c>
      <c r="AT225" s="22">
        <v>215</v>
      </c>
      <c r="AU225" s="22">
        <v>0.76629599999999998</v>
      </c>
      <c r="AV225">
        <f t="shared" si="44"/>
        <v>16.802999999999997</v>
      </c>
      <c r="AW225">
        <f t="shared" si="45"/>
        <v>12.894034094999997</v>
      </c>
      <c r="AX225" s="9"/>
      <c r="AY225" s="22">
        <v>0.98266600000000004</v>
      </c>
      <c r="AZ225" s="22">
        <v>373.83499999999998</v>
      </c>
      <c r="BA225" s="22">
        <v>-1.65405E-2</v>
      </c>
      <c r="BB225" s="22">
        <v>215</v>
      </c>
      <c r="BC225" s="22">
        <v>0.98175000000000001</v>
      </c>
      <c r="BD225">
        <f t="shared" si="46"/>
        <v>16.540499999999998</v>
      </c>
      <c r="BE225">
        <f t="shared" si="47"/>
        <v>16.253786973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45.403199999999998</v>
      </c>
      <c r="I226" s="22">
        <v>-1.70288E-2</v>
      </c>
      <c r="J226" s="22">
        <v>216</v>
      </c>
      <c r="K226" s="22">
        <v>0.76171900000000003</v>
      </c>
      <c r="L226">
        <f t="shared" si="36"/>
        <v>17.0288</v>
      </c>
      <c r="M226">
        <f t="shared" si="37"/>
        <v>12.981548075200001</v>
      </c>
      <c r="N226" s="9"/>
      <c r="O226" s="22">
        <v>0.98770100000000005</v>
      </c>
      <c r="P226" s="22">
        <v>100.79900000000001</v>
      </c>
      <c r="Q226" s="22">
        <v>-1.6940299999999998E-2</v>
      </c>
      <c r="R226" s="22">
        <v>216</v>
      </c>
      <c r="S226" s="22">
        <v>0.98693799999999998</v>
      </c>
      <c r="T226">
        <f t="shared" si="38"/>
        <v>16.940299999999997</v>
      </c>
      <c r="U226">
        <f t="shared" si="39"/>
        <v>16.731951250299996</v>
      </c>
      <c r="X226" s="9"/>
      <c r="Y226" s="22">
        <v>0.76232900000000003</v>
      </c>
      <c r="Z226" s="22">
        <v>162.756</v>
      </c>
      <c r="AA226" s="22">
        <v>-1.7022700000000002E-2</v>
      </c>
      <c r="AB226" s="22">
        <v>216</v>
      </c>
      <c r="AC226" s="22">
        <v>0.76141400000000004</v>
      </c>
      <c r="AD226">
        <f t="shared" si="40"/>
        <v>17.0227</v>
      </c>
      <c r="AE226">
        <f t="shared" si="41"/>
        <v>12.9768978683</v>
      </c>
      <c r="AF226" s="9"/>
      <c r="AG226" s="22">
        <v>0.98770100000000005</v>
      </c>
      <c r="AH226" s="22">
        <v>242.28800000000001</v>
      </c>
      <c r="AI226" s="22">
        <v>-1.6772499999999999E-2</v>
      </c>
      <c r="AJ226" s="22">
        <v>216</v>
      </c>
      <c r="AK226" s="22">
        <v>0.98602299999999998</v>
      </c>
      <c r="AL226">
        <f t="shared" si="42"/>
        <v>16.772500000000001</v>
      </c>
      <c r="AM226">
        <f t="shared" si="43"/>
        <v>16.566215022500003</v>
      </c>
      <c r="AP226" s="9"/>
      <c r="AQ226" s="22">
        <v>0.76232900000000003</v>
      </c>
      <c r="AR226" s="22">
        <v>294.70499999999998</v>
      </c>
      <c r="AS226" s="22">
        <v>-1.68243E-2</v>
      </c>
      <c r="AT226" s="22">
        <v>216</v>
      </c>
      <c r="AU226" s="22">
        <v>0.76141400000000004</v>
      </c>
      <c r="AV226">
        <f t="shared" si="44"/>
        <v>16.824300000000001</v>
      </c>
      <c r="AW226">
        <f t="shared" si="45"/>
        <v>12.825651794700001</v>
      </c>
      <c r="AX226" s="9"/>
      <c r="AY226" s="22">
        <v>0.98770100000000005</v>
      </c>
      <c r="AZ226" s="22">
        <v>373.935</v>
      </c>
      <c r="BA226" s="22">
        <v>-1.6513099999999999E-2</v>
      </c>
      <c r="BB226" s="22">
        <v>216</v>
      </c>
      <c r="BC226" s="22">
        <v>0.98693799999999998</v>
      </c>
      <c r="BD226">
        <f t="shared" si="46"/>
        <v>16.513099999999998</v>
      </c>
      <c r="BE226">
        <f t="shared" si="47"/>
        <v>16.310005383099998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45.503900000000002</v>
      </c>
      <c r="I227" s="22">
        <v>-1.7034899999999999E-2</v>
      </c>
      <c r="J227" s="22">
        <v>217</v>
      </c>
      <c r="K227" s="22">
        <v>0.75653099999999995</v>
      </c>
      <c r="L227">
        <f t="shared" si="36"/>
        <v>17.0349</v>
      </c>
      <c r="M227">
        <f t="shared" si="37"/>
        <v>12.900427560600001</v>
      </c>
      <c r="N227" s="9"/>
      <c r="O227" s="22">
        <v>0.99273699999999998</v>
      </c>
      <c r="P227" s="22">
        <v>100.9</v>
      </c>
      <c r="Q227" s="22">
        <v>-1.6949499999999999E-2</v>
      </c>
      <c r="R227" s="22">
        <v>217</v>
      </c>
      <c r="S227" s="22">
        <v>0.99182099999999995</v>
      </c>
      <c r="T227">
        <f t="shared" si="38"/>
        <v>16.9495</v>
      </c>
      <c r="U227">
        <f t="shared" si="39"/>
        <v>16.8263957815</v>
      </c>
      <c r="X227" s="9"/>
      <c r="Y227" s="22">
        <v>0.75729400000000002</v>
      </c>
      <c r="Z227" s="22">
        <v>162.857</v>
      </c>
      <c r="AA227" s="22">
        <v>-1.7038000000000001E-2</v>
      </c>
      <c r="AB227" s="22">
        <v>217</v>
      </c>
      <c r="AC227" s="22">
        <v>0.75592000000000004</v>
      </c>
      <c r="AD227">
        <f t="shared" si="40"/>
        <v>17.038</v>
      </c>
      <c r="AE227">
        <f t="shared" si="41"/>
        <v>12.902775172</v>
      </c>
      <c r="AF227" s="9"/>
      <c r="AG227" s="22">
        <v>0.99273699999999998</v>
      </c>
      <c r="AH227" s="22">
        <v>242.38900000000001</v>
      </c>
      <c r="AI227" s="22">
        <v>-1.6747999999999999E-2</v>
      </c>
      <c r="AJ227" s="22">
        <v>217</v>
      </c>
      <c r="AK227" s="22">
        <v>0.99182099999999995</v>
      </c>
      <c r="AL227">
        <f t="shared" si="42"/>
        <v>16.747999999999998</v>
      </c>
      <c r="AM227">
        <f t="shared" si="43"/>
        <v>16.626359275999999</v>
      </c>
      <c r="AP227" s="9"/>
      <c r="AQ227" s="22">
        <v>0.75729400000000002</v>
      </c>
      <c r="AR227" s="22">
        <v>294.80599999999998</v>
      </c>
      <c r="AS227" s="22">
        <v>-1.6857899999999999E-2</v>
      </c>
      <c r="AT227" s="22">
        <v>217</v>
      </c>
      <c r="AU227" s="22">
        <v>0.75622599999999995</v>
      </c>
      <c r="AV227">
        <f t="shared" si="44"/>
        <v>16.857899999999997</v>
      </c>
      <c r="AW227">
        <f t="shared" si="45"/>
        <v>12.766386522599998</v>
      </c>
      <c r="AX227" s="9"/>
      <c r="AY227" s="22">
        <v>0.99273699999999998</v>
      </c>
      <c r="AZ227" s="22">
        <v>374.036</v>
      </c>
      <c r="BA227" s="22">
        <v>-1.64948E-2</v>
      </c>
      <c r="BB227" s="22">
        <v>217</v>
      </c>
      <c r="BC227" s="22">
        <v>0.99151599999999995</v>
      </c>
      <c r="BD227">
        <f t="shared" si="46"/>
        <v>16.494800000000001</v>
      </c>
      <c r="BE227">
        <f t="shared" si="47"/>
        <v>16.374998267600002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45.604599999999998</v>
      </c>
      <c r="I228" s="22">
        <v>-1.7025800000000001E-2</v>
      </c>
      <c r="J228" s="22">
        <v>218</v>
      </c>
      <c r="K228" s="22">
        <v>0.75134299999999998</v>
      </c>
      <c r="L228">
        <f t="shared" si="36"/>
        <v>17.0258</v>
      </c>
      <c r="M228">
        <f t="shared" si="37"/>
        <v>12.807794256399999</v>
      </c>
      <c r="N228" s="9"/>
      <c r="O228" s="22">
        <v>0.99777199999999999</v>
      </c>
      <c r="P228" s="22">
        <v>101</v>
      </c>
      <c r="Q228" s="22">
        <v>-1.69312E-2</v>
      </c>
      <c r="R228" s="22">
        <v>218</v>
      </c>
      <c r="S228" s="22">
        <v>0.99761999999999995</v>
      </c>
      <c r="T228">
        <f t="shared" si="38"/>
        <v>16.9312</v>
      </c>
      <c r="U228">
        <f t="shared" si="39"/>
        <v>16.8934772864</v>
      </c>
      <c r="X228" s="9"/>
      <c r="Y228" s="22">
        <v>0.75225799999999998</v>
      </c>
      <c r="Z228" s="22">
        <v>162.95699999999999</v>
      </c>
      <c r="AA228" s="22">
        <v>-1.70288E-2</v>
      </c>
      <c r="AB228" s="22">
        <v>218</v>
      </c>
      <c r="AC228" s="22">
        <v>0.75134299999999998</v>
      </c>
      <c r="AD228">
        <f t="shared" si="40"/>
        <v>17.0288</v>
      </c>
      <c r="AE228">
        <f t="shared" si="41"/>
        <v>12.8100510304</v>
      </c>
      <c r="AF228" s="9"/>
      <c r="AG228" s="22">
        <v>0.99777199999999999</v>
      </c>
      <c r="AH228" s="22">
        <v>242.49</v>
      </c>
      <c r="AI228" s="22">
        <v>-1.6751100000000001E-2</v>
      </c>
      <c r="AJ228" s="22">
        <v>218</v>
      </c>
      <c r="AK228" s="22">
        <v>0.99670400000000003</v>
      </c>
      <c r="AL228">
        <f t="shared" si="42"/>
        <v>16.751100000000001</v>
      </c>
      <c r="AM228">
        <f t="shared" si="43"/>
        <v>16.713778549200001</v>
      </c>
      <c r="AP228" s="9"/>
      <c r="AQ228" s="22">
        <v>0.75225799999999998</v>
      </c>
      <c r="AR228" s="22">
        <v>294.90699999999998</v>
      </c>
      <c r="AS228" s="22">
        <v>-1.68793E-2</v>
      </c>
      <c r="AT228" s="22">
        <v>218</v>
      </c>
      <c r="AU228" s="22">
        <v>0.75134299999999998</v>
      </c>
      <c r="AV228">
        <f t="shared" si="44"/>
        <v>16.879300000000001</v>
      </c>
      <c r="AW228">
        <f t="shared" si="45"/>
        <v>12.6975884594</v>
      </c>
      <c r="AX228" s="9"/>
      <c r="AY228" s="22">
        <v>0.99777199999999999</v>
      </c>
      <c r="AZ228" s="22">
        <v>374.137</v>
      </c>
      <c r="BA228" s="22">
        <v>-1.6488599999999999E-2</v>
      </c>
      <c r="BB228" s="22">
        <v>218</v>
      </c>
      <c r="BC228" s="22">
        <v>0.99639900000000003</v>
      </c>
      <c r="BD228">
        <f t="shared" si="46"/>
        <v>16.488599999999998</v>
      </c>
      <c r="BE228">
        <f t="shared" si="47"/>
        <v>16.451863399199997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45.705399999999997</v>
      </c>
      <c r="I229" s="22">
        <v>-1.7034899999999999E-2</v>
      </c>
      <c r="J229" s="22">
        <v>219</v>
      </c>
      <c r="K229" s="22">
        <v>0.74652099999999999</v>
      </c>
      <c r="L229">
        <f t="shared" si="36"/>
        <v>17.0349</v>
      </c>
      <c r="M229">
        <f t="shared" si="37"/>
        <v>12.728869082699999</v>
      </c>
      <c r="N229" s="9"/>
      <c r="O229" s="22">
        <v>1.00281</v>
      </c>
      <c r="P229" s="22">
        <v>101.101</v>
      </c>
      <c r="Q229" s="22">
        <v>-1.69312E-2</v>
      </c>
      <c r="R229" s="22">
        <v>219</v>
      </c>
      <c r="S229" s="22">
        <v>1.0018899999999999</v>
      </c>
      <c r="T229">
        <f t="shared" si="38"/>
        <v>16.9312</v>
      </c>
      <c r="U229">
        <f t="shared" si="39"/>
        <v>16.978776671999999</v>
      </c>
      <c r="X229" s="9"/>
      <c r="Y229" s="22">
        <v>0.74722299999999997</v>
      </c>
      <c r="Z229" s="22">
        <v>163.05799999999999</v>
      </c>
      <c r="AA229" s="22">
        <v>-1.7038000000000001E-2</v>
      </c>
      <c r="AB229" s="22">
        <v>219</v>
      </c>
      <c r="AC229" s="22">
        <v>0.74655199999999999</v>
      </c>
      <c r="AD229">
        <f t="shared" si="40"/>
        <v>17.038</v>
      </c>
      <c r="AE229">
        <f t="shared" si="41"/>
        <v>12.731185474</v>
      </c>
      <c r="AF229" s="9"/>
      <c r="AG229" s="22">
        <v>1.00281</v>
      </c>
      <c r="AH229" s="22">
        <v>242.59</v>
      </c>
      <c r="AI229" s="22">
        <v>-1.67694E-2</v>
      </c>
      <c r="AJ229" s="22">
        <v>219</v>
      </c>
      <c r="AK229" s="22">
        <v>1.0022</v>
      </c>
      <c r="AL229">
        <f t="shared" si="42"/>
        <v>16.769400000000001</v>
      </c>
      <c r="AM229">
        <f t="shared" si="43"/>
        <v>16.816522014</v>
      </c>
      <c r="AP229" s="9"/>
      <c r="AQ229" s="22">
        <v>0.74722299999999997</v>
      </c>
      <c r="AR229" s="22">
        <v>295.00700000000001</v>
      </c>
      <c r="AS229" s="22">
        <v>-1.6900600000000002E-2</v>
      </c>
      <c r="AT229" s="22">
        <v>219</v>
      </c>
      <c r="AU229" s="22">
        <v>0.74661299999999997</v>
      </c>
      <c r="AV229">
        <f t="shared" si="44"/>
        <v>16.900600000000001</v>
      </c>
      <c r="AW229">
        <f t="shared" si="45"/>
        <v>12.6285170338</v>
      </c>
      <c r="AX229" s="9"/>
      <c r="AY229" s="22">
        <v>1.00281</v>
      </c>
      <c r="AZ229" s="22">
        <v>374.238</v>
      </c>
      <c r="BA229" s="22">
        <v>-1.6500899999999999E-2</v>
      </c>
      <c r="BB229" s="22">
        <v>219</v>
      </c>
      <c r="BC229" s="22">
        <v>1.0018899999999999</v>
      </c>
      <c r="BD229">
        <f t="shared" si="46"/>
        <v>16.500899999999998</v>
      </c>
      <c r="BE229">
        <f t="shared" si="47"/>
        <v>16.547267528999999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45.806100000000001</v>
      </c>
      <c r="I230" s="22">
        <v>-1.70563E-2</v>
      </c>
      <c r="J230" s="22">
        <v>220</v>
      </c>
      <c r="K230" s="22">
        <v>0.74148599999999998</v>
      </c>
      <c r="L230">
        <f t="shared" si="36"/>
        <v>17.0563</v>
      </c>
      <c r="M230">
        <f t="shared" si="37"/>
        <v>12.6589811844</v>
      </c>
      <c r="N230" s="9"/>
      <c r="O230" s="22">
        <v>1.0078400000000001</v>
      </c>
      <c r="P230" s="22">
        <v>101.202</v>
      </c>
      <c r="Q230" s="22">
        <v>-1.6912799999999999E-2</v>
      </c>
      <c r="R230" s="22">
        <v>220</v>
      </c>
      <c r="S230" s="22">
        <v>1.0067699999999999</v>
      </c>
      <c r="T230">
        <f t="shared" si="38"/>
        <v>16.912799999999997</v>
      </c>
      <c r="U230">
        <f t="shared" si="39"/>
        <v>17.045396351999997</v>
      </c>
      <c r="X230" s="9"/>
      <c r="Y230" s="22">
        <v>0.74218799999999996</v>
      </c>
      <c r="Z230" s="22">
        <v>163.15899999999999</v>
      </c>
      <c r="AA230" s="22">
        <v>-1.7050200000000001E-2</v>
      </c>
      <c r="AB230" s="22">
        <v>220</v>
      </c>
      <c r="AC230" s="22">
        <v>0.74148599999999998</v>
      </c>
      <c r="AD230">
        <f t="shared" si="40"/>
        <v>17.0502</v>
      </c>
      <c r="AE230">
        <f t="shared" si="41"/>
        <v>12.6544538376</v>
      </c>
      <c r="AF230" s="9"/>
      <c r="AG230" s="22">
        <v>1.0078400000000001</v>
      </c>
      <c r="AH230" s="22">
        <v>242.691</v>
      </c>
      <c r="AI230" s="22">
        <v>-1.6775499999999999E-2</v>
      </c>
      <c r="AJ230" s="22">
        <v>220</v>
      </c>
      <c r="AK230" s="22">
        <v>1.0067699999999999</v>
      </c>
      <c r="AL230">
        <f t="shared" si="42"/>
        <v>16.775499999999997</v>
      </c>
      <c r="AM230">
        <f t="shared" si="43"/>
        <v>16.90701992</v>
      </c>
      <c r="AP230" s="9"/>
      <c r="AQ230" s="22">
        <v>0.74218799999999996</v>
      </c>
      <c r="AR230" s="22">
        <v>295.108</v>
      </c>
      <c r="AS230" s="22">
        <v>-1.6854899999999999E-2</v>
      </c>
      <c r="AT230" s="22">
        <v>220</v>
      </c>
      <c r="AU230" s="22">
        <v>0.74163800000000002</v>
      </c>
      <c r="AV230">
        <f t="shared" si="44"/>
        <v>16.854900000000001</v>
      </c>
      <c r="AW230">
        <f t="shared" si="45"/>
        <v>12.5095045212</v>
      </c>
      <c r="AX230" s="9"/>
      <c r="AY230" s="22">
        <v>1.0078400000000001</v>
      </c>
      <c r="AZ230" s="22">
        <v>374.33800000000002</v>
      </c>
      <c r="BA230" s="22">
        <v>-1.6507000000000001E-2</v>
      </c>
      <c r="BB230" s="22">
        <v>220</v>
      </c>
      <c r="BC230" s="22">
        <v>1.0067699999999999</v>
      </c>
      <c r="BD230">
        <f t="shared" si="46"/>
        <v>16.507000000000001</v>
      </c>
      <c r="BE230">
        <f t="shared" si="47"/>
        <v>16.636414880000004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45.906799999999997</v>
      </c>
      <c r="I231" s="22">
        <v>-1.7065400000000001E-2</v>
      </c>
      <c r="J231" s="22">
        <v>221</v>
      </c>
      <c r="K231" s="22">
        <v>0.73645000000000005</v>
      </c>
      <c r="L231">
        <f t="shared" si="36"/>
        <v>17.0654</v>
      </c>
      <c r="M231">
        <f t="shared" si="37"/>
        <v>12.579793740800001</v>
      </c>
      <c r="N231" s="9"/>
      <c r="O231" s="22">
        <v>1.01288</v>
      </c>
      <c r="P231" s="22">
        <v>101.303</v>
      </c>
      <c r="Q231" s="22">
        <v>-1.69067E-2</v>
      </c>
      <c r="R231" s="22">
        <v>221</v>
      </c>
      <c r="S231" s="22">
        <v>1.01227</v>
      </c>
      <c r="T231">
        <f t="shared" si="38"/>
        <v>16.906700000000001</v>
      </c>
      <c r="U231">
        <f t="shared" si="39"/>
        <v>17.124458296</v>
      </c>
      <c r="X231" s="9"/>
      <c r="Y231" s="22">
        <v>0.73715200000000003</v>
      </c>
      <c r="Z231" s="22">
        <v>163.26</v>
      </c>
      <c r="AA231" s="22">
        <v>-1.7047099999999999E-2</v>
      </c>
      <c r="AB231" s="22">
        <v>221</v>
      </c>
      <c r="AC231" s="22">
        <v>0.73641999999999996</v>
      </c>
      <c r="AD231">
        <f t="shared" si="40"/>
        <v>17.0471</v>
      </c>
      <c r="AE231">
        <f t="shared" si="41"/>
        <v>12.566303859200001</v>
      </c>
      <c r="AF231" s="9"/>
      <c r="AG231" s="22">
        <v>1.01288</v>
      </c>
      <c r="AH231" s="22">
        <v>242.792</v>
      </c>
      <c r="AI231" s="22">
        <v>-1.6751100000000001E-2</v>
      </c>
      <c r="AJ231" s="22">
        <v>221</v>
      </c>
      <c r="AK231" s="22">
        <v>1.01227</v>
      </c>
      <c r="AL231">
        <f t="shared" si="42"/>
        <v>16.751100000000001</v>
      </c>
      <c r="AM231">
        <f t="shared" si="43"/>
        <v>16.966854168000001</v>
      </c>
      <c r="AP231" s="9"/>
      <c r="AQ231" s="22">
        <v>0.73715200000000003</v>
      </c>
      <c r="AR231" s="22">
        <v>295.209</v>
      </c>
      <c r="AS231" s="22">
        <v>-1.6873200000000001E-2</v>
      </c>
      <c r="AT231" s="22">
        <v>221</v>
      </c>
      <c r="AU231" s="22">
        <v>0.73645000000000005</v>
      </c>
      <c r="AV231">
        <f t="shared" si="44"/>
        <v>16.873200000000001</v>
      </c>
      <c r="AW231">
        <f t="shared" si="45"/>
        <v>12.438113126400001</v>
      </c>
      <c r="AX231" s="9"/>
      <c r="AY231" s="22">
        <v>1.01288</v>
      </c>
      <c r="AZ231" s="22">
        <v>374.43900000000002</v>
      </c>
      <c r="BA231" s="22">
        <v>-1.64703E-2</v>
      </c>
      <c r="BB231" s="22">
        <v>221</v>
      </c>
      <c r="BC231" s="22">
        <v>1.01196</v>
      </c>
      <c r="BD231">
        <f t="shared" si="46"/>
        <v>16.470300000000002</v>
      </c>
      <c r="BE231">
        <f t="shared" si="47"/>
        <v>16.682437464000003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46.0075</v>
      </c>
      <c r="I232" s="22">
        <v>-1.70563E-2</v>
      </c>
      <c r="J232" s="22">
        <v>222</v>
      </c>
      <c r="K232" s="22">
        <v>0.73135399999999995</v>
      </c>
      <c r="L232">
        <f t="shared" si="36"/>
        <v>17.0563</v>
      </c>
      <c r="M232">
        <f t="shared" si="37"/>
        <v>12.487207187100001</v>
      </c>
      <c r="N232" s="9"/>
      <c r="O232" s="22">
        <v>1.0179100000000001</v>
      </c>
      <c r="P232" s="22">
        <v>101.40300000000001</v>
      </c>
      <c r="Q232" s="22">
        <v>-1.69067E-2</v>
      </c>
      <c r="R232" s="22">
        <v>222</v>
      </c>
      <c r="S232" s="22">
        <v>1.01654</v>
      </c>
      <c r="T232">
        <f t="shared" si="38"/>
        <v>16.906700000000001</v>
      </c>
      <c r="U232">
        <f t="shared" si="39"/>
        <v>17.209498997000001</v>
      </c>
      <c r="X232" s="9"/>
      <c r="Y232" s="22">
        <v>0.73211700000000002</v>
      </c>
      <c r="Z232" s="22">
        <v>163.36000000000001</v>
      </c>
      <c r="AA232" s="22">
        <v>-1.7047099999999999E-2</v>
      </c>
      <c r="AB232" s="22">
        <v>222</v>
      </c>
      <c r="AC232" s="22">
        <v>0.73144500000000001</v>
      </c>
      <c r="AD232">
        <f t="shared" si="40"/>
        <v>17.0471</v>
      </c>
      <c r="AE232">
        <f t="shared" si="41"/>
        <v>12.4804717107</v>
      </c>
      <c r="AF232" s="9"/>
      <c r="AG232" s="22">
        <v>1.0179100000000001</v>
      </c>
      <c r="AH232" s="22">
        <v>242.893</v>
      </c>
      <c r="AI232" s="22">
        <v>-1.67145E-2</v>
      </c>
      <c r="AJ232" s="22">
        <v>222</v>
      </c>
      <c r="AK232" s="22">
        <v>1.01685</v>
      </c>
      <c r="AL232">
        <f t="shared" si="42"/>
        <v>16.714500000000001</v>
      </c>
      <c r="AM232">
        <f t="shared" si="43"/>
        <v>17.013856695000001</v>
      </c>
      <c r="AP232" s="9"/>
      <c r="AQ232" s="22">
        <v>0.73211700000000002</v>
      </c>
      <c r="AR232" s="22">
        <v>295.30900000000003</v>
      </c>
      <c r="AS232" s="22">
        <v>-1.6888400000000001E-2</v>
      </c>
      <c r="AT232" s="22">
        <v>222</v>
      </c>
      <c r="AU232" s="22">
        <v>0.73159799999999997</v>
      </c>
      <c r="AV232">
        <f t="shared" si="44"/>
        <v>16.888400000000001</v>
      </c>
      <c r="AW232">
        <f t="shared" si="45"/>
        <v>12.364284742800001</v>
      </c>
      <c r="AX232" s="9"/>
      <c r="AY232" s="22">
        <v>1.0179100000000001</v>
      </c>
      <c r="AZ232" s="22">
        <v>374.54</v>
      </c>
      <c r="BA232" s="22">
        <v>-1.6461199999999999E-2</v>
      </c>
      <c r="BB232" s="22">
        <v>222</v>
      </c>
      <c r="BC232" s="22">
        <v>1.01685</v>
      </c>
      <c r="BD232">
        <f t="shared" si="46"/>
        <v>16.461199999999998</v>
      </c>
      <c r="BE232">
        <f t="shared" si="47"/>
        <v>16.756020092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46.108199999999997</v>
      </c>
      <c r="I233" s="22">
        <v>-1.70685E-2</v>
      </c>
      <c r="J233" s="22">
        <v>223</v>
      </c>
      <c r="K233" s="22">
        <v>0.72641</v>
      </c>
      <c r="L233">
        <f t="shared" si="36"/>
        <v>17.0685</v>
      </c>
      <c r="M233">
        <f t="shared" si="37"/>
        <v>12.410182048499999</v>
      </c>
      <c r="N233" s="9"/>
      <c r="O233" s="22">
        <v>1.02295</v>
      </c>
      <c r="P233" s="22">
        <v>101.504</v>
      </c>
      <c r="Q233" s="22">
        <v>-1.68945E-2</v>
      </c>
      <c r="R233" s="22">
        <v>223</v>
      </c>
      <c r="S233" s="22">
        <v>1.02203</v>
      </c>
      <c r="T233">
        <f t="shared" si="38"/>
        <v>16.894500000000001</v>
      </c>
      <c r="U233">
        <f t="shared" si="39"/>
        <v>17.282228775</v>
      </c>
      <c r="X233" s="9"/>
      <c r="Y233" s="22">
        <v>0.72708099999999998</v>
      </c>
      <c r="Z233" s="22">
        <v>163.46100000000001</v>
      </c>
      <c r="AA233" s="22">
        <v>-1.7074599999999999E-2</v>
      </c>
      <c r="AB233" s="22">
        <v>223</v>
      </c>
      <c r="AC233" s="22">
        <v>0.72650099999999995</v>
      </c>
      <c r="AD233">
        <f t="shared" si="40"/>
        <v>17.0746</v>
      </c>
      <c r="AE233">
        <f t="shared" si="41"/>
        <v>12.4146172426</v>
      </c>
      <c r="AF233" s="9"/>
      <c r="AG233" s="22">
        <v>1.02295</v>
      </c>
      <c r="AH233" s="22">
        <v>242.99299999999999</v>
      </c>
      <c r="AI233" s="22">
        <v>-1.6699200000000001E-2</v>
      </c>
      <c r="AJ233" s="22">
        <v>223</v>
      </c>
      <c r="AK233" s="22">
        <v>1.02203</v>
      </c>
      <c r="AL233">
        <f t="shared" si="42"/>
        <v>16.699200000000001</v>
      </c>
      <c r="AM233">
        <f t="shared" si="43"/>
        <v>17.082446640000001</v>
      </c>
      <c r="AP233" s="9"/>
      <c r="AQ233" s="22">
        <v>0.72708099999999998</v>
      </c>
      <c r="AR233" s="22">
        <v>295.41000000000003</v>
      </c>
      <c r="AS233" s="22">
        <v>-1.68915E-2</v>
      </c>
      <c r="AT233" s="22">
        <v>223</v>
      </c>
      <c r="AU233" s="22">
        <v>0.726379</v>
      </c>
      <c r="AV233">
        <f t="shared" si="44"/>
        <v>16.891500000000001</v>
      </c>
      <c r="AW233">
        <f t="shared" si="45"/>
        <v>12.2814887115</v>
      </c>
      <c r="AX233" s="9"/>
      <c r="AY233" s="22">
        <v>1.02295</v>
      </c>
      <c r="AZ233" s="22">
        <v>374.64</v>
      </c>
      <c r="BA233" s="22">
        <v>-1.6482500000000001E-2</v>
      </c>
      <c r="BB233" s="22">
        <v>223</v>
      </c>
      <c r="BC233" s="22">
        <v>1.02203</v>
      </c>
      <c r="BD233">
        <f t="shared" si="46"/>
        <v>16.482500000000002</v>
      </c>
      <c r="BE233">
        <f t="shared" si="47"/>
        <v>16.860773375000001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46.2089</v>
      </c>
      <c r="I234" s="22">
        <v>-1.7065400000000001E-2</v>
      </c>
      <c r="J234" s="22">
        <v>224</v>
      </c>
      <c r="K234" s="22">
        <v>0.72137499999999999</v>
      </c>
      <c r="L234">
        <f t="shared" si="36"/>
        <v>17.0654</v>
      </c>
      <c r="M234">
        <f t="shared" si="37"/>
        <v>12.3220038084</v>
      </c>
      <c r="N234" s="9"/>
      <c r="O234" s="22">
        <v>1.0279799999999999</v>
      </c>
      <c r="P234" s="22">
        <v>101.605</v>
      </c>
      <c r="Q234" s="22">
        <v>-1.6915900000000001E-2</v>
      </c>
      <c r="R234" s="22">
        <v>224</v>
      </c>
      <c r="S234" s="22">
        <v>1.02722</v>
      </c>
      <c r="T234">
        <f t="shared" si="38"/>
        <v>16.915900000000001</v>
      </c>
      <c r="U234">
        <f t="shared" si="39"/>
        <v>17.389206882</v>
      </c>
      <c r="X234" s="9"/>
      <c r="Y234" s="22">
        <v>0.72204599999999997</v>
      </c>
      <c r="Z234" s="22">
        <v>163.56200000000001</v>
      </c>
      <c r="AA234" s="22">
        <v>-1.70441E-2</v>
      </c>
      <c r="AB234" s="22">
        <v>224</v>
      </c>
      <c r="AC234" s="22">
        <v>0.72140499999999996</v>
      </c>
      <c r="AD234">
        <f t="shared" si="40"/>
        <v>17.0441</v>
      </c>
      <c r="AE234">
        <f t="shared" si="41"/>
        <v>12.306624228599999</v>
      </c>
      <c r="AF234" s="9"/>
      <c r="AG234" s="22">
        <v>1.0279799999999999</v>
      </c>
      <c r="AH234" s="22">
        <v>243.09399999999999</v>
      </c>
      <c r="AI234" s="22">
        <v>-1.6711400000000001E-2</v>
      </c>
      <c r="AJ234" s="22">
        <v>224</v>
      </c>
      <c r="AK234" s="22">
        <v>1.0269200000000001</v>
      </c>
      <c r="AL234">
        <f t="shared" si="42"/>
        <v>16.711400000000001</v>
      </c>
      <c r="AM234">
        <f t="shared" si="43"/>
        <v>17.178984971999999</v>
      </c>
      <c r="AP234" s="9"/>
      <c r="AQ234" s="22">
        <v>0.72204599999999997</v>
      </c>
      <c r="AR234" s="22">
        <v>295.51100000000002</v>
      </c>
      <c r="AS234" s="22">
        <v>-1.68793E-2</v>
      </c>
      <c r="AT234" s="22">
        <v>224</v>
      </c>
      <c r="AU234" s="22">
        <v>0.72149700000000005</v>
      </c>
      <c r="AV234">
        <f t="shared" si="44"/>
        <v>16.879300000000001</v>
      </c>
      <c r="AW234">
        <f t="shared" si="45"/>
        <v>12.1876310478</v>
      </c>
      <c r="AX234" s="9"/>
      <c r="AY234" s="22">
        <v>1.0279799999999999</v>
      </c>
      <c r="AZ234" s="22">
        <v>374.74099999999999</v>
      </c>
      <c r="BA234" s="22">
        <v>-1.64703E-2</v>
      </c>
      <c r="BB234" s="22">
        <v>224</v>
      </c>
      <c r="BC234" s="22">
        <v>1.0275300000000001</v>
      </c>
      <c r="BD234">
        <f t="shared" si="46"/>
        <v>16.470300000000002</v>
      </c>
      <c r="BE234">
        <f t="shared" si="47"/>
        <v>16.931138994000001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46.309600000000003</v>
      </c>
      <c r="I235" s="22">
        <v>-1.7050200000000001E-2</v>
      </c>
      <c r="J235" s="22">
        <v>225</v>
      </c>
      <c r="K235" s="22">
        <v>0.71633899999999995</v>
      </c>
      <c r="L235">
        <f t="shared" si="36"/>
        <v>17.0502</v>
      </c>
      <c r="M235">
        <f t="shared" si="37"/>
        <v>12.225163902</v>
      </c>
      <c r="N235" s="9"/>
      <c r="O235" s="22">
        <v>1.03302</v>
      </c>
      <c r="P235" s="22">
        <v>101.705</v>
      </c>
      <c r="Q235" s="22">
        <v>-1.68793E-2</v>
      </c>
      <c r="R235" s="22">
        <v>225</v>
      </c>
      <c r="S235" s="22">
        <v>1.0318000000000001</v>
      </c>
      <c r="T235">
        <f t="shared" si="38"/>
        <v>16.879300000000001</v>
      </c>
      <c r="U235">
        <f t="shared" si="39"/>
        <v>17.436654486000002</v>
      </c>
      <c r="X235" s="9"/>
      <c r="Y235" s="22">
        <v>0.71701000000000004</v>
      </c>
      <c r="Z235" s="22">
        <v>163.66200000000001</v>
      </c>
      <c r="AA235" s="22">
        <v>-1.7041000000000001E-2</v>
      </c>
      <c r="AB235" s="22">
        <v>225</v>
      </c>
      <c r="AC235" s="22">
        <v>0.71630899999999997</v>
      </c>
      <c r="AD235">
        <f t="shared" si="40"/>
        <v>17.041</v>
      </c>
      <c r="AE235">
        <f t="shared" si="41"/>
        <v>12.21856741</v>
      </c>
      <c r="AF235" s="9"/>
      <c r="AG235" s="22">
        <v>1.03302</v>
      </c>
      <c r="AH235" s="22">
        <v>243.19499999999999</v>
      </c>
      <c r="AI235" s="22">
        <v>-1.6741900000000001E-2</v>
      </c>
      <c r="AJ235" s="22">
        <v>225</v>
      </c>
      <c r="AK235" s="22">
        <v>1.0318000000000001</v>
      </c>
      <c r="AL235">
        <f t="shared" si="42"/>
        <v>16.741900000000001</v>
      </c>
      <c r="AM235">
        <f t="shared" si="43"/>
        <v>17.294717538</v>
      </c>
      <c r="AP235" s="9"/>
      <c r="AQ235" s="22">
        <v>0.71701000000000004</v>
      </c>
      <c r="AR235" s="22">
        <v>295.61200000000002</v>
      </c>
      <c r="AS235" s="22">
        <v>-1.6897599999999999E-2</v>
      </c>
      <c r="AT235" s="22">
        <v>225</v>
      </c>
      <c r="AU235" s="22">
        <v>0.71646100000000001</v>
      </c>
      <c r="AV235">
        <f t="shared" si="44"/>
        <v>16.897599999999997</v>
      </c>
      <c r="AW235">
        <f t="shared" si="45"/>
        <v>12.115748175999999</v>
      </c>
      <c r="AX235" s="9"/>
      <c r="AY235" s="22">
        <v>1.03302</v>
      </c>
      <c r="AZ235" s="22">
        <v>374.84199999999998</v>
      </c>
      <c r="BA235" s="22">
        <v>-1.64581E-2</v>
      </c>
      <c r="BB235" s="22">
        <v>225</v>
      </c>
      <c r="BC235" s="22">
        <v>1.03241</v>
      </c>
      <c r="BD235">
        <f t="shared" si="46"/>
        <v>16.458099999999998</v>
      </c>
      <c r="BE235">
        <f t="shared" si="47"/>
        <v>17.001546462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46.410299999999999</v>
      </c>
      <c r="I236" s="22">
        <v>-1.7059299999999999E-2</v>
      </c>
      <c r="J236" s="22">
        <v>226</v>
      </c>
      <c r="K236" s="22">
        <v>0.71130400000000005</v>
      </c>
      <c r="L236">
        <f t="shared" si="36"/>
        <v>17.0593</v>
      </c>
      <c r="M236">
        <f t="shared" si="37"/>
        <v>12.145795117500001</v>
      </c>
      <c r="N236" s="9"/>
      <c r="O236" s="22">
        <v>1.03806</v>
      </c>
      <c r="P236" s="22">
        <v>101.806</v>
      </c>
      <c r="Q236" s="22">
        <v>-1.68793E-2</v>
      </c>
      <c r="R236" s="22">
        <v>226</v>
      </c>
      <c r="S236" s="22">
        <v>1.03668</v>
      </c>
      <c r="T236">
        <f t="shared" si="38"/>
        <v>16.879300000000001</v>
      </c>
      <c r="U236">
        <f t="shared" si="39"/>
        <v>17.521726158</v>
      </c>
      <c r="X236" s="9"/>
      <c r="Y236" s="22">
        <v>0.71197500000000002</v>
      </c>
      <c r="Z236" s="22">
        <v>163.76300000000001</v>
      </c>
      <c r="AA236" s="22">
        <v>-1.7065400000000001E-2</v>
      </c>
      <c r="AB236" s="22">
        <v>226</v>
      </c>
      <c r="AC236" s="22">
        <v>0.71127300000000004</v>
      </c>
      <c r="AD236">
        <f t="shared" si="40"/>
        <v>17.0654</v>
      </c>
      <c r="AE236">
        <f t="shared" si="41"/>
        <v>12.150138165000001</v>
      </c>
      <c r="AF236" s="9"/>
      <c r="AG236" s="22">
        <v>1.03806</v>
      </c>
      <c r="AH236" s="22">
        <v>243.29499999999999</v>
      </c>
      <c r="AI236" s="22">
        <v>-1.6735799999999999E-2</v>
      </c>
      <c r="AJ236" s="22">
        <v>226</v>
      </c>
      <c r="AK236" s="22">
        <v>1.0369900000000001</v>
      </c>
      <c r="AL236">
        <f t="shared" si="42"/>
        <v>16.735799999999998</v>
      </c>
      <c r="AM236">
        <f t="shared" si="43"/>
        <v>17.372764547999996</v>
      </c>
      <c r="AP236" s="9"/>
      <c r="AQ236" s="22">
        <v>0.71197500000000002</v>
      </c>
      <c r="AR236" s="22">
        <v>295.71199999999999</v>
      </c>
      <c r="AS236" s="22">
        <v>-1.6922E-2</v>
      </c>
      <c r="AT236" s="22">
        <v>226</v>
      </c>
      <c r="AU236" s="22">
        <v>0.71133400000000002</v>
      </c>
      <c r="AV236">
        <f t="shared" si="44"/>
        <v>16.922000000000001</v>
      </c>
      <c r="AW236">
        <f t="shared" si="45"/>
        <v>12.048040950000001</v>
      </c>
      <c r="AX236" s="9"/>
      <c r="AY236" s="22">
        <v>1.03806</v>
      </c>
      <c r="AZ236" s="22">
        <v>374.94299999999998</v>
      </c>
      <c r="BA236" s="22">
        <v>-1.64856E-2</v>
      </c>
      <c r="BB236" s="22">
        <v>226</v>
      </c>
      <c r="BC236" s="22">
        <v>1.03729</v>
      </c>
      <c r="BD236">
        <f t="shared" si="46"/>
        <v>16.485599999999998</v>
      </c>
      <c r="BE236">
        <f t="shared" si="47"/>
        <v>17.113041935999998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46.511000000000003</v>
      </c>
      <c r="I237" s="22">
        <v>-1.7062399999999998E-2</v>
      </c>
      <c r="J237" s="22">
        <v>227</v>
      </c>
      <c r="K237" s="22">
        <v>0.70629900000000001</v>
      </c>
      <c r="L237">
        <f t="shared" si="36"/>
        <v>17.062399999999997</v>
      </c>
      <c r="M237">
        <f t="shared" si="37"/>
        <v>12.062093055999998</v>
      </c>
      <c r="N237" s="9"/>
      <c r="O237" s="22">
        <v>1.0430900000000001</v>
      </c>
      <c r="P237" s="22">
        <v>101.907</v>
      </c>
      <c r="Q237" s="22">
        <v>-1.68793E-2</v>
      </c>
      <c r="R237" s="22">
        <v>227</v>
      </c>
      <c r="S237" s="22">
        <v>1.0412600000000001</v>
      </c>
      <c r="T237">
        <f t="shared" si="38"/>
        <v>16.879300000000001</v>
      </c>
      <c r="U237">
        <f t="shared" si="39"/>
        <v>17.606629037000001</v>
      </c>
      <c r="X237" s="9"/>
      <c r="Y237" s="22">
        <v>0.70694000000000001</v>
      </c>
      <c r="Z237" s="22">
        <v>163.864</v>
      </c>
      <c r="AA237" s="22">
        <v>-1.70715E-2</v>
      </c>
      <c r="AB237" s="22">
        <v>227</v>
      </c>
      <c r="AC237" s="22">
        <v>0.70635999999999999</v>
      </c>
      <c r="AD237">
        <f t="shared" si="40"/>
        <v>17.0715</v>
      </c>
      <c r="AE237">
        <f t="shared" si="41"/>
        <v>12.06852621</v>
      </c>
      <c r="AF237" s="9"/>
      <c r="AG237" s="22">
        <v>1.0430900000000001</v>
      </c>
      <c r="AH237" s="22">
        <v>243.39599999999999</v>
      </c>
      <c r="AI237" s="22">
        <v>-1.67145E-2</v>
      </c>
      <c r="AJ237" s="22">
        <v>227</v>
      </c>
      <c r="AK237" s="22">
        <v>1.04156</v>
      </c>
      <c r="AL237">
        <f t="shared" si="42"/>
        <v>16.714500000000001</v>
      </c>
      <c r="AM237">
        <f t="shared" si="43"/>
        <v>17.434727805000001</v>
      </c>
      <c r="AP237" s="9"/>
      <c r="AQ237" s="22">
        <v>0.70694000000000001</v>
      </c>
      <c r="AR237" s="22">
        <v>295.81299999999999</v>
      </c>
      <c r="AS237" s="22">
        <v>-1.68945E-2</v>
      </c>
      <c r="AT237" s="22">
        <v>227</v>
      </c>
      <c r="AU237" s="22">
        <v>0.70623800000000003</v>
      </c>
      <c r="AV237">
        <f t="shared" si="44"/>
        <v>16.894500000000001</v>
      </c>
      <c r="AW237">
        <f t="shared" si="45"/>
        <v>11.94339783</v>
      </c>
      <c r="AX237" s="9"/>
      <c r="AY237" s="22">
        <v>1.0430900000000001</v>
      </c>
      <c r="AZ237" s="22">
        <v>375.04300000000001</v>
      </c>
      <c r="BA237" s="22">
        <v>-1.6421499999999999E-2</v>
      </c>
      <c r="BB237" s="22">
        <v>227</v>
      </c>
      <c r="BC237" s="22">
        <v>1.04156</v>
      </c>
      <c r="BD237">
        <f t="shared" si="46"/>
        <v>16.421499999999998</v>
      </c>
      <c r="BE237">
        <f t="shared" si="47"/>
        <v>17.129102435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46.611699999999999</v>
      </c>
      <c r="I238" s="22">
        <v>-1.70685E-2</v>
      </c>
      <c r="J238" s="22">
        <v>228</v>
      </c>
      <c r="K238" s="22">
        <v>0.701233</v>
      </c>
      <c r="L238">
        <f t="shared" si="36"/>
        <v>17.0685</v>
      </c>
      <c r="M238">
        <f t="shared" si="37"/>
        <v>11.980448424</v>
      </c>
      <c r="N238" s="9"/>
      <c r="O238" s="22">
        <v>1.04813</v>
      </c>
      <c r="P238" s="22">
        <v>102.008</v>
      </c>
      <c r="Q238" s="22">
        <v>-1.6885399999999998E-2</v>
      </c>
      <c r="R238" s="22">
        <v>228</v>
      </c>
      <c r="S238" s="22">
        <v>1.0473600000000001</v>
      </c>
      <c r="T238">
        <f t="shared" si="38"/>
        <v>16.885399999999997</v>
      </c>
      <c r="U238">
        <f t="shared" si="39"/>
        <v>17.698094301999998</v>
      </c>
      <c r="X238" s="9"/>
      <c r="Y238" s="22">
        <v>0.70190399999999997</v>
      </c>
      <c r="Z238" s="22">
        <v>163.965</v>
      </c>
      <c r="AA238" s="22">
        <v>-1.70715E-2</v>
      </c>
      <c r="AB238" s="22">
        <v>228</v>
      </c>
      <c r="AC238" s="22">
        <v>0.701233</v>
      </c>
      <c r="AD238">
        <f t="shared" si="40"/>
        <v>17.0715</v>
      </c>
      <c r="AE238">
        <f t="shared" si="41"/>
        <v>11.982554135999999</v>
      </c>
      <c r="AF238" s="9"/>
      <c r="AG238" s="22">
        <v>1.04813</v>
      </c>
      <c r="AH238" s="22">
        <v>243.49700000000001</v>
      </c>
      <c r="AI238" s="22">
        <v>-1.6738900000000001E-2</v>
      </c>
      <c r="AJ238" s="22">
        <v>228</v>
      </c>
      <c r="AK238" s="22">
        <v>1.0467500000000001</v>
      </c>
      <c r="AL238">
        <f t="shared" si="42"/>
        <v>16.738900000000001</v>
      </c>
      <c r="AM238">
        <f t="shared" si="43"/>
        <v>17.544543257000001</v>
      </c>
      <c r="AP238" s="9"/>
      <c r="AQ238" s="22">
        <v>0.70190399999999997</v>
      </c>
      <c r="AR238" s="22">
        <v>295.91399999999999</v>
      </c>
      <c r="AS238" s="22">
        <v>-1.6864000000000001E-2</v>
      </c>
      <c r="AT238" s="22">
        <v>228</v>
      </c>
      <c r="AU238" s="22">
        <v>0.70120199999999999</v>
      </c>
      <c r="AV238">
        <f t="shared" si="44"/>
        <v>16.864000000000001</v>
      </c>
      <c r="AW238">
        <f t="shared" si="45"/>
        <v>11.836909056</v>
      </c>
      <c r="AX238" s="9"/>
      <c r="AY238" s="22">
        <v>1.04813</v>
      </c>
      <c r="AZ238" s="22">
        <v>375.14400000000001</v>
      </c>
      <c r="BA238" s="22">
        <v>-1.6421499999999999E-2</v>
      </c>
      <c r="BB238" s="22">
        <v>228</v>
      </c>
      <c r="BC238" s="22">
        <v>1.0467500000000001</v>
      </c>
      <c r="BD238">
        <f t="shared" si="46"/>
        <v>16.421499999999998</v>
      </c>
      <c r="BE238">
        <f t="shared" si="47"/>
        <v>17.211866794999999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46.712400000000002</v>
      </c>
      <c r="I239" s="22">
        <v>-1.7062399999999998E-2</v>
      </c>
      <c r="J239" s="22">
        <v>229</v>
      </c>
      <c r="K239" s="22">
        <v>0.69619799999999998</v>
      </c>
      <c r="L239">
        <f t="shared" si="36"/>
        <v>17.062399999999997</v>
      </c>
      <c r="M239">
        <f t="shared" si="37"/>
        <v>11.890257625599997</v>
      </c>
      <c r="N239" s="9"/>
      <c r="O239" s="22">
        <v>1.0531600000000001</v>
      </c>
      <c r="P239" s="22">
        <v>102.108</v>
      </c>
      <c r="Q239" s="22">
        <v>-1.6882299999999999E-2</v>
      </c>
      <c r="R239" s="22">
        <v>229</v>
      </c>
      <c r="S239" s="22">
        <v>1.0522499999999999</v>
      </c>
      <c r="T239">
        <f t="shared" si="38"/>
        <v>16.882300000000001</v>
      </c>
      <c r="U239">
        <f t="shared" si="39"/>
        <v>17.779763068000001</v>
      </c>
      <c r="X239" s="9"/>
      <c r="Y239" s="22">
        <v>0.69686899999999996</v>
      </c>
      <c r="Z239" s="22">
        <v>164.065</v>
      </c>
      <c r="AA239" s="22">
        <v>-1.7065400000000001E-2</v>
      </c>
      <c r="AB239" s="22">
        <v>229</v>
      </c>
      <c r="AC239" s="22">
        <v>0.69622799999999996</v>
      </c>
      <c r="AD239">
        <f t="shared" si="40"/>
        <v>17.0654</v>
      </c>
      <c r="AE239">
        <f t="shared" si="41"/>
        <v>11.8923482326</v>
      </c>
      <c r="AF239" s="9"/>
      <c r="AG239" s="22">
        <v>1.0531600000000001</v>
      </c>
      <c r="AH239" s="22">
        <v>243.59800000000001</v>
      </c>
      <c r="AI239" s="22">
        <v>-1.67175E-2</v>
      </c>
      <c r="AJ239" s="22">
        <v>229</v>
      </c>
      <c r="AK239" s="22">
        <v>1.0519400000000001</v>
      </c>
      <c r="AL239">
        <f t="shared" si="42"/>
        <v>16.717500000000001</v>
      </c>
      <c r="AM239">
        <f t="shared" si="43"/>
        <v>17.606202300000003</v>
      </c>
      <c r="AP239" s="9"/>
      <c r="AQ239" s="22">
        <v>0.69686899999999996</v>
      </c>
      <c r="AR239" s="22">
        <v>296.01400000000001</v>
      </c>
      <c r="AS239" s="22">
        <v>-1.69067E-2</v>
      </c>
      <c r="AT239" s="22">
        <v>229</v>
      </c>
      <c r="AU239" s="22">
        <v>0.69622799999999996</v>
      </c>
      <c r="AV239">
        <f t="shared" si="44"/>
        <v>16.906700000000001</v>
      </c>
      <c r="AW239">
        <f t="shared" si="45"/>
        <v>11.7817551223</v>
      </c>
      <c r="AX239" s="9"/>
      <c r="AY239" s="22">
        <v>1.0531600000000001</v>
      </c>
      <c r="AZ239" s="22">
        <v>375.245</v>
      </c>
      <c r="BA239" s="22">
        <v>-1.6452000000000001E-2</v>
      </c>
      <c r="BB239" s="22">
        <v>229</v>
      </c>
      <c r="BC239" s="22">
        <v>1.0516399999999999</v>
      </c>
      <c r="BD239">
        <f t="shared" si="46"/>
        <v>16.452000000000002</v>
      </c>
      <c r="BE239">
        <f t="shared" si="47"/>
        <v>17.326588320000003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46.813099999999999</v>
      </c>
      <c r="I240" s="22">
        <v>-1.70441E-2</v>
      </c>
      <c r="J240" s="22">
        <v>230</v>
      </c>
      <c r="K240" s="22">
        <v>0.69116200000000005</v>
      </c>
      <c r="L240">
        <f t="shared" si="36"/>
        <v>17.0441</v>
      </c>
      <c r="M240">
        <f t="shared" si="37"/>
        <v>11.791670835300001</v>
      </c>
      <c r="N240" s="9"/>
      <c r="O240" s="22">
        <v>1.0582</v>
      </c>
      <c r="P240" s="22">
        <v>102.209</v>
      </c>
      <c r="Q240" s="22">
        <v>-1.6873200000000001E-2</v>
      </c>
      <c r="R240" s="22">
        <v>230</v>
      </c>
      <c r="S240" s="22">
        <v>1.0574300000000001</v>
      </c>
      <c r="T240">
        <f t="shared" si="38"/>
        <v>16.873200000000001</v>
      </c>
      <c r="U240">
        <f t="shared" si="39"/>
        <v>17.855220240000001</v>
      </c>
      <c r="X240" s="9"/>
      <c r="Y240" s="22">
        <v>0.69183300000000003</v>
      </c>
      <c r="Z240" s="22">
        <v>164.166</v>
      </c>
      <c r="AA240" s="22">
        <v>-1.7086799999999999E-2</v>
      </c>
      <c r="AB240" s="22">
        <v>230</v>
      </c>
      <c r="AC240" s="22">
        <v>0.69113199999999997</v>
      </c>
      <c r="AD240">
        <f t="shared" si="40"/>
        <v>17.0868</v>
      </c>
      <c r="AE240">
        <f t="shared" si="41"/>
        <v>11.821212104400001</v>
      </c>
      <c r="AF240" s="9"/>
      <c r="AG240" s="22">
        <v>1.0582</v>
      </c>
      <c r="AH240" s="22">
        <v>243.69800000000001</v>
      </c>
      <c r="AI240" s="22">
        <v>-1.6684000000000001E-2</v>
      </c>
      <c r="AJ240" s="22">
        <v>230</v>
      </c>
      <c r="AK240" s="22">
        <v>1.0571299999999999</v>
      </c>
      <c r="AL240">
        <f t="shared" si="42"/>
        <v>16.684000000000001</v>
      </c>
      <c r="AM240">
        <f t="shared" si="43"/>
        <v>17.655008800000001</v>
      </c>
      <c r="AP240" s="9"/>
      <c r="AQ240" s="22">
        <v>0.69183300000000003</v>
      </c>
      <c r="AR240" s="22">
        <v>296.11500000000001</v>
      </c>
      <c r="AS240" s="22">
        <v>-1.6903700000000001E-2</v>
      </c>
      <c r="AT240" s="22">
        <v>230</v>
      </c>
      <c r="AU240" s="22">
        <v>0.69116200000000005</v>
      </c>
      <c r="AV240">
        <f t="shared" si="44"/>
        <v>16.903700000000001</v>
      </c>
      <c r="AW240">
        <f t="shared" si="45"/>
        <v>11.694537482100001</v>
      </c>
      <c r="AX240" s="9"/>
      <c r="AY240" s="22">
        <v>1.0582</v>
      </c>
      <c r="AZ240" s="22">
        <v>375.34500000000003</v>
      </c>
      <c r="BA240" s="22">
        <v>-1.6448999999999998E-2</v>
      </c>
      <c r="BB240" s="22">
        <v>230</v>
      </c>
      <c r="BC240" s="22">
        <v>1.0568200000000001</v>
      </c>
      <c r="BD240">
        <f t="shared" si="46"/>
        <v>16.448999999999998</v>
      </c>
      <c r="BE240">
        <f t="shared" si="47"/>
        <v>17.406331799999997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46.913800000000002</v>
      </c>
      <c r="I241" s="22">
        <v>-1.7047099999999999E-2</v>
      </c>
      <c r="J241" s="22">
        <v>231</v>
      </c>
      <c r="K241" s="22">
        <v>0.68612700000000004</v>
      </c>
      <c r="L241">
        <f t="shared" si="36"/>
        <v>17.0471</v>
      </c>
      <c r="M241">
        <f t="shared" si="37"/>
        <v>11.7079141858</v>
      </c>
      <c r="N241" s="9"/>
      <c r="O241" s="22">
        <v>1.0632299999999999</v>
      </c>
      <c r="P241" s="22">
        <v>102.31</v>
      </c>
      <c r="Q241" s="22">
        <v>-1.6854899999999999E-2</v>
      </c>
      <c r="R241" s="22">
        <v>231</v>
      </c>
      <c r="S241" s="22">
        <v>1.0617099999999999</v>
      </c>
      <c r="T241">
        <f t="shared" si="38"/>
        <v>16.854900000000001</v>
      </c>
      <c r="U241">
        <f t="shared" si="39"/>
        <v>17.920635326999999</v>
      </c>
      <c r="X241" s="9"/>
      <c r="Y241" s="22">
        <v>0.68679800000000002</v>
      </c>
      <c r="Z241" s="22">
        <v>164.267</v>
      </c>
      <c r="AA241" s="22">
        <v>-1.7077599999999998E-2</v>
      </c>
      <c r="AB241" s="22">
        <v>231</v>
      </c>
      <c r="AC241" s="22">
        <v>0.68609600000000004</v>
      </c>
      <c r="AD241">
        <f t="shared" si="40"/>
        <v>17.077599999999997</v>
      </c>
      <c r="AE241">
        <f t="shared" si="41"/>
        <v>11.728861524799997</v>
      </c>
      <c r="AF241" s="9"/>
      <c r="AG241" s="22">
        <v>1.0632299999999999</v>
      </c>
      <c r="AH241" s="22">
        <v>243.79900000000001</v>
      </c>
      <c r="AI241" s="22">
        <v>-1.6677899999999999E-2</v>
      </c>
      <c r="AJ241" s="22">
        <v>231</v>
      </c>
      <c r="AK241" s="22">
        <v>1.0632299999999999</v>
      </c>
      <c r="AL241">
        <f t="shared" si="42"/>
        <v>16.677899999999998</v>
      </c>
      <c r="AM241">
        <f t="shared" si="43"/>
        <v>17.732443616999994</v>
      </c>
      <c r="AP241" s="9"/>
      <c r="AQ241" s="22">
        <v>0.68679800000000002</v>
      </c>
      <c r="AR241" s="22">
        <v>296.21600000000001</v>
      </c>
      <c r="AS241" s="22">
        <v>-1.6857899999999999E-2</v>
      </c>
      <c r="AT241" s="22">
        <v>231</v>
      </c>
      <c r="AU241" s="22">
        <v>0.68612700000000004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375.44600000000003</v>
      </c>
      <c r="BA241" s="22">
        <v>-1.6464199999999998E-2</v>
      </c>
      <c r="BB241" s="22">
        <v>231</v>
      </c>
      <c r="BC241" s="22">
        <v>1.0626199999999999</v>
      </c>
      <c r="BD241">
        <f t="shared" si="46"/>
        <v>16.464199999999998</v>
      </c>
      <c r="BE241">
        <f t="shared" si="47"/>
        <v>17.505231365999997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47.014600000000002</v>
      </c>
      <c r="I242" s="22">
        <v>-1.7065400000000001E-2</v>
      </c>
      <c r="J242" s="22">
        <v>232</v>
      </c>
      <c r="K242" s="22">
        <v>0.681091</v>
      </c>
      <c r="L242">
        <f t="shared" si="36"/>
        <v>17.0654</v>
      </c>
      <c r="M242">
        <f t="shared" si="37"/>
        <v>11.6345583002</v>
      </c>
      <c r="N242" s="9"/>
      <c r="O242" s="22">
        <v>1.0682700000000001</v>
      </c>
      <c r="P242" s="22">
        <v>102.41</v>
      </c>
      <c r="Q242" s="22">
        <v>-1.6861000000000001E-2</v>
      </c>
      <c r="R242" s="22">
        <v>232</v>
      </c>
      <c r="S242" s="22">
        <v>1.0671999999999999</v>
      </c>
      <c r="T242">
        <f t="shared" si="38"/>
        <v>16.861000000000001</v>
      </c>
      <c r="U242">
        <f t="shared" si="39"/>
        <v>18.01210047</v>
      </c>
      <c r="X242" s="9"/>
      <c r="Y242" s="22">
        <v>0.68176300000000001</v>
      </c>
      <c r="Z242" s="22">
        <v>164.36699999999999</v>
      </c>
      <c r="AA242" s="22">
        <v>-1.7077599999999998E-2</v>
      </c>
      <c r="AB242" s="22">
        <v>232</v>
      </c>
      <c r="AC242" s="22">
        <v>0.68121299999999996</v>
      </c>
      <c r="AD242">
        <f t="shared" si="40"/>
        <v>17.077599999999997</v>
      </c>
      <c r="AE242">
        <f t="shared" si="41"/>
        <v>11.642875808799998</v>
      </c>
      <c r="AF242" s="9"/>
      <c r="AG242" s="22">
        <v>1.0682700000000001</v>
      </c>
      <c r="AH242" s="22">
        <v>243.9</v>
      </c>
      <c r="AI242" s="22">
        <v>-1.6726700000000001E-2</v>
      </c>
      <c r="AJ242" s="22">
        <v>232</v>
      </c>
      <c r="AK242" s="22">
        <v>1.0671999999999999</v>
      </c>
      <c r="AL242">
        <f t="shared" si="42"/>
        <v>16.726700000000001</v>
      </c>
      <c r="AM242">
        <f t="shared" si="43"/>
        <v>17.868631809000004</v>
      </c>
      <c r="AP242" s="9"/>
      <c r="AQ242" s="22">
        <v>0.68176300000000001</v>
      </c>
      <c r="AR242" s="22">
        <v>296.31599999999997</v>
      </c>
      <c r="AS242" s="22">
        <v>-1.6876200000000001E-2</v>
      </c>
      <c r="AT242" s="22">
        <v>232</v>
      </c>
      <c r="AU242" s="22">
        <v>0.68103000000000002</v>
      </c>
      <c r="AV242">
        <f t="shared" si="44"/>
        <v>16.876200000000001</v>
      </c>
      <c r="AW242">
        <f t="shared" si="45"/>
        <v>11.505568740600001</v>
      </c>
      <c r="AX242" s="9"/>
      <c r="AY242" s="22">
        <v>1.0682700000000001</v>
      </c>
      <c r="AZ242" s="22">
        <v>375.54700000000003</v>
      </c>
      <c r="BA242" s="22">
        <v>-1.6479500000000001E-2</v>
      </c>
      <c r="BB242" s="22">
        <v>232</v>
      </c>
      <c r="BC242" s="22">
        <v>1.0678099999999999</v>
      </c>
      <c r="BD242">
        <f t="shared" si="46"/>
        <v>16.479500000000002</v>
      </c>
      <c r="BE242">
        <f t="shared" si="47"/>
        <v>17.604555465000004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47.115299999999998</v>
      </c>
      <c r="I243" s="22">
        <v>-1.7074599999999999E-2</v>
      </c>
      <c r="J243" s="22">
        <v>233</v>
      </c>
      <c r="K243" s="22">
        <v>0.67605599999999999</v>
      </c>
      <c r="L243">
        <f t="shared" si="36"/>
        <v>17.0746</v>
      </c>
      <c r="M243">
        <f t="shared" si="37"/>
        <v>11.5548428342</v>
      </c>
      <c r="N243" s="9"/>
      <c r="O243" s="22">
        <v>1.0732999999999999</v>
      </c>
      <c r="P243" s="22">
        <v>102.511</v>
      </c>
      <c r="Q243" s="22">
        <v>-1.6867099999999999E-2</v>
      </c>
      <c r="R243" s="22">
        <v>233</v>
      </c>
      <c r="S243" s="22">
        <v>1.0726899999999999</v>
      </c>
      <c r="T243">
        <f t="shared" si="38"/>
        <v>16.867100000000001</v>
      </c>
      <c r="U243">
        <f t="shared" si="39"/>
        <v>18.10345843</v>
      </c>
      <c r="X243" s="9"/>
      <c r="Y243" s="22">
        <v>0.67672699999999997</v>
      </c>
      <c r="Z243" s="22">
        <v>164.46799999999999</v>
      </c>
      <c r="AA243" s="22">
        <v>-1.7089799999999999E-2</v>
      </c>
      <c r="AB243" s="22">
        <v>233</v>
      </c>
      <c r="AC243" s="22">
        <v>0.67608599999999996</v>
      </c>
      <c r="AD243">
        <f t="shared" si="40"/>
        <v>17.0898</v>
      </c>
      <c r="AE243">
        <f t="shared" si="41"/>
        <v>11.565129084599999</v>
      </c>
      <c r="AF243" s="9"/>
      <c r="AG243" s="22">
        <v>1.0732999999999999</v>
      </c>
      <c r="AH243" s="22">
        <v>244</v>
      </c>
      <c r="AI243" s="22">
        <v>-1.67175E-2</v>
      </c>
      <c r="AJ243" s="22">
        <v>233</v>
      </c>
      <c r="AK243" s="22">
        <v>1.0726899999999999</v>
      </c>
      <c r="AL243">
        <f t="shared" si="42"/>
        <v>16.717500000000001</v>
      </c>
      <c r="AM243">
        <f t="shared" si="43"/>
        <v>17.942892749999999</v>
      </c>
      <c r="AP243" s="9"/>
      <c r="AQ243" s="22">
        <v>0.67672699999999997</v>
      </c>
      <c r="AR243" s="22">
        <v>296.41699999999997</v>
      </c>
      <c r="AS243" s="22">
        <v>-1.6918900000000001E-2</v>
      </c>
      <c r="AT243" s="22">
        <v>233</v>
      </c>
      <c r="AU243" s="22">
        <v>0.67611699999999997</v>
      </c>
      <c r="AV243">
        <f t="shared" si="44"/>
        <v>16.918900000000001</v>
      </c>
      <c r="AW243">
        <f t="shared" si="45"/>
        <v>11.4494764403</v>
      </c>
      <c r="AX243" s="9"/>
      <c r="AY243" s="22">
        <v>1.0732999999999999</v>
      </c>
      <c r="AZ243" s="22">
        <v>375.64699999999999</v>
      </c>
      <c r="BA243" s="22">
        <v>-1.6464199999999998E-2</v>
      </c>
      <c r="BB243" s="22">
        <v>233</v>
      </c>
      <c r="BC243" s="22">
        <v>1.07239</v>
      </c>
      <c r="BD243">
        <f t="shared" si="46"/>
        <v>16.464199999999998</v>
      </c>
      <c r="BE243">
        <f t="shared" si="47"/>
        <v>17.671025859999997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47.216000000000001</v>
      </c>
      <c r="I244" s="22">
        <v>-1.7074599999999999E-2</v>
      </c>
      <c r="J244" s="22">
        <v>234</v>
      </c>
      <c r="K244" s="22">
        <v>0.67095899999999997</v>
      </c>
      <c r="L244">
        <f t="shared" si="36"/>
        <v>17.0746</v>
      </c>
      <c r="M244">
        <f t="shared" si="37"/>
        <v>11.4688722232</v>
      </c>
      <c r="N244" s="9"/>
      <c r="O244" s="22">
        <v>1.0783400000000001</v>
      </c>
      <c r="P244" s="22">
        <v>102.61199999999999</v>
      </c>
      <c r="Q244" s="22">
        <v>-1.6845700000000002E-2</v>
      </c>
      <c r="R244" s="22">
        <v>234</v>
      </c>
      <c r="S244" s="22">
        <v>1.07697</v>
      </c>
      <c r="T244">
        <f t="shared" si="38"/>
        <v>16.845700000000001</v>
      </c>
      <c r="U244">
        <f t="shared" si="39"/>
        <v>18.165392138000001</v>
      </c>
      <c r="X244" s="9"/>
      <c r="Y244" s="22">
        <v>0.67169199999999996</v>
      </c>
      <c r="Z244" s="22">
        <v>164.56899999999999</v>
      </c>
      <c r="AA244" s="22">
        <v>-1.7080700000000001E-2</v>
      </c>
      <c r="AB244" s="22">
        <v>234</v>
      </c>
      <c r="AC244" s="22">
        <v>0.67095899999999997</v>
      </c>
      <c r="AD244">
        <f t="shared" si="40"/>
        <v>17.0807</v>
      </c>
      <c r="AE244">
        <f t="shared" si="41"/>
        <v>11.4729695444</v>
      </c>
      <c r="AF244" s="9"/>
      <c r="AG244" s="22">
        <v>1.0783400000000001</v>
      </c>
      <c r="AH244" s="22">
        <v>244.101</v>
      </c>
      <c r="AI244" s="22">
        <v>-1.67023E-2</v>
      </c>
      <c r="AJ244" s="22">
        <v>234</v>
      </c>
      <c r="AK244" s="22">
        <v>1.07758</v>
      </c>
      <c r="AL244">
        <f t="shared" si="42"/>
        <v>16.702300000000001</v>
      </c>
      <c r="AM244">
        <f t="shared" si="43"/>
        <v>18.010758182000004</v>
      </c>
      <c r="AP244" s="9"/>
      <c r="AQ244" s="22">
        <v>0.67169199999999996</v>
      </c>
      <c r="AR244" s="22">
        <v>296.51799999999997</v>
      </c>
      <c r="AS244" s="22">
        <v>-1.6867099999999999E-2</v>
      </c>
      <c r="AT244" s="22">
        <v>234</v>
      </c>
      <c r="AU244" s="22">
        <v>0.67098999999999998</v>
      </c>
      <c r="AV244">
        <f t="shared" si="44"/>
        <v>16.867100000000001</v>
      </c>
      <c r="AW244">
        <f t="shared" si="45"/>
        <v>11.329496133199999</v>
      </c>
      <c r="AX244" s="9"/>
      <c r="AY244" s="22">
        <v>1.0783400000000001</v>
      </c>
      <c r="AZ244" s="22">
        <v>375.74799999999999</v>
      </c>
      <c r="BA244" s="22">
        <v>-1.6433699999999999E-2</v>
      </c>
      <c r="BB244" s="22">
        <v>234</v>
      </c>
      <c r="BC244" s="22">
        <v>1.0772699999999999</v>
      </c>
      <c r="BD244">
        <f t="shared" si="46"/>
        <v>16.433699999999998</v>
      </c>
      <c r="BE244">
        <f t="shared" si="47"/>
        <v>17.721116058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47.316699999999997</v>
      </c>
      <c r="I245" s="22">
        <v>-1.7080700000000001E-2</v>
      </c>
      <c r="J245" s="22">
        <v>235</v>
      </c>
      <c r="K245" s="22">
        <v>0.66604600000000003</v>
      </c>
      <c r="L245">
        <f t="shared" si="36"/>
        <v>17.0807</v>
      </c>
      <c r="M245">
        <f t="shared" si="37"/>
        <v>11.386951139200001</v>
      </c>
      <c r="N245" s="9"/>
      <c r="O245" s="22">
        <v>1.0833699999999999</v>
      </c>
      <c r="P245" s="22">
        <v>102.71299999999999</v>
      </c>
      <c r="Q245" s="22">
        <v>-1.6845700000000002E-2</v>
      </c>
      <c r="R245" s="22">
        <v>235</v>
      </c>
      <c r="S245" s="22">
        <v>1.08246</v>
      </c>
      <c r="T245">
        <f t="shared" si="38"/>
        <v>16.845700000000001</v>
      </c>
      <c r="U245">
        <f t="shared" si="39"/>
        <v>18.250126008999999</v>
      </c>
      <c r="X245" s="9"/>
      <c r="Y245" s="22">
        <v>0.66665600000000003</v>
      </c>
      <c r="Z245" s="22">
        <v>164.66900000000001</v>
      </c>
      <c r="AA245" s="22">
        <v>-1.7050200000000001E-2</v>
      </c>
      <c r="AB245" s="22">
        <v>235</v>
      </c>
      <c r="AC245" s="22">
        <v>0.66595499999999996</v>
      </c>
      <c r="AD245">
        <f t="shared" si="40"/>
        <v>17.0502</v>
      </c>
      <c r="AE245">
        <f t="shared" si="41"/>
        <v>11.366618131200001</v>
      </c>
      <c r="AF245" s="9"/>
      <c r="AG245" s="22">
        <v>1.0833699999999999</v>
      </c>
      <c r="AH245" s="22">
        <v>244.202</v>
      </c>
      <c r="AI245" s="22">
        <v>-1.6699200000000001E-2</v>
      </c>
      <c r="AJ245" s="22">
        <v>235</v>
      </c>
      <c r="AK245" s="22">
        <v>1.0827599999999999</v>
      </c>
      <c r="AL245">
        <f t="shared" si="42"/>
        <v>16.699200000000001</v>
      </c>
      <c r="AM245">
        <f t="shared" si="43"/>
        <v>18.091412303999999</v>
      </c>
      <c r="AP245" s="9"/>
      <c r="AQ245" s="22">
        <v>0.66665600000000003</v>
      </c>
      <c r="AR245" s="22">
        <v>296.61900000000003</v>
      </c>
      <c r="AS245" s="22">
        <v>-1.68945E-2</v>
      </c>
      <c r="AT245" s="22">
        <v>235</v>
      </c>
      <c r="AU245" s="22">
        <v>0.66598500000000005</v>
      </c>
      <c r="AV245">
        <f t="shared" si="44"/>
        <v>16.894500000000001</v>
      </c>
      <c r="AW245">
        <f t="shared" si="45"/>
        <v>11.262819792</v>
      </c>
      <c r="AX245" s="9"/>
      <c r="AY245" s="22">
        <v>1.0833699999999999</v>
      </c>
      <c r="AZ245" s="22">
        <v>375.84899999999999</v>
      </c>
      <c r="BA245" s="22">
        <v>-1.6412400000000001E-2</v>
      </c>
      <c r="BB245" s="22">
        <v>235</v>
      </c>
      <c r="BC245" s="22">
        <v>1.0821499999999999</v>
      </c>
      <c r="BD245">
        <f t="shared" si="46"/>
        <v>16.412400000000002</v>
      </c>
      <c r="BE245">
        <f t="shared" si="47"/>
        <v>17.780701788000002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47.417400000000001</v>
      </c>
      <c r="I246" s="22">
        <v>-1.7074599999999999E-2</v>
      </c>
      <c r="J246" s="22">
        <v>236</v>
      </c>
      <c r="K246" s="22">
        <v>0.66088899999999995</v>
      </c>
      <c r="L246">
        <f t="shared" si="36"/>
        <v>17.0746</v>
      </c>
      <c r="M246">
        <f t="shared" si="37"/>
        <v>11.2969139266</v>
      </c>
      <c r="N246" s="9"/>
      <c r="O246" s="22">
        <v>1.0884100000000001</v>
      </c>
      <c r="P246" s="22">
        <v>102.813</v>
      </c>
      <c r="Q246" s="22">
        <v>-1.6848800000000001E-2</v>
      </c>
      <c r="R246" s="22">
        <v>236</v>
      </c>
      <c r="S246" s="22">
        <v>1.08765</v>
      </c>
      <c r="T246">
        <f t="shared" si="38"/>
        <v>16.848800000000001</v>
      </c>
      <c r="U246">
        <f t="shared" si="39"/>
        <v>18.338402408000004</v>
      </c>
      <c r="X246" s="9"/>
      <c r="Y246" s="22">
        <v>0.66162100000000001</v>
      </c>
      <c r="Z246" s="22">
        <v>164.77</v>
      </c>
      <c r="AA246" s="22">
        <v>-1.7089799999999999E-2</v>
      </c>
      <c r="AB246" s="22">
        <v>236</v>
      </c>
      <c r="AC246" s="22">
        <v>0.66101100000000002</v>
      </c>
      <c r="AD246">
        <f t="shared" si="40"/>
        <v>17.0898</v>
      </c>
      <c r="AE246">
        <f t="shared" si="41"/>
        <v>11.3069705658</v>
      </c>
      <c r="AF246" s="9"/>
      <c r="AG246" s="22">
        <v>1.0884100000000001</v>
      </c>
      <c r="AH246" s="22">
        <v>244.303</v>
      </c>
      <c r="AI246" s="22">
        <v>-1.6696200000000001E-2</v>
      </c>
      <c r="AJ246" s="22">
        <v>236</v>
      </c>
      <c r="AK246" s="22">
        <v>1.08704</v>
      </c>
      <c r="AL246">
        <f t="shared" si="42"/>
        <v>16.696200000000001</v>
      </c>
      <c r="AM246">
        <f t="shared" si="43"/>
        <v>18.172311042000004</v>
      </c>
      <c r="AP246" s="9"/>
      <c r="AQ246" s="22">
        <v>0.66162100000000001</v>
      </c>
      <c r="AR246" s="22">
        <v>296.71899999999999</v>
      </c>
      <c r="AS246" s="22">
        <v>-1.6876200000000001E-2</v>
      </c>
      <c r="AT246" s="22">
        <v>236</v>
      </c>
      <c r="AU246" s="22">
        <v>0.66104099999999999</v>
      </c>
      <c r="AV246">
        <f t="shared" si="44"/>
        <v>16.876200000000001</v>
      </c>
      <c r="AW246">
        <f t="shared" si="45"/>
        <v>11.165648320200001</v>
      </c>
      <c r="AX246" s="9"/>
      <c r="AY246" s="22">
        <v>1.0884100000000001</v>
      </c>
      <c r="AZ246" s="22">
        <v>375.95</v>
      </c>
      <c r="BA246" s="22">
        <v>-1.6384900000000001E-2</v>
      </c>
      <c r="BB246" s="22">
        <v>236</v>
      </c>
      <c r="BC246" s="22">
        <v>1.08734</v>
      </c>
      <c r="BD246">
        <f t="shared" si="46"/>
        <v>16.384900000000002</v>
      </c>
      <c r="BE246">
        <f t="shared" si="47"/>
        <v>17.833489009000004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47.518099999999997</v>
      </c>
      <c r="I247" s="22">
        <v>-1.7086799999999999E-2</v>
      </c>
      <c r="J247" s="22">
        <v>237</v>
      </c>
      <c r="K247" s="22">
        <v>0.65597499999999997</v>
      </c>
      <c r="L247">
        <f t="shared" si="36"/>
        <v>17.0868</v>
      </c>
      <c r="M247">
        <f t="shared" si="37"/>
        <v>11.218953664800001</v>
      </c>
      <c r="N247" s="9"/>
      <c r="O247" s="22">
        <v>1.09344</v>
      </c>
      <c r="P247" s="22">
        <v>102.914</v>
      </c>
      <c r="Q247" s="22">
        <v>-1.68518E-2</v>
      </c>
      <c r="R247" s="22">
        <v>237</v>
      </c>
      <c r="S247" s="22">
        <v>1.09283</v>
      </c>
      <c r="T247">
        <f t="shared" si="38"/>
        <v>16.851800000000001</v>
      </c>
      <c r="U247">
        <f t="shared" si="39"/>
        <v>18.426432192</v>
      </c>
      <c r="X247" s="9"/>
      <c r="Y247" s="22">
        <v>0.656586</v>
      </c>
      <c r="Z247" s="22">
        <v>164.87100000000001</v>
      </c>
      <c r="AA247" s="22">
        <v>-1.70685E-2</v>
      </c>
      <c r="AB247" s="22">
        <v>237</v>
      </c>
      <c r="AC247" s="22">
        <v>0.655945</v>
      </c>
      <c r="AD247">
        <f t="shared" si="40"/>
        <v>17.0685</v>
      </c>
      <c r="AE247">
        <f t="shared" si="41"/>
        <v>11.206938141</v>
      </c>
      <c r="AF247" s="9"/>
      <c r="AG247" s="22">
        <v>1.09344</v>
      </c>
      <c r="AH247" s="22">
        <v>244.40299999999999</v>
      </c>
      <c r="AI247" s="22">
        <v>-1.67145E-2</v>
      </c>
      <c r="AJ247" s="22">
        <v>237</v>
      </c>
      <c r="AK247" s="22">
        <v>1.09253</v>
      </c>
      <c r="AL247">
        <f t="shared" si="42"/>
        <v>16.714500000000001</v>
      </c>
      <c r="AM247">
        <f t="shared" si="43"/>
        <v>18.276302879999999</v>
      </c>
      <c r="AP247" s="9"/>
      <c r="AQ247" s="22">
        <v>0.656586</v>
      </c>
      <c r="AR247" s="22">
        <v>296.82</v>
      </c>
      <c r="AS247" s="22">
        <v>-1.6888400000000001E-2</v>
      </c>
      <c r="AT247" s="22">
        <v>237</v>
      </c>
      <c r="AU247" s="22">
        <v>0.65603599999999995</v>
      </c>
      <c r="AV247">
        <f t="shared" si="44"/>
        <v>16.888400000000001</v>
      </c>
      <c r="AW247">
        <f t="shared" si="45"/>
        <v>11.0886870024</v>
      </c>
      <c r="AX247" s="9"/>
      <c r="AY247" s="22">
        <v>1.09344</v>
      </c>
      <c r="AZ247" s="22">
        <v>376.05</v>
      </c>
      <c r="BA247" s="22">
        <v>-1.6421499999999999E-2</v>
      </c>
      <c r="BB247" s="22">
        <v>237</v>
      </c>
      <c r="BC247" s="22">
        <v>1.09283</v>
      </c>
      <c r="BD247">
        <f t="shared" si="46"/>
        <v>16.421499999999998</v>
      </c>
      <c r="BE247">
        <f t="shared" si="47"/>
        <v>17.955924959999997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47.6188</v>
      </c>
      <c r="I248" s="22">
        <v>-1.7102099999999999E-2</v>
      </c>
      <c r="J248" s="22">
        <v>238</v>
      </c>
      <c r="K248" s="22">
        <v>0.65093999999999996</v>
      </c>
      <c r="L248">
        <f t="shared" si="36"/>
        <v>17.1021</v>
      </c>
      <c r="M248">
        <f t="shared" si="37"/>
        <v>11.142873255</v>
      </c>
      <c r="N248" s="9"/>
      <c r="O248" s="22">
        <v>1.0984799999999999</v>
      </c>
      <c r="P248" s="22">
        <v>103.015</v>
      </c>
      <c r="Q248" s="22">
        <v>-1.6833500000000001E-2</v>
      </c>
      <c r="R248" s="22">
        <v>238</v>
      </c>
      <c r="S248" s="22">
        <v>1.09802</v>
      </c>
      <c r="T248">
        <f t="shared" si="38"/>
        <v>16.833500000000001</v>
      </c>
      <c r="U248">
        <f t="shared" si="39"/>
        <v>18.49126308</v>
      </c>
      <c r="X248" s="9"/>
      <c r="Y248" s="22">
        <v>0.65154999999999996</v>
      </c>
      <c r="Z248" s="22">
        <v>164.97200000000001</v>
      </c>
      <c r="AA248" s="22">
        <v>-1.7080700000000001E-2</v>
      </c>
      <c r="AB248" s="22">
        <v>238</v>
      </c>
      <c r="AC248" s="22">
        <v>0.65087899999999999</v>
      </c>
      <c r="AD248">
        <f t="shared" si="40"/>
        <v>17.0807</v>
      </c>
      <c r="AE248">
        <f t="shared" si="41"/>
        <v>11.128930085</v>
      </c>
      <c r="AF248" s="9"/>
      <c r="AG248" s="22">
        <v>1.0984799999999999</v>
      </c>
      <c r="AH248" s="22">
        <v>244.50399999999999</v>
      </c>
      <c r="AI248" s="22">
        <v>-1.67145E-2</v>
      </c>
      <c r="AJ248" s="22">
        <v>238</v>
      </c>
      <c r="AK248" s="22">
        <v>1.09802</v>
      </c>
      <c r="AL248">
        <f t="shared" si="42"/>
        <v>16.714500000000001</v>
      </c>
      <c r="AM248">
        <f t="shared" si="43"/>
        <v>18.360543960000001</v>
      </c>
      <c r="AP248" s="9"/>
      <c r="AQ248" s="22">
        <v>0.65154999999999996</v>
      </c>
      <c r="AR248" s="22">
        <v>296.92099999999999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376.15100000000001</v>
      </c>
      <c r="BA248" s="22">
        <v>-1.6400100000000001E-2</v>
      </c>
      <c r="BB248" s="22">
        <v>238</v>
      </c>
      <c r="BC248" s="22">
        <v>1.09741</v>
      </c>
      <c r="BD248">
        <f t="shared" si="46"/>
        <v>16.400100000000002</v>
      </c>
      <c r="BE248">
        <f t="shared" si="47"/>
        <v>18.015181848000001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47.719499999999996</v>
      </c>
      <c r="I249" s="22">
        <v>-1.7086799999999999E-2</v>
      </c>
      <c r="J249" s="22">
        <v>239</v>
      </c>
      <c r="K249" s="22">
        <v>0.64584399999999997</v>
      </c>
      <c r="L249">
        <f t="shared" si="36"/>
        <v>17.0868</v>
      </c>
      <c r="M249">
        <f t="shared" si="37"/>
        <v>11.046872501999999</v>
      </c>
      <c r="N249" s="9"/>
      <c r="O249" s="22">
        <v>1.1035200000000001</v>
      </c>
      <c r="P249" s="22">
        <v>103.11499999999999</v>
      </c>
      <c r="Q249" s="22">
        <v>-1.6821300000000001E-2</v>
      </c>
      <c r="R249" s="22">
        <v>239</v>
      </c>
      <c r="S249" s="22">
        <v>1.10229</v>
      </c>
      <c r="T249">
        <f t="shared" si="38"/>
        <v>16.821300000000001</v>
      </c>
      <c r="U249">
        <f t="shared" si="39"/>
        <v>18.562640976000001</v>
      </c>
      <c r="X249" s="9"/>
      <c r="Y249" s="22">
        <v>0.64651499999999995</v>
      </c>
      <c r="Z249" s="22">
        <v>165.072</v>
      </c>
      <c r="AA249" s="22">
        <v>-1.7050200000000001E-2</v>
      </c>
      <c r="AB249" s="22">
        <v>239</v>
      </c>
      <c r="AC249" s="22">
        <v>0.64578199999999997</v>
      </c>
      <c r="AD249">
        <f t="shared" si="40"/>
        <v>17.0502</v>
      </c>
      <c r="AE249">
        <f t="shared" si="41"/>
        <v>11.023210053</v>
      </c>
      <c r="AF249" s="9"/>
      <c r="AG249" s="22">
        <v>1.1035200000000001</v>
      </c>
      <c r="AH249" s="22">
        <v>244.60499999999999</v>
      </c>
      <c r="AI249" s="22">
        <v>-1.6696200000000001E-2</v>
      </c>
      <c r="AJ249" s="22">
        <v>239</v>
      </c>
      <c r="AK249" s="22">
        <v>1.1029100000000001</v>
      </c>
      <c r="AL249">
        <f t="shared" si="42"/>
        <v>16.696200000000001</v>
      </c>
      <c r="AM249">
        <f t="shared" si="43"/>
        <v>18.424590624</v>
      </c>
      <c r="AP249" s="9"/>
      <c r="AQ249" s="22">
        <v>0.64651499999999995</v>
      </c>
      <c r="AR249" s="22">
        <v>297.02100000000002</v>
      </c>
      <c r="AS249" s="22">
        <v>-1.6836500000000001E-2</v>
      </c>
      <c r="AT249" s="22">
        <v>239</v>
      </c>
      <c r="AU249" s="22">
        <v>0.64587399999999995</v>
      </c>
      <c r="AV249">
        <f t="shared" si="44"/>
        <v>16.836500000000001</v>
      </c>
      <c r="AW249">
        <f t="shared" si="45"/>
        <v>10.885049797499999</v>
      </c>
      <c r="AX249" s="9"/>
      <c r="AY249" s="22">
        <v>1.1035200000000001</v>
      </c>
      <c r="AZ249" s="22">
        <v>376.25200000000001</v>
      </c>
      <c r="BA249" s="22">
        <v>-1.6409300000000002E-2</v>
      </c>
      <c r="BB249" s="22">
        <v>239</v>
      </c>
      <c r="BC249" s="22">
        <v>1.10229</v>
      </c>
      <c r="BD249">
        <f t="shared" si="46"/>
        <v>16.409300000000002</v>
      </c>
      <c r="BE249">
        <f t="shared" si="47"/>
        <v>18.107990736000001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47.8202</v>
      </c>
      <c r="I250" s="22">
        <v>-1.7092900000000001E-2</v>
      </c>
      <c r="J250" s="22">
        <v>240</v>
      </c>
      <c r="K250" s="22">
        <v>0.64077799999999996</v>
      </c>
      <c r="L250">
        <f t="shared" si="36"/>
        <v>17.0929</v>
      </c>
      <c r="M250">
        <f t="shared" si="37"/>
        <v>10.964736399100001</v>
      </c>
      <c r="N250" s="9"/>
      <c r="O250" s="22">
        <v>1.1085499999999999</v>
      </c>
      <c r="P250" s="22">
        <v>103.21599999999999</v>
      </c>
      <c r="Q250" s="22">
        <v>-1.6827399999999999E-2</v>
      </c>
      <c r="R250" s="22">
        <v>240</v>
      </c>
      <c r="S250" s="22">
        <v>1.1077900000000001</v>
      </c>
      <c r="T250">
        <f t="shared" si="38"/>
        <v>16.827400000000001</v>
      </c>
      <c r="U250">
        <f t="shared" si="39"/>
        <v>18.654014270000001</v>
      </c>
      <c r="X250" s="9"/>
      <c r="Y250" s="22">
        <v>0.64147900000000002</v>
      </c>
      <c r="Z250" s="22">
        <v>165.173</v>
      </c>
      <c r="AA250" s="22">
        <v>-1.7074599999999999E-2</v>
      </c>
      <c r="AB250" s="22">
        <v>240</v>
      </c>
      <c r="AC250" s="22">
        <v>0.64083900000000005</v>
      </c>
      <c r="AD250">
        <f t="shared" si="40"/>
        <v>17.0746</v>
      </c>
      <c r="AE250">
        <f t="shared" si="41"/>
        <v>10.952997333400001</v>
      </c>
      <c r="AF250" s="9"/>
      <c r="AG250" s="22">
        <v>1.1085499999999999</v>
      </c>
      <c r="AH250" s="22">
        <v>244.70500000000001</v>
      </c>
      <c r="AI250" s="22">
        <v>-1.6680899999999999E-2</v>
      </c>
      <c r="AJ250" s="22">
        <v>240</v>
      </c>
      <c r="AK250" s="22">
        <v>1.1077900000000001</v>
      </c>
      <c r="AL250">
        <f t="shared" si="42"/>
        <v>16.680899999999998</v>
      </c>
      <c r="AM250">
        <f t="shared" si="43"/>
        <v>18.491611694999996</v>
      </c>
      <c r="AP250" s="9"/>
      <c r="AQ250" s="22">
        <v>0.64147900000000002</v>
      </c>
      <c r="AR250" s="22">
        <v>297.12200000000001</v>
      </c>
      <c r="AS250" s="22">
        <v>-1.6818199999999998E-2</v>
      </c>
      <c r="AT250" s="22">
        <v>240</v>
      </c>
      <c r="AU250" s="22">
        <v>0.64077799999999996</v>
      </c>
      <c r="AV250">
        <f t="shared" si="44"/>
        <v>16.818199999999997</v>
      </c>
      <c r="AW250">
        <f t="shared" si="45"/>
        <v>10.788522117799999</v>
      </c>
      <c r="AX250" s="9"/>
      <c r="AY250" s="22">
        <v>1.1085499999999999</v>
      </c>
      <c r="AZ250" s="22">
        <v>376.35199999999998</v>
      </c>
      <c r="BA250" s="22">
        <v>-1.6393999999999999E-2</v>
      </c>
      <c r="BB250" s="22">
        <v>240</v>
      </c>
      <c r="BC250" s="22">
        <v>1.10748</v>
      </c>
      <c r="BD250">
        <f t="shared" si="46"/>
        <v>16.393999999999998</v>
      </c>
      <c r="BE250">
        <f t="shared" si="47"/>
        <v>18.173568699999997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47.920900000000003</v>
      </c>
      <c r="I251" s="22">
        <v>-1.7095900000000001E-2</v>
      </c>
      <c r="J251" s="22">
        <v>241</v>
      </c>
      <c r="K251" s="22">
        <v>0.63565099999999997</v>
      </c>
      <c r="L251">
        <f t="shared" si="36"/>
        <v>17.0959</v>
      </c>
      <c r="M251">
        <f t="shared" si="37"/>
        <v>10.8805829796</v>
      </c>
      <c r="N251" s="9"/>
      <c r="O251" s="22">
        <v>1.1135900000000001</v>
      </c>
      <c r="P251" s="22">
        <v>103.31699999999999</v>
      </c>
      <c r="Q251" s="22">
        <v>-1.68243E-2</v>
      </c>
      <c r="R251" s="22">
        <v>241</v>
      </c>
      <c r="S251" s="22">
        <v>1.11267</v>
      </c>
      <c r="T251">
        <f t="shared" si="38"/>
        <v>16.824300000000001</v>
      </c>
      <c r="U251">
        <f t="shared" si="39"/>
        <v>18.735372237000004</v>
      </c>
      <c r="X251" s="9"/>
      <c r="Y251" s="22">
        <v>0.63644400000000001</v>
      </c>
      <c r="Z251" s="22">
        <v>165.274</v>
      </c>
      <c r="AA251" s="22">
        <v>-1.7077599999999998E-2</v>
      </c>
      <c r="AB251" s="22">
        <v>241</v>
      </c>
      <c r="AC251" s="22">
        <v>0.63577300000000003</v>
      </c>
      <c r="AD251">
        <f t="shared" si="40"/>
        <v>17.077599999999997</v>
      </c>
      <c r="AE251">
        <f t="shared" si="41"/>
        <v>10.868936054399999</v>
      </c>
      <c r="AF251" s="9"/>
      <c r="AG251" s="22">
        <v>1.1135900000000001</v>
      </c>
      <c r="AH251" s="22">
        <v>244.80600000000001</v>
      </c>
      <c r="AI251" s="22">
        <v>-1.6659500000000001E-2</v>
      </c>
      <c r="AJ251" s="22">
        <v>241</v>
      </c>
      <c r="AK251" s="22">
        <v>1.1129800000000001</v>
      </c>
      <c r="AL251">
        <f t="shared" si="42"/>
        <v>16.659500000000001</v>
      </c>
      <c r="AM251">
        <f t="shared" si="43"/>
        <v>18.551852605000004</v>
      </c>
      <c r="AP251" s="9"/>
      <c r="AQ251" s="22">
        <v>0.63644400000000001</v>
      </c>
      <c r="AR251" s="22">
        <v>297.22300000000001</v>
      </c>
      <c r="AS251" s="22">
        <v>-1.6830399999999999E-2</v>
      </c>
      <c r="AT251" s="22">
        <v>241</v>
      </c>
      <c r="AU251" s="22">
        <v>0.63580300000000001</v>
      </c>
      <c r="AV251">
        <f t="shared" si="44"/>
        <v>16.830399999999997</v>
      </c>
      <c r="AW251">
        <f t="shared" si="45"/>
        <v>10.711607097599998</v>
      </c>
      <c r="AX251" s="9"/>
      <c r="AY251" s="22">
        <v>1.1135900000000001</v>
      </c>
      <c r="AZ251" s="22">
        <v>376.45299999999997</v>
      </c>
      <c r="BA251" s="22">
        <v>-1.6397100000000001E-2</v>
      </c>
      <c r="BB251" s="22">
        <v>241</v>
      </c>
      <c r="BC251" s="22">
        <v>1.11267</v>
      </c>
      <c r="BD251">
        <f t="shared" si="46"/>
        <v>16.397100000000002</v>
      </c>
      <c r="BE251">
        <f t="shared" si="47"/>
        <v>18.259646589000003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48.021599999999999</v>
      </c>
      <c r="I252" s="22">
        <v>-1.7095900000000001E-2</v>
      </c>
      <c r="J252" s="22">
        <v>242</v>
      </c>
      <c r="K252" s="22">
        <v>0.63082899999999997</v>
      </c>
      <c r="L252">
        <f t="shared" si="36"/>
        <v>17.0959</v>
      </c>
      <c r="M252">
        <f t="shared" si="37"/>
        <v>10.7945051231</v>
      </c>
      <c r="N252" s="9"/>
      <c r="O252" s="22">
        <v>1.1186199999999999</v>
      </c>
      <c r="P252" s="22">
        <v>103.417</v>
      </c>
      <c r="Q252" s="22">
        <v>-1.68243E-2</v>
      </c>
      <c r="R252" s="22">
        <v>242</v>
      </c>
      <c r="S252" s="22">
        <v>1.1178600000000001</v>
      </c>
      <c r="T252">
        <f t="shared" si="38"/>
        <v>16.824300000000001</v>
      </c>
      <c r="U252">
        <f t="shared" si="39"/>
        <v>18.819998466000001</v>
      </c>
      <c r="X252" s="9"/>
      <c r="Y252" s="22">
        <v>0.631409</v>
      </c>
      <c r="Z252" s="22">
        <v>165.374</v>
      </c>
      <c r="AA252" s="22">
        <v>-1.7095900000000001E-2</v>
      </c>
      <c r="AB252" s="22">
        <v>242</v>
      </c>
      <c r="AC252" s="22">
        <v>0.63082899999999997</v>
      </c>
      <c r="AD252">
        <f t="shared" si="40"/>
        <v>17.0959</v>
      </c>
      <c r="AE252">
        <f t="shared" si="41"/>
        <v>10.7945051231</v>
      </c>
      <c r="AF252" s="9"/>
      <c r="AG252" s="22">
        <v>1.1186199999999999</v>
      </c>
      <c r="AH252" s="22">
        <v>244.90700000000001</v>
      </c>
      <c r="AI252" s="22">
        <v>-1.6668700000000002E-2</v>
      </c>
      <c r="AJ252" s="22">
        <v>242</v>
      </c>
      <c r="AK252" s="22">
        <v>1.11755</v>
      </c>
      <c r="AL252">
        <f t="shared" si="42"/>
        <v>16.668700000000001</v>
      </c>
      <c r="AM252">
        <f t="shared" si="43"/>
        <v>18.645941193999999</v>
      </c>
      <c r="AP252" s="9"/>
      <c r="AQ252" s="22">
        <v>0.631409</v>
      </c>
      <c r="AR252" s="22">
        <v>297.32400000000001</v>
      </c>
      <c r="AS252" s="22">
        <v>-1.6848800000000001E-2</v>
      </c>
      <c r="AT252" s="22">
        <v>242</v>
      </c>
      <c r="AU252" s="22">
        <v>0.63067600000000001</v>
      </c>
      <c r="AV252">
        <f t="shared" si="44"/>
        <v>16.848800000000001</v>
      </c>
      <c r="AW252">
        <f t="shared" si="45"/>
        <v>10.6384839592</v>
      </c>
      <c r="AX252" s="9"/>
      <c r="AY252" s="22">
        <v>1.1186199999999999</v>
      </c>
      <c r="AZ252" s="22">
        <v>376.55399999999997</v>
      </c>
      <c r="BA252" s="22">
        <v>-1.6366599999999999E-2</v>
      </c>
      <c r="BB252" s="22">
        <v>242</v>
      </c>
      <c r="BC252" s="22">
        <v>1.11816</v>
      </c>
      <c r="BD252">
        <f t="shared" si="46"/>
        <v>16.366599999999998</v>
      </c>
      <c r="BE252">
        <f t="shared" si="47"/>
        <v>18.308006091999996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48.122300000000003</v>
      </c>
      <c r="I253" s="22">
        <v>-1.71082E-2</v>
      </c>
      <c r="J253" s="22">
        <v>243</v>
      </c>
      <c r="K253" s="22">
        <v>0.62582400000000005</v>
      </c>
      <c r="L253">
        <f t="shared" si="36"/>
        <v>17.1082</v>
      </c>
      <c r="M253">
        <f t="shared" si="37"/>
        <v>10.716114558599999</v>
      </c>
      <c r="N253" s="9"/>
      <c r="O253" s="22">
        <v>1.1236600000000001</v>
      </c>
      <c r="P253" s="22">
        <v>103.518</v>
      </c>
      <c r="Q253" s="22">
        <v>-1.6818199999999998E-2</v>
      </c>
      <c r="R253" s="22">
        <v>243</v>
      </c>
      <c r="S253" s="22">
        <v>1.1227400000000001</v>
      </c>
      <c r="T253">
        <f t="shared" si="38"/>
        <v>16.818199999999997</v>
      </c>
      <c r="U253">
        <f t="shared" si="39"/>
        <v>18.897938611999997</v>
      </c>
      <c r="X253" s="9"/>
      <c r="Y253" s="22">
        <v>0.62637299999999996</v>
      </c>
      <c r="Z253" s="22">
        <v>165.47499999999999</v>
      </c>
      <c r="AA253" s="22">
        <v>-1.7092900000000001E-2</v>
      </c>
      <c r="AB253" s="22">
        <v>243</v>
      </c>
      <c r="AC253" s="22">
        <v>0.62570199999999998</v>
      </c>
      <c r="AD253">
        <f t="shared" si="40"/>
        <v>17.0929</v>
      </c>
      <c r="AE253">
        <f t="shared" si="41"/>
        <v>10.706531051699999</v>
      </c>
      <c r="AF253" s="9"/>
      <c r="AG253" s="22">
        <v>1.1236600000000001</v>
      </c>
      <c r="AH253" s="22">
        <v>245.00700000000001</v>
      </c>
      <c r="AI253" s="22">
        <v>-1.6665599999999999E-2</v>
      </c>
      <c r="AJ253" s="22">
        <v>243</v>
      </c>
      <c r="AK253" s="22">
        <v>1.1230500000000001</v>
      </c>
      <c r="AL253">
        <f t="shared" si="42"/>
        <v>16.665599999999998</v>
      </c>
      <c r="AM253">
        <f t="shared" si="43"/>
        <v>18.726468095999998</v>
      </c>
      <c r="AP253" s="9"/>
      <c r="AQ253" s="22">
        <v>0.62637299999999996</v>
      </c>
      <c r="AR253" s="22">
        <v>297.42399999999998</v>
      </c>
      <c r="AS253" s="22">
        <v>-1.6818199999999998E-2</v>
      </c>
      <c r="AT253" s="22">
        <v>243</v>
      </c>
      <c r="AU253" s="22">
        <v>0.62573199999999995</v>
      </c>
      <c r="AV253">
        <f t="shared" si="44"/>
        <v>16.818199999999997</v>
      </c>
      <c r="AW253">
        <f t="shared" si="45"/>
        <v>10.534466388599999</v>
      </c>
      <c r="AX253" s="9"/>
      <c r="AY253" s="22">
        <v>1.1236600000000001</v>
      </c>
      <c r="AZ253" s="22">
        <v>376.65499999999997</v>
      </c>
      <c r="BA253" s="22">
        <v>-1.6384900000000001E-2</v>
      </c>
      <c r="BB253" s="22">
        <v>243</v>
      </c>
      <c r="BC253" s="22">
        <v>1.1227400000000001</v>
      </c>
      <c r="BD253">
        <f t="shared" si="46"/>
        <v>16.384900000000002</v>
      </c>
      <c r="BE253">
        <f t="shared" si="47"/>
        <v>18.411056734000002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48.223100000000002</v>
      </c>
      <c r="I254" s="22">
        <v>-1.7095900000000001E-2</v>
      </c>
      <c r="J254" s="22">
        <v>244</v>
      </c>
      <c r="K254" s="22">
        <v>0.62066699999999997</v>
      </c>
      <c r="L254">
        <f t="shared" si="36"/>
        <v>17.0959</v>
      </c>
      <c r="M254">
        <f t="shared" si="37"/>
        <v>10.622332314199999</v>
      </c>
      <c r="N254" s="9"/>
      <c r="O254" s="22">
        <v>1.12869</v>
      </c>
      <c r="P254" s="22">
        <v>103.619</v>
      </c>
      <c r="Q254" s="22">
        <v>-1.6815199999999999E-2</v>
      </c>
      <c r="R254" s="22">
        <v>244</v>
      </c>
      <c r="S254" s="22">
        <v>1.1276200000000001</v>
      </c>
      <c r="T254">
        <f t="shared" si="38"/>
        <v>16.815199999999997</v>
      </c>
      <c r="U254">
        <f t="shared" si="39"/>
        <v>18.979148087999995</v>
      </c>
      <c r="X254" s="9"/>
      <c r="Y254" s="22">
        <v>0.62133799999999995</v>
      </c>
      <c r="Z254" s="22">
        <v>165.57599999999999</v>
      </c>
      <c r="AA254" s="22">
        <v>-1.7105100000000002E-2</v>
      </c>
      <c r="AB254" s="22">
        <v>244</v>
      </c>
      <c r="AC254" s="22">
        <v>0.62066699999999997</v>
      </c>
      <c r="AD254">
        <f t="shared" si="40"/>
        <v>17.1051</v>
      </c>
      <c r="AE254">
        <f t="shared" si="41"/>
        <v>10.6280486238</v>
      </c>
      <c r="AF254" s="9"/>
      <c r="AG254" s="22">
        <v>1.12869</v>
      </c>
      <c r="AH254" s="22">
        <v>245.108</v>
      </c>
      <c r="AI254" s="22">
        <v>-1.66473E-2</v>
      </c>
      <c r="AJ254" s="22">
        <v>244</v>
      </c>
      <c r="AK254" s="22">
        <v>1.1279300000000001</v>
      </c>
      <c r="AL254">
        <f t="shared" si="42"/>
        <v>16.647300000000001</v>
      </c>
      <c r="AM254">
        <f t="shared" si="43"/>
        <v>18.789641037000003</v>
      </c>
      <c r="AP254" s="9"/>
      <c r="AQ254" s="22">
        <v>0.62133799999999995</v>
      </c>
      <c r="AR254" s="22">
        <v>297.52499999999998</v>
      </c>
      <c r="AS254" s="22">
        <v>-1.6830399999999999E-2</v>
      </c>
      <c r="AT254" s="22">
        <v>244</v>
      </c>
      <c r="AU254" s="22">
        <v>0.62072799999999995</v>
      </c>
      <c r="AV254">
        <f t="shared" si="44"/>
        <v>16.830399999999997</v>
      </c>
      <c r="AW254">
        <f t="shared" si="45"/>
        <v>10.457367075199997</v>
      </c>
      <c r="AX254" s="9"/>
      <c r="AY254" s="22">
        <v>1.12869</v>
      </c>
      <c r="AZ254" s="22">
        <v>376.755</v>
      </c>
      <c r="BA254" s="22">
        <v>-1.6397100000000001E-2</v>
      </c>
      <c r="BB254" s="22">
        <v>244</v>
      </c>
      <c r="BC254" s="22">
        <v>1.1273200000000001</v>
      </c>
      <c r="BD254">
        <f t="shared" si="46"/>
        <v>16.397100000000002</v>
      </c>
      <c r="BE254">
        <f t="shared" si="47"/>
        <v>18.507242799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48.323799999999999</v>
      </c>
      <c r="I255" s="22">
        <v>-1.7105100000000002E-2</v>
      </c>
      <c r="J255" s="22">
        <v>245</v>
      </c>
      <c r="K255" s="22">
        <v>0.61550899999999997</v>
      </c>
      <c r="L255">
        <f t="shared" si="36"/>
        <v>17.1051</v>
      </c>
      <c r="M255">
        <f t="shared" si="37"/>
        <v>10.5419073402</v>
      </c>
      <c r="N255" s="9"/>
      <c r="O255" s="22">
        <v>1.1337299999999999</v>
      </c>
      <c r="P255" s="22">
        <v>103.72</v>
      </c>
      <c r="Q255" s="22">
        <v>-1.68091E-2</v>
      </c>
      <c r="R255" s="22">
        <v>245</v>
      </c>
      <c r="S255" s="22">
        <v>1.1331199999999999</v>
      </c>
      <c r="T255">
        <f t="shared" si="38"/>
        <v>16.809100000000001</v>
      </c>
      <c r="U255">
        <f t="shared" si="39"/>
        <v>19.056980942999999</v>
      </c>
      <c r="X255" s="9"/>
      <c r="Y255" s="22">
        <v>0.61630200000000002</v>
      </c>
      <c r="Z255" s="22">
        <v>165.67699999999999</v>
      </c>
      <c r="AA255" s="22">
        <v>-1.71112E-2</v>
      </c>
      <c r="AB255" s="22">
        <v>245</v>
      </c>
      <c r="AC255" s="22">
        <v>0.61553999999999998</v>
      </c>
      <c r="AD255">
        <f t="shared" si="40"/>
        <v>17.1112</v>
      </c>
      <c r="AE255">
        <f t="shared" si="41"/>
        <v>10.5456667824</v>
      </c>
      <c r="AF255" s="9"/>
      <c r="AG255" s="22">
        <v>1.1337299999999999</v>
      </c>
      <c r="AH255" s="22">
        <v>245.209</v>
      </c>
      <c r="AI255" s="22">
        <v>-1.6641199999999998E-2</v>
      </c>
      <c r="AJ255" s="22">
        <v>245</v>
      </c>
      <c r="AK255" s="22">
        <v>1.1331199999999999</v>
      </c>
      <c r="AL255">
        <f t="shared" si="42"/>
        <v>16.641199999999998</v>
      </c>
      <c r="AM255">
        <f t="shared" si="43"/>
        <v>18.866627675999997</v>
      </c>
      <c r="AP255" s="9"/>
      <c r="AQ255" s="22">
        <v>0.61630200000000002</v>
      </c>
      <c r="AR255" s="22">
        <v>297.62599999999998</v>
      </c>
      <c r="AS255" s="22">
        <v>-1.6845700000000002E-2</v>
      </c>
      <c r="AT255" s="22">
        <v>245</v>
      </c>
      <c r="AU255" s="22">
        <v>0.61563100000000004</v>
      </c>
      <c r="AV255">
        <f t="shared" si="44"/>
        <v>16.845700000000001</v>
      </c>
      <c r="AW255">
        <f t="shared" si="45"/>
        <v>10.382038601400001</v>
      </c>
      <c r="AX255" s="9"/>
      <c r="AY255" s="22">
        <v>1.1337299999999999</v>
      </c>
      <c r="AZ255" s="22">
        <v>376.85599999999999</v>
      </c>
      <c r="BA255" s="22">
        <v>-1.6384900000000001E-2</v>
      </c>
      <c r="BB255" s="22">
        <v>245</v>
      </c>
      <c r="BC255" s="22">
        <v>1.1328100000000001</v>
      </c>
      <c r="BD255">
        <f t="shared" si="46"/>
        <v>16.384900000000002</v>
      </c>
      <c r="BE255">
        <f t="shared" si="47"/>
        <v>18.576052677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48.424500000000002</v>
      </c>
      <c r="I256" s="22">
        <v>-1.7092900000000001E-2</v>
      </c>
      <c r="J256" s="22">
        <v>246</v>
      </c>
      <c r="K256" s="22">
        <v>0.61071799999999998</v>
      </c>
      <c r="L256">
        <f t="shared" si="36"/>
        <v>17.0929</v>
      </c>
      <c r="M256">
        <f t="shared" si="37"/>
        <v>10.4483257043</v>
      </c>
      <c r="N256" s="9"/>
      <c r="O256" s="22">
        <v>1.13876</v>
      </c>
      <c r="P256" s="22">
        <v>103.82</v>
      </c>
      <c r="Q256" s="22">
        <v>-1.67969E-2</v>
      </c>
      <c r="R256" s="22">
        <v>246</v>
      </c>
      <c r="S256" s="22">
        <v>1.1379999999999999</v>
      </c>
      <c r="T256">
        <f t="shared" si="38"/>
        <v>16.796900000000001</v>
      </c>
      <c r="U256">
        <f t="shared" si="39"/>
        <v>19.127637844000002</v>
      </c>
      <c r="X256" s="9"/>
      <c r="Y256" s="22">
        <v>0.611267</v>
      </c>
      <c r="Z256" s="22">
        <v>165.77699999999999</v>
      </c>
      <c r="AA256" s="22">
        <v>-1.7086799999999999E-2</v>
      </c>
      <c r="AB256" s="22">
        <v>246</v>
      </c>
      <c r="AC256" s="22">
        <v>0.610626</v>
      </c>
      <c r="AD256">
        <f t="shared" si="40"/>
        <v>17.0868</v>
      </c>
      <c r="AE256">
        <f t="shared" si="41"/>
        <v>10.4445969756</v>
      </c>
      <c r="AF256" s="9"/>
      <c r="AG256" s="22">
        <v>1.13876</v>
      </c>
      <c r="AH256" s="22">
        <v>245.31</v>
      </c>
      <c r="AI256" s="22">
        <v>-1.6644300000000001E-2</v>
      </c>
      <c r="AJ256" s="22">
        <v>246</v>
      </c>
      <c r="AK256" s="22">
        <v>1.1376999999999999</v>
      </c>
      <c r="AL256">
        <f t="shared" si="42"/>
        <v>16.644300000000001</v>
      </c>
      <c r="AM256">
        <f t="shared" si="43"/>
        <v>18.953863068</v>
      </c>
      <c r="AP256" s="9"/>
      <c r="AQ256" s="22">
        <v>0.611267</v>
      </c>
      <c r="AR256" s="22">
        <v>297.726</v>
      </c>
      <c r="AS256" s="22">
        <v>-1.6842699999999999E-2</v>
      </c>
      <c r="AT256" s="22">
        <v>246</v>
      </c>
      <c r="AU256" s="22">
        <v>0.61068699999999998</v>
      </c>
      <c r="AV256">
        <f t="shared" si="44"/>
        <v>16.842699999999997</v>
      </c>
      <c r="AW256">
        <f t="shared" si="45"/>
        <v>10.295386700899998</v>
      </c>
      <c r="AX256" s="9"/>
      <c r="AY256" s="22">
        <v>1.13876</v>
      </c>
      <c r="AZ256" s="22">
        <v>376.95699999999999</v>
      </c>
      <c r="BA256" s="22">
        <v>-1.6384900000000001E-2</v>
      </c>
      <c r="BB256" s="22">
        <v>246</v>
      </c>
      <c r="BC256" s="22">
        <v>1.1379999999999999</v>
      </c>
      <c r="BD256">
        <f t="shared" si="46"/>
        <v>16.384900000000002</v>
      </c>
      <c r="BE256">
        <f t="shared" si="47"/>
        <v>18.658468724000002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48.525199999999998</v>
      </c>
      <c r="I257" s="22">
        <v>-1.70715E-2</v>
      </c>
      <c r="J257" s="22">
        <v>247</v>
      </c>
      <c r="K257" s="22">
        <v>0.60553000000000001</v>
      </c>
      <c r="L257">
        <f t="shared" si="36"/>
        <v>17.0715</v>
      </c>
      <c r="M257">
        <f t="shared" si="37"/>
        <v>10.349289588</v>
      </c>
      <c r="N257" s="9"/>
      <c r="O257" s="22">
        <v>1.1437999999999999</v>
      </c>
      <c r="P257" s="22">
        <v>103.92100000000001</v>
      </c>
      <c r="Q257" s="22">
        <v>-1.6775499999999999E-2</v>
      </c>
      <c r="R257" s="22">
        <v>247</v>
      </c>
      <c r="S257" s="22">
        <v>1.1431899999999999</v>
      </c>
      <c r="T257">
        <f t="shared" si="38"/>
        <v>16.775499999999997</v>
      </c>
      <c r="U257">
        <f t="shared" si="39"/>
        <v>19.187816899999994</v>
      </c>
      <c r="X257" s="9"/>
      <c r="Y257" s="22">
        <v>0.60623199999999999</v>
      </c>
      <c r="Z257" s="22">
        <v>165.87799999999999</v>
      </c>
      <c r="AA257" s="22">
        <v>-1.71112E-2</v>
      </c>
      <c r="AB257" s="22">
        <v>247</v>
      </c>
      <c r="AC257" s="22">
        <v>0.60553000000000001</v>
      </c>
      <c r="AD257">
        <f t="shared" si="40"/>
        <v>17.1112</v>
      </c>
      <c r="AE257">
        <f t="shared" si="41"/>
        <v>10.3733569984</v>
      </c>
      <c r="AF257" s="9"/>
      <c r="AG257" s="22">
        <v>1.1437999999999999</v>
      </c>
      <c r="AH257" s="22">
        <v>245.41</v>
      </c>
      <c r="AI257" s="22">
        <v>-1.6613800000000001E-2</v>
      </c>
      <c r="AJ257" s="22">
        <v>247</v>
      </c>
      <c r="AK257" s="22">
        <v>1.1422699999999999</v>
      </c>
      <c r="AL257">
        <f t="shared" si="42"/>
        <v>16.613800000000001</v>
      </c>
      <c r="AM257">
        <f t="shared" si="43"/>
        <v>19.00286444</v>
      </c>
      <c r="AP257" s="9"/>
      <c r="AQ257" s="22">
        <v>0.60623199999999999</v>
      </c>
      <c r="AR257" s="22">
        <v>297.827</v>
      </c>
      <c r="AS257" s="22">
        <v>-1.6870099999999999E-2</v>
      </c>
      <c r="AT257" s="22">
        <v>247</v>
      </c>
      <c r="AU257" s="22">
        <v>0.60562099999999996</v>
      </c>
      <c r="AV257">
        <f t="shared" si="44"/>
        <v>16.870100000000001</v>
      </c>
      <c r="AW257">
        <f t="shared" si="45"/>
        <v>10.2271944632</v>
      </c>
      <c r="AX257" s="9"/>
      <c r="AY257" s="22">
        <v>1.1437999999999999</v>
      </c>
      <c r="AZ257" s="22">
        <v>377.05700000000002</v>
      </c>
      <c r="BA257" s="22">
        <v>-1.63757E-2</v>
      </c>
      <c r="BB257" s="22">
        <v>247</v>
      </c>
      <c r="BC257" s="22">
        <v>1.1425799999999999</v>
      </c>
      <c r="BD257">
        <f t="shared" si="46"/>
        <v>16.375699999999998</v>
      </c>
      <c r="BE257">
        <f t="shared" si="47"/>
        <v>18.730525659999998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48.625900000000001</v>
      </c>
      <c r="I258" s="22">
        <v>-1.7080700000000001E-2</v>
      </c>
      <c r="J258" s="22">
        <v>248</v>
      </c>
      <c r="K258" s="22">
        <v>0.60055499999999995</v>
      </c>
      <c r="L258">
        <f t="shared" si="36"/>
        <v>17.0807</v>
      </c>
      <c r="M258">
        <f t="shared" si="37"/>
        <v>10.268848517199999</v>
      </c>
      <c r="N258" s="9"/>
      <c r="O258" s="22">
        <v>1.14883</v>
      </c>
      <c r="P258" s="22">
        <v>104.02200000000001</v>
      </c>
      <c r="Q258" s="22">
        <v>-1.6772499999999999E-2</v>
      </c>
      <c r="R258" s="22">
        <v>248</v>
      </c>
      <c r="S258" s="22">
        <v>1.1486799999999999</v>
      </c>
      <c r="T258">
        <f t="shared" si="38"/>
        <v>16.772500000000001</v>
      </c>
      <c r="U258">
        <f t="shared" si="39"/>
        <v>19.268751175000002</v>
      </c>
      <c r="X258" s="9"/>
      <c r="Y258" s="22">
        <v>0.60119599999999995</v>
      </c>
      <c r="Z258" s="22">
        <v>165.97900000000001</v>
      </c>
      <c r="AA258" s="22">
        <v>-1.7129499999999999E-2</v>
      </c>
      <c r="AB258" s="22">
        <v>248</v>
      </c>
      <c r="AC258" s="22">
        <v>0.60049399999999997</v>
      </c>
      <c r="AD258">
        <f t="shared" si="40"/>
        <v>17.1295</v>
      </c>
      <c r="AE258">
        <f t="shared" si="41"/>
        <v>10.298186882</v>
      </c>
      <c r="AF258" s="9"/>
      <c r="AG258" s="22">
        <v>1.14883</v>
      </c>
      <c r="AH258" s="22">
        <v>245.511</v>
      </c>
      <c r="AI258" s="22">
        <v>-1.6629000000000001E-2</v>
      </c>
      <c r="AJ258" s="22">
        <v>248</v>
      </c>
      <c r="AK258" s="22">
        <v>1.14777</v>
      </c>
      <c r="AL258">
        <f t="shared" si="42"/>
        <v>16.629000000000001</v>
      </c>
      <c r="AM258">
        <f t="shared" si="43"/>
        <v>19.103894070000003</v>
      </c>
      <c r="AP258" s="9"/>
      <c r="AQ258" s="22">
        <v>0.60119599999999995</v>
      </c>
      <c r="AR258" s="22">
        <v>297.928</v>
      </c>
      <c r="AS258" s="22">
        <v>-1.6857899999999999E-2</v>
      </c>
      <c r="AT258" s="22">
        <v>248</v>
      </c>
      <c r="AU258" s="22">
        <v>0.60049399999999997</v>
      </c>
      <c r="AV258">
        <f t="shared" si="44"/>
        <v>16.857899999999997</v>
      </c>
      <c r="AW258">
        <f t="shared" si="45"/>
        <v>10.134902048399997</v>
      </c>
      <c r="AX258" s="9"/>
      <c r="AY258" s="22">
        <v>1.14883</v>
      </c>
      <c r="AZ258" s="22">
        <v>377.15800000000002</v>
      </c>
      <c r="BA258" s="22">
        <v>-1.6333E-2</v>
      </c>
      <c r="BB258" s="22">
        <v>248</v>
      </c>
      <c r="BC258" s="22">
        <v>1.1486799999999999</v>
      </c>
      <c r="BD258">
        <f t="shared" si="46"/>
        <v>16.333000000000002</v>
      </c>
      <c r="BE258">
        <f t="shared" si="47"/>
        <v>18.763840390000002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48.726599999999998</v>
      </c>
      <c r="I259" s="22">
        <v>-1.7086799999999999E-2</v>
      </c>
      <c r="J259" s="22">
        <v>249</v>
      </c>
      <c r="K259" s="22">
        <v>0.59555100000000005</v>
      </c>
      <c r="L259">
        <f t="shared" si="36"/>
        <v>17.0868</v>
      </c>
      <c r="M259">
        <f t="shared" si="37"/>
        <v>10.186483774800001</v>
      </c>
      <c r="N259" s="9"/>
      <c r="O259" s="22">
        <v>1.15387</v>
      </c>
      <c r="P259" s="22">
        <v>104.122</v>
      </c>
      <c r="Q259" s="22">
        <v>-1.67847E-2</v>
      </c>
      <c r="R259" s="22">
        <v>249</v>
      </c>
      <c r="S259" s="22">
        <v>1.15265</v>
      </c>
      <c r="T259">
        <f t="shared" si="38"/>
        <v>16.784700000000001</v>
      </c>
      <c r="U259">
        <f t="shared" si="39"/>
        <v>19.367361789</v>
      </c>
      <c r="X259" s="9"/>
      <c r="Y259" s="22">
        <v>0.59616100000000005</v>
      </c>
      <c r="Z259" s="22">
        <v>166.07900000000001</v>
      </c>
      <c r="AA259" s="22">
        <v>-1.7117299999999998E-2</v>
      </c>
      <c r="AB259" s="22">
        <v>249</v>
      </c>
      <c r="AC259" s="22">
        <v>0.59533700000000001</v>
      </c>
      <c r="AD259">
        <f t="shared" si="40"/>
        <v>17.1173</v>
      </c>
      <c r="AE259">
        <f t="shared" si="41"/>
        <v>10.204666685300001</v>
      </c>
      <c r="AF259" s="9"/>
      <c r="AG259" s="22">
        <v>1.15387</v>
      </c>
      <c r="AH259" s="22">
        <v>245.61199999999999</v>
      </c>
      <c r="AI259" s="22">
        <v>-1.6622899999999999E-2</v>
      </c>
      <c r="AJ259" s="22">
        <v>249</v>
      </c>
      <c r="AK259" s="22">
        <v>1.1529499999999999</v>
      </c>
      <c r="AL259">
        <f t="shared" si="42"/>
        <v>16.622899999999998</v>
      </c>
      <c r="AM259">
        <f t="shared" si="43"/>
        <v>19.180665622999996</v>
      </c>
      <c r="AP259" s="9"/>
      <c r="AQ259" s="22">
        <v>0.59616100000000005</v>
      </c>
      <c r="AR259" s="22">
        <v>298.029</v>
      </c>
      <c r="AS259" s="22">
        <v>-1.6870099999999999E-2</v>
      </c>
      <c r="AT259" s="22">
        <v>249</v>
      </c>
      <c r="AU259" s="22">
        <v>0.59545899999999996</v>
      </c>
      <c r="AV259">
        <f t="shared" si="44"/>
        <v>16.870100000000001</v>
      </c>
      <c r="AW259">
        <f t="shared" si="45"/>
        <v>10.057295686100002</v>
      </c>
      <c r="AX259" s="9"/>
      <c r="AY259" s="22">
        <v>1.15387</v>
      </c>
      <c r="AZ259" s="22">
        <v>377.25900000000001</v>
      </c>
      <c r="BA259" s="22">
        <v>-1.6390999999999999E-2</v>
      </c>
      <c r="BB259" s="22">
        <v>249</v>
      </c>
      <c r="BC259" s="22">
        <v>1.1529499999999999</v>
      </c>
      <c r="BD259">
        <f t="shared" si="46"/>
        <v>16.390999999999998</v>
      </c>
      <c r="BE259">
        <f t="shared" si="47"/>
        <v>18.913083169999997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48.827300000000001</v>
      </c>
      <c r="I260" s="22">
        <v>-1.7099E-2</v>
      </c>
      <c r="J260" s="22">
        <v>250</v>
      </c>
      <c r="K260" s="22">
        <v>0.59042399999999995</v>
      </c>
      <c r="L260">
        <f t="shared" si="36"/>
        <v>17.099</v>
      </c>
      <c r="M260">
        <f t="shared" si="37"/>
        <v>10.107646375</v>
      </c>
      <c r="N260" s="9"/>
      <c r="O260" s="22">
        <v>1.1589100000000001</v>
      </c>
      <c r="P260" s="22">
        <v>104.223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166.18</v>
      </c>
      <c r="AA260" s="22">
        <v>-1.7132600000000001E-2</v>
      </c>
      <c r="AB260" s="22">
        <v>250</v>
      </c>
      <c r="AC260" s="22">
        <v>0.59045400000000003</v>
      </c>
      <c r="AD260">
        <f t="shared" si="40"/>
        <v>17.1326</v>
      </c>
      <c r="AE260">
        <f t="shared" si="41"/>
        <v>10.127508175000001</v>
      </c>
      <c r="AF260" s="9"/>
      <c r="AG260" s="22">
        <v>1.1589100000000001</v>
      </c>
      <c r="AH260" s="22">
        <v>245.71199999999999</v>
      </c>
      <c r="AI260" s="22">
        <v>-1.6604600000000001E-2</v>
      </c>
      <c r="AJ260" s="22">
        <v>250</v>
      </c>
      <c r="AK260" s="22">
        <v>1.15723</v>
      </c>
      <c r="AL260">
        <f t="shared" si="42"/>
        <v>16.604600000000001</v>
      </c>
      <c r="AM260">
        <f t="shared" si="43"/>
        <v>19.243236986000003</v>
      </c>
      <c r="AP260" s="9"/>
      <c r="AQ260" s="22">
        <v>0.59112500000000001</v>
      </c>
      <c r="AR260" s="22">
        <v>298.12900000000002</v>
      </c>
      <c r="AS260" s="22">
        <v>-1.6873200000000001E-2</v>
      </c>
      <c r="AT260" s="22">
        <v>250</v>
      </c>
      <c r="AU260" s="22">
        <v>0.59045400000000003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377.36</v>
      </c>
      <c r="BA260" s="22">
        <v>-1.6397100000000001E-2</v>
      </c>
      <c r="BB260" s="22">
        <v>250</v>
      </c>
      <c r="BC260" s="22">
        <v>1.15845</v>
      </c>
      <c r="BD260">
        <f t="shared" si="46"/>
        <v>16.397100000000002</v>
      </c>
      <c r="BE260">
        <f t="shared" si="47"/>
        <v>19.002763161000004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48.927999999999997</v>
      </c>
      <c r="I261" s="22">
        <v>-1.7099E-2</v>
      </c>
      <c r="J261" s="22">
        <v>251</v>
      </c>
      <c r="K261" s="22">
        <v>0.585449</v>
      </c>
      <c r="L261">
        <f t="shared" si="36"/>
        <v>17.099</v>
      </c>
      <c r="M261">
        <f t="shared" si="37"/>
        <v>10.02155291</v>
      </c>
      <c r="N261" s="9"/>
      <c r="O261" s="22">
        <v>1.16394</v>
      </c>
      <c r="P261" s="22">
        <v>104.324</v>
      </c>
      <c r="Q261" s="22">
        <v>-1.67847E-2</v>
      </c>
      <c r="R261" s="22">
        <v>251</v>
      </c>
      <c r="S261" s="22">
        <v>1.1630199999999999</v>
      </c>
      <c r="T261">
        <f t="shared" si="38"/>
        <v>16.784700000000001</v>
      </c>
      <c r="U261">
        <f t="shared" si="39"/>
        <v>19.536383718</v>
      </c>
      <c r="X261" s="9"/>
      <c r="Y261" s="22">
        <v>0.58609</v>
      </c>
      <c r="Z261" s="22">
        <v>166.28100000000001</v>
      </c>
      <c r="AA261" s="22">
        <v>-1.7129499999999999E-2</v>
      </c>
      <c r="AB261" s="22">
        <v>251</v>
      </c>
      <c r="AC261" s="22">
        <v>0.58541900000000002</v>
      </c>
      <c r="AD261">
        <f t="shared" si="40"/>
        <v>17.1295</v>
      </c>
      <c r="AE261">
        <f t="shared" si="41"/>
        <v>10.039428655</v>
      </c>
      <c r="AF261" s="9"/>
      <c r="AG261" s="22">
        <v>1.16394</v>
      </c>
      <c r="AH261" s="22">
        <v>245.81299999999999</v>
      </c>
      <c r="AI261" s="22">
        <v>-1.6622899999999999E-2</v>
      </c>
      <c r="AJ261" s="22">
        <v>251</v>
      </c>
      <c r="AK261" s="22">
        <v>1.16364</v>
      </c>
      <c r="AL261">
        <f t="shared" si="42"/>
        <v>16.622899999999998</v>
      </c>
      <c r="AM261">
        <f t="shared" si="43"/>
        <v>19.348058225999996</v>
      </c>
      <c r="AP261" s="9"/>
      <c r="AQ261" s="22">
        <v>0.58609</v>
      </c>
      <c r="AR261" s="22">
        <v>298.23</v>
      </c>
      <c r="AS261" s="22">
        <v>-1.68243E-2</v>
      </c>
      <c r="AT261" s="22">
        <v>251</v>
      </c>
      <c r="AU261" s="22">
        <v>0.58554099999999998</v>
      </c>
      <c r="AV261">
        <f t="shared" si="44"/>
        <v>16.824300000000001</v>
      </c>
      <c r="AW261">
        <f t="shared" si="45"/>
        <v>9.8605539870000012</v>
      </c>
      <c r="AX261" s="9"/>
      <c r="AY261" s="22">
        <v>1.16394</v>
      </c>
      <c r="AZ261" s="22">
        <v>377.46</v>
      </c>
      <c r="BA261" s="22">
        <v>-1.6397100000000001E-2</v>
      </c>
      <c r="BB261" s="22">
        <v>251</v>
      </c>
      <c r="BC261" s="22">
        <v>1.16272</v>
      </c>
      <c r="BD261">
        <f t="shared" si="46"/>
        <v>16.397100000000002</v>
      </c>
      <c r="BE261">
        <f t="shared" si="47"/>
        <v>19.085240574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49.028700000000001</v>
      </c>
      <c r="I262" s="22">
        <v>-1.7102099999999999E-2</v>
      </c>
      <c r="J262" s="22">
        <v>252</v>
      </c>
      <c r="K262" s="22">
        <v>0.58038299999999998</v>
      </c>
      <c r="L262">
        <f t="shared" si="36"/>
        <v>17.1021</v>
      </c>
      <c r="M262">
        <f t="shared" si="37"/>
        <v>9.937260715499999</v>
      </c>
      <c r="N262" s="9"/>
      <c r="O262" s="22">
        <v>1.1689799999999999</v>
      </c>
      <c r="P262" s="22">
        <v>104.425</v>
      </c>
      <c r="Q262" s="22">
        <v>-1.6763299999999998E-2</v>
      </c>
      <c r="R262" s="22">
        <v>252</v>
      </c>
      <c r="S262" s="22">
        <v>1.16791</v>
      </c>
      <c r="T262">
        <f t="shared" si="38"/>
        <v>16.763299999999997</v>
      </c>
      <c r="U262">
        <f t="shared" si="39"/>
        <v>19.595962433999997</v>
      </c>
      <c r="X262" s="9"/>
      <c r="Y262" s="22">
        <v>0.58105499999999999</v>
      </c>
      <c r="Z262" s="22">
        <v>166.38200000000001</v>
      </c>
      <c r="AA262" s="22">
        <v>-1.7135600000000001E-2</v>
      </c>
      <c r="AB262" s="22">
        <v>252</v>
      </c>
      <c r="AC262" s="22">
        <v>0.58041399999999999</v>
      </c>
      <c r="AD262">
        <f t="shared" si="40"/>
        <v>17.1356</v>
      </c>
      <c r="AE262">
        <f t="shared" si="41"/>
        <v>9.9567260579999992</v>
      </c>
      <c r="AF262" s="9"/>
      <c r="AG262" s="22">
        <v>1.1689799999999999</v>
      </c>
      <c r="AH262" s="22">
        <v>245.91399999999999</v>
      </c>
      <c r="AI262" s="22">
        <v>-1.66199E-2</v>
      </c>
      <c r="AJ262" s="22">
        <v>252</v>
      </c>
      <c r="AK262" s="22">
        <v>1.16852</v>
      </c>
      <c r="AL262">
        <f t="shared" si="42"/>
        <v>16.619900000000001</v>
      </c>
      <c r="AM262">
        <f t="shared" si="43"/>
        <v>19.428330702</v>
      </c>
      <c r="AP262" s="9"/>
      <c r="AQ262" s="22">
        <v>0.58105499999999999</v>
      </c>
      <c r="AR262" s="22">
        <v>298.33100000000002</v>
      </c>
      <c r="AS262" s="22">
        <v>-1.6854899999999999E-2</v>
      </c>
      <c r="AT262" s="22">
        <v>252</v>
      </c>
      <c r="AU262" s="22">
        <v>0.58041399999999999</v>
      </c>
      <c r="AV262">
        <f t="shared" si="44"/>
        <v>16.854900000000001</v>
      </c>
      <c r="AW262">
        <f t="shared" si="45"/>
        <v>9.7936239194999999</v>
      </c>
      <c r="AX262" s="9"/>
      <c r="AY262" s="22">
        <v>1.1689799999999999</v>
      </c>
      <c r="AZ262" s="22">
        <v>377.56099999999998</v>
      </c>
      <c r="BA262" s="22">
        <v>-1.6397100000000001E-2</v>
      </c>
      <c r="BB262" s="22">
        <v>252</v>
      </c>
      <c r="BC262" s="22">
        <v>1.1676</v>
      </c>
      <c r="BD262">
        <f t="shared" si="46"/>
        <v>16.397100000000002</v>
      </c>
      <c r="BE262">
        <f t="shared" si="47"/>
        <v>19.167881957999999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49.129399999999997</v>
      </c>
      <c r="I263" s="22">
        <v>-1.7095900000000001E-2</v>
      </c>
      <c r="J263" s="22">
        <v>253</v>
      </c>
      <c r="K263" s="22">
        <v>0.57531699999999997</v>
      </c>
      <c r="L263">
        <f t="shared" si="36"/>
        <v>17.0959</v>
      </c>
      <c r="M263">
        <f t="shared" si="37"/>
        <v>9.8475632220999998</v>
      </c>
      <c r="N263" s="9"/>
      <c r="O263" s="22">
        <v>1.17401</v>
      </c>
      <c r="P263" s="22">
        <v>104.52500000000001</v>
      </c>
      <c r="Q263" s="22">
        <v>-1.6760299999999999E-2</v>
      </c>
      <c r="R263" s="22">
        <v>253</v>
      </c>
      <c r="S263" s="22">
        <v>1.1734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166.482</v>
      </c>
      <c r="AA263" s="22">
        <v>-1.7144800000000002E-2</v>
      </c>
      <c r="AB263" s="22">
        <v>253</v>
      </c>
      <c r="AC263" s="22">
        <v>0.57537799999999995</v>
      </c>
      <c r="AD263">
        <f t="shared" si="40"/>
        <v>17.1448</v>
      </c>
      <c r="AE263">
        <f t="shared" si="41"/>
        <v>9.8757305511999984</v>
      </c>
      <c r="AF263" s="9"/>
      <c r="AG263" s="22">
        <v>1.17401</v>
      </c>
      <c r="AH263" s="22">
        <v>246.01499999999999</v>
      </c>
      <c r="AI263" s="22">
        <v>-1.6616800000000001E-2</v>
      </c>
      <c r="AJ263" s="22">
        <v>253</v>
      </c>
      <c r="AK263" s="22">
        <v>1.17279</v>
      </c>
      <c r="AL263">
        <f t="shared" si="42"/>
        <v>16.616800000000001</v>
      </c>
      <c r="AM263">
        <f t="shared" si="43"/>
        <v>19.508289368</v>
      </c>
      <c r="AP263" s="9"/>
      <c r="AQ263" s="22">
        <v>0.57601899999999995</v>
      </c>
      <c r="AR263" s="22">
        <v>298.43099999999998</v>
      </c>
      <c r="AS263" s="22">
        <v>-1.6873200000000001E-2</v>
      </c>
      <c r="AT263" s="22">
        <v>253</v>
      </c>
      <c r="AU263" s="22">
        <v>0.57525599999999999</v>
      </c>
      <c r="AV263">
        <f t="shared" si="44"/>
        <v>16.873200000000001</v>
      </c>
      <c r="AW263">
        <f t="shared" si="45"/>
        <v>9.7192837907999987</v>
      </c>
      <c r="AX263" s="9"/>
      <c r="AY263" s="22">
        <v>1.17401</v>
      </c>
      <c r="AZ263" s="22">
        <v>377.66199999999998</v>
      </c>
      <c r="BA263" s="22">
        <v>-1.6378799999999999E-2</v>
      </c>
      <c r="BB263" s="22">
        <v>253</v>
      </c>
      <c r="BC263" s="22">
        <v>1.17249</v>
      </c>
      <c r="BD263">
        <f t="shared" si="46"/>
        <v>16.378799999999998</v>
      </c>
      <c r="BE263">
        <f t="shared" si="47"/>
        <v>19.228874987999998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49.2301</v>
      </c>
      <c r="I264" s="22">
        <v>-1.71234E-2</v>
      </c>
      <c r="J264" s="22">
        <v>254</v>
      </c>
      <c r="K264" s="22">
        <v>0.57031299999999996</v>
      </c>
      <c r="L264">
        <f t="shared" si="36"/>
        <v>17.1234</v>
      </c>
      <c r="M264">
        <f t="shared" si="37"/>
        <v>9.7771874256000011</v>
      </c>
      <c r="N264" s="9"/>
      <c r="O264" s="22">
        <v>1.1790499999999999</v>
      </c>
      <c r="P264" s="22">
        <v>104.626</v>
      </c>
      <c r="Q264" s="22">
        <v>-1.67542E-2</v>
      </c>
      <c r="R264" s="22">
        <v>254</v>
      </c>
      <c r="S264" s="22">
        <v>1.17828</v>
      </c>
      <c r="T264">
        <f t="shared" si="38"/>
        <v>16.754200000000001</v>
      </c>
      <c r="U264">
        <f t="shared" si="39"/>
        <v>19.754039509999998</v>
      </c>
      <c r="X264" s="9"/>
      <c r="Y264" s="22">
        <v>0.57098400000000005</v>
      </c>
      <c r="Z264" s="22">
        <v>166.583</v>
      </c>
      <c r="AA264" s="22">
        <v>-1.7144800000000002E-2</v>
      </c>
      <c r="AB264" s="22">
        <v>254</v>
      </c>
      <c r="AC264" s="22">
        <v>0.57031299999999996</v>
      </c>
      <c r="AD264">
        <f t="shared" si="40"/>
        <v>17.1448</v>
      </c>
      <c r="AE264">
        <f t="shared" si="41"/>
        <v>9.7894064832000005</v>
      </c>
      <c r="AF264" s="9"/>
      <c r="AG264" s="22">
        <v>1.1790499999999999</v>
      </c>
      <c r="AH264" s="22">
        <v>246.11500000000001</v>
      </c>
      <c r="AI264" s="22">
        <v>-1.66077E-2</v>
      </c>
      <c r="AJ264" s="22">
        <v>254</v>
      </c>
      <c r="AK264" s="22">
        <v>1.17798</v>
      </c>
      <c r="AL264">
        <f t="shared" si="42"/>
        <v>16.607700000000001</v>
      </c>
      <c r="AM264">
        <f t="shared" si="43"/>
        <v>19.581308685</v>
      </c>
      <c r="AP264" s="9"/>
      <c r="AQ264" s="22">
        <v>0.57098400000000005</v>
      </c>
      <c r="AR264" s="22">
        <v>298.53199999999998</v>
      </c>
      <c r="AS264" s="22">
        <v>-1.6882299999999999E-2</v>
      </c>
      <c r="AT264" s="22">
        <v>254</v>
      </c>
      <c r="AU264" s="22">
        <v>0.57031299999999996</v>
      </c>
      <c r="AV264">
        <f t="shared" si="44"/>
        <v>16.882300000000001</v>
      </c>
      <c r="AW264">
        <f t="shared" si="45"/>
        <v>9.6395231832000015</v>
      </c>
      <c r="AX264" s="9"/>
      <c r="AY264" s="22">
        <v>1.1790499999999999</v>
      </c>
      <c r="AZ264" s="22">
        <v>377.762</v>
      </c>
      <c r="BA264" s="22">
        <v>-1.6418499999999999E-2</v>
      </c>
      <c r="BB264" s="22">
        <v>254</v>
      </c>
      <c r="BC264" s="22">
        <v>1.17828</v>
      </c>
      <c r="BD264">
        <f t="shared" si="46"/>
        <v>16.418499999999998</v>
      </c>
      <c r="BE264">
        <f t="shared" si="47"/>
        <v>19.358232424999997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49.330800000000004</v>
      </c>
      <c r="I265" s="22">
        <v>-1.7095900000000001E-2</v>
      </c>
      <c r="J265" s="22">
        <v>255</v>
      </c>
      <c r="K265" s="22">
        <v>0.56527700000000003</v>
      </c>
      <c r="L265">
        <f t="shared" si="36"/>
        <v>17.0959</v>
      </c>
      <c r="M265">
        <f t="shared" si="37"/>
        <v>9.6753904132000006</v>
      </c>
      <c r="N265" s="9"/>
      <c r="O265" s="22">
        <v>1.18408</v>
      </c>
      <c r="P265" s="22">
        <v>104.727</v>
      </c>
      <c r="Q265" s="22">
        <v>-1.6747999999999999E-2</v>
      </c>
      <c r="R265" s="22">
        <v>255</v>
      </c>
      <c r="S265" s="22">
        <v>1.1831700000000001</v>
      </c>
      <c r="T265">
        <f t="shared" si="38"/>
        <v>16.747999999999998</v>
      </c>
      <c r="U265">
        <f t="shared" si="39"/>
        <v>19.830971839999997</v>
      </c>
      <c r="X265" s="9"/>
      <c r="Y265" s="22">
        <v>0.56594800000000001</v>
      </c>
      <c r="Z265" s="22">
        <v>166.684</v>
      </c>
      <c r="AA265" s="22">
        <v>-1.7163100000000001E-2</v>
      </c>
      <c r="AB265" s="22">
        <v>255</v>
      </c>
      <c r="AC265" s="22">
        <v>0.56521600000000005</v>
      </c>
      <c r="AD265">
        <f t="shared" si="40"/>
        <v>17.1631</v>
      </c>
      <c r="AE265">
        <f t="shared" si="41"/>
        <v>9.7134221188000005</v>
      </c>
      <c r="AF265" s="9"/>
      <c r="AG265" s="22">
        <v>1.18408</v>
      </c>
      <c r="AH265" s="22">
        <v>246.21600000000001</v>
      </c>
      <c r="AI265" s="22">
        <v>-1.6610699999999999E-2</v>
      </c>
      <c r="AJ265" s="22">
        <v>255</v>
      </c>
      <c r="AK265" s="22">
        <v>1.18347</v>
      </c>
      <c r="AL265">
        <f t="shared" si="42"/>
        <v>16.610699999999998</v>
      </c>
      <c r="AM265">
        <f t="shared" si="43"/>
        <v>19.668397655999996</v>
      </c>
      <c r="AP265" s="9"/>
      <c r="AQ265" s="22">
        <v>0.56594800000000001</v>
      </c>
      <c r="AR265" s="22">
        <v>298.63299999999998</v>
      </c>
      <c r="AS265" s="22">
        <v>-1.68396E-2</v>
      </c>
      <c r="AT265" s="22">
        <v>255</v>
      </c>
      <c r="AU265" s="22">
        <v>0.56530800000000003</v>
      </c>
      <c r="AV265">
        <f t="shared" si="44"/>
        <v>16.839600000000001</v>
      </c>
      <c r="AW265">
        <f t="shared" si="45"/>
        <v>9.5303379408000009</v>
      </c>
      <c r="AX265" s="9"/>
      <c r="AY265" s="22">
        <v>1.18408</v>
      </c>
      <c r="AZ265" s="22">
        <v>377.863</v>
      </c>
      <c r="BA265" s="22">
        <v>-1.63727E-2</v>
      </c>
      <c r="BB265" s="22">
        <v>255</v>
      </c>
      <c r="BC265" s="22">
        <v>1.1831700000000001</v>
      </c>
      <c r="BD265">
        <f t="shared" si="46"/>
        <v>16.372700000000002</v>
      </c>
      <c r="BE265">
        <f t="shared" si="47"/>
        <v>19.386586616000002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49.4315</v>
      </c>
      <c r="I266" s="22">
        <v>-1.7077599999999998E-2</v>
      </c>
      <c r="J266" s="22">
        <v>256</v>
      </c>
      <c r="K266" s="22">
        <v>0.56018100000000004</v>
      </c>
      <c r="L266">
        <f t="shared" si="36"/>
        <v>17.077599999999997</v>
      </c>
      <c r="M266">
        <f t="shared" si="37"/>
        <v>9.5790478487999984</v>
      </c>
      <c r="N266" s="9"/>
      <c r="O266" s="22">
        <v>1.18912</v>
      </c>
      <c r="P266" s="22">
        <v>104.827</v>
      </c>
      <c r="Q266" s="22">
        <v>-1.6726700000000001E-2</v>
      </c>
      <c r="R266" s="22">
        <v>256</v>
      </c>
      <c r="S266" s="22">
        <v>1.1880500000000001</v>
      </c>
      <c r="T266">
        <f t="shared" si="38"/>
        <v>16.726700000000001</v>
      </c>
      <c r="U266">
        <f t="shared" si="39"/>
        <v>19.890053504000001</v>
      </c>
      <c r="X266" s="9"/>
      <c r="Y266" s="22">
        <v>0.56091299999999999</v>
      </c>
      <c r="Z266" s="22">
        <v>166.78399999999999</v>
      </c>
      <c r="AA266" s="22">
        <v>-1.7147800000000001E-2</v>
      </c>
      <c r="AB266" s="22">
        <v>256</v>
      </c>
      <c r="AC266" s="22">
        <v>0.560303</v>
      </c>
      <c r="AD266">
        <f t="shared" si="40"/>
        <v>17.1478</v>
      </c>
      <c r="AE266">
        <f t="shared" si="41"/>
        <v>9.6184239413999997</v>
      </c>
      <c r="AF266" s="9"/>
      <c r="AG266" s="22">
        <v>1.18912</v>
      </c>
      <c r="AH266" s="22">
        <v>246.31700000000001</v>
      </c>
      <c r="AI266" s="22">
        <v>-1.65924E-2</v>
      </c>
      <c r="AJ266" s="22">
        <v>256</v>
      </c>
      <c r="AK266" s="22">
        <v>1.1880500000000001</v>
      </c>
      <c r="AL266">
        <f t="shared" si="42"/>
        <v>16.592400000000001</v>
      </c>
      <c r="AM266">
        <f t="shared" si="43"/>
        <v>19.730354688000002</v>
      </c>
      <c r="AP266" s="9"/>
      <c r="AQ266" s="22">
        <v>0.56091299999999999</v>
      </c>
      <c r="AR266" s="22">
        <v>298.733</v>
      </c>
      <c r="AS266" s="22">
        <v>-1.6845700000000002E-2</v>
      </c>
      <c r="AT266" s="22">
        <v>256</v>
      </c>
      <c r="AU266" s="22">
        <v>0.56027199999999999</v>
      </c>
      <c r="AV266">
        <f t="shared" si="44"/>
        <v>16.845700000000001</v>
      </c>
      <c r="AW266">
        <f t="shared" si="45"/>
        <v>9.4489721241000009</v>
      </c>
      <c r="AX266" s="9"/>
      <c r="AY266" s="22">
        <v>1.18912</v>
      </c>
      <c r="AZ266" s="22">
        <v>377.964</v>
      </c>
      <c r="BA266" s="22">
        <v>-1.63605E-2</v>
      </c>
      <c r="BB266" s="22">
        <v>256</v>
      </c>
      <c r="BC266" s="22">
        <v>1.18835</v>
      </c>
      <c r="BD266">
        <f t="shared" si="46"/>
        <v>16.360500000000002</v>
      </c>
      <c r="BE266">
        <f t="shared" si="47"/>
        <v>19.454597760000002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49.532299999999999</v>
      </c>
      <c r="I267" s="22">
        <v>-1.7102099999999999E-2</v>
      </c>
      <c r="J267" s="22">
        <v>257</v>
      </c>
      <c r="K267" s="22">
        <v>0.55520599999999998</v>
      </c>
      <c r="L267">
        <f t="shared" si="36"/>
        <v>17.1021</v>
      </c>
      <c r="M267">
        <f t="shared" si="37"/>
        <v>9.5066811437999998</v>
      </c>
      <c r="N267" s="9"/>
      <c r="O267" s="22">
        <v>1.19415</v>
      </c>
      <c r="P267" s="22">
        <v>104.928</v>
      </c>
      <c r="Q267" s="22">
        <v>-1.6735799999999999E-2</v>
      </c>
      <c r="R267" s="22">
        <v>257</v>
      </c>
      <c r="S267" s="22">
        <v>1.19354</v>
      </c>
      <c r="T267">
        <f t="shared" si="38"/>
        <v>16.735799999999998</v>
      </c>
      <c r="U267">
        <f t="shared" si="39"/>
        <v>19.985055569999997</v>
      </c>
      <c r="X267" s="9"/>
      <c r="Y267" s="22">
        <v>0.55587799999999998</v>
      </c>
      <c r="Z267" s="22">
        <v>166.88499999999999</v>
      </c>
      <c r="AA267" s="22">
        <v>-1.71112E-2</v>
      </c>
      <c r="AB267" s="22">
        <v>257</v>
      </c>
      <c r="AC267" s="22">
        <v>0.555145</v>
      </c>
      <c r="AD267">
        <f t="shared" si="40"/>
        <v>17.1112</v>
      </c>
      <c r="AE267">
        <f t="shared" si="41"/>
        <v>9.5117396335999995</v>
      </c>
      <c r="AF267" s="9"/>
      <c r="AG267" s="22">
        <v>1.19415</v>
      </c>
      <c r="AH267" s="22">
        <v>246.417</v>
      </c>
      <c r="AI267" s="22">
        <v>-1.6595499999999999E-2</v>
      </c>
      <c r="AJ267" s="22">
        <v>257</v>
      </c>
      <c r="AK267" s="22">
        <v>1.1932400000000001</v>
      </c>
      <c r="AL267">
        <f t="shared" si="42"/>
        <v>16.595499999999998</v>
      </c>
      <c r="AM267">
        <f t="shared" si="43"/>
        <v>19.817516325</v>
      </c>
      <c r="AP267" s="9"/>
      <c r="AQ267" s="22">
        <v>0.55587799999999998</v>
      </c>
      <c r="AR267" s="22">
        <v>298.834</v>
      </c>
      <c r="AS267" s="22">
        <v>-1.6873200000000001E-2</v>
      </c>
      <c r="AT267" s="22">
        <v>257</v>
      </c>
      <c r="AU267" s="22">
        <v>0.55520599999999998</v>
      </c>
      <c r="AV267">
        <f t="shared" si="44"/>
        <v>16.873200000000001</v>
      </c>
      <c r="AW267">
        <f t="shared" si="45"/>
        <v>9.3794406695999992</v>
      </c>
      <c r="AX267" s="9"/>
      <c r="AY267" s="22">
        <v>1.19415</v>
      </c>
      <c r="AZ267" s="22">
        <v>378.06400000000002</v>
      </c>
      <c r="BA267" s="22">
        <v>-1.6354400000000002E-2</v>
      </c>
      <c r="BB267" s="22">
        <v>257</v>
      </c>
      <c r="BC267" s="22">
        <v>1.19354</v>
      </c>
      <c r="BD267">
        <f t="shared" si="46"/>
        <v>16.354400000000002</v>
      </c>
      <c r="BE267">
        <f t="shared" si="47"/>
        <v>19.529606760000004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49.633000000000003</v>
      </c>
      <c r="I268" s="22">
        <v>-1.7117299999999998E-2</v>
      </c>
      <c r="J268" s="22">
        <v>258</v>
      </c>
      <c r="K268" s="22">
        <v>0.55026200000000003</v>
      </c>
      <c r="L268">
        <f t="shared" ref="L268:L331" si="48">-I268/$F$2*1000</f>
        <v>17.1173</v>
      </c>
      <c r="M268">
        <f t="shared" ref="M268:M331" si="49">L268*G268</f>
        <v>9.4289277666000011</v>
      </c>
      <c r="N268" s="9"/>
      <c r="O268" s="22">
        <v>1.19919</v>
      </c>
      <c r="P268" s="22">
        <v>105.029</v>
      </c>
      <c r="Q268" s="22">
        <v>-1.6726700000000001E-2</v>
      </c>
      <c r="R268" s="22">
        <v>258</v>
      </c>
      <c r="S268" s="22">
        <v>1.1984300000000001</v>
      </c>
      <c r="T268">
        <f t="shared" ref="T268:T331" si="50">-Q268/$F$2*1000</f>
        <v>16.726700000000001</v>
      </c>
      <c r="U268">
        <f t="shared" ref="U268:U331" si="51">T268*O268</f>
        <v>20.058491373000003</v>
      </c>
      <c r="X268" s="9"/>
      <c r="Y268" s="22">
        <v>0.55084200000000005</v>
      </c>
      <c r="Z268" s="22">
        <v>166.98599999999999</v>
      </c>
      <c r="AA268" s="22">
        <v>-1.7126499999999999E-2</v>
      </c>
      <c r="AB268" s="22">
        <v>258</v>
      </c>
      <c r="AC268" s="22">
        <v>0.55017099999999997</v>
      </c>
      <c r="AD268">
        <f t="shared" ref="AD268:AD331" si="52">-AA268/$F$2*1000</f>
        <v>17.1265</v>
      </c>
      <c r="AE268">
        <f t="shared" ref="AE268:AE331" si="53">AD268*Y268</f>
        <v>9.4339955130000011</v>
      </c>
      <c r="AF268" s="9"/>
      <c r="AG268" s="22">
        <v>1.19919</v>
      </c>
      <c r="AH268" s="22">
        <v>246.518</v>
      </c>
      <c r="AI268" s="22">
        <v>-1.6595499999999999E-2</v>
      </c>
      <c r="AJ268" s="22">
        <v>258</v>
      </c>
      <c r="AK268" s="22">
        <v>1.1984300000000001</v>
      </c>
      <c r="AL268">
        <f t="shared" ref="AL268:AL331" si="54">-AI268/$F$2*1000</f>
        <v>16.595499999999998</v>
      </c>
      <c r="AM268">
        <f t="shared" ref="AM268:AM331" si="55">AL268*AG268</f>
        <v>19.901157644999998</v>
      </c>
      <c r="AP268" s="9"/>
      <c r="AQ268" s="22">
        <v>0.55084200000000005</v>
      </c>
      <c r="AR268" s="22">
        <v>298.935</v>
      </c>
      <c r="AS268" s="22">
        <v>-1.6836500000000001E-2</v>
      </c>
      <c r="AT268" s="22">
        <v>258</v>
      </c>
      <c r="AU268" s="22">
        <v>0.55017099999999997</v>
      </c>
      <c r="AV268">
        <f t="shared" ref="AV268:AV331" si="56">-AS268/$F$2*1000</f>
        <v>16.836500000000001</v>
      </c>
      <c r="AW268">
        <f t="shared" ref="AW268:AW331" si="57">AV268*AQ268</f>
        <v>9.2742513330000023</v>
      </c>
      <c r="AX268" s="9"/>
      <c r="AY268" s="22">
        <v>1.19919</v>
      </c>
      <c r="AZ268" s="22">
        <v>378.16500000000002</v>
      </c>
      <c r="BA268" s="22">
        <v>-1.6308599999999999E-2</v>
      </c>
      <c r="BB268" s="22">
        <v>258</v>
      </c>
      <c r="BC268" s="22">
        <v>1.1987300000000001</v>
      </c>
      <c r="BD268">
        <f t="shared" ref="BD268:BD331" si="58">-BA268/$F$2*1000</f>
        <v>16.308599999999998</v>
      </c>
      <c r="BE268">
        <f t="shared" ref="BE268:BE331" si="59">BD268*AY268</f>
        <v>19.557110033999997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49.733699999999999</v>
      </c>
      <c r="I269" s="22">
        <v>-1.7129499999999999E-2</v>
      </c>
      <c r="J269" s="22">
        <v>259</v>
      </c>
      <c r="K269" s="22">
        <v>0.54516600000000004</v>
      </c>
      <c r="L269">
        <f t="shared" si="48"/>
        <v>17.1295</v>
      </c>
      <c r="M269">
        <f t="shared" si="49"/>
        <v>9.3494010065000008</v>
      </c>
      <c r="N269" s="9"/>
      <c r="O269" s="22">
        <v>1.2042200000000001</v>
      </c>
      <c r="P269" s="22">
        <v>105.13</v>
      </c>
      <c r="Q269" s="22">
        <v>-1.6732799999999999E-2</v>
      </c>
      <c r="R269" s="22">
        <v>259</v>
      </c>
      <c r="S269" s="22">
        <v>1.2036100000000001</v>
      </c>
      <c r="T269">
        <f t="shared" si="50"/>
        <v>16.732799999999997</v>
      </c>
      <c r="U269">
        <f t="shared" si="51"/>
        <v>20.149972415999997</v>
      </c>
      <c r="X269" s="9"/>
      <c r="Y269" s="22">
        <v>0.54580700000000004</v>
      </c>
      <c r="Z269" s="22">
        <v>167.08600000000001</v>
      </c>
      <c r="AA269" s="22">
        <v>-1.7129499999999999E-2</v>
      </c>
      <c r="AB269" s="22">
        <v>259</v>
      </c>
      <c r="AC269" s="22">
        <v>0.54519700000000004</v>
      </c>
      <c r="AD269">
        <f t="shared" si="52"/>
        <v>17.1295</v>
      </c>
      <c r="AE269">
        <f t="shared" si="53"/>
        <v>9.3494010065000008</v>
      </c>
      <c r="AF269" s="9"/>
      <c r="AG269" s="22">
        <v>1.2042200000000001</v>
      </c>
      <c r="AH269" s="22">
        <v>246.619</v>
      </c>
      <c r="AI269" s="22">
        <v>-1.6583299999999999E-2</v>
      </c>
      <c r="AJ269" s="22">
        <v>259</v>
      </c>
      <c r="AK269" s="22">
        <v>1.2030000000000001</v>
      </c>
      <c r="AL269">
        <f t="shared" si="54"/>
        <v>16.583299999999998</v>
      </c>
      <c r="AM269">
        <f t="shared" si="55"/>
        <v>19.969941525999999</v>
      </c>
      <c r="AP269" s="9"/>
      <c r="AQ269" s="22">
        <v>0.54580700000000004</v>
      </c>
      <c r="AR269" s="22">
        <v>299.036</v>
      </c>
      <c r="AS269" s="22">
        <v>-1.6861000000000001E-2</v>
      </c>
      <c r="AT269" s="22">
        <v>259</v>
      </c>
      <c r="AU269" s="22">
        <v>0.54519700000000004</v>
      </c>
      <c r="AV269">
        <f t="shared" si="56"/>
        <v>16.861000000000001</v>
      </c>
      <c r="AW269">
        <f t="shared" si="57"/>
        <v>9.2028518270000017</v>
      </c>
      <c r="AX269" s="9"/>
      <c r="AY269" s="22">
        <v>1.2042200000000001</v>
      </c>
      <c r="AZ269" s="22">
        <v>378.26600000000002</v>
      </c>
      <c r="BA269" s="22">
        <v>-1.6271999999999998E-2</v>
      </c>
      <c r="BB269" s="22">
        <v>259</v>
      </c>
      <c r="BC269" s="22">
        <v>1.2030000000000001</v>
      </c>
      <c r="BD269">
        <f t="shared" si="58"/>
        <v>16.271999999999998</v>
      </c>
      <c r="BE269">
        <f t="shared" si="59"/>
        <v>19.595067839999999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49.834400000000002</v>
      </c>
      <c r="I270" s="22">
        <v>-1.7135600000000001E-2</v>
      </c>
      <c r="J270" s="22">
        <v>260</v>
      </c>
      <c r="K270" s="22">
        <v>0.53997799999999996</v>
      </c>
      <c r="L270">
        <f t="shared" si="48"/>
        <v>17.1356</v>
      </c>
      <c r="M270">
        <f t="shared" si="49"/>
        <v>9.2664355476000004</v>
      </c>
      <c r="N270" s="9"/>
      <c r="O270" s="22">
        <v>1.20926</v>
      </c>
      <c r="P270" s="22">
        <v>105.23</v>
      </c>
      <c r="Q270" s="22">
        <v>-1.6720599999999999E-2</v>
      </c>
      <c r="R270" s="22">
        <v>260</v>
      </c>
      <c r="S270" s="22">
        <v>1.2084999999999999</v>
      </c>
      <c r="T270">
        <f t="shared" si="50"/>
        <v>16.720599999999997</v>
      </c>
      <c r="U270">
        <f t="shared" si="51"/>
        <v>20.219552755999995</v>
      </c>
      <c r="X270" s="9"/>
      <c r="Y270" s="22">
        <v>0.540771</v>
      </c>
      <c r="Z270" s="22">
        <v>167.18700000000001</v>
      </c>
      <c r="AA270" s="22">
        <v>-1.7126499999999999E-2</v>
      </c>
      <c r="AB270" s="22">
        <v>260</v>
      </c>
      <c r="AC270" s="22">
        <v>0.54007000000000005</v>
      </c>
      <c r="AD270">
        <f t="shared" si="52"/>
        <v>17.1265</v>
      </c>
      <c r="AE270">
        <f t="shared" si="53"/>
        <v>9.2615145314999996</v>
      </c>
      <c r="AF270" s="9"/>
      <c r="AG270" s="22">
        <v>1.20926</v>
      </c>
      <c r="AH270" s="22">
        <v>246.72</v>
      </c>
      <c r="AI270" s="22">
        <v>-1.6555799999999999E-2</v>
      </c>
      <c r="AJ270" s="22">
        <v>260</v>
      </c>
      <c r="AK270" s="22">
        <v>1.2084999999999999</v>
      </c>
      <c r="AL270">
        <f t="shared" si="54"/>
        <v>16.555799999999998</v>
      </c>
      <c r="AM270">
        <f t="shared" si="55"/>
        <v>20.020266707999998</v>
      </c>
      <c r="AP270" s="9"/>
      <c r="AQ270" s="22">
        <v>0.540771</v>
      </c>
      <c r="AR270" s="22">
        <v>299.13600000000002</v>
      </c>
      <c r="AS270" s="22">
        <v>-1.6845700000000002E-2</v>
      </c>
      <c r="AT270" s="22">
        <v>260</v>
      </c>
      <c r="AU270" s="22">
        <v>0.540161</v>
      </c>
      <c r="AV270">
        <f t="shared" si="56"/>
        <v>16.845700000000001</v>
      </c>
      <c r="AW270">
        <f t="shared" si="57"/>
        <v>9.1096660347</v>
      </c>
      <c r="AX270" s="9"/>
      <c r="AY270" s="22">
        <v>1.20926</v>
      </c>
      <c r="AZ270" s="22">
        <v>378.36700000000002</v>
      </c>
      <c r="BA270" s="22">
        <v>-1.62262E-2</v>
      </c>
      <c r="BB270" s="22">
        <v>260</v>
      </c>
      <c r="BC270" s="22">
        <v>1.2078899999999999</v>
      </c>
      <c r="BD270">
        <f t="shared" si="58"/>
        <v>16.226199999999999</v>
      </c>
      <c r="BE270">
        <f t="shared" si="59"/>
        <v>19.621694611999999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49.935099999999998</v>
      </c>
      <c r="I271" s="22">
        <v>-1.71234E-2</v>
      </c>
      <c r="J271" s="22">
        <v>261</v>
      </c>
      <c r="K271" s="22">
        <v>0.53500400000000004</v>
      </c>
      <c r="L271">
        <f t="shared" si="48"/>
        <v>17.1234</v>
      </c>
      <c r="M271">
        <f t="shared" si="49"/>
        <v>9.1736218223999995</v>
      </c>
      <c r="N271" s="9"/>
      <c r="O271" s="22">
        <v>1.2142900000000001</v>
      </c>
      <c r="P271" s="22">
        <v>105.331</v>
      </c>
      <c r="Q271" s="22">
        <v>-1.6720599999999999E-2</v>
      </c>
      <c r="R271" s="22">
        <v>261</v>
      </c>
      <c r="S271" s="22">
        <v>1.2130700000000001</v>
      </c>
      <c r="T271">
        <f t="shared" si="50"/>
        <v>16.720599999999997</v>
      </c>
      <c r="U271">
        <f t="shared" si="51"/>
        <v>20.303657374</v>
      </c>
      <c r="X271" s="9"/>
      <c r="Y271" s="22">
        <v>0.53573599999999999</v>
      </c>
      <c r="Z271" s="22">
        <v>167.28800000000001</v>
      </c>
      <c r="AA271" s="22">
        <v>-1.71082E-2</v>
      </c>
      <c r="AB271" s="22">
        <v>261</v>
      </c>
      <c r="AC271" s="22">
        <v>0.53509499999999999</v>
      </c>
      <c r="AD271">
        <f t="shared" si="52"/>
        <v>17.1082</v>
      </c>
      <c r="AE271">
        <f t="shared" si="53"/>
        <v>9.1654786351999995</v>
      </c>
      <c r="AF271" s="9"/>
      <c r="AG271" s="22">
        <v>1.2142900000000001</v>
      </c>
      <c r="AH271" s="22">
        <v>246.82</v>
      </c>
      <c r="AI271" s="22">
        <v>-1.6558799999999999E-2</v>
      </c>
      <c r="AJ271" s="22">
        <v>261</v>
      </c>
      <c r="AK271" s="22">
        <v>1.2139899999999999</v>
      </c>
      <c r="AL271">
        <f t="shared" si="54"/>
        <v>16.558799999999998</v>
      </c>
      <c r="AM271">
        <f t="shared" si="55"/>
        <v>20.107185252000001</v>
      </c>
      <c r="AP271" s="9"/>
      <c r="AQ271" s="22">
        <v>0.53573599999999999</v>
      </c>
      <c r="AR271" s="22">
        <v>299.23700000000002</v>
      </c>
      <c r="AS271" s="22">
        <v>-1.6842699999999999E-2</v>
      </c>
      <c r="AT271" s="22">
        <v>261</v>
      </c>
      <c r="AU271" s="22">
        <v>0.53506500000000001</v>
      </c>
      <c r="AV271">
        <f t="shared" si="56"/>
        <v>16.842699999999997</v>
      </c>
      <c r="AW271">
        <f t="shared" si="57"/>
        <v>9.0232407271999975</v>
      </c>
      <c r="AX271" s="9"/>
      <c r="AY271" s="22">
        <v>1.2142900000000001</v>
      </c>
      <c r="AZ271" s="22">
        <v>378.46699999999998</v>
      </c>
      <c r="BA271" s="22">
        <v>-1.6244499999999999E-2</v>
      </c>
      <c r="BB271" s="22">
        <v>261</v>
      </c>
      <c r="BC271" s="22">
        <v>1.2133799999999999</v>
      </c>
      <c r="BD271">
        <f t="shared" si="58"/>
        <v>16.244499999999999</v>
      </c>
      <c r="BE271">
        <f t="shared" si="59"/>
        <v>19.725533904999999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50.035800000000002</v>
      </c>
      <c r="I272" s="22">
        <v>-1.7129499999999999E-2</v>
      </c>
      <c r="J272" s="22">
        <v>262</v>
      </c>
      <c r="K272" s="22">
        <v>0.53012099999999995</v>
      </c>
      <c r="L272">
        <f t="shared" si="48"/>
        <v>17.1295</v>
      </c>
      <c r="M272">
        <f t="shared" si="49"/>
        <v>9.0906427794999995</v>
      </c>
      <c r="N272" s="9"/>
      <c r="O272" s="22">
        <v>1.21933</v>
      </c>
      <c r="P272" s="22">
        <v>105.432</v>
      </c>
      <c r="Q272" s="22">
        <v>-1.6705299999999999E-2</v>
      </c>
      <c r="R272" s="22">
        <v>262</v>
      </c>
      <c r="S272" s="22">
        <v>1.2179599999999999</v>
      </c>
      <c r="T272">
        <f t="shared" si="50"/>
        <v>16.705299999999998</v>
      </c>
      <c r="U272">
        <f t="shared" si="51"/>
        <v>20.369273448999998</v>
      </c>
      <c r="X272" s="9"/>
      <c r="Y272" s="22">
        <v>0.53070099999999998</v>
      </c>
      <c r="Z272" s="22">
        <v>167.38900000000001</v>
      </c>
      <c r="AA272" s="22">
        <v>-1.7095900000000001E-2</v>
      </c>
      <c r="AB272" s="22">
        <v>262</v>
      </c>
      <c r="AC272" s="22">
        <v>0.53008999999999995</v>
      </c>
      <c r="AD272">
        <f t="shared" si="52"/>
        <v>17.0959</v>
      </c>
      <c r="AE272">
        <f t="shared" si="53"/>
        <v>9.0728112259000007</v>
      </c>
      <c r="AF272" s="9"/>
      <c r="AG272" s="22">
        <v>1.21933</v>
      </c>
      <c r="AH272" s="22">
        <v>246.92099999999999</v>
      </c>
      <c r="AI272" s="22">
        <v>-1.6528299999999999E-2</v>
      </c>
      <c r="AJ272" s="22">
        <v>262</v>
      </c>
      <c r="AK272" s="22">
        <v>1.2182599999999999</v>
      </c>
      <c r="AL272">
        <f t="shared" si="54"/>
        <v>16.528299999999998</v>
      </c>
      <c r="AM272">
        <f t="shared" si="55"/>
        <v>20.153452038999998</v>
      </c>
      <c r="AP272" s="9"/>
      <c r="AQ272" s="22">
        <v>0.53070099999999998</v>
      </c>
      <c r="AR272" s="22">
        <v>299.33800000000002</v>
      </c>
      <c r="AS272" s="22">
        <v>-1.68793E-2</v>
      </c>
      <c r="AT272" s="22">
        <v>262</v>
      </c>
      <c r="AU272" s="22">
        <v>0.529999</v>
      </c>
      <c r="AV272">
        <f t="shared" si="56"/>
        <v>16.879300000000001</v>
      </c>
      <c r="AW272">
        <f t="shared" si="57"/>
        <v>8.9578613892999996</v>
      </c>
      <c r="AX272" s="9"/>
      <c r="AY272" s="22">
        <v>1.21933</v>
      </c>
      <c r="AZ272" s="22">
        <v>378.56799999999998</v>
      </c>
      <c r="BA272" s="22">
        <v>-1.6256699999999999E-2</v>
      </c>
      <c r="BB272" s="22">
        <v>262</v>
      </c>
      <c r="BC272" s="22">
        <v>1.2185699999999999</v>
      </c>
      <c r="BD272">
        <f t="shared" si="58"/>
        <v>16.256699999999999</v>
      </c>
      <c r="BE272">
        <f t="shared" si="59"/>
        <v>19.822282010999999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50.136499999999998</v>
      </c>
      <c r="I273" s="22">
        <v>-1.7129499999999999E-2</v>
      </c>
      <c r="J273" s="22">
        <v>263</v>
      </c>
      <c r="K273" s="22">
        <v>0.52496299999999996</v>
      </c>
      <c r="L273">
        <f t="shared" si="48"/>
        <v>17.1295</v>
      </c>
      <c r="M273">
        <f t="shared" si="49"/>
        <v>9.0043786175000005</v>
      </c>
      <c r="N273" s="9"/>
      <c r="O273" s="22">
        <v>1.22437</v>
      </c>
      <c r="P273" s="22">
        <v>105.532</v>
      </c>
      <c r="Q273" s="22">
        <v>-1.67175E-2</v>
      </c>
      <c r="R273" s="22">
        <v>263</v>
      </c>
      <c r="S273" s="22">
        <v>1.2231399999999999</v>
      </c>
      <c r="T273">
        <f t="shared" si="50"/>
        <v>16.717500000000001</v>
      </c>
      <c r="U273">
        <f t="shared" si="51"/>
        <v>20.468405475000001</v>
      </c>
      <c r="X273" s="9"/>
      <c r="Y273" s="22">
        <v>0.52566500000000005</v>
      </c>
      <c r="Z273" s="22">
        <v>167.489</v>
      </c>
      <c r="AA273" s="22">
        <v>-1.7129499999999999E-2</v>
      </c>
      <c r="AB273" s="22">
        <v>263</v>
      </c>
      <c r="AC273" s="22">
        <v>0.52496299999999996</v>
      </c>
      <c r="AD273">
        <f t="shared" si="52"/>
        <v>17.1295</v>
      </c>
      <c r="AE273">
        <f t="shared" si="53"/>
        <v>9.0043786175000005</v>
      </c>
      <c r="AF273" s="9"/>
      <c r="AG273" s="22">
        <v>1.22437</v>
      </c>
      <c r="AH273" s="22">
        <v>247.02199999999999</v>
      </c>
      <c r="AI273" s="22">
        <v>-1.6445899999999999E-2</v>
      </c>
      <c r="AJ273" s="22">
        <v>263</v>
      </c>
      <c r="AK273" s="22">
        <v>1.2234499999999999</v>
      </c>
      <c r="AL273">
        <f t="shared" si="54"/>
        <v>16.445899999999998</v>
      </c>
      <c r="AM273">
        <f t="shared" si="55"/>
        <v>20.135866582999999</v>
      </c>
      <c r="AP273" s="9"/>
      <c r="AQ273" s="22">
        <v>0.52566500000000005</v>
      </c>
      <c r="AR273" s="22">
        <v>299.43799999999999</v>
      </c>
      <c r="AS273" s="22">
        <v>-1.6873200000000001E-2</v>
      </c>
      <c r="AT273" s="22">
        <v>263</v>
      </c>
      <c r="AU273" s="22">
        <v>0.52508500000000002</v>
      </c>
      <c r="AV273">
        <f t="shared" si="56"/>
        <v>16.873200000000001</v>
      </c>
      <c r="AW273">
        <f t="shared" si="57"/>
        <v>8.8696506780000011</v>
      </c>
      <c r="AX273" s="9"/>
      <c r="AY273" s="22">
        <v>1.22437</v>
      </c>
      <c r="AZ273" s="22">
        <v>378.66899999999998</v>
      </c>
      <c r="BA273" s="22">
        <v>-1.61987E-2</v>
      </c>
      <c r="BB273" s="22">
        <v>263</v>
      </c>
      <c r="BC273" s="22">
        <v>1.2234499999999999</v>
      </c>
      <c r="BD273">
        <f t="shared" si="58"/>
        <v>16.198699999999999</v>
      </c>
      <c r="BE273">
        <f t="shared" si="59"/>
        <v>19.833202318999998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50.237200000000001</v>
      </c>
      <c r="I274" s="22">
        <v>-1.71234E-2</v>
      </c>
      <c r="J274" s="22">
        <v>264</v>
      </c>
      <c r="K274" s="22">
        <v>0.52002000000000004</v>
      </c>
      <c r="L274">
        <f t="shared" si="48"/>
        <v>17.1234</v>
      </c>
      <c r="M274">
        <f t="shared" si="49"/>
        <v>8.9149557420000001</v>
      </c>
      <c r="N274" s="9"/>
      <c r="O274" s="22">
        <v>1.2294</v>
      </c>
      <c r="P274" s="22">
        <v>105.633</v>
      </c>
      <c r="Q274" s="22">
        <v>-1.6711400000000001E-2</v>
      </c>
      <c r="R274" s="22">
        <v>264</v>
      </c>
      <c r="S274" s="22">
        <v>1.2289399999999999</v>
      </c>
      <c r="T274">
        <f t="shared" si="50"/>
        <v>16.711400000000001</v>
      </c>
      <c r="U274">
        <f t="shared" si="51"/>
        <v>20.544995160000003</v>
      </c>
      <c r="X274" s="9"/>
      <c r="Y274" s="22">
        <v>0.52063000000000004</v>
      </c>
      <c r="Z274" s="22">
        <v>167.59</v>
      </c>
      <c r="AA274" s="22">
        <v>-1.71112E-2</v>
      </c>
      <c r="AB274" s="22">
        <v>264</v>
      </c>
      <c r="AC274" s="22">
        <v>0.52005000000000001</v>
      </c>
      <c r="AD274">
        <f t="shared" si="52"/>
        <v>17.1112</v>
      </c>
      <c r="AE274">
        <f t="shared" si="53"/>
        <v>8.9086040560000015</v>
      </c>
      <c r="AF274" s="9"/>
      <c r="AG274" s="22">
        <v>1.2294</v>
      </c>
      <c r="AH274" s="22">
        <v>247.12200000000001</v>
      </c>
      <c r="AI274" s="22">
        <v>-1.6467300000000001E-2</v>
      </c>
      <c r="AJ274" s="22">
        <v>264</v>
      </c>
      <c r="AK274" s="22">
        <v>1.2289399999999999</v>
      </c>
      <c r="AL274">
        <f t="shared" si="54"/>
        <v>16.467300000000002</v>
      </c>
      <c r="AM274">
        <f t="shared" si="55"/>
        <v>20.244898620000004</v>
      </c>
      <c r="AP274" s="9"/>
      <c r="AQ274" s="22">
        <v>0.52063000000000004</v>
      </c>
      <c r="AR274" s="22">
        <v>299.53899999999999</v>
      </c>
      <c r="AS274" s="22">
        <v>-1.68793E-2</v>
      </c>
      <c r="AT274" s="22">
        <v>264</v>
      </c>
      <c r="AU274" s="22">
        <v>0.51998900000000003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378.76900000000001</v>
      </c>
      <c r="BA274" s="22">
        <v>-1.6223100000000001E-2</v>
      </c>
      <c r="BB274" s="22">
        <v>264</v>
      </c>
      <c r="BC274" s="22">
        <v>1.22864</v>
      </c>
      <c r="BD274">
        <f t="shared" si="58"/>
        <v>16.223100000000002</v>
      </c>
      <c r="BE274">
        <f t="shared" si="59"/>
        <v>19.944679140000005</v>
      </c>
    </row>
    <row r="275" spans="6:101">
      <c r="F275" s="9"/>
      <c r="G275" s="22">
        <v>0.515594</v>
      </c>
      <c r="H275" s="22">
        <v>50.337899999999998</v>
      </c>
      <c r="I275" s="22">
        <v>-1.7141699999999999E-2</v>
      </c>
      <c r="J275" s="22">
        <v>265</v>
      </c>
      <c r="K275" s="22">
        <v>0.514984</v>
      </c>
      <c r="L275">
        <f t="shared" si="48"/>
        <v>17.1417</v>
      </c>
      <c r="M275">
        <f t="shared" si="49"/>
        <v>8.8381576697999993</v>
      </c>
      <c r="N275" s="9"/>
      <c r="O275" s="22">
        <v>1.23444</v>
      </c>
      <c r="P275" s="22">
        <v>105.73399999999999</v>
      </c>
      <c r="Q275" s="22">
        <v>-1.6711400000000001E-2</v>
      </c>
      <c r="R275" s="22">
        <v>265</v>
      </c>
      <c r="S275" s="22">
        <v>1.23383</v>
      </c>
      <c r="T275">
        <f t="shared" si="50"/>
        <v>16.711400000000001</v>
      </c>
      <c r="U275">
        <f t="shared" si="51"/>
        <v>20.629220616000001</v>
      </c>
      <c r="X275" s="9"/>
      <c r="Y275" s="22">
        <v>0.515594</v>
      </c>
      <c r="Z275" s="22">
        <v>167.691</v>
      </c>
      <c r="AA275" s="22">
        <v>-1.7105100000000002E-2</v>
      </c>
      <c r="AB275" s="22">
        <v>265</v>
      </c>
      <c r="AC275" s="22">
        <v>0.51492300000000002</v>
      </c>
      <c r="AD275">
        <f t="shared" si="52"/>
        <v>17.1051</v>
      </c>
      <c r="AE275">
        <f t="shared" si="53"/>
        <v>8.8192869294000005</v>
      </c>
      <c r="AF275" s="9"/>
      <c r="AG275" s="22">
        <v>1.23444</v>
      </c>
      <c r="AH275" s="22">
        <v>247.22300000000001</v>
      </c>
      <c r="AI275" s="22">
        <v>-1.6439800000000001E-2</v>
      </c>
      <c r="AJ275" s="22">
        <v>265</v>
      </c>
      <c r="AK275" s="22">
        <v>1.2335199999999999</v>
      </c>
      <c r="AL275">
        <f t="shared" si="54"/>
        <v>16.439800000000002</v>
      </c>
      <c r="AM275">
        <f t="shared" si="55"/>
        <v>20.293946712</v>
      </c>
      <c r="AP275" s="9"/>
      <c r="AQ275" s="22">
        <v>0.515594</v>
      </c>
      <c r="AR275" s="22">
        <v>299.64</v>
      </c>
      <c r="AS275" s="22">
        <v>-1.6876200000000001E-2</v>
      </c>
      <c r="AT275" s="22">
        <v>265</v>
      </c>
      <c r="AU275" s="22">
        <v>0.51489300000000005</v>
      </c>
      <c r="AV275">
        <f t="shared" si="56"/>
        <v>16.876200000000001</v>
      </c>
      <c r="AW275">
        <f t="shared" si="57"/>
        <v>8.7012674628000006</v>
      </c>
      <c r="AX275" s="9"/>
      <c r="AY275" s="22">
        <v>1.23444</v>
      </c>
      <c r="AZ275" s="22">
        <v>378.87</v>
      </c>
      <c r="BA275" s="22">
        <v>-1.6204799999999998E-2</v>
      </c>
      <c r="BB275" s="22">
        <v>265</v>
      </c>
      <c r="BC275" s="22">
        <v>1.2335199999999999</v>
      </c>
      <c r="BD275">
        <f t="shared" si="58"/>
        <v>16.204799999999999</v>
      </c>
      <c r="BE275">
        <f t="shared" si="59"/>
        <v>20.003853311999997</v>
      </c>
    </row>
    <row r="276" spans="6:101">
      <c r="F276" s="9"/>
      <c r="G276" s="22">
        <v>0.51055899999999999</v>
      </c>
      <c r="H276" s="22">
        <v>50.438600000000001</v>
      </c>
      <c r="I276" s="22">
        <v>-1.7156999999999999E-2</v>
      </c>
      <c r="J276" s="22">
        <v>266</v>
      </c>
      <c r="K276" s="22">
        <v>0.50988800000000001</v>
      </c>
      <c r="L276">
        <f t="shared" si="48"/>
        <v>17.157</v>
      </c>
      <c r="M276">
        <f t="shared" si="49"/>
        <v>8.7596607629999994</v>
      </c>
      <c r="N276" s="9"/>
      <c r="O276" s="22">
        <v>1.2394700000000001</v>
      </c>
      <c r="P276" s="22">
        <v>105.834</v>
      </c>
      <c r="Q276" s="22">
        <v>-1.6684000000000001E-2</v>
      </c>
      <c r="R276" s="22">
        <v>266</v>
      </c>
      <c r="S276" s="22">
        <v>1.2383999999999999</v>
      </c>
      <c r="T276">
        <f t="shared" si="50"/>
        <v>16.684000000000001</v>
      </c>
      <c r="U276">
        <f t="shared" si="51"/>
        <v>20.679317480000002</v>
      </c>
      <c r="X276" s="9"/>
      <c r="Y276" s="22">
        <v>0.51055899999999999</v>
      </c>
      <c r="Z276" s="22">
        <v>167.791</v>
      </c>
      <c r="AA276" s="22">
        <v>-1.71112E-2</v>
      </c>
      <c r="AB276" s="22">
        <v>266</v>
      </c>
      <c r="AC276" s="22">
        <v>0.50991799999999998</v>
      </c>
      <c r="AD276">
        <f t="shared" si="52"/>
        <v>17.1112</v>
      </c>
      <c r="AE276">
        <f t="shared" si="53"/>
        <v>8.7362771608000003</v>
      </c>
      <c r="AF276" s="9"/>
      <c r="AG276" s="22">
        <v>1.2394700000000001</v>
      </c>
      <c r="AH276" s="22">
        <v>247.32400000000001</v>
      </c>
      <c r="AI276" s="22">
        <v>-1.64856E-2</v>
      </c>
      <c r="AJ276" s="22">
        <v>266</v>
      </c>
      <c r="AK276" s="22">
        <v>1.23871</v>
      </c>
      <c r="AL276">
        <f t="shared" si="54"/>
        <v>16.485599999999998</v>
      </c>
      <c r="AM276">
        <f t="shared" si="55"/>
        <v>20.433406632000001</v>
      </c>
      <c r="AP276" s="9"/>
      <c r="AQ276" s="22">
        <v>0.51055899999999999</v>
      </c>
      <c r="AR276" s="22">
        <v>299.74099999999999</v>
      </c>
      <c r="AS276" s="22">
        <v>-1.6845700000000002E-2</v>
      </c>
      <c r="AT276" s="22">
        <v>266</v>
      </c>
      <c r="AU276" s="22">
        <v>0.50991799999999998</v>
      </c>
      <c r="AV276">
        <f t="shared" si="56"/>
        <v>16.845700000000001</v>
      </c>
      <c r="AW276">
        <f t="shared" si="57"/>
        <v>8.6007237462999999</v>
      </c>
      <c r="AX276" s="9"/>
      <c r="AY276" s="22">
        <v>1.2394700000000001</v>
      </c>
      <c r="AZ276" s="22">
        <v>378.971</v>
      </c>
      <c r="BA276" s="22">
        <v>-1.6192600000000001E-2</v>
      </c>
      <c r="BB276" s="22">
        <v>266</v>
      </c>
      <c r="BC276" s="22">
        <v>1.23871</v>
      </c>
      <c r="BD276">
        <f t="shared" si="58"/>
        <v>16.192600000000002</v>
      </c>
      <c r="BE276">
        <f t="shared" si="59"/>
        <v>20.070241922000005</v>
      </c>
    </row>
    <row r="277" spans="6:101">
      <c r="F277" s="9"/>
      <c r="G277" s="22">
        <v>0.50552399999999997</v>
      </c>
      <c r="H277" s="22">
        <v>50.539299999999997</v>
      </c>
      <c r="I277" s="22">
        <v>-1.7147800000000001E-2</v>
      </c>
      <c r="J277" s="22">
        <v>267</v>
      </c>
      <c r="K277" s="22">
        <v>0.50488299999999997</v>
      </c>
      <c r="L277">
        <f t="shared" si="48"/>
        <v>17.1478</v>
      </c>
      <c r="M277">
        <f t="shared" si="49"/>
        <v>8.6686244471999991</v>
      </c>
      <c r="N277" s="9"/>
      <c r="O277" s="22">
        <v>1.24451</v>
      </c>
      <c r="P277" s="22">
        <v>105.935</v>
      </c>
      <c r="Q277" s="22">
        <v>-1.6687E-2</v>
      </c>
      <c r="R277" s="22">
        <v>267</v>
      </c>
      <c r="S277" s="22">
        <v>1.24359</v>
      </c>
      <c r="T277">
        <f t="shared" si="50"/>
        <v>16.687000000000001</v>
      </c>
      <c r="U277">
        <f t="shared" si="51"/>
        <v>20.767138370000001</v>
      </c>
      <c r="X277" s="9"/>
      <c r="Y277" s="22">
        <v>0.50552399999999997</v>
      </c>
      <c r="Z277" s="22">
        <v>167.892</v>
      </c>
      <c r="AA277" s="22">
        <v>-1.7095900000000001E-2</v>
      </c>
      <c r="AB277" s="22">
        <v>267</v>
      </c>
      <c r="AC277" s="22">
        <v>0.50485199999999997</v>
      </c>
      <c r="AD277">
        <f t="shared" si="52"/>
        <v>17.0959</v>
      </c>
      <c r="AE277">
        <f t="shared" si="53"/>
        <v>8.6423877515999994</v>
      </c>
      <c r="AF277" s="9"/>
      <c r="AG277" s="22">
        <v>1.24451</v>
      </c>
      <c r="AH277" s="22">
        <v>247.42400000000001</v>
      </c>
      <c r="AI277" s="22">
        <v>-1.6430699999999999E-2</v>
      </c>
      <c r="AJ277" s="22">
        <v>267</v>
      </c>
      <c r="AK277" s="22">
        <v>1.2439</v>
      </c>
      <c r="AL277">
        <f t="shared" si="54"/>
        <v>16.430699999999998</v>
      </c>
      <c r="AM277">
        <f t="shared" si="55"/>
        <v>20.448170456999996</v>
      </c>
      <c r="AP277" s="9"/>
      <c r="AQ277" s="22">
        <v>0.50552399999999997</v>
      </c>
      <c r="AR277" s="22">
        <v>299.84100000000001</v>
      </c>
      <c r="AS277" s="22">
        <v>-1.6836500000000001E-2</v>
      </c>
      <c r="AT277" s="22">
        <v>267</v>
      </c>
      <c r="AU277" s="22">
        <v>0.50491299999999995</v>
      </c>
      <c r="AV277">
        <f t="shared" si="56"/>
        <v>16.836500000000001</v>
      </c>
      <c r="AW277">
        <f t="shared" si="57"/>
        <v>8.5112548260000001</v>
      </c>
      <c r="AX277" s="9"/>
      <c r="AY277" s="22">
        <v>1.24451</v>
      </c>
      <c r="AZ277" s="22">
        <v>379.072</v>
      </c>
      <c r="BA277" s="22">
        <v>-1.6192600000000001E-2</v>
      </c>
      <c r="BB277" s="22">
        <v>267</v>
      </c>
      <c r="BC277" s="22">
        <v>1.24329</v>
      </c>
      <c r="BD277">
        <f t="shared" si="58"/>
        <v>16.192600000000002</v>
      </c>
      <c r="BE277">
        <f t="shared" si="59"/>
        <v>20.151852626000004</v>
      </c>
    </row>
    <row r="278" spans="6:101">
      <c r="F278" s="9"/>
      <c r="G278" s="22">
        <v>0.50048800000000004</v>
      </c>
      <c r="H278" s="22">
        <v>50.64</v>
      </c>
      <c r="I278" s="22">
        <v>-1.7156999999999999E-2</v>
      </c>
      <c r="J278" s="22">
        <v>268</v>
      </c>
      <c r="K278" s="22">
        <v>0.49987799999999999</v>
      </c>
      <c r="L278">
        <f t="shared" si="48"/>
        <v>17.157</v>
      </c>
      <c r="M278">
        <f t="shared" si="49"/>
        <v>8.5868726160000008</v>
      </c>
      <c r="N278" s="9"/>
      <c r="O278" s="22">
        <v>1.2495400000000001</v>
      </c>
      <c r="P278" s="22">
        <v>106.036</v>
      </c>
      <c r="Q278" s="22">
        <v>-1.6668700000000002E-2</v>
      </c>
      <c r="R278" s="22">
        <v>268</v>
      </c>
      <c r="S278" s="22">
        <v>1.24878</v>
      </c>
      <c r="T278">
        <f t="shared" si="50"/>
        <v>16.668700000000001</v>
      </c>
      <c r="U278">
        <f t="shared" si="51"/>
        <v>20.828207398000004</v>
      </c>
      <c r="X278" s="9"/>
      <c r="Y278" s="22">
        <v>0.50048800000000004</v>
      </c>
      <c r="Z278" s="22">
        <v>167.99299999999999</v>
      </c>
      <c r="AA278" s="22">
        <v>-1.71234E-2</v>
      </c>
      <c r="AB278" s="22">
        <v>268</v>
      </c>
      <c r="AC278" s="22">
        <v>0.49981700000000001</v>
      </c>
      <c r="AD278">
        <f t="shared" si="52"/>
        <v>17.1234</v>
      </c>
      <c r="AE278">
        <f t="shared" si="53"/>
        <v>8.5700562192000014</v>
      </c>
      <c r="AF278" s="9"/>
      <c r="AG278" s="22">
        <v>1.2495400000000001</v>
      </c>
      <c r="AH278" s="22">
        <v>247.52500000000001</v>
      </c>
      <c r="AI278" s="22">
        <v>-1.6400100000000001E-2</v>
      </c>
      <c r="AJ278" s="22">
        <v>268</v>
      </c>
      <c r="AK278" s="22">
        <v>1.24878</v>
      </c>
      <c r="AL278">
        <f t="shared" si="54"/>
        <v>16.400100000000002</v>
      </c>
      <c r="AM278">
        <f t="shared" si="55"/>
        <v>20.492580954000005</v>
      </c>
      <c r="AP278" s="9"/>
      <c r="AQ278" s="22">
        <v>0.50048800000000004</v>
      </c>
      <c r="AR278" s="22">
        <v>299.94200000000001</v>
      </c>
      <c r="AS278" s="22">
        <v>-1.6864000000000001E-2</v>
      </c>
      <c r="AT278" s="22">
        <v>268</v>
      </c>
      <c r="AU278" s="22">
        <v>0.49990800000000002</v>
      </c>
      <c r="AV278">
        <f t="shared" si="56"/>
        <v>16.864000000000001</v>
      </c>
      <c r="AW278">
        <f t="shared" si="57"/>
        <v>8.4402296320000012</v>
      </c>
      <c r="AX278" s="9"/>
      <c r="AY278" s="22">
        <v>1.2495400000000001</v>
      </c>
      <c r="AZ278" s="22">
        <v>379.17200000000003</v>
      </c>
      <c r="BA278" s="22">
        <v>-1.6159099999999999E-2</v>
      </c>
      <c r="BB278" s="22">
        <v>268</v>
      </c>
      <c r="BC278" s="22">
        <v>1.24847</v>
      </c>
      <c r="BD278">
        <f t="shared" si="58"/>
        <v>16.159099999999999</v>
      </c>
      <c r="BE278">
        <f t="shared" si="59"/>
        <v>20.191441814000001</v>
      </c>
    </row>
    <row r="279" spans="6:101">
      <c r="F279" s="9"/>
      <c r="G279" s="22">
        <v>0.49545299999999998</v>
      </c>
      <c r="H279" s="22">
        <v>50.7408</v>
      </c>
      <c r="I279" s="22">
        <v>-1.71539E-2</v>
      </c>
      <c r="J279" s="22">
        <v>269</v>
      </c>
      <c r="K279" s="22">
        <v>0.49481199999999997</v>
      </c>
      <c r="L279">
        <f t="shared" si="48"/>
        <v>17.1539</v>
      </c>
      <c r="M279">
        <f t="shared" si="49"/>
        <v>8.4989512167000001</v>
      </c>
      <c r="N279" s="9"/>
      <c r="O279" s="22">
        <v>1.25458</v>
      </c>
      <c r="P279" s="22">
        <v>106.137</v>
      </c>
      <c r="Q279" s="22">
        <v>-1.6677899999999999E-2</v>
      </c>
      <c r="R279" s="22">
        <v>269</v>
      </c>
      <c r="S279" s="22">
        <v>1.25397</v>
      </c>
      <c r="T279">
        <f t="shared" si="50"/>
        <v>16.677899999999998</v>
      </c>
      <c r="U279">
        <f t="shared" si="51"/>
        <v>20.923759781999998</v>
      </c>
      <c r="X279" s="9"/>
      <c r="Y279" s="22">
        <v>0.49545299999999998</v>
      </c>
      <c r="Z279" s="22">
        <v>168.09399999999999</v>
      </c>
      <c r="AA279" s="22">
        <v>-1.7114299999999999E-2</v>
      </c>
      <c r="AB279" s="22">
        <v>269</v>
      </c>
      <c r="AC279" s="22">
        <v>0.49481199999999997</v>
      </c>
      <c r="AD279">
        <f t="shared" si="52"/>
        <v>17.1143</v>
      </c>
      <c r="AE279">
        <f t="shared" si="53"/>
        <v>8.4793312779000001</v>
      </c>
      <c r="AF279" s="9"/>
      <c r="AG279" s="22">
        <v>1.25458</v>
      </c>
      <c r="AH279" s="22">
        <v>247.626</v>
      </c>
      <c r="AI279" s="22">
        <v>-1.6384900000000001E-2</v>
      </c>
      <c r="AJ279" s="22">
        <v>269</v>
      </c>
      <c r="AK279" s="22">
        <v>1.25397</v>
      </c>
      <c r="AL279">
        <f t="shared" si="54"/>
        <v>16.384900000000002</v>
      </c>
      <c r="AM279">
        <f t="shared" si="55"/>
        <v>20.556167842000004</v>
      </c>
      <c r="AP279" s="9"/>
      <c r="AQ279" s="22">
        <v>0.49545299999999998</v>
      </c>
      <c r="AR279" s="22">
        <v>300.04300000000001</v>
      </c>
      <c r="AS279" s="22">
        <v>-1.68518E-2</v>
      </c>
      <c r="AT279" s="22">
        <v>269</v>
      </c>
      <c r="AU279" s="22">
        <v>0.49478100000000003</v>
      </c>
      <c r="AV279">
        <f t="shared" si="56"/>
        <v>16.851800000000001</v>
      </c>
      <c r="AW279">
        <f t="shared" si="57"/>
        <v>8.3492748654</v>
      </c>
      <c r="AX279" s="9"/>
      <c r="AY279" s="22">
        <v>1.25458</v>
      </c>
      <c r="AZ279" s="22">
        <v>379.27300000000002</v>
      </c>
      <c r="BA279" s="22">
        <v>-1.61835E-2</v>
      </c>
      <c r="BB279" s="22">
        <v>269</v>
      </c>
      <c r="BC279" s="22">
        <v>1.25397</v>
      </c>
      <c r="BD279">
        <f t="shared" si="58"/>
        <v>16.183499999999999</v>
      </c>
      <c r="BE279">
        <f t="shared" si="59"/>
        <v>20.303495429999998</v>
      </c>
    </row>
    <row r="280" spans="6:101">
      <c r="F280" s="9"/>
      <c r="G280" s="22">
        <v>0.49041699999999999</v>
      </c>
      <c r="H280" s="22">
        <v>50.841500000000003</v>
      </c>
      <c r="I280" s="22">
        <v>-1.7169199999999999E-2</v>
      </c>
      <c r="J280" s="22">
        <v>270</v>
      </c>
      <c r="K280" s="22">
        <v>0.48977700000000002</v>
      </c>
      <c r="L280">
        <f t="shared" si="48"/>
        <v>17.1692</v>
      </c>
      <c r="M280">
        <f t="shared" si="49"/>
        <v>8.4200675563999994</v>
      </c>
      <c r="N280" s="9"/>
      <c r="O280" s="22">
        <v>1.2596099999999999</v>
      </c>
      <c r="P280" s="22">
        <v>106.23699999999999</v>
      </c>
      <c r="Q280" s="22">
        <v>-1.6650399999999999E-2</v>
      </c>
      <c r="R280" s="22">
        <v>270</v>
      </c>
      <c r="S280" s="22">
        <v>1.2591600000000001</v>
      </c>
      <c r="T280">
        <f t="shared" si="50"/>
        <v>16.650399999999998</v>
      </c>
      <c r="U280">
        <f t="shared" si="51"/>
        <v>20.973010343999995</v>
      </c>
      <c r="X280" s="9"/>
      <c r="Y280" s="22">
        <v>0.49041699999999999</v>
      </c>
      <c r="Z280" s="22">
        <v>168.19399999999999</v>
      </c>
      <c r="AA280" s="22">
        <v>-1.7135600000000001E-2</v>
      </c>
      <c r="AB280" s="22">
        <v>270</v>
      </c>
      <c r="AC280" s="22">
        <v>0.489838</v>
      </c>
      <c r="AD280">
        <f t="shared" si="52"/>
        <v>17.1356</v>
      </c>
      <c r="AE280">
        <f t="shared" si="53"/>
        <v>8.4035895451999991</v>
      </c>
      <c r="AF280" s="9"/>
      <c r="AG280" s="22">
        <v>1.2596099999999999</v>
      </c>
      <c r="AH280" s="22">
        <v>247.727</v>
      </c>
      <c r="AI280" s="22">
        <v>-1.6354400000000002E-2</v>
      </c>
      <c r="AJ280" s="22">
        <v>270</v>
      </c>
      <c r="AK280" s="22">
        <v>1.2591600000000001</v>
      </c>
      <c r="AL280">
        <f t="shared" si="54"/>
        <v>16.354400000000002</v>
      </c>
      <c r="AM280">
        <f t="shared" si="55"/>
        <v>20.600165784000001</v>
      </c>
      <c r="AP280" s="9"/>
      <c r="AQ280" s="22">
        <v>0.49041699999999999</v>
      </c>
      <c r="AR280" s="22">
        <v>300.14299999999997</v>
      </c>
      <c r="AS280" s="22">
        <v>-1.6888400000000001E-2</v>
      </c>
      <c r="AT280" s="22">
        <v>270</v>
      </c>
      <c r="AU280" s="22">
        <v>0.48974600000000001</v>
      </c>
      <c r="AV280">
        <f t="shared" si="56"/>
        <v>16.888400000000001</v>
      </c>
      <c r="AW280">
        <f t="shared" si="57"/>
        <v>8.2823584627999995</v>
      </c>
      <c r="AX280" s="9"/>
      <c r="AY280" s="22">
        <v>1.2596099999999999</v>
      </c>
      <c r="AZ280" s="22">
        <v>379.37400000000002</v>
      </c>
      <c r="BA280" s="22">
        <v>-1.6162099999999999E-2</v>
      </c>
      <c r="BB280" s="22">
        <v>270</v>
      </c>
      <c r="BC280" s="22">
        <v>1.25885</v>
      </c>
      <c r="BD280">
        <f t="shared" si="58"/>
        <v>16.162099999999999</v>
      </c>
      <c r="BE280">
        <f t="shared" si="59"/>
        <v>20.357942780999998</v>
      </c>
    </row>
    <row r="281" spans="6:101">
      <c r="F281" s="9"/>
      <c r="G281" s="22">
        <v>0.48538199999999998</v>
      </c>
      <c r="H281" s="22">
        <v>50.9422</v>
      </c>
      <c r="I281" s="22">
        <v>-1.7156999999999999E-2</v>
      </c>
      <c r="J281" s="22">
        <v>271</v>
      </c>
      <c r="K281" s="22">
        <v>0.48477199999999998</v>
      </c>
      <c r="L281">
        <f t="shared" si="48"/>
        <v>17.157</v>
      </c>
      <c r="M281">
        <f t="shared" si="49"/>
        <v>8.3276989740000005</v>
      </c>
      <c r="N281" s="9"/>
      <c r="O281" s="22">
        <v>1.2646500000000001</v>
      </c>
      <c r="P281" s="22">
        <v>106.33799999999999</v>
      </c>
      <c r="Q281" s="22">
        <v>-1.66473E-2</v>
      </c>
      <c r="R281" s="22">
        <v>271</v>
      </c>
      <c r="S281" s="22">
        <v>1.2640400000000001</v>
      </c>
      <c r="T281">
        <f t="shared" si="50"/>
        <v>16.647300000000001</v>
      </c>
      <c r="U281">
        <f t="shared" si="51"/>
        <v>21.053007945000001</v>
      </c>
      <c r="X281" s="9"/>
      <c r="Y281" s="22">
        <v>0.48538199999999998</v>
      </c>
      <c r="Z281" s="22">
        <v>168.29499999999999</v>
      </c>
      <c r="AA281" s="22">
        <v>-1.7144800000000002E-2</v>
      </c>
      <c r="AB281" s="22">
        <v>271</v>
      </c>
      <c r="AC281" s="22">
        <v>0.48474099999999998</v>
      </c>
      <c r="AD281">
        <f t="shared" si="52"/>
        <v>17.1448</v>
      </c>
      <c r="AE281">
        <f t="shared" si="53"/>
        <v>8.3217773136000002</v>
      </c>
      <c r="AF281" s="9"/>
      <c r="AG281" s="22">
        <v>1.2646500000000001</v>
      </c>
      <c r="AH281" s="22">
        <v>247.827</v>
      </c>
      <c r="AI281" s="22">
        <v>-1.6323899999999999E-2</v>
      </c>
      <c r="AJ281" s="22">
        <v>271</v>
      </c>
      <c r="AK281" s="22">
        <v>1.2640400000000001</v>
      </c>
      <c r="AL281">
        <f t="shared" si="54"/>
        <v>16.323899999999998</v>
      </c>
      <c r="AM281">
        <f t="shared" si="55"/>
        <v>20.644020134999998</v>
      </c>
      <c r="AP281" s="9"/>
      <c r="AQ281" s="22">
        <v>0.48538199999999998</v>
      </c>
      <c r="AR281" s="22">
        <v>300.24400000000003</v>
      </c>
      <c r="AS281" s="22">
        <v>-1.6885399999999998E-2</v>
      </c>
      <c r="AT281" s="22">
        <v>271</v>
      </c>
      <c r="AU281" s="22">
        <v>0.48480200000000001</v>
      </c>
      <c r="AV281">
        <f t="shared" si="56"/>
        <v>16.885399999999997</v>
      </c>
      <c r="AW281">
        <f t="shared" si="57"/>
        <v>8.195869222799999</v>
      </c>
      <c r="AX281" s="9"/>
      <c r="AY281" s="22">
        <v>1.2646500000000001</v>
      </c>
      <c r="AZ281" s="22">
        <v>379.47399999999999</v>
      </c>
      <c r="BA281" s="22">
        <v>-1.6153000000000001E-2</v>
      </c>
      <c r="BB281" s="22">
        <v>271</v>
      </c>
      <c r="BC281" s="22">
        <v>1.2640400000000001</v>
      </c>
      <c r="BD281">
        <f t="shared" si="58"/>
        <v>16.153000000000002</v>
      </c>
      <c r="BE281">
        <f t="shared" si="59"/>
        <v>20.427891450000004</v>
      </c>
    </row>
    <row r="282" spans="6:101">
      <c r="F282" s="9"/>
      <c r="G282" s="22">
        <v>0.48034700000000002</v>
      </c>
      <c r="H282" s="22">
        <v>51.042900000000003</v>
      </c>
      <c r="I282" s="22">
        <v>-1.7178300000000001E-2</v>
      </c>
      <c r="J282" s="22">
        <v>272</v>
      </c>
      <c r="K282" s="22">
        <v>0.47964499999999999</v>
      </c>
      <c r="L282">
        <f t="shared" si="48"/>
        <v>17.1783</v>
      </c>
      <c r="M282">
        <f t="shared" si="49"/>
        <v>8.2515448701</v>
      </c>
      <c r="N282" s="9"/>
      <c r="O282" s="22">
        <v>1.2696799999999999</v>
      </c>
      <c r="P282" s="22">
        <v>106.43899999999999</v>
      </c>
      <c r="Q282" s="22">
        <v>-1.6629000000000001E-2</v>
      </c>
      <c r="R282" s="22">
        <v>272</v>
      </c>
      <c r="S282" s="22">
        <v>1.2686200000000001</v>
      </c>
      <c r="T282">
        <f t="shared" si="50"/>
        <v>16.629000000000001</v>
      </c>
      <c r="U282">
        <f t="shared" si="51"/>
        <v>21.113508719999999</v>
      </c>
      <c r="X282" s="9"/>
      <c r="Y282" s="22">
        <v>0.48034700000000002</v>
      </c>
      <c r="Z282" s="22">
        <v>168.39599999999999</v>
      </c>
      <c r="AA282" s="22">
        <v>-1.7120400000000001E-2</v>
      </c>
      <c r="AB282" s="22">
        <v>272</v>
      </c>
      <c r="AC282" s="22">
        <v>0.47970600000000002</v>
      </c>
      <c r="AD282">
        <f t="shared" si="52"/>
        <v>17.1204</v>
      </c>
      <c r="AE282">
        <f t="shared" si="53"/>
        <v>8.2237327788000005</v>
      </c>
      <c r="AF282" s="9"/>
      <c r="AG282" s="22">
        <v>1.2696799999999999</v>
      </c>
      <c r="AH282" s="22">
        <v>247.928</v>
      </c>
      <c r="AI282" s="22">
        <v>-1.6342200000000001E-2</v>
      </c>
      <c r="AJ282" s="22">
        <v>272</v>
      </c>
      <c r="AK282" s="22">
        <v>1.26892</v>
      </c>
      <c r="AL282">
        <f t="shared" si="54"/>
        <v>16.342200000000002</v>
      </c>
      <c r="AM282">
        <f t="shared" si="55"/>
        <v>20.749364496000002</v>
      </c>
      <c r="AP282" s="9"/>
      <c r="AQ282" s="22">
        <v>0.48034700000000002</v>
      </c>
      <c r="AR282" s="22">
        <v>300.34500000000003</v>
      </c>
      <c r="AS282" s="22">
        <v>-1.6903700000000001E-2</v>
      </c>
      <c r="AT282" s="22">
        <v>272</v>
      </c>
      <c r="AU282" s="22">
        <v>0.47970600000000002</v>
      </c>
      <c r="AV282">
        <f t="shared" si="56"/>
        <v>16.903700000000001</v>
      </c>
      <c r="AW282">
        <f t="shared" si="57"/>
        <v>8.1196415839</v>
      </c>
      <c r="AX282" s="9"/>
      <c r="AY282" s="22">
        <v>1.2696799999999999</v>
      </c>
      <c r="AZ282" s="22">
        <v>379.57499999999999</v>
      </c>
      <c r="BA282" s="22">
        <v>-1.6153000000000001E-2</v>
      </c>
      <c r="BB282" s="22">
        <v>272</v>
      </c>
      <c r="BC282" s="22">
        <v>1.2692300000000001</v>
      </c>
      <c r="BD282">
        <f t="shared" si="58"/>
        <v>16.153000000000002</v>
      </c>
      <c r="BE282">
        <f t="shared" si="59"/>
        <v>20.509141040000003</v>
      </c>
    </row>
    <row r="283" spans="6:101">
      <c r="F283" s="9"/>
      <c r="G283" s="22">
        <v>0.47531099999999998</v>
      </c>
      <c r="H283" s="22">
        <v>51.143599999999999</v>
      </c>
      <c r="I283" s="22">
        <v>-1.7175300000000001E-2</v>
      </c>
      <c r="J283" s="22">
        <v>273</v>
      </c>
      <c r="K283" s="22">
        <v>0.47464000000000001</v>
      </c>
      <c r="L283">
        <f t="shared" si="48"/>
        <v>17.1753</v>
      </c>
      <c r="M283">
        <f t="shared" si="49"/>
        <v>8.163609018299999</v>
      </c>
      <c r="N283" s="9"/>
      <c r="O283" s="22">
        <v>1.2747200000000001</v>
      </c>
      <c r="P283" s="22">
        <v>106.539</v>
      </c>
      <c r="Q283" s="22">
        <v>-1.6601600000000001E-2</v>
      </c>
      <c r="R283" s="22">
        <v>273</v>
      </c>
      <c r="S283" s="22">
        <v>1.2741100000000001</v>
      </c>
      <c r="T283">
        <f t="shared" si="50"/>
        <v>16.601600000000001</v>
      </c>
      <c r="U283">
        <f t="shared" si="51"/>
        <v>21.162391552000003</v>
      </c>
      <c r="X283" s="9"/>
      <c r="Y283" s="22">
        <v>0.47531099999999998</v>
      </c>
      <c r="Z283" s="22">
        <v>168.49600000000001</v>
      </c>
      <c r="AA283" s="22">
        <v>-1.71112E-2</v>
      </c>
      <c r="AB283" s="22">
        <v>273</v>
      </c>
      <c r="AC283" s="22">
        <v>0.47457899999999997</v>
      </c>
      <c r="AD283">
        <f t="shared" si="52"/>
        <v>17.1112</v>
      </c>
      <c r="AE283">
        <f t="shared" si="53"/>
        <v>8.1331415832000005</v>
      </c>
      <c r="AF283" s="9"/>
      <c r="AG283" s="22">
        <v>1.2747200000000001</v>
      </c>
      <c r="AH283" s="22">
        <v>248.029</v>
      </c>
      <c r="AI283" s="22">
        <v>-1.6333E-2</v>
      </c>
      <c r="AJ283" s="22">
        <v>273</v>
      </c>
      <c r="AK283" s="22">
        <v>1.2741100000000001</v>
      </c>
      <c r="AL283">
        <f t="shared" si="54"/>
        <v>16.333000000000002</v>
      </c>
      <c r="AM283">
        <f t="shared" si="55"/>
        <v>20.820001760000004</v>
      </c>
      <c r="AP283" s="9"/>
      <c r="AQ283" s="22">
        <v>0.47531099999999998</v>
      </c>
      <c r="AR283" s="22">
        <v>300.44499999999999</v>
      </c>
      <c r="AS283" s="22">
        <v>-1.68518E-2</v>
      </c>
      <c r="AT283" s="22">
        <v>273</v>
      </c>
      <c r="AU283" s="22">
        <v>0.47464000000000001</v>
      </c>
      <c r="AV283">
        <f t="shared" si="56"/>
        <v>16.851800000000001</v>
      </c>
      <c r="AW283">
        <f t="shared" si="57"/>
        <v>8.0098459097999992</v>
      </c>
      <c r="AX283" s="9"/>
      <c r="AY283" s="22">
        <v>1.2747200000000001</v>
      </c>
      <c r="AZ283" s="22">
        <v>379.67599999999999</v>
      </c>
      <c r="BA283" s="22">
        <v>-1.6110200000000002E-2</v>
      </c>
      <c r="BB283" s="22">
        <v>273</v>
      </c>
      <c r="BC283" s="22">
        <v>1.2735000000000001</v>
      </c>
      <c r="BD283">
        <f t="shared" si="58"/>
        <v>16.110200000000003</v>
      </c>
      <c r="BE283">
        <f t="shared" si="59"/>
        <v>20.535994144000004</v>
      </c>
    </row>
    <row r="284" spans="6:101">
      <c r="F284" s="9"/>
      <c r="G284" s="22">
        <v>0.47027600000000003</v>
      </c>
      <c r="H284" s="22">
        <v>51.244300000000003</v>
      </c>
      <c r="I284" s="22">
        <v>-1.7169199999999999E-2</v>
      </c>
      <c r="J284" s="22">
        <v>274</v>
      </c>
      <c r="K284" s="22">
        <v>0.46963500000000002</v>
      </c>
      <c r="L284">
        <f t="shared" si="48"/>
        <v>17.1692</v>
      </c>
      <c r="M284">
        <f t="shared" si="49"/>
        <v>8.0742626992000002</v>
      </c>
      <c r="N284" s="9"/>
      <c r="O284" s="22">
        <v>1.2797499999999999</v>
      </c>
      <c r="P284" s="22">
        <v>106.64</v>
      </c>
      <c r="Q284" s="22">
        <v>-1.6595499999999999E-2</v>
      </c>
      <c r="R284" s="22">
        <v>274</v>
      </c>
      <c r="S284" s="22">
        <v>1.2786900000000001</v>
      </c>
      <c r="T284">
        <f t="shared" si="50"/>
        <v>16.595499999999998</v>
      </c>
      <c r="U284">
        <f t="shared" si="51"/>
        <v>21.238091124999997</v>
      </c>
      <c r="X284" s="9"/>
      <c r="Y284" s="22">
        <v>0.47027600000000003</v>
      </c>
      <c r="Z284" s="22">
        <v>168.59700000000001</v>
      </c>
      <c r="AA284" s="22">
        <v>-1.7147800000000001E-2</v>
      </c>
      <c r="AB284" s="22">
        <v>274</v>
      </c>
      <c r="AC284" s="22">
        <v>0.46960400000000002</v>
      </c>
      <c r="AD284">
        <f t="shared" si="52"/>
        <v>17.1478</v>
      </c>
      <c r="AE284">
        <f t="shared" si="53"/>
        <v>8.064198792800001</v>
      </c>
      <c r="AF284" s="9"/>
      <c r="AG284" s="22">
        <v>1.2797499999999999</v>
      </c>
      <c r="AH284" s="22">
        <v>248.12899999999999</v>
      </c>
      <c r="AI284" s="22">
        <v>-1.6311599999999999E-2</v>
      </c>
      <c r="AJ284" s="22">
        <v>274</v>
      </c>
      <c r="AK284" s="22">
        <v>1.2793000000000001</v>
      </c>
      <c r="AL284">
        <f t="shared" si="54"/>
        <v>16.311599999999999</v>
      </c>
      <c r="AM284">
        <f t="shared" si="55"/>
        <v>20.874770099999996</v>
      </c>
      <c r="AP284" s="9"/>
      <c r="AQ284" s="22">
        <v>0.47027600000000003</v>
      </c>
      <c r="AR284" s="22">
        <v>300.54599999999999</v>
      </c>
      <c r="AS284" s="22">
        <v>-1.6888400000000001E-2</v>
      </c>
      <c r="AT284" s="22">
        <v>274</v>
      </c>
      <c r="AU284" s="22">
        <v>0.46963500000000002</v>
      </c>
      <c r="AV284">
        <f t="shared" si="56"/>
        <v>16.888400000000001</v>
      </c>
      <c r="AW284">
        <f t="shared" si="57"/>
        <v>7.9422091984000005</v>
      </c>
      <c r="AX284" s="9"/>
      <c r="AY284" s="22">
        <v>1.2797499999999999</v>
      </c>
      <c r="AZ284" s="22">
        <v>379.77699999999999</v>
      </c>
      <c r="BA284" s="22">
        <v>-1.6082800000000001E-2</v>
      </c>
      <c r="BB284" s="22">
        <v>274</v>
      </c>
      <c r="BC284" s="22">
        <v>1.2786900000000001</v>
      </c>
      <c r="BD284">
        <f t="shared" si="58"/>
        <v>16.082800000000002</v>
      </c>
      <c r="BE284">
        <f t="shared" si="59"/>
        <v>20.581963300000002</v>
      </c>
    </row>
    <row r="285" spans="6:101">
      <c r="F285" s="9"/>
      <c r="G285" s="22">
        <v>0.46523999999999999</v>
      </c>
      <c r="H285" s="22">
        <v>51.344999999999999</v>
      </c>
      <c r="I285" s="22">
        <v>-1.7172199999999999E-2</v>
      </c>
      <c r="J285" s="22">
        <v>275</v>
      </c>
      <c r="K285" s="22">
        <v>0.46462999999999999</v>
      </c>
      <c r="L285">
        <f t="shared" si="48"/>
        <v>17.1722</v>
      </c>
      <c r="M285">
        <f t="shared" si="49"/>
        <v>7.989194328</v>
      </c>
      <c r="N285" s="9"/>
      <c r="O285" s="22">
        <v>1.2847900000000001</v>
      </c>
      <c r="P285" s="22">
        <v>106.741</v>
      </c>
      <c r="Q285" s="22">
        <v>-1.6595499999999999E-2</v>
      </c>
      <c r="R285" s="22">
        <v>275</v>
      </c>
      <c r="S285" s="22">
        <v>1.2844800000000001</v>
      </c>
      <c r="T285">
        <f t="shared" si="50"/>
        <v>16.595499999999998</v>
      </c>
      <c r="U285">
        <f t="shared" si="51"/>
        <v>21.321732444999999</v>
      </c>
      <c r="X285" s="9"/>
      <c r="Y285" s="22">
        <v>0.46523999999999999</v>
      </c>
      <c r="Z285" s="22">
        <v>168.69800000000001</v>
      </c>
      <c r="AA285" s="22">
        <v>-1.7144800000000002E-2</v>
      </c>
      <c r="AB285" s="22">
        <v>275</v>
      </c>
      <c r="AC285" s="22">
        <v>0.46460000000000001</v>
      </c>
      <c r="AD285">
        <f t="shared" si="52"/>
        <v>17.1448</v>
      </c>
      <c r="AE285">
        <f t="shared" si="53"/>
        <v>7.9764467520000002</v>
      </c>
      <c r="AF285" s="9"/>
      <c r="AG285" s="22">
        <v>1.2847900000000001</v>
      </c>
      <c r="AH285" s="22">
        <v>248.23</v>
      </c>
      <c r="AI285" s="22">
        <v>-1.6333E-2</v>
      </c>
      <c r="AJ285" s="22">
        <v>275</v>
      </c>
      <c r="AK285" s="22">
        <v>1.2841800000000001</v>
      </c>
      <c r="AL285">
        <f t="shared" si="54"/>
        <v>16.333000000000002</v>
      </c>
      <c r="AM285">
        <f t="shared" si="55"/>
        <v>20.984475070000006</v>
      </c>
      <c r="AP285" s="9"/>
      <c r="AQ285" s="22">
        <v>0.46523999999999999</v>
      </c>
      <c r="AR285" s="22">
        <v>300.64699999999999</v>
      </c>
      <c r="AS285" s="22">
        <v>-1.6888400000000001E-2</v>
      </c>
      <c r="AT285" s="22">
        <v>275</v>
      </c>
      <c r="AU285" s="22">
        <v>0.46460000000000001</v>
      </c>
      <c r="AV285">
        <f t="shared" si="56"/>
        <v>16.888400000000001</v>
      </c>
      <c r="AW285">
        <f t="shared" si="57"/>
        <v>7.8571592160000003</v>
      </c>
      <c r="AX285" s="9"/>
      <c r="AY285" s="22">
        <v>1.2847900000000001</v>
      </c>
      <c r="AZ285" s="22">
        <v>379.87700000000001</v>
      </c>
      <c r="BA285" s="22">
        <v>-1.60492E-2</v>
      </c>
      <c r="BB285" s="22">
        <v>275</v>
      </c>
      <c r="BC285" s="22">
        <v>1.2838700000000001</v>
      </c>
      <c r="BD285">
        <f t="shared" si="58"/>
        <v>16.049199999999999</v>
      </c>
      <c r="BE285">
        <f t="shared" si="59"/>
        <v>20.619851667999999</v>
      </c>
    </row>
    <row r="286" spans="6:101">
      <c r="F286" s="9"/>
      <c r="G286" s="22">
        <v>0.46020499999999998</v>
      </c>
      <c r="H286" s="22">
        <v>51.445700000000002</v>
      </c>
      <c r="I286" s="22">
        <v>-1.7163100000000001E-2</v>
      </c>
      <c r="J286" s="22">
        <v>276</v>
      </c>
      <c r="K286" s="22">
        <v>0.45959499999999998</v>
      </c>
      <c r="L286">
        <f t="shared" si="48"/>
        <v>17.1631</v>
      </c>
      <c r="M286">
        <f t="shared" si="49"/>
        <v>7.8985444354999998</v>
      </c>
      <c r="N286" s="9"/>
      <c r="O286" s="22">
        <v>1.28983</v>
      </c>
      <c r="P286" s="22">
        <v>106.842</v>
      </c>
      <c r="Q286" s="22">
        <v>-1.6577100000000001E-2</v>
      </c>
      <c r="R286" s="22">
        <v>276</v>
      </c>
      <c r="S286" s="22">
        <v>1.2899799999999999</v>
      </c>
      <c r="T286">
        <f t="shared" si="50"/>
        <v>16.577100000000002</v>
      </c>
      <c r="U286">
        <f t="shared" si="51"/>
        <v>21.381640893000004</v>
      </c>
      <c r="X286" s="9"/>
      <c r="Y286" s="22">
        <v>0.46020499999999998</v>
      </c>
      <c r="Z286" s="22">
        <v>168.79900000000001</v>
      </c>
      <c r="AA286" s="22">
        <v>-1.7144800000000002E-2</v>
      </c>
      <c r="AB286" s="22">
        <v>276</v>
      </c>
      <c r="AC286" s="22">
        <v>0.45962500000000001</v>
      </c>
      <c r="AD286">
        <f t="shared" si="52"/>
        <v>17.1448</v>
      </c>
      <c r="AE286">
        <f t="shared" si="53"/>
        <v>7.8901226839999996</v>
      </c>
      <c r="AF286" s="9"/>
      <c r="AG286" s="22">
        <v>1.28983</v>
      </c>
      <c r="AH286" s="22">
        <v>248.33099999999999</v>
      </c>
      <c r="AI286" s="22">
        <v>-1.6357400000000001E-2</v>
      </c>
      <c r="AJ286" s="22">
        <v>276</v>
      </c>
      <c r="AK286" s="22">
        <v>1.2893699999999999</v>
      </c>
      <c r="AL286">
        <f t="shared" si="54"/>
        <v>16.357400000000002</v>
      </c>
      <c r="AM286">
        <f t="shared" si="55"/>
        <v>21.098265242000004</v>
      </c>
      <c r="AP286" s="9"/>
      <c r="AQ286" s="22">
        <v>0.46020499999999998</v>
      </c>
      <c r="AR286" s="22">
        <v>300.74799999999999</v>
      </c>
      <c r="AS286" s="22">
        <v>-1.6928100000000001E-2</v>
      </c>
      <c r="AT286" s="22">
        <v>276</v>
      </c>
      <c r="AU286" s="22">
        <v>0.45956399999999997</v>
      </c>
      <c r="AV286">
        <f t="shared" si="56"/>
        <v>16.928100000000001</v>
      </c>
      <c r="AW286">
        <f t="shared" si="57"/>
        <v>7.7903962604999997</v>
      </c>
      <c r="AX286" s="9"/>
      <c r="AY286" s="22">
        <v>1.28983</v>
      </c>
      <c r="AZ286" s="22">
        <v>379.97800000000001</v>
      </c>
      <c r="BA286" s="22">
        <v>-1.6036999999999999E-2</v>
      </c>
      <c r="BB286" s="22">
        <v>276</v>
      </c>
      <c r="BC286" s="22">
        <v>1.2893699999999999</v>
      </c>
      <c r="BD286">
        <f t="shared" si="58"/>
        <v>16.036999999999999</v>
      </c>
      <c r="BE286">
        <f t="shared" si="59"/>
        <v>20.68500371</v>
      </c>
    </row>
    <row r="287" spans="6:101">
      <c r="F287" s="9"/>
      <c r="G287" s="22">
        <v>0.45517000000000002</v>
      </c>
      <c r="H287" s="22">
        <v>51.546399999999998</v>
      </c>
      <c r="I287" s="22">
        <v>-1.7160000000000002E-2</v>
      </c>
      <c r="J287" s="22">
        <v>277</v>
      </c>
      <c r="K287" s="22">
        <v>0.45449800000000001</v>
      </c>
      <c r="L287">
        <f t="shared" si="48"/>
        <v>17.16</v>
      </c>
      <c r="M287">
        <f t="shared" si="49"/>
        <v>7.8107172</v>
      </c>
      <c r="N287" s="9"/>
      <c r="O287" s="22">
        <v>1.2948599999999999</v>
      </c>
      <c r="P287" s="22">
        <v>106.94199999999999</v>
      </c>
      <c r="Q287" s="22">
        <v>-1.6558799999999999E-2</v>
      </c>
      <c r="R287" s="22">
        <v>277</v>
      </c>
      <c r="S287" s="22">
        <v>1.2939499999999999</v>
      </c>
      <c r="T287">
        <f t="shared" si="50"/>
        <v>16.558799999999998</v>
      </c>
      <c r="U287">
        <f t="shared" si="51"/>
        <v>21.441327767999997</v>
      </c>
      <c r="X287" s="9"/>
      <c r="Y287" s="22">
        <v>0.45517000000000002</v>
      </c>
      <c r="Z287" s="22">
        <v>168.899</v>
      </c>
      <c r="AA287" s="22">
        <v>-1.7175300000000001E-2</v>
      </c>
      <c r="AB287" s="22">
        <v>277</v>
      </c>
      <c r="AC287" s="22">
        <v>0.45458999999999999</v>
      </c>
      <c r="AD287">
        <f t="shared" si="52"/>
        <v>17.1753</v>
      </c>
      <c r="AE287">
        <f t="shared" si="53"/>
        <v>7.8176813010000004</v>
      </c>
      <c r="AF287" s="9"/>
      <c r="AG287" s="22">
        <v>1.2948599999999999</v>
      </c>
      <c r="AH287" s="22">
        <v>248.43199999999999</v>
      </c>
      <c r="AI287" s="22">
        <v>-1.6305500000000001E-2</v>
      </c>
      <c r="AJ287" s="22">
        <v>277</v>
      </c>
      <c r="AK287" s="22">
        <v>1.2945599999999999</v>
      </c>
      <c r="AL287">
        <f t="shared" si="54"/>
        <v>16.305500000000002</v>
      </c>
      <c r="AM287">
        <f t="shared" si="55"/>
        <v>21.11333973</v>
      </c>
      <c r="AP287" s="9"/>
      <c r="AQ287" s="22">
        <v>0.45517000000000002</v>
      </c>
      <c r="AR287" s="22">
        <v>300.84800000000001</v>
      </c>
      <c r="AS287" s="22">
        <v>-1.6900600000000002E-2</v>
      </c>
      <c r="AT287" s="22">
        <v>277</v>
      </c>
      <c r="AU287" s="22">
        <v>0.45449800000000001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380.07900000000001</v>
      </c>
      <c r="BA287" s="22">
        <v>-1.60614E-2</v>
      </c>
      <c r="BB287" s="22">
        <v>277</v>
      </c>
      <c r="BC287" s="22">
        <v>1.2942499999999999</v>
      </c>
      <c r="BD287">
        <f t="shared" si="58"/>
        <v>16.061399999999999</v>
      </c>
      <c r="BE287">
        <f t="shared" si="59"/>
        <v>20.797264403999996</v>
      </c>
    </row>
    <row r="288" spans="6:101">
      <c r="F288" s="9"/>
      <c r="G288" s="22">
        <v>0.45013399999999998</v>
      </c>
      <c r="H288" s="22">
        <v>51.647100000000002</v>
      </c>
      <c r="I288" s="22">
        <v>-1.7178300000000001E-2</v>
      </c>
      <c r="J288" s="22">
        <v>278</v>
      </c>
      <c r="K288" s="22">
        <v>0.44952399999999998</v>
      </c>
      <c r="L288">
        <f t="shared" si="48"/>
        <v>17.1783</v>
      </c>
      <c r="M288">
        <f t="shared" si="49"/>
        <v>7.7325368921999997</v>
      </c>
      <c r="N288" s="9"/>
      <c r="O288" s="22">
        <v>1.2999000000000001</v>
      </c>
      <c r="P288" s="22">
        <v>107.04300000000001</v>
      </c>
      <c r="Q288" s="22">
        <v>-1.6567999999999999E-2</v>
      </c>
      <c r="R288" s="22">
        <v>278</v>
      </c>
      <c r="S288" s="22">
        <v>1.2994399999999999</v>
      </c>
      <c r="T288">
        <f t="shared" si="50"/>
        <v>16.567999999999998</v>
      </c>
      <c r="U288">
        <f t="shared" si="51"/>
        <v>21.536743199999997</v>
      </c>
      <c r="X288" s="9"/>
      <c r="Y288" s="22">
        <v>0.45013399999999998</v>
      </c>
      <c r="Z288" s="22">
        <v>169</v>
      </c>
      <c r="AA288" s="22">
        <v>-1.71509E-2</v>
      </c>
      <c r="AB288" s="22">
        <v>278</v>
      </c>
      <c r="AC288" s="22">
        <v>0.44949299999999998</v>
      </c>
      <c r="AD288">
        <f t="shared" si="52"/>
        <v>17.1509</v>
      </c>
      <c r="AE288">
        <f t="shared" si="53"/>
        <v>7.7202032205999993</v>
      </c>
      <c r="AF288" s="9"/>
      <c r="AG288" s="22">
        <v>1.2999000000000001</v>
      </c>
      <c r="AH288" s="22">
        <v>248.53200000000001</v>
      </c>
      <c r="AI288" s="22">
        <v>-1.6311599999999999E-2</v>
      </c>
      <c r="AJ288" s="22">
        <v>278</v>
      </c>
      <c r="AK288" s="22">
        <v>1.2991299999999999</v>
      </c>
      <c r="AL288">
        <f t="shared" si="54"/>
        <v>16.311599999999999</v>
      </c>
      <c r="AM288">
        <f t="shared" si="55"/>
        <v>21.20344884</v>
      </c>
      <c r="AP288" s="9"/>
      <c r="AQ288" s="22">
        <v>0.45013399999999998</v>
      </c>
      <c r="AR288" s="22">
        <v>300.94900000000001</v>
      </c>
      <c r="AS288" s="22">
        <v>-1.6922E-2</v>
      </c>
      <c r="AT288" s="22">
        <v>278</v>
      </c>
      <c r="AU288" s="22">
        <v>0.44952399999999998</v>
      </c>
      <c r="AV288">
        <f t="shared" si="56"/>
        <v>16.922000000000001</v>
      </c>
      <c r="AW288">
        <f t="shared" si="57"/>
        <v>7.6171675480000003</v>
      </c>
      <c r="AX288" s="9"/>
      <c r="AY288" s="22">
        <v>1.2999000000000001</v>
      </c>
      <c r="AZ288" s="22">
        <v>380.17899999999997</v>
      </c>
      <c r="BA288" s="22">
        <v>-1.6070600000000001E-2</v>
      </c>
      <c r="BB288" s="22">
        <v>278</v>
      </c>
      <c r="BC288" s="22">
        <v>1.2991299999999999</v>
      </c>
      <c r="BD288">
        <f t="shared" si="58"/>
        <v>16.070600000000002</v>
      </c>
      <c r="BE288">
        <f t="shared" si="59"/>
        <v>20.890172940000003</v>
      </c>
    </row>
    <row r="289" spans="6:57">
      <c r="F289" s="9"/>
      <c r="G289" s="22">
        <v>0.44509900000000002</v>
      </c>
      <c r="H289" s="22">
        <v>51.747799999999998</v>
      </c>
      <c r="I289" s="22">
        <v>-1.71906E-2</v>
      </c>
      <c r="J289" s="22">
        <v>279</v>
      </c>
      <c r="K289" s="22">
        <v>0.44445800000000002</v>
      </c>
      <c r="L289">
        <f t="shared" si="48"/>
        <v>17.1906</v>
      </c>
      <c r="M289">
        <f t="shared" si="49"/>
        <v>7.6515188694000003</v>
      </c>
      <c r="N289" s="9"/>
      <c r="O289" s="22">
        <v>1.3049299999999999</v>
      </c>
      <c r="P289" s="22">
        <v>107.14400000000001</v>
      </c>
      <c r="Q289" s="22">
        <v>-1.6555799999999999E-2</v>
      </c>
      <c r="R289" s="22">
        <v>279</v>
      </c>
      <c r="S289" s="22">
        <v>1.3043199999999999</v>
      </c>
      <c r="T289">
        <f t="shared" si="50"/>
        <v>16.555799999999998</v>
      </c>
      <c r="U289">
        <f t="shared" si="51"/>
        <v>21.604160093999997</v>
      </c>
      <c r="X289" s="9"/>
      <c r="Y289" s="22">
        <v>0.44509900000000002</v>
      </c>
      <c r="Z289" s="22">
        <v>169.101</v>
      </c>
      <c r="AA289" s="22">
        <v>-1.7187500000000001E-2</v>
      </c>
      <c r="AB289" s="22">
        <v>279</v>
      </c>
      <c r="AC289" s="22">
        <v>0.44455</v>
      </c>
      <c r="AD289">
        <f t="shared" si="52"/>
        <v>17.1875</v>
      </c>
      <c r="AE289">
        <f t="shared" si="53"/>
        <v>7.6501390625000001</v>
      </c>
      <c r="AF289" s="9"/>
      <c r="AG289" s="22">
        <v>1.3049299999999999</v>
      </c>
      <c r="AH289" s="22">
        <v>248.63300000000001</v>
      </c>
      <c r="AI289" s="22">
        <v>-1.6262800000000001E-2</v>
      </c>
      <c r="AJ289" s="22">
        <v>279</v>
      </c>
      <c r="AK289" s="22">
        <v>1.30463</v>
      </c>
      <c r="AL289">
        <f t="shared" si="54"/>
        <v>16.262800000000002</v>
      </c>
      <c r="AM289">
        <f t="shared" si="55"/>
        <v>21.221815604000003</v>
      </c>
      <c r="AP289" s="9"/>
      <c r="AQ289" s="22">
        <v>0.44509900000000002</v>
      </c>
      <c r="AR289" s="22">
        <v>301.05</v>
      </c>
      <c r="AS289" s="22">
        <v>-1.6918900000000001E-2</v>
      </c>
      <c r="AT289" s="22">
        <v>279</v>
      </c>
      <c r="AU289" s="22">
        <v>0.44433600000000001</v>
      </c>
      <c r="AV289">
        <f t="shared" si="56"/>
        <v>16.918900000000001</v>
      </c>
      <c r="AW289">
        <f t="shared" si="57"/>
        <v>7.5305854711000011</v>
      </c>
      <c r="AX289" s="9"/>
      <c r="AY289" s="22">
        <v>1.3049299999999999</v>
      </c>
      <c r="AZ289" s="22">
        <v>380.28</v>
      </c>
      <c r="BA289" s="22">
        <v>-1.6046100000000001E-2</v>
      </c>
      <c r="BB289" s="22">
        <v>279</v>
      </c>
      <c r="BC289" s="22">
        <v>1.30463</v>
      </c>
      <c r="BD289">
        <f t="shared" si="58"/>
        <v>16.046099999999999</v>
      </c>
      <c r="BE289">
        <f t="shared" si="59"/>
        <v>20.939037272999997</v>
      </c>
    </row>
    <row r="290" spans="6:57">
      <c r="F290" s="9"/>
      <c r="G290" s="22">
        <v>0.44006299999999998</v>
      </c>
      <c r="H290" s="22">
        <v>51.848500000000001</v>
      </c>
      <c r="I290" s="22">
        <v>-1.71906E-2</v>
      </c>
      <c r="J290" s="22">
        <v>280</v>
      </c>
      <c r="K290" s="22">
        <v>0.43942300000000001</v>
      </c>
      <c r="L290">
        <f t="shared" si="48"/>
        <v>17.1906</v>
      </c>
      <c r="M290">
        <f t="shared" si="49"/>
        <v>7.5649470077999998</v>
      </c>
      <c r="N290" s="9"/>
      <c r="O290" s="22">
        <v>1.3099700000000001</v>
      </c>
      <c r="P290" s="22">
        <v>107.244</v>
      </c>
      <c r="Q290" s="22">
        <v>-1.6522200000000001E-2</v>
      </c>
      <c r="R290" s="22">
        <v>280</v>
      </c>
      <c r="S290" s="22">
        <v>1.30951</v>
      </c>
      <c r="T290">
        <f t="shared" si="50"/>
        <v>16.522200000000002</v>
      </c>
      <c r="U290">
        <f t="shared" si="51"/>
        <v>21.643586334000002</v>
      </c>
      <c r="X290" s="9"/>
      <c r="Y290" s="22">
        <v>0.44006299999999998</v>
      </c>
      <c r="Z290" s="22">
        <v>169.20099999999999</v>
      </c>
      <c r="AA290" s="22">
        <v>-1.7156999999999999E-2</v>
      </c>
      <c r="AB290" s="22">
        <v>280</v>
      </c>
      <c r="AC290" s="22">
        <v>0.439392</v>
      </c>
      <c r="AD290">
        <f t="shared" si="52"/>
        <v>17.157</v>
      </c>
      <c r="AE290">
        <f t="shared" si="53"/>
        <v>7.550160891</v>
      </c>
      <c r="AF290" s="9"/>
      <c r="AG290" s="22">
        <v>1.3099700000000001</v>
      </c>
      <c r="AH290" s="22">
        <v>248.73400000000001</v>
      </c>
      <c r="AI290" s="22">
        <v>-1.6235400000000001E-2</v>
      </c>
      <c r="AJ290" s="22">
        <v>280</v>
      </c>
      <c r="AK290" s="22">
        <v>1.3089</v>
      </c>
      <c r="AL290">
        <f t="shared" si="54"/>
        <v>16.235400000000002</v>
      </c>
      <c r="AM290">
        <f t="shared" si="55"/>
        <v>21.267886938000004</v>
      </c>
      <c r="AP290" s="9"/>
      <c r="AQ290" s="22">
        <v>0.44006299999999998</v>
      </c>
      <c r="AR290" s="22">
        <v>301.14999999999998</v>
      </c>
      <c r="AS290" s="22">
        <v>-1.69067E-2</v>
      </c>
      <c r="AT290" s="22">
        <v>280</v>
      </c>
      <c r="AU290" s="22">
        <v>0.439392</v>
      </c>
      <c r="AV290">
        <f t="shared" si="56"/>
        <v>16.906700000000001</v>
      </c>
      <c r="AW290">
        <f t="shared" si="57"/>
        <v>7.4400131220999999</v>
      </c>
      <c r="AX290" s="9"/>
      <c r="AY290" s="22">
        <v>1.3099700000000001</v>
      </c>
      <c r="AZ290" s="22">
        <v>380.38099999999997</v>
      </c>
      <c r="BA290" s="22">
        <v>-1.5985099999999999E-2</v>
      </c>
      <c r="BB290" s="22">
        <v>280</v>
      </c>
      <c r="BC290" s="22">
        <v>1.3085899999999999</v>
      </c>
      <c r="BD290">
        <f t="shared" si="58"/>
        <v>15.985099999999999</v>
      </c>
      <c r="BE290">
        <f t="shared" si="59"/>
        <v>20.940001447</v>
      </c>
    </row>
    <row r="291" spans="6:57">
      <c r="F291" s="9"/>
      <c r="G291" s="22">
        <v>0.43502800000000003</v>
      </c>
      <c r="H291" s="22">
        <v>51.949199999999998</v>
      </c>
      <c r="I291" s="22">
        <v>-1.7175300000000001E-2</v>
      </c>
      <c r="J291" s="22">
        <v>281</v>
      </c>
      <c r="K291" s="22">
        <v>0.43438700000000002</v>
      </c>
      <c r="L291">
        <f t="shared" si="48"/>
        <v>17.1753</v>
      </c>
      <c r="M291">
        <f t="shared" si="49"/>
        <v>7.4717364084000009</v>
      </c>
      <c r="N291" s="9"/>
      <c r="O291" s="22">
        <v>1.3149999999999999</v>
      </c>
      <c r="P291" s="22">
        <v>107.345</v>
      </c>
      <c r="Q291" s="22">
        <v>-1.6531400000000002E-2</v>
      </c>
      <c r="R291" s="22">
        <v>281</v>
      </c>
      <c r="S291" s="22">
        <v>1.31409</v>
      </c>
      <c r="T291">
        <f t="shared" si="50"/>
        <v>16.531400000000001</v>
      </c>
      <c r="U291">
        <f t="shared" si="51"/>
        <v>21.738791000000003</v>
      </c>
      <c r="X291" s="9"/>
      <c r="Y291" s="22">
        <v>0.43502800000000003</v>
      </c>
      <c r="Z291" s="22">
        <v>169.30199999999999</v>
      </c>
      <c r="AA291" s="22">
        <v>-1.7135600000000001E-2</v>
      </c>
      <c r="AB291" s="22">
        <v>281</v>
      </c>
      <c r="AC291" s="22">
        <v>0.43435699999999999</v>
      </c>
      <c r="AD291">
        <f t="shared" si="52"/>
        <v>17.1356</v>
      </c>
      <c r="AE291">
        <f t="shared" si="53"/>
        <v>7.4544657968000001</v>
      </c>
      <c r="AF291" s="9"/>
      <c r="AG291" s="22">
        <v>1.3149999999999999</v>
      </c>
      <c r="AH291" s="22">
        <v>248.834</v>
      </c>
      <c r="AI291" s="22">
        <v>-1.62262E-2</v>
      </c>
      <c r="AJ291" s="22">
        <v>281</v>
      </c>
      <c r="AK291" s="22">
        <v>1.31409</v>
      </c>
      <c r="AL291">
        <f t="shared" si="54"/>
        <v>16.226199999999999</v>
      </c>
      <c r="AM291">
        <f t="shared" si="55"/>
        <v>21.337452999999996</v>
      </c>
      <c r="AP291" s="9"/>
      <c r="AQ291" s="22">
        <v>0.43502800000000003</v>
      </c>
      <c r="AR291" s="22">
        <v>301.25099999999998</v>
      </c>
      <c r="AS291" s="22">
        <v>-1.6870099999999999E-2</v>
      </c>
      <c r="AT291" s="22">
        <v>281</v>
      </c>
      <c r="AU291" s="22">
        <v>0.434448</v>
      </c>
      <c r="AV291">
        <f t="shared" si="56"/>
        <v>16.870100000000001</v>
      </c>
      <c r="AW291">
        <f t="shared" si="57"/>
        <v>7.3389658628000012</v>
      </c>
      <c r="AX291" s="9"/>
      <c r="AY291" s="22">
        <v>1.3149999999999999</v>
      </c>
      <c r="AZ291" s="22">
        <v>380.48099999999999</v>
      </c>
      <c r="BA291" s="22">
        <v>-1.5994299999999999E-2</v>
      </c>
      <c r="BB291" s="22">
        <v>281</v>
      </c>
      <c r="BC291" s="22">
        <v>1.3143899999999999</v>
      </c>
      <c r="BD291">
        <f t="shared" si="58"/>
        <v>15.994299999999999</v>
      </c>
      <c r="BE291">
        <f t="shared" si="59"/>
        <v>21.032504499999998</v>
      </c>
    </row>
    <row r="292" spans="6:57">
      <c r="F292" s="9"/>
      <c r="G292" s="22">
        <v>0.42999300000000001</v>
      </c>
      <c r="H292" s="22">
        <v>52.05</v>
      </c>
      <c r="I292" s="22">
        <v>-1.7178300000000001E-2</v>
      </c>
      <c r="J292" s="22">
        <v>282</v>
      </c>
      <c r="K292" s="22">
        <v>0.429504</v>
      </c>
      <c r="L292">
        <f t="shared" si="48"/>
        <v>17.1783</v>
      </c>
      <c r="M292">
        <f t="shared" si="49"/>
        <v>7.3865487519000004</v>
      </c>
      <c r="N292" s="9"/>
      <c r="O292" s="22">
        <v>1.3200400000000001</v>
      </c>
      <c r="P292" s="22">
        <v>107.446</v>
      </c>
      <c r="Q292" s="22">
        <v>-1.64978E-2</v>
      </c>
      <c r="R292" s="22">
        <v>282</v>
      </c>
      <c r="S292" s="22">
        <v>1.3186599999999999</v>
      </c>
      <c r="T292">
        <f t="shared" si="50"/>
        <v>16.497800000000002</v>
      </c>
      <c r="U292">
        <f t="shared" si="51"/>
        <v>21.777755912000003</v>
      </c>
      <c r="X292" s="9"/>
      <c r="Y292" s="22">
        <v>0.42999300000000001</v>
      </c>
      <c r="Z292" s="22">
        <v>169.40299999999999</v>
      </c>
      <c r="AA292" s="22">
        <v>-1.71661E-2</v>
      </c>
      <c r="AB292" s="22">
        <v>282</v>
      </c>
      <c r="AC292" s="22">
        <v>0.42941299999999999</v>
      </c>
      <c r="AD292">
        <f t="shared" si="52"/>
        <v>17.1661</v>
      </c>
      <c r="AE292">
        <f t="shared" si="53"/>
        <v>7.3813028373000007</v>
      </c>
      <c r="AF292" s="9"/>
      <c r="AG292" s="22">
        <v>1.3200400000000001</v>
      </c>
      <c r="AH292" s="22">
        <v>248.935</v>
      </c>
      <c r="AI292" s="22">
        <v>-1.6216999999999999E-2</v>
      </c>
      <c r="AJ292" s="22">
        <v>282</v>
      </c>
      <c r="AK292" s="22">
        <v>1.3186599999999999</v>
      </c>
      <c r="AL292">
        <f t="shared" si="54"/>
        <v>16.216999999999999</v>
      </c>
      <c r="AM292">
        <f t="shared" si="55"/>
        <v>21.407088680000001</v>
      </c>
      <c r="AP292" s="9"/>
      <c r="AQ292" s="22">
        <v>0.42999300000000001</v>
      </c>
      <c r="AR292" s="22">
        <v>301.35199999999998</v>
      </c>
      <c r="AS292" s="22">
        <v>-1.6867099999999999E-2</v>
      </c>
      <c r="AT292" s="22">
        <v>282</v>
      </c>
      <c r="AU292" s="22">
        <v>0.42941299999999999</v>
      </c>
      <c r="AV292">
        <f t="shared" si="56"/>
        <v>16.867100000000001</v>
      </c>
      <c r="AW292">
        <f t="shared" si="57"/>
        <v>7.2527349303000008</v>
      </c>
      <c r="AX292" s="9"/>
      <c r="AY292" s="22">
        <v>1.3200400000000001</v>
      </c>
      <c r="AZ292" s="22">
        <v>380.58199999999999</v>
      </c>
      <c r="BA292" s="22">
        <v>-1.5963700000000001E-2</v>
      </c>
      <c r="BB292" s="22">
        <v>282</v>
      </c>
      <c r="BC292" s="22">
        <v>1.3192699999999999</v>
      </c>
      <c r="BD292">
        <f t="shared" si="58"/>
        <v>15.963700000000001</v>
      </c>
      <c r="BE292">
        <f t="shared" si="59"/>
        <v>21.072722548000002</v>
      </c>
    </row>
    <row r="293" spans="6:57">
      <c r="F293" s="9"/>
      <c r="G293" s="22">
        <v>0.42495699999999997</v>
      </c>
      <c r="H293" s="22">
        <v>52.150700000000001</v>
      </c>
      <c r="I293" s="22">
        <v>-1.71906E-2</v>
      </c>
      <c r="J293" s="22">
        <v>283</v>
      </c>
      <c r="K293" s="22">
        <v>0.424377</v>
      </c>
      <c r="L293">
        <f t="shared" si="48"/>
        <v>17.1906</v>
      </c>
      <c r="M293">
        <f t="shared" si="49"/>
        <v>7.3052658041999994</v>
      </c>
      <c r="N293" s="9"/>
      <c r="O293" s="22">
        <v>1.32507</v>
      </c>
      <c r="P293" s="22">
        <v>107.547</v>
      </c>
      <c r="Q293" s="22">
        <v>-1.64948E-2</v>
      </c>
      <c r="R293" s="22">
        <v>283</v>
      </c>
      <c r="S293" s="22">
        <v>1.32385</v>
      </c>
      <c r="T293">
        <f t="shared" si="50"/>
        <v>16.494800000000001</v>
      </c>
      <c r="U293">
        <f t="shared" si="51"/>
        <v>21.856764636000001</v>
      </c>
      <c r="X293" s="9"/>
      <c r="Y293" s="22">
        <v>0.42495699999999997</v>
      </c>
      <c r="Z293" s="22">
        <v>169.50299999999999</v>
      </c>
      <c r="AA293" s="22">
        <v>-1.71387E-2</v>
      </c>
      <c r="AB293" s="22">
        <v>283</v>
      </c>
      <c r="AC293" s="22">
        <v>0.42434699999999997</v>
      </c>
      <c r="AD293">
        <f t="shared" si="52"/>
        <v>17.1387</v>
      </c>
      <c r="AE293">
        <f t="shared" si="53"/>
        <v>7.2832105358999994</v>
      </c>
      <c r="AF293" s="9"/>
      <c r="AG293" s="22">
        <v>1.32507</v>
      </c>
      <c r="AH293" s="22">
        <v>249.036</v>
      </c>
      <c r="AI293" s="22">
        <v>-1.6168200000000001E-2</v>
      </c>
      <c r="AJ293" s="22">
        <v>283</v>
      </c>
      <c r="AK293" s="22">
        <v>1.32446</v>
      </c>
      <c r="AL293">
        <f t="shared" si="54"/>
        <v>16.168200000000002</v>
      </c>
      <c r="AM293">
        <f t="shared" si="55"/>
        <v>21.423996774000003</v>
      </c>
      <c r="AP293" s="9"/>
      <c r="AQ293" s="22">
        <v>0.42495699999999997</v>
      </c>
      <c r="AR293" s="22">
        <v>301.45299999999997</v>
      </c>
      <c r="AS293" s="22">
        <v>-1.6870099999999999E-2</v>
      </c>
      <c r="AT293" s="22">
        <v>283</v>
      </c>
      <c r="AU293" s="22">
        <v>0.424377</v>
      </c>
      <c r="AV293">
        <f t="shared" si="56"/>
        <v>16.870100000000001</v>
      </c>
      <c r="AW293">
        <f t="shared" si="57"/>
        <v>7.1690670857000001</v>
      </c>
      <c r="AX293" s="9"/>
      <c r="AY293" s="22">
        <v>1.32507</v>
      </c>
      <c r="AZ293" s="22">
        <v>380.68299999999999</v>
      </c>
      <c r="BA293" s="22">
        <v>-1.5908800000000001E-2</v>
      </c>
      <c r="BB293" s="22">
        <v>283</v>
      </c>
      <c r="BC293" s="22">
        <v>1.32446</v>
      </c>
      <c r="BD293">
        <f t="shared" si="58"/>
        <v>15.908800000000001</v>
      </c>
      <c r="BE293">
        <f t="shared" si="59"/>
        <v>21.080273615999999</v>
      </c>
    </row>
    <row r="294" spans="6:57">
      <c r="F294" s="9"/>
      <c r="G294" s="22">
        <v>0.41992200000000002</v>
      </c>
      <c r="H294" s="22">
        <v>52.251399999999997</v>
      </c>
      <c r="I294" s="22">
        <v>-1.7187500000000001E-2</v>
      </c>
      <c r="J294" s="22">
        <v>284</v>
      </c>
      <c r="K294" s="22">
        <v>0.41921999999999998</v>
      </c>
      <c r="L294">
        <f t="shared" si="48"/>
        <v>17.1875</v>
      </c>
      <c r="M294">
        <f t="shared" si="49"/>
        <v>7.2174093749999999</v>
      </c>
      <c r="N294" s="9"/>
      <c r="O294" s="22">
        <v>1.3301099999999999</v>
      </c>
      <c r="P294" s="22">
        <v>107.64700000000001</v>
      </c>
      <c r="Q294" s="22">
        <v>-1.6479500000000001E-2</v>
      </c>
      <c r="R294" s="22">
        <v>284</v>
      </c>
      <c r="S294" s="22">
        <v>1.32874</v>
      </c>
      <c r="T294">
        <f t="shared" si="50"/>
        <v>16.479500000000002</v>
      </c>
      <c r="U294">
        <f t="shared" si="51"/>
        <v>21.919547744999999</v>
      </c>
      <c r="X294" s="9"/>
      <c r="Y294" s="22">
        <v>0.41992200000000002</v>
      </c>
      <c r="Z294" s="22">
        <v>169.60400000000001</v>
      </c>
      <c r="AA294" s="22">
        <v>-1.7141699999999999E-2</v>
      </c>
      <c r="AB294" s="22">
        <v>284</v>
      </c>
      <c r="AC294" s="22">
        <v>0.41931200000000002</v>
      </c>
      <c r="AD294">
        <f t="shared" si="52"/>
        <v>17.1417</v>
      </c>
      <c r="AE294">
        <f t="shared" si="53"/>
        <v>7.1981769474000004</v>
      </c>
      <c r="AF294" s="9"/>
      <c r="AG294" s="22">
        <v>1.3301099999999999</v>
      </c>
      <c r="AH294" s="22">
        <v>249.136</v>
      </c>
      <c r="AI294" s="22">
        <v>-1.6162099999999999E-2</v>
      </c>
      <c r="AJ294" s="22">
        <v>284</v>
      </c>
      <c r="AK294" s="22">
        <v>1.32904</v>
      </c>
      <c r="AL294">
        <f t="shared" si="54"/>
        <v>16.162099999999999</v>
      </c>
      <c r="AM294">
        <f t="shared" si="55"/>
        <v>21.497370830999998</v>
      </c>
      <c r="AP294" s="9"/>
      <c r="AQ294" s="22">
        <v>0.41992200000000002</v>
      </c>
      <c r="AR294" s="22">
        <v>301.553</v>
      </c>
      <c r="AS294" s="22">
        <v>-1.6857899999999999E-2</v>
      </c>
      <c r="AT294" s="22">
        <v>284</v>
      </c>
      <c r="AU294" s="22">
        <v>0.41934199999999999</v>
      </c>
      <c r="AV294">
        <f t="shared" si="56"/>
        <v>16.857899999999997</v>
      </c>
      <c r="AW294">
        <f t="shared" si="57"/>
        <v>7.0790030837999991</v>
      </c>
      <c r="AX294" s="9"/>
      <c r="AY294" s="22">
        <v>1.3301099999999999</v>
      </c>
      <c r="AZ294" s="22">
        <v>380.78399999999999</v>
      </c>
      <c r="BA294" s="22">
        <v>-1.59393E-2</v>
      </c>
      <c r="BB294" s="22">
        <v>284</v>
      </c>
      <c r="BC294" s="22">
        <v>1.32935</v>
      </c>
      <c r="BD294">
        <f t="shared" si="58"/>
        <v>15.939299999999999</v>
      </c>
      <c r="BE294">
        <f t="shared" si="59"/>
        <v>21.201022322999997</v>
      </c>
    </row>
    <row r="295" spans="6:57">
      <c r="F295" s="9"/>
      <c r="G295" s="22">
        <v>0.41488599999999998</v>
      </c>
      <c r="H295" s="22">
        <v>52.3521</v>
      </c>
      <c r="I295" s="22">
        <v>-1.7208899999999999E-2</v>
      </c>
      <c r="J295" s="22">
        <v>285</v>
      </c>
      <c r="K295" s="22">
        <v>0.414246</v>
      </c>
      <c r="L295">
        <f t="shared" si="48"/>
        <v>17.2089</v>
      </c>
      <c r="M295">
        <f t="shared" si="49"/>
        <v>7.1397316853999993</v>
      </c>
      <c r="N295" s="9"/>
      <c r="O295" s="22">
        <v>1.33514</v>
      </c>
      <c r="P295" s="22">
        <v>107.748</v>
      </c>
      <c r="Q295" s="22">
        <v>-1.6452000000000001E-2</v>
      </c>
      <c r="R295" s="22">
        <v>285</v>
      </c>
      <c r="S295" s="22">
        <v>1.33392</v>
      </c>
      <c r="T295">
        <f t="shared" si="50"/>
        <v>16.452000000000002</v>
      </c>
      <c r="U295">
        <f t="shared" si="51"/>
        <v>21.965723280000002</v>
      </c>
      <c r="X295" s="9"/>
      <c r="Y295" s="22">
        <v>0.41488599999999998</v>
      </c>
      <c r="Z295" s="22">
        <v>169.70500000000001</v>
      </c>
      <c r="AA295" s="22">
        <v>-1.7181399999999999E-2</v>
      </c>
      <c r="AB295" s="22">
        <v>285</v>
      </c>
      <c r="AC295" s="22">
        <v>0.414246</v>
      </c>
      <c r="AD295">
        <f t="shared" si="52"/>
        <v>17.1814</v>
      </c>
      <c r="AE295">
        <f t="shared" si="53"/>
        <v>7.1283223203999997</v>
      </c>
      <c r="AF295" s="9"/>
      <c r="AG295" s="22">
        <v>1.33514</v>
      </c>
      <c r="AH295" s="22">
        <v>249.23699999999999</v>
      </c>
      <c r="AI295" s="22">
        <v>-1.6134599999999999E-2</v>
      </c>
      <c r="AJ295" s="22">
        <v>285</v>
      </c>
      <c r="AK295" s="22">
        <v>1.33423</v>
      </c>
      <c r="AL295">
        <f t="shared" si="54"/>
        <v>16.134599999999999</v>
      </c>
      <c r="AM295">
        <f t="shared" si="55"/>
        <v>21.541949843999998</v>
      </c>
      <c r="AP295" s="9"/>
      <c r="AQ295" s="22">
        <v>0.41488599999999998</v>
      </c>
      <c r="AR295" s="22">
        <v>301.654</v>
      </c>
      <c r="AS295" s="22">
        <v>-1.6888400000000001E-2</v>
      </c>
      <c r="AT295" s="22">
        <v>285</v>
      </c>
      <c r="AU295" s="22">
        <v>0.41430699999999998</v>
      </c>
      <c r="AV295">
        <f t="shared" si="56"/>
        <v>16.888400000000001</v>
      </c>
      <c r="AW295">
        <f t="shared" si="57"/>
        <v>7.0067607224000001</v>
      </c>
      <c r="AX295" s="9"/>
      <c r="AY295" s="22">
        <v>1.33514</v>
      </c>
      <c r="AZ295" s="22">
        <v>380.88400000000001</v>
      </c>
      <c r="BA295" s="22">
        <v>-1.5899699999999999E-2</v>
      </c>
      <c r="BB295" s="22">
        <v>285</v>
      </c>
      <c r="BC295" s="22">
        <v>1.33423</v>
      </c>
      <c r="BD295">
        <f t="shared" si="58"/>
        <v>15.899699999999999</v>
      </c>
      <c r="BE295">
        <f t="shared" si="59"/>
        <v>21.228325458</v>
      </c>
    </row>
    <row r="296" spans="6:57">
      <c r="F296" s="9"/>
      <c r="G296" s="22">
        <v>0.40985100000000002</v>
      </c>
      <c r="H296" s="22">
        <v>52.452800000000003</v>
      </c>
      <c r="I296" s="22">
        <v>-1.72363E-2</v>
      </c>
      <c r="J296" s="22">
        <v>286</v>
      </c>
      <c r="K296" s="22">
        <v>0.409302</v>
      </c>
      <c r="L296">
        <f t="shared" si="48"/>
        <v>17.2363</v>
      </c>
      <c r="M296">
        <f t="shared" si="49"/>
        <v>7.0643147913000002</v>
      </c>
      <c r="N296" s="9"/>
      <c r="O296" s="22">
        <v>1.3401799999999999</v>
      </c>
      <c r="P296" s="22">
        <v>107.849</v>
      </c>
      <c r="Q296" s="22">
        <v>-1.64429E-2</v>
      </c>
      <c r="R296" s="22">
        <v>286</v>
      </c>
      <c r="S296" s="22">
        <v>1.33972</v>
      </c>
      <c r="T296">
        <f t="shared" si="50"/>
        <v>16.442900000000002</v>
      </c>
      <c r="U296">
        <f t="shared" si="51"/>
        <v>22.036445722</v>
      </c>
      <c r="X296" s="9"/>
      <c r="Y296" s="22">
        <v>0.40985100000000002</v>
      </c>
      <c r="Z296" s="22">
        <v>169.80600000000001</v>
      </c>
      <c r="AA296" s="22">
        <v>-1.7184399999999999E-2</v>
      </c>
      <c r="AB296" s="22">
        <v>286</v>
      </c>
      <c r="AC296" s="22">
        <v>0.409271</v>
      </c>
      <c r="AD296">
        <f t="shared" si="52"/>
        <v>17.1844</v>
      </c>
      <c r="AE296">
        <f t="shared" si="53"/>
        <v>7.0430435244000007</v>
      </c>
      <c r="AF296" s="9"/>
      <c r="AG296" s="22">
        <v>1.3401799999999999</v>
      </c>
      <c r="AH296" s="22">
        <v>249.33799999999999</v>
      </c>
      <c r="AI296" s="22">
        <v>-1.6107199999999999E-2</v>
      </c>
      <c r="AJ296" s="22">
        <v>286</v>
      </c>
      <c r="AK296" s="22">
        <v>1.3394200000000001</v>
      </c>
      <c r="AL296">
        <f t="shared" si="54"/>
        <v>16.107199999999999</v>
      </c>
      <c r="AM296">
        <f t="shared" si="55"/>
        <v>21.586547295999996</v>
      </c>
      <c r="AP296" s="9"/>
      <c r="AQ296" s="22">
        <v>0.40985100000000002</v>
      </c>
      <c r="AR296" s="22">
        <v>301.755</v>
      </c>
      <c r="AS296" s="22">
        <v>-1.68793E-2</v>
      </c>
      <c r="AT296" s="22">
        <v>286</v>
      </c>
      <c r="AU296" s="22">
        <v>0.409271</v>
      </c>
      <c r="AV296">
        <f t="shared" si="56"/>
        <v>16.879300000000001</v>
      </c>
      <c r="AW296">
        <f t="shared" si="57"/>
        <v>6.9179979843000003</v>
      </c>
      <c r="AX296" s="9"/>
      <c r="AY296" s="22">
        <v>1.3401799999999999</v>
      </c>
      <c r="AZ296" s="22">
        <v>380.98500000000001</v>
      </c>
      <c r="BA296" s="22">
        <v>-1.59119E-2</v>
      </c>
      <c r="BB296" s="22">
        <v>286</v>
      </c>
      <c r="BC296" s="22">
        <v>1.33911</v>
      </c>
      <c r="BD296">
        <f t="shared" si="58"/>
        <v>15.911899999999999</v>
      </c>
      <c r="BE296">
        <f t="shared" si="59"/>
        <v>21.324810141999997</v>
      </c>
    </row>
    <row r="297" spans="6:57">
      <c r="F297" s="9"/>
      <c r="G297" s="22">
        <v>0.40481600000000001</v>
      </c>
      <c r="H297" s="22">
        <v>52.5535</v>
      </c>
      <c r="I297" s="22">
        <v>-1.7227200000000002E-2</v>
      </c>
      <c r="J297" s="22">
        <v>287</v>
      </c>
      <c r="K297" s="22">
        <v>0.40417500000000001</v>
      </c>
      <c r="L297">
        <f t="shared" si="48"/>
        <v>17.2272</v>
      </c>
      <c r="M297">
        <f t="shared" si="49"/>
        <v>6.9738461952000002</v>
      </c>
      <c r="N297" s="9"/>
      <c r="O297" s="22">
        <v>1.34521</v>
      </c>
      <c r="P297" s="22">
        <v>107.949</v>
      </c>
      <c r="Q297" s="22">
        <v>-1.6439800000000001E-2</v>
      </c>
      <c r="R297" s="22">
        <v>287</v>
      </c>
      <c r="S297" s="22">
        <v>1.3446</v>
      </c>
      <c r="T297">
        <f t="shared" si="50"/>
        <v>16.439800000000002</v>
      </c>
      <c r="U297">
        <f t="shared" si="51"/>
        <v>22.114983358000003</v>
      </c>
      <c r="X297" s="9"/>
      <c r="Y297" s="22">
        <v>0.40481600000000001</v>
      </c>
      <c r="Z297" s="22">
        <v>169.90600000000001</v>
      </c>
      <c r="AA297" s="22">
        <v>-1.7172199999999999E-2</v>
      </c>
      <c r="AB297" s="22">
        <v>287</v>
      </c>
      <c r="AC297" s="22">
        <v>0.40420499999999998</v>
      </c>
      <c r="AD297">
        <f t="shared" si="52"/>
        <v>17.1722</v>
      </c>
      <c r="AE297">
        <f t="shared" si="53"/>
        <v>6.9515813152000003</v>
      </c>
      <c r="AF297" s="9"/>
      <c r="AG297" s="22">
        <v>1.34521</v>
      </c>
      <c r="AH297" s="22">
        <v>249.43899999999999</v>
      </c>
      <c r="AI297" s="22">
        <v>-1.61163E-2</v>
      </c>
      <c r="AJ297" s="22">
        <v>287</v>
      </c>
      <c r="AK297" s="22">
        <v>1.3443000000000001</v>
      </c>
      <c r="AL297">
        <f t="shared" si="54"/>
        <v>16.116299999999999</v>
      </c>
      <c r="AM297">
        <f t="shared" si="55"/>
        <v>21.679807922999998</v>
      </c>
      <c r="AP297" s="9"/>
      <c r="AQ297" s="22">
        <v>0.40481600000000001</v>
      </c>
      <c r="AR297" s="22">
        <v>301.85500000000002</v>
      </c>
      <c r="AS297" s="22">
        <v>-1.6870099999999999E-2</v>
      </c>
      <c r="AT297" s="22">
        <v>287</v>
      </c>
      <c r="AU297" s="22">
        <v>0.40423599999999998</v>
      </c>
      <c r="AV297">
        <f t="shared" si="56"/>
        <v>16.870100000000001</v>
      </c>
      <c r="AW297">
        <f t="shared" si="57"/>
        <v>6.8292864016000001</v>
      </c>
      <c r="AX297" s="9"/>
      <c r="AY297" s="22">
        <v>1.34521</v>
      </c>
      <c r="AZ297" s="22">
        <v>381.08600000000001</v>
      </c>
      <c r="BA297" s="22">
        <v>-1.5881300000000001E-2</v>
      </c>
      <c r="BB297" s="22">
        <v>287</v>
      </c>
      <c r="BC297" s="22">
        <v>1.3436900000000001</v>
      </c>
      <c r="BD297">
        <f t="shared" si="58"/>
        <v>15.881300000000001</v>
      </c>
      <c r="BE297">
        <f t="shared" si="59"/>
        <v>21.363683573000003</v>
      </c>
    </row>
    <row r="298" spans="6:57">
      <c r="F298" s="9"/>
      <c r="G298" s="22">
        <v>0.39978000000000002</v>
      </c>
      <c r="H298" s="22">
        <v>52.654200000000003</v>
      </c>
      <c r="I298" s="22">
        <v>-1.7239399999999998E-2</v>
      </c>
      <c r="J298" s="22">
        <v>288</v>
      </c>
      <c r="K298" s="22">
        <v>0.39910899999999999</v>
      </c>
      <c r="L298">
        <f t="shared" si="48"/>
        <v>17.2394</v>
      </c>
      <c r="M298">
        <f t="shared" si="49"/>
        <v>6.8919673320000001</v>
      </c>
      <c r="N298" s="9"/>
      <c r="O298" s="22">
        <v>1.35025</v>
      </c>
      <c r="P298" s="22">
        <v>108.05</v>
      </c>
      <c r="Q298" s="22">
        <v>-1.6418499999999999E-2</v>
      </c>
      <c r="R298" s="22">
        <v>288</v>
      </c>
      <c r="S298" s="22">
        <v>1.34918</v>
      </c>
      <c r="T298">
        <f t="shared" si="50"/>
        <v>16.418499999999998</v>
      </c>
      <c r="U298">
        <f t="shared" si="51"/>
        <v>22.169079624999995</v>
      </c>
      <c r="X298" s="9"/>
      <c r="Y298" s="22">
        <v>0.39978000000000002</v>
      </c>
      <c r="Z298" s="22">
        <v>170.00700000000001</v>
      </c>
      <c r="AA298" s="22">
        <v>-1.71509E-2</v>
      </c>
      <c r="AB298" s="22">
        <v>288</v>
      </c>
      <c r="AC298" s="22">
        <v>0.39907799999999999</v>
      </c>
      <c r="AD298">
        <f t="shared" si="52"/>
        <v>17.1509</v>
      </c>
      <c r="AE298">
        <f t="shared" si="53"/>
        <v>6.8565868020000007</v>
      </c>
      <c r="AF298" s="9"/>
      <c r="AG298" s="22">
        <v>1.35025</v>
      </c>
      <c r="AH298" s="22">
        <v>249.53899999999999</v>
      </c>
      <c r="AI298" s="22">
        <v>-1.60736E-2</v>
      </c>
      <c r="AJ298" s="22">
        <v>288</v>
      </c>
      <c r="AK298" s="22">
        <v>1.3501000000000001</v>
      </c>
      <c r="AL298">
        <f t="shared" si="54"/>
        <v>16.073599999999999</v>
      </c>
      <c r="AM298">
        <f t="shared" si="55"/>
        <v>21.703378399999998</v>
      </c>
      <c r="AP298" s="9"/>
      <c r="AQ298" s="22">
        <v>0.39978000000000002</v>
      </c>
      <c r="AR298" s="22">
        <v>301.95600000000002</v>
      </c>
      <c r="AS298" s="22">
        <v>-1.6842699999999999E-2</v>
      </c>
      <c r="AT298" s="22">
        <v>288</v>
      </c>
      <c r="AU298" s="22">
        <v>0.39917000000000002</v>
      </c>
      <c r="AV298">
        <f t="shared" si="56"/>
        <v>16.842699999999997</v>
      </c>
      <c r="AW298">
        <f t="shared" si="57"/>
        <v>6.733374605999999</v>
      </c>
      <c r="AX298" s="9"/>
      <c r="AY298" s="22">
        <v>1.35025</v>
      </c>
      <c r="AZ298" s="22">
        <v>381.18599999999998</v>
      </c>
      <c r="BA298" s="22">
        <v>-1.5850800000000002E-2</v>
      </c>
      <c r="BB298" s="22">
        <v>288</v>
      </c>
      <c r="BC298" s="22">
        <v>1.3494900000000001</v>
      </c>
      <c r="BD298">
        <f t="shared" si="58"/>
        <v>15.850800000000001</v>
      </c>
      <c r="BE298">
        <f t="shared" si="59"/>
        <v>21.402542700000001</v>
      </c>
    </row>
    <row r="299" spans="6:57">
      <c r="F299" s="9"/>
      <c r="G299" s="22">
        <v>0.39474500000000001</v>
      </c>
      <c r="H299" s="22">
        <v>52.754899999999999</v>
      </c>
      <c r="I299" s="22">
        <v>-1.7230200000000001E-2</v>
      </c>
      <c r="J299" s="22">
        <v>289</v>
      </c>
      <c r="K299" s="22">
        <v>0.39410400000000001</v>
      </c>
      <c r="L299">
        <f t="shared" si="48"/>
        <v>17.2302</v>
      </c>
      <c r="M299">
        <f t="shared" si="49"/>
        <v>6.8015352990000002</v>
      </c>
      <c r="N299" s="9"/>
      <c r="O299" s="22">
        <v>1.3552900000000001</v>
      </c>
      <c r="P299" s="22">
        <v>108.151</v>
      </c>
      <c r="Q299" s="22">
        <v>-1.6384900000000001E-2</v>
      </c>
      <c r="R299" s="22">
        <v>289</v>
      </c>
      <c r="S299" s="22">
        <v>1.3549800000000001</v>
      </c>
      <c r="T299">
        <f t="shared" si="50"/>
        <v>16.384900000000002</v>
      </c>
      <c r="U299">
        <f t="shared" si="51"/>
        <v>22.206291121000003</v>
      </c>
      <c r="X299" s="9"/>
      <c r="Y299" s="22">
        <v>0.39474500000000001</v>
      </c>
      <c r="Z299" s="22">
        <v>170.108</v>
      </c>
      <c r="AA299" s="22">
        <v>-1.7147800000000001E-2</v>
      </c>
      <c r="AB299" s="22">
        <v>289</v>
      </c>
      <c r="AC299" s="22">
        <v>0.39416499999999999</v>
      </c>
      <c r="AD299">
        <f t="shared" si="52"/>
        <v>17.1478</v>
      </c>
      <c r="AE299">
        <f t="shared" si="53"/>
        <v>6.7690083110000003</v>
      </c>
      <c r="AF299" s="9"/>
      <c r="AG299" s="22">
        <v>1.3552900000000001</v>
      </c>
      <c r="AH299" s="22">
        <v>249.64</v>
      </c>
      <c r="AI299" s="22">
        <v>-1.6091899999999999E-2</v>
      </c>
      <c r="AJ299" s="22">
        <v>289</v>
      </c>
      <c r="AK299" s="22">
        <v>1.3546800000000001</v>
      </c>
      <c r="AL299">
        <f t="shared" si="54"/>
        <v>16.091899999999999</v>
      </c>
      <c r="AM299">
        <f t="shared" si="55"/>
        <v>21.809191151</v>
      </c>
      <c r="AP299" s="9"/>
      <c r="AQ299" s="22">
        <v>0.39474500000000001</v>
      </c>
      <c r="AR299" s="22">
        <v>302.05700000000002</v>
      </c>
      <c r="AS299" s="22">
        <v>-1.6873200000000001E-2</v>
      </c>
      <c r="AT299" s="22">
        <v>289</v>
      </c>
      <c r="AU299" s="22">
        <v>0.39410400000000001</v>
      </c>
      <c r="AV299">
        <f t="shared" si="56"/>
        <v>16.873200000000001</v>
      </c>
      <c r="AW299">
        <f t="shared" si="57"/>
        <v>6.6606113340000004</v>
      </c>
      <c r="AX299" s="9"/>
      <c r="AY299" s="22">
        <v>1.3552900000000001</v>
      </c>
      <c r="AZ299" s="22">
        <v>381.28699999999998</v>
      </c>
      <c r="BA299" s="22">
        <v>-1.58142E-2</v>
      </c>
      <c r="BB299" s="22">
        <v>289</v>
      </c>
      <c r="BC299" s="22">
        <v>1.35406</v>
      </c>
      <c r="BD299">
        <f t="shared" si="58"/>
        <v>15.8142</v>
      </c>
      <c r="BE299">
        <f t="shared" si="59"/>
        <v>21.432827118000002</v>
      </c>
    </row>
    <row r="300" spans="6:57">
      <c r="F300" s="9"/>
      <c r="G300" s="22">
        <v>0.38970900000000003</v>
      </c>
      <c r="H300" s="22">
        <v>52.855600000000003</v>
      </c>
      <c r="I300" s="22">
        <v>-1.7218000000000001E-2</v>
      </c>
      <c r="J300" s="22">
        <v>290</v>
      </c>
      <c r="K300" s="22">
        <v>0.38909899999999997</v>
      </c>
      <c r="L300">
        <f t="shared" si="48"/>
        <v>17.218</v>
      </c>
      <c r="M300">
        <f t="shared" si="49"/>
        <v>6.7100095620000006</v>
      </c>
      <c r="N300" s="9"/>
      <c r="O300" s="22">
        <v>1.36032</v>
      </c>
      <c r="P300" s="22">
        <v>108.251</v>
      </c>
      <c r="Q300" s="22">
        <v>-1.63757E-2</v>
      </c>
      <c r="R300" s="22">
        <v>290</v>
      </c>
      <c r="S300" s="22">
        <v>1.3595600000000001</v>
      </c>
      <c r="T300">
        <f t="shared" si="50"/>
        <v>16.375699999999998</v>
      </c>
      <c r="U300">
        <f t="shared" si="51"/>
        <v>22.276192223999999</v>
      </c>
      <c r="X300" s="9"/>
      <c r="Y300" s="22">
        <v>0.38970900000000003</v>
      </c>
      <c r="Z300" s="22">
        <v>170.208</v>
      </c>
      <c r="AA300" s="22">
        <v>-1.7144800000000002E-2</v>
      </c>
      <c r="AB300" s="22">
        <v>290</v>
      </c>
      <c r="AC300" s="22">
        <v>0.38912999999999998</v>
      </c>
      <c r="AD300">
        <f t="shared" si="52"/>
        <v>17.1448</v>
      </c>
      <c r="AE300">
        <f t="shared" si="53"/>
        <v>6.6814828632000003</v>
      </c>
      <c r="AF300" s="9"/>
      <c r="AG300" s="22">
        <v>1.36032</v>
      </c>
      <c r="AH300" s="22">
        <v>249.74100000000001</v>
      </c>
      <c r="AI300" s="22">
        <v>-1.61011E-2</v>
      </c>
      <c r="AJ300" s="22">
        <v>290</v>
      </c>
      <c r="AK300" s="22">
        <v>1.3598600000000001</v>
      </c>
      <c r="AL300">
        <f t="shared" si="54"/>
        <v>16.101099999999999</v>
      </c>
      <c r="AM300">
        <f t="shared" si="55"/>
        <v>21.902648351999996</v>
      </c>
      <c r="AP300" s="9"/>
      <c r="AQ300" s="22">
        <v>0.38970900000000003</v>
      </c>
      <c r="AR300" s="22">
        <v>302.15800000000002</v>
      </c>
      <c r="AS300" s="22">
        <v>-1.68793E-2</v>
      </c>
      <c r="AT300" s="22">
        <v>290</v>
      </c>
      <c r="AU300" s="22">
        <v>0.38916000000000001</v>
      </c>
      <c r="AV300">
        <f t="shared" si="56"/>
        <v>16.879300000000001</v>
      </c>
      <c r="AW300">
        <f t="shared" si="57"/>
        <v>6.5780151237000011</v>
      </c>
      <c r="AX300" s="9"/>
      <c r="AY300" s="22">
        <v>1.36032</v>
      </c>
      <c r="AZ300" s="22">
        <v>381.38799999999998</v>
      </c>
      <c r="BA300" s="22">
        <v>-1.5817299999999999E-2</v>
      </c>
      <c r="BB300" s="22">
        <v>290</v>
      </c>
      <c r="BC300" s="22">
        <v>1.3595600000000001</v>
      </c>
      <c r="BD300">
        <f t="shared" si="58"/>
        <v>15.817299999999999</v>
      </c>
      <c r="BE300">
        <f t="shared" si="59"/>
        <v>21.516589535999998</v>
      </c>
    </row>
    <row r="301" spans="6:57">
      <c r="F301" s="9"/>
      <c r="G301" s="22">
        <v>0.38467400000000002</v>
      </c>
      <c r="H301" s="22">
        <v>52.956299999999999</v>
      </c>
      <c r="I301" s="22">
        <v>-1.7211899999999999E-2</v>
      </c>
      <c r="J301" s="22">
        <v>291</v>
      </c>
      <c r="K301" s="22">
        <v>0.38403300000000001</v>
      </c>
      <c r="L301">
        <f t="shared" si="48"/>
        <v>17.2119</v>
      </c>
      <c r="M301">
        <f t="shared" si="49"/>
        <v>6.6209704206</v>
      </c>
      <c r="N301" s="9"/>
      <c r="O301" s="22">
        <v>1.3653599999999999</v>
      </c>
      <c r="P301" s="22">
        <v>108.352</v>
      </c>
      <c r="Q301" s="22">
        <v>-1.6290300000000001E-2</v>
      </c>
      <c r="R301" s="22">
        <v>291</v>
      </c>
      <c r="S301" s="22">
        <v>1.3647499999999999</v>
      </c>
      <c r="T301">
        <f t="shared" si="50"/>
        <v>16.290300000000002</v>
      </c>
      <c r="U301">
        <f t="shared" si="51"/>
        <v>22.242124008000001</v>
      </c>
      <c r="X301" s="9"/>
      <c r="Y301" s="22">
        <v>0.38467400000000002</v>
      </c>
      <c r="Z301" s="22">
        <v>170.309</v>
      </c>
      <c r="AA301" s="22">
        <v>-1.71539E-2</v>
      </c>
      <c r="AB301" s="22">
        <v>291</v>
      </c>
      <c r="AC301" s="22">
        <v>0.38397199999999998</v>
      </c>
      <c r="AD301">
        <f t="shared" si="52"/>
        <v>17.1539</v>
      </c>
      <c r="AE301">
        <f t="shared" si="53"/>
        <v>6.5986593286000002</v>
      </c>
      <c r="AF301" s="9"/>
      <c r="AG301" s="22">
        <v>1.3653599999999999</v>
      </c>
      <c r="AH301" s="22">
        <v>249.84100000000001</v>
      </c>
      <c r="AI301" s="22">
        <v>-1.6055300000000002E-2</v>
      </c>
      <c r="AJ301" s="22">
        <v>291</v>
      </c>
      <c r="AK301" s="22">
        <v>1.3647499999999999</v>
      </c>
      <c r="AL301">
        <f t="shared" si="54"/>
        <v>16.055300000000003</v>
      </c>
      <c r="AM301">
        <f t="shared" si="55"/>
        <v>21.921264408000003</v>
      </c>
      <c r="AP301" s="9"/>
      <c r="AQ301" s="22">
        <v>0.38467400000000002</v>
      </c>
      <c r="AR301" s="22">
        <v>302.25799999999998</v>
      </c>
      <c r="AS301" s="22">
        <v>-1.6937299999999999E-2</v>
      </c>
      <c r="AT301" s="22">
        <v>291</v>
      </c>
      <c r="AU301" s="22">
        <v>0.38403300000000001</v>
      </c>
      <c r="AV301">
        <f t="shared" si="56"/>
        <v>16.9373</v>
      </c>
      <c r="AW301">
        <f t="shared" si="57"/>
        <v>6.5153389402000004</v>
      </c>
      <c r="AX301" s="9"/>
      <c r="AY301" s="22">
        <v>1.3653599999999999</v>
      </c>
      <c r="AZ301" s="22">
        <v>381.48899999999998</v>
      </c>
      <c r="BA301" s="22">
        <v>-1.58142E-2</v>
      </c>
      <c r="BB301" s="22">
        <v>291</v>
      </c>
      <c r="BC301" s="22">
        <v>1.3644400000000001</v>
      </c>
      <c r="BD301">
        <f t="shared" si="58"/>
        <v>15.8142</v>
      </c>
      <c r="BE301">
        <f t="shared" si="59"/>
        <v>21.592076111999997</v>
      </c>
    </row>
    <row r="302" spans="6:57">
      <c r="F302" s="9"/>
      <c r="G302" s="22">
        <v>0.379639</v>
      </c>
      <c r="H302" s="22">
        <v>53.057000000000002</v>
      </c>
      <c r="I302" s="22">
        <v>-1.7230200000000001E-2</v>
      </c>
      <c r="J302" s="22">
        <v>292</v>
      </c>
      <c r="K302" s="22">
        <v>0.37893700000000002</v>
      </c>
      <c r="L302">
        <f t="shared" si="48"/>
        <v>17.2302</v>
      </c>
      <c r="M302">
        <f t="shared" si="49"/>
        <v>6.5412558978000002</v>
      </c>
      <c r="N302" s="9"/>
      <c r="O302" s="22">
        <v>1.37039</v>
      </c>
      <c r="P302" s="22">
        <v>108.453</v>
      </c>
      <c r="Q302" s="22">
        <v>-1.6284199999999999E-2</v>
      </c>
      <c r="R302" s="22">
        <v>292</v>
      </c>
      <c r="S302" s="22">
        <v>1.3699300000000001</v>
      </c>
      <c r="T302">
        <f t="shared" si="50"/>
        <v>16.284199999999998</v>
      </c>
      <c r="U302">
        <f t="shared" si="51"/>
        <v>22.315704837999998</v>
      </c>
      <c r="X302" s="9"/>
      <c r="Y302" s="22">
        <v>0.379639</v>
      </c>
      <c r="Z302" s="22">
        <v>170.41</v>
      </c>
      <c r="AA302" s="22">
        <v>-1.7160000000000002E-2</v>
      </c>
      <c r="AB302" s="22">
        <v>292</v>
      </c>
      <c r="AC302" s="22">
        <v>0.37905899999999998</v>
      </c>
      <c r="AD302">
        <f t="shared" si="52"/>
        <v>17.16</v>
      </c>
      <c r="AE302">
        <f t="shared" si="53"/>
        <v>6.5146052399999999</v>
      </c>
      <c r="AF302" s="9"/>
      <c r="AG302" s="22">
        <v>1.37039</v>
      </c>
      <c r="AH302" s="22">
        <v>249.94200000000001</v>
      </c>
      <c r="AI302" s="22">
        <v>-1.60339E-2</v>
      </c>
      <c r="AJ302" s="22">
        <v>292</v>
      </c>
      <c r="AK302" s="22">
        <v>1.3693200000000001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302.35899999999998</v>
      </c>
      <c r="AS302" s="22">
        <v>-1.6940299999999998E-2</v>
      </c>
      <c r="AT302" s="22">
        <v>292</v>
      </c>
      <c r="AU302" s="22">
        <v>0.378967</v>
      </c>
      <c r="AV302">
        <f t="shared" si="56"/>
        <v>16.940299999999997</v>
      </c>
      <c r="AW302">
        <f t="shared" si="57"/>
        <v>6.4311985516999988</v>
      </c>
      <c r="AX302" s="9"/>
      <c r="AY302" s="22">
        <v>1.37039</v>
      </c>
      <c r="AZ302" s="22">
        <v>381.589</v>
      </c>
      <c r="BA302" s="22">
        <v>-1.5799000000000001E-2</v>
      </c>
      <c r="BB302" s="22">
        <v>292</v>
      </c>
      <c r="BC302" s="22">
        <v>1.3693200000000001</v>
      </c>
      <c r="BD302">
        <f t="shared" si="58"/>
        <v>15.799000000000001</v>
      </c>
      <c r="BE302">
        <f t="shared" si="59"/>
        <v>21.650791610000002</v>
      </c>
    </row>
    <row r="303" spans="6:57">
      <c r="F303" s="9"/>
      <c r="G303" s="22">
        <v>0.37460300000000002</v>
      </c>
      <c r="H303" s="22">
        <v>53.157699999999998</v>
      </c>
      <c r="I303" s="22">
        <v>-1.72333E-2</v>
      </c>
      <c r="J303" s="22">
        <v>293</v>
      </c>
      <c r="K303" s="22">
        <v>0.37396200000000002</v>
      </c>
      <c r="L303">
        <f t="shared" si="48"/>
        <v>17.2333</v>
      </c>
      <c r="M303">
        <f t="shared" si="49"/>
        <v>6.4556458799000005</v>
      </c>
      <c r="N303" s="9"/>
      <c r="O303" s="22">
        <v>1.3754299999999999</v>
      </c>
      <c r="P303" s="22">
        <v>108.554</v>
      </c>
      <c r="Q303" s="22">
        <v>-1.6262800000000001E-2</v>
      </c>
      <c r="R303" s="22">
        <v>293</v>
      </c>
      <c r="S303" s="22">
        <v>1.3745099999999999</v>
      </c>
      <c r="T303">
        <f t="shared" si="50"/>
        <v>16.262800000000002</v>
      </c>
      <c r="U303">
        <f t="shared" si="51"/>
        <v>22.368343004000003</v>
      </c>
      <c r="X303" s="9"/>
      <c r="Y303" s="22">
        <v>0.37460300000000002</v>
      </c>
      <c r="Z303" s="22">
        <v>170.511</v>
      </c>
      <c r="AA303" s="22">
        <v>-1.7178300000000001E-2</v>
      </c>
      <c r="AB303" s="22">
        <v>293</v>
      </c>
      <c r="AC303" s="22">
        <v>0.37399300000000002</v>
      </c>
      <c r="AD303">
        <f t="shared" si="52"/>
        <v>17.1783</v>
      </c>
      <c r="AE303">
        <f t="shared" si="53"/>
        <v>6.4350427149000007</v>
      </c>
      <c r="AF303" s="9"/>
      <c r="AG303" s="22">
        <v>1.3754299999999999</v>
      </c>
      <c r="AH303" s="22">
        <v>250.04300000000001</v>
      </c>
      <c r="AI303" s="22">
        <v>-1.60187E-2</v>
      </c>
      <c r="AJ303" s="22">
        <v>293</v>
      </c>
      <c r="AK303" s="22">
        <v>1.3745099999999999</v>
      </c>
      <c r="AL303">
        <f t="shared" si="54"/>
        <v>16.018699999999999</v>
      </c>
      <c r="AM303">
        <f t="shared" si="55"/>
        <v>22.032600540999997</v>
      </c>
      <c r="AP303" s="9"/>
      <c r="AQ303" s="22">
        <v>0.37460300000000002</v>
      </c>
      <c r="AR303" s="22">
        <v>302.45999999999998</v>
      </c>
      <c r="AS303" s="22">
        <v>-1.6888400000000001E-2</v>
      </c>
      <c r="AT303" s="22">
        <v>293</v>
      </c>
      <c r="AU303" s="22">
        <v>0.37399300000000002</v>
      </c>
      <c r="AV303">
        <f t="shared" si="56"/>
        <v>16.888400000000001</v>
      </c>
      <c r="AW303">
        <f t="shared" si="57"/>
        <v>6.3264453052000009</v>
      </c>
      <c r="AX303" s="9"/>
      <c r="AY303" s="22">
        <v>1.3754299999999999</v>
      </c>
      <c r="AZ303" s="22">
        <v>381.69</v>
      </c>
      <c r="BA303" s="22">
        <v>-1.57471E-2</v>
      </c>
      <c r="BB303" s="22">
        <v>293</v>
      </c>
      <c r="BC303" s="22">
        <v>1.3742099999999999</v>
      </c>
      <c r="BD303">
        <f t="shared" si="58"/>
        <v>15.7471</v>
      </c>
      <c r="BE303">
        <f t="shared" si="59"/>
        <v>21.659033752999999</v>
      </c>
    </row>
    <row r="304" spans="6:57">
      <c r="F304" s="9"/>
      <c r="G304" s="22">
        <v>0.36956800000000001</v>
      </c>
      <c r="H304" s="22">
        <v>53.258499999999998</v>
      </c>
      <c r="I304" s="22">
        <v>-1.7239399999999998E-2</v>
      </c>
      <c r="J304" s="22">
        <v>294</v>
      </c>
      <c r="K304" s="22">
        <v>0.368927</v>
      </c>
      <c r="L304">
        <f t="shared" si="48"/>
        <v>17.2394</v>
      </c>
      <c r="M304">
        <f t="shared" si="49"/>
        <v>6.3711305791999999</v>
      </c>
      <c r="N304" s="9"/>
      <c r="O304" s="22">
        <v>1.38046</v>
      </c>
      <c r="P304" s="22">
        <v>108.654</v>
      </c>
      <c r="Q304" s="22">
        <v>-1.62262E-2</v>
      </c>
      <c r="R304" s="22">
        <v>294</v>
      </c>
      <c r="S304" s="22">
        <v>1.3790899999999999</v>
      </c>
      <c r="T304">
        <f t="shared" si="50"/>
        <v>16.226199999999999</v>
      </c>
      <c r="U304">
        <f t="shared" si="51"/>
        <v>22.399620052</v>
      </c>
      <c r="X304" s="9"/>
      <c r="Y304" s="22">
        <v>0.36956800000000001</v>
      </c>
      <c r="Z304" s="22">
        <v>170.61099999999999</v>
      </c>
      <c r="AA304" s="22">
        <v>-1.71661E-2</v>
      </c>
      <c r="AB304" s="22">
        <v>294</v>
      </c>
      <c r="AC304" s="22">
        <v>0.36898799999999998</v>
      </c>
      <c r="AD304">
        <f t="shared" si="52"/>
        <v>17.1661</v>
      </c>
      <c r="AE304">
        <f t="shared" si="53"/>
        <v>6.3440412448000005</v>
      </c>
      <c r="AF304" s="9"/>
      <c r="AG304" s="22">
        <v>1.38046</v>
      </c>
      <c r="AH304" s="22">
        <v>250.14400000000001</v>
      </c>
      <c r="AI304" s="22">
        <v>-1.5942399999999999E-2</v>
      </c>
      <c r="AJ304" s="22">
        <v>294</v>
      </c>
      <c r="AK304" s="22">
        <v>1.3803099999999999</v>
      </c>
      <c r="AL304">
        <f t="shared" si="54"/>
        <v>15.942399999999999</v>
      </c>
      <c r="AM304">
        <f t="shared" si="55"/>
        <v>22.007845503999999</v>
      </c>
      <c r="AP304" s="9"/>
      <c r="AQ304" s="22">
        <v>0.36956800000000001</v>
      </c>
      <c r="AR304" s="22">
        <v>302.56</v>
      </c>
      <c r="AS304" s="22">
        <v>-1.6918900000000001E-2</v>
      </c>
      <c r="AT304" s="22">
        <v>294</v>
      </c>
      <c r="AU304" s="22">
        <v>0.36898799999999998</v>
      </c>
      <c r="AV304">
        <f t="shared" si="56"/>
        <v>16.918900000000001</v>
      </c>
      <c r="AW304">
        <f t="shared" si="57"/>
        <v>6.2526840352000006</v>
      </c>
      <c r="AX304" s="9"/>
      <c r="AY304" s="22">
        <v>1.38046</v>
      </c>
      <c r="AZ304" s="22">
        <v>381.791</v>
      </c>
      <c r="BA304" s="22">
        <v>-1.57501E-2</v>
      </c>
      <c r="BB304" s="22">
        <v>294</v>
      </c>
      <c r="BC304" s="22">
        <v>1.3796999999999999</v>
      </c>
      <c r="BD304">
        <f t="shared" si="58"/>
        <v>15.7501</v>
      </c>
      <c r="BE304">
        <f t="shared" si="59"/>
        <v>21.742383046</v>
      </c>
    </row>
    <row r="305" spans="6:57">
      <c r="F305" s="9"/>
      <c r="G305" s="22">
        <v>0.36453200000000002</v>
      </c>
      <c r="H305" s="22">
        <v>53.359200000000001</v>
      </c>
      <c r="I305" s="22">
        <v>-1.7227200000000002E-2</v>
      </c>
      <c r="J305" s="22">
        <v>295</v>
      </c>
      <c r="K305" s="22">
        <v>0.36404399999999998</v>
      </c>
      <c r="L305">
        <f t="shared" si="48"/>
        <v>17.2272</v>
      </c>
      <c r="M305">
        <f t="shared" si="49"/>
        <v>6.2798656704000004</v>
      </c>
      <c r="N305" s="9"/>
      <c r="O305" s="22">
        <v>1.3855</v>
      </c>
      <c r="P305" s="22">
        <v>108.755</v>
      </c>
      <c r="Q305" s="22">
        <v>-1.6220100000000001E-2</v>
      </c>
      <c r="R305" s="22">
        <v>295</v>
      </c>
      <c r="S305" s="22">
        <v>1.3851899999999999</v>
      </c>
      <c r="T305">
        <f t="shared" si="50"/>
        <v>16.220100000000002</v>
      </c>
      <c r="U305">
        <f t="shared" si="51"/>
        <v>22.472948550000002</v>
      </c>
      <c r="X305" s="9"/>
      <c r="Y305" s="22">
        <v>0.36453200000000002</v>
      </c>
      <c r="Z305" s="22">
        <v>170.71199999999999</v>
      </c>
      <c r="AA305" s="22">
        <v>-1.7181399999999999E-2</v>
      </c>
      <c r="AB305" s="22">
        <v>295</v>
      </c>
      <c r="AC305" s="22">
        <v>0.36395300000000003</v>
      </c>
      <c r="AD305">
        <f t="shared" si="52"/>
        <v>17.1814</v>
      </c>
      <c r="AE305">
        <f t="shared" si="53"/>
        <v>6.2631701048000004</v>
      </c>
      <c r="AF305" s="9"/>
      <c r="AG305" s="22">
        <v>1.3855</v>
      </c>
      <c r="AH305" s="22">
        <v>250.244</v>
      </c>
      <c r="AI305" s="22">
        <v>-1.5921000000000001E-2</v>
      </c>
      <c r="AJ305" s="22">
        <v>295</v>
      </c>
      <c r="AK305" s="22">
        <v>1.38489</v>
      </c>
      <c r="AL305">
        <f t="shared" si="54"/>
        <v>15.921000000000001</v>
      </c>
      <c r="AM305">
        <f t="shared" si="55"/>
        <v>22.058545500000001</v>
      </c>
      <c r="AP305" s="9"/>
      <c r="AQ305" s="22">
        <v>0.36453200000000002</v>
      </c>
      <c r="AR305" s="22">
        <v>302.661</v>
      </c>
      <c r="AS305" s="22">
        <v>-1.68915E-2</v>
      </c>
      <c r="AT305" s="22">
        <v>295</v>
      </c>
      <c r="AU305" s="22">
        <v>0.363983</v>
      </c>
      <c r="AV305">
        <f t="shared" si="56"/>
        <v>16.891500000000001</v>
      </c>
      <c r="AW305">
        <f t="shared" si="57"/>
        <v>6.1574922780000003</v>
      </c>
      <c r="AX305" s="9"/>
      <c r="AY305" s="22">
        <v>1.3855</v>
      </c>
      <c r="AZ305" s="22">
        <v>381.89100000000002</v>
      </c>
      <c r="BA305" s="22">
        <v>-1.5698199999999999E-2</v>
      </c>
      <c r="BB305" s="22">
        <v>295</v>
      </c>
      <c r="BC305" s="22">
        <v>1.3851899999999999</v>
      </c>
      <c r="BD305">
        <f t="shared" si="58"/>
        <v>15.698199999999998</v>
      </c>
      <c r="BE305">
        <f t="shared" si="59"/>
        <v>21.749856099999995</v>
      </c>
    </row>
    <row r="306" spans="6:57">
      <c r="F306" s="9"/>
      <c r="G306" s="22">
        <v>0.35949700000000001</v>
      </c>
      <c r="H306" s="22">
        <v>53.459899999999998</v>
      </c>
      <c r="I306" s="22">
        <v>-1.7239399999999998E-2</v>
      </c>
      <c r="J306" s="22">
        <v>296</v>
      </c>
      <c r="K306" s="22">
        <v>0.358765</v>
      </c>
      <c r="L306">
        <f t="shared" si="48"/>
        <v>17.2394</v>
      </c>
      <c r="M306">
        <f t="shared" si="49"/>
        <v>6.1975125817999999</v>
      </c>
      <c r="N306" s="9"/>
      <c r="O306" s="22">
        <v>1.39053</v>
      </c>
      <c r="P306" s="22">
        <v>108.85599999999999</v>
      </c>
      <c r="Q306" s="22">
        <v>-1.6177400000000002E-2</v>
      </c>
      <c r="R306" s="22">
        <v>296</v>
      </c>
      <c r="S306" s="22">
        <v>1.39008</v>
      </c>
      <c r="T306">
        <f t="shared" si="50"/>
        <v>16.177400000000002</v>
      </c>
      <c r="U306">
        <f t="shared" si="51"/>
        <v>22.495160022000004</v>
      </c>
      <c r="X306" s="9"/>
      <c r="Y306" s="22">
        <v>0.35949700000000001</v>
      </c>
      <c r="Z306" s="22">
        <v>170.81299999999999</v>
      </c>
      <c r="AA306" s="22">
        <v>-1.7120400000000001E-2</v>
      </c>
      <c r="AB306" s="22">
        <v>296</v>
      </c>
      <c r="AC306" s="22">
        <v>0.35891699999999999</v>
      </c>
      <c r="AD306">
        <f t="shared" si="52"/>
        <v>17.1204</v>
      </c>
      <c r="AE306">
        <f t="shared" si="53"/>
        <v>6.1547324388</v>
      </c>
      <c r="AF306" s="9"/>
      <c r="AG306" s="22">
        <v>1.39053</v>
      </c>
      <c r="AH306" s="22">
        <v>250.345</v>
      </c>
      <c r="AI306" s="22">
        <v>-1.58844E-2</v>
      </c>
      <c r="AJ306" s="22">
        <v>296</v>
      </c>
      <c r="AK306" s="22">
        <v>1.38947</v>
      </c>
      <c r="AL306">
        <f t="shared" si="54"/>
        <v>15.884399999999999</v>
      </c>
      <c r="AM306">
        <f t="shared" si="55"/>
        <v>22.087734732000001</v>
      </c>
      <c r="AP306" s="9"/>
      <c r="AQ306" s="22">
        <v>0.35949700000000001</v>
      </c>
      <c r="AR306" s="22">
        <v>302.762</v>
      </c>
      <c r="AS306" s="22">
        <v>-1.6915900000000001E-2</v>
      </c>
      <c r="AT306" s="22">
        <v>296</v>
      </c>
      <c r="AU306" s="22">
        <v>0.35891699999999999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381.99200000000002</v>
      </c>
      <c r="BA306" s="22">
        <v>-1.5649400000000001E-2</v>
      </c>
      <c r="BB306" s="22">
        <v>296</v>
      </c>
      <c r="BC306" s="22">
        <v>1.3897699999999999</v>
      </c>
      <c r="BD306">
        <f t="shared" si="58"/>
        <v>15.6494</v>
      </c>
      <c r="BE306">
        <f t="shared" si="59"/>
        <v>21.760960182000002</v>
      </c>
    </row>
    <row r="307" spans="6:57">
      <c r="F307" s="9"/>
      <c r="G307" s="22">
        <v>0.354462</v>
      </c>
      <c r="H307" s="22">
        <v>53.560600000000001</v>
      </c>
      <c r="I307" s="22">
        <v>-1.7239399999999998E-2</v>
      </c>
      <c r="J307" s="22">
        <v>297</v>
      </c>
      <c r="K307" s="22">
        <v>0.35385100000000003</v>
      </c>
      <c r="L307">
        <f t="shared" si="48"/>
        <v>17.2394</v>
      </c>
      <c r="M307">
        <f t="shared" si="49"/>
        <v>6.1107122028000003</v>
      </c>
      <c r="N307" s="9"/>
      <c r="O307" s="22">
        <v>1.39557</v>
      </c>
      <c r="P307" s="22">
        <v>108.956</v>
      </c>
      <c r="Q307" s="22">
        <v>-1.61438E-2</v>
      </c>
      <c r="R307" s="22">
        <v>297</v>
      </c>
      <c r="S307" s="22">
        <v>1.3946499999999999</v>
      </c>
      <c r="T307">
        <f t="shared" si="50"/>
        <v>16.143799999999999</v>
      </c>
      <c r="U307">
        <f t="shared" si="51"/>
        <v>22.529802965999998</v>
      </c>
      <c r="X307" s="9"/>
      <c r="Y307" s="22">
        <v>0.354462</v>
      </c>
      <c r="Z307" s="22">
        <v>170.91300000000001</v>
      </c>
      <c r="AA307" s="22">
        <v>-1.71509E-2</v>
      </c>
      <c r="AB307" s="22">
        <v>297</v>
      </c>
      <c r="AC307" s="22">
        <v>0.35388199999999997</v>
      </c>
      <c r="AD307">
        <f t="shared" si="52"/>
        <v>17.1509</v>
      </c>
      <c r="AE307">
        <f t="shared" si="53"/>
        <v>6.0793423158</v>
      </c>
      <c r="AF307" s="9"/>
      <c r="AG307" s="22">
        <v>1.39557</v>
      </c>
      <c r="AH307" s="22">
        <v>250.446</v>
      </c>
      <c r="AI307" s="22">
        <v>-1.5899699999999999E-2</v>
      </c>
      <c r="AJ307" s="22">
        <v>297</v>
      </c>
      <c r="AK307" s="22">
        <v>1.39435</v>
      </c>
      <c r="AL307">
        <f t="shared" si="54"/>
        <v>15.899699999999999</v>
      </c>
      <c r="AM307">
        <f t="shared" si="55"/>
        <v>22.189144328999998</v>
      </c>
      <c r="AP307" s="9"/>
      <c r="AQ307" s="22">
        <v>0.354462</v>
      </c>
      <c r="AR307" s="22">
        <v>302.86200000000002</v>
      </c>
      <c r="AS307" s="22">
        <v>-1.6915900000000001E-2</v>
      </c>
      <c r="AT307" s="22">
        <v>297</v>
      </c>
      <c r="AU307" s="22">
        <v>0.353912</v>
      </c>
      <c r="AV307">
        <f t="shared" si="56"/>
        <v>16.915900000000001</v>
      </c>
      <c r="AW307">
        <f t="shared" si="57"/>
        <v>5.9960437457999998</v>
      </c>
      <c r="AX307" s="9"/>
      <c r="AY307" s="22">
        <v>1.39557</v>
      </c>
      <c r="AZ307" s="22">
        <v>382.09300000000002</v>
      </c>
      <c r="BA307" s="22">
        <v>-1.5609700000000001E-2</v>
      </c>
      <c r="BB307" s="22">
        <v>297</v>
      </c>
      <c r="BC307" s="22">
        <v>1.3946499999999999</v>
      </c>
      <c r="BD307">
        <f t="shared" si="58"/>
        <v>15.6097</v>
      </c>
      <c r="BE307">
        <f t="shared" si="59"/>
        <v>21.784429028999998</v>
      </c>
    </row>
    <row r="308" spans="6:57">
      <c r="F308" s="9"/>
      <c r="G308" s="22">
        <v>0.34942600000000001</v>
      </c>
      <c r="H308" s="22">
        <v>53.661299999999997</v>
      </c>
      <c r="I308" s="22">
        <v>-1.72485E-2</v>
      </c>
      <c r="J308" s="22">
        <v>298</v>
      </c>
      <c r="K308" s="22">
        <v>0.34890700000000002</v>
      </c>
      <c r="L308">
        <f t="shared" si="48"/>
        <v>17.2485</v>
      </c>
      <c r="M308">
        <f t="shared" si="49"/>
        <v>6.0270743610000004</v>
      </c>
      <c r="N308" s="9"/>
      <c r="O308" s="22">
        <v>1.4006000000000001</v>
      </c>
      <c r="P308" s="22">
        <v>109.057</v>
      </c>
      <c r="Q308" s="22">
        <v>-1.6140700000000001E-2</v>
      </c>
      <c r="R308" s="22">
        <v>298</v>
      </c>
      <c r="S308" s="22">
        <v>1.39984</v>
      </c>
      <c r="T308">
        <f t="shared" si="50"/>
        <v>16.140700000000002</v>
      </c>
      <c r="U308">
        <f t="shared" si="51"/>
        <v>22.606664420000005</v>
      </c>
      <c r="X308" s="9"/>
      <c r="Y308" s="22">
        <v>0.34942600000000001</v>
      </c>
      <c r="Z308" s="22">
        <v>171.01400000000001</v>
      </c>
      <c r="AA308" s="22">
        <v>-1.71906E-2</v>
      </c>
      <c r="AB308" s="22">
        <v>298</v>
      </c>
      <c r="AC308" s="22">
        <v>0.34884599999999999</v>
      </c>
      <c r="AD308">
        <f t="shared" si="52"/>
        <v>17.1906</v>
      </c>
      <c r="AE308">
        <f t="shared" si="53"/>
        <v>6.0068425956000002</v>
      </c>
      <c r="AF308" s="9"/>
      <c r="AG308" s="22">
        <v>1.4006000000000001</v>
      </c>
      <c r="AH308" s="22">
        <v>250.54599999999999</v>
      </c>
      <c r="AI308" s="22">
        <v>-1.58569E-2</v>
      </c>
      <c r="AJ308" s="22">
        <v>298</v>
      </c>
      <c r="AK308" s="22">
        <v>1.40015</v>
      </c>
      <c r="AL308">
        <f t="shared" si="54"/>
        <v>15.8569</v>
      </c>
      <c r="AM308">
        <f t="shared" si="55"/>
        <v>22.209174140000002</v>
      </c>
      <c r="AP308" s="9"/>
      <c r="AQ308" s="22">
        <v>0.34942600000000001</v>
      </c>
      <c r="AR308" s="22">
        <v>302.96300000000002</v>
      </c>
      <c r="AS308" s="22">
        <v>-1.6888400000000001E-2</v>
      </c>
      <c r="AT308" s="22">
        <v>298</v>
      </c>
      <c r="AU308" s="22">
        <v>0.34881600000000001</v>
      </c>
      <c r="AV308">
        <f t="shared" si="56"/>
        <v>16.888400000000001</v>
      </c>
      <c r="AW308">
        <f t="shared" si="57"/>
        <v>5.9012460584000008</v>
      </c>
      <c r="AX308" s="9"/>
      <c r="AY308" s="22">
        <v>1.4006000000000001</v>
      </c>
      <c r="AZ308" s="22">
        <v>382.19299999999998</v>
      </c>
      <c r="BA308" s="22">
        <v>-1.5625E-2</v>
      </c>
      <c r="BB308" s="22">
        <v>298</v>
      </c>
      <c r="BC308" s="22">
        <v>1.40015</v>
      </c>
      <c r="BD308">
        <f t="shared" si="58"/>
        <v>15.625</v>
      </c>
      <c r="BE308">
        <f t="shared" si="59"/>
        <v>21.884375000000002</v>
      </c>
    </row>
    <row r="309" spans="6:57">
      <c r="F309" s="9"/>
      <c r="G309" s="22">
        <v>0.344391</v>
      </c>
      <c r="H309" s="22">
        <v>53.762</v>
      </c>
      <c r="I309" s="22">
        <v>-1.7263799999999999E-2</v>
      </c>
      <c r="J309" s="22">
        <v>299</v>
      </c>
      <c r="K309" s="22">
        <v>0.343719</v>
      </c>
      <c r="L309">
        <f t="shared" si="48"/>
        <v>17.2638</v>
      </c>
      <c r="M309">
        <f t="shared" si="49"/>
        <v>5.9454973457999998</v>
      </c>
      <c r="N309" s="9"/>
      <c r="O309" s="22">
        <v>1.40564</v>
      </c>
      <c r="P309" s="22">
        <v>109.158</v>
      </c>
      <c r="Q309" s="22">
        <v>-1.6098000000000001E-2</v>
      </c>
      <c r="R309" s="22">
        <v>299</v>
      </c>
      <c r="S309" s="22">
        <v>1.40533</v>
      </c>
      <c r="T309">
        <f t="shared" si="50"/>
        <v>16.098000000000003</v>
      </c>
      <c r="U309">
        <f t="shared" si="51"/>
        <v>22.627992720000005</v>
      </c>
      <c r="X309" s="9"/>
      <c r="Y309" s="22">
        <v>0.344391</v>
      </c>
      <c r="Z309" s="22">
        <v>171.11500000000001</v>
      </c>
      <c r="AA309" s="22">
        <v>-1.7169199999999999E-2</v>
      </c>
      <c r="AB309" s="22">
        <v>299</v>
      </c>
      <c r="AC309" s="22">
        <v>0.34381099999999998</v>
      </c>
      <c r="AD309">
        <f t="shared" si="52"/>
        <v>17.1692</v>
      </c>
      <c r="AE309">
        <f t="shared" si="53"/>
        <v>5.9129179572000004</v>
      </c>
      <c r="AF309" s="9"/>
      <c r="AG309" s="22">
        <v>1.40564</v>
      </c>
      <c r="AH309" s="22">
        <v>250.64699999999999</v>
      </c>
      <c r="AI309" s="22">
        <v>-1.5808099999999999E-2</v>
      </c>
      <c r="AJ309" s="22">
        <v>299</v>
      </c>
      <c r="AK309" s="22">
        <v>1.40472</v>
      </c>
      <c r="AL309">
        <f t="shared" si="54"/>
        <v>15.808099999999998</v>
      </c>
      <c r="AM309">
        <f t="shared" si="55"/>
        <v>22.220497683999998</v>
      </c>
      <c r="AP309" s="9"/>
      <c r="AQ309" s="22">
        <v>0.344391</v>
      </c>
      <c r="AR309" s="22">
        <v>303.06400000000002</v>
      </c>
      <c r="AS309" s="22">
        <v>-1.6903700000000001E-2</v>
      </c>
      <c r="AT309" s="22">
        <v>299</v>
      </c>
      <c r="AU309" s="22">
        <v>0.343781</v>
      </c>
      <c r="AV309">
        <f t="shared" si="56"/>
        <v>16.903700000000001</v>
      </c>
      <c r="AW309">
        <f t="shared" si="57"/>
        <v>5.8214821467000002</v>
      </c>
      <c r="AX309" s="9"/>
      <c r="AY309" s="22">
        <v>1.40564</v>
      </c>
      <c r="AZ309" s="22">
        <v>382.29399999999998</v>
      </c>
      <c r="BA309" s="22">
        <v>-1.55426E-2</v>
      </c>
      <c r="BB309" s="22">
        <v>299</v>
      </c>
      <c r="BC309" s="22">
        <v>1.40564</v>
      </c>
      <c r="BD309">
        <f t="shared" si="58"/>
        <v>15.5426</v>
      </c>
      <c r="BE309">
        <f t="shared" si="59"/>
        <v>21.847300264000001</v>
      </c>
    </row>
    <row r="310" spans="6:57">
      <c r="F310" s="9"/>
      <c r="G310" s="22">
        <v>0.33935500000000002</v>
      </c>
      <c r="H310" s="22">
        <v>53.862699999999997</v>
      </c>
      <c r="I310" s="22">
        <v>-1.72363E-2</v>
      </c>
      <c r="J310" s="22">
        <v>300</v>
      </c>
      <c r="K310" s="22">
        <v>0.33865400000000001</v>
      </c>
      <c r="L310">
        <f t="shared" si="48"/>
        <v>17.2363</v>
      </c>
      <c r="M310">
        <f t="shared" si="49"/>
        <v>5.8492245865000001</v>
      </c>
      <c r="N310" s="9"/>
      <c r="O310" s="22">
        <v>1.4106799999999999</v>
      </c>
      <c r="P310" s="22">
        <v>109.259</v>
      </c>
      <c r="Q310" s="22">
        <v>-1.6055300000000002E-2</v>
      </c>
      <c r="R310" s="22">
        <v>300</v>
      </c>
      <c r="S310" s="22">
        <v>1.40991</v>
      </c>
      <c r="T310">
        <f t="shared" si="50"/>
        <v>16.055300000000003</v>
      </c>
      <c r="U310">
        <f t="shared" si="51"/>
        <v>22.648890604000002</v>
      </c>
      <c r="X310" s="9"/>
      <c r="Y310" s="22">
        <v>0.33935500000000002</v>
      </c>
      <c r="Z310" s="22">
        <v>171.21600000000001</v>
      </c>
      <c r="AA310" s="22">
        <v>-1.7163100000000001E-2</v>
      </c>
      <c r="AB310" s="22">
        <v>300</v>
      </c>
      <c r="AC310" s="22">
        <v>0.33877600000000002</v>
      </c>
      <c r="AD310">
        <f t="shared" si="52"/>
        <v>17.1631</v>
      </c>
      <c r="AE310">
        <f t="shared" si="53"/>
        <v>5.8243838005000006</v>
      </c>
      <c r="AF310" s="9"/>
      <c r="AG310" s="22">
        <v>1.4106799999999999</v>
      </c>
      <c r="AH310" s="22">
        <v>250.74799999999999</v>
      </c>
      <c r="AI310" s="22">
        <v>-1.5802E-2</v>
      </c>
      <c r="AJ310" s="22">
        <v>300</v>
      </c>
      <c r="AK310" s="22">
        <v>1.41022</v>
      </c>
      <c r="AL310">
        <f t="shared" si="54"/>
        <v>15.802</v>
      </c>
      <c r="AM310">
        <f t="shared" si="55"/>
        <v>22.29156536</v>
      </c>
      <c r="AP310" s="9"/>
      <c r="AQ310" s="22">
        <v>0.33935500000000002</v>
      </c>
      <c r="AR310" s="22">
        <v>303.16500000000002</v>
      </c>
      <c r="AS310" s="22">
        <v>-1.68945E-2</v>
      </c>
      <c r="AT310" s="22">
        <v>300</v>
      </c>
      <c r="AU310" s="22">
        <v>0.33877600000000002</v>
      </c>
      <c r="AV310">
        <f t="shared" si="56"/>
        <v>16.894500000000001</v>
      </c>
      <c r="AW310">
        <f t="shared" si="57"/>
        <v>5.7332330475000006</v>
      </c>
      <c r="AX310" s="9"/>
      <c r="AY310" s="22">
        <v>1.4106799999999999</v>
      </c>
      <c r="AZ310" s="22">
        <v>382.39499999999998</v>
      </c>
      <c r="BA310" s="22">
        <v>-1.5521200000000001E-2</v>
      </c>
      <c r="BB310" s="22">
        <v>300</v>
      </c>
      <c r="BC310" s="22">
        <v>1.41083</v>
      </c>
      <c r="BD310">
        <f t="shared" si="58"/>
        <v>15.5212</v>
      </c>
      <c r="BE310">
        <f t="shared" si="59"/>
        <v>21.895446415999999</v>
      </c>
    </row>
    <row r="311" spans="6:57">
      <c r="F311" s="9"/>
      <c r="G311" s="22">
        <v>0.33432000000000001</v>
      </c>
      <c r="H311" s="22">
        <v>53.9634</v>
      </c>
      <c r="I311" s="22">
        <v>-1.7230200000000001E-2</v>
      </c>
      <c r="J311" s="22">
        <v>301</v>
      </c>
      <c r="K311" s="22">
        <v>0.33373999999999998</v>
      </c>
      <c r="L311">
        <f t="shared" si="48"/>
        <v>17.2302</v>
      </c>
      <c r="M311">
        <f t="shared" si="49"/>
        <v>5.7604004639999999</v>
      </c>
      <c r="N311" s="9"/>
      <c r="O311" s="22">
        <v>1.41571</v>
      </c>
      <c r="P311" s="22">
        <v>109.35899999999999</v>
      </c>
      <c r="Q311" s="22">
        <v>-1.60339E-2</v>
      </c>
      <c r="R311" s="22">
        <v>301</v>
      </c>
      <c r="S311" s="22">
        <v>1.4154100000000001</v>
      </c>
      <c r="T311">
        <f t="shared" si="50"/>
        <v>16.033899999999999</v>
      </c>
      <c r="U311">
        <f t="shared" si="51"/>
        <v>22.699352568999998</v>
      </c>
      <c r="X311" s="9"/>
      <c r="Y311" s="22">
        <v>0.33432000000000001</v>
      </c>
      <c r="Z311" s="22">
        <v>171.316</v>
      </c>
      <c r="AA311" s="22">
        <v>-1.7172199999999999E-2</v>
      </c>
      <c r="AB311" s="22">
        <v>301</v>
      </c>
      <c r="AC311" s="22">
        <v>0.33364899999999997</v>
      </c>
      <c r="AD311">
        <f t="shared" si="52"/>
        <v>17.1722</v>
      </c>
      <c r="AE311">
        <f t="shared" si="53"/>
        <v>5.7410099040000002</v>
      </c>
      <c r="AF311" s="9"/>
      <c r="AG311" s="22">
        <v>1.41571</v>
      </c>
      <c r="AH311" s="22">
        <v>250.84899999999999</v>
      </c>
      <c r="AI311" s="22">
        <v>-1.5722699999999999E-2</v>
      </c>
      <c r="AJ311" s="22">
        <v>301</v>
      </c>
      <c r="AK311" s="22">
        <v>1.4154100000000001</v>
      </c>
      <c r="AL311">
        <f t="shared" si="54"/>
        <v>15.7227</v>
      </c>
      <c r="AM311">
        <f t="shared" si="55"/>
        <v>22.258783616999999</v>
      </c>
      <c r="AP311" s="9"/>
      <c r="AQ311" s="22">
        <v>0.33432000000000001</v>
      </c>
      <c r="AR311" s="22">
        <v>303.26499999999999</v>
      </c>
      <c r="AS311" s="22">
        <v>-1.69067E-2</v>
      </c>
      <c r="AT311" s="22">
        <v>301</v>
      </c>
      <c r="AU311" s="22">
        <v>0.33377099999999998</v>
      </c>
      <c r="AV311">
        <f t="shared" si="56"/>
        <v>16.906700000000001</v>
      </c>
      <c r="AW311">
        <f t="shared" si="57"/>
        <v>5.652247944</v>
      </c>
      <c r="AX311" s="9"/>
      <c r="AY311" s="22">
        <v>1.41571</v>
      </c>
      <c r="AZ311" s="22">
        <v>382.49599999999998</v>
      </c>
      <c r="BA311" s="22">
        <v>-1.5466300000000001E-2</v>
      </c>
      <c r="BB311" s="22">
        <v>301</v>
      </c>
      <c r="BC311" s="22">
        <v>1.41449</v>
      </c>
      <c r="BD311">
        <f t="shared" si="58"/>
        <v>15.4663</v>
      </c>
      <c r="BE311">
        <f t="shared" si="59"/>
        <v>21.895795573000001</v>
      </c>
    </row>
    <row r="312" spans="6:57">
      <c r="F312" s="9"/>
      <c r="G312" s="22">
        <v>0.32928499999999999</v>
      </c>
      <c r="H312" s="22">
        <v>54.064100000000003</v>
      </c>
      <c r="I312" s="22">
        <v>-1.7254599999999998E-2</v>
      </c>
      <c r="J312" s="22">
        <v>302</v>
      </c>
      <c r="K312" s="22">
        <v>0.328735</v>
      </c>
      <c r="L312">
        <f t="shared" si="48"/>
        <v>17.2546</v>
      </c>
      <c r="M312">
        <f t="shared" si="49"/>
        <v>5.6816809609999996</v>
      </c>
      <c r="N312" s="9"/>
      <c r="O312" s="22">
        <v>1.42075</v>
      </c>
      <c r="P312" s="22">
        <v>109.46</v>
      </c>
      <c r="Q312" s="22">
        <v>-1.5994299999999999E-2</v>
      </c>
      <c r="R312" s="22">
        <v>302</v>
      </c>
      <c r="S312" s="22">
        <v>1.41998</v>
      </c>
      <c r="T312">
        <f t="shared" si="50"/>
        <v>15.994299999999999</v>
      </c>
      <c r="U312">
        <f t="shared" si="51"/>
        <v>22.723901724999997</v>
      </c>
      <c r="X312" s="9"/>
      <c r="Y312" s="22">
        <v>0.32928499999999999</v>
      </c>
      <c r="Z312" s="22">
        <v>171.417</v>
      </c>
      <c r="AA312" s="22">
        <v>-1.7202800000000001E-2</v>
      </c>
      <c r="AB312" s="22">
        <v>302</v>
      </c>
      <c r="AC312" s="22">
        <v>0.32861299999999999</v>
      </c>
      <c r="AD312">
        <f t="shared" si="52"/>
        <v>17.2028</v>
      </c>
      <c r="AE312">
        <f t="shared" si="53"/>
        <v>5.6646239979999997</v>
      </c>
      <c r="AF312" s="9"/>
      <c r="AG312" s="22">
        <v>1.42075</v>
      </c>
      <c r="AH312" s="22">
        <v>250.94900000000001</v>
      </c>
      <c r="AI312" s="22">
        <v>-1.56647E-2</v>
      </c>
      <c r="AJ312" s="22">
        <v>302</v>
      </c>
      <c r="AK312" s="22">
        <v>1.41998</v>
      </c>
      <c r="AL312">
        <f t="shared" si="54"/>
        <v>15.6647</v>
      </c>
      <c r="AM312">
        <f t="shared" si="55"/>
        <v>22.255622525</v>
      </c>
      <c r="AP312" s="9"/>
      <c r="AQ312" s="22">
        <v>0.32928499999999999</v>
      </c>
      <c r="AR312" s="22">
        <v>303.36599999999999</v>
      </c>
      <c r="AS312" s="22">
        <v>-1.6937299999999999E-2</v>
      </c>
      <c r="AT312" s="22">
        <v>302</v>
      </c>
      <c r="AU312" s="22">
        <v>0.32864399999999999</v>
      </c>
      <c r="AV312">
        <f t="shared" si="56"/>
        <v>16.9373</v>
      </c>
      <c r="AW312">
        <f t="shared" si="57"/>
        <v>5.5771988305000004</v>
      </c>
      <c r="AX312" s="9"/>
      <c r="AY312" s="22">
        <v>1.42075</v>
      </c>
      <c r="AZ312" s="22">
        <v>382.596</v>
      </c>
      <c r="BA312" s="22">
        <v>-1.54358E-2</v>
      </c>
      <c r="BB312" s="22">
        <v>302</v>
      </c>
      <c r="BC312" s="22">
        <v>1.41998</v>
      </c>
      <c r="BD312">
        <f t="shared" si="58"/>
        <v>15.4358</v>
      </c>
      <c r="BE312">
        <f t="shared" si="59"/>
        <v>21.93041285</v>
      </c>
    </row>
    <row r="313" spans="6:57">
      <c r="F313" s="9"/>
      <c r="G313" s="22">
        <v>0.32424900000000001</v>
      </c>
      <c r="H313" s="22">
        <v>54.1648</v>
      </c>
      <c r="I313" s="22">
        <v>-1.7266799999999999E-2</v>
      </c>
      <c r="J313" s="22">
        <v>303</v>
      </c>
      <c r="K313" s="22">
        <v>0.32363900000000001</v>
      </c>
      <c r="L313">
        <f t="shared" si="48"/>
        <v>17.2668</v>
      </c>
      <c r="M313">
        <f t="shared" si="49"/>
        <v>5.5987426332000005</v>
      </c>
      <c r="N313" s="9"/>
      <c r="O313" s="22">
        <v>1.42578</v>
      </c>
      <c r="P313" s="22">
        <v>109.56100000000001</v>
      </c>
      <c r="Q313" s="22">
        <v>-1.5945399999999998E-2</v>
      </c>
      <c r="R313" s="22">
        <v>303</v>
      </c>
      <c r="S313" s="22">
        <v>1.4254800000000001</v>
      </c>
      <c r="T313">
        <f t="shared" si="50"/>
        <v>15.945399999999999</v>
      </c>
      <c r="U313">
        <f t="shared" si="51"/>
        <v>22.734632412</v>
      </c>
      <c r="X313" s="9"/>
      <c r="Y313" s="22">
        <v>0.32424900000000001</v>
      </c>
      <c r="Z313" s="22">
        <v>171.518</v>
      </c>
      <c r="AA313" s="22">
        <v>-1.7211899999999999E-2</v>
      </c>
      <c r="AB313" s="22">
        <v>303</v>
      </c>
      <c r="AC313" s="22">
        <v>0.32360800000000001</v>
      </c>
      <c r="AD313">
        <f t="shared" si="52"/>
        <v>17.2119</v>
      </c>
      <c r="AE313">
        <f t="shared" si="53"/>
        <v>5.5809413631</v>
      </c>
      <c r="AF313" s="9"/>
      <c r="AG313" s="22">
        <v>1.42578</v>
      </c>
      <c r="AH313" s="22">
        <v>251.05</v>
      </c>
      <c r="AI313" s="22">
        <v>-1.5661600000000001E-2</v>
      </c>
      <c r="AJ313" s="22">
        <v>303</v>
      </c>
      <c r="AK313" s="22">
        <v>1.42517</v>
      </c>
      <c r="AL313">
        <f t="shared" si="54"/>
        <v>15.661600000000002</v>
      </c>
      <c r="AM313">
        <f t="shared" si="55"/>
        <v>22.329996048000002</v>
      </c>
      <c r="AP313" s="9"/>
      <c r="AQ313" s="22">
        <v>0.32424900000000001</v>
      </c>
      <c r="AR313" s="22">
        <v>303.46699999999998</v>
      </c>
      <c r="AS313" s="22">
        <v>-1.69342E-2</v>
      </c>
      <c r="AT313" s="22">
        <v>303</v>
      </c>
      <c r="AU313" s="22">
        <v>0.32363900000000001</v>
      </c>
      <c r="AV313">
        <f t="shared" si="56"/>
        <v>16.934200000000001</v>
      </c>
      <c r="AW313">
        <f t="shared" si="57"/>
        <v>5.4908974158000001</v>
      </c>
      <c r="AX313" s="9"/>
      <c r="AY313" s="22">
        <v>1.42578</v>
      </c>
      <c r="AZ313" s="22">
        <v>382.697</v>
      </c>
      <c r="BA313" s="22">
        <v>-1.5432700000000001E-2</v>
      </c>
      <c r="BB313" s="22">
        <v>303</v>
      </c>
      <c r="BC313" s="22">
        <v>1.4254800000000001</v>
      </c>
      <c r="BD313">
        <f t="shared" si="58"/>
        <v>15.432700000000001</v>
      </c>
      <c r="BE313">
        <f t="shared" si="59"/>
        <v>22.003635006000003</v>
      </c>
    </row>
    <row r="314" spans="6:57">
      <c r="F314" s="9"/>
      <c r="G314" s="22">
        <v>0.319214</v>
      </c>
      <c r="H314" s="22">
        <v>54.265500000000003</v>
      </c>
      <c r="I314" s="22">
        <v>-1.7263799999999999E-2</v>
      </c>
      <c r="J314" s="22">
        <v>304</v>
      </c>
      <c r="K314" s="22">
        <v>0.318604</v>
      </c>
      <c r="L314">
        <f t="shared" si="48"/>
        <v>17.2638</v>
      </c>
      <c r="M314">
        <f t="shared" si="49"/>
        <v>5.5108466531999998</v>
      </c>
      <c r="N314" s="9"/>
      <c r="O314" s="22">
        <v>1.43082</v>
      </c>
      <c r="P314" s="22">
        <v>109.661</v>
      </c>
      <c r="Q314" s="22">
        <v>-1.5905800000000001E-2</v>
      </c>
      <c r="R314" s="22">
        <v>304</v>
      </c>
      <c r="S314" s="22">
        <v>1.4303600000000001</v>
      </c>
      <c r="T314">
        <f t="shared" si="50"/>
        <v>15.905800000000001</v>
      </c>
      <c r="U314">
        <f t="shared" si="51"/>
        <v>22.758336756000002</v>
      </c>
      <c r="X314" s="9"/>
      <c r="Y314" s="22">
        <v>0.319214</v>
      </c>
      <c r="Z314" s="22">
        <v>171.61799999999999</v>
      </c>
      <c r="AA314" s="22">
        <v>-1.7230200000000001E-2</v>
      </c>
      <c r="AB314" s="22">
        <v>304</v>
      </c>
      <c r="AC314" s="22">
        <v>0.31866499999999998</v>
      </c>
      <c r="AD314">
        <f t="shared" si="52"/>
        <v>17.2302</v>
      </c>
      <c r="AE314">
        <f t="shared" si="53"/>
        <v>5.5001210627999999</v>
      </c>
      <c r="AF314" s="9"/>
      <c r="AG314" s="22">
        <v>1.43082</v>
      </c>
      <c r="AH314" s="22">
        <v>251.15100000000001</v>
      </c>
      <c r="AI314" s="22">
        <v>-1.56128E-2</v>
      </c>
      <c r="AJ314" s="22">
        <v>304</v>
      </c>
      <c r="AK314" s="22">
        <v>1.4303600000000001</v>
      </c>
      <c r="AL314">
        <f t="shared" si="54"/>
        <v>15.6128</v>
      </c>
      <c r="AM314">
        <f t="shared" si="55"/>
        <v>22.339106495999999</v>
      </c>
      <c r="AP314" s="9"/>
      <c r="AQ314" s="22">
        <v>0.319214</v>
      </c>
      <c r="AR314" s="22">
        <v>303.56700000000001</v>
      </c>
      <c r="AS314" s="22">
        <v>-1.69067E-2</v>
      </c>
      <c r="AT314" s="22">
        <v>304</v>
      </c>
      <c r="AU314" s="22">
        <v>0.31854199999999999</v>
      </c>
      <c r="AV314">
        <f t="shared" si="56"/>
        <v>16.906700000000001</v>
      </c>
      <c r="AW314">
        <f t="shared" si="57"/>
        <v>5.3968553338000005</v>
      </c>
      <c r="AX314" s="9"/>
      <c r="AY314" s="22">
        <v>1.43082</v>
      </c>
      <c r="AZ314" s="22">
        <v>382.798</v>
      </c>
      <c r="BA314" s="22">
        <v>-1.54053E-2</v>
      </c>
      <c r="BB314" s="22">
        <v>304</v>
      </c>
      <c r="BC314" s="22">
        <v>1.4303600000000001</v>
      </c>
      <c r="BD314">
        <f t="shared" si="58"/>
        <v>15.4053</v>
      </c>
      <c r="BE314">
        <f t="shared" si="59"/>
        <v>22.042211346000002</v>
      </c>
    </row>
    <row r="315" spans="6:57">
      <c r="F315" s="9"/>
      <c r="G315" s="22">
        <v>0.31417800000000001</v>
      </c>
      <c r="H315" s="22">
        <v>54.366199999999999</v>
      </c>
      <c r="I315" s="22">
        <v>-1.72607E-2</v>
      </c>
      <c r="J315" s="22">
        <v>305</v>
      </c>
      <c r="K315" s="22">
        <v>0.31353799999999998</v>
      </c>
      <c r="L315">
        <f t="shared" si="48"/>
        <v>17.2607</v>
      </c>
      <c r="M315">
        <f t="shared" si="49"/>
        <v>5.4229322046000004</v>
      </c>
      <c r="N315" s="9"/>
      <c r="O315" s="22">
        <v>1.4358500000000001</v>
      </c>
      <c r="P315" s="22">
        <v>109.762</v>
      </c>
      <c r="Q315" s="22">
        <v>-1.5878300000000001E-2</v>
      </c>
      <c r="R315" s="22">
        <v>305</v>
      </c>
      <c r="S315" s="22">
        <v>1.4352400000000001</v>
      </c>
      <c r="T315">
        <f t="shared" si="50"/>
        <v>15.878300000000001</v>
      </c>
      <c r="U315">
        <f t="shared" si="51"/>
        <v>22.798857055000003</v>
      </c>
      <c r="X315" s="9"/>
      <c r="Y315" s="22">
        <v>0.31417800000000001</v>
      </c>
      <c r="Z315" s="22">
        <v>171.71899999999999</v>
      </c>
      <c r="AA315" s="22">
        <v>-1.7254599999999998E-2</v>
      </c>
      <c r="AB315" s="22">
        <v>305</v>
      </c>
      <c r="AC315" s="22">
        <v>0.31356800000000001</v>
      </c>
      <c r="AD315">
        <f t="shared" si="52"/>
        <v>17.2546</v>
      </c>
      <c r="AE315">
        <f t="shared" si="53"/>
        <v>5.4210157188000005</v>
      </c>
      <c r="AF315" s="9"/>
      <c r="AG315" s="22">
        <v>1.4358500000000001</v>
      </c>
      <c r="AH315" s="22">
        <v>251.251</v>
      </c>
      <c r="AI315" s="22">
        <v>-1.55426E-2</v>
      </c>
      <c r="AJ315" s="22">
        <v>305</v>
      </c>
      <c r="AK315" s="22">
        <v>1.4346300000000001</v>
      </c>
      <c r="AL315">
        <f t="shared" si="54"/>
        <v>15.5426</v>
      </c>
      <c r="AM315">
        <f t="shared" si="55"/>
        <v>22.316842210000001</v>
      </c>
      <c r="AP315" s="9"/>
      <c r="AQ315" s="22">
        <v>0.31417800000000001</v>
      </c>
      <c r="AR315" s="22">
        <v>303.66800000000001</v>
      </c>
      <c r="AS315" s="22">
        <v>-1.6924999999999999E-2</v>
      </c>
      <c r="AT315" s="22">
        <v>305</v>
      </c>
      <c r="AU315" s="22">
        <v>0.31359900000000002</v>
      </c>
      <c r="AV315">
        <f t="shared" si="56"/>
        <v>16.925000000000001</v>
      </c>
      <c r="AW315">
        <f t="shared" si="57"/>
        <v>5.3174626500000004</v>
      </c>
      <c r="AX315" s="9"/>
      <c r="AY315" s="22">
        <v>1.4358500000000001</v>
      </c>
      <c r="AZ315" s="22">
        <v>382.89800000000002</v>
      </c>
      <c r="BA315" s="22">
        <v>-1.5374799999999999E-2</v>
      </c>
      <c r="BB315" s="22">
        <v>305</v>
      </c>
      <c r="BC315" s="22">
        <v>1.4349400000000001</v>
      </c>
      <c r="BD315">
        <f t="shared" si="58"/>
        <v>15.374799999999999</v>
      </c>
      <c r="BE315">
        <f t="shared" si="59"/>
        <v>22.075906579999998</v>
      </c>
    </row>
    <row r="316" spans="6:57">
      <c r="F316" s="9"/>
      <c r="G316" s="22">
        <v>0.309143</v>
      </c>
      <c r="H316" s="22">
        <v>54.466900000000003</v>
      </c>
      <c r="I316" s="22">
        <v>-1.72607E-2</v>
      </c>
      <c r="J316" s="22">
        <v>306</v>
      </c>
      <c r="K316" s="22">
        <v>0.30847200000000002</v>
      </c>
      <c r="L316">
        <f t="shared" si="48"/>
        <v>17.2607</v>
      </c>
      <c r="M316">
        <f t="shared" si="49"/>
        <v>5.3360245801000001</v>
      </c>
      <c r="N316" s="9"/>
      <c r="O316" s="22">
        <v>1.44089</v>
      </c>
      <c r="P316" s="22">
        <v>109.863</v>
      </c>
      <c r="Q316" s="22">
        <v>-1.58417E-2</v>
      </c>
      <c r="R316" s="22">
        <v>306</v>
      </c>
      <c r="S316" s="22">
        <v>1.4395100000000001</v>
      </c>
      <c r="T316">
        <f t="shared" si="50"/>
        <v>15.841699999999999</v>
      </c>
      <c r="U316">
        <f t="shared" si="51"/>
        <v>22.826147112999998</v>
      </c>
      <c r="X316" s="9"/>
      <c r="Y316" s="22">
        <v>0.309143</v>
      </c>
      <c r="Z316" s="22">
        <v>171.82</v>
      </c>
      <c r="AA316" s="22">
        <v>-1.72211E-2</v>
      </c>
      <c r="AB316" s="22">
        <v>306</v>
      </c>
      <c r="AC316" s="22">
        <v>0.30859399999999998</v>
      </c>
      <c r="AD316">
        <f t="shared" si="52"/>
        <v>17.2211</v>
      </c>
      <c r="AE316">
        <f t="shared" si="53"/>
        <v>5.3237825172999997</v>
      </c>
      <c r="AF316" s="9"/>
      <c r="AG316" s="22">
        <v>1.44089</v>
      </c>
      <c r="AH316" s="22">
        <v>251.352</v>
      </c>
      <c r="AI316" s="22">
        <v>-1.54907E-2</v>
      </c>
      <c r="AJ316" s="22">
        <v>306</v>
      </c>
      <c r="AK316" s="22">
        <v>1.4398200000000001</v>
      </c>
      <c r="AL316">
        <f t="shared" si="54"/>
        <v>15.4907</v>
      </c>
      <c r="AM316">
        <f t="shared" si="55"/>
        <v>22.320394723</v>
      </c>
      <c r="AP316" s="9"/>
      <c r="AQ316" s="22">
        <v>0.309143</v>
      </c>
      <c r="AR316" s="22">
        <v>303.76900000000001</v>
      </c>
      <c r="AS316" s="22">
        <v>-1.6940299999999998E-2</v>
      </c>
      <c r="AT316" s="22">
        <v>306</v>
      </c>
      <c r="AU316" s="22">
        <v>0.308533</v>
      </c>
      <c r="AV316">
        <f t="shared" si="56"/>
        <v>16.940299999999997</v>
      </c>
      <c r="AW316">
        <f t="shared" si="57"/>
        <v>5.2369751628999994</v>
      </c>
      <c r="AX316" s="9"/>
      <c r="AY316" s="22">
        <v>1.44089</v>
      </c>
      <c r="AZ316" s="22">
        <v>382.99900000000002</v>
      </c>
      <c r="BA316" s="22">
        <v>-1.53534E-2</v>
      </c>
      <c r="BB316" s="22">
        <v>306</v>
      </c>
      <c r="BC316" s="22">
        <v>1.4404300000000001</v>
      </c>
      <c r="BD316">
        <f t="shared" si="58"/>
        <v>15.353399999999999</v>
      </c>
      <c r="BE316">
        <f t="shared" si="59"/>
        <v>22.122560525999997</v>
      </c>
    </row>
    <row r="317" spans="6:57">
      <c r="F317" s="9"/>
      <c r="G317" s="22">
        <v>0.30410799999999999</v>
      </c>
      <c r="H317" s="22">
        <v>54.567700000000002</v>
      </c>
      <c r="I317" s="22">
        <v>-1.7263799999999999E-2</v>
      </c>
      <c r="J317" s="22">
        <v>307</v>
      </c>
      <c r="K317" s="22">
        <v>0.30343599999999998</v>
      </c>
      <c r="L317">
        <f t="shared" si="48"/>
        <v>17.2638</v>
      </c>
      <c r="M317">
        <f t="shared" si="49"/>
        <v>5.2500596903999996</v>
      </c>
      <c r="N317" s="9"/>
      <c r="O317" s="22">
        <v>1.4459200000000001</v>
      </c>
      <c r="P317" s="22">
        <v>109.964</v>
      </c>
      <c r="Q317" s="22">
        <v>-1.58295E-2</v>
      </c>
      <c r="R317" s="22">
        <v>307</v>
      </c>
      <c r="S317" s="22">
        <v>1.4456199999999999</v>
      </c>
      <c r="T317">
        <f t="shared" si="50"/>
        <v>15.829499999999999</v>
      </c>
      <c r="U317">
        <f t="shared" si="51"/>
        <v>22.888190640000001</v>
      </c>
      <c r="X317" s="9"/>
      <c r="Y317" s="22">
        <v>0.30410799999999999</v>
      </c>
      <c r="Z317" s="22">
        <v>171.92</v>
      </c>
      <c r="AA317" s="22">
        <v>-1.7199699999999998E-2</v>
      </c>
      <c r="AB317" s="22">
        <v>307</v>
      </c>
      <c r="AC317" s="22">
        <v>0.30343599999999998</v>
      </c>
      <c r="AD317">
        <f t="shared" si="52"/>
        <v>17.1997</v>
      </c>
      <c r="AE317">
        <f t="shared" si="53"/>
        <v>5.2305663675999998</v>
      </c>
      <c r="AF317" s="9"/>
      <c r="AG317" s="22">
        <v>1.4459200000000001</v>
      </c>
      <c r="AH317" s="22">
        <v>251.453</v>
      </c>
      <c r="AI317" s="22">
        <v>-1.5457200000000001E-2</v>
      </c>
      <c r="AJ317" s="22">
        <v>307</v>
      </c>
      <c r="AK317" s="22">
        <v>1.4450099999999999</v>
      </c>
      <c r="AL317">
        <f t="shared" si="54"/>
        <v>15.4572</v>
      </c>
      <c r="AM317">
        <f t="shared" si="55"/>
        <v>22.349874624000002</v>
      </c>
      <c r="AP317" s="9"/>
      <c r="AQ317" s="22">
        <v>0.30410799999999999</v>
      </c>
      <c r="AR317" s="22">
        <v>303.87</v>
      </c>
      <c r="AS317" s="22">
        <v>-1.69617E-2</v>
      </c>
      <c r="AT317" s="22">
        <v>307</v>
      </c>
      <c r="AU317" s="22">
        <v>0.30352800000000002</v>
      </c>
      <c r="AV317">
        <f t="shared" si="56"/>
        <v>16.9617</v>
      </c>
      <c r="AW317">
        <f t="shared" si="57"/>
        <v>5.1581886635999998</v>
      </c>
      <c r="AX317" s="9"/>
      <c r="AY317" s="22">
        <v>1.4459200000000001</v>
      </c>
      <c r="AZ317" s="22">
        <v>383.1</v>
      </c>
      <c r="BA317" s="22">
        <v>-1.53107E-2</v>
      </c>
      <c r="BB317" s="22">
        <v>307</v>
      </c>
      <c r="BC317" s="22">
        <v>1.4450099999999999</v>
      </c>
      <c r="BD317">
        <f t="shared" si="58"/>
        <v>15.310700000000001</v>
      </c>
      <c r="BE317">
        <f t="shared" si="59"/>
        <v>22.138047344000004</v>
      </c>
    </row>
    <row r="318" spans="6:57">
      <c r="F318" s="9"/>
      <c r="G318" s="22">
        <v>0.299072</v>
      </c>
      <c r="H318" s="22">
        <v>54.668399999999998</v>
      </c>
      <c r="I318" s="22">
        <v>-1.7285200000000001E-2</v>
      </c>
      <c r="J318" s="22">
        <v>308</v>
      </c>
      <c r="K318" s="22">
        <v>0.29849199999999998</v>
      </c>
      <c r="L318">
        <f t="shared" si="48"/>
        <v>17.2852</v>
      </c>
      <c r="M318">
        <f t="shared" si="49"/>
        <v>5.1695193344000003</v>
      </c>
      <c r="N318" s="9"/>
      <c r="O318" s="22">
        <v>1.45096</v>
      </c>
      <c r="P318" s="22">
        <v>110.06399999999999</v>
      </c>
      <c r="Q318" s="22">
        <v>-1.57593E-2</v>
      </c>
      <c r="R318" s="22">
        <v>308</v>
      </c>
      <c r="S318" s="22">
        <v>1.4501999999999999</v>
      </c>
      <c r="T318">
        <f t="shared" si="50"/>
        <v>15.7593</v>
      </c>
      <c r="U318">
        <f t="shared" si="51"/>
        <v>22.866113928000001</v>
      </c>
      <c r="X318" s="9"/>
      <c r="Y318" s="22">
        <v>0.299072</v>
      </c>
      <c r="Z318" s="22">
        <v>172.02099999999999</v>
      </c>
      <c r="AA318" s="22">
        <v>-1.71906E-2</v>
      </c>
      <c r="AB318" s="22">
        <v>308</v>
      </c>
      <c r="AC318" s="22">
        <v>0.29846200000000001</v>
      </c>
      <c r="AD318">
        <f t="shared" si="52"/>
        <v>17.1906</v>
      </c>
      <c r="AE318">
        <f t="shared" si="53"/>
        <v>5.1412271232000002</v>
      </c>
      <c r="AF318" s="9"/>
      <c r="AG318" s="22">
        <v>1.45096</v>
      </c>
      <c r="AH318" s="22">
        <v>251.553</v>
      </c>
      <c r="AI318" s="22">
        <v>-1.54602E-2</v>
      </c>
      <c r="AJ318" s="22">
        <v>308</v>
      </c>
      <c r="AK318" s="22">
        <v>1.4495800000000001</v>
      </c>
      <c r="AL318">
        <f t="shared" si="54"/>
        <v>15.4602</v>
      </c>
      <c r="AM318">
        <f t="shared" si="55"/>
        <v>22.432131792</v>
      </c>
      <c r="AP318" s="9"/>
      <c r="AQ318" s="22">
        <v>0.299072</v>
      </c>
      <c r="AR318" s="22">
        <v>303.97000000000003</v>
      </c>
      <c r="AS318" s="22">
        <v>-1.6979999999999999E-2</v>
      </c>
      <c r="AT318" s="22">
        <v>308</v>
      </c>
      <c r="AU318" s="22">
        <v>0.29840100000000003</v>
      </c>
      <c r="AV318">
        <f t="shared" si="56"/>
        <v>16.979999999999997</v>
      </c>
      <c r="AW318">
        <f t="shared" si="57"/>
        <v>5.0782425599999987</v>
      </c>
      <c r="AX318" s="9"/>
      <c r="AY318" s="22">
        <v>1.45096</v>
      </c>
      <c r="AZ318" s="22">
        <v>383.20100000000002</v>
      </c>
      <c r="BA318" s="22">
        <v>-1.52283E-2</v>
      </c>
      <c r="BB318" s="22">
        <v>308</v>
      </c>
      <c r="BC318" s="22">
        <v>1.4501999999999999</v>
      </c>
      <c r="BD318">
        <f t="shared" si="58"/>
        <v>15.228300000000001</v>
      </c>
      <c r="BE318">
        <f t="shared" si="59"/>
        <v>22.095654168000003</v>
      </c>
    </row>
    <row r="319" spans="6:57">
      <c r="F319" s="9"/>
      <c r="G319" s="22">
        <v>0.29403699999999999</v>
      </c>
      <c r="H319" s="22">
        <v>54.769100000000002</v>
      </c>
      <c r="I319" s="22">
        <v>-1.72882E-2</v>
      </c>
      <c r="J319" s="22">
        <v>309</v>
      </c>
      <c r="K319" s="22">
        <v>0.29336499999999999</v>
      </c>
      <c r="L319">
        <f t="shared" si="48"/>
        <v>17.2882</v>
      </c>
      <c r="M319">
        <f t="shared" si="49"/>
        <v>5.0833704633999997</v>
      </c>
      <c r="N319" s="9"/>
      <c r="O319" s="22">
        <v>1.4559899999999999</v>
      </c>
      <c r="P319" s="22">
        <v>110.16500000000001</v>
      </c>
      <c r="Q319" s="22">
        <v>-1.57196E-2</v>
      </c>
      <c r="R319" s="22">
        <v>309</v>
      </c>
      <c r="S319" s="22">
        <v>1.4556899999999999</v>
      </c>
      <c r="T319">
        <f t="shared" si="50"/>
        <v>15.7196</v>
      </c>
      <c r="U319">
        <f t="shared" si="51"/>
        <v>22.887580403999998</v>
      </c>
      <c r="X319" s="9"/>
      <c r="Y319" s="22">
        <v>0.29403699999999999</v>
      </c>
      <c r="Z319" s="22">
        <v>172.12200000000001</v>
      </c>
      <c r="AA319" s="22">
        <v>-1.7181399999999999E-2</v>
      </c>
      <c r="AB319" s="22">
        <v>309</v>
      </c>
      <c r="AC319" s="22">
        <v>0.29330400000000001</v>
      </c>
      <c r="AD319">
        <f t="shared" si="52"/>
        <v>17.1814</v>
      </c>
      <c r="AE319">
        <f t="shared" si="53"/>
        <v>5.0519673117999995</v>
      </c>
      <c r="AF319" s="9"/>
      <c r="AG319" s="22">
        <v>1.4559899999999999</v>
      </c>
      <c r="AH319" s="22">
        <v>251.654</v>
      </c>
      <c r="AI319" s="22">
        <v>-1.54144E-2</v>
      </c>
      <c r="AJ319" s="22">
        <v>309</v>
      </c>
      <c r="AK319" s="22">
        <v>1.4553799999999999</v>
      </c>
      <c r="AL319">
        <f t="shared" si="54"/>
        <v>15.414400000000001</v>
      </c>
      <c r="AM319">
        <f t="shared" si="55"/>
        <v>22.443212255999999</v>
      </c>
      <c r="AP319" s="9"/>
      <c r="AQ319" s="22">
        <v>0.29403699999999999</v>
      </c>
      <c r="AR319" s="22">
        <v>304.07100000000003</v>
      </c>
      <c r="AS319" s="22">
        <v>-1.6949499999999999E-2</v>
      </c>
      <c r="AT319" s="22">
        <v>309</v>
      </c>
      <c r="AU319" s="22">
        <v>0.29342699999999999</v>
      </c>
      <c r="AV319">
        <f t="shared" si="56"/>
        <v>16.9495</v>
      </c>
      <c r="AW319">
        <f t="shared" si="57"/>
        <v>4.9837801314999997</v>
      </c>
      <c r="AX319" s="9"/>
      <c r="AY319" s="22">
        <v>1.4559899999999999</v>
      </c>
      <c r="AZ319" s="22">
        <v>383.30099999999999</v>
      </c>
      <c r="BA319" s="22">
        <v>-1.5173300000000001E-2</v>
      </c>
      <c r="BB319" s="22">
        <v>309</v>
      </c>
      <c r="BC319" s="22">
        <v>1.4553799999999999</v>
      </c>
      <c r="BD319">
        <f t="shared" si="58"/>
        <v>15.173300000000001</v>
      </c>
      <c r="BE319">
        <f t="shared" si="59"/>
        <v>22.092173067000001</v>
      </c>
    </row>
    <row r="320" spans="6:57">
      <c r="F320" s="9"/>
      <c r="G320" s="22">
        <v>0.28900100000000001</v>
      </c>
      <c r="H320" s="22">
        <v>54.869799999999998</v>
      </c>
      <c r="I320" s="22">
        <v>-1.7279099999999999E-2</v>
      </c>
      <c r="J320" s="22">
        <v>310</v>
      </c>
      <c r="K320" s="22">
        <v>0.28832999999999998</v>
      </c>
      <c r="L320">
        <f t="shared" si="48"/>
        <v>17.2791</v>
      </c>
      <c r="M320">
        <f t="shared" si="49"/>
        <v>4.9936771790999996</v>
      </c>
      <c r="N320" s="9"/>
      <c r="O320" s="22">
        <v>1.4610300000000001</v>
      </c>
      <c r="P320" s="22">
        <v>110.26600000000001</v>
      </c>
      <c r="Q320" s="22">
        <v>-1.5676900000000001E-2</v>
      </c>
      <c r="R320" s="22">
        <v>310</v>
      </c>
      <c r="S320" s="22">
        <v>1.4605699999999999</v>
      </c>
      <c r="T320">
        <f t="shared" si="50"/>
        <v>15.6769</v>
      </c>
      <c r="U320">
        <f t="shared" si="51"/>
        <v>22.904421207000002</v>
      </c>
      <c r="X320" s="9"/>
      <c r="Y320" s="22">
        <v>0.28900100000000001</v>
      </c>
      <c r="Z320" s="22">
        <v>172.22300000000001</v>
      </c>
      <c r="AA320" s="22">
        <v>-1.7202800000000001E-2</v>
      </c>
      <c r="AB320" s="22">
        <v>310</v>
      </c>
      <c r="AC320" s="22">
        <v>0.28836099999999998</v>
      </c>
      <c r="AD320">
        <f t="shared" si="52"/>
        <v>17.2028</v>
      </c>
      <c r="AE320">
        <f t="shared" si="53"/>
        <v>4.9716264028000001</v>
      </c>
      <c r="AF320" s="9"/>
      <c r="AG320" s="22">
        <v>1.4610300000000001</v>
      </c>
      <c r="AH320" s="22">
        <v>251.755</v>
      </c>
      <c r="AI320" s="22">
        <v>-1.5383900000000001E-2</v>
      </c>
      <c r="AJ320" s="22">
        <v>310</v>
      </c>
      <c r="AK320" s="22">
        <v>1.46088</v>
      </c>
      <c r="AL320">
        <f t="shared" si="54"/>
        <v>15.383900000000001</v>
      </c>
      <c r="AM320">
        <f t="shared" si="55"/>
        <v>22.476339417000002</v>
      </c>
      <c r="AP320" s="9"/>
      <c r="AQ320" s="22">
        <v>0.28900100000000001</v>
      </c>
      <c r="AR320" s="22">
        <v>304.17200000000003</v>
      </c>
      <c r="AS320" s="22">
        <v>-1.6915900000000001E-2</v>
      </c>
      <c r="AT320" s="22">
        <v>310</v>
      </c>
      <c r="AU320" s="22">
        <v>0.28842200000000001</v>
      </c>
      <c r="AV320">
        <f t="shared" si="56"/>
        <v>16.915900000000001</v>
      </c>
      <c r="AW320">
        <f t="shared" si="57"/>
        <v>4.8887120159000004</v>
      </c>
      <c r="AX320" s="9"/>
      <c r="AY320" s="22">
        <v>1.4610300000000001</v>
      </c>
      <c r="AZ320" s="22">
        <v>383.40199999999999</v>
      </c>
      <c r="BA320" s="22">
        <v>-1.5136699999999999E-2</v>
      </c>
      <c r="BB320" s="22">
        <v>310</v>
      </c>
      <c r="BC320" s="22">
        <v>1.4605699999999999</v>
      </c>
      <c r="BD320">
        <f t="shared" si="58"/>
        <v>15.136699999999999</v>
      </c>
      <c r="BE320">
        <f t="shared" si="59"/>
        <v>22.115172801</v>
      </c>
    </row>
    <row r="321" spans="6:57">
      <c r="F321" s="9"/>
      <c r="G321" s="22">
        <v>0.283966</v>
      </c>
      <c r="H321" s="22">
        <v>54.970500000000001</v>
      </c>
      <c r="I321" s="22">
        <v>-1.7266799999999999E-2</v>
      </c>
      <c r="J321" s="22">
        <v>311</v>
      </c>
      <c r="K321" s="22">
        <v>0.28329500000000002</v>
      </c>
      <c r="L321">
        <f t="shared" si="48"/>
        <v>17.2668</v>
      </c>
      <c r="M321">
        <f t="shared" si="49"/>
        <v>4.9031841287999995</v>
      </c>
      <c r="N321" s="9"/>
      <c r="O321" s="22">
        <v>1.4660599999999999</v>
      </c>
      <c r="P321" s="22">
        <v>110.366</v>
      </c>
      <c r="Q321" s="22">
        <v>-1.56372E-2</v>
      </c>
      <c r="R321" s="22">
        <v>311</v>
      </c>
      <c r="S321" s="22">
        <v>1.46576</v>
      </c>
      <c r="T321">
        <f t="shared" si="50"/>
        <v>15.6372</v>
      </c>
      <c r="U321">
        <f t="shared" si="51"/>
        <v>22.925073431999998</v>
      </c>
      <c r="X321" s="9"/>
      <c r="Y321" s="22">
        <v>0.283966</v>
      </c>
      <c r="Z321" s="22">
        <v>172.32300000000001</v>
      </c>
      <c r="AA321" s="22">
        <v>-1.7208899999999999E-2</v>
      </c>
      <c r="AB321" s="22">
        <v>311</v>
      </c>
      <c r="AC321" s="22">
        <v>0.283356</v>
      </c>
      <c r="AD321">
        <f t="shared" si="52"/>
        <v>17.2089</v>
      </c>
      <c r="AE321">
        <f t="shared" si="53"/>
        <v>4.8867424974000002</v>
      </c>
      <c r="AF321" s="9"/>
      <c r="AG321" s="22">
        <v>1.4660599999999999</v>
      </c>
      <c r="AH321" s="22">
        <v>251.85599999999999</v>
      </c>
      <c r="AI321" s="22">
        <v>-1.5301500000000001E-2</v>
      </c>
      <c r="AJ321" s="22">
        <v>311</v>
      </c>
      <c r="AK321" s="22">
        <v>1.4654499999999999</v>
      </c>
      <c r="AL321">
        <f t="shared" si="54"/>
        <v>15.301500000000001</v>
      </c>
      <c r="AM321">
        <f t="shared" si="55"/>
        <v>22.43291709</v>
      </c>
      <c r="AP321" s="9"/>
      <c r="AQ321" s="22">
        <v>0.283966</v>
      </c>
      <c r="AR321" s="22">
        <v>304.27199999999999</v>
      </c>
      <c r="AS321" s="22">
        <v>-1.6897599999999999E-2</v>
      </c>
      <c r="AT321" s="22">
        <v>311</v>
      </c>
      <c r="AU321" s="22">
        <v>0.283356</v>
      </c>
      <c r="AV321">
        <f t="shared" si="56"/>
        <v>16.897599999999997</v>
      </c>
      <c r="AW321">
        <f t="shared" si="57"/>
        <v>4.7983438815999992</v>
      </c>
      <c r="AX321" s="9"/>
      <c r="AY321" s="22">
        <v>1.4660599999999999</v>
      </c>
      <c r="AZ321" s="22">
        <v>383.50299999999999</v>
      </c>
      <c r="BA321" s="22">
        <v>-1.5109300000000001E-2</v>
      </c>
      <c r="BB321" s="22">
        <v>311</v>
      </c>
      <c r="BC321" s="22">
        <v>1.4654499999999999</v>
      </c>
      <c r="BD321">
        <f t="shared" si="58"/>
        <v>15.109300000000001</v>
      </c>
      <c r="BE321">
        <f t="shared" si="59"/>
        <v>22.151140357999999</v>
      </c>
    </row>
    <row r="322" spans="6:57">
      <c r="F322" s="9"/>
      <c r="G322" s="22">
        <v>0.27893099999999998</v>
      </c>
      <c r="H322" s="22">
        <v>55.071199999999997</v>
      </c>
      <c r="I322" s="22">
        <v>-1.7266799999999999E-2</v>
      </c>
      <c r="J322" s="22">
        <v>312</v>
      </c>
      <c r="K322" s="22">
        <v>0.27841199999999999</v>
      </c>
      <c r="L322">
        <f t="shared" si="48"/>
        <v>17.2668</v>
      </c>
      <c r="M322">
        <f t="shared" si="49"/>
        <v>4.8162457908</v>
      </c>
      <c r="N322" s="9"/>
      <c r="O322" s="22">
        <v>1.4711000000000001</v>
      </c>
      <c r="P322" s="22">
        <v>110.467</v>
      </c>
      <c r="Q322" s="22">
        <v>-1.5606699999999999E-2</v>
      </c>
      <c r="R322" s="22">
        <v>312</v>
      </c>
      <c r="S322" s="22">
        <v>1.4700299999999999</v>
      </c>
      <c r="T322">
        <f t="shared" si="50"/>
        <v>15.6067</v>
      </c>
      <c r="U322">
        <f t="shared" si="51"/>
        <v>22.959016370000001</v>
      </c>
      <c r="X322" s="9"/>
      <c r="Y322" s="22">
        <v>0.27893099999999998</v>
      </c>
      <c r="Z322" s="22">
        <v>172.42400000000001</v>
      </c>
      <c r="AA322" s="22">
        <v>-1.7208899999999999E-2</v>
      </c>
      <c r="AB322" s="22">
        <v>312</v>
      </c>
      <c r="AC322" s="22">
        <v>0.27832000000000001</v>
      </c>
      <c r="AD322">
        <f t="shared" si="52"/>
        <v>17.2089</v>
      </c>
      <c r="AE322">
        <f t="shared" si="53"/>
        <v>4.8000956858999997</v>
      </c>
      <c r="AF322" s="9"/>
      <c r="AG322" s="22">
        <v>1.4711000000000001</v>
      </c>
      <c r="AH322" s="22">
        <v>251.95599999999999</v>
      </c>
      <c r="AI322" s="22">
        <v>-1.52771E-2</v>
      </c>
      <c r="AJ322" s="22">
        <v>312</v>
      </c>
      <c r="AK322" s="22">
        <v>1.47034</v>
      </c>
      <c r="AL322">
        <f t="shared" si="54"/>
        <v>15.277100000000001</v>
      </c>
      <c r="AM322">
        <f t="shared" si="55"/>
        <v>22.474141810000003</v>
      </c>
      <c r="AP322" s="9"/>
      <c r="AQ322" s="22">
        <v>0.27893099999999998</v>
      </c>
      <c r="AR322" s="22">
        <v>304.37299999999999</v>
      </c>
      <c r="AS322" s="22">
        <v>-1.6903700000000001E-2</v>
      </c>
      <c r="AT322" s="22">
        <v>312</v>
      </c>
      <c r="AU322" s="22">
        <v>0.27841199999999999</v>
      </c>
      <c r="AV322">
        <f t="shared" si="56"/>
        <v>16.903700000000001</v>
      </c>
      <c r="AW322">
        <f t="shared" si="57"/>
        <v>4.7149659447000003</v>
      </c>
      <c r="AX322" s="9"/>
      <c r="AY322" s="22">
        <v>1.4711000000000001</v>
      </c>
      <c r="AZ322" s="22">
        <v>383.60300000000001</v>
      </c>
      <c r="BA322" s="22">
        <v>-1.50574E-2</v>
      </c>
      <c r="BB322" s="22">
        <v>312</v>
      </c>
      <c r="BC322" s="22">
        <v>1.47034</v>
      </c>
      <c r="BD322">
        <f t="shared" si="58"/>
        <v>15.057399999999999</v>
      </c>
      <c r="BE322">
        <f t="shared" si="59"/>
        <v>22.15094114</v>
      </c>
    </row>
    <row r="323" spans="6:57">
      <c r="F323" s="9"/>
      <c r="G323" s="22">
        <v>0.273895</v>
      </c>
      <c r="H323" s="22">
        <v>55.171900000000001</v>
      </c>
      <c r="I323" s="22">
        <v>-1.7272900000000001E-2</v>
      </c>
      <c r="J323" s="22">
        <v>313</v>
      </c>
      <c r="K323" s="22">
        <v>0.273285</v>
      </c>
      <c r="L323">
        <f t="shared" si="48"/>
        <v>17.2729</v>
      </c>
      <c r="M323">
        <f t="shared" si="49"/>
        <v>4.7309609454999997</v>
      </c>
      <c r="N323" s="9"/>
      <c r="O323" s="22">
        <v>1.47614</v>
      </c>
      <c r="P323" s="22">
        <v>110.568</v>
      </c>
      <c r="Q323" s="22">
        <v>-1.55304E-2</v>
      </c>
      <c r="R323" s="22">
        <v>313</v>
      </c>
      <c r="S323" s="22">
        <v>1.4755199999999999</v>
      </c>
      <c r="T323">
        <f t="shared" si="50"/>
        <v>15.5304</v>
      </c>
      <c r="U323">
        <f t="shared" si="51"/>
        <v>22.925044656000001</v>
      </c>
      <c r="X323" s="9"/>
      <c r="Y323" s="22">
        <v>0.273895</v>
      </c>
      <c r="Z323" s="22">
        <v>172.52500000000001</v>
      </c>
      <c r="AA323" s="22">
        <v>-1.7211899999999999E-2</v>
      </c>
      <c r="AB323" s="22">
        <v>313</v>
      </c>
      <c r="AC323" s="22">
        <v>0.27334599999999998</v>
      </c>
      <c r="AD323">
        <f t="shared" si="52"/>
        <v>17.2119</v>
      </c>
      <c r="AE323">
        <f t="shared" si="53"/>
        <v>4.7142533504999999</v>
      </c>
      <c r="AF323" s="9"/>
      <c r="AG323" s="22">
        <v>1.47614</v>
      </c>
      <c r="AH323" s="22">
        <v>252.05699999999999</v>
      </c>
      <c r="AI323" s="22">
        <v>-1.52008E-2</v>
      </c>
      <c r="AJ323" s="22">
        <v>313</v>
      </c>
      <c r="AK323" s="22">
        <v>1.4755199999999999</v>
      </c>
      <c r="AL323">
        <f t="shared" si="54"/>
        <v>15.200800000000001</v>
      </c>
      <c r="AM323">
        <f t="shared" si="55"/>
        <v>22.438508912000003</v>
      </c>
      <c r="AP323" s="9"/>
      <c r="AQ323" s="22">
        <v>0.273895</v>
      </c>
      <c r="AR323" s="22">
        <v>304.47399999999999</v>
      </c>
      <c r="AS323" s="22">
        <v>-1.6915900000000001E-2</v>
      </c>
      <c r="AT323" s="22">
        <v>313</v>
      </c>
      <c r="AU323" s="22">
        <v>0.27331499999999997</v>
      </c>
      <c r="AV323">
        <f t="shared" si="56"/>
        <v>16.915900000000001</v>
      </c>
      <c r="AW323">
        <f t="shared" si="57"/>
        <v>4.6331804305000004</v>
      </c>
      <c r="AX323" s="9"/>
      <c r="AY323" s="22">
        <v>1.47614</v>
      </c>
      <c r="AZ323" s="22">
        <v>383.70400000000001</v>
      </c>
      <c r="BA323" s="22">
        <v>-1.50055E-2</v>
      </c>
      <c r="BB323" s="22">
        <v>313</v>
      </c>
      <c r="BC323" s="22">
        <v>1.4755199999999999</v>
      </c>
      <c r="BD323">
        <f t="shared" si="58"/>
        <v>15.0055</v>
      </c>
      <c r="BE323">
        <f t="shared" si="59"/>
        <v>22.150218769999999</v>
      </c>
    </row>
    <row r="324" spans="6:57">
      <c r="F324" s="9"/>
      <c r="G324" s="22">
        <v>0.26885999999999999</v>
      </c>
      <c r="H324" s="22">
        <v>55.272599999999997</v>
      </c>
      <c r="I324" s="22">
        <v>-1.7279099999999999E-2</v>
      </c>
      <c r="J324" s="22">
        <v>314</v>
      </c>
      <c r="K324" s="22">
        <v>0.26818799999999998</v>
      </c>
      <c r="L324">
        <f t="shared" si="48"/>
        <v>17.2791</v>
      </c>
      <c r="M324">
        <f t="shared" si="49"/>
        <v>4.645658826</v>
      </c>
      <c r="N324" s="9"/>
      <c r="O324" s="22">
        <v>1.4811700000000001</v>
      </c>
      <c r="P324" s="22">
        <v>110.66800000000001</v>
      </c>
      <c r="Q324" s="22">
        <v>-1.54602E-2</v>
      </c>
      <c r="R324" s="22">
        <v>314</v>
      </c>
      <c r="S324" s="22">
        <v>1.4801</v>
      </c>
      <c r="T324">
        <f t="shared" si="50"/>
        <v>15.4602</v>
      </c>
      <c r="U324">
        <f t="shared" si="51"/>
        <v>22.899184434000002</v>
      </c>
      <c r="X324" s="9"/>
      <c r="Y324" s="22">
        <v>0.26885999999999999</v>
      </c>
      <c r="Z324" s="22">
        <v>172.625</v>
      </c>
      <c r="AA324" s="22">
        <v>-1.7211899999999999E-2</v>
      </c>
      <c r="AB324" s="22">
        <v>314</v>
      </c>
      <c r="AC324" s="22">
        <v>0.26824999999999999</v>
      </c>
      <c r="AD324">
        <f t="shared" si="52"/>
        <v>17.2119</v>
      </c>
      <c r="AE324">
        <f t="shared" si="53"/>
        <v>4.6275914340000002</v>
      </c>
      <c r="AF324" s="9"/>
      <c r="AG324" s="22">
        <v>1.4811700000000001</v>
      </c>
      <c r="AH324" s="22">
        <v>252.15799999999999</v>
      </c>
      <c r="AI324" s="22">
        <v>-1.5158100000000001E-2</v>
      </c>
      <c r="AJ324" s="22">
        <v>314</v>
      </c>
      <c r="AK324" s="22">
        <v>1.48102</v>
      </c>
      <c r="AL324">
        <f t="shared" si="54"/>
        <v>15.158100000000001</v>
      </c>
      <c r="AM324">
        <f t="shared" si="55"/>
        <v>22.451722977000003</v>
      </c>
      <c r="AP324" s="9"/>
      <c r="AQ324" s="22">
        <v>0.26885999999999999</v>
      </c>
      <c r="AR324" s="22">
        <v>304.57499999999999</v>
      </c>
      <c r="AS324" s="22">
        <v>-1.6924999999999999E-2</v>
      </c>
      <c r="AT324" s="22">
        <v>314</v>
      </c>
      <c r="AU324" s="22">
        <v>0.26828000000000002</v>
      </c>
      <c r="AV324">
        <f t="shared" si="56"/>
        <v>16.925000000000001</v>
      </c>
      <c r="AW324">
        <f t="shared" si="57"/>
        <v>4.5504555</v>
      </c>
      <c r="AX324" s="9"/>
      <c r="AY324" s="22">
        <v>1.4811700000000001</v>
      </c>
      <c r="AZ324" s="22">
        <v>383.80500000000001</v>
      </c>
      <c r="BA324" s="22">
        <v>-1.4953599999999999E-2</v>
      </c>
      <c r="BB324" s="22">
        <v>314</v>
      </c>
      <c r="BC324" s="22">
        <v>1.48102</v>
      </c>
      <c r="BD324">
        <f t="shared" si="58"/>
        <v>14.9536</v>
      </c>
      <c r="BE324">
        <f t="shared" si="59"/>
        <v>22.148823712000002</v>
      </c>
    </row>
    <row r="325" spans="6:57">
      <c r="F325" s="9"/>
      <c r="G325" s="22">
        <v>0.263824</v>
      </c>
      <c r="H325" s="22">
        <v>55.3733</v>
      </c>
      <c r="I325" s="22">
        <v>-1.7297400000000001E-2</v>
      </c>
      <c r="J325" s="22">
        <v>315</v>
      </c>
      <c r="K325" s="22">
        <v>0.26327499999999998</v>
      </c>
      <c r="L325">
        <f t="shared" si="48"/>
        <v>17.2974</v>
      </c>
      <c r="M325">
        <f t="shared" si="49"/>
        <v>4.5634692575999996</v>
      </c>
      <c r="N325" s="9"/>
      <c r="O325" s="22">
        <v>1.48621</v>
      </c>
      <c r="P325" s="22">
        <v>110.76900000000001</v>
      </c>
      <c r="Q325" s="22">
        <v>-1.5417500000000001E-2</v>
      </c>
      <c r="R325" s="22">
        <v>315</v>
      </c>
      <c r="S325" s="22">
        <v>1.4859</v>
      </c>
      <c r="T325">
        <f t="shared" si="50"/>
        <v>15.4175</v>
      </c>
      <c r="U325">
        <f t="shared" si="51"/>
        <v>22.913642675000002</v>
      </c>
      <c r="X325" s="9"/>
      <c r="Y325" s="22">
        <v>0.263824</v>
      </c>
      <c r="Z325" s="22">
        <v>172.726</v>
      </c>
      <c r="AA325" s="22">
        <v>-1.7208899999999999E-2</v>
      </c>
      <c r="AB325" s="22">
        <v>315</v>
      </c>
      <c r="AC325" s="22">
        <v>0.263214</v>
      </c>
      <c r="AD325">
        <f t="shared" si="52"/>
        <v>17.2089</v>
      </c>
      <c r="AE325">
        <f t="shared" si="53"/>
        <v>4.5401208335999996</v>
      </c>
      <c r="AF325" s="9"/>
      <c r="AG325" s="22">
        <v>1.48621</v>
      </c>
      <c r="AH325" s="22">
        <v>252.25800000000001</v>
      </c>
      <c r="AI325" s="22">
        <v>-1.51001E-2</v>
      </c>
      <c r="AJ325" s="22">
        <v>315</v>
      </c>
      <c r="AK325" s="22">
        <v>1.4859</v>
      </c>
      <c r="AL325">
        <f t="shared" si="54"/>
        <v>15.100099999999999</v>
      </c>
      <c r="AM325">
        <f t="shared" si="55"/>
        <v>22.441919621</v>
      </c>
      <c r="AP325" s="9"/>
      <c r="AQ325" s="22">
        <v>0.263824</v>
      </c>
      <c r="AR325" s="22">
        <v>304.67500000000001</v>
      </c>
      <c r="AS325" s="22">
        <v>-1.69312E-2</v>
      </c>
      <c r="AT325" s="22">
        <v>315</v>
      </c>
      <c r="AU325" s="22">
        <v>0.26324500000000001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383.90600000000001</v>
      </c>
      <c r="BA325" s="22">
        <v>-1.48834E-2</v>
      </c>
      <c r="BB325" s="22">
        <v>315</v>
      </c>
      <c r="BC325" s="22">
        <v>1.4856</v>
      </c>
      <c r="BD325">
        <f t="shared" si="58"/>
        <v>14.8834</v>
      </c>
      <c r="BE325">
        <f t="shared" si="59"/>
        <v>22.119857914000001</v>
      </c>
    </row>
    <row r="326" spans="6:57">
      <c r="F326" s="9"/>
      <c r="G326" s="22">
        <v>0.25878899999999999</v>
      </c>
      <c r="H326" s="22">
        <v>55.473999999999997</v>
      </c>
      <c r="I326" s="22">
        <v>-1.7272900000000001E-2</v>
      </c>
      <c r="J326" s="22">
        <v>316</v>
      </c>
      <c r="K326" s="22">
        <v>0.25817899999999999</v>
      </c>
      <c r="L326">
        <f t="shared" si="48"/>
        <v>17.2729</v>
      </c>
      <c r="M326">
        <f t="shared" si="49"/>
        <v>4.4700365180999997</v>
      </c>
      <c r="N326" s="9"/>
      <c r="O326" s="22">
        <v>1.4912399999999999</v>
      </c>
      <c r="P326" s="22">
        <v>110.87</v>
      </c>
      <c r="Q326" s="22">
        <v>-1.5356399999999999E-2</v>
      </c>
      <c r="R326" s="22">
        <v>316</v>
      </c>
      <c r="S326" s="22">
        <v>1.49048</v>
      </c>
      <c r="T326">
        <f t="shared" si="50"/>
        <v>15.356399999999999</v>
      </c>
      <c r="U326">
        <f t="shared" si="51"/>
        <v>22.900077935999995</v>
      </c>
      <c r="X326" s="9"/>
      <c r="Y326" s="22">
        <v>0.25878899999999999</v>
      </c>
      <c r="Z326" s="22">
        <v>172.827</v>
      </c>
      <c r="AA326" s="22">
        <v>-1.72333E-2</v>
      </c>
      <c r="AB326" s="22">
        <v>316</v>
      </c>
      <c r="AC326" s="22">
        <v>0.25820900000000002</v>
      </c>
      <c r="AD326">
        <f t="shared" si="52"/>
        <v>17.2333</v>
      </c>
      <c r="AE326">
        <f t="shared" si="53"/>
        <v>4.4597884736999998</v>
      </c>
      <c r="AF326" s="9"/>
      <c r="AG326" s="22">
        <v>1.4912399999999999</v>
      </c>
      <c r="AH326" s="22">
        <v>252.35900000000001</v>
      </c>
      <c r="AI326" s="22">
        <v>-1.5026899999999999E-2</v>
      </c>
      <c r="AJ326" s="22">
        <v>316</v>
      </c>
      <c r="AK326" s="22">
        <v>1.49078</v>
      </c>
      <c r="AL326">
        <f t="shared" si="54"/>
        <v>15.026899999999999</v>
      </c>
      <c r="AM326">
        <f t="shared" si="55"/>
        <v>22.408714355999997</v>
      </c>
      <c r="AP326" s="9"/>
      <c r="AQ326" s="22">
        <v>0.25878899999999999</v>
      </c>
      <c r="AR326" s="22">
        <v>304.77600000000001</v>
      </c>
      <c r="AS326" s="22">
        <v>-1.6949499999999999E-2</v>
      </c>
      <c r="AT326" s="22">
        <v>316</v>
      </c>
      <c r="AU326" s="22">
        <v>0.25814799999999999</v>
      </c>
      <c r="AV326">
        <f t="shared" si="56"/>
        <v>16.9495</v>
      </c>
      <c r="AW326">
        <f t="shared" si="57"/>
        <v>4.3863441554999998</v>
      </c>
      <c r="AX326" s="9"/>
      <c r="AY326" s="22">
        <v>1.4912399999999999</v>
      </c>
      <c r="AZ326" s="22">
        <v>384.00599999999997</v>
      </c>
      <c r="BA326" s="22">
        <v>-1.4849899999999999E-2</v>
      </c>
      <c r="BB326" s="22">
        <v>316</v>
      </c>
      <c r="BC326" s="22">
        <v>1.49048</v>
      </c>
      <c r="BD326">
        <f t="shared" si="58"/>
        <v>14.8499</v>
      </c>
      <c r="BE326">
        <f t="shared" si="59"/>
        <v>22.144764876</v>
      </c>
    </row>
    <row r="327" spans="6:57">
      <c r="F327" s="9"/>
      <c r="G327" s="22">
        <v>0.25375399999999998</v>
      </c>
      <c r="H327" s="22">
        <v>55.5747</v>
      </c>
      <c r="I327" s="22">
        <v>-1.7285200000000001E-2</v>
      </c>
      <c r="J327" s="22">
        <v>317</v>
      </c>
      <c r="K327" s="22">
        <v>0.25323499999999999</v>
      </c>
      <c r="L327">
        <f t="shared" si="48"/>
        <v>17.2852</v>
      </c>
      <c r="M327">
        <f t="shared" si="49"/>
        <v>4.3861886407999995</v>
      </c>
      <c r="N327" s="9"/>
      <c r="O327" s="22">
        <v>1.4962800000000001</v>
      </c>
      <c r="P327" s="22">
        <v>110.971</v>
      </c>
      <c r="Q327" s="22">
        <v>-1.5307599999999999E-2</v>
      </c>
      <c r="R327" s="22">
        <v>317</v>
      </c>
      <c r="S327" s="22">
        <v>1.4956700000000001</v>
      </c>
      <c r="T327">
        <f t="shared" si="50"/>
        <v>15.307599999999999</v>
      </c>
      <c r="U327">
        <f t="shared" si="51"/>
        <v>22.904455727999999</v>
      </c>
      <c r="X327" s="9"/>
      <c r="Y327" s="22">
        <v>0.25375399999999998</v>
      </c>
      <c r="Z327" s="22">
        <v>172.928</v>
      </c>
      <c r="AA327" s="22">
        <v>-1.7208899999999999E-2</v>
      </c>
      <c r="AB327" s="22">
        <v>317</v>
      </c>
      <c r="AC327" s="22">
        <v>0.253021</v>
      </c>
      <c r="AD327">
        <f t="shared" si="52"/>
        <v>17.2089</v>
      </c>
      <c r="AE327">
        <f t="shared" si="53"/>
        <v>4.3668272105999995</v>
      </c>
      <c r="AF327" s="9"/>
      <c r="AG327" s="22">
        <v>1.4962800000000001</v>
      </c>
      <c r="AH327" s="22">
        <v>252.46</v>
      </c>
      <c r="AI327" s="22">
        <v>-1.4993299999999999E-2</v>
      </c>
      <c r="AJ327" s="22">
        <v>317</v>
      </c>
      <c r="AK327" s="22">
        <v>1.4956700000000001</v>
      </c>
      <c r="AL327">
        <f t="shared" si="54"/>
        <v>14.9933</v>
      </c>
      <c r="AM327">
        <f t="shared" si="55"/>
        <v>22.434174924000001</v>
      </c>
      <c r="AP327" s="9"/>
      <c r="AQ327" s="22">
        <v>0.25375399999999998</v>
      </c>
      <c r="AR327" s="22">
        <v>304.87700000000001</v>
      </c>
      <c r="AS327" s="22">
        <v>-1.69067E-2</v>
      </c>
      <c r="AT327" s="22">
        <v>317</v>
      </c>
      <c r="AU327" s="22">
        <v>0.25314300000000001</v>
      </c>
      <c r="AV327">
        <f t="shared" si="56"/>
        <v>16.906700000000001</v>
      </c>
      <c r="AW327">
        <f t="shared" si="57"/>
        <v>4.2901427517999995</v>
      </c>
      <c r="AX327" s="9"/>
      <c r="AY327" s="22">
        <v>1.4962800000000001</v>
      </c>
      <c r="AZ327" s="22">
        <v>384.10700000000003</v>
      </c>
      <c r="BA327" s="22">
        <v>-1.47736E-2</v>
      </c>
      <c r="BB327" s="22">
        <v>317</v>
      </c>
      <c r="BC327" s="22">
        <v>1.49536</v>
      </c>
      <c r="BD327">
        <f t="shared" si="58"/>
        <v>14.7736</v>
      </c>
      <c r="BE327">
        <f t="shared" si="59"/>
        <v>22.105442207999999</v>
      </c>
    </row>
    <row r="328" spans="6:57">
      <c r="F328" s="9"/>
      <c r="G328" s="22">
        <v>0.24871799999999999</v>
      </c>
      <c r="H328" s="22">
        <v>55.675400000000003</v>
      </c>
      <c r="I328" s="22">
        <v>-1.72882E-2</v>
      </c>
      <c r="J328" s="22">
        <v>318</v>
      </c>
      <c r="K328" s="22">
        <v>0.248108</v>
      </c>
      <c r="L328">
        <f t="shared" si="48"/>
        <v>17.2882</v>
      </c>
      <c r="M328">
        <f t="shared" si="49"/>
        <v>4.2998865276</v>
      </c>
      <c r="N328" s="9"/>
      <c r="O328" s="22">
        <v>1.5013099999999999</v>
      </c>
      <c r="P328" s="22">
        <v>111.071</v>
      </c>
      <c r="Q328" s="22">
        <v>-1.52374E-2</v>
      </c>
      <c r="R328" s="22">
        <v>318</v>
      </c>
      <c r="S328" s="22">
        <v>1.5005500000000001</v>
      </c>
      <c r="T328">
        <f t="shared" si="50"/>
        <v>15.237399999999999</v>
      </c>
      <c r="U328">
        <f t="shared" si="51"/>
        <v>22.876060993999996</v>
      </c>
      <c r="X328" s="9"/>
      <c r="Y328" s="22">
        <v>0.24871799999999999</v>
      </c>
      <c r="Z328" s="22">
        <v>173.02799999999999</v>
      </c>
      <c r="AA328" s="22">
        <v>-1.7202800000000001E-2</v>
      </c>
      <c r="AB328" s="22">
        <v>318</v>
      </c>
      <c r="AC328" s="22">
        <v>0.248169</v>
      </c>
      <c r="AD328">
        <f t="shared" si="52"/>
        <v>17.2028</v>
      </c>
      <c r="AE328">
        <f t="shared" si="53"/>
        <v>4.2786460104000001</v>
      </c>
      <c r="AF328" s="9"/>
      <c r="AG328" s="22">
        <v>1.5013099999999999</v>
      </c>
      <c r="AH328" s="22">
        <v>252.56100000000001</v>
      </c>
      <c r="AI328" s="22">
        <v>-1.4947500000000001E-2</v>
      </c>
      <c r="AJ328" s="22">
        <v>318</v>
      </c>
      <c r="AK328" s="22">
        <v>1.5005500000000001</v>
      </c>
      <c r="AL328">
        <f t="shared" si="54"/>
        <v>14.947500000000002</v>
      </c>
      <c r="AM328">
        <f t="shared" si="55"/>
        <v>22.440831225</v>
      </c>
      <c r="AP328" s="9"/>
      <c r="AQ328" s="22">
        <v>0.24871799999999999</v>
      </c>
      <c r="AR328" s="22">
        <v>304.97699999999998</v>
      </c>
      <c r="AS328" s="22">
        <v>-1.6918900000000001E-2</v>
      </c>
      <c r="AT328" s="22">
        <v>318</v>
      </c>
      <c r="AU328" s="22">
        <v>0.248138</v>
      </c>
      <c r="AV328">
        <f t="shared" si="56"/>
        <v>16.918900000000001</v>
      </c>
      <c r="AW328">
        <f t="shared" si="57"/>
        <v>4.2080349701999999</v>
      </c>
      <c r="AX328" s="9"/>
      <c r="AY328" s="22">
        <v>1.5013099999999999</v>
      </c>
      <c r="AZ328" s="22">
        <v>384.20800000000003</v>
      </c>
      <c r="BA328" s="22">
        <v>-1.47247E-2</v>
      </c>
      <c r="BB328" s="22">
        <v>318</v>
      </c>
      <c r="BC328" s="22">
        <v>1.4999400000000001</v>
      </c>
      <c r="BD328">
        <f t="shared" si="58"/>
        <v>14.7247</v>
      </c>
      <c r="BE328">
        <f t="shared" si="59"/>
        <v>22.106339357</v>
      </c>
    </row>
    <row r="329" spans="6:57">
      <c r="F329" s="9"/>
      <c r="G329" s="22">
        <v>0.24368300000000001</v>
      </c>
      <c r="H329" s="22">
        <v>55.776200000000003</v>
      </c>
      <c r="I329" s="22">
        <v>-1.7282100000000002E-2</v>
      </c>
      <c r="J329" s="22">
        <v>319</v>
      </c>
      <c r="K329" s="22">
        <v>0.24310300000000001</v>
      </c>
      <c r="L329">
        <f t="shared" si="48"/>
        <v>17.282100000000003</v>
      </c>
      <c r="M329">
        <f t="shared" si="49"/>
        <v>4.2113539743000006</v>
      </c>
      <c r="N329" s="9"/>
      <c r="O329" s="22">
        <v>1.5063500000000001</v>
      </c>
      <c r="P329" s="22">
        <v>111.172</v>
      </c>
      <c r="Q329" s="22">
        <v>-1.51611E-2</v>
      </c>
      <c r="R329" s="22">
        <v>319</v>
      </c>
      <c r="S329" s="22">
        <v>1.5057400000000001</v>
      </c>
      <c r="T329">
        <f t="shared" si="50"/>
        <v>15.161100000000001</v>
      </c>
      <c r="U329">
        <f t="shared" si="51"/>
        <v>22.837922985000002</v>
      </c>
      <c r="X329" s="9"/>
      <c r="Y329" s="22">
        <v>0.24368300000000001</v>
      </c>
      <c r="Z329" s="22">
        <v>173.12899999999999</v>
      </c>
      <c r="AA329" s="22">
        <v>-1.7199699999999998E-2</v>
      </c>
      <c r="AB329" s="22">
        <v>319</v>
      </c>
      <c r="AC329" s="22">
        <v>0.24310300000000001</v>
      </c>
      <c r="AD329">
        <f t="shared" si="52"/>
        <v>17.1997</v>
      </c>
      <c r="AE329">
        <f t="shared" si="53"/>
        <v>4.1912744951000001</v>
      </c>
      <c r="AF329" s="9"/>
      <c r="AG329" s="22">
        <v>1.5063500000000001</v>
      </c>
      <c r="AH329" s="22">
        <v>252.661</v>
      </c>
      <c r="AI329" s="22">
        <v>-1.4907800000000001E-2</v>
      </c>
      <c r="AJ329" s="22">
        <v>319</v>
      </c>
      <c r="AK329" s="22">
        <v>1.50604</v>
      </c>
      <c r="AL329">
        <f t="shared" si="54"/>
        <v>14.9078</v>
      </c>
      <c r="AM329">
        <f t="shared" si="55"/>
        <v>22.456364530000002</v>
      </c>
      <c r="AP329" s="9"/>
      <c r="AQ329" s="22">
        <v>0.24368300000000001</v>
      </c>
      <c r="AR329" s="22">
        <v>305.07799999999997</v>
      </c>
      <c r="AS329" s="22">
        <v>-1.6912799999999999E-2</v>
      </c>
      <c r="AT329" s="22">
        <v>319</v>
      </c>
      <c r="AU329" s="22">
        <v>0.24304200000000001</v>
      </c>
      <c r="AV329">
        <f t="shared" si="56"/>
        <v>16.912799999999997</v>
      </c>
      <c r="AW329">
        <f t="shared" si="57"/>
        <v>4.1213618423999998</v>
      </c>
      <c r="AX329" s="9"/>
      <c r="AY329" s="22">
        <v>1.5063500000000001</v>
      </c>
      <c r="AZ329" s="22">
        <v>384.30799999999999</v>
      </c>
      <c r="BA329" s="22">
        <v>-1.46362E-2</v>
      </c>
      <c r="BB329" s="22">
        <v>319</v>
      </c>
      <c r="BC329" s="22">
        <v>1.50604</v>
      </c>
      <c r="BD329">
        <f t="shared" si="58"/>
        <v>14.636200000000001</v>
      </c>
      <c r="BE329">
        <f t="shared" si="59"/>
        <v>22.047239870000002</v>
      </c>
    </row>
    <row r="330" spans="6:57">
      <c r="F330" s="9"/>
      <c r="G330" s="22">
        <v>0.238647</v>
      </c>
      <c r="H330" s="22">
        <v>55.876899999999999</v>
      </c>
      <c r="I330" s="22">
        <v>-1.7294299999999999E-2</v>
      </c>
      <c r="J330" s="22">
        <v>320</v>
      </c>
      <c r="K330" s="22">
        <v>0.238098</v>
      </c>
      <c r="L330">
        <f t="shared" si="48"/>
        <v>17.2943</v>
      </c>
      <c r="M330">
        <f t="shared" si="49"/>
        <v>4.1272328120999999</v>
      </c>
      <c r="N330" s="9"/>
      <c r="O330" s="22">
        <v>1.5113799999999999</v>
      </c>
      <c r="P330" s="22">
        <v>111.273</v>
      </c>
      <c r="Q330" s="22">
        <v>-1.5109300000000001E-2</v>
      </c>
      <c r="R330" s="22">
        <v>320</v>
      </c>
      <c r="S330" s="22">
        <v>1.5106200000000001</v>
      </c>
      <c r="T330">
        <f t="shared" si="50"/>
        <v>15.109300000000001</v>
      </c>
      <c r="U330">
        <f t="shared" si="51"/>
        <v>22.835893834</v>
      </c>
      <c r="X330" s="9"/>
      <c r="Y330" s="22">
        <v>0.238647</v>
      </c>
      <c r="Z330" s="22">
        <v>173.23</v>
      </c>
      <c r="AA330" s="22">
        <v>-1.7160000000000002E-2</v>
      </c>
      <c r="AB330" s="22">
        <v>320</v>
      </c>
      <c r="AC330" s="22">
        <v>0.238068</v>
      </c>
      <c r="AD330">
        <f t="shared" si="52"/>
        <v>17.16</v>
      </c>
      <c r="AE330">
        <f t="shared" si="53"/>
        <v>4.0951825199999998</v>
      </c>
      <c r="AF330" s="9"/>
      <c r="AG330" s="22">
        <v>1.5113799999999999</v>
      </c>
      <c r="AH330" s="22">
        <v>252.762</v>
      </c>
      <c r="AI330" s="22">
        <v>-1.4825400000000001E-2</v>
      </c>
      <c r="AJ330" s="22">
        <v>320</v>
      </c>
      <c r="AK330" s="22">
        <v>1.5106200000000001</v>
      </c>
      <c r="AL330">
        <f t="shared" si="54"/>
        <v>14.8254</v>
      </c>
      <c r="AM330">
        <f t="shared" si="55"/>
        <v>22.406813052</v>
      </c>
      <c r="AP330" s="9"/>
      <c r="AQ330" s="22">
        <v>0.238647</v>
      </c>
      <c r="AR330" s="22">
        <v>305.17899999999997</v>
      </c>
      <c r="AS330" s="22">
        <v>-1.6897599999999999E-2</v>
      </c>
      <c r="AT330" s="22">
        <v>320</v>
      </c>
      <c r="AU330" s="22">
        <v>0.238098</v>
      </c>
      <c r="AV330">
        <f t="shared" si="56"/>
        <v>16.897599999999997</v>
      </c>
      <c r="AW330">
        <f t="shared" si="57"/>
        <v>4.0325615471999994</v>
      </c>
      <c r="AX330" s="9"/>
      <c r="AY330" s="22">
        <v>1.5113799999999999</v>
      </c>
      <c r="AZ330" s="22">
        <v>384.40899999999999</v>
      </c>
      <c r="BA330" s="22">
        <v>-1.45966E-2</v>
      </c>
      <c r="BB330" s="22">
        <v>320</v>
      </c>
      <c r="BC330" s="22">
        <v>1.5106200000000001</v>
      </c>
      <c r="BD330">
        <f t="shared" si="58"/>
        <v>14.596599999999999</v>
      </c>
      <c r="BE330">
        <f t="shared" si="59"/>
        <v>22.061009307999996</v>
      </c>
    </row>
    <row r="331" spans="6:57">
      <c r="F331" s="9"/>
      <c r="G331" s="22">
        <v>0.23361199999999999</v>
      </c>
      <c r="H331" s="22">
        <v>55.977600000000002</v>
      </c>
      <c r="I331" s="22">
        <v>-1.7306499999999999E-2</v>
      </c>
      <c r="J331" s="22">
        <v>321</v>
      </c>
      <c r="K331" s="22">
        <v>0.233185</v>
      </c>
      <c r="L331">
        <f t="shared" si="48"/>
        <v>17.3065</v>
      </c>
      <c r="M331">
        <f t="shared" si="49"/>
        <v>4.0430060779999994</v>
      </c>
      <c r="N331" s="9"/>
      <c r="O331" s="22">
        <v>1.5164200000000001</v>
      </c>
      <c r="P331" s="22">
        <v>111.373</v>
      </c>
      <c r="Q331" s="22">
        <v>-1.50452E-2</v>
      </c>
      <c r="R331" s="22">
        <v>321</v>
      </c>
      <c r="S331" s="22">
        <v>1.5152000000000001</v>
      </c>
      <c r="T331">
        <f t="shared" si="50"/>
        <v>15.045199999999999</v>
      </c>
      <c r="U331">
        <f t="shared" si="51"/>
        <v>22.814842184</v>
      </c>
      <c r="X331" s="9"/>
      <c r="Y331" s="22">
        <v>0.23361199999999999</v>
      </c>
      <c r="Z331" s="22">
        <v>173.33</v>
      </c>
      <c r="AA331" s="22">
        <v>-1.7169199999999999E-2</v>
      </c>
      <c r="AB331" s="22">
        <v>321</v>
      </c>
      <c r="AC331" s="22">
        <v>0.23297100000000001</v>
      </c>
      <c r="AD331">
        <f t="shared" si="52"/>
        <v>17.1692</v>
      </c>
      <c r="AE331">
        <f t="shared" si="53"/>
        <v>4.0109311503999994</v>
      </c>
      <c r="AF331" s="9"/>
      <c r="AG331" s="22">
        <v>1.5164200000000001</v>
      </c>
      <c r="AH331" s="22">
        <v>252.863</v>
      </c>
      <c r="AI331" s="22">
        <v>-1.47247E-2</v>
      </c>
      <c r="AJ331" s="22">
        <v>321</v>
      </c>
      <c r="AK331" s="22">
        <v>1.5158100000000001</v>
      </c>
      <c r="AL331">
        <f t="shared" si="54"/>
        <v>14.7247</v>
      </c>
      <c r="AM331">
        <f t="shared" si="55"/>
        <v>22.328829574000004</v>
      </c>
      <c r="AP331" s="9"/>
      <c r="AQ331" s="22">
        <v>0.23361199999999999</v>
      </c>
      <c r="AR331" s="22">
        <v>305.279</v>
      </c>
      <c r="AS331" s="22">
        <v>-1.6876200000000001E-2</v>
      </c>
      <c r="AT331" s="22">
        <v>321</v>
      </c>
      <c r="AU331" s="22">
        <v>0.23300199999999999</v>
      </c>
      <c r="AV331">
        <f t="shared" si="56"/>
        <v>16.876200000000001</v>
      </c>
      <c r="AW331">
        <f t="shared" si="57"/>
        <v>3.9424828343999998</v>
      </c>
      <c r="AX331" s="9"/>
      <c r="AY331" s="22">
        <v>1.5164200000000001</v>
      </c>
      <c r="AZ331" s="22">
        <v>384.51</v>
      </c>
      <c r="BA331" s="22">
        <v>-1.4517199999999999E-2</v>
      </c>
      <c r="BB331" s="22">
        <v>321</v>
      </c>
      <c r="BC331" s="22">
        <v>1.5148900000000001</v>
      </c>
      <c r="BD331">
        <f t="shared" si="58"/>
        <v>14.517199999999999</v>
      </c>
      <c r="BE331">
        <f t="shared" si="59"/>
        <v>22.014172424000002</v>
      </c>
    </row>
    <row r="332" spans="6:57">
      <c r="F332" s="9"/>
      <c r="G332" s="22">
        <v>0.228577</v>
      </c>
      <c r="H332" s="22">
        <v>56.078299999999999</v>
      </c>
      <c r="I332" s="22">
        <v>-1.7312600000000001E-2</v>
      </c>
      <c r="J332" s="22">
        <v>322</v>
      </c>
      <c r="K332" s="22">
        <v>0.22799700000000001</v>
      </c>
      <c r="L332">
        <f t="shared" ref="L332:L395" si="60">-I332/$F$2*1000</f>
        <v>17.3126</v>
      </c>
      <c r="M332">
        <f t="shared" ref="M332:M395" si="61">L332*G332</f>
        <v>3.9572621701999999</v>
      </c>
      <c r="N332" s="9"/>
      <c r="O332" s="22">
        <v>1.52145</v>
      </c>
      <c r="P332" s="22">
        <v>111.474</v>
      </c>
      <c r="Q332" s="22">
        <v>-1.49658E-2</v>
      </c>
      <c r="R332" s="22">
        <v>322</v>
      </c>
      <c r="S332" s="22">
        <v>1.5206900000000001</v>
      </c>
      <c r="T332">
        <f t="shared" ref="T332:T395" si="62">-Q332/$F$2*1000</f>
        <v>14.9658</v>
      </c>
      <c r="U332">
        <f t="shared" ref="U332:U395" si="63">T332*O332</f>
        <v>22.769716410000001</v>
      </c>
      <c r="X332" s="9"/>
      <c r="Y332" s="22">
        <v>0.228577</v>
      </c>
      <c r="Z332" s="22">
        <v>173.43100000000001</v>
      </c>
      <c r="AA332" s="22">
        <v>-1.71936E-2</v>
      </c>
      <c r="AB332" s="22">
        <v>322</v>
      </c>
      <c r="AC332" s="22">
        <v>0.22799700000000001</v>
      </c>
      <c r="AD332">
        <f t="shared" ref="AD332:AD395" si="64">-AA332/$F$2*1000</f>
        <v>17.1936</v>
      </c>
      <c r="AE332">
        <f t="shared" ref="AE332:AE395" si="65">AD332*Y332</f>
        <v>3.9300615072</v>
      </c>
      <c r="AF332" s="9"/>
      <c r="AG332" s="22">
        <v>1.52145</v>
      </c>
      <c r="AH332" s="22">
        <v>252.96299999999999</v>
      </c>
      <c r="AI332" s="22">
        <v>-1.4660599999999999E-2</v>
      </c>
      <c r="AJ332" s="22">
        <v>322</v>
      </c>
      <c r="AK332" s="22">
        <v>1.5206900000000001</v>
      </c>
      <c r="AL332">
        <f t="shared" ref="AL332:AL395" si="66">-AI332/$F$2*1000</f>
        <v>14.660599999999999</v>
      </c>
      <c r="AM332">
        <f t="shared" ref="AM332:AM395" si="67">AL332*AG332</f>
        <v>22.305369869999996</v>
      </c>
      <c r="AP332" s="9"/>
      <c r="AQ332" s="22">
        <v>0.228577</v>
      </c>
      <c r="AR332" s="22">
        <v>305.38</v>
      </c>
      <c r="AS332" s="22">
        <v>-1.6888400000000001E-2</v>
      </c>
      <c r="AT332" s="22">
        <v>322</v>
      </c>
      <c r="AU332" s="22">
        <v>0.22799700000000001</v>
      </c>
      <c r="AV332">
        <f t="shared" ref="AV332:AV395" si="68">-AS332/$F$2*1000</f>
        <v>16.888400000000001</v>
      </c>
      <c r="AW332">
        <f t="shared" ref="AW332:AW395" si="69">AV332*AQ332</f>
        <v>3.8602998068000001</v>
      </c>
      <c r="AX332" s="9"/>
      <c r="AY332" s="22">
        <v>1.52145</v>
      </c>
      <c r="AZ332" s="22">
        <v>384.61</v>
      </c>
      <c r="BA332" s="22">
        <v>-1.44501E-2</v>
      </c>
      <c r="BB332" s="22">
        <v>322</v>
      </c>
      <c r="BC332" s="22">
        <v>1.5209999999999999</v>
      </c>
      <c r="BD332">
        <f t="shared" ref="BD332:BD395" si="70">-BA332/$F$2*1000</f>
        <v>14.450100000000001</v>
      </c>
      <c r="BE332">
        <f t="shared" ref="BE332:BE395" si="71">BD332*AY332</f>
        <v>21.985104645</v>
      </c>
    </row>
    <row r="333" spans="6:57">
      <c r="F333" s="9"/>
      <c r="G333" s="22">
        <v>0.22354099999999999</v>
      </c>
      <c r="H333" s="22">
        <v>56.179000000000002</v>
      </c>
      <c r="I333" s="22">
        <v>-1.72882E-2</v>
      </c>
      <c r="J333" s="22">
        <v>323</v>
      </c>
      <c r="K333" s="22">
        <v>0.222992</v>
      </c>
      <c r="L333">
        <f t="shared" si="60"/>
        <v>17.2882</v>
      </c>
      <c r="M333">
        <f t="shared" si="61"/>
        <v>3.8646215161999997</v>
      </c>
      <c r="N333" s="9"/>
      <c r="O333" s="22">
        <v>1.5264899999999999</v>
      </c>
      <c r="P333" s="22">
        <v>111.575</v>
      </c>
      <c r="Q333" s="22">
        <v>-1.4898700000000001E-2</v>
      </c>
      <c r="R333" s="22">
        <v>323</v>
      </c>
      <c r="S333" s="22">
        <v>1.5261800000000001</v>
      </c>
      <c r="T333">
        <f t="shared" si="62"/>
        <v>14.898700000000002</v>
      </c>
      <c r="U333">
        <f t="shared" si="63"/>
        <v>22.742716563000002</v>
      </c>
      <c r="X333" s="9"/>
      <c r="Y333" s="22">
        <v>0.22354099999999999</v>
      </c>
      <c r="Z333" s="22">
        <v>173.53200000000001</v>
      </c>
      <c r="AA333" s="22">
        <v>-1.7208899999999999E-2</v>
      </c>
      <c r="AB333" s="22">
        <v>323</v>
      </c>
      <c r="AC333" s="22">
        <v>0.22296099999999999</v>
      </c>
      <c r="AD333">
        <f t="shared" si="64"/>
        <v>17.2089</v>
      </c>
      <c r="AE333">
        <f t="shared" si="65"/>
        <v>3.8468947148999999</v>
      </c>
      <c r="AF333" s="9"/>
      <c r="AG333" s="22">
        <v>1.5264899999999999</v>
      </c>
      <c r="AH333" s="22">
        <v>253.06399999999999</v>
      </c>
      <c r="AI333" s="22">
        <v>-1.45874E-2</v>
      </c>
      <c r="AJ333" s="22">
        <v>323</v>
      </c>
      <c r="AK333" s="22">
        <v>1.5258799999999999</v>
      </c>
      <c r="AL333">
        <f t="shared" si="66"/>
        <v>14.587400000000001</v>
      </c>
      <c r="AM333">
        <f t="shared" si="67"/>
        <v>22.267520225999998</v>
      </c>
      <c r="AP333" s="9"/>
      <c r="AQ333" s="22">
        <v>0.22354099999999999</v>
      </c>
      <c r="AR333" s="22">
        <v>305.48099999999999</v>
      </c>
      <c r="AS333" s="22">
        <v>-1.6897599999999999E-2</v>
      </c>
      <c r="AT333" s="22">
        <v>323</v>
      </c>
      <c r="AU333" s="22">
        <v>0.22289999999999999</v>
      </c>
      <c r="AV333">
        <f t="shared" si="68"/>
        <v>16.897599999999997</v>
      </c>
      <c r="AW333">
        <f t="shared" si="69"/>
        <v>3.7773064015999993</v>
      </c>
      <c r="AX333" s="9"/>
      <c r="AY333" s="22">
        <v>1.5264899999999999</v>
      </c>
      <c r="AZ333" s="22">
        <v>384.71100000000001</v>
      </c>
      <c r="BA333" s="22">
        <v>-1.44165E-2</v>
      </c>
      <c r="BB333" s="22">
        <v>323</v>
      </c>
      <c r="BC333" s="22">
        <v>1.5255700000000001</v>
      </c>
      <c r="BD333">
        <f t="shared" si="70"/>
        <v>14.416500000000001</v>
      </c>
      <c r="BE333">
        <f t="shared" si="71"/>
        <v>22.006643085</v>
      </c>
    </row>
    <row r="334" spans="6:57">
      <c r="F334" s="9"/>
      <c r="G334" s="22">
        <v>0.21850600000000001</v>
      </c>
      <c r="H334" s="22">
        <v>56.279699999999998</v>
      </c>
      <c r="I334" s="22">
        <v>-1.73004E-2</v>
      </c>
      <c r="J334" s="22">
        <v>324</v>
      </c>
      <c r="K334" s="22">
        <v>0.21795700000000001</v>
      </c>
      <c r="L334">
        <f t="shared" si="60"/>
        <v>17.3004</v>
      </c>
      <c r="M334">
        <f t="shared" si="61"/>
        <v>3.7802412024000001</v>
      </c>
      <c r="N334" s="9"/>
      <c r="O334" s="22">
        <v>1.53152</v>
      </c>
      <c r="P334" s="22">
        <v>111.676</v>
      </c>
      <c r="Q334" s="22">
        <v>-1.4801E-2</v>
      </c>
      <c r="R334" s="22">
        <v>324</v>
      </c>
      <c r="S334" s="22">
        <v>1.5304599999999999</v>
      </c>
      <c r="T334">
        <f t="shared" si="62"/>
        <v>14.801</v>
      </c>
      <c r="U334">
        <f t="shared" si="63"/>
        <v>22.668027519999999</v>
      </c>
      <c r="X334" s="9"/>
      <c r="Y334" s="22">
        <v>0.21850600000000001</v>
      </c>
      <c r="Z334" s="22">
        <v>173.63300000000001</v>
      </c>
      <c r="AA334" s="22">
        <v>-1.7230200000000001E-2</v>
      </c>
      <c r="AB334" s="22">
        <v>324</v>
      </c>
      <c r="AC334" s="22">
        <v>0.21798699999999999</v>
      </c>
      <c r="AD334">
        <f t="shared" si="64"/>
        <v>17.2302</v>
      </c>
      <c r="AE334">
        <f t="shared" si="65"/>
        <v>3.7649020812000003</v>
      </c>
      <c r="AF334" s="9"/>
      <c r="AG334" s="22">
        <v>1.53152</v>
      </c>
      <c r="AH334" s="22">
        <v>253.16499999999999</v>
      </c>
      <c r="AI334" s="22">
        <v>-1.45264E-2</v>
      </c>
      <c r="AJ334" s="22">
        <v>324</v>
      </c>
      <c r="AK334" s="22">
        <v>1.5310699999999999</v>
      </c>
      <c r="AL334">
        <f t="shared" si="66"/>
        <v>14.526400000000001</v>
      </c>
      <c r="AM334">
        <f t="shared" si="67"/>
        <v>22.247472128000002</v>
      </c>
      <c r="AP334" s="9"/>
      <c r="AQ334" s="22">
        <v>0.21850600000000001</v>
      </c>
      <c r="AR334" s="22">
        <v>305.58199999999999</v>
      </c>
      <c r="AS334" s="22">
        <v>-1.6922E-2</v>
      </c>
      <c r="AT334" s="22">
        <v>324</v>
      </c>
      <c r="AU334" s="22">
        <v>0.21801799999999999</v>
      </c>
      <c r="AV334">
        <f t="shared" si="68"/>
        <v>16.922000000000001</v>
      </c>
      <c r="AW334">
        <f t="shared" si="69"/>
        <v>3.6975585320000004</v>
      </c>
      <c r="AX334" s="9"/>
      <c r="AY334" s="22">
        <v>1.53152</v>
      </c>
      <c r="AZ334" s="22">
        <v>384.81200000000001</v>
      </c>
      <c r="BA334" s="22">
        <v>-1.4340200000000001E-2</v>
      </c>
      <c r="BB334" s="22">
        <v>324</v>
      </c>
      <c r="BC334" s="22">
        <v>1.5307599999999999</v>
      </c>
      <c r="BD334">
        <f t="shared" si="70"/>
        <v>14.340200000000001</v>
      </c>
      <c r="BE334">
        <f t="shared" si="71"/>
        <v>21.962303104</v>
      </c>
    </row>
    <row r="335" spans="6:57">
      <c r="F335" s="9"/>
      <c r="G335" s="22">
        <v>0.21346999999999999</v>
      </c>
      <c r="H335" s="22">
        <v>56.380400000000002</v>
      </c>
      <c r="I335" s="22">
        <v>-1.7309600000000001E-2</v>
      </c>
      <c r="J335" s="22">
        <v>325</v>
      </c>
      <c r="K335" s="22">
        <v>0.212921</v>
      </c>
      <c r="L335">
        <f t="shared" si="60"/>
        <v>17.3096</v>
      </c>
      <c r="M335">
        <f t="shared" si="61"/>
        <v>3.695080312</v>
      </c>
      <c r="N335" s="9"/>
      <c r="O335" s="22">
        <v>1.5365599999999999</v>
      </c>
      <c r="P335" s="22">
        <v>111.776</v>
      </c>
      <c r="Q335" s="22">
        <v>-1.47125E-2</v>
      </c>
      <c r="R335" s="22">
        <v>325</v>
      </c>
      <c r="S335" s="22">
        <v>1.5359499999999999</v>
      </c>
      <c r="T335">
        <f t="shared" si="62"/>
        <v>14.7125</v>
      </c>
      <c r="U335">
        <f t="shared" si="63"/>
        <v>22.606638999999998</v>
      </c>
      <c r="X335" s="9"/>
      <c r="Y335" s="22">
        <v>0.21346999999999999</v>
      </c>
      <c r="Z335" s="22">
        <v>173.733</v>
      </c>
      <c r="AA335" s="22">
        <v>-1.7230200000000001E-2</v>
      </c>
      <c r="AB335" s="22">
        <v>325</v>
      </c>
      <c r="AC335" s="22">
        <v>0.212891</v>
      </c>
      <c r="AD335">
        <f t="shared" si="64"/>
        <v>17.2302</v>
      </c>
      <c r="AE335">
        <f t="shared" si="65"/>
        <v>3.6781307939999999</v>
      </c>
      <c r="AF335" s="9"/>
      <c r="AG335" s="22">
        <v>1.5365599999999999</v>
      </c>
      <c r="AH335" s="22">
        <v>253.26599999999999</v>
      </c>
      <c r="AI335" s="22">
        <v>-1.44409E-2</v>
      </c>
      <c r="AJ335" s="22">
        <v>325</v>
      </c>
      <c r="AK335" s="22">
        <v>1.5362499999999999</v>
      </c>
      <c r="AL335">
        <f t="shared" si="66"/>
        <v>14.440899999999999</v>
      </c>
      <c r="AM335">
        <f t="shared" si="67"/>
        <v>22.189309303999998</v>
      </c>
      <c r="AP335" s="9"/>
      <c r="AQ335" s="22">
        <v>0.21346999999999999</v>
      </c>
      <c r="AR335" s="22">
        <v>305.68200000000002</v>
      </c>
      <c r="AS335" s="22">
        <v>-1.68915E-2</v>
      </c>
      <c r="AT335" s="22">
        <v>325</v>
      </c>
      <c r="AU335" s="22">
        <v>0.212921</v>
      </c>
      <c r="AV335">
        <f t="shared" si="68"/>
        <v>16.891500000000001</v>
      </c>
      <c r="AW335">
        <f t="shared" si="69"/>
        <v>3.6058285049999999</v>
      </c>
      <c r="AX335" s="9"/>
      <c r="AY335" s="22">
        <v>1.5365599999999999</v>
      </c>
      <c r="AZ335" s="22">
        <v>384.91300000000001</v>
      </c>
      <c r="BA335" s="22">
        <v>-1.42761E-2</v>
      </c>
      <c r="BB335" s="22">
        <v>325</v>
      </c>
      <c r="BC335" s="22">
        <v>1.5359499999999999</v>
      </c>
      <c r="BD335">
        <f t="shared" si="70"/>
        <v>14.2761</v>
      </c>
      <c r="BE335">
        <f t="shared" si="71"/>
        <v>21.936084215999998</v>
      </c>
    </row>
    <row r="336" spans="6:57">
      <c r="F336" s="9"/>
      <c r="G336" s="22">
        <v>0.20843500000000001</v>
      </c>
      <c r="H336" s="22">
        <v>56.481099999999998</v>
      </c>
      <c r="I336" s="22">
        <v>-1.73279E-2</v>
      </c>
      <c r="J336" s="22">
        <v>326</v>
      </c>
      <c r="K336" s="22">
        <v>0.207733</v>
      </c>
      <c r="L336">
        <f t="shared" si="60"/>
        <v>17.3279</v>
      </c>
      <c r="M336">
        <f t="shared" si="61"/>
        <v>3.6117408365000001</v>
      </c>
      <c r="N336" s="9"/>
      <c r="O336" s="22">
        <v>1.5416000000000001</v>
      </c>
      <c r="P336" s="22">
        <v>111.877</v>
      </c>
      <c r="Q336" s="22">
        <v>-1.4627100000000001E-2</v>
      </c>
      <c r="R336" s="22">
        <v>326</v>
      </c>
      <c r="S336" s="22">
        <v>1.5408299999999999</v>
      </c>
      <c r="T336">
        <f t="shared" si="62"/>
        <v>14.6271</v>
      </c>
      <c r="U336">
        <f t="shared" si="63"/>
        <v>22.549137360000003</v>
      </c>
      <c r="X336" s="9"/>
      <c r="Y336" s="22">
        <v>0.20843500000000001</v>
      </c>
      <c r="Z336" s="22">
        <v>173.834</v>
      </c>
      <c r="AA336" s="22">
        <v>-1.72333E-2</v>
      </c>
      <c r="AB336" s="22">
        <v>326</v>
      </c>
      <c r="AC336" s="22">
        <v>0.20794699999999999</v>
      </c>
      <c r="AD336">
        <f t="shared" si="64"/>
        <v>17.2333</v>
      </c>
      <c r="AE336">
        <f t="shared" si="65"/>
        <v>3.5920228855</v>
      </c>
      <c r="AF336" s="9"/>
      <c r="AG336" s="22">
        <v>1.5416000000000001</v>
      </c>
      <c r="AH336" s="22">
        <v>253.36600000000001</v>
      </c>
      <c r="AI336" s="22">
        <v>-1.43524E-2</v>
      </c>
      <c r="AJ336" s="22">
        <v>326</v>
      </c>
      <c r="AK336" s="22">
        <v>1.5408299999999999</v>
      </c>
      <c r="AL336">
        <f t="shared" si="66"/>
        <v>14.352399999999999</v>
      </c>
      <c r="AM336">
        <f t="shared" si="67"/>
        <v>22.125659840000001</v>
      </c>
      <c r="AP336" s="9"/>
      <c r="AQ336" s="22">
        <v>0.20843500000000001</v>
      </c>
      <c r="AR336" s="22">
        <v>305.78300000000002</v>
      </c>
      <c r="AS336" s="22">
        <v>-1.6922E-2</v>
      </c>
      <c r="AT336" s="22">
        <v>326</v>
      </c>
      <c r="AU336" s="22">
        <v>0.20791599999999999</v>
      </c>
      <c r="AV336">
        <f t="shared" si="68"/>
        <v>16.922000000000001</v>
      </c>
      <c r="AW336">
        <f t="shared" si="69"/>
        <v>3.5271370700000002</v>
      </c>
      <c r="AX336" s="9"/>
      <c r="AY336" s="22">
        <v>1.5416000000000001</v>
      </c>
      <c r="AZ336" s="22">
        <v>385.01299999999998</v>
      </c>
      <c r="BA336" s="22">
        <v>-1.4218099999999999E-2</v>
      </c>
      <c r="BB336" s="22">
        <v>326</v>
      </c>
      <c r="BC336" s="22">
        <v>1.54053</v>
      </c>
      <c r="BD336">
        <f t="shared" si="70"/>
        <v>14.2181</v>
      </c>
      <c r="BE336">
        <f t="shared" si="71"/>
        <v>21.91862296</v>
      </c>
    </row>
    <row r="337" spans="6:57">
      <c r="F337" s="9"/>
      <c r="G337" s="22">
        <v>0.2034</v>
      </c>
      <c r="H337" s="22">
        <v>56.581800000000001</v>
      </c>
      <c r="I337" s="22">
        <v>-1.7312600000000001E-2</v>
      </c>
      <c r="J337" s="22">
        <v>327</v>
      </c>
      <c r="K337" s="22">
        <v>0.20282</v>
      </c>
      <c r="L337">
        <f t="shared" si="60"/>
        <v>17.3126</v>
      </c>
      <c r="M337">
        <f t="shared" si="61"/>
        <v>3.5213828399999998</v>
      </c>
      <c r="N337" s="9"/>
      <c r="O337" s="22">
        <v>1.5466299999999999</v>
      </c>
      <c r="P337" s="22">
        <v>111.97799999999999</v>
      </c>
      <c r="Q337" s="22">
        <v>-1.45691E-2</v>
      </c>
      <c r="R337" s="22">
        <v>327</v>
      </c>
      <c r="S337" s="22">
        <v>1.5460199999999999</v>
      </c>
      <c r="T337">
        <f t="shared" si="62"/>
        <v>14.569100000000001</v>
      </c>
      <c r="U337">
        <f t="shared" si="63"/>
        <v>22.533007133000002</v>
      </c>
      <c r="X337" s="9"/>
      <c r="Y337" s="22">
        <v>0.2034</v>
      </c>
      <c r="Z337" s="22">
        <v>173.935</v>
      </c>
      <c r="AA337" s="22">
        <v>-1.72058E-2</v>
      </c>
      <c r="AB337" s="22">
        <v>327</v>
      </c>
      <c r="AC337" s="22">
        <v>0.202789</v>
      </c>
      <c r="AD337">
        <f t="shared" si="64"/>
        <v>17.2058</v>
      </c>
      <c r="AE337">
        <f t="shared" si="65"/>
        <v>3.4996597199999999</v>
      </c>
      <c r="AF337" s="9"/>
      <c r="AG337" s="22">
        <v>1.5466299999999999</v>
      </c>
      <c r="AH337" s="22">
        <v>253.46700000000001</v>
      </c>
      <c r="AI337" s="22">
        <v>-1.4257799999999999E-2</v>
      </c>
      <c r="AJ337" s="22">
        <v>327</v>
      </c>
      <c r="AK337" s="22">
        <v>1.54572</v>
      </c>
      <c r="AL337">
        <f t="shared" si="66"/>
        <v>14.2578</v>
      </c>
      <c r="AM337">
        <f t="shared" si="67"/>
        <v>22.051541214</v>
      </c>
      <c r="AP337" s="9"/>
      <c r="AQ337" s="22">
        <v>0.2034</v>
      </c>
      <c r="AR337" s="22">
        <v>305.88400000000001</v>
      </c>
      <c r="AS337" s="22">
        <v>-1.6928100000000001E-2</v>
      </c>
      <c r="AT337" s="22">
        <v>327</v>
      </c>
      <c r="AU337" s="22">
        <v>0.20285</v>
      </c>
      <c r="AV337">
        <f t="shared" si="68"/>
        <v>16.928100000000001</v>
      </c>
      <c r="AW337">
        <f t="shared" si="69"/>
        <v>3.4431755399999999</v>
      </c>
      <c r="AX337" s="9"/>
      <c r="AY337" s="22">
        <v>1.5466299999999999</v>
      </c>
      <c r="AZ337" s="22">
        <v>385.11399999999998</v>
      </c>
      <c r="BA337" s="22">
        <v>-1.41052E-2</v>
      </c>
      <c r="BB337" s="22">
        <v>327</v>
      </c>
      <c r="BC337" s="22">
        <v>1.54572</v>
      </c>
      <c r="BD337">
        <f t="shared" si="70"/>
        <v>14.1052</v>
      </c>
      <c r="BE337">
        <f t="shared" si="71"/>
        <v>21.815525475999998</v>
      </c>
    </row>
    <row r="338" spans="6:57">
      <c r="F338" s="9"/>
      <c r="G338" s="22">
        <v>0.19836400000000001</v>
      </c>
      <c r="H338" s="22">
        <v>56.682499999999997</v>
      </c>
      <c r="I338" s="22">
        <v>-1.7337000000000002E-2</v>
      </c>
      <c r="J338" s="22">
        <v>328</v>
      </c>
      <c r="K338" s="22">
        <v>0.19778399999999999</v>
      </c>
      <c r="L338">
        <f t="shared" si="60"/>
        <v>17.337000000000003</v>
      </c>
      <c r="M338">
        <f t="shared" si="61"/>
        <v>3.4390366680000009</v>
      </c>
      <c r="N338" s="9"/>
      <c r="O338" s="22">
        <v>1.5516700000000001</v>
      </c>
      <c r="P338" s="22">
        <v>112.078</v>
      </c>
      <c r="Q338" s="22">
        <v>-1.4471400000000001E-2</v>
      </c>
      <c r="R338" s="22">
        <v>328</v>
      </c>
      <c r="S338" s="22">
        <v>1.5508999999999999</v>
      </c>
      <c r="T338">
        <f t="shared" si="62"/>
        <v>14.471400000000001</v>
      </c>
      <c r="U338">
        <f t="shared" si="63"/>
        <v>22.454837238000003</v>
      </c>
      <c r="X338" s="9"/>
      <c r="Y338" s="22">
        <v>0.19836400000000001</v>
      </c>
      <c r="Z338" s="22">
        <v>174.035</v>
      </c>
      <c r="AA338" s="22">
        <v>-1.7227200000000002E-2</v>
      </c>
      <c r="AB338" s="22">
        <v>328</v>
      </c>
      <c r="AC338" s="22">
        <v>0.19775400000000001</v>
      </c>
      <c r="AD338">
        <f t="shared" si="64"/>
        <v>17.2272</v>
      </c>
      <c r="AE338">
        <f t="shared" si="65"/>
        <v>3.4172563008000001</v>
      </c>
      <c r="AF338" s="9"/>
      <c r="AG338" s="22">
        <v>1.5516700000000001</v>
      </c>
      <c r="AH338" s="22">
        <v>253.56800000000001</v>
      </c>
      <c r="AI338" s="22">
        <v>-1.4175399999999999E-2</v>
      </c>
      <c r="AJ338" s="22">
        <v>328</v>
      </c>
      <c r="AK338" s="22">
        <v>1.55121</v>
      </c>
      <c r="AL338">
        <f t="shared" si="66"/>
        <v>14.1754</v>
      </c>
      <c r="AM338">
        <f t="shared" si="67"/>
        <v>21.995542918000002</v>
      </c>
      <c r="AP338" s="9"/>
      <c r="AQ338" s="22">
        <v>0.19836400000000001</v>
      </c>
      <c r="AR338" s="22">
        <v>305.98399999999998</v>
      </c>
      <c r="AS338" s="22">
        <v>-1.6915900000000001E-2</v>
      </c>
      <c r="AT338" s="22">
        <v>328</v>
      </c>
      <c r="AU338" s="22">
        <v>0.19784499999999999</v>
      </c>
      <c r="AV338">
        <f t="shared" si="68"/>
        <v>16.915900000000001</v>
      </c>
      <c r="AW338">
        <f t="shared" si="69"/>
        <v>3.3555055876000002</v>
      </c>
      <c r="AX338" s="9"/>
      <c r="AY338" s="22">
        <v>1.5516700000000001</v>
      </c>
      <c r="AZ338" s="22">
        <v>385.21499999999997</v>
      </c>
      <c r="BA338" s="22">
        <v>-1.4035000000000001E-2</v>
      </c>
      <c r="BB338" s="22">
        <v>328</v>
      </c>
      <c r="BC338" s="22">
        <v>1.5515099999999999</v>
      </c>
      <c r="BD338">
        <f t="shared" si="70"/>
        <v>14.035</v>
      </c>
      <c r="BE338">
        <f t="shared" si="71"/>
        <v>21.777688450000003</v>
      </c>
    </row>
    <row r="339" spans="6:57">
      <c r="F339" s="9"/>
      <c r="G339" s="22">
        <v>0.193329</v>
      </c>
      <c r="H339" s="22">
        <v>56.783200000000001</v>
      </c>
      <c r="I339" s="22">
        <v>-1.7346199999999999E-2</v>
      </c>
      <c r="J339" s="22">
        <v>329</v>
      </c>
      <c r="K339" s="22">
        <v>0.192749</v>
      </c>
      <c r="L339">
        <f t="shared" si="60"/>
        <v>17.3462</v>
      </c>
      <c r="M339">
        <f t="shared" si="61"/>
        <v>3.3535234998000001</v>
      </c>
      <c r="N339" s="9"/>
      <c r="O339" s="22">
        <v>1.5567</v>
      </c>
      <c r="P339" s="22">
        <v>112.179</v>
      </c>
      <c r="Q339" s="22">
        <v>-1.43768E-2</v>
      </c>
      <c r="R339" s="22">
        <v>329</v>
      </c>
      <c r="S339" s="22">
        <v>1.5564</v>
      </c>
      <c r="T339">
        <f t="shared" si="62"/>
        <v>14.376800000000001</v>
      </c>
      <c r="U339">
        <f t="shared" si="63"/>
        <v>22.38036456</v>
      </c>
      <c r="X339" s="9"/>
      <c r="Y339" s="22">
        <v>0.193329</v>
      </c>
      <c r="Z339" s="22">
        <v>174.136</v>
      </c>
      <c r="AA339" s="22">
        <v>-1.72455E-2</v>
      </c>
      <c r="AB339" s="22">
        <v>329</v>
      </c>
      <c r="AC339" s="22">
        <v>0.19278000000000001</v>
      </c>
      <c r="AD339">
        <f t="shared" si="64"/>
        <v>17.2455</v>
      </c>
      <c r="AE339">
        <f t="shared" si="65"/>
        <v>3.3340552694999999</v>
      </c>
      <c r="AF339" s="9"/>
      <c r="AG339" s="22">
        <v>1.5567</v>
      </c>
      <c r="AH339" s="22">
        <v>253.66800000000001</v>
      </c>
      <c r="AI339" s="22">
        <v>-1.4080799999999999E-2</v>
      </c>
      <c r="AJ339" s="22">
        <v>329</v>
      </c>
      <c r="AK339" s="22">
        <v>1.55609</v>
      </c>
      <c r="AL339">
        <f t="shared" si="66"/>
        <v>14.0808</v>
      </c>
      <c r="AM339">
        <f t="shared" si="67"/>
        <v>21.919581359999999</v>
      </c>
      <c r="AP339" s="9"/>
      <c r="AQ339" s="22">
        <v>0.193329</v>
      </c>
      <c r="AR339" s="22">
        <v>306.08499999999998</v>
      </c>
      <c r="AS339" s="22">
        <v>-1.69067E-2</v>
      </c>
      <c r="AT339" s="22">
        <v>329</v>
      </c>
      <c r="AU339" s="22">
        <v>0.19284100000000001</v>
      </c>
      <c r="AV339">
        <f t="shared" si="68"/>
        <v>16.906700000000001</v>
      </c>
      <c r="AW339">
        <f t="shared" si="69"/>
        <v>3.2685554043000002</v>
      </c>
      <c r="AX339" s="9"/>
      <c r="AY339" s="22">
        <v>1.5567</v>
      </c>
      <c r="AZ339" s="22">
        <v>385.315</v>
      </c>
      <c r="BA339" s="22">
        <v>-1.3952600000000001E-2</v>
      </c>
      <c r="BB339" s="22">
        <v>329</v>
      </c>
      <c r="BC339" s="22">
        <v>1.55579</v>
      </c>
      <c r="BD339">
        <f t="shared" si="70"/>
        <v>13.9526</v>
      </c>
      <c r="BE339">
        <f t="shared" si="71"/>
        <v>21.72001242</v>
      </c>
    </row>
    <row r="340" spans="6:57">
      <c r="F340" s="9"/>
      <c r="G340" s="22">
        <v>0.18829299999999999</v>
      </c>
      <c r="H340" s="22">
        <v>56.883899999999997</v>
      </c>
      <c r="I340" s="22">
        <v>-1.73309E-2</v>
      </c>
      <c r="J340" s="22">
        <v>330</v>
      </c>
      <c r="K340" s="22">
        <v>0.18768299999999999</v>
      </c>
      <c r="L340">
        <f t="shared" si="60"/>
        <v>17.3309</v>
      </c>
      <c r="M340">
        <f t="shared" si="61"/>
        <v>3.2632871536999999</v>
      </c>
      <c r="N340" s="9"/>
      <c r="O340" s="22">
        <v>1.5617399999999999</v>
      </c>
      <c r="P340" s="22">
        <v>112.28</v>
      </c>
      <c r="Q340" s="22">
        <v>-1.4267E-2</v>
      </c>
      <c r="R340" s="22">
        <v>330</v>
      </c>
      <c r="S340" s="22">
        <v>1.56097</v>
      </c>
      <c r="T340">
        <f t="shared" si="62"/>
        <v>14.266999999999999</v>
      </c>
      <c r="U340">
        <f t="shared" si="63"/>
        <v>22.281344579999999</v>
      </c>
      <c r="X340" s="9"/>
      <c r="Y340" s="22">
        <v>0.18829299999999999</v>
      </c>
      <c r="Z340" s="22">
        <v>174.23699999999999</v>
      </c>
      <c r="AA340" s="22">
        <v>-1.7227200000000002E-2</v>
      </c>
      <c r="AB340" s="22">
        <v>330</v>
      </c>
      <c r="AC340" s="22">
        <v>0.18771399999999999</v>
      </c>
      <c r="AD340">
        <f t="shared" si="64"/>
        <v>17.2272</v>
      </c>
      <c r="AE340">
        <f t="shared" si="65"/>
        <v>3.2437611695999999</v>
      </c>
      <c r="AF340" s="9"/>
      <c r="AG340" s="22">
        <v>1.5617399999999999</v>
      </c>
      <c r="AH340" s="22">
        <v>253.76900000000001</v>
      </c>
      <c r="AI340" s="22">
        <v>-1.40076E-2</v>
      </c>
      <c r="AJ340" s="22">
        <v>330</v>
      </c>
      <c r="AK340" s="22">
        <v>1.56097</v>
      </c>
      <c r="AL340">
        <f t="shared" si="66"/>
        <v>14.0076</v>
      </c>
      <c r="AM340">
        <f t="shared" si="67"/>
        <v>21.876229223999999</v>
      </c>
      <c r="AP340" s="9"/>
      <c r="AQ340" s="22">
        <v>0.18829299999999999</v>
      </c>
      <c r="AR340" s="22">
        <v>306.18599999999998</v>
      </c>
      <c r="AS340" s="22">
        <v>-1.6940299999999998E-2</v>
      </c>
      <c r="AT340" s="22">
        <v>330</v>
      </c>
      <c r="AU340" s="22">
        <v>0.187836</v>
      </c>
      <c r="AV340">
        <f t="shared" si="68"/>
        <v>16.940299999999997</v>
      </c>
      <c r="AW340">
        <f t="shared" si="69"/>
        <v>3.1897399078999991</v>
      </c>
      <c r="AX340" s="9"/>
      <c r="AY340" s="22">
        <v>1.5617399999999999</v>
      </c>
      <c r="AZ340" s="22">
        <v>385.416</v>
      </c>
      <c r="BA340" s="22">
        <v>-1.38519E-2</v>
      </c>
      <c r="BB340" s="22">
        <v>330</v>
      </c>
      <c r="BC340" s="22">
        <v>1.56158</v>
      </c>
      <c r="BD340">
        <f t="shared" si="70"/>
        <v>13.851900000000001</v>
      </c>
      <c r="BE340">
        <f t="shared" si="71"/>
        <v>21.633066306</v>
      </c>
    </row>
    <row r="341" spans="6:57">
      <c r="F341" s="9"/>
      <c r="G341" s="22">
        <v>0.183258</v>
      </c>
      <c r="H341" s="22">
        <v>56.9846</v>
      </c>
      <c r="I341" s="22">
        <v>-1.7309600000000001E-2</v>
      </c>
      <c r="J341" s="22">
        <v>331</v>
      </c>
      <c r="K341" s="22">
        <v>0.18270900000000001</v>
      </c>
      <c r="L341">
        <f t="shared" si="60"/>
        <v>17.3096</v>
      </c>
      <c r="M341">
        <f t="shared" si="61"/>
        <v>3.1721226767999999</v>
      </c>
      <c r="N341" s="9"/>
      <c r="O341" s="22">
        <v>1.56677</v>
      </c>
      <c r="P341" s="22">
        <v>112.38</v>
      </c>
      <c r="Q341" s="22">
        <v>-1.4175399999999999E-2</v>
      </c>
      <c r="R341" s="22">
        <v>331</v>
      </c>
      <c r="S341" s="22">
        <v>1.56555</v>
      </c>
      <c r="T341">
        <f t="shared" si="62"/>
        <v>14.1754</v>
      </c>
      <c r="U341">
        <f t="shared" si="63"/>
        <v>22.209591457999998</v>
      </c>
      <c r="X341" s="9"/>
      <c r="Y341" s="22">
        <v>0.183258</v>
      </c>
      <c r="Z341" s="22">
        <v>174.33699999999999</v>
      </c>
      <c r="AA341" s="22">
        <v>-1.72363E-2</v>
      </c>
      <c r="AB341" s="22">
        <v>331</v>
      </c>
      <c r="AC341" s="22">
        <v>0.18267800000000001</v>
      </c>
      <c r="AD341">
        <f t="shared" si="64"/>
        <v>17.2363</v>
      </c>
      <c r="AE341">
        <f t="shared" si="65"/>
        <v>3.1586898654</v>
      </c>
      <c r="AF341" s="9"/>
      <c r="AG341" s="22">
        <v>1.56677</v>
      </c>
      <c r="AH341" s="22">
        <v>253.87</v>
      </c>
      <c r="AI341" s="22">
        <v>-1.3946500000000001E-2</v>
      </c>
      <c r="AJ341" s="22">
        <v>331</v>
      </c>
      <c r="AK341" s="22">
        <v>1.56616</v>
      </c>
      <c r="AL341">
        <f t="shared" si="66"/>
        <v>13.9465</v>
      </c>
      <c r="AM341">
        <f t="shared" si="67"/>
        <v>21.850957805</v>
      </c>
      <c r="AP341" s="9"/>
      <c r="AQ341" s="22">
        <v>0.183258</v>
      </c>
      <c r="AR341" s="22">
        <v>306.28699999999998</v>
      </c>
      <c r="AS341" s="22">
        <v>-1.6949499999999999E-2</v>
      </c>
      <c r="AT341" s="22">
        <v>331</v>
      </c>
      <c r="AU341" s="22">
        <v>0.18273900000000001</v>
      </c>
      <c r="AV341">
        <f t="shared" si="68"/>
        <v>16.9495</v>
      </c>
      <c r="AW341">
        <f t="shared" si="69"/>
        <v>3.1061314710000003</v>
      </c>
      <c r="AX341" s="9"/>
      <c r="AY341" s="22">
        <v>1.56677</v>
      </c>
      <c r="AZ341" s="22">
        <v>385.517</v>
      </c>
      <c r="BA341" s="22">
        <v>-1.37787E-2</v>
      </c>
      <c r="BB341" s="22">
        <v>331</v>
      </c>
      <c r="BC341" s="22">
        <v>1.56647</v>
      </c>
      <c r="BD341">
        <f t="shared" si="70"/>
        <v>13.778699999999999</v>
      </c>
      <c r="BE341">
        <f t="shared" si="71"/>
        <v>21.588053798999997</v>
      </c>
    </row>
    <row r="342" spans="6:57">
      <c r="F342" s="9"/>
      <c r="G342" s="22">
        <v>0.17822299999999999</v>
      </c>
      <c r="H342" s="22">
        <v>57.0854</v>
      </c>
      <c r="I342" s="22">
        <v>-1.7321799999999998E-2</v>
      </c>
      <c r="J342" s="22">
        <v>332</v>
      </c>
      <c r="K342" s="22">
        <v>0.17761199999999999</v>
      </c>
      <c r="L342">
        <f t="shared" si="60"/>
        <v>17.3218</v>
      </c>
      <c r="M342">
        <f t="shared" si="61"/>
        <v>3.0871431613999998</v>
      </c>
      <c r="N342" s="9"/>
      <c r="O342" s="22">
        <v>1.5718099999999999</v>
      </c>
      <c r="P342" s="22">
        <v>112.48099999999999</v>
      </c>
      <c r="Q342" s="22">
        <v>-1.41052E-2</v>
      </c>
      <c r="R342" s="22">
        <v>332</v>
      </c>
      <c r="S342" s="22">
        <v>1.57074</v>
      </c>
      <c r="T342">
        <f t="shared" si="62"/>
        <v>14.1052</v>
      </c>
      <c r="U342">
        <f t="shared" si="63"/>
        <v>22.170694412</v>
      </c>
      <c r="X342" s="9"/>
      <c r="Y342" s="22">
        <v>0.17822299999999999</v>
      </c>
      <c r="Z342" s="22">
        <v>174.43799999999999</v>
      </c>
      <c r="AA342" s="22">
        <v>-1.7211899999999999E-2</v>
      </c>
      <c r="AB342" s="22">
        <v>332</v>
      </c>
      <c r="AC342" s="22">
        <v>0.177673</v>
      </c>
      <c r="AD342">
        <f t="shared" si="64"/>
        <v>17.2119</v>
      </c>
      <c r="AE342">
        <f t="shared" si="65"/>
        <v>3.0675564537</v>
      </c>
      <c r="AF342" s="9"/>
      <c r="AG342" s="22">
        <v>1.5718099999999999</v>
      </c>
      <c r="AH342" s="22">
        <v>253.97</v>
      </c>
      <c r="AI342" s="22">
        <v>-1.3858000000000001E-2</v>
      </c>
      <c r="AJ342" s="22">
        <v>332</v>
      </c>
      <c r="AK342" s="22">
        <v>1.57135</v>
      </c>
      <c r="AL342">
        <f t="shared" si="66"/>
        <v>13.858000000000001</v>
      </c>
      <c r="AM342">
        <f t="shared" si="67"/>
        <v>21.78214298</v>
      </c>
      <c r="AP342" s="9"/>
      <c r="AQ342" s="22">
        <v>0.17822299999999999</v>
      </c>
      <c r="AR342" s="22">
        <v>306.387</v>
      </c>
      <c r="AS342" s="22">
        <v>-1.6958600000000001E-2</v>
      </c>
      <c r="AT342" s="22">
        <v>332</v>
      </c>
      <c r="AU342" s="22">
        <v>0.177643</v>
      </c>
      <c r="AV342">
        <f t="shared" si="68"/>
        <v>16.958600000000001</v>
      </c>
      <c r="AW342">
        <f t="shared" si="69"/>
        <v>3.0224125678</v>
      </c>
      <c r="AX342" s="9"/>
      <c r="AY342" s="22">
        <v>1.5718099999999999</v>
      </c>
      <c r="AZ342" s="22">
        <v>385.61799999999999</v>
      </c>
      <c r="BA342" s="22">
        <v>-1.36688E-2</v>
      </c>
      <c r="BB342" s="22">
        <v>332</v>
      </c>
      <c r="BC342" s="22">
        <v>1.57135</v>
      </c>
      <c r="BD342">
        <f t="shared" si="70"/>
        <v>13.668799999999999</v>
      </c>
      <c r="BE342">
        <f t="shared" si="71"/>
        <v>21.484756527999998</v>
      </c>
    </row>
    <row r="343" spans="6:57">
      <c r="F343" s="9"/>
      <c r="G343" s="22">
        <v>0.17318700000000001</v>
      </c>
      <c r="H343" s="22">
        <v>57.186100000000003</v>
      </c>
      <c r="I343" s="22">
        <v>-1.73004E-2</v>
      </c>
      <c r="J343" s="22">
        <v>333</v>
      </c>
      <c r="K343" s="22">
        <v>0.17260700000000001</v>
      </c>
      <c r="L343">
        <f t="shared" si="60"/>
        <v>17.3004</v>
      </c>
      <c r="M343">
        <f t="shared" si="61"/>
        <v>2.9962043748</v>
      </c>
      <c r="N343" s="9"/>
      <c r="O343" s="22">
        <v>1.57684</v>
      </c>
      <c r="P343" s="22">
        <v>112.58199999999999</v>
      </c>
      <c r="Q343" s="22">
        <v>-1.3986200000000001E-2</v>
      </c>
      <c r="R343" s="22">
        <v>333</v>
      </c>
      <c r="S343" s="22">
        <v>1.57623</v>
      </c>
      <c r="T343">
        <f t="shared" si="62"/>
        <v>13.9862</v>
      </c>
      <c r="U343">
        <f t="shared" si="63"/>
        <v>22.053999608000002</v>
      </c>
      <c r="X343" s="9"/>
      <c r="Y343" s="22">
        <v>0.17318700000000001</v>
      </c>
      <c r="Z343" s="22">
        <v>174.53899999999999</v>
      </c>
      <c r="AA343" s="22">
        <v>-1.7187500000000001E-2</v>
      </c>
      <c r="AB343" s="22">
        <v>333</v>
      </c>
      <c r="AC343" s="22">
        <v>0.17272899999999999</v>
      </c>
      <c r="AD343">
        <f t="shared" si="64"/>
        <v>17.1875</v>
      </c>
      <c r="AE343">
        <f t="shared" si="65"/>
        <v>2.9766515625000003</v>
      </c>
      <c r="AF343" s="9"/>
      <c r="AG343" s="22">
        <v>1.57684</v>
      </c>
      <c r="AH343" s="22">
        <v>254.071</v>
      </c>
      <c r="AI343" s="22">
        <v>-1.37085E-2</v>
      </c>
      <c r="AJ343" s="22">
        <v>333</v>
      </c>
      <c r="AK343" s="22">
        <v>1.5759300000000001</v>
      </c>
      <c r="AL343">
        <f t="shared" si="66"/>
        <v>13.708500000000001</v>
      </c>
      <c r="AM343">
        <f t="shared" si="67"/>
        <v>21.616111140000001</v>
      </c>
      <c r="AP343" s="9"/>
      <c r="AQ343" s="22">
        <v>0.17318700000000001</v>
      </c>
      <c r="AR343" s="22">
        <v>306.488</v>
      </c>
      <c r="AS343" s="22">
        <v>-1.69342E-2</v>
      </c>
      <c r="AT343" s="22">
        <v>333</v>
      </c>
      <c r="AU343" s="22">
        <v>0.17266799999999999</v>
      </c>
      <c r="AV343">
        <f t="shared" si="68"/>
        <v>16.934200000000001</v>
      </c>
      <c r="AW343">
        <f t="shared" si="69"/>
        <v>2.9327832954000002</v>
      </c>
      <c r="AX343" s="9"/>
      <c r="AY343" s="22">
        <v>1.57684</v>
      </c>
      <c r="AZ343" s="22">
        <v>385.71800000000002</v>
      </c>
      <c r="BA343" s="22">
        <v>-1.35742E-2</v>
      </c>
      <c r="BB343" s="22">
        <v>333</v>
      </c>
      <c r="BC343" s="22">
        <v>1.5765400000000001</v>
      </c>
      <c r="BD343">
        <f t="shared" si="70"/>
        <v>13.574199999999999</v>
      </c>
      <c r="BE343">
        <f t="shared" si="71"/>
        <v>21.404341528</v>
      </c>
    </row>
    <row r="344" spans="6:57">
      <c r="F344" s="9"/>
      <c r="G344" s="22">
        <v>0.168152</v>
      </c>
      <c r="H344" s="22">
        <v>57.286799999999999</v>
      </c>
      <c r="I344" s="22">
        <v>-1.7297400000000001E-2</v>
      </c>
      <c r="J344" s="22">
        <v>334</v>
      </c>
      <c r="K344" s="22">
        <v>0.167603</v>
      </c>
      <c r="L344">
        <f t="shared" si="60"/>
        <v>17.2974</v>
      </c>
      <c r="M344">
        <f t="shared" si="61"/>
        <v>2.9085924047999998</v>
      </c>
      <c r="N344" s="9"/>
      <c r="O344" s="22">
        <v>1.58188</v>
      </c>
      <c r="P344" s="22">
        <v>112.68300000000001</v>
      </c>
      <c r="Q344" s="22">
        <v>-1.3876299999999999E-2</v>
      </c>
      <c r="R344" s="22">
        <v>334</v>
      </c>
      <c r="S344" s="22">
        <v>1.58142</v>
      </c>
      <c r="T344">
        <f t="shared" si="62"/>
        <v>13.876299999999999</v>
      </c>
      <c r="U344">
        <f t="shared" si="63"/>
        <v>21.950641443999999</v>
      </c>
      <c r="X344" s="9"/>
      <c r="Y344" s="22">
        <v>0.168152</v>
      </c>
      <c r="Z344" s="22">
        <v>174.64</v>
      </c>
      <c r="AA344" s="22">
        <v>-1.7184399999999999E-2</v>
      </c>
      <c r="AB344" s="22">
        <v>334</v>
      </c>
      <c r="AC344" s="22">
        <v>0.16751099999999999</v>
      </c>
      <c r="AD344">
        <f t="shared" si="64"/>
        <v>17.1844</v>
      </c>
      <c r="AE344">
        <f t="shared" si="65"/>
        <v>2.8895912288000001</v>
      </c>
      <c r="AF344" s="9"/>
      <c r="AG344" s="22">
        <v>1.58188</v>
      </c>
      <c r="AH344" s="22">
        <v>254.172</v>
      </c>
      <c r="AI344" s="22">
        <v>-1.36261E-2</v>
      </c>
      <c r="AJ344" s="22">
        <v>334</v>
      </c>
      <c r="AK344" s="22">
        <v>1.5811200000000001</v>
      </c>
      <c r="AL344">
        <f t="shared" si="66"/>
        <v>13.626100000000001</v>
      </c>
      <c r="AM344">
        <f t="shared" si="67"/>
        <v>21.554855068000002</v>
      </c>
      <c r="AP344" s="9"/>
      <c r="AQ344" s="22">
        <v>0.168152</v>
      </c>
      <c r="AR344" s="22">
        <v>306.589</v>
      </c>
      <c r="AS344" s="22">
        <v>-1.69464E-2</v>
      </c>
      <c r="AT344" s="22">
        <v>334</v>
      </c>
      <c r="AU344" s="22">
        <v>0.167572</v>
      </c>
      <c r="AV344">
        <f t="shared" si="68"/>
        <v>16.946400000000001</v>
      </c>
      <c r="AW344">
        <f t="shared" si="69"/>
        <v>2.8495710528</v>
      </c>
      <c r="AX344" s="9"/>
      <c r="AY344" s="22">
        <v>1.58188</v>
      </c>
      <c r="AZ344" s="22">
        <v>385.81900000000002</v>
      </c>
      <c r="BA344" s="22">
        <v>-1.3516200000000001E-2</v>
      </c>
      <c r="BB344" s="22">
        <v>334</v>
      </c>
      <c r="BC344" s="22">
        <v>1.5811200000000001</v>
      </c>
      <c r="BD344">
        <f t="shared" si="70"/>
        <v>13.516200000000001</v>
      </c>
      <c r="BE344">
        <f t="shared" si="71"/>
        <v>21.381006456000001</v>
      </c>
    </row>
    <row r="345" spans="6:57">
      <c r="F345" s="9"/>
      <c r="G345" s="22">
        <v>0.16311600000000001</v>
      </c>
      <c r="H345" s="22">
        <v>57.387500000000003</v>
      </c>
      <c r="I345" s="22">
        <v>-1.7312600000000001E-2</v>
      </c>
      <c r="J345" s="22">
        <v>335</v>
      </c>
      <c r="K345" s="22">
        <v>0.16253699999999999</v>
      </c>
      <c r="L345">
        <f t="shared" si="60"/>
        <v>17.3126</v>
      </c>
      <c r="M345">
        <f t="shared" si="61"/>
        <v>2.8239620616000001</v>
      </c>
      <c r="N345" s="9"/>
      <c r="O345" s="22">
        <v>1.58691</v>
      </c>
      <c r="P345" s="22">
        <v>112.783</v>
      </c>
      <c r="Q345" s="22">
        <v>-1.3772599999999999E-2</v>
      </c>
      <c r="R345" s="22">
        <v>335</v>
      </c>
      <c r="S345" s="22">
        <v>1.5860000000000001</v>
      </c>
      <c r="T345">
        <f t="shared" si="62"/>
        <v>13.772599999999999</v>
      </c>
      <c r="U345">
        <f t="shared" si="63"/>
        <v>21.855876666</v>
      </c>
      <c r="X345" s="9"/>
      <c r="Y345" s="22">
        <v>0.16311600000000001</v>
      </c>
      <c r="Z345" s="22">
        <v>174.74</v>
      </c>
      <c r="AA345" s="22">
        <v>-1.72211E-2</v>
      </c>
      <c r="AB345" s="22">
        <v>335</v>
      </c>
      <c r="AC345" s="22">
        <v>0.16256699999999999</v>
      </c>
      <c r="AD345">
        <f t="shared" si="64"/>
        <v>17.2211</v>
      </c>
      <c r="AE345">
        <f t="shared" si="65"/>
        <v>2.8090369476000001</v>
      </c>
      <c r="AF345" s="9"/>
      <c r="AG345" s="22">
        <v>1.58691</v>
      </c>
      <c r="AH345" s="22">
        <v>254.273</v>
      </c>
      <c r="AI345" s="22">
        <v>-1.35345E-2</v>
      </c>
      <c r="AJ345" s="22">
        <v>335</v>
      </c>
      <c r="AK345" s="22">
        <v>1.58569</v>
      </c>
      <c r="AL345">
        <f t="shared" si="66"/>
        <v>13.5345</v>
      </c>
      <c r="AM345">
        <f t="shared" si="67"/>
        <v>21.478033395000001</v>
      </c>
      <c r="AP345" s="9"/>
      <c r="AQ345" s="22">
        <v>0.16311600000000001</v>
      </c>
      <c r="AR345" s="22">
        <v>306.68900000000002</v>
      </c>
      <c r="AS345" s="22">
        <v>-1.6912799999999999E-2</v>
      </c>
      <c r="AT345" s="22">
        <v>335</v>
      </c>
      <c r="AU345" s="22">
        <v>0.16256699999999999</v>
      </c>
      <c r="AV345">
        <f t="shared" si="68"/>
        <v>16.912799999999997</v>
      </c>
      <c r="AW345">
        <f t="shared" si="69"/>
        <v>2.7587482847999998</v>
      </c>
      <c r="AX345" s="9"/>
      <c r="AY345" s="22">
        <v>1.58691</v>
      </c>
      <c r="AZ345" s="22">
        <v>385.92</v>
      </c>
      <c r="BA345" s="22">
        <v>-1.33759E-2</v>
      </c>
      <c r="BB345" s="22">
        <v>335</v>
      </c>
      <c r="BC345" s="22">
        <v>1.5863</v>
      </c>
      <c r="BD345">
        <f t="shared" si="70"/>
        <v>13.3759</v>
      </c>
      <c r="BE345">
        <f t="shared" si="71"/>
        <v>21.226349468999999</v>
      </c>
    </row>
    <row r="346" spans="6:57">
      <c r="F346" s="9"/>
      <c r="G346" s="22">
        <v>0.158081</v>
      </c>
      <c r="H346" s="22">
        <v>57.488199999999999</v>
      </c>
      <c r="I346" s="22">
        <v>-1.7340100000000001E-2</v>
      </c>
      <c r="J346" s="22">
        <v>336</v>
      </c>
      <c r="K346" s="22">
        <v>0.15756200000000001</v>
      </c>
      <c r="L346">
        <f t="shared" si="60"/>
        <v>17.3401</v>
      </c>
      <c r="M346">
        <f t="shared" si="61"/>
        <v>2.7411403481000001</v>
      </c>
      <c r="N346" s="9"/>
      <c r="O346" s="22">
        <v>1.59195</v>
      </c>
      <c r="P346" s="22">
        <v>112.884</v>
      </c>
      <c r="Q346" s="22">
        <v>-1.36475E-2</v>
      </c>
      <c r="R346" s="22">
        <v>336</v>
      </c>
      <c r="S346" s="22">
        <v>1.5914900000000001</v>
      </c>
      <c r="T346">
        <f t="shared" si="62"/>
        <v>13.647499999999999</v>
      </c>
      <c r="U346">
        <f t="shared" si="63"/>
        <v>21.726137625</v>
      </c>
      <c r="X346" s="9"/>
      <c r="Y346" s="22">
        <v>0.158081</v>
      </c>
      <c r="Z346" s="22">
        <v>174.84100000000001</v>
      </c>
      <c r="AA346" s="22">
        <v>-1.7208899999999999E-2</v>
      </c>
      <c r="AB346" s="22">
        <v>336</v>
      </c>
      <c r="AC346" s="22">
        <v>0.15762300000000001</v>
      </c>
      <c r="AD346">
        <f t="shared" si="64"/>
        <v>17.2089</v>
      </c>
      <c r="AE346">
        <f t="shared" si="65"/>
        <v>2.7204001208999999</v>
      </c>
      <c r="AF346" s="9"/>
      <c r="AG346" s="22">
        <v>1.59195</v>
      </c>
      <c r="AH346" s="22">
        <v>254.37299999999999</v>
      </c>
      <c r="AI346" s="22">
        <v>-1.3418599999999999E-2</v>
      </c>
      <c r="AJ346" s="22">
        <v>336</v>
      </c>
      <c r="AK346" s="22">
        <v>1.5908800000000001</v>
      </c>
      <c r="AL346">
        <f t="shared" si="66"/>
        <v>13.4186</v>
      </c>
      <c r="AM346">
        <f t="shared" si="67"/>
        <v>21.361740269999999</v>
      </c>
      <c r="AP346" s="9"/>
      <c r="AQ346" s="22">
        <v>0.158081</v>
      </c>
      <c r="AR346" s="22">
        <v>306.79000000000002</v>
      </c>
      <c r="AS346" s="22">
        <v>-1.6912799999999999E-2</v>
      </c>
      <c r="AT346" s="22">
        <v>336</v>
      </c>
      <c r="AU346" s="22">
        <v>0.157501</v>
      </c>
      <c r="AV346">
        <f t="shared" si="68"/>
        <v>16.912799999999997</v>
      </c>
      <c r="AW346">
        <f t="shared" si="69"/>
        <v>2.6735923367999996</v>
      </c>
      <c r="AX346" s="9"/>
      <c r="AY346" s="22">
        <v>1.59195</v>
      </c>
      <c r="AZ346" s="22">
        <v>386.02</v>
      </c>
      <c r="BA346" s="22">
        <v>-1.32996E-2</v>
      </c>
      <c r="BB346" s="22">
        <v>336</v>
      </c>
      <c r="BC346" s="22">
        <v>1.5911900000000001</v>
      </c>
      <c r="BD346">
        <f t="shared" si="70"/>
        <v>13.2996</v>
      </c>
      <c r="BE346">
        <f t="shared" si="71"/>
        <v>21.172298219999998</v>
      </c>
    </row>
    <row r="347" spans="6:57">
      <c r="F347" s="9"/>
      <c r="G347" s="22">
        <v>0.15304599999999999</v>
      </c>
      <c r="H347" s="22">
        <v>57.588900000000002</v>
      </c>
      <c r="I347" s="22">
        <v>-1.7309600000000001E-2</v>
      </c>
      <c r="J347" s="22">
        <v>337</v>
      </c>
      <c r="K347" s="22">
        <v>0.15249599999999999</v>
      </c>
      <c r="L347">
        <f t="shared" si="60"/>
        <v>17.3096</v>
      </c>
      <c r="M347">
        <f t="shared" si="61"/>
        <v>2.6491650415999999</v>
      </c>
      <c r="N347" s="9"/>
      <c r="O347" s="22">
        <v>1.5969800000000001</v>
      </c>
      <c r="P347" s="22">
        <v>112.985</v>
      </c>
      <c r="Q347" s="22">
        <v>-1.3528399999999999E-2</v>
      </c>
      <c r="R347" s="22">
        <v>337</v>
      </c>
      <c r="S347" s="22">
        <v>1.5966800000000001</v>
      </c>
      <c r="T347">
        <f t="shared" si="62"/>
        <v>13.5284</v>
      </c>
      <c r="U347">
        <f t="shared" si="63"/>
        <v>21.604584232000001</v>
      </c>
      <c r="X347" s="9"/>
      <c r="Y347" s="22">
        <v>0.15304599999999999</v>
      </c>
      <c r="Z347" s="22">
        <v>174.94200000000001</v>
      </c>
      <c r="AA347" s="22">
        <v>-1.7184399999999999E-2</v>
      </c>
      <c r="AB347" s="22">
        <v>337</v>
      </c>
      <c r="AC347" s="22">
        <v>0.152557</v>
      </c>
      <c r="AD347">
        <f t="shared" si="64"/>
        <v>17.1844</v>
      </c>
      <c r="AE347">
        <f t="shared" si="65"/>
        <v>2.6300036823999999</v>
      </c>
      <c r="AF347" s="9"/>
      <c r="AG347" s="22">
        <v>1.5969800000000001</v>
      </c>
      <c r="AH347" s="22">
        <v>254.47399999999999</v>
      </c>
      <c r="AI347" s="22">
        <v>-1.3284300000000001E-2</v>
      </c>
      <c r="AJ347" s="22">
        <v>337</v>
      </c>
      <c r="AK347" s="22">
        <v>1.5963700000000001</v>
      </c>
      <c r="AL347">
        <f t="shared" si="66"/>
        <v>13.2843</v>
      </c>
      <c r="AM347">
        <f t="shared" si="67"/>
        <v>21.214761414000002</v>
      </c>
      <c r="AP347" s="9"/>
      <c r="AQ347" s="22">
        <v>0.15304599999999999</v>
      </c>
      <c r="AR347" s="22">
        <v>306.89100000000002</v>
      </c>
      <c r="AS347" s="22">
        <v>-1.6888400000000001E-2</v>
      </c>
      <c r="AT347" s="22">
        <v>337</v>
      </c>
      <c r="AU347" s="22">
        <v>0.15249599999999999</v>
      </c>
      <c r="AV347">
        <f t="shared" si="68"/>
        <v>16.888400000000001</v>
      </c>
      <c r="AW347">
        <f t="shared" si="69"/>
        <v>2.5847020663999998</v>
      </c>
      <c r="AX347" s="9"/>
      <c r="AY347" s="22">
        <v>1.5969800000000001</v>
      </c>
      <c r="AZ347" s="22">
        <v>386.12099999999998</v>
      </c>
      <c r="BA347" s="22">
        <v>-1.315E-2</v>
      </c>
      <c r="BB347" s="22">
        <v>337</v>
      </c>
      <c r="BC347" s="22">
        <v>1.5963700000000001</v>
      </c>
      <c r="BD347">
        <f t="shared" si="70"/>
        <v>13.15</v>
      </c>
      <c r="BE347">
        <f t="shared" si="71"/>
        <v>21.000287</v>
      </c>
    </row>
    <row r="348" spans="6:57">
      <c r="F348" s="9"/>
      <c r="G348" s="22">
        <v>0.14801</v>
      </c>
      <c r="H348" s="22">
        <v>57.689599999999999</v>
      </c>
      <c r="I348" s="22">
        <v>-1.7297400000000001E-2</v>
      </c>
      <c r="J348" s="22">
        <v>338</v>
      </c>
      <c r="K348" s="22">
        <v>0.147705</v>
      </c>
      <c r="L348">
        <f t="shared" si="60"/>
        <v>17.2974</v>
      </c>
      <c r="M348">
        <f t="shared" si="61"/>
        <v>2.5601881739999999</v>
      </c>
      <c r="N348" s="9"/>
      <c r="O348" s="22">
        <v>1.60202</v>
      </c>
      <c r="P348" s="22">
        <v>113.08499999999999</v>
      </c>
      <c r="Q348" s="22">
        <v>-1.33911E-2</v>
      </c>
      <c r="R348" s="22">
        <v>338</v>
      </c>
      <c r="S348" s="22">
        <v>1.6015600000000001</v>
      </c>
      <c r="T348">
        <f t="shared" si="62"/>
        <v>13.3911</v>
      </c>
      <c r="U348">
        <f t="shared" si="63"/>
        <v>21.452810022000001</v>
      </c>
      <c r="X348" s="9"/>
      <c r="Y348" s="22">
        <v>0.14801</v>
      </c>
      <c r="Z348" s="22">
        <v>175.042</v>
      </c>
      <c r="AA348" s="22">
        <v>-1.7227200000000002E-2</v>
      </c>
      <c r="AB348" s="22">
        <v>338</v>
      </c>
      <c r="AC348" s="22">
        <v>0.14749100000000001</v>
      </c>
      <c r="AD348">
        <f t="shared" si="64"/>
        <v>17.2272</v>
      </c>
      <c r="AE348">
        <f t="shared" si="65"/>
        <v>2.5497978720000001</v>
      </c>
      <c r="AF348" s="9"/>
      <c r="AG348" s="22">
        <v>1.60202</v>
      </c>
      <c r="AH348" s="22">
        <v>254.57499999999999</v>
      </c>
      <c r="AI348" s="22">
        <v>-1.31714E-2</v>
      </c>
      <c r="AJ348" s="22">
        <v>338</v>
      </c>
      <c r="AK348" s="22">
        <v>1.6012599999999999</v>
      </c>
      <c r="AL348">
        <f t="shared" si="66"/>
        <v>13.1714</v>
      </c>
      <c r="AM348">
        <f t="shared" si="67"/>
        <v>21.100846228000002</v>
      </c>
      <c r="AP348" s="9"/>
      <c r="AQ348" s="22">
        <v>0.14801</v>
      </c>
      <c r="AR348" s="22">
        <v>306.99200000000002</v>
      </c>
      <c r="AS348" s="22">
        <v>-1.6909799999999999E-2</v>
      </c>
      <c r="AT348" s="22">
        <v>338</v>
      </c>
      <c r="AU348" s="22">
        <v>0.14755199999999999</v>
      </c>
      <c r="AV348">
        <f t="shared" si="68"/>
        <v>16.909800000000001</v>
      </c>
      <c r="AW348">
        <f t="shared" si="69"/>
        <v>2.502819498</v>
      </c>
      <c r="AX348" s="9"/>
      <c r="AY348" s="22">
        <v>1.60202</v>
      </c>
      <c r="AZ348" s="22">
        <v>386.22199999999998</v>
      </c>
      <c r="BA348" s="22">
        <v>-1.3018800000000001E-2</v>
      </c>
      <c r="BB348" s="22">
        <v>338</v>
      </c>
      <c r="BC348" s="22">
        <v>1.6012599999999999</v>
      </c>
      <c r="BD348">
        <f t="shared" si="70"/>
        <v>13.018800000000001</v>
      </c>
      <c r="BE348">
        <f t="shared" si="71"/>
        <v>20.856377976000001</v>
      </c>
    </row>
    <row r="349" spans="6:57">
      <c r="F349" s="9"/>
      <c r="G349" s="22">
        <v>0.14297499999999999</v>
      </c>
      <c r="H349" s="22">
        <v>57.790300000000002</v>
      </c>
      <c r="I349" s="22">
        <v>-1.7279099999999999E-2</v>
      </c>
      <c r="J349" s="22">
        <v>339</v>
      </c>
      <c r="K349" s="22">
        <v>0.142487</v>
      </c>
      <c r="L349">
        <f t="shared" si="60"/>
        <v>17.2791</v>
      </c>
      <c r="M349">
        <f t="shared" si="61"/>
        <v>2.4704793224999997</v>
      </c>
      <c r="N349" s="9"/>
      <c r="O349" s="22">
        <v>1.6070599999999999</v>
      </c>
      <c r="P349" s="22">
        <v>113.18600000000001</v>
      </c>
      <c r="Q349" s="22">
        <v>-1.3281299999999999E-2</v>
      </c>
      <c r="R349" s="22">
        <v>339</v>
      </c>
      <c r="S349" s="22">
        <v>1.6061399999999999</v>
      </c>
      <c r="T349">
        <f t="shared" si="62"/>
        <v>13.2813</v>
      </c>
      <c r="U349">
        <f t="shared" si="63"/>
        <v>21.343845977999997</v>
      </c>
      <c r="X349" s="9"/>
      <c r="Y349" s="22">
        <v>0.14297499999999999</v>
      </c>
      <c r="Z349" s="22">
        <v>175.143</v>
      </c>
      <c r="AA349" s="22">
        <v>-1.71936E-2</v>
      </c>
      <c r="AB349" s="22">
        <v>339</v>
      </c>
      <c r="AC349" s="22">
        <v>0.142456</v>
      </c>
      <c r="AD349">
        <f t="shared" si="64"/>
        <v>17.1936</v>
      </c>
      <c r="AE349">
        <f t="shared" si="65"/>
        <v>2.4582549599999997</v>
      </c>
      <c r="AF349" s="9"/>
      <c r="AG349" s="22">
        <v>1.6070599999999999</v>
      </c>
      <c r="AH349" s="22">
        <v>254.67500000000001</v>
      </c>
      <c r="AI349" s="22">
        <v>-1.30402E-2</v>
      </c>
      <c r="AJ349" s="22">
        <v>339</v>
      </c>
      <c r="AK349" s="22">
        <v>1.6067499999999999</v>
      </c>
      <c r="AL349">
        <f t="shared" si="66"/>
        <v>13.0402</v>
      </c>
      <c r="AM349">
        <f t="shared" si="67"/>
        <v>20.956383811999999</v>
      </c>
      <c r="AP349" s="9"/>
      <c r="AQ349" s="22">
        <v>0.14297499999999999</v>
      </c>
      <c r="AR349" s="22">
        <v>307.09199999999998</v>
      </c>
      <c r="AS349" s="22">
        <v>-1.6922E-2</v>
      </c>
      <c r="AT349" s="22">
        <v>339</v>
      </c>
      <c r="AU349" s="22">
        <v>0.142426</v>
      </c>
      <c r="AV349">
        <f t="shared" si="68"/>
        <v>16.922000000000001</v>
      </c>
      <c r="AW349">
        <f t="shared" si="69"/>
        <v>2.41942295</v>
      </c>
      <c r="AX349" s="9"/>
      <c r="AY349" s="22">
        <v>1.6070599999999999</v>
      </c>
      <c r="AZ349" s="22">
        <v>386.32299999999998</v>
      </c>
      <c r="BA349" s="22">
        <v>-1.2899799999999999E-2</v>
      </c>
      <c r="BB349" s="22">
        <v>339</v>
      </c>
      <c r="BC349" s="22">
        <v>1.6061399999999999</v>
      </c>
      <c r="BD349">
        <f t="shared" si="70"/>
        <v>12.899799999999999</v>
      </c>
      <c r="BE349">
        <f t="shared" si="71"/>
        <v>20.730752587999998</v>
      </c>
    </row>
    <row r="350" spans="6:57">
      <c r="F350" s="9"/>
      <c r="G350" s="22">
        <v>0.13793900000000001</v>
      </c>
      <c r="H350" s="22">
        <v>57.890999999999998</v>
      </c>
      <c r="I350" s="22">
        <v>-1.73431E-2</v>
      </c>
      <c r="J350" s="22">
        <v>340</v>
      </c>
      <c r="K350" s="22">
        <v>0.13745099999999999</v>
      </c>
      <c r="L350">
        <f t="shared" si="60"/>
        <v>17.3431</v>
      </c>
      <c r="M350">
        <f t="shared" si="61"/>
        <v>2.3922898709</v>
      </c>
      <c r="N350" s="9"/>
      <c r="O350" s="22">
        <v>1.61209</v>
      </c>
      <c r="P350" s="22">
        <v>113.28700000000001</v>
      </c>
      <c r="Q350" s="22">
        <v>-1.3159199999999999E-2</v>
      </c>
      <c r="R350" s="22">
        <v>340</v>
      </c>
      <c r="S350" s="22">
        <v>1.6116299999999999</v>
      </c>
      <c r="T350">
        <f t="shared" si="62"/>
        <v>13.1592</v>
      </c>
      <c r="U350">
        <f t="shared" si="63"/>
        <v>21.213814727999999</v>
      </c>
      <c r="X350" s="9"/>
      <c r="Y350" s="22">
        <v>0.13793900000000001</v>
      </c>
      <c r="Z350" s="22">
        <v>175.244</v>
      </c>
      <c r="AA350" s="22">
        <v>-1.71906E-2</v>
      </c>
      <c r="AB350" s="22">
        <v>340</v>
      </c>
      <c r="AC350" s="22">
        <v>0.13742099999999999</v>
      </c>
      <c r="AD350">
        <f t="shared" si="64"/>
        <v>17.1906</v>
      </c>
      <c r="AE350">
        <f t="shared" si="65"/>
        <v>2.3712541734000001</v>
      </c>
      <c r="AF350" s="9"/>
      <c r="AG350" s="22">
        <v>1.61209</v>
      </c>
      <c r="AH350" s="22">
        <v>254.77600000000001</v>
      </c>
      <c r="AI350" s="22">
        <v>-1.2914999999999999E-2</v>
      </c>
      <c r="AJ350" s="22">
        <v>340</v>
      </c>
      <c r="AK350" s="22">
        <v>1.6107199999999999</v>
      </c>
      <c r="AL350">
        <f t="shared" si="66"/>
        <v>12.914999999999999</v>
      </c>
      <c r="AM350">
        <f t="shared" si="67"/>
        <v>20.820142349999998</v>
      </c>
      <c r="AP350" s="9"/>
      <c r="AQ350" s="22">
        <v>0.13793900000000001</v>
      </c>
      <c r="AR350" s="22">
        <v>307.19299999999998</v>
      </c>
      <c r="AS350" s="22">
        <v>-1.6915900000000001E-2</v>
      </c>
      <c r="AT350" s="22">
        <v>340</v>
      </c>
      <c r="AU350" s="22">
        <v>0.137299</v>
      </c>
      <c r="AV350">
        <f t="shared" si="68"/>
        <v>16.915900000000001</v>
      </c>
      <c r="AW350">
        <f t="shared" si="69"/>
        <v>2.3333623301000004</v>
      </c>
      <c r="AX350" s="9"/>
      <c r="AY350" s="22">
        <v>1.61209</v>
      </c>
      <c r="AZ350" s="22">
        <v>386.423</v>
      </c>
      <c r="BA350" s="22">
        <v>-1.27502E-2</v>
      </c>
      <c r="BB350" s="22">
        <v>340</v>
      </c>
      <c r="BC350" s="22">
        <v>1.6110199999999999</v>
      </c>
      <c r="BD350">
        <f t="shared" si="70"/>
        <v>12.7502</v>
      </c>
      <c r="BE350">
        <f t="shared" si="71"/>
        <v>20.554469917999999</v>
      </c>
    </row>
    <row r="351" spans="6:57">
      <c r="F351" s="9"/>
      <c r="G351" s="22">
        <v>0.13290399999999999</v>
      </c>
      <c r="H351" s="22">
        <v>57.991700000000002</v>
      </c>
      <c r="I351" s="22">
        <v>-1.7309600000000001E-2</v>
      </c>
      <c r="J351" s="22">
        <v>341</v>
      </c>
      <c r="K351" s="22">
        <v>0.132324</v>
      </c>
      <c r="L351">
        <f t="shared" si="60"/>
        <v>17.3096</v>
      </c>
      <c r="M351">
        <f t="shared" si="61"/>
        <v>2.3005150783999997</v>
      </c>
      <c r="N351" s="9"/>
      <c r="O351" s="22">
        <v>1.61713</v>
      </c>
      <c r="P351" s="22">
        <v>113.38800000000001</v>
      </c>
      <c r="Q351" s="22">
        <v>-1.3003499999999999E-2</v>
      </c>
      <c r="R351" s="22">
        <v>341</v>
      </c>
      <c r="S351" s="22">
        <v>1.61652</v>
      </c>
      <c r="T351">
        <f t="shared" si="62"/>
        <v>13.003499999999999</v>
      </c>
      <c r="U351">
        <f t="shared" si="63"/>
        <v>21.028349954999999</v>
      </c>
      <c r="X351" s="9"/>
      <c r="Y351" s="22">
        <v>0.13290399999999999</v>
      </c>
      <c r="Z351" s="22">
        <v>175.345</v>
      </c>
      <c r="AA351" s="22">
        <v>-1.7199699999999998E-2</v>
      </c>
      <c r="AB351" s="22">
        <v>341</v>
      </c>
      <c r="AC351" s="22">
        <v>0.132324</v>
      </c>
      <c r="AD351">
        <f t="shared" si="64"/>
        <v>17.1997</v>
      </c>
      <c r="AE351">
        <f t="shared" si="65"/>
        <v>2.2859089288000001</v>
      </c>
      <c r="AF351" s="9"/>
      <c r="AG351" s="22">
        <v>1.61713</v>
      </c>
      <c r="AH351" s="22">
        <v>254.87700000000001</v>
      </c>
      <c r="AI351" s="22">
        <v>-1.27563E-2</v>
      </c>
      <c r="AJ351" s="22">
        <v>341</v>
      </c>
      <c r="AK351" s="22">
        <v>1.61652</v>
      </c>
      <c r="AL351">
        <f t="shared" si="66"/>
        <v>12.7563</v>
      </c>
      <c r="AM351">
        <f t="shared" si="67"/>
        <v>20.628595419</v>
      </c>
      <c r="AP351" s="9"/>
      <c r="AQ351" s="22">
        <v>0.13290399999999999</v>
      </c>
      <c r="AR351" s="22">
        <v>307.29399999999998</v>
      </c>
      <c r="AS351" s="22">
        <v>-1.6943400000000001E-2</v>
      </c>
      <c r="AT351" s="22">
        <v>341</v>
      </c>
      <c r="AU351" s="22">
        <v>0.13247700000000001</v>
      </c>
      <c r="AV351">
        <f t="shared" si="68"/>
        <v>16.9434</v>
      </c>
      <c r="AW351">
        <f t="shared" si="69"/>
        <v>2.2518456335999999</v>
      </c>
      <c r="AX351" s="9"/>
      <c r="AY351" s="22">
        <v>1.61713</v>
      </c>
      <c r="AZ351" s="22">
        <v>386.524</v>
      </c>
      <c r="BA351" s="22">
        <v>-1.26099E-2</v>
      </c>
      <c r="BB351" s="22">
        <v>341</v>
      </c>
      <c r="BC351" s="22">
        <v>1.61652</v>
      </c>
      <c r="BD351">
        <f t="shared" si="70"/>
        <v>12.6099</v>
      </c>
      <c r="BE351">
        <f t="shared" si="71"/>
        <v>20.391847586999997</v>
      </c>
    </row>
    <row r="352" spans="6:57">
      <c r="F352" s="9"/>
      <c r="G352" s="22">
        <v>0.12786900000000001</v>
      </c>
      <c r="H352" s="22">
        <v>58.092399999999998</v>
      </c>
      <c r="I352" s="22">
        <v>-1.7340100000000001E-2</v>
      </c>
      <c r="J352" s="22">
        <v>342</v>
      </c>
      <c r="K352" s="22">
        <v>0.127411</v>
      </c>
      <c r="L352">
        <f t="shared" si="60"/>
        <v>17.3401</v>
      </c>
      <c r="M352">
        <f t="shared" si="61"/>
        <v>2.2172612469000001</v>
      </c>
      <c r="N352" s="9"/>
      <c r="O352" s="22">
        <v>1.62216</v>
      </c>
      <c r="P352" s="22">
        <v>113.488</v>
      </c>
      <c r="Q352" s="22">
        <v>-1.28418E-2</v>
      </c>
      <c r="R352" s="22">
        <v>342</v>
      </c>
      <c r="S352" s="22">
        <v>1.6214</v>
      </c>
      <c r="T352">
        <f t="shared" si="62"/>
        <v>12.841800000000001</v>
      </c>
      <c r="U352">
        <f t="shared" si="63"/>
        <v>20.831454288000003</v>
      </c>
      <c r="X352" s="9"/>
      <c r="Y352" s="22">
        <v>0.12786900000000001</v>
      </c>
      <c r="Z352" s="22">
        <v>175.44499999999999</v>
      </c>
      <c r="AA352" s="22">
        <v>-1.7184399999999999E-2</v>
      </c>
      <c r="AB352" s="22">
        <v>342</v>
      </c>
      <c r="AC352" s="22">
        <v>0.12734999999999999</v>
      </c>
      <c r="AD352">
        <f t="shared" si="64"/>
        <v>17.1844</v>
      </c>
      <c r="AE352">
        <f t="shared" si="65"/>
        <v>2.1973520436</v>
      </c>
      <c r="AF352" s="9"/>
      <c r="AG352" s="22">
        <v>1.62216</v>
      </c>
      <c r="AH352" s="22">
        <v>254.97800000000001</v>
      </c>
      <c r="AI352" s="22">
        <v>-1.2594599999999999E-2</v>
      </c>
      <c r="AJ352" s="22">
        <v>342</v>
      </c>
      <c r="AK352" s="22">
        <v>1.6216999999999999</v>
      </c>
      <c r="AL352">
        <f t="shared" si="66"/>
        <v>12.5946</v>
      </c>
      <c r="AM352">
        <f t="shared" si="67"/>
        <v>20.430456335999999</v>
      </c>
      <c r="AP352" s="9"/>
      <c r="AQ352" s="22">
        <v>0.12786900000000001</v>
      </c>
      <c r="AR352" s="22">
        <v>307.39400000000001</v>
      </c>
      <c r="AS352" s="22">
        <v>-1.6924999999999999E-2</v>
      </c>
      <c r="AT352" s="22">
        <v>342</v>
      </c>
      <c r="AU352" s="22">
        <v>0.12728900000000001</v>
      </c>
      <c r="AV352">
        <f t="shared" si="68"/>
        <v>16.925000000000001</v>
      </c>
      <c r="AW352">
        <f t="shared" si="69"/>
        <v>2.1641828250000001</v>
      </c>
      <c r="AX352" s="9"/>
      <c r="AY352" s="22">
        <v>1.62216</v>
      </c>
      <c r="AZ352" s="22">
        <v>386.625</v>
      </c>
      <c r="BA352" s="22">
        <v>-1.24817E-2</v>
      </c>
      <c r="BB352" s="22">
        <v>342</v>
      </c>
      <c r="BC352" s="22">
        <v>1.62201</v>
      </c>
      <c r="BD352">
        <f t="shared" si="70"/>
        <v>12.4817</v>
      </c>
      <c r="BE352">
        <f t="shared" si="71"/>
        <v>20.247314471999999</v>
      </c>
    </row>
    <row r="353" spans="6:57">
      <c r="F353" s="9"/>
      <c r="G353" s="22">
        <v>0.122833</v>
      </c>
      <c r="H353" s="22">
        <v>58.193100000000001</v>
      </c>
      <c r="I353" s="22">
        <v>-1.73004E-2</v>
      </c>
      <c r="J353" s="22">
        <v>343</v>
      </c>
      <c r="K353" s="22">
        <v>0.12216200000000001</v>
      </c>
      <c r="L353">
        <f t="shared" si="60"/>
        <v>17.3004</v>
      </c>
      <c r="M353">
        <f t="shared" si="61"/>
        <v>2.1250600332</v>
      </c>
      <c r="N353" s="9"/>
      <c r="O353" s="22">
        <v>1.6272</v>
      </c>
      <c r="P353" s="22">
        <v>113.589</v>
      </c>
      <c r="Q353" s="22">
        <v>-1.27197E-2</v>
      </c>
      <c r="R353" s="22">
        <v>343</v>
      </c>
      <c r="S353" s="22">
        <v>1.62598</v>
      </c>
      <c r="T353">
        <f t="shared" si="62"/>
        <v>12.7197</v>
      </c>
      <c r="U353">
        <f t="shared" si="63"/>
        <v>20.697495839999998</v>
      </c>
      <c r="X353" s="9"/>
      <c r="Y353" s="22">
        <v>0.122833</v>
      </c>
      <c r="Z353" s="22">
        <v>175.54599999999999</v>
      </c>
      <c r="AA353" s="22">
        <v>-1.7196699999999999E-2</v>
      </c>
      <c r="AB353" s="22">
        <v>343</v>
      </c>
      <c r="AC353" s="22">
        <v>0.122223</v>
      </c>
      <c r="AD353">
        <f t="shared" si="64"/>
        <v>17.1967</v>
      </c>
      <c r="AE353">
        <f t="shared" si="65"/>
        <v>2.1123222511000002</v>
      </c>
      <c r="AF353" s="9"/>
      <c r="AG353" s="22">
        <v>1.6272</v>
      </c>
      <c r="AH353" s="22">
        <v>255.078</v>
      </c>
      <c r="AI353" s="22">
        <v>-1.2472499999999999E-2</v>
      </c>
      <c r="AJ353" s="22">
        <v>343</v>
      </c>
      <c r="AK353" s="22">
        <v>1.6262799999999999</v>
      </c>
      <c r="AL353">
        <f t="shared" si="66"/>
        <v>12.472499999999998</v>
      </c>
      <c r="AM353">
        <f t="shared" si="67"/>
        <v>20.295251999999998</v>
      </c>
      <c r="AP353" s="9"/>
      <c r="AQ353" s="22">
        <v>0.122833</v>
      </c>
      <c r="AR353" s="22">
        <v>307.495</v>
      </c>
      <c r="AS353" s="22">
        <v>-1.6964699999999999E-2</v>
      </c>
      <c r="AT353" s="22">
        <v>343</v>
      </c>
      <c r="AU353" s="22">
        <v>0.122253</v>
      </c>
      <c r="AV353">
        <f t="shared" si="68"/>
        <v>16.964700000000001</v>
      </c>
      <c r="AW353">
        <f t="shared" si="69"/>
        <v>2.0838249951000001</v>
      </c>
      <c r="AX353" s="9"/>
      <c r="AY353" s="22">
        <v>1.6272</v>
      </c>
      <c r="AZ353" s="22">
        <v>386.72500000000002</v>
      </c>
      <c r="BA353" s="22">
        <v>-1.23169E-2</v>
      </c>
      <c r="BB353" s="22">
        <v>343</v>
      </c>
      <c r="BC353" s="22">
        <v>1.62598</v>
      </c>
      <c r="BD353">
        <f t="shared" si="70"/>
        <v>12.3169</v>
      </c>
      <c r="BE353">
        <f t="shared" si="71"/>
        <v>20.042059680000001</v>
      </c>
    </row>
    <row r="354" spans="6:57">
      <c r="F354" s="9"/>
      <c r="G354" s="22">
        <v>0.117798</v>
      </c>
      <c r="H354" s="22">
        <v>58.293900000000001</v>
      </c>
      <c r="I354" s="22">
        <v>-1.7272900000000001E-2</v>
      </c>
      <c r="J354" s="22">
        <v>344</v>
      </c>
      <c r="K354" s="22">
        <v>0.11727899999999999</v>
      </c>
      <c r="L354">
        <f t="shared" si="60"/>
        <v>17.2729</v>
      </c>
      <c r="M354">
        <f t="shared" si="61"/>
        <v>2.0347130741999999</v>
      </c>
      <c r="N354" s="9"/>
      <c r="O354" s="22">
        <v>1.6322300000000001</v>
      </c>
      <c r="P354" s="22">
        <v>113.69</v>
      </c>
      <c r="Q354" s="22">
        <v>-1.2545799999999999E-2</v>
      </c>
      <c r="R354" s="22">
        <v>344</v>
      </c>
      <c r="S354" s="22">
        <v>1.6317699999999999</v>
      </c>
      <c r="T354">
        <f t="shared" si="62"/>
        <v>12.5458</v>
      </c>
      <c r="U354">
        <f t="shared" si="63"/>
        <v>20.477631133999999</v>
      </c>
      <c r="X354" s="9"/>
      <c r="Y354" s="22">
        <v>0.117798</v>
      </c>
      <c r="Z354" s="22">
        <v>175.64699999999999</v>
      </c>
      <c r="AA354" s="22">
        <v>-1.7239399999999998E-2</v>
      </c>
      <c r="AB354" s="22">
        <v>344</v>
      </c>
      <c r="AC354" s="22">
        <v>0.11727899999999999</v>
      </c>
      <c r="AD354">
        <f t="shared" si="64"/>
        <v>17.2394</v>
      </c>
      <c r="AE354">
        <f t="shared" si="65"/>
        <v>2.0307668412000002</v>
      </c>
      <c r="AF354" s="9"/>
      <c r="AG354" s="22">
        <v>1.6322300000000001</v>
      </c>
      <c r="AH354" s="22">
        <v>255.179</v>
      </c>
      <c r="AI354" s="22">
        <v>-1.2289400000000001E-2</v>
      </c>
      <c r="AJ354" s="22">
        <v>344</v>
      </c>
      <c r="AK354" s="22">
        <v>1.63147</v>
      </c>
      <c r="AL354">
        <f t="shared" si="66"/>
        <v>12.289400000000001</v>
      </c>
      <c r="AM354">
        <f t="shared" si="67"/>
        <v>20.059127362000002</v>
      </c>
      <c r="AP354" s="9"/>
      <c r="AQ354" s="22">
        <v>0.117798</v>
      </c>
      <c r="AR354" s="22">
        <v>307.596</v>
      </c>
      <c r="AS354" s="22">
        <v>-1.6937299999999999E-2</v>
      </c>
      <c r="AT354" s="22">
        <v>344</v>
      </c>
      <c r="AU354" s="22">
        <v>0.117218</v>
      </c>
      <c r="AV354">
        <f t="shared" si="68"/>
        <v>16.9373</v>
      </c>
      <c r="AW354">
        <f t="shared" si="69"/>
        <v>1.9951800654</v>
      </c>
      <c r="AX354" s="9"/>
      <c r="AY354" s="22">
        <v>1.6322300000000001</v>
      </c>
      <c r="AZ354" s="22">
        <v>386.82600000000002</v>
      </c>
      <c r="BA354" s="22">
        <v>-1.2185700000000001E-2</v>
      </c>
      <c r="BB354" s="22">
        <v>344</v>
      </c>
      <c r="BC354" s="22">
        <v>1.63147</v>
      </c>
      <c r="BD354">
        <f t="shared" si="70"/>
        <v>12.185700000000001</v>
      </c>
      <c r="BE354">
        <f t="shared" si="71"/>
        <v>19.889865111000002</v>
      </c>
    </row>
    <row r="355" spans="6:57">
      <c r="F355" s="9"/>
      <c r="G355" s="22">
        <v>0.112762</v>
      </c>
      <c r="H355" s="22">
        <v>58.394599999999997</v>
      </c>
      <c r="I355" s="22">
        <v>-1.7321799999999998E-2</v>
      </c>
      <c r="J355" s="22">
        <v>345</v>
      </c>
      <c r="K355" s="22">
        <v>0.11236599999999999</v>
      </c>
      <c r="L355">
        <f t="shared" si="60"/>
        <v>17.3218</v>
      </c>
      <c r="M355">
        <f t="shared" si="61"/>
        <v>1.9532408116</v>
      </c>
      <c r="N355" s="9"/>
      <c r="O355" s="22">
        <v>1.63727</v>
      </c>
      <c r="P355" s="22">
        <v>113.79</v>
      </c>
      <c r="Q355" s="22">
        <v>-1.2377900000000001E-2</v>
      </c>
      <c r="R355" s="22">
        <v>345</v>
      </c>
      <c r="S355" s="22">
        <v>1.63635</v>
      </c>
      <c r="T355">
        <f t="shared" si="62"/>
        <v>12.3779</v>
      </c>
      <c r="U355">
        <f t="shared" si="63"/>
        <v>20.265964332999999</v>
      </c>
      <c r="X355" s="9"/>
      <c r="Y355" s="22">
        <v>0.112762</v>
      </c>
      <c r="Z355" s="22">
        <v>175.74700000000001</v>
      </c>
      <c r="AA355" s="22">
        <v>-1.71906E-2</v>
      </c>
      <c r="AB355" s="22">
        <v>345</v>
      </c>
      <c r="AC355" s="22">
        <v>0.112122</v>
      </c>
      <c r="AD355">
        <f t="shared" si="64"/>
        <v>17.1906</v>
      </c>
      <c r="AE355">
        <f t="shared" si="65"/>
        <v>1.9384464372000001</v>
      </c>
      <c r="AF355" s="9"/>
      <c r="AG355" s="22">
        <v>1.63727</v>
      </c>
      <c r="AH355" s="22">
        <v>255.28</v>
      </c>
      <c r="AI355" s="22">
        <v>-1.2103300000000001E-2</v>
      </c>
      <c r="AJ355" s="22">
        <v>345</v>
      </c>
      <c r="AK355" s="22">
        <v>1.63635</v>
      </c>
      <c r="AL355">
        <f t="shared" si="66"/>
        <v>12.103300000000001</v>
      </c>
      <c r="AM355">
        <f t="shared" si="67"/>
        <v>19.816369991000002</v>
      </c>
      <c r="AP355" s="9"/>
      <c r="AQ355" s="22">
        <v>0.112762</v>
      </c>
      <c r="AR355" s="22">
        <v>307.69600000000003</v>
      </c>
      <c r="AS355" s="22">
        <v>-1.6943400000000001E-2</v>
      </c>
      <c r="AT355" s="22">
        <v>345</v>
      </c>
      <c r="AU355" s="22">
        <v>0.112244</v>
      </c>
      <c r="AV355">
        <f t="shared" si="68"/>
        <v>16.9434</v>
      </c>
      <c r="AW355">
        <f t="shared" si="69"/>
        <v>1.9105716708</v>
      </c>
      <c r="AX355" s="9"/>
      <c r="AY355" s="22">
        <v>1.63727</v>
      </c>
      <c r="AZ355" s="22">
        <v>386.92700000000002</v>
      </c>
      <c r="BA355" s="22">
        <v>-1.20026E-2</v>
      </c>
      <c r="BB355" s="22">
        <v>345</v>
      </c>
      <c r="BC355" s="22">
        <v>1.63666</v>
      </c>
      <c r="BD355">
        <f t="shared" si="70"/>
        <v>12.002600000000001</v>
      </c>
      <c r="BE355">
        <f t="shared" si="71"/>
        <v>19.651496902000002</v>
      </c>
    </row>
    <row r="356" spans="6:57">
      <c r="F356" s="9"/>
      <c r="G356" s="22">
        <v>0.107727</v>
      </c>
      <c r="H356" s="22">
        <v>58.4953</v>
      </c>
      <c r="I356" s="22">
        <v>-1.7340100000000001E-2</v>
      </c>
      <c r="J356" s="22">
        <v>346</v>
      </c>
      <c r="K356" s="22">
        <v>0.107239</v>
      </c>
      <c r="L356">
        <f t="shared" si="60"/>
        <v>17.3401</v>
      </c>
      <c r="M356">
        <f t="shared" si="61"/>
        <v>1.8679969527</v>
      </c>
      <c r="N356" s="9"/>
      <c r="O356" s="22">
        <v>1.6423000000000001</v>
      </c>
      <c r="P356" s="22">
        <v>113.89100000000001</v>
      </c>
      <c r="Q356" s="22">
        <v>-1.2185700000000001E-2</v>
      </c>
      <c r="R356" s="22">
        <v>346</v>
      </c>
      <c r="S356" s="22">
        <v>1.64124</v>
      </c>
      <c r="T356">
        <f t="shared" si="62"/>
        <v>12.185700000000001</v>
      </c>
      <c r="U356">
        <f t="shared" si="63"/>
        <v>20.012575110000004</v>
      </c>
      <c r="X356" s="9"/>
      <c r="Y356" s="22">
        <v>0.107727</v>
      </c>
      <c r="Z356" s="22">
        <v>175.84800000000001</v>
      </c>
      <c r="AA356" s="22">
        <v>-1.72058E-2</v>
      </c>
      <c r="AB356" s="22">
        <v>346</v>
      </c>
      <c r="AC356" s="22">
        <v>0.10714700000000001</v>
      </c>
      <c r="AD356">
        <f t="shared" si="64"/>
        <v>17.2058</v>
      </c>
      <c r="AE356">
        <f t="shared" si="65"/>
        <v>1.8535292166000001</v>
      </c>
      <c r="AF356" s="9"/>
      <c r="AG356" s="22">
        <v>1.6423000000000001</v>
      </c>
      <c r="AH356" s="22">
        <v>255.38</v>
      </c>
      <c r="AI356" s="22">
        <v>-1.19171E-2</v>
      </c>
      <c r="AJ356" s="22">
        <v>346</v>
      </c>
      <c r="AK356" s="22">
        <v>1.64124</v>
      </c>
      <c r="AL356">
        <f t="shared" si="66"/>
        <v>11.9171</v>
      </c>
      <c r="AM356">
        <f t="shared" si="67"/>
        <v>19.571453330000001</v>
      </c>
      <c r="AP356" s="9"/>
      <c r="AQ356" s="22">
        <v>0.107727</v>
      </c>
      <c r="AR356" s="22">
        <v>307.79700000000003</v>
      </c>
      <c r="AS356" s="22">
        <v>-1.6943400000000001E-2</v>
      </c>
      <c r="AT356" s="22">
        <v>346</v>
      </c>
      <c r="AU356" s="22">
        <v>0.10714700000000001</v>
      </c>
      <c r="AV356">
        <f t="shared" si="68"/>
        <v>16.9434</v>
      </c>
      <c r="AW356">
        <f t="shared" si="69"/>
        <v>1.8252616518</v>
      </c>
      <c r="AX356" s="9"/>
      <c r="AY356" s="22">
        <v>1.6423000000000001</v>
      </c>
      <c r="AZ356" s="22">
        <v>387.02699999999999</v>
      </c>
      <c r="BA356" s="22">
        <v>-1.18469E-2</v>
      </c>
      <c r="BB356" s="22">
        <v>346</v>
      </c>
      <c r="BC356" s="22">
        <v>1.64154</v>
      </c>
      <c r="BD356">
        <f t="shared" si="70"/>
        <v>11.8469</v>
      </c>
      <c r="BE356">
        <f t="shared" si="71"/>
        <v>19.456163870000001</v>
      </c>
    </row>
    <row r="357" spans="6:57">
      <c r="F357" s="9"/>
      <c r="G357" s="22">
        <v>0.10269200000000001</v>
      </c>
      <c r="H357" s="22">
        <v>58.595999999999997</v>
      </c>
      <c r="I357" s="22">
        <v>-1.73584E-2</v>
      </c>
      <c r="J357" s="22">
        <v>347</v>
      </c>
      <c r="K357" s="22">
        <v>0.102203</v>
      </c>
      <c r="L357">
        <f t="shared" si="60"/>
        <v>17.3584</v>
      </c>
      <c r="M357">
        <f t="shared" si="61"/>
        <v>1.7825688128000001</v>
      </c>
      <c r="N357" s="9"/>
      <c r="O357" s="22">
        <v>1.64734</v>
      </c>
      <c r="P357" s="22">
        <v>113.992</v>
      </c>
      <c r="Q357" s="22">
        <v>-1.20392E-2</v>
      </c>
      <c r="R357" s="22">
        <v>347</v>
      </c>
      <c r="S357" s="22">
        <v>1.64612</v>
      </c>
      <c r="T357">
        <f t="shared" si="62"/>
        <v>12.039199999999999</v>
      </c>
      <c r="U357">
        <f t="shared" si="63"/>
        <v>19.832655727999999</v>
      </c>
      <c r="X357" s="9"/>
      <c r="Y357" s="22">
        <v>0.10269200000000001</v>
      </c>
      <c r="Z357" s="22">
        <v>175.94900000000001</v>
      </c>
      <c r="AA357" s="22">
        <v>-1.7215000000000001E-2</v>
      </c>
      <c r="AB357" s="22">
        <v>347</v>
      </c>
      <c r="AC357" s="22">
        <v>0.102173</v>
      </c>
      <c r="AD357">
        <f t="shared" si="64"/>
        <v>17.215</v>
      </c>
      <c r="AE357">
        <f t="shared" si="65"/>
        <v>1.7678427800000001</v>
      </c>
      <c r="AF357" s="9"/>
      <c r="AG357" s="22">
        <v>1.64734</v>
      </c>
      <c r="AH357" s="22">
        <v>255.48099999999999</v>
      </c>
      <c r="AI357" s="22">
        <v>-1.17737E-2</v>
      </c>
      <c r="AJ357" s="22">
        <v>347</v>
      </c>
      <c r="AK357" s="22">
        <v>1.64642</v>
      </c>
      <c r="AL357">
        <f t="shared" si="66"/>
        <v>11.7737</v>
      </c>
      <c r="AM357">
        <f t="shared" si="67"/>
        <v>19.395286958</v>
      </c>
      <c r="AP357" s="9"/>
      <c r="AQ357" s="22">
        <v>0.10269200000000001</v>
      </c>
      <c r="AR357" s="22">
        <v>307.89800000000002</v>
      </c>
      <c r="AS357" s="22">
        <v>-1.6986100000000001E-2</v>
      </c>
      <c r="AT357" s="22">
        <v>347</v>
      </c>
      <c r="AU357" s="22">
        <v>0.102142</v>
      </c>
      <c r="AV357">
        <f t="shared" si="68"/>
        <v>16.9861</v>
      </c>
      <c r="AW357">
        <f t="shared" si="69"/>
        <v>1.7443365812000002</v>
      </c>
      <c r="AX357" s="9"/>
      <c r="AY357" s="22">
        <v>1.64734</v>
      </c>
      <c r="AZ357" s="22">
        <v>387.12799999999999</v>
      </c>
      <c r="BA357" s="22">
        <v>-1.1709600000000001E-2</v>
      </c>
      <c r="BB357" s="22">
        <v>347</v>
      </c>
      <c r="BC357" s="22">
        <v>1.64642</v>
      </c>
      <c r="BD357">
        <f t="shared" si="70"/>
        <v>11.7096</v>
      </c>
      <c r="BE357">
        <f t="shared" si="71"/>
        <v>19.289692464000002</v>
      </c>
    </row>
    <row r="358" spans="6:57">
      <c r="F358" s="9"/>
      <c r="G358" s="22">
        <v>9.7656300000000001E-2</v>
      </c>
      <c r="H358" s="22">
        <v>58.6967</v>
      </c>
      <c r="I358" s="22">
        <v>-1.7355300000000001E-2</v>
      </c>
      <c r="J358" s="22">
        <v>348</v>
      </c>
      <c r="K358" s="22">
        <v>9.7137500000000002E-2</v>
      </c>
      <c r="L358">
        <f t="shared" si="60"/>
        <v>17.3553</v>
      </c>
      <c r="M358">
        <f t="shared" si="61"/>
        <v>1.6948543833900001</v>
      </c>
      <c r="N358" s="9"/>
      <c r="O358" s="22">
        <v>1.6523699999999999</v>
      </c>
      <c r="P358" s="22">
        <v>114.093</v>
      </c>
      <c r="Q358" s="22">
        <v>-1.18469E-2</v>
      </c>
      <c r="R358" s="22">
        <v>348</v>
      </c>
      <c r="S358" s="22">
        <v>1.65222</v>
      </c>
      <c r="T358">
        <f t="shared" si="62"/>
        <v>11.8469</v>
      </c>
      <c r="U358">
        <f t="shared" si="63"/>
        <v>19.575462152999997</v>
      </c>
      <c r="X358" s="9"/>
      <c r="Y358" s="22">
        <v>9.7656300000000001E-2</v>
      </c>
      <c r="Z358" s="22">
        <v>176.04900000000001</v>
      </c>
      <c r="AA358" s="22">
        <v>-1.7202800000000001E-2</v>
      </c>
      <c r="AB358" s="22">
        <v>348</v>
      </c>
      <c r="AC358" s="22">
        <v>9.7137500000000002E-2</v>
      </c>
      <c r="AD358">
        <f t="shared" si="64"/>
        <v>17.2028</v>
      </c>
      <c r="AE358">
        <f t="shared" si="65"/>
        <v>1.6799617976400001</v>
      </c>
      <c r="AF358" s="9"/>
      <c r="AG358" s="22">
        <v>1.6523699999999999</v>
      </c>
      <c r="AH358" s="22">
        <v>255.58199999999999</v>
      </c>
      <c r="AI358" s="22">
        <v>-1.15814E-2</v>
      </c>
      <c r="AJ358" s="22">
        <v>348</v>
      </c>
      <c r="AK358" s="22">
        <v>1.65222</v>
      </c>
      <c r="AL358">
        <f t="shared" si="66"/>
        <v>11.5814</v>
      </c>
      <c r="AM358">
        <f t="shared" si="67"/>
        <v>19.136757918000001</v>
      </c>
      <c r="AP358" s="9"/>
      <c r="AQ358" s="22">
        <v>9.7656300000000001E-2</v>
      </c>
      <c r="AR358" s="22">
        <v>307.99900000000002</v>
      </c>
      <c r="AS358" s="22">
        <v>-1.6992199999999999E-2</v>
      </c>
      <c r="AT358" s="22">
        <v>348</v>
      </c>
      <c r="AU358" s="22">
        <v>9.7045900000000004E-2</v>
      </c>
      <c r="AV358">
        <f t="shared" si="68"/>
        <v>16.9922</v>
      </c>
      <c r="AW358">
        <f t="shared" si="69"/>
        <v>1.6593953808600002</v>
      </c>
      <c r="AX358" s="9"/>
      <c r="AY358" s="22">
        <v>1.6523699999999999</v>
      </c>
      <c r="AZ358" s="22">
        <v>387.22899999999998</v>
      </c>
      <c r="BA358" s="22">
        <v>-1.15265E-2</v>
      </c>
      <c r="BB358" s="22">
        <v>348</v>
      </c>
      <c r="BC358" s="22">
        <v>1.6519200000000001</v>
      </c>
      <c r="BD358">
        <f t="shared" si="70"/>
        <v>11.5265</v>
      </c>
      <c r="BE358">
        <f t="shared" si="71"/>
        <v>19.046042804999999</v>
      </c>
    </row>
    <row r="359" spans="6:57">
      <c r="F359" s="9"/>
      <c r="G359" s="22">
        <v>9.2620800000000003E-2</v>
      </c>
      <c r="H359" s="22">
        <v>58.797400000000003</v>
      </c>
      <c r="I359" s="22">
        <v>-1.7364500000000001E-2</v>
      </c>
      <c r="J359" s="22">
        <v>349</v>
      </c>
      <c r="K359" s="22">
        <v>9.2132599999999995E-2</v>
      </c>
      <c r="L359">
        <f t="shared" si="60"/>
        <v>17.364500000000003</v>
      </c>
      <c r="M359">
        <f t="shared" si="61"/>
        <v>1.6083138816000004</v>
      </c>
      <c r="N359" s="9"/>
      <c r="O359" s="22">
        <v>1.65741</v>
      </c>
      <c r="P359" s="22">
        <v>114.193</v>
      </c>
      <c r="Q359" s="22">
        <v>-1.1615E-2</v>
      </c>
      <c r="R359" s="22">
        <v>349</v>
      </c>
      <c r="S359" s="22">
        <v>1.6561900000000001</v>
      </c>
      <c r="T359">
        <f t="shared" si="62"/>
        <v>11.615</v>
      </c>
      <c r="U359">
        <f t="shared" si="63"/>
        <v>19.25081715</v>
      </c>
      <c r="X359" s="9"/>
      <c r="Y359" s="22">
        <v>9.2620800000000003E-2</v>
      </c>
      <c r="Z359" s="22">
        <v>176.15</v>
      </c>
      <c r="AA359" s="22">
        <v>-1.72211E-2</v>
      </c>
      <c r="AB359" s="22">
        <v>349</v>
      </c>
      <c r="AC359" s="22">
        <v>9.2132599999999995E-2</v>
      </c>
      <c r="AD359">
        <f t="shared" si="64"/>
        <v>17.2211</v>
      </c>
      <c r="AE359">
        <f t="shared" si="65"/>
        <v>1.59503205888</v>
      </c>
      <c r="AF359" s="9"/>
      <c r="AG359" s="22">
        <v>1.65741</v>
      </c>
      <c r="AH359" s="22">
        <v>255.68299999999999</v>
      </c>
      <c r="AI359" s="22">
        <v>-1.13861E-2</v>
      </c>
      <c r="AJ359" s="22">
        <v>349</v>
      </c>
      <c r="AK359" s="22">
        <v>1.65649</v>
      </c>
      <c r="AL359">
        <f t="shared" si="66"/>
        <v>11.386099999999999</v>
      </c>
      <c r="AM359">
        <f t="shared" si="67"/>
        <v>18.871436000999999</v>
      </c>
      <c r="AP359" s="9"/>
      <c r="AQ359" s="22">
        <v>9.2620800000000003E-2</v>
      </c>
      <c r="AR359" s="22">
        <v>308.09899999999999</v>
      </c>
      <c r="AS359" s="22">
        <v>-1.6992199999999999E-2</v>
      </c>
      <c r="AT359" s="22">
        <v>349</v>
      </c>
      <c r="AU359" s="22">
        <v>9.2193600000000001E-2</v>
      </c>
      <c r="AV359">
        <f t="shared" si="68"/>
        <v>16.9922</v>
      </c>
      <c r="AW359">
        <f t="shared" si="69"/>
        <v>1.5738311577600002</v>
      </c>
      <c r="AX359" s="9"/>
      <c r="AY359" s="22">
        <v>1.65741</v>
      </c>
      <c r="AZ359" s="22">
        <v>387.33</v>
      </c>
      <c r="BA359" s="22">
        <v>-1.1318999999999999E-2</v>
      </c>
      <c r="BB359" s="22">
        <v>349</v>
      </c>
      <c r="BC359" s="22">
        <v>1.6561900000000001</v>
      </c>
      <c r="BD359">
        <f t="shared" si="70"/>
        <v>11.318999999999999</v>
      </c>
      <c r="BE359">
        <f t="shared" si="71"/>
        <v>18.760223789999998</v>
      </c>
    </row>
    <row r="360" spans="6:57">
      <c r="F360" s="9"/>
      <c r="G360" s="22">
        <v>8.7585399999999994E-2</v>
      </c>
      <c r="H360" s="22">
        <v>58.898099999999999</v>
      </c>
      <c r="I360" s="22">
        <v>-1.73431E-2</v>
      </c>
      <c r="J360" s="22">
        <v>350</v>
      </c>
      <c r="K360" s="22">
        <v>8.7036100000000005E-2</v>
      </c>
      <c r="L360">
        <f t="shared" si="60"/>
        <v>17.3431</v>
      </c>
      <c r="M360">
        <f t="shared" si="61"/>
        <v>1.5190023507399999</v>
      </c>
      <c r="N360" s="9"/>
      <c r="O360" s="22">
        <v>1.66245</v>
      </c>
      <c r="P360" s="22">
        <v>114.294</v>
      </c>
      <c r="Q360" s="22">
        <v>-1.1395300000000001E-2</v>
      </c>
      <c r="R360" s="22">
        <v>350</v>
      </c>
      <c r="S360" s="22">
        <v>1.6619900000000001</v>
      </c>
      <c r="T360">
        <f t="shared" si="62"/>
        <v>11.395300000000001</v>
      </c>
      <c r="U360">
        <f t="shared" si="63"/>
        <v>18.944116485000002</v>
      </c>
      <c r="X360" s="9"/>
      <c r="Y360" s="22">
        <v>8.7585399999999994E-2</v>
      </c>
      <c r="Z360" s="22">
        <v>176.251</v>
      </c>
      <c r="AA360" s="22">
        <v>-1.7184399999999999E-2</v>
      </c>
      <c r="AB360" s="22">
        <v>350</v>
      </c>
      <c r="AC360" s="22">
        <v>8.7066699999999997E-2</v>
      </c>
      <c r="AD360">
        <f t="shared" si="64"/>
        <v>17.1844</v>
      </c>
      <c r="AE360">
        <f t="shared" si="65"/>
        <v>1.50510254776</v>
      </c>
      <c r="AF360" s="9"/>
      <c r="AG360" s="22">
        <v>1.66245</v>
      </c>
      <c r="AH360" s="22">
        <v>255.78299999999999</v>
      </c>
      <c r="AI360" s="22">
        <v>-1.1190800000000001E-2</v>
      </c>
      <c r="AJ360" s="22">
        <v>350</v>
      </c>
      <c r="AK360" s="22">
        <v>1.66168</v>
      </c>
      <c r="AL360">
        <f t="shared" si="66"/>
        <v>11.190800000000001</v>
      </c>
      <c r="AM360">
        <f t="shared" si="67"/>
        <v>18.604145460000002</v>
      </c>
      <c r="AP360" s="9"/>
      <c r="AQ360" s="22">
        <v>8.7585399999999994E-2</v>
      </c>
      <c r="AR360" s="22">
        <v>308.2</v>
      </c>
      <c r="AS360" s="22">
        <v>-1.6964699999999999E-2</v>
      </c>
      <c r="AT360" s="22">
        <v>350</v>
      </c>
      <c r="AU360" s="22">
        <v>8.7158200000000005E-2</v>
      </c>
      <c r="AV360">
        <f t="shared" si="68"/>
        <v>16.964700000000001</v>
      </c>
      <c r="AW360">
        <f t="shared" si="69"/>
        <v>1.48586003538</v>
      </c>
      <c r="AX360" s="9"/>
      <c r="AY360" s="22">
        <v>1.66245</v>
      </c>
      <c r="AZ360" s="22">
        <v>387.43</v>
      </c>
      <c r="BA360" s="22">
        <v>-1.1145E-2</v>
      </c>
      <c r="BB360" s="22">
        <v>350</v>
      </c>
      <c r="BC360" s="22">
        <v>1.6613800000000001</v>
      </c>
      <c r="BD360">
        <f t="shared" si="70"/>
        <v>11.145</v>
      </c>
      <c r="BE360">
        <f t="shared" si="71"/>
        <v>18.52800525</v>
      </c>
    </row>
    <row r="361" spans="6:57">
      <c r="F361" s="9"/>
      <c r="G361" s="22">
        <v>8.2549999999999998E-2</v>
      </c>
      <c r="H361" s="22">
        <v>58.998800000000003</v>
      </c>
      <c r="I361" s="22">
        <v>-1.7376699999999998E-2</v>
      </c>
      <c r="J361" s="22">
        <v>351</v>
      </c>
      <c r="K361" s="22">
        <v>8.2061800000000004E-2</v>
      </c>
      <c r="L361">
        <f t="shared" si="60"/>
        <v>17.3767</v>
      </c>
      <c r="M361">
        <f t="shared" si="61"/>
        <v>1.4344465849999999</v>
      </c>
      <c r="N361" s="9"/>
      <c r="O361" s="22">
        <v>1.6674800000000001</v>
      </c>
      <c r="P361" s="22">
        <v>114.395</v>
      </c>
      <c r="Q361" s="22">
        <v>-1.12E-2</v>
      </c>
      <c r="R361" s="22">
        <v>351</v>
      </c>
      <c r="S361" s="22">
        <v>1.6662600000000001</v>
      </c>
      <c r="T361">
        <f t="shared" si="62"/>
        <v>11.2</v>
      </c>
      <c r="U361">
        <f t="shared" si="63"/>
        <v>18.675775999999999</v>
      </c>
      <c r="X361" s="9"/>
      <c r="Y361" s="22">
        <v>8.2549999999999998E-2</v>
      </c>
      <c r="Z361" s="22">
        <v>176.352</v>
      </c>
      <c r="AA361" s="22">
        <v>-1.71936E-2</v>
      </c>
      <c r="AB361" s="22">
        <v>351</v>
      </c>
      <c r="AC361" s="22">
        <v>8.2000699999999996E-2</v>
      </c>
      <c r="AD361">
        <f t="shared" si="64"/>
        <v>17.1936</v>
      </c>
      <c r="AE361">
        <f t="shared" si="65"/>
        <v>1.41933168</v>
      </c>
      <c r="AF361" s="9"/>
      <c r="AG361" s="22">
        <v>1.6674800000000001</v>
      </c>
      <c r="AH361" s="22">
        <v>255.88399999999999</v>
      </c>
      <c r="AI361" s="22">
        <v>-1.0980200000000001E-2</v>
      </c>
      <c r="AJ361" s="22">
        <v>351</v>
      </c>
      <c r="AK361" s="22">
        <v>1.6668700000000001</v>
      </c>
      <c r="AL361">
        <f t="shared" si="66"/>
        <v>10.9802</v>
      </c>
      <c r="AM361">
        <f t="shared" si="67"/>
        <v>18.309263896000001</v>
      </c>
      <c r="AP361" s="9"/>
      <c r="AQ361" s="22">
        <v>8.2549999999999998E-2</v>
      </c>
      <c r="AR361" s="22">
        <v>308.30099999999999</v>
      </c>
      <c r="AS361" s="22">
        <v>-1.69464E-2</v>
      </c>
      <c r="AT361" s="22">
        <v>351</v>
      </c>
      <c r="AU361" s="22">
        <v>8.2122799999999996E-2</v>
      </c>
      <c r="AV361">
        <f t="shared" si="68"/>
        <v>16.946400000000001</v>
      </c>
      <c r="AW361">
        <f t="shared" si="69"/>
        <v>1.39892532</v>
      </c>
      <c r="AX361" s="9"/>
      <c r="AY361" s="22">
        <v>1.6674800000000001</v>
      </c>
      <c r="AZ361" s="22">
        <v>387.53100000000001</v>
      </c>
      <c r="BA361" s="22">
        <v>-1.09222E-2</v>
      </c>
      <c r="BB361" s="22">
        <v>351</v>
      </c>
      <c r="BC361" s="22">
        <v>1.6668700000000001</v>
      </c>
      <c r="BD361">
        <f t="shared" si="70"/>
        <v>10.9222</v>
      </c>
      <c r="BE361">
        <f t="shared" si="71"/>
        <v>18.212550056000001</v>
      </c>
    </row>
    <row r="362" spans="6:57">
      <c r="F362" s="9"/>
      <c r="G362" s="22">
        <v>7.7514600000000003E-2</v>
      </c>
      <c r="H362" s="22">
        <v>59.099499999999999</v>
      </c>
      <c r="I362" s="22">
        <v>-1.7379800000000001E-2</v>
      </c>
      <c r="J362" s="22">
        <v>352</v>
      </c>
      <c r="K362" s="22">
        <v>7.69653E-2</v>
      </c>
      <c r="L362">
        <f t="shared" si="60"/>
        <v>17.379799999999999</v>
      </c>
      <c r="M362">
        <f t="shared" si="61"/>
        <v>1.3471882450799999</v>
      </c>
      <c r="N362" s="9"/>
      <c r="O362" s="22">
        <v>1.67252</v>
      </c>
      <c r="P362" s="22">
        <v>114.495</v>
      </c>
      <c r="Q362" s="22">
        <v>-1.0986299999999999E-2</v>
      </c>
      <c r="R362" s="22">
        <v>352</v>
      </c>
      <c r="S362" s="22">
        <v>1.6720600000000001</v>
      </c>
      <c r="T362">
        <f t="shared" si="62"/>
        <v>10.9863</v>
      </c>
      <c r="U362">
        <f t="shared" si="63"/>
        <v>18.374806476</v>
      </c>
      <c r="X362" s="9"/>
      <c r="Y362" s="22">
        <v>7.7514600000000003E-2</v>
      </c>
      <c r="Z362" s="22">
        <v>176.452</v>
      </c>
      <c r="AA362" s="22">
        <v>-1.7199699999999998E-2</v>
      </c>
      <c r="AB362" s="22">
        <v>352</v>
      </c>
      <c r="AC362" s="22">
        <v>7.6995800000000003E-2</v>
      </c>
      <c r="AD362">
        <f t="shared" si="64"/>
        <v>17.1997</v>
      </c>
      <c r="AE362">
        <f t="shared" si="65"/>
        <v>1.3332278656200001</v>
      </c>
      <c r="AF362" s="9"/>
      <c r="AG362" s="22">
        <v>1.67252</v>
      </c>
      <c r="AH362" s="22">
        <v>255.98500000000001</v>
      </c>
      <c r="AI362" s="22">
        <v>-1.0732999999999999E-2</v>
      </c>
      <c r="AJ362" s="22">
        <v>352</v>
      </c>
      <c r="AK362" s="22">
        <v>1.6717500000000001</v>
      </c>
      <c r="AL362">
        <f t="shared" si="66"/>
        <v>10.732999999999999</v>
      </c>
      <c r="AM362">
        <f t="shared" si="67"/>
        <v>17.951157159999998</v>
      </c>
      <c r="AP362" s="9"/>
      <c r="AQ362" s="22">
        <v>7.7514600000000003E-2</v>
      </c>
      <c r="AR362" s="22">
        <v>308.40100000000001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387.63200000000001</v>
      </c>
      <c r="BA362" s="22">
        <v>-1.06842E-2</v>
      </c>
      <c r="BB362" s="22">
        <v>352</v>
      </c>
      <c r="BC362" s="22">
        <v>1.6717500000000001</v>
      </c>
      <c r="BD362">
        <f t="shared" si="70"/>
        <v>10.684199999999999</v>
      </c>
      <c r="BE362">
        <f t="shared" si="71"/>
        <v>17.869538184</v>
      </c>
    </row>
    <row r="363" spans="6:57">
      <c r="F363" s="9"/>
      <c r="G363" s="22">
        <v>7.2479199999999994E-2</v>
      </c>
      <c r="H363" s="22">
        <v>59.200200000000002</v>
      </c>
      <c r="I363" s="22">
        <v>-1.7337000000000002E-2</v>
      </c>
      <c r="J363" s="22">
        <v>353</v>
      </c>
      <c r="K363" s="22">
        <v>7.1899400000000002E-2</v>
      </c>
      <c r="L363">
        <f t="shared" si="60"/>
        <v>17.337000000000003</v>
      </c>
      <c r="M363">
        <f t="shared" si="61"/>
        <v>1.2565718904000001</v>
      </c>
      <c r="N363" s="9"/>
      <c r="O363" s="22">
        <v>1.6775500000000001</v>
      </c>
      <c r="P363" s="22">
        <v>114.596</v>
      </c>
      <c r="Q363" s="22">
        <v>-1.0714700000000001E-2</v>
      </c>
      <c r="R363" s="22">
        <v>353</v>
      </c>
      <c r="S363" s="22">
        <v>1.6766399999999999</v>
      </c>
      <c r="T363">
        <f t="shared" si="62"/>
        <v>10.714700000000001</v>
      </c>
      <c r="U363">
        <f t="shared" si="63"/>
        <v>17.974444985000002</v>
      </c>
      <c r="X363" s="9"/>
      <c r="Y363" s="22">
        <v>7.2479199999999994E-2</v>
      </c>
      <c r="Z363" s="22">
        <v>176.553</v>
      </c>
      <c r="AA363" s="22">
        <v>-1.7202800000000001E-2</v>
      </c>
      <c r="AB363" s="22">
        <v>353</v>
      </c>
      <c r="AC363" s="22">
        <v>7.1960399999999994E-2</v>
      </c>
      <c r="AD363">
        <f t="shared" si="64"/>
        <v>17.2028</v>
      </c>
      <c r="AE363">
        <f t="shared" si="65"/>
        <v>1.2468451817599999</v>
      </c>
      <c r="AF363" s="9"/>
      <c r="AG363" s="22">
        <v>1.6775500000000001</v>
      </c>
      <c r="AH363" s="22">
        <v>256.08499999999998</v>
      </c>
      <c r="AI363" s="22">
        <v>-1.05042E-2</v>
      </c>
      <c r="AJ363" s="22">
        <v>353</v>
      </c>
      <c r="AK363" s="22">
        <v>1.6766399999999999</v>
      </c>
      <c r="AL363">
        <f t="shared" si="66"/>
        <v>10.504200000000001</v>
      </c>
      <c r="AM363">
        <f t="shared" si="67"/>
        <v>17.621320710000003</v>
      </c>
      <c r="AP363" s="9"/>
      <c r="AQ363" s="22">
        <v>7.2479199999999994E-2</v>
      </c>
      <c r="AR363" s="22">
        <v>308.50200000000001</v>
      </c>
      <c r="AS363" s="22">
        <v>-1.6955600000000001E-2</v>
      </c>
      <c r="AT363" s="22">
        <v>353</v>
      </c>
      <c r="AU363" s="22">
        <v>7.1929900000000005E-2</v>
      </c>
      <c r="AV363">
        <f t="shared" si="68"/>
        <v>16.9556</v>
      </c>
      <c r="AW363">
        <f t="shared" si="69"/>
        <v>1.2289283235199999</v>
      </c>
      <c r="AX363" s="9"/>
      <c r="AY363" s="22">
        <v>1.6775500000000001</v>
      </c>
      <c r="AZ363" s="22">
        <v>387.73200000000003</v>
      </c>
      <c r="BA363" s="22">
        <v>-1.0461399999999999E-2</v>
      </c>
      <c r="BB363" s="22">
        <v>353</v>
      </c>
      <c r="BC363" s="22">
        <v>1.6769400000000001</v>
      </c>
      <c r="BD363">
        <f t="shared" si="70"/>
        <v>10.461399999999999</v>
      </c>
      <c r="BE363">
        <f t="shared" si="71"/>
        <v>17.54952157</v>
      </c>
    </row>
    <row r="364" spans="6:57">
      <c r="F364" s="9"/>
      <c r="G364" s="22">
        <v>6.7443799999999998E-2</v>
      </c>
      <c r="H364" s="22">
        <v>59.300899999999999</v>
      </c>
      <c r="I364" s="22">
        <v>-1.7352300000000001E-2</v>
      </c>
      <c r="J364" s="22">
        <v>354</v>
      </c>
      <c r="K364" s="22">
        <v>6.6894499999999996E-2</v>
      </c>
      <c r="L364">
        <f t="shared" si="60"/>
        <v>17.3523</v>
      </c>
      <c r="M364">
        <f t="shared" si="61"/>
        <v>1.1703050507399999</v>
      </c>
      <c r="N364" s="9"/>
      <c r="O364" s="22">
        <v>1.68259</v>
      </c>
      <c r="P364" s="22">
        <v>114.697</v>
      </c>
      <c r="Q364" s="22">
        <v>-1.04797E-2</v>
      </c>
      <c r="R364" s="22">
        <v>354</v>
      </c>
      <c r="S364" s="22">
        <v>1.6821299999999999</v>
      </c>
      <c r="T364">
        <f t="shared" si="62"/>
        <v>10.479699999999999</v>
      </c>
      <c r="U364">
        <f t="shared" si="63"/>
        <v>17.633038422999999</v>
      </c>
      <c r="X364" s="9"/>
      <c r="Y364" s="22">
        <v>6.7443799999999998E-2</v>
      </c>
      <c r="Z364" s="22">
        <v>176.654</v>
      </c>
      <c r="AA364" s="22">
        <v>-1.7175300000000001E-2</v>
      </c>
      <c r="AB364" s="22">
        <v>354</v>
      </c>
      <c r="AC364" s="22">
        <v>6.6924999999999998E-2</v>
      </c>
      <c r="AD364">
        <f t="shared" si="64"/>
        <v>17.1753</v>
      </c>
      <c r="AE364">
        <f t="shared" si="65"/>
        <v>1.1583674981400001</v>
      </c>
      <c r="AF364" s="9"/>
      <c r="AG364" s="22">
        <v>1.68259</v>
      </c>
      <c r="AH364" s="22">
        <v>256.18599999999998</v>
      </c>
      <c r="AI364" s="22">
        <v>-1.02203E-2</v>
      </c>
      <c r="AJ364" s="22">
        <v>354</v>
      </c>
      <c r="AK364" s="22">
        <v>1.6818200000000001</v>
      </c>
      <c r="AL364">
        <f t="shared" si="66"/>
        <v>10.2203</v>
      </c>
      <c r="AM364">
        <f t="shared" si="67"/>
        <v>17.196574577</v>
      </c>
      <c r="AP364" s="9"/>
      <c r="AQ364" s="22">
        <v>6.7443799999999998E-2</v>
      </c>
      <c r="AR364" s="22">
        <v>308.60300000000001</v>
      </c>
      <c r="AS364" s="22">
        <v>-1.6955600000000001E-2</v>
      </c>
      <c r="AT364" s="22">
        <v>354</v>
      </c>
      <c r="AU364" s="22">
        <v>6.6833500000000004E-2</v>
      </c>
      <c r="AV364">
        <f t="shared" si="68"/>
        <v>16.9556</v>
      </c>
      <c r="AW364">
        <f t="shared" si="69"/>
        <v>1.14355009528</v>
      </c>
      <c r="AX364" s="9"/>
      <c r="AY364" s="22">
        <v>1.68259</v>
      </c>
      <c r="AZ364" s="22">
        <v>387.83300000000003</v>
      </c>
      <c r="BA364" s="22">
        <v>-1.02203E-2</v>
      </c>
      <c r="BB364" s="22">
        <v>354</v>
      </c>
      <c r="BC364" s="22">
        <v>1.6815199999999999</v>
      </c>
      <c r="BD364">
        <f t="shared" si="70"/>
        <v>10.2203</v>
      </c>
      <c r="BE364">
        <f t="shared" si="71"/>
        <v>17.196574577</v>
      </c>
    </row>
    <row r="365" spans="6:57">
      <c r="F365" s="9"/>
      <c r="G365" s="22">
        <v>6.2408400000000003E-2</v>
      </c>
      <c r="H365" s="22">
        <v>59.401600000000002</v>
      </c>
      <c r="I365" s="22">
        <v>-1.7361499999999998E-2</v>
      </c>
      <c r="J365" s="22">
        <v>355</v>
      </c>
      <c r="K365" s="22">
        <v>6.18591E-2</v>
      </c>
      <c r="L365">
        <f t="shared" si="60"/>
        <v>17.361499999999999</v>
      </c>
      <c r="M365">
        <f t="shared" si="61"/>
        <v>1.0835034366</v>
      </c>
      <c r="N365" s="9"/>
      <c r="O365" s="22">
        <v>1.6876199999999999</v>
      </c>
      <c r="P365" s="22">
        <v>114.797</v>
      </c>
      <c r="Q365" s="22">
        <v>-1.0235599999999999E-2</v>
      </c>
      <c r="R365" s="22">
        <v>355</v>
      </c>
      <c r="S365" s="22">
        <v>1.6870099999999999</v>
      </c>
      <c r="T365">
        <f t="shared" si="62"/>
        <v>10.2356</v>
      </c>
      <c r="U365">
        <f t="shared" si="63"/>
        <v>17.273803271999999</v>
      </c>
      <c r="X365" s="9"/>
      <c r="Y365" s="22">
        <v>6.2408400000000003E-2</v>
      </c>
      <c r="Z365" s="22">
        <v>176.75399999999999</v>
      </c>
      <c r="AA365" s="22">
        <v>-1.7202800000000001E-2</v>
      </c>
      <c r="AB365" s="22">
        <v>355</v>
      </c>
      <c r="AC365" s="22">
        <v>6.1889600000000003E-2</v>
      </c>
      <c r="AD365">
        <f t="shared" si="64"/>
        <v>17.2028</v>
      </c>
      <c r="AE365">
        <f t="shared" si="65"/>
        <v>1.07359922352</v>
      </c>
      <c r="AF365" s="9"/>
      <c r="AG365" s="22">
        <v>1.6876199999999999</v>
      </c>
      <c r="AH365" s="22">
        <v>256.28699999999998</v>
      </c>
      <c r="AI365" s="22">
        <v>-9.9792500000000003E-3</v>
      </c>
      <c r="AJ365" s="22">
        <v>355</v>
      </c>
      <c r="AK365" s="22">
        <v>1.6870099999999999</v>
      </c>
      <c r="AL365">
        <f t="shared" si="66"/>
        <v>9.9792500000000004</v>
      </c>
      <c r="AM365">
        <f t="shared" si="67"/>
        <v>16.841181885000001</v>
      </c>
      <c r="AP365" s="9"/>
      <c r="AQ365" s="22">
        <v>6.2408400000000003E-2</v>
      </c>
      <c r="AR365" s="22">
        <v>308.70400000000001</v>
      </c>
      <c r="AS365" s="22">
        <v>-1.69342E-2</v>
      </c>
      <c r="AT365" s="22">
        <v>355</v>
      </c>
      <c r="AU365" s="22">
        <v>6.1950699999999997E-2</v>
      </c>
      <c r="AV365">
        <f t="shared" si="68"/>
        <v>16.934200000000001</v>
      </c>
      <c r="AW365">
        <f t="shared" si="69"/>
        <v>1.0568363272800001</v>
      </c>
      <c r="AX365" s="9"/>
      <c r="AY365" s="22">
        <v>1.6876199999999999</v>
      </c>
      <c r="AZ365" s="22">
        <v>387.93400000000003</v>
      </c>
      <c r="BA365" s="22">
        <v>-9.9639900000000007E-3</v>
      </c>
      <c r="BB365" s="22">
        <v>355</v>
      </c>
      <c r="BC365" s="22">
        <v>1.6870099999999999</v>
      </c>
      <c r="BD365">
        <f t="shared" si="70"/>
        <v>9.9639900000000008</v>
      </c>
      <c r="BE365">
        <f t="shared" si="71"/>
        <v>16.8154288038</v>
      </c>
    </row>
    <row r="366" spans="6:57">
      <c r="F366" s="9"/>
      <c r="G366" s="22">
        <v>5.7373E-2</v>
      </c>
      <c r="H366" s="22">
        <v>59.502299999999998</v>
      </c>
      <c r="I366" s="22">
        <v>-1.7352300000000001E-2</v>
      </c>
      <c r="J366" s="22">
        <v>356</v>
      </c>
      <c r="K366" s="22">
        <v>5.6854200000000001E-2</v>
      </c>
      <c r="L366">
        <f t="shared" si="60"/>
        <v>17.3523</v>
      </c>
      <c r="M366">
        <f t="shared" si="61"/>
        <v>0.99555350789999997</v>
      </c>
      <c r="N366" s="9"/>
      <c r="O366" s="22">
        <v>1.6926600000000001</v>
      </c>
      <c r="P366" s="22">
        <v>114.898</v>
      </c>
      <c r="Q366" s="22">
        <v>-9.9273699999999996E-3</v>
      </c>
      <c r="R366" s="22">
        <v>356</v>
      </c>
      <c r="S366" s="22">
        <v>1.6918899999999999</v>
      </c>
      <c r="T366">
        <f t="shared" si="62"/>
        <v>9.9273699999999998</v>
      </c>
      <c r="U366">
        <f t="shared" si="63"/>
        <v>16.803662104200001</v>
      </c>
      <c r="X366" s="9"/>
      <c r="Y366" s="22">
        <v>5.7373E-2</v>
      </c>
      <c r="Z366" s="22">
        <v>176.85499999999999</v>
      </c>
      <c r="AA366" s="22">
        <v>-1.7227200000000002E-2</v>
      </c>
      <c r="AB366" s="22">
        <v>356</v>
      </c>
      <c r="AC366" s="22">
        <v>5.6762699999999999E-2</v>
      </c>
      <c r="AD366">
        <f t="shared" si="64"/>
        <v>17.2272</v>
      </c>
      <c r="AE366">
        <f t="shared" si="65"/>
        <v>0.98837614559999998</v>
      </c>
      <c r="AF366" s="9"/>
      <c r="AG366" s="22">
        <v>1.6926600000000001</v>
      </c>
      <c r="AH366" s="22">
        <v>256.387</v>
      </c>
      <c r="AI366" s="22">
        <v>-9.7045900000000008E-3</v>
      </c>
      <c r="AJ366" s="22">
        <v>356</v>
      </c>
      <c r="AK366" s="22">
        <v>1.6918899999999999</v>
      </c>
      <c r="AL366">
        <f t="shared" si="66"/>
        <v>9.7045900000000014</v>
      </c>
      <c r="AM366">
        <f t="shared" si="67"/>
        <v>16.426571309400003</v>
      </c>
      <c r="AP366" s="9"/>
      <c r="AQ366" s="22">
        <v>5.7373E-2</v>
      </c>
      <c r="AR366" s="22">
        <v>308.80399999999997</v>
      </c>
      <c r="AS366" s="22">
        <v>-1.6958600000000001E-2</v>
      </c>
      <c r="AT366" s="22">
        <v>356</v>
      </c>
      <c r="AU366" s="22">
        <v>5.6915300000000002E-2</v>
      </c>
      <c r="AV366">
        <f t="shared" si="68"/>
        <v>16.958600000000001</v>
      </c>
      <c r="AW366">
        <f t="shared" si="69"/>
        <v>0.97296575780000005</v>
      </c>
      <c r="AX366" s="9"/>
      <c r="AY366" s="22">
        <v>1.6926600000000001</v>
      </c>
      <c r="AZ366" s="22">
        <v>388.03500000000003</v>
      </c>
      <c r="BA366" s="22">
        <v>-9.6832299999999993E-3</v>
      </c>
      <c r="BB366" s="22">
        <v>356</v>
      </c>
      <c r="BC366" s="22">
        <v>1.6915899999999999</v>
      </c>
      <c r="BD366">
        <f t="shared" si="70"/>
        <v>9.68323</v>
      </c>
      <c r="BE366">
        <f t="shared" si="71"/>
        <v>16.390416091799999</v>
      </c>
    </row>
    <row r="367" spans="6:57">
      <c r="F367" s="9"/>
      <c r="G367" s="22">
        <v>5.2337599999999998E-2</v>
      </c>
      <c r="H367" s="22">
        <v>59.603099999999998</v>
      </c>
      <c r="I367" s="22">
        <v>-1.7355300000000001E-2</v>
      </c>
      <c r="J367" s="22">
        <v>357</v>
      </c>
      <c r="K367" s="22">
        <v>5.1818799999999998E-2</v>
      </c>
      <c r="L367">
        <f t="shared" si="60"/>
        <v>17.3553</v>
      </c>
      <c r="M367">
        <f t="shared" si="61"/>
        <v>0.90833474927999991</v>
      </c>
      <c r="N367" s="9"/>
      <c r="O367" s="22">
        <v>1.6976899999999999</v>
      </c>
      <c r="P367" s="22">
        <v>114.999</v>
      </c>
      <c r="Q367" s="22">
        <v>-9.61914E-3</v>
      </c>
      <c r="R367" s="22">
        <v>357</v>
      </c>
      <c r="S367" s="22">
        <v>1.6970799999999999</v>
      </c>
      <c r="T367">
        <f t="shared" si="62"/>
        <v>9.6191399999999998</v>
      </c>
      <c r="U367">
        <f t="shared" si="63"/>
        <v>16.330317786599998</v>
      </c>
      <c r="X367" s="9"/>
      <c r="Y367" s="22">
        <v>5.2337599999999998E-2</v>
      </c>
      <c r="Z367" s="22">
        <v>176.95599999999999</v>
      </c>
      <c r="AA367" s="22">
        <v>-1.7208899999999999E-2</v>
      </c>
      <c r="AB367" s="22">
        <v>357</v>
      </c>
      <c r="AC367" s="22">
        <v>5.1910400000000002E-2</v>
      </c>
      <c r="AD367">
        <f t="shared" si="64"/>
        <v>17.2089</v>
      </c>
      <c r="AE367">
        <f t="shared" si="65"/>
        <v>0.90067252463999992</v>
      </c>
      <c r="AF367" s="9"/>
      <c r="AG367" s="22">
        <v>1.6976899999999999</v>
      </c>
      <c r="AH367" s="22">
        <v>256.488</v>
      </c>
      <c r="AI367" s="22">
        <v>-9.4024699999999996E-3</v>
      </c>
      <c r="AJ367" s="22">
        <v>357</v>
      </c>
      <c r="AK367" s="22">
        <v>1.69739</v>
      </c>
      <c r="AL367">
        <f t="shared" si="66"/>
        <v>9.4024699999999992</v>
      </c>
      <c r="AM367">
        <f t="shared" si="67"/>
        <v>15.962479294299998</v>
      </c>
      <c r="AP367" s="9"/>
      <c r="AQ367" s="22">
        <v>5.2337599999999998E-2</v>
      </c>
      <c r="AR367" s="22">
        <v>308.90499999999997</v>
      </c>
      <c r="AS367" s="22">
        <v>-1.69342E-2</v>
      </c>
      <c r="AT367" s="22">
        <v>357</v>
      </c>
      <c r="AU367" s="22">
        <v>5.1788300000000002E-2</v>
      </c>
      <c r="AV367">
        <f t="shared" si="68"/>
        <v>16.934200000000001</v>
      </c>
      <c r="AW367">
        <f t="shared" si="69"/>
        <v>0.88629538592000001</v>
      </c>
      <c r="AX367" s="9"/>
      <c r="AY367" s="22">
        <v>1.6976899999999999</v>
      </c>
      <c r="AZ367" s="22">
        <v>388.13499999999999</v>
      </c>
      <c r="BA367" s="22">
        <v>-9.38721E-3</v>
      </c>
      <c r="BB367" s="22">
        <v>357</v>
      </c>
      <c r="BC367" s="22">
        <v>1.69678</v>
      </c>
      <c r="BD367">
        <f t="shared" si="70"/>
        <v>9.3872099999999996</v>
      </c>
      <c r="BE367">
        <f t="shared" si="71"/>
        <v>15.936572544899999</v>
      </c>
    </row>
    <row r="368" spans="6:57">
      <c r="F368" s="9"/>
      <c r="G368" s="22">
        <v>4.7302200000000003E-2</v>
      </c>
      <c r="H368" s="22">
        <v>59.703800000000001</v>
      </c>
      <c r="I368" s="22">
        <v>-1.7337000000000002E-2</v>
      </c>
      <c r="J368" s="22">
        <v>358</v>
      </c>
      <c r="K368" s="22">
        <v>4.7274799999999999E-2</v>
      </c>
      <c r="L368">
        <f t="shared" si="60"/>
        <v>17.337000000000003</v>
      </c>
      <c r="M368">
        <f t="shared" si="61"/>
        <v>0.82007824140000019</v>
      </c>
      <c r="N368" s="9"/>
      <c r="O368" s="22">
        <v>1.7027300000000001</v>
      </c>
      <c r="P368" s="22">
        <v>115.1</v>
      </c>
      <c r="Q368" s="22">
        <v>-9.3292199999999992E-3</v>
      </c>
      <c r="R368" s="22">
        <v>358</v>
      </c>
      <c r="S368" s="22">
        <v>1.70166</v>
      </c>
      <c r="T368">
        <f t="shared" si="62"/>
        <v>9.3292199999999994</v>
      </c>
      <c r="U368">
        <f t="shared" si="63"/>
        <v>15.8851427706</v>
      </c>
      <c r="X368" s="9"/>
      <c r="Y368" s="22">
        <v>4.7302200000000003E-2</v>
      </c>
      <c r="Z368" s="22">
        <v>177.05699999999999</v>
      </c>
      <c r="AA368" s="22">
        <v>-1.7196699999999999E-2</v>
      </c>
      <c r="AB368" s="22">
        <v>358</v>
      </c>
      <c r="AC368" s="22">
        <v>4.7265599999999998E-2</v>
      </c>
      <c r="AD368">
        <f t="shared" si="64"/>
        <v>17.1967</v>
      </c>
      <c r="AE368">
        <f t="shared" si="65"/>
        <v>0.81344174274000003</v>
      </c>
      <c r="AF368" s="9"/>
      <c r="AG368" s="22">
        <v>1.7027300000000001</v>
      </c>
      <c r="AH368" s="22">
        <v>256.589</v>
      </c>
      <c r="AI368" s="22">
        <v>-9.0820299999999996E-3</v>
      </c>
      <c r="AJ368" s="22">
        <v>358</v>
      </c>
      <c r="AK368" s="22">
        <v>1.7022699999999999</v>
      </c>
      <c r="AL368">
        <f t="shared" si="66"/>
        <v>9.0820299999999996</v>
      </c>
      <c r="AM368">
        <f t="shared" si="67"/>
        <v>15.464244941900001</v>
      </c>
      <c r="AP368" s="9"/>
      <c r="AQ368" s="22">
        <v>4.7302200000000003E-2</v>
      </c>
      <c r="AR368" s="22">
        <v>309.00599999999997</v>
      </c>
      <c r="AS368" s="22">
        <v>-1.6992199999999999E-2</v>
      </c>
      <c r="AT368" s="22">
        <v>358</v>
      </c>
      <c r="AU368" s="22">
        <v>4.7247299999999999E-2</v>
      </c>
      <c r="AV368">
        <f t="shared" si="68"/>
        <v>16.9922</v>
      </c>
      <c r="AW368">
        <f t="shared" si="69"/>
        <v>0.80376844284000004</v>
      </c>
      <c r="AX368" s="9"/>
      <c r="AY368" s="22">
        <v>1.7027300000000001</v>
      </c>
      <c r="AZ368" s="22">
        <v>388.23599999999999</v>
      </c>
      <c r="BA368" s="22">
        <v>-9.1033899999999994E-3</v>
      </c>
      <c r="BB368" s="22">
        <v>358</v>
      </c>
      <c r="BC368" s="22">
        <v>1.70197</v>
      </c>
      <c r="BD368">
        <f t="shared" si="70"/>
        <v>9.1033899999999992</v>
      </c>
      <c r="BE368">
        <f t="shared" si="71"/>
        <v>15.5006152547</v>
      </c>
    </row>
    <row r="369" spans="6:57">
      <c r="F369" s="9"/>
      <c r="G369" s="22">
        <v>4.22668E-2</v>
      </c>
      <c r="H369" s="22">
        <v>59.804499999999997</v>
      </c>
      <c r="I369" s="22">
        <v>-1.7306499999999999E-2</v>
      </c>
      <c r="J369" s="22">
        <v>359</v>
      </c>
      <c r="K369" s="22">
        <v>4.2257700000000002E-2</v>
      </c>
      <c r="L369">
        <f t="shared" si="60"/>
        <v>17.3065</v>
      </c>
      <c r="M369">
        <f t="shared" si="61"/>
        <v>0.73149037419999996</v>
      </c>
      <c r="N369" s="9"/>
      <c r="O369" s="22">
        <v>1.7077599999999999</v>
      </c>
      <c r="P369" s="22">
        <v>115.2</v>
      </c>
      <c r="Q369" s="22">
        <v>-9.0209999999999995E-3</v>
      </c>
      <c r="R369" s="22">
        <v>359</v>
      </c>
      <c r="S369" s="22">
        <v>1.70746</v>
      </c>
      <c r="T369">
        <f t="shared" si="62"/>
        <v>9.020999999999999</v>
      </c>
      <c r="U369">
        <f t="shared" si="63"/>
        <v>15.405702959999998</v>
      </c>
      <c r="X369" s="9"/>
      <c r="Y369" s="22">
        <v>4.22668E-2</v>
      </c>
      <c r="Z369" s="22">
        <v>177.15700000000001</v>
      </c>
      <c r="AA369" s="22">
        <v>-1.7202800000000001E-2</v>
      </c>
      <c r="AB369" s="22">
        <v>359</v>
      </c>
      <c r="AC369" s="22">
        <v>4.2239400000000003E-2</v>
      </c>
      <c r="AD369">
        <f t="shared" si="64"/>
        <v>17.2028</v>
      </c>
      <c r="AE369">
        <f t="shared" si="65"/>
        <v>0.72710730704000004</v>
      </c>
      <c r="AF369" s="9"/>
      <c r="AG369" s="22">
        <v>1.7077599999999999</v>
      </c>
      <c r="AH369" s="22">
        <v>256.69</v>
      </c>
      <c r="AI369" s="22">
        <v>-8.7341299999999997E-3</v>
      </c>
      <c r="AJ369" s="22">
        <v>359</v>
      </c>
      <c r="AK369" s="22">
        <v>1.70746</v>
      </c>
      <c r="AL369">
        <f t="shared" si="66"/>
        <v>8.7341300000000004</v>
      </c>
      <c r="AM369">
        <f t="shared" si="67"/>
        <v>14.9157978488</v>
      </c>
      <c r="AP369" s="9"/>
      <c r="AQ369" s="22">
        <v>4.22668E-2</v>
      </c>
      <c r="AR369" s="22">
        <v>309.10599999999999</v>
      </c>
      <c r="AS369" s="22">
        <v>-1.7025800000000001E-2</v>
      </c>
      <c r="AT369" s="22">
        <v>359</v>
      </c>
      <c r="AU369" s="22">
        <v>4.2349199999999997E-2</v>
      </c>
      <c r="AV369">
        <f t="shared" si="68"/>
        <v>17.0258</v>
      </c>
      <c r="AW369">
        <f t="shared" si="69"/>
        <v>0.71962608344000001</v>
      </c>
      <c r="AX369" s="9"/>
      <c r="AY369" s="22">
        <v>1.7077599999999999</v>
      </c>
      <c r="AZ369" s="22">
        <v>388.33699999999999</v>
      </c>
      <c r="BA369" s="22">
        <v>-8.7860100000000003E-3</v>
      </c>
      <c r="BB369" s="22">
        <v>359</v>
      </c>
      <c r="BC369" s="22">
        <v>1.70685</v>
      </c>
      <c r="BD369">
        <f t="shared" si="70"/>
        <v>8.786010000000001</v>
      </c>
      <c r="BE369">
        <f t="shared" si="71"/>
        <v>15.004396437600001</v>
      </c>
    </row>
    <row r="370" spans="6:57">
      <c r="F370" s="9"/>
      <c r="G370" s="22">
        <v>3.7231399999999998E-2</v>
      </c>
      <c r="H370" s="22">
        <v>59.905200000000001</v>
      </c>
      <c r="I370" s="22">
        <v>-1.7349199999999999E-2</v>
      </c>
      <c r="J370" s="22">
        <v>360</v>
      </c>
      <c r="K370" s="22">
        <v>3.7185700000000002E-2</v>
      </c>
      <c r="L370">
        <f t="shared" si="60"/>
        <v>17.3492</v>
      </c>
      <c r="M370">
        <f t="shared" si="61"/>
        <v>0.64593500488</v>
      </c>
      <c r="N370" s="9"/>
      <c r="O370" s="22">
        <v>1.7128000000000001</v>
      </c>
      <c r="P370" s="22">
        <v>115.301</v>
      </c>
      <c r="Q370" s="22">
        <v>-8.6517299999999998E-3</v>
      </c>
      <c r="R370" s="22">
        <v>360</v>
      </c>
      <c r="S370" s="22">
        <v>1.71204</v>
      </c>
      <c r="T370">
        <f t="shared" si="62"/>
        <v>8.6517300000000006</v>
      </c>
      <c r="U370">
        <f t="shared" si="63"/>
        <v>14.818683144000001</v>
      </c>
      <c r="X370" s="9"/>
      <c r="Y370" s="22">
        <v>3.7231399999999998E-2</v>
      </c>
      <c r="Z370" s="22">
        <v>177.25800000000001</v>
      </c>
      <c r="AA370" s="22">
        <v>-1.72333E-2</v>
      </c>
      <c r="AB370" s="22">
        <v>360</v>
      </c>
      <c r="AC370" s="22">
        <v>3.7185700000000002E-2</v>
      </c>
      <c r="AD370">
        <f t="shared" si="64"/>
        <v>17.2333</v>
      </c>
      <c r="AE370">
        <f t="shared" si="65"/>
        <v>0.64161988561999994</v>
      </c>
      <c r="AF370" s="9"/>
      <c r="AG370" s="22">
        <v>1.7128000000000001</v>
      </c>
      <c r="AH370" s="22">
        <v>256.79000000000002</v>
      </c>
      <c r="AI370" s="22">
        <v>-8.4014899999999993E-3</v>
      </c>
      <c r="AJ370" s="22">
        <v>360</v>
      </c>
      <c r="AK370" s="22">
        <v>1.71204</v>
      </c>
      <c r="AL370">
        <f t="shared" si="66"/>
        <v>8.401489999999999</v>
      </c>
      <c r="AM370">
        <f t="shared" si="67"/>
        <v>14.390072071999999</v>
      </c>
      <c r="AP370" s="9"/>
      <c r="AQ370" s="22">
        <v>3.7231399999999998E-2</v>
      </c>
      <c r="AR370" s="22">
        <v>309.20699999999999</v>
      </c>
      <c r="AS370" s="22">
        <v>-1.70288E-2</v>
      </c>
      <c r="AT370" s="22">
        <v>360</v>
      </c>
      <c r="AU370" s="22">
        <v>3.7265E-2</v>
      </c>
      <c r="AV370">
        <f t="shared" si="68"/>
        <v>17.0288</v>
      </c>
      <c r="AW370">
        <f t="shared" si="69"/>
        <v>0.63400606431999995</v>
      </c>
      <c r="AX370" s="9"/>
      <c r="AY370" s="22">
        <v>1.7128000000000001</v>
      </c>
      <c r="AZ370" s="22">
        <v>388.43700000000001</v>
      </c>
      <c r="BA370" s="22">
        <v>-8.4594700000000002E-3</v>
      </c>
      <c r="BB370" s="22">
        <v>360</v>
      </c>
      <c r="BC370" s="22">
        <v>1.71204</v>
      </c>
      <c r="BD370">
        <f t="shared" si="70"/>
        <v>8.4594699999999996</v>
      </c>
      <c r="BE370">
        <f t="shared" si="71"/>
        <v>14.489380216000001</v>
      </c>
    </row>
    <row r="371" spans="6:57">
      <c r="F371" s="9"/>
      <c r="G371" s="22">
        <v>3.2196000000000002E-2</v>
      </c>
      <c r="H371" s="22">
        <v>60.005899999999997</v>
      </c>
      <c r="I371" s="22">
        <v>-1.7373699999999999E-2</v>
      </c>
      <c r="J371" s="22">
        <v>361</v>
      </c>
      <c r="K371" s="22">
        <v>3.2141099999999999E-2</v>
      </c>
      <c r="L371">
        <f t="shared" si="60"/>
        <v>17.373699999999999</v>
      </c>
      <c r="M371">
        <f t="shared" si="61"/>
        <v>0.55936364520000004</v>
      </c>
      <c r="N371" s="9"/>
      <c r="O371" s="22">
        <v>1.71783</v>
      </c>
      <c r="P371" s="22">
        <v>115.402</v>
      </c>
      <c r="Q371" s="22">
        <v>-8.3038299999999999E-3</v>
      </c>
      <c r="R371" s="22">
        <v>361</v>
      </c>
      <c r="S371" s="22">
        <v>1.71692</v>
      </c>
      <c r="T371">
        <f t="shared" si="62"/>
        <v>8.3038299999999996</v>
      </c>
      <c r="U371">
        <f t="shared" si="63"/>
        <v>14.2645682889</v>
      </c>
      <c r="X371" s="9"/>
      <c r="Y371" s="22">
        <v>3.2196000000000002E-2</v>
      </c>
      <c r="Z371" s="22">
        <v>177.35900000000001</v>
      </c>
      <c r="AA371" s="22">
        <v>-1.7224099999999999E-2</v>
      </c>
      <c r="AB371" s="22">
        <v>361</v>
      </c>
      <c r="AC371" s="22">
        <v>3.2223500000000002E-2</v>
      </c>
      <c r="AD371">
        <f t="shared" si="64"/>
        <v>17.2241</v>
      </c>
      <c r="AE371">
        <f t="shared" si="65"/>
        <v>0.55454712360000002</v>
      </c>
      <c r="AF371" s="9"/>
      <c r="AG371" s="22">
        <v>1.71783</v>
      </c>
      <c r="AH371" s="22">
        <v>256.89100000000002</v>
      </c>
      <c r="AI371" s="22">
        <v>-8.0291700000000004E-3</v>
      </c>
      <c r="AJ371" s="22">
        <v>361</v>
      </c>
      <c r="AK371" s="22">
        <v>1.71661</v>
      </c>
      <c r="AL371">
        <f t="shared" si="66"/>
        <v>8.0291700000000006</v>
      </c>
      <c r="AM371">
        <f t="shared" si="67"/>
        <v>13.7927491011</v>
      </c>
      <c r="AP371" s="9"/>
      <c r="AQ371" s="22">
        <v>3.2196000000000002E-2</v>
      </c>
      <c r="AR371" s="22">
        <v>309.30799999999999</v>
      </c>
      <c r="AS371" s="22">
        <v>-1.6998300000000001E-2</v>
      </c>
      <c r="AT371" s="22">
        <v>361</v>
      </c>
      <c r="AU371" s="22">
        <v>3.2174700000000001E-2</v>
      </c>
      <c r="AV371">
        <f t="shared" si="68"/>
        <v>16.9983</v>
      </c>
      <c r="AW371">
        <f t="shared" si="69"/>
        <v>0.54727726680000011</v>
      </c>
      <c r="AX371" s="9"/>
      <c r="AY371" s="22">
        <v>1.71783</v>
      </c>
      <c r="AZ371" s="22">
        <v>388.53800000000001</v>
      </c>
      <c r="BA371" s="22">
        <v>-8.1237800000000006E-3</v>
      </c>
      <c r="BB371" s="22">
        <v>361</v>
      </c>
      <c r="BC371" s="22">
        <v>1.71661</v>
      </c>
      <c r="BD371">
        <f t="shared" si="70"/>
        <v>8.12378</v>
      </c>
      <c r="BE371">
        <f t="shared" si="71"/>
        <v>13.9552729974</v>
      </c>
    </row>
    <row r="372" spans="6:57">
      <c r="F372" s="9"/>
      <c r="G372" s="22">
        <v>2.71606E-2</v>
      </c>
      <c r="H372" s="22">
        <v>60.1066</v>
      </c>
      <c r="I372" s="22">
        <v>-1.7379800000000001E-2</v>
      </c>
      <c r="J372" s="22">
        <v>362</v>
      </c>
      <c r="K372" s="22">
        <v>2.7020300000000001E-2</v>
      </c>
      <c r="L372">
        <f t="shared" si="60"/>
        <v>17.379799999999999</v>
      </c>
      <c r="M372">
        <f t="shared" si="61"/>
        <v>0.47204579588000001</v>
      </c>
      <c r="N372" s="9"/>
      <c r="O372" s="22">
        <v>1.7228699999999999</v>
      </c>
      <c r="P372" s="22">
        <v>115.502</v>
      </c>
      <c r="Q372" s="22">
        <v>-7.9101599999999994E-3</v>
      </c>
      <c r="R372" s="22">
        <v>362</v>
      </c>
      <c r="S372" s="22">
        <v>1.72211</v>
      </c>
      <c r="T372">
        <f t="shared" si="62"/>
        <v>7.9101599999999994</v>
      </c>
      <c r="U372">
        <f t="shared" si="63"/>
        <v>13.628177359199999</v>
      </c>
      <c r="X372" s="9"/>
      <c r="Y372" s="22">
        <v>2.71606E-2</v>
      </c>
      <c r="Z372" s="22">
        <v>177.459</v>
      </c>
      <c r="AA372" s="22">
        <v>-1.7163100000000001E-2</v>
      </c>
      <c r="AB372" s="22">
        <v>362</v>
      </c>
      <c r="AC372" s="22">
        <v>2.70081E-2</v>
      </c>
      <c r="AD372">
        <f t="shared" si="64"/>
        <v>17.1631</v>
      </c>
      <c r="AE372">
        <f t="shared" si="65"/>
        <v>0.46616009386000001</v>
      </c>
      <c r="AF372" s="9"/>
      <c r="AG372" s="22">
        <v>1.7228699999999999</v>
      </c>
      <c r="AH372" s="22">
        <v>256.99200000000002</v>
      </c>
      <c r="AI372" s="22">
        <v>-7.6324499999999998E-3</v>
      </c>
      <c r="AJ372" s="22">
        <v>362</v>
      </c>
      <c r="AK372" s="22">
        <v>1.72241</v>
      </c>
      <c r="AL372">
        <f t="shared" si="66"/>
        <v>7.6324499999999995</v>
      </c>
      <c r="AM372">
        <f t="shared" si="67"/>
        <v>13.149719131499998</v>
      </c>
      <c r="AP372" s="9"/>
      <c r="AQ372" s="22">
        <v>2.71606E-2</v>
      </c>
      <c r="AR372" s="22">
        <v>309.40899999999999</v>
      </c>
      <c r="AS372" s="22">
        <v>-1.7019699999999999E-2</v>
      </c>
      <c r="AT372" s="22">
        <v>362</v>
      </c>
      <c r="AU372" s="22">
        <v>2.70905E-2</v>
      </c>
      <c r="AV372">
        <f t="shared" si="68"/>
        <v>17.0197</v>
      </c>
      <c r="AW372">
        <f t="shared" si="69"/>
        <v>0.46226526381999999</v>
      </c>
      <c r="AX372" s="9"/>
      <c r="AY372" s="22">
        <v>1.7228699999999999</v>
      </c>
      <c r="AZ372" s="22">
        <v>388.63900000000001</v>
      </c>
      <c r="BA372" s="22">
        <v>-7.7148399999999997E-3</v>
      </c>
      <c r="BB372" s="22">
        <v>362</v>
      </c>
      <c r="BC372" s="22">
        <v>1.72241</v>
      </c>
      <c r="BD372">
        <f t="shared" si="70"/>
        <v>7.7148399999999997</v>
      </c>
      <c r="BE372">
        <f t="shared" si="71"/>
        <v>13.291666390799998</v>
      </c>
    </row>
    <row r="373" spans="6:57">
      <c r="F373" s="9"/>
      <c r="G373" s="22">
        <v>2.2125200000000001E-2</v>
      </c>
      <c r="H373" s="22">
        <v>60.207299999999996</v>
      </c>
      <c r="I373" s="22">
        <v>-1.73676E-2</v>
      </c>
      <c r="J373" s="22">
        <v>363</v>
      </c>
      <c r="K373" s="22">
        <v>2.1948200000000001E-2</v>
      </c>
      <c r="L373">
        <f t="shared" si="60"/>
        <v>17.367599999999999</v>
      </c>
      <c r="M373">
        <f t="shared" si="61"/>
        <v>0.38426162351999998</v>
      </c>
      <c r="N373" s="9"/>
      <c r="O373" s="22">
        <v>1.7279100000000001</v>
      </c>
      <c r="P373" s="22">
        <v>115.60299999999999</v>
      </c>
      <c r="Q373" s="22">
        <v>-7.5439499999999998E-3</v>
      </c>
      <c r="R373" s="22">
        <v>363</v>
      </c>
      <c r="S373" s="22">
        <v>1.72729</v>
      </c>
      <c r="T373">
        <f t="shared" si="62"/>
        <v>7.5439499999999997</v>
      </c>
      <c r="U373">
        <f t="shared" si="63"/>
        <v>13.0352666445</v>
      </c>
      <c r="X373" s="9"/>
      <c r="Y373" s="22">
        <v>2.2125200000000001E-2</v>
      </c>
      <c r="Z373" s="22">
        <v>177.56</v>
      </c>
      <c r="AA373" s="22">
        <v>-1.7239399999999998E-2</v>
      </c>
      <c r="AB373" s="22">
        <v>363</v>
      </c>
      <c r="AC373" s="22">
        <v>2.2094699999999998E-2</v>
      </c>
      <c r="AD373">
        <f t="shared" si="64"/>
        <v>17.2394</v>
      </c>
      <c r="AE373">
        <f t="shared" si="65"/>
        <v>0.38142517288</v>
      </c>
      <c r="AF373" s="9"/>
      <c r="AG373" s="22">
        <v>1.7279100000000001</v>
      </c>
      <c r="AH373" s="22">
        <v>257.09199999999998</v>
      </c>
      <c r="AI373" s="22">
        <v>-7.2357200000000002E-3</v>
      </c>
      <c r="AJ373" s="22">
        <v>363</v>
      </c>
      <c r="AK373" s="22">
        <v>1.72699</v>
      </c>
      <c r="AL373">
        <f t="shared" si="66"/>
        <v>7.2357200000000006</v>
      </c>
      <c r="AM373">
        <f t="shared" si="67"/>
        <v>12.502672945200002</v>
      </c>
      <c r="AP373" s="9"/>
      <c r="AQ373" s="22">
        <v>2.2125200000000001E-2</v>
      </c>
      <c r="AR373" s="22">
        <v>309.50900000000001</v>
      </c>
      <c r="AS373" s="22">
        <v>-1.7025800000000001E-2</v>
      </c>
      <c r="AT373" s="22">
        <v>363</v>
      </c>
      <c r="AU373" s="22">
        <v>2.2048999999999999E-2</v>
      </c>
      <c r="AV373">
        <f t="shared" si="68"/>
        <v>17.0258</v>
      </c>
      <c r="AW373">
        <f t="shared" si="69"/>
        <v>0.37669923016000001</v>
      </c>
      <c r="AX373" s="9"/>
      <c r="AY373" s="22">
        <v>1.7279100000000001</v>
      </c>
      <c r="AZ373" s="22">
        <v>388.74</v>
      </c>
      <c r="BA373" s="22">
        <v>-7.3089599999999998E-3</v>
      </c>
      <c r="BB373" s="22">
        <v>363</v>
      </c>
      <c r="BC373" s="22">
        <v>1.7276</v>
      </c>
      <c r="BD373">
        <f t="shared" si="70"/>
        <v>7.3089599999999999</v>
      </c>
      <c r="BE373">
        <f t="shared" si="71"/>
        <v>12.629225073600001</v>
      </c>
    </row>
    <row r="374" spans="6:57">
      <c r="F374" s="9"/>
      <c r="G374" s="22">
        <v>1.7089799999999999E-2</v>
      </c>
      <c r="H374" s="22">
        <v>60.308</v>
      </c>
      <c r="I374" s="22">
        <v>-1.7352300000000001E-2</v>
      </c>
      <c r="J374" s="22">
        <v>364</v>
      </c>
      <c r="K374" s="22">
        <v>1.69891E-2</v>
      </c>
      <c r="L374">
        <f t="shared" si="60"/>
        <v>17.3523</v>
      </c>
      <c r="M374">
        <f t="shared" si="61"/>
        <v>0.29654733653999998</v>
      </c>
      <c r="N374" s="9"/>
      <c r="O374" s="22">
        <v>1.7329399999999999</v>
      </c>
      <c r="P374" s="22">
        <v>115.70399999999999</v>
      </c>
      <c r="Q374" s="22">
        <v>-7.1197500000000002E-3</v>
      </c>
      <c r="R374" s="22">
        <v>364</v>
      </c>
      <c r="S374" s="22">
        <v>1.7321800000000001</v>
      </c>
      <c r="T374">
        <f t="shared" si="62"/>
        <v>7.1197499999999998</v>
      </c>
      <c r="U374">
        <f t="shared" si="63"/>
        <v>12.338099564999998</v>
      </c>
      <c r="X374" s="9"/>
      <c r="Y374" s="22">
        <v>1.7089799999999999E-2</v>
      </c>
      <c r="Z374" s="22">
        <v>177.661</v>
      </c>
      <c r="AA374" s="22">
        <v>-1.72607E-2</v>
      </c>
      <c r="AB374" s="22">
        <v>364</v>
      </c>
      <c r="AC374" s="22">
        <v>1.70441E-2</v>
      </c>
      <c r="AD374">
        <f t="shared" si="64"/>
        <v>17.2607</v>
      </c>
      <c r="AE374">
        <f t="shared" si="65"/>
        <v>0.29498191085999997</v>
      </c>
      <c r="AF374" s="9"/>
      <c r="AG374" s="22">
        <v>1.7329399999999999</v>
      </c>
      <c r="AH374" s="22">
        <v>257.19299999999998</v>
      </c>
      <c r="AI374" s="22">
        <v>-6.7840599999999997E-3</v>
      </c>
      <c r="AJ374" s="22">
        <v>364</v>
      </c>
      <c r="AK374" s="22">
        <v>1.7321800000000001</v>
      </c>
      <c r="AL374">
        <f t="shared" si="66"/>
        <v>6.7840599999999993</v>
      </c>
      <c r="AM374">
        <f t="shared" si="67"/>
        <v>11.756368936399998</v>
      </c>
      <c r="AP374" s="9"/>
      <c r="AQ374" s="22">
        <v>1.7089799999999999E-2</v>
      </c>
      <c r="AR374" s="22">
        <v>309.61</v>
      </c>
      <c r="AS374" s="22">
        <v>-1.7019699999999999E-2</v>
      </c>
      <c r="AT374" s="22">
        <v>364</v>
      </c>
      <c r="AU374" s="22">
        <v>1.6998300000000001E-2</v>
      </c>
      <c r="AV374">
        <f t="shared" si="68"/>
        <v>17.0197</v>
      </c>
      <c r="AW374">
        <f t="shared" si="69"/>
        <v>0.29086326905999998</v>
      </c>
      <c r="AX374" s="9"/>
      <c r="AY374" s="22">
        <v>1.7329399999999999</v>
      </c>
      <c r="AZ374" s="22">
        <v>388.84</v>
      </c>
      <c r="BA374" s="22">
        <v>-6.8725599999999998E-3</v>
      </c>
      <c r="BB374" s="22">
        <v>364</v>
      </c>
      <c r="BC374" s="22">
        <v>1.73187</v>
      </c>
      <c r="BD374">
        <f t="shared" si="70"/>
        <v>6.87256</v>
      </c>
      <c r="BE374">
        <f t="shared" si="71"/>
        <v>11.9097341264</v>
      </c>
    </row>
    <row r="375" spans="6:57">
      <c r="F375" s="9"/>
      <c r="G375" s="22">
        <v>1.20544E-2</v>
      </c>
      <c r="H375" s="22">
        <v>60.408700000000003</v>
      </c>
      <c r="I375" s="22">
        <v>-1.7346199999999999E-2</v>
      </c>
      <c r="J375" s="22">
        <v>365</v>
      </c>
      <c r="K375" s="22">
        <v>1.19446E-2</v>
      </c>
      <c r="L375">
        <f t="shared" si="60"/>
        <v>17.3462</v>
      </c>
      <c r="M375">
        <f t="shared" si="61"/>
        <v>0.20909803327999998</v>
      </c>
      <c r="N375" s="9"/>
      <c r="O375" s="22">
        <v>1.7379800000000001</v>
      </c>
      <c r="P375" s="22">
        <v>115.80500000000001</v>
      </c>
      <c r="Q375" s="22">
        <v>-6.6650399999999997E-3</v>
      </c>
      <c r="R375" s="22">
        <v>365</v>
      </c>
      <c r="S375" s="22">
        <v>1.7373700000000001</v>
      </c>
      <c r="T375">
        <f t="shared" si="62"/>
        <v>6.6650399999999994</v>
      </c>
      <c r="U375">
        <f t="shared" si="63"/>
        <v>11.5837062192</v>
      </c>
      <c r="X375" s="9"/>
      <c r="Y375" s="22">
        <v>1.20544E-2</v>
      </c>
      <c r="Z375" s="22">
        <v>177.762</v>
      </c>
      <c r="AA375" s="22">
        <v>-1.72333E-2</v>
      </c>
      <c r="AB375" s="22">
        <v>365</v>
      </c>
      <c r="AC375" s="22">
        <v>1.18469E-2</v>
      </c>
      <c r="AD375">
        <f t="shared" si="64"/>
        <v>17.2333</v>
      </c>
      <c r="AE375">
        <f t="shared" si="65"/>
        <v>0.20773709152</v>
      </c>
      <c r="AF375" s="9"/>
      <c r="AG375" s="22">
        <v>1.7379800000000001</v>
      </c>
      <c r="AH375" s="22">
        <v>257.29399999999998</v>
      </c>
      <c r="AI375" s="22">
        <v>-6.29578E-3</v>
      </c>
      <c r="AJ375" s="22">
        <v>365</v>
      </c>
      <c r="AK375" s="22">
        <v>1.7373700000000001</v>
      </c>
      <c r="AL375">
        <f t="shared" si="66"/>
        <v>6.2957799999999997</v>
      </c>
      <c r="AM375">
        <f t="shared" si="67"/>
        <v>10.941939724399999</v>
      </c>
      <c r="AP375" s="9"/>
      <c r="AQ375" s="22">
        <v>1.20544E-2</v>
      </c>
      <c r="AR375" s="22">
        <v>309.71100000000001</v>
      </c>
      <c r="AS375" s="22">
        <v>-1.7022700000000002E-2</v>
      </c>
      <c r="AT375" s="22">
        <v>365</v>
      </c>
      <c r="AU375" s="22">
        <v>1.20178E-2</v>
      </c>
      <c r="AV375">
        <f t="shared" si="68"/>
        <v>17.0227</v>
      </c>
      <c r="AW375">
        <f t="shared" si="69"/>
        <v>0.20519843488</v>
      </c>
      <c r="AX375" s="9"/>
      <c r="AY375" s="22">
        <v>1.7379800000000001</v>
      </c>
      <c r="AZ375" s="22">
        <v>388.94099999999997</v>
      </c>
      <c r="BA375" s="22">
        <v>-6.3873300000000001E-3</v>
      </c>
      <c r="BB375" s="22">
        <v>365</v>
      </c>
      <c r="BC375" s="22">
        <v>1.7373700000000001</v>
      </c>
      <c r="BD375">
        <f t="shared" si="70"/>
        <v>6.3873300000000004</v>
      </c>
      <c r="BE375">
        <f t="shared" si="71"/>
        <v>11.101051793400002</v>
      </c>
    </row>
    <row r="376" spans="6:57">
      <c r="F376" s="9"/>
      <c r="G376" s="22">
        <v>7.0190399999999998E-3</v>
      </c>
      <c r="H376" s="22">
        <v>60.509399999999999</v>
      </c>
      <c r="I376" s="22">
        <v>-1.7361499999999998E-2</v>
      </c>
      <c r="J376" s="22">
        <v>366</v>
      </c>
      <c r="K376" s="22">
        <v>6.9549599999999996E-3</v>
      </c>
      <c r="L376">
        <f t="shared" si="60"/>
        <v>17.361499999999999</v>
      </c>
      <c r="M376">
        <f t="shared" si="61"/>
        <v>0.12186106295999999</v>
      </c>
      <c r="N376" s="9"/>
      <c r="O376" s="22">
        <v>1.7430099999999999</v>
      </c>
      <c r="P376" s="22">
        <v>115.905</v>
      </c>
      <c r="Q376" s="22">
        <v>-6.1981199999999997E-3</v>
      </c>
      <c r="R376" s="22">
        <v>366</v>
      </c>
      <c r="S376" s="22">
        <v>1.74255</v>
      </c>
      <c r="T376">
        <f t="shared" si="62"/>
        <v>6.1981199999999994</v>
      </c>
      <c r="U376">
        <f t="shared" si="63"/>
        <v>10.803385141199998</v>
      </c>
      <c r="X376" s="9"/>
      <c r="Y376" s="22">
        <v>7.0190399999999998E-3</v>
      </c>
      <c r="Z376" s="22">
        <v>177.86199999999999</v>
      </c>
      <c r="AA376" s="22">
        <v>-1.7282100000000002E-2</v>
      </c>
      <c r="AB376" s="22">
        <v>366</v>
      </c>
      <c r="AC376" s="22">
        <v>6.8725599999999998E-3</v>
      </c>
      <c r="AD376">
        <f t="shared" si="64"/>
        <v>17.282100000000003</v>
      </c>
      <c r="AE376">
        <f t="shared" si="65"/>
        <v>0.12130375118400002</v>
      </c>
      <c r="AF376" s="9"/>
      <c r="AG376" s="22">
        <v>1.7430099999999999</v>
      </c>
      <c r="AH376" s="22">
        <v>257.39499999999998</v>
      </c>
      <c r="AI376" s="22">
        <v>-5.7800300000000002E-3</v>
      </c>
      <c r="AJ376" s="22">
        <v>366</v>
      </c>
      <c r="AK376" s="22">
        <v>1.7416400000000001</v>
      </c>
      <c r="AL376">
        <f t="shared" si="66"/>
        <v>5.78003</v>
      </c>
      <c r="AM376">
        <f t="shared" si="67"/>
        <v>10.0746500903</v>
      </c>
      <c r="AP376" s="9"/>
      <c r="AQ376" s="22">
        <v>7.0190399999999998E-3</v>
      </c>
      <c r="AR376" s="22">
        <v>309.81099999999998</v>
      </c>
      <c r="AS376" s="22">
        <v>-1.7013500000000001E-2</v>
      </c>
      <c r="AT376" s="22">
        <v>366</v>
      </c>
      <c r="AU376" s="22">
        <v>6.8054200000000004E-3</v>
      </c>
      <c r="AV376">
        <f t="shared" si="68"/>
        <v>17.013500000000001</v>
      </c>
      <c r="AW376">
        <f t="shared" si="69"/>
        <v>0.11941843704000001</v>
      </c>
      <c r="AX376" s="9"/>
      <c r="AY376" s="22">
        <v>1.7430099999999999</v>
      </c>
      <c r="AZ376" s="22">
        <v>389.04199999999997</v>
      </c>
      <c r="BA376" s="22">
        <v>-5.8746299999999996E-3</v>
      </c>
      <c r="BB376" s="22">
        <v>366</v>
      </c>
      <c r="BC376" s="22">
        <v>1.7422500000000001</v>
      </c>
      <c r="BD376">
        <f t="shared" si="70"/>
        <v>5.8746299999999998</v>
      </c>
      <c r="BE376">
        <f t="shared" si="71"/>
        <v>10.2395388363</v>
      </c>
    </row>
    <row r="377" spans="6:57">
      <c r="F377" s="9"/>
      <c r="G377" s="22">
        <v>1.9836400000000001E-3</v>
      </c>
      <c r="H377" s="22">
        <v>60.610100000000003</v>
      </c>
      <c r="I377" s="22">
        <v>-1.7352300000000001E-2</v>
      </c>
      <c r="J377" s="22">
        <v>367</v>
      </c>
      <c r="K377" s="22">
        <v>1.8493699999999999E-3</v>
      </c>
      <c r="L377">
        <f t="shared" si="60"/>
        <v>17.3523</v>
      </c>
      <c r="M377">
        <f t="shared" si="61"/>
        <v>3.4420716371999997E-2</v>
      </c>
      <c r="N377" s="9"/>
      <c r="O377" s="22">
        <v>1.7480500000000001</v>
      </c>
      <c r="P377" s="22">
        <v>116.006</v>
      </c>
      <c r="Q377" s="22">
        <v>-5.6579600000000001E-3</v>
      </c>
      <c r="R377" s="22">
        <v>367</v>
      </c>
      <c r="S377" s="22">
        <v>1.7480500000000001</v>
      </c>
      <c r="T377">
        <f t="shared" si="62"/>
        <v>5.6579600000000001</v>
      </c>
      <c r="U377">
        <f t="shared" si="63"/>
        <v>9.8903969780000001</v>
      </c>
      <c r="X377" s="9"/>
      <c r="Y377" s="22">
        <v>1.9836400000000001E-3</v>
      </c>
      <c r="Z377" s="22">
        <v>177.96299999999999</v>
      </c>
      <c r="AA377" s="22">
        <v>-1.7282100000000002E-2</v>
      </c>
      <c r="AB377" s="22">
        <v>367</v>
      </c>
      <c r="AC377" s="22">
        <v>1.8493699999999999E-3</v>
      </c>
      <c r="AD377">
        <f t="shared" si="64"/>
        <v>17.282100000000003</v>
      </c>
      <c r="AE377">
        <f t="shared" si="65"/>
        <v>3.4281464844000006E-2</v>
      </c>
      <c r="AF377" s="9"/>
      <c r="AG377" s="22">
        <v>1.7480500000000001</v>
      </c>
      <c r="AH377" s="22">
        <v>257.495</v>
      </c>
      <c r="AI377" s="22">
        <v>-5.2398699999999998E-3</v>
      </c>
      <c r="AJ377" s="22">
        <v>367</v>
      </c>
      <c r="AK377" s="22">
        <v>1.7474400000000001</v>
      </c>
      <c r="AL377">
        <f t="shared" si="66"/>
        <v>5.2398699999999998</v>
      </c>
      <c r="AM377">
        <f t="shared" si="67"/>
        <v>9.1595547535000001</v>
      </c>
      <c r="AP377" s="9"/>
      <c r="AQ377" s="22">
        <v>1.9836400000000001E-3</v>
      </c>
      <c r="AR377" s="22">
        <v>309.91199999999998</v>
      </c>
      <c r="AS377" s="22">
        <v>-1.7007399999999999E-2</v>
      </c>
      <c r="AT377" s="22">
        <v>367</v>
      </c>
      <c r="AU377" s="22">
        <v>1.89514E-3</v>
      </c>
      <c r="AV377">
        <f t="shared" si="68"/>
        <v>17.007400000000001</v>
      </c>
      <c r="AW377">
        <f t="shared" si="69"/>
        <v>3.3736558936E-2</v>
      </c>
      <c r="AX377" s="9"/>
      <c r="AY377" s="22">
        <v>1.7480500000000001</v>
      </c>
      <c r="AZ377" s="22">
        <v>389.142</v>
      </c>
      <c r="BA377" s="22">
        <v>-5.3588899999999998E-3</v>
      </c>
      <c r="BB377" s="22">
        <v>367</v>
      </c>
      <c r="BC377" s="22">
        <v>1.7468300000000001</v>
      </c>
      <c r="BD377">
        <f t="shared" si="70"/>
        <v>5.3588899999999997</v>
      </c>
      <c r="BE377">
        <f t="shared" si="71"/>
        <v>9.3676076644999995</v>
      </c>
    </row>
    <row r="378" spans="6:57">
      <c r="F378" s="9"/>
      <c r="G378" s="22">
        <v>-3.0517600000000001E-3</v>
      </c>
      <c r="H378" s="22">
        <v>60.710799999999999</v>
      </c>
      <c r="I378" s="22">
        <v>-1.7364500000000001E-2</v>
      </c>
      <c r="J378" s="22">
        <v>368</v>
      </c>
      <c r="K378" s="22">
        <v>-3.2135000000000002E-3</v>
      </c>
      <c r="L378">
        <f t="shared" si="60"/>
        <v>17.364500000000003</v>
      </c>
      <c r="M378">
        <f t="shared" si="61"/>
        <v>-5.2992286520000015E-2</v>
      </c>
      <c r="N378" s="9"/>
      <c r="O378" s="22">
        <v>1.75308</v>
      </c>
      <c r="P378" s="22">
        <v>116.107</v>
      </c>
      <c r="Q378" s="22">
        <v>-5.1330600000000001E-3</v>
      </c>
      <c r="R378" s="22">
        <v>368</v>
      </c>
      <c r="S378" s="22">
        <v>1.7523200000000001</v>
      </c>
      <c r="T378">
        <f t="shared" si="62"/>
        <v>5.1330600000000004</v>
      </c>
      <c r="U378">
        <f t="shared" si="63"/>
        <v>8.9986648248000005</v>
      </c>
      <c r="X378" s="9"/>
      <c r="Y378" s="22">
        <v>-3.0517600000000001E-3</v>
      </c>
      <c r="Z378" s="22">
        <v>178.06399999999999</v>
      </c>
      <c r="AA378" s="22">
        <v>-1.72455E-2</v>
      </c>
      <c r="AB378" s="22">
        <v>368</v>
      </c>
      <c r="AC378" s="22">
        <v>-3.23486E-3</v>
      </c>
      <c r="AD378">
        <f t="shared" si="64"/>
        <v>17.2455</v>
      </c>
      <c r="AE378">
        <f t="shared" si="65"/>
        <v>-5.2629127080000004E-2</v>
      </c>
      <c r="AF378" s="9"/>
      <c r="AG378" s="22">
        <v>1.75308</v>
      </c>
      <c r="AH378" s="22">
        <v>257.596</v>
      </c>
      <c r="AI378" s="22">
        <v>-4.6700999999999999E-3</v>
      </c>
      <c r="AJ378" s="22">
        <v>368</v>
      </c>
      <c r="AK378" s="22">
        <v>1.7526200000000001</v>
      </c>
      <c r="AL378">
        <f t="shared" si="66"/>
        <v>4.6700999999999997</v>
      </c>
      <c r="AM378">
        <f t="shared" si="67"/>
        <v>8.1870589079999991</v>
      </c>
      <c r="AP378" s="9"/>
      <c r="AQ378" s="22">
        <v>-3.0517600000000001E-3</v>
      </c>
      <c r="AR378" s="22">
        <v>310.01299999999998</v>
      </c>
      <c r="AS378" s="22">
        <v>-1.69891E-2</v>
      </c>
      <c r="AT378" s="22">
        <v>368</v>
      </c>
      <c r="AU378" s="22">
        <v>-3.2470699999999999E-3</v>
      </c>
      <c r="AV378">
        <f t="shared" si="68"/>
        <v>16.989100000000001</v>
      </c>
      <c r="AW378">
        <f t="shared" si="69"/>
        <v>-5.1846655816000002E-2</v>
      </c>
      <c r="AX378" s="9"/>
      <c r="AY378" s="22">
        <v>1.75308</v>
      </c>
      <c r="AZ378" s="22">
        <v>389.24299999999999</v>
      </c>
      <c r="BA378" s="22">
        <v>-4.7894299999999999E-3</v>
      </c>
      <c r="BB378" s="22">
        <v>368</v>
      </c>
      <c r="BC378" s="22">
        <v>1.7523200000000001</v>
      </c>
      <c r="BD378">
        <f t="shared" si="70"/>
        <v>4.7894300000000003</v>
      </c>
      <c r="BE378">
        <f t="shared" si="71"/>
        <v>8.3962539443999997</v>
      </c>
    </row>
    <row r="379" spans="6:57">
      <c r="F379" s="9"/>
      <c r="G379" s="22">
        <v>-8.0871599999999995E-3</v>
      </c>
      <c r="H379" s="22">
        <v>60.811599999999999</v>
      </c>
      <c r="I379" s="22">
        <v>-1.7364500000000001E-2</v>
      </c>
      <c r="J379" s="22">
        <v>369</v>
      </c>
      <c r="K379" s="22">
        <v>-8.2061800000000004E-3</v>
      </c>
      <c r="L379">
        <f t="shared" si="60"/>
        <v>17.364500000000003</v>
      </c>
      <c r="M379">
        <f t="shared" si="61"/>
        <v>-0.14042948982</v>
      </c>
      <c r="N379" s="9"/>
      <c r="O379" s="22">
        <v>1.7581199999999999</v>
      </c>
      <c r="P379" s="22">
        <v>116.20699999999999</v>
      </c>
      <c r="Q379" s="22">
        <v>-4.5568800000000001E-3</v>
      </c>
      <c r="R379" s="22">
        <v>369</v>
      </c>
      <c r="S379" s="22">
        <v>1.7575099999999999</v>
      </c>
      <c r="T379">
        <f t="shared" si="62"/>
        <v>4.5568800000000005</v>
      </c>
      <c r="U379">
        <f t="shared" si="63"/>
        <v>8.0115418655999999</v>
      </c>
      <c r="X379" s="9"/>
      <c r="Y379" s="22">
        <v>-8.0871599999999995E-3</v>
      </c>
      <c r="Z379" s="22">
        <v>178.16399999999999</v>
      </c>
      <c r="AA379" s="22">
        <v>-1.72058E-2</v>
      </c>
      <c r="AB379" s="22">
        <v>369</v>
      </c>
      <c r="AC379" s="22">
        <v>-8.2641599999999996E-3</v>
      </c>
      <c r="AD379">
        <f t="shared" si="64"/>
        <v>17.2058</v>
      </c>
      <c r="AE379">
        <f t="shared" si="65"/>
        <v>-0.13914605752799999</v>
      </c>
      <c r="AF379" s="9"/>
      <c r="AG379" s="22">
        <v>1.7581199999999999</v>
      </c>
      <c r="AH379" s="22">
        <v>257.697</v>
      </c>
      <c r="AI379" s="22">
        <v>-4.0362499999999999E-3</v>
      </c>
      <c r="AJ379" s="22">
        <v>369</v>
      </c>
      <c r="AK379" s="22">
        <v>1.7575099999999999</v>
      </c>
      <c r="AL379">
        <f t="shared" si="66"/>
        <v>4.0362499999999999</v>
      </c>
      <c r="AM379">
        <f t="shared" si="67"/>
        <v>7.0962118499999995</v>
      </c>
      <c r="AP379" s="9"/>
      <c r="AQ379" s="22">
        <v>-8.0871599999999995E-3</v>
      </c>
      <c r="AR379" s="22">
        <v>310.113</v>
      </c>
      <c r="AS379" s="22">
        <v>-1.7004399999999999E-2</v>
      </c>
      <c r="AT379" s="22">
        <v>369</v>
      </c>
      <c r="AU379" s="22">
        <v>-8.2824700000000001E-3</v>
      </c>
      <c r="AV379">
        <f t="shared" si="68"/>
        <v>17.0044</v>
      </c>
      <c r="AW379">
        <f t="shared" si="69"/>
        <v>-0.13751730350399999</v>
      </c>
      <c r="AX379" s="9"/>
      <c r="AY379" s="22">
        <v>1.7581199999999999</v>
      </c>
      <c r="AZ379" s="22">
        <v>389.34399999999999</v>
      </c>
      <c r="BA379" s="22">
        <v>-4.1641200000000003E-3</v>
      </c>
      <c r="BB379" s="22">
        <v>369</v>
      </c>
      <c r="BC379" s="22">
        <v>1.7575099999999999</v>
      </c>
      <c r="BD379">
        <f t="shared" si="70"/>
        <v>4.1641200000000005</v>
      </c>
      <c r="BE379">
        <f t="shared" si="71"/>
        <v>7.3210226544000001</v>
      </c>
    </row>
    <row r="380" spans="6:57">
      <c r="F380" s="9"/>
      <c r="G380" s="22">
        <v>-1.31226E-2</v>
      </c>
      <c r="H380" s="22">
        <v>60.912300000000002</v>
      </c>
      <c r="I380" s="22">
        <v>-1.7373699999999999E-2</v>
      </c>
      <c r="J380" s="22">
        <v>370</v>
      </c>
      <c r="K380" s="22">
        <v>-1.3296499999999999E-2</v>
      </c>
      <c r="L380">
        <f t="shared" si="60"/>
        <v>17.373699999999999</v>
      </c>
      <c r="M380">
        <f t="shared" si="61"/>
        <v>-0.22798811561999999</v>
      </c>
      <c r="N380" s="9"/>
      <c r="O380" s="22">
        <v>1.76315</v>
      </c>
      <c r="P380" s="22">
        <v>116.30800000000001</v>
      </c>
      <c r="Q380" s="22">
        <v>-3.9474499999999999E-3</v>
      </c>
      <c r="R380" s="22">
        <v>370</v>
      </c>
      <c r="S380" s="22">
        <v>1.7623899999999999</v>
      </c>
      <c r="T380">
        <f t="shared" si="62"/>
        <v>3.9474499999999999</v>
      </c>
      <c r="U380">
        <f t="shared" si="63"/>
        <v>6.9599464675</v>
      </c>
      <c r="X380" s="9"/>
      <c r="Y380" s="22">
        <v>-1.31226E-2</v>
      </c>
      <c r="Z380" s="22">
        <v>178.26499999999999</v>
      </c>
      <c r="AA380" s="22">
        <v>-1.7211899999999999E-2</v>
      </c>
      <c r="AB380" s="22">
        <v>370</v>
      </c>
      <c r="AC380" s="22">
        <v>-1.33484E-2</v>
      </c>
      <c r="AD380">
        <f t="shared" si="64"/>
        <v>17.2119</v>
      </c>
      <c r="AE380">
        <f t="shared" si="65"/>
        <v>-0.22586487893999999</v>
      </c>
      <c r="AF380" s="9"/>
      <c r="AG380" s="22">
        <v>1.76315</v>
      </c>
      <c r="AH380" s="22">
        <v>257.79700000000003</v>
      </c>
      <c r="AI380" s="22">
        <v>-3.3407599999999999E-3</v>
      </c>
      <c r="AJ380" s="22">
        <v>370</v>
      </c>
      <c r="AK380" s="22">
        <v>1.7623899999999999</v>
      </c>
      <c r="AL380">
        <f t="shared" si="66"/>
        <v>3.34076</v>
      </c>
      <c r="AM380">
        <f t="shared" si="67"/>
        <v>5.8902609940000001</v>
      </c>
      <c r="AP380" s="9"/>
      <c r="AQ380" s="22">
        <v>-1.31226E-2</v>
      </c>
      <c r="AR380" s="22">
        <v>310.214</v>
      </c>
      <c r="AS380" s="22">
        <v>-1.7025800000000001E-2</v>
      </c>
      <c r="AT380" s="22">
        <v>370</v>
      </c>
      <c r="AU380" s="22">
        <v>-1.3336199999999999E-2</v>
      </c>
      <c r="AV380">
        <f t="shared" si="68"/>
        <v>17.0258</v>
      </c>
      <c r="AW380">
        <f t="shared" si="69"/>
        <v>-0.22342276308</v>
      </c>
      <c r="AX380" s="9"/>
      <c r="AY380" s="22">
        <v>1.76315</v>
      </c>
      <c r="AZ380" s="22">
        <v>389.44400000000002</v>
      </c>
      <c r="BA380" s="22">
        <v>-3.4994499999999999E-3</v>
      </c>
      <c r="BB380" s="22">
        <v>370</v>
      </c>
      <c r="BC380" s="22">
        <v>1.7623899999999999</v>
      </c>
      <c r="BD380">
        <f t="shared" si="70"/>
        <v>3.4994499999999999</v>
      </c>
      <c r="BE380">
        <f t="shared" si="71"/>
        <v>6.1700552674999996</v>
      </c>
    </row>
    <row r="381" spans="6:57">
      <c r="F381" s="9"/>
      <c r="G381" s="22">
        <v>-1.8158000000000001E-2</v>
      </c>
      <c r="H381" s="22">
        <v>61.012999999999998</v>
      </c>
      <c r="I381" s="22">
        <v>-1.73706E-2</v>
      </c>
      <c r="J381" s="22">
        <v>371</v>
      </c>
      <c r="K381" s="22">
        <v>-1.8353299999999999E-2</v>
      </c>
      <c r="L381">
        <f t="shared" si="60"/>
        <v>17.3706</v>
      </c>
      <c r="M381">
        <f t="shared" si="61"/>
        <v>-0.31541535479999999</v>
      </c>
      <c r="N381" s="9"/>
      <c r="O381" s="22">
        <v>1.7681899999999999</v>
      </c>
      <c r="P381" s="22">
        <v>116.40900000000001</v>
      </c>
      <c r="Q381" s="22">
        <v>-3.2556199999999999E-3</v>
      </c>
      <c r="R381" s="22">
        <v>371</v>
      </c>
      <c r="S381" s="22">
        <v>1.7672699999999999</v>
      </c>
      <c r="T381">
        <f t="shared" si="62"/>
        <v>3.25562</v>
      </c>
      <c r="U381">
        <f t="shared" si="63"/>
        <v>5.7565547277999993</v>
      </c>
      <c r="X381" s="9"/>
      <c r="Y381" s="22">
        <v>-1.8158000000000001E-2</v>
      </c>
      <c r="Z381" s="22">
        <v>178.36600000000001</v>
      </c>
      <c r="AA381" s="22">
        <v>-1.7196699999999999E-2</v>
      </c>
      <c r="AB381" s="22">
        <v>371</v>
      </c>
      <c r="AC381" s="22">
        <v>-1.8347200000000001E-2</v>
      </c>
      <c r="AD381">
        <f t="shared" si="64"/>
        <v>17.1967</v>
      </c>
      <c r="AE381">
        <f t="shared" si="65"/>
        <v>-0.31225767860000003</v>
      </c>
      <c r="AF381" s="9"/>
      <c r="AG381" s="22">
        <v>1.7681899999999999</v>
      </c>
      <c r="AH381" s="22">
        <v>257.89800000000002</v>
      </c>
      <c r="AI381" s="22">
        <v>-2.63153E-3</v>
      </c>
      <c r="AJ381" s="22">
        <v>371</v>
      </c>
      <c r="AK381" s="22">
        <v>1.7675799999999999</v>
      </c>
      <c r="AL381">
        <f t="shared" si="66"/>
        <v>2.6315300000000001</v>
      </c>
      <c r="AM381">
        <f t="shared" si="67"/>
        <v>4.6530450307000004</v>
      </c>
      <c r="AP381" s="9"/>
      <c r="AQ381" s="22">
        <v>-1.8158000000000001E-2</v>
      </c>
      <c r="AR381" s="22">
        <v>310.315</v>
      </c>
      <c r="AS381" s="22">
        <v>-1.7019699999999999E-2</v>
      </c>
      <c r="AT381" s="22">
        <v>371</v>
      </c>
      <c r="AU381" s="22">
        <v>-1.83655E-2</v>
      </c>
      <c r="AV381">
        <f t="shared" si="68"/>
        <v>17.0197</v>
      </c>
      <c r="AW381">
        <f t="shared" si="69"/>
        <v>-0.30904371260000002</v>
      </c>
      <c r="AX381" s="9"/>
      <c r="AY381" s="22">
        <v>1.7681899999999999</v>
      </c>
      <c r="AZ381" s="22">
        <v>389.54500000000002</v>
      </c>
      <c r="BA381" s="22">
        <v>-2.7737399999999998E-3</v>
      </c>
      <c r="BB381" s="22">
        <v>371</v>
      </c>
      <c r="BC381" s="22">
        <v>1.7675799999999999</v>
      </c>
      <c r="BD381">
        <f t="shared" si="70"/>
        <v>2.7737399999999997</v>
      </c>
      <c r="BE381">
        <f t="shared" si="71"/>
        <v>4.9044993305999993</v>
      </c>
    </row>
    <row r="382" spans="6:57">
      <c r="F382" s="9"/>
      <c r="G382" s="22">
        <v>-2.3193399999999999E-2</v>
      </c>
      <c r="H382" s="22">
        <v>61.113700000000001</v>
      </c>
      <c r="I382" s="22">
        <v>-1.7373699999999999E-2</v>
      </c>
      <c r="J382" s="22">
        <v>372</v>
      </c>
      <c r="K382" s="22">
        <v>-2.3446700000000001E-2</v>
      </c>
      <c r="L382">
        <f t="shared" si="60"/>
        <v>17.373699999999999</v>
      </c>
      <c r="M382">
        <f t="shared" si="61"/>
        <v>-0.40295517357999999</v>
      </c>
      <c r="N382" s="9"/>
      <c r="O382" s="22">
        <v>1.77322</v>
      </c>
      <c r="P382" s="22">
        <v>116.51</v>
      </c>
      <c r="Q382" s="22">
        <v>-2.5622599999999998E-3</v>
      </c>
      <c r="R382" s="22">
        <v>372</v>
      </c>
      <c r="S382" s="22">
        <v>1.77277</v>
      </c>
      <c r="T382">
        <f t="shared" si="62"/>
        <v>2.5622599999999998</v>
      </c>
      <c r="U382">
        <f t="shared" si="63"/>
        <v>4.5434506772000001</v>
      </c>
      <c r="X382" s="9"/>
      <c r="Y382" s="22">
        <v>-2.3193399999999999E-2</v>
      </c>
      <c r="Z382" s="22">
        <v>178.46600000000001</v>
      </c>
      <c r="AA382" s="22">
        <v>-1.72211E-2</v>
      </c>
      <c r="AB382" s="22">
        <v>372</v>
      </c>
      <c r="AC382" s="22">
        <v>-2.3440599999999999E-2</v>
      </c>
      <c r="AD382">
        <f t="shared" si="64"/>
        <v>17.2211</v>
      </c>
      <c r="AE382">
        <f t="shared" si="65"/>
        <v>-0.39941586073999996</v>
      </c>
      <c r="AF382" s="9"/>
      <c r="AG382" s="22">
        <v>1.77322</v>
      </c>
      <c r="AH382" s="22">
        <v>257.99900000000002</v>
      </c>
      <c r="AI382" s="22">
        <v>-1.8359400000000001E-3</v>
      </c>
      <c r="AJ382" s="22">
        <v>372</v>
      </c>
      <c r="AK382" s="22">
        <v>1.77277</v>
      </c>
      <c r="AL382">
        <f t="shared" si="66"/>
        <v>1.8359400000000001</v>
      </c>
      <c r="AM382">
        <f t="shared" si="67"/>
        <v>3.2555255268000001</v>
      </c>
      <c r="AP382" s="9"/>
      <c r="AQ382" s="22">
        <v>-2.3193399999999999E-2</v>
      </c>
      <c r="AR382" s="22">
        <v>310.416</v>
      </c>
      <c r="AS382" s="22">
        <v>-1.7047099999999999E-2</v>
      </c>
      <c r="AT382" s="22">
        <v>372</v>
      </c>
      <c r="AU382" s="22">
        <v>-2.3422200000000001E-2</v>
      </c>
      <c r="AV382">
        <f t="shared" si="68"/>
        <v>17.0471</v>
      </c>
      <c r="AW382">
        <f t="shared" si="69"/>
        <v>-0.39538020913999999</v>
      </c>
      <c r="AX382" s="9"/>
      <c r="AY382" s="22">
        <v>1.77322</v>
      </c>
      <c r="AZ382" s="22">
        <v>389.64600000000002</v>
      </c>
      <c r="BA382" s="22">
        <v>-2.0031699999999999E-3</v>
      </c>
      <c r="BB382" s="22">
        <v>372</v>
      </c>
      <c r="BC382" s="22">
        <v>1.77216</v>
      </c>
      <c r="BD382">
        <f t="shared" si="70"/>
        <v>2.0031699999999999</v>
      </c>
      <c r="BE382">
        <f t="shared" si="71"/>
        <v>3.5520611073999997</v>
      </c>
    </row>
    <row r="383" spans="6:57">
      <c r="F383" s="9"/>
      <c r="G383" s="22">
        <v>-2.8228799999999998E-2</v>
      </c>
      <c r="H383" s="22">
        <v>61.214399999999998</v>
      </c>
      <c r="I383" s="22">
        <v>-1.7349199999999999E-2</v>
      </c>
      <c r="J383" s="22">
        <v>373</v>
      </c>
      <c r="K383" s="22">
        <v>-2.8436300000000001E-2</v>
      </c>
      <c r="L383">
        <f t="shared" si="60"/>
        <v>17.3492</v>
      </c>
      <c r="M383">
        <f t="shared" si="61"/>
        <v>-0.48974709695999996</v>
      </c>
      <c r="N383" s="9"/>
      <c r="O383" s="22">
        <v>1.77826</v>
      </c>
      <c r="P383" s="22">
        <v>116.61</v>
      </c>
      <c r="Q383" s="22">
        <v>-1.7901600000000001E-3</v>
      </c>
      <c r="R383" s="22">
        <v>373</v>
      </c>
      <c r="S383" s="22">
        <v>1.77704</v>
      </c>
      <c r="T383">
        <f t="shared" si="62"/>
        <v>1.79016</v>
      </c>
      <c r="U383">
        <f t="shared" si="63"/>
        <v>3.1833699215999998</v>
      </c>
      <c r="X383" s="9"/>
      <c r="Y383" s="22">
        <v>-2.8228799999999998E-2</v>
      </c>
      <c r="Z383" s="22">
        <v>178.56700000000001</v>
      </c>
      <c r="AA383" s="22">
        <v>-1.7199699999999998E-2</v>
      </c>
      <c r="AB383" s="22">
        <v>373</v>
      </c>
      <c r="AC383" s="22">
        <v>-2.84821E-2</v>
      </c>
      <c r="AD383">
        <f t="shared" si="64"/>
        <v>17.1997</v>
      </c>
      <c r="AE383">
        <f t="shared" si="65"/>
        <v>-0.48552689135999999</v>
      </c>
      <c r="AF383" s="9"/>
      <c r="AG383" s="22">
        <v>1.77826</v>
      </c>
      <c r="AH383" s="22">
        <v>258.10000000000002</v>
      </c>
      <c r="AI383" s="22">
        <v>-9.8571800000000001E-4</v>
      </c>
      <c r="AJ383" s="22">
        <v>373</v>
      </c>
      <c r="AK383" s="22">
        <v>1.7773399999999999</v>
      </c>
      <c r="AL383">
        <f t="shared" si="66"/>
        <v>0.98571799999999998</v>
      </c>
      <c r="AM383">
        <f t="shared" si="67"/>
        <v>1.7528628906799999</v>
      </c>
      <c r="AP383" s="9"/>
      <c r="AQ383" s="22">
        <v>-2.8228799999999998E-2</v>
      </c>
      <c r="AR383" s="22">
        <v>310.51600000000002</v>
      </c>
      <c r="AS383" s="22">
        <v>-1.7053200000000001E-2</v>
      </c>
      <c r="AT383" s="22">
        <v>373</v>
      </c>
      <c r="AU383" s="22">
        <v>-2.8463700000000001E-2</v>
      </c>
      <c r="AV383">
        <f t="shared" si="68"/>
        <v>17.0532</v>
      </c>
      <c r="AW383">
        <f t="shared" si="69"/>
        <v>-0.48139137216</v>
      </c>
      <c r="AX383" s="9"/>
      <c r="AY383" s="22">
        <v>1.77826</v>
      </c>
      <c r="AZ383" s="22">
        <v>389.74700000000001</v>
      </c>
      <c r="BA383" s="22">
        <v>-1.1865199999999999E-3</v>
      </c>
      <c r="BB383" s="22">
        <v>373</v>
      </c>
      <c r="BC383" s="22">
        <v>1.77765</v>
      </c>
      <c r="BD383">
        <f t="shared" si="70"/>
        <v>1.18652</v>
      </c>
      <c r="BE383">
        <f t="shared" si="71"/>
        <v>2.1099410552000002</v>
      </c>
    </row>
    <row r="384" spans="6:57">
      <c r="F384" s="9"/>
      <c r="G384" s="22">
        <v>-3.3264200000000001E-2</v>
      </c>
      <c r="H384" s="22">
        <v>61.315100000000001</v>
      </c>
      <c r="I384" s="22">
        <v>-1.7352300000000001E-2</v>
      </c>
      <c r="J384" s="22">
        <v>374</v>
      </c>
      <c r="K384" s="22">
        <v>-3.3621199999999997E-2</v>
      </c>
      <c r="L384">
        <f t="shared" si="60"/>
        <v>17.3523</v>
      </c>
      <c r="M384">
        <f t="shared" si="61"/>
        <v>-0.57721037766000005</v>
      </c>
      <c r="N384" s="9"/>
      <c r="O384" s="22">
        <v>1.78329</v>
      </c>
      <c r="P384" s="22">
        <v>116.711</v>
      </c>
      <c r="Q384" s="22">
        <v>-9.80835E-4</v>
      </c>
      <c r="R384" s="22">
        <v>374</v>
      </c>
      <c r="S384" s="22">
        <v>1.78284</v>
      </c>
      <c r="T384">
        <f t="shared" si="62"/>
        <v>0.98083500000000001</v>
      </c>
      <c r="U384">
        <f t="shared" si="63"/>
        <v>1.7491132471500002</v>
      </c>
      <c r="X384" s="9"/>
      <c r="Y384" s="22">
        <v>-3.3264200000000001E-2</v>
      </c>
      <c r="Z384" s="22">
        <v>178.66800000000001</v>
      </c>
      <c r="AA384" s="22">
        <v>-1.7208899999999999E-2</v>
      </c>
      <c r="AB384" s="22">
        <v>374</v>
      </c>
      <c r="AC384" s="22">
        <v>-3.3422899999999998E-2</v>
      </c>
      <c r="AD384">
        <f t="shared" si="64"/>
        <v>17.2089</v>
      </c>
      <c r="AE384">
        <f t="shared" si="65"/>
        <v>-0.57244029137999997</v>
      </c>
      <c r="AF384" s="9"/>
      <c r="AG384" s="22">
        <v>1.78329</v>
      </c>
      <c r="AH384" s="22">
        <v>258.2</v>
      </c>
      <c r="AI384" s="25">
        <v>-8.2305900000000001E-5</v>
      </c>
      <c r="AJ384" s="22">
        <v>374</v>
      </c>
      <c r="AK384" s="22">
        <v>1.78284</v>
      </c>
      <c r="AL384">
        <f t="shared" si="66"/>
        <v>8.2305900000000001E-2</v>
      </c>
      <c r="AM384">
        <f t="shared" si="67"/>
        <v>0.14677528841100002</v>
      </c>
      <c r="AP384" s="9"/>
      <c r="AQ384" s="22">
        <v>-3.3264200000000001E-2</v>
      </c>
      <c r="AR384" s="22">
        <v>310.61700000000002</v>
      </c>
      <c r="AS384" s="22">
        <v>-1.70288E-2</v>
      </c>
      <c r="AT384" s="22">
        <v>374</v>
      </c>
      <c r="AU384" s="22">
        <v>-3.35663E-2</v>
      </c>
      <c r="AV384">
        <f t="shared" si="68"/>
        <v>17.0288</v>
      </c>
      <c r="AW384">
        <f t="shared" si="69"/>
        <v>-0.56644940896000007</v>
      </c>
      <c r="AX384" s="9"/>
      <c r="AY384" s="22">
        <v>1.78329</v>
      </c>
      <c r="AZ384" s="22">
        <v>389.84699999999998</v>
      </c>
      <c r="BA384" s="22">
        <v>-3.0035400000000002E-4</v>
      </c>
      <c r="BB384" s="22">
        <v>374</v>
      </c>
      <c r="BC384" s="22">
        <v>1.78284</v>
      </c>
      <c r="BD384">
        <f t="shared" si="70"/>
        <v>0.30035400000000001</v>
      </c>
      <c r="BE384">
        <f t="shared" si="71"/>
        <v>0.53561828466000005</v>
      </c>
    </row>
    <row r="385" spans="6:57">
      <c r="F385" s="9"/>
      <c r="G385" s="22">
        <v>-3.8299600000000003E-2</v>
      </c>
      <c r="H385" s="22">
        <v>61.415799999999997</v>
      </c>
      <c r="I385" s="22">
        <v>-1.7388899999999999E-2</v>
      </c>
      <c r="J385" s="22">
        <v>375</v>
      </c>
      <c r="K385" s="22">
        <v>-3.8561999999999999E-2</v>
      </c>
      <c r="L385">
        <f t="shared" si="60"/>
        <v>17.3889</v>
      </c>
      <c r="M385">
        <f t="shared" si="61"/>
        <v>-0.66598791444000005</v>
      </c>
      <c r="N385" s="9"/>
      <c r="O385" s="22">
        <v>1.78833</v>
      </c>
      <c r="P385" s="22">
        <v>116.812</v>
      </c>
      <c r="Q385" s="22">
        <v>-1.18347E-4</v>
      </c>
      <c r="R385" s="22">
        <v>375</v>
      </c>
      <c r="S385" s="22">
        <v>1.7880199999999999</v>
      </c>
      <c r="T385">
        <f t="shared" si="62"/>
        <v>0.11834699999999999</v>
      </c>
      <c r="U385">
        <f t="shared" si="63"/>
        <v>0.21164349050999998</v>
      </c>
      <c r="X385" s="9"/>
      <c r="Y385" s="22">
        <v>-3.8299600000000003E-2</v>
      </c>
      <c r="Z385" s="22">
        <v>178.76900000000001</v>
      </c>
      <c r="AA385" s="22">
        <v>-1.72058E-2</v>
      </c>
      <c r="AB385" s="22">
        <v>375</v>
      </c>
      <c r="AC385" s="22">
        <v>-3.85437E-2</v>
      </c>
      <c r="AD385">
        <f t="shared" si="64"/>
        <v>17.2058</v>
      </c>
      <c r="AE385">
        <f t="shared" si="65"/>
        <v>-0.65897525768000009</v>
      </c>
      <c r="AF385" s="9"/>
      <c r="AG385" s="22">
        <v>1.78833</v>
      </c>
      <c r="AH385" s="22">
        <v>258.30099999999999</v>
      </c>
      <c r="AI385" s="22">
        <v>8.9294400000000001E-4</v>
      </c>
      <c r="AJ385" s="22">
        <v>375</v>
      </c>
      <c r="AK385" s="22">
        <v>1.7874099999999999</v>
      </c>
      <c r="AL385">
        <f t="shared" si="66"/>
        <v>-0.89294399999999996</v>
      </c>
      <c r="AM385">
        <f t="shared" si="67"/>
        <v>-1.5968785435199999</v>
      </c>
      <c r="AP385" s="9"/>
      <c r="AQ385" s="22">
        <v>-3.8299600000000003E-2</v>
      </c>
      <c r="AR385" s="22">
        <v>310.71800000000002</v>
      </c>
      <c r="AS385" s="22">
        <v>-1.7065400000000001E-2</v>
      </c>
      <c r="AT385" s="22">
        <v>375</v>
      </c>
      <c r="AU385" s="22">
        <v>-3.8616900000000003E-2</v>
      </c>
      <c r="AV385">
        <f t="shared" si="68"/>
        <v>17.0654</v>
      </c>
      <c r="AW385">
        <f t="shared" si="69"/>
        <v>-0.65359799384000006</v>
      </c>
      <c r="AX385" s="9"/>
      <c r="AY385" s="22">
        <v>1.78833</v>
      </c>
      <c r="AZ385" s="22">
        <v>389.94799999999998</v>
      </c>
      <c r="BA385" s="22">
        <v>6.5673800000000003E-4</v>
      </c>
      <c r="BB385" s="22">
        <v>375</v>
      </c>
      <c r="BC385" s="22">
        <v>1.7867999999999999</v>
      </c>
      <c r="BD385">
        <f t="shared" si="70"/>
        <v>-0.65673800000000004</v>
      </c>
      <c r="BE385">
        <f t="shared" si="71"/>
        <v>-1.1744642675400001</v>
      </c>
    </row>
    <row r="386" spans="6:57">
      <c r="F386" s="9"/>
      <c r="G386" s="22">
        <v>-4.3334999999999999E-2</v>
      </c>
      <c r="H386" s="22">
        <v>61.516500000000001</v>
      </c>
      <c r="I386" s="22">
        <v>-1.7395000000000001E-2</v>
      </c>
      <c r="J386" s="22">
        <v>376</v>
      </c>
      <c r="K386" s="22">
        <v>-4.3603500000000003E-2</v>
      </c>
      <c r="L386">
        <f t="shared" si="60"/>
        <v>17.395</v>
      </c>
      <c r="M386">
        <f t="shared" si="61"/>
        <v>-0.75381232499999995</v>
      </c>
      <c r="N386" s="9"/>
      <c r="O386" s="22">
        <v>1.7933699999999999</v>
      </c>
      <c r="P386" s="22">
        <v>116.91200000000001</v>
      </c>
      <c r="Q386" s="22">
        <v>7.9894999999999999E-4</v>
      </c>
      <c r="R386" s="22">
        <v>376</v>
      </c>
      <c r="S386" s="22">
        <v>1.79352</v>
      </c>
      <c r="T386">
        <f t="shared" si="62"/>
        <v>-0.79894999999999994</v>
      </c>
      <c r="U386">
        <f t="shared" si="63"/>
        <v>-1.4328129614999998</v>
      </c>
      <c r="X386" s="9"/>
      <c r="Y386" s="22">
        <v>-4.3334999999999999E-2</v>
      </c>
      <c r="Z386" s="22">
        <v>178.869</v>
      </c>
      <c r="AA386" s="22">
        <v>-1.7184399999999999E-2</v>
      </c>
      <c r="AB386" s="22">
        <v>376</v>
      </c>
      <c r="AC386" s="22">
        <v>-4.3646200000000003E-2</v>
      </c>
      <c r="AD386">
        <f t="shared" si="64"/>
        <v>17.1844</v>
      </c>
      <c r="AE386">
        <f t="shared" si="65"/>
        <v>-0.74468597400000003</v>
      </c>
      <c r="AF386" s="9"/>
      <c r="AG386" s="22">
        <v>1.7933699999999999</v>
      </c>
      <c r="AH386" s="22">
        <v>258.40199999999999</v>
      </c>
      <c r="AI386" s="22">
        <v>1.9192499999999999E-3</v>
      </c>
      <c r="AJ386" s="22">
        <v>376</v>
      </c>
      <c r="AK386" s="22">
        <v>1.7923</v>
      </c>
      <c r="AL386">
        <f t="shared" si="66"/>
        <v>-1.9192499999999999</v>
      </c>
      <c r="AM386">
        <f t="shared" si="67"/>
        <v>-3.4419253724999996</v>
      </c>
      <c r="AP386" s="9"/>
      <c r="AQ386" s="22">
        <v>-4.3334999999999999E-2</v>
      </c>
      <c r="AR386" s="22">
        <v>310.81799999999998</v>
      </c>
      <c r="AS386" s="22">
        <v>-1.70563E-2</v>
      </c>
      <c r="AT386" s="22">
        <v>376</v>
      </c>
      <c r="AU386" s="22">
        <v>-4.3612699999999997E-2</v>
      </c>
      <c r="AV386">
        <f t="shared" si="68"/>
        <v>17.0563</v>
      </c>
      <c r="AW386">
        <f t="shared" si="69"/>
        <v>-0.73913476049999993</v>
      </c>
      <c r="AX386" s="9"/>
      <c r="AY386" s="22">
        <v>1.7933699999999999</v>
      </c>
      <c r="AZ386" s="22">
        <v>390.04899999999998</v>
      </c>
      <c r="BA386" s="22">
        <v>1.6732800000000001E-3</v>
      </c>
      <c r="BB386" s="22">
        <v>376</v>
      </c>
      <c r="BC386" s="22">
        <v>1.79321</v>
      </c>
      <c r="BD386">
        <f t="shared" si="70"/>
        <v>-1.6732800000000001</v>
      </c>
      <c r="BE386">
        <f t="shared" si="71"/>
        <v>-3.0008101535999998</v>
      </c>
    </row>
    <row r="387" spans="6:57">
      <c r="F387" s="9"/>
      <c r="G387" s="22">
        <v>-4.8370400000000001E-2</v>
      </c>
      <c r="H387" s="22">
        <v>61.617199999999997</v>
      </c>
      <c r="I387" s="22">
        <v>-1.7392000000000001E-2</v>
      </c>
      <c r="J387" s="22">
        <v>377</v>
      </c>
      <c r="K387" s="22">
        <v>-4.8657199999999998E-2</v>
      </c>
      <c r="L387">
        <f t="shared" si="60"/>
        <v>17.391999999999999</v>
      </c>
      <c r="M387">
        <f t="shared" si="61"/>
        <v>-0.84125799680000002</v>
      </c>
      <c r="N387" s="9"/>
      <c r="O387" s="22">
        <v>1.7984</v>
      </c>
      <c r="P387" s="22">
        <v>117.01300000000001</v>
      </c>
      <c r="Q387" s="22">
        <v>1.8087800000000001E-3</v>
      </c>
      <c r="R387" s="22">
        <v>377</v>
      </c>
      <c r="S387" s="22">
        <v>1.79749</v>
      </c>
      <c r="T387">
        <f t="shared" si="62"/>
        <v>-1.8087800000000001</v>
      </c>
      <c r="U387">
        <f t="shared" si="63"/>
        <v>-3.252909952</v>
      </c>
      <c r="X387" s="9"/>
      <c r="Y387" s="22">
        <v>-4.8370400000000001E-2</v>
      </c>
      <c r="Z387" s="22">
        <v>178.97</v>
      </c>
      <c r="AA387" s="22">
        <v>-1.72211E-2</v>
      </c>
      <c r="AB387" s="22">
        <v>377</v>
      </c>
      <c r="AC387" s="22">
        <v>-4.8889200000000001E-2</v>
      </c>
      <c r="AD387">
        <f t="shared" si="64"/>
        <v>17.2211</v>
      </c>
      <c r="AE387">
        <f t="shared" si="65"/>
        <v>-0.83299149544000006</v>
      </c>
      <c r="AF387" s="9"/>
      <c r="AG387" s="22">
        <v>1.7984</v>
      </c>
      <c r="AH387" s="22">
        <v>258.50200000000001</v>
      </c>
      <c r="AI387" s="22">
        <v>3.0175800000000002E-3</v>
      </c>
      <c r="AJ387" s="22">
        <v>377</v>
      </c>
      <c r="AK387" s="22">
        <v>1.7984</v>
      </c>
      <c r="AL387">
        <f t="shared" si="66"/>
        <v>-3.0175800000000002</v>
      </c>
      <c r="AM387">
        <f t="shared" si="67"/>
        <v>-5.4268158720000006</v>
      </c>
      <c r="AP387" s="9"/>
      <c r="AQ387" s="22">
        <v>-4.8370400000000001E-2</v>
      </c>
      <c r="AR387" s="22">
        <v>310.91899999999998</v>
      </c>
      <c r="AS387" s="22">
        <v>-1.7065400000000001E-2</v>
      </c>
      <c r="AT387" s="22">
        <v>377</v>
      </c>
      <c r="AU387" s="22">
        <v>-4.85504E-2</v>
      </c>
      <c r="AV387">
        <f t="shared" si="68"/>
        <v>17.0654</v>
      </c>
      <c r="AW387">
        <f t="shared" si="69"/>
        <v>-0.82546022415999998</v>
      </c>
      <c r="AX387" s="9"/>
      <c r="AY387" s="22">
        <v>1.7984</v>
      </c>
      <c r="AZ387" s="22">
        <v>390.149</v>
      </c>
      <c r="BA387" s="22">
        <v>2.7774000000000002E-3</v>
      </c>
      <c r="BB387" s="22">
        <v>377</v>
      </c>
      <c r="BC387" s="22">
        <v>1.7984</v>
      </c>
      <c r="BD387">
        <f t="shared" si="70"/>
        <v>-2.7774000000000001</v>
      </c>
      <c r="BE387">
        <f t="shared" si="71"/>
        <v>-4.9948761600000005</v>
      </c>
    </row>
    <row r="388" spans="6:57">
      <c r="F388" s="9"/>
      <c r="G388" s="22">
        <v>-5.3405800000000003E-2</v>
      </c>
      <c r="H388" s="22">
        <v>61.7179</v>
      </c>
      <c r="I388" s="22">
        <v>-1.7407200000000001E-2</v>
      </c>
      <c r="J388" s="22">
        <v>378</v>
      </c>
      <c r="K388" s="22">
        <v>-5.3893999999999997E-2</v>
      </c>
      <c r="L388">
        <f t="shared" si="60"/>
        <v>17.4072</v>
      </c>
      <c r="M388">
        <f t="shared" si="61"/>
        <v>-0.92964544176000008</v>
      </c>
      <c r="N388" s="9"/>
      <c r="O388" s="22">
        <v>1.8034399999999999</v>
      </c>
      <c r="P388" s="22">
        <v>117.114</v>
      </c>
      <c r="Q388" s="22">
        <v>2.8436300000000002E-3</v>
      </c>
      <c r="R388" s="22">
        <v>378</v>
      </c>
      <c r="S388" s="22">
        <v>1.80237</v>
      </c>
      <c r="T388">
        <f t="shared" si="62"/>
        <v>-2.8436300000000001</v>
      </c>
      <c r="U388">
        <f t="shared" si="63"/>
        <v>-5.1283160872</v>
      </c>
      <c r="X388" s="9"/>
      <c r="Y388" s="22">
        <v>-5.3405800000000003E-2</v>
      </c>
      <c r="Z388" s="22">
        <v>179.071</v>
      </c>
      <c r="AA388" s="22">
        <v>-1.7230200000000001E-2</v>
      </c>
      <c r="AB388" s="22">
        <v>378</v>
      </c>
      <c r="AC388" s="22">
        <v>-5.3924600000000003E-2</v>
      </c>
      <c r="AD388">
        <f t="shared" si="64"/>
        <v>17.2302</v>
      </c>
      <c r="AE388">
        <f t="shared" si="65"/>
        <v>-0.92019261516000006</v>
      </c>
      <c r="AF388" s="9"/>
      <c r="AG388" s="22">
        <v>1.8034399999999999</v>
      </c>
      <c r="AH388" s="22">
        <v>258.60300000000001</v>
      </c>
      <c r="AI388" s="22">
        <v>4.1931199999999998E-3</v>
      </c>
      <c r="AJ388" s="22">
        <v>378</v>
      </c>
      <c r="AK388" s="22">
        <v>1.80267</v>
      </c>
      <c r="AL388">
        <f t="shared" si="66"/>
        <v>-4.1931199999999995</v>
      </c>
      <c r="AM388">
        <f t="shared" si="67"/>
        <v>-7.5620403327999988</v>
      </c>
      <c r="AP388" s="9"/>
      <c r="AQ388" s="22">
        <v>-5.3405800000000003E-2</v>
      </c>
      <c r="AR388" s="22">
        <v>311.02</v>
      </c>
      <c r="AS388" s="22">
        <v>-1.7059299999999999E-2</v>
      </c>
      <c r="AT388" s="22">
        <v>378</v>
      </c>
      <c r="AU388" s="22">
        <v>-5.3772E-2</v>
      </c>
      <c r="AV388">
        <f t="shared" si="68"/>
        <v>17.0593</v>
      </c>
      <c r="AW388">
        <f t="shared" si="69"/>
        <v>-0.91106556394000004</v>
      </c>
      <c r="AX388" s="9"/>
      <c r="AY388" s="22">
        <v>1.8034399999999999</v>
      </c>
      <c r="AZ388" s="22">
        <v>390.25</v>
      </c>
      <c r="BA388" s="22">
        <v>3.9245599999999997E-3</v>
      </c>
      <c r="BB388" s="22">
        <v>378</v>
      </c>
      <c r="BC388" s="22">
        <v>1.80237</v>
      </c>
      <c r="BD388">
        <f t="shared" si="70"/>
        <v>-3.9245599999999996</v>
      </c>
      <c r="BE388">
        <f t="shared" si="71"/>
        <v>-7.0777084863999988</v>
      </c>
    </row>
    <row r="389" spans="6:57">
      <c r="F389" s="9"/>
      <c r="G389" s="22">
        <v>-5.8441199999999999E-2</v>
      </c>
      <c r="H389" s="22">
        <v>61.818600000000004</v>
      </c>
      <c r="I389" s="22">
        <v>-1.7401099999999999E-2</v>
      </c>
      <c r="J389" s="22">
        <v>379</v>
      </c>
      <c r="K389" s="22">
        <v>-5.8898899999999997E-2</v>
      </c>
      <c r="L389">
        <f t="shared" si="60"/>
        <v>17.4011</v>
      </c>
      <c r="M389">
        <f t="shared" si="61"/>
        <v>-1.01694116532</v>
      </c>
      <c r="N389" s="9"/>
      <c r="O389" s="22">
        <v>1.80847</v>
      </c>
      <c r="P389" s="22">
        <v>117.214</v>
      </c>
      <c r="Q389" s="22">
        <v>3.9242599999999997E-3</v>
      </c>
      <c r="R389" s="22">
        <v>379</v>
      </c>
      <c r="S389" s="22">
        <v>1.80725</v>
      </c>
      <c r="T389">
        <f t="shared" si="62"/>
        <v>-3.9242599999999999</v>
      </c>
      <c r="U389">
        <f t="shared" si="63"/>
        <v>-7.0969064821999996</v>
      </c>
      <c r="X389" s="9"/>
      <c r="Y389" s="22">
        <v>-5.8441199999999999E-2</v>
      </c>
      <c r="Z389" s="22">
        <v>179.17099999999999</v>
      </c>
      <c r="AA389" s="22">
        <v>-1.7196699999999999E-2</v>
      </c>
      <c r="AB389" s="22">
        <v>379</v>
      </c>
      <c r="AC389" s="22">
        <v>-5.89294E-2</v>
      </c>
      <c r="AD389">
        <f t="shared" si="64"/>
        <v>17.1967</v>
      </c>
      <c r="AE389">
        <f t="shared" si="65"/>
        <v>-1.0049957840399999</v>
      </c>
      <c r="AF389" s="9"/>
      <c r="AG389" s="22">
        <v>1.80847</v>
      </c>
      <c r="AH389" s="22">
        <v>258.70400000000001</v>
      </c>
      <c r="AI389" s="22">
        <v>5.4321300000000003E-3</v>
      </c>
      <c r="AJ389" s="22">
        <v>379</v>
      </c>
      <c r="AK389" s="22">
        <v>1.8081700000000001</v>
      </c>
      <c r="AL389">
        <f t="shared" si="66"/>
        <v>-5.4321299999999999</v>
      </c>
      <c r="AM389">
        <f t="shared" si="67"/>
        <v>-9.8238441411000004</v>
      </c>
      <c r="AP389" s="9"/>
      <c r="AQ389" s="22">
        <v>-5.8441199999999999E-2</v>
      </c>
      <c r="AR389" s="22">
        <v>311.12099999999998</v>
      </c>
      <c r="AS389" s="22">
        <v>-1.7074599999999999E-2</v>
      </c>
      <c r="AT389" s="22">
        <v>379</v>
      </c>
      <c r="AU389" s="22">
        <v>-5.89294E-2</v>
      </c>
      <c r="AV389">
        <f t="shared" si="68"/>
        <v>17.0746</v>
      </c>
      <c r="AW389">
        <f t="shared" si="69"/>
        <v>-0.99786011352000004</v>
      </c>
      <c r="AX389" s="9"/>
      <c r="AY389" s="22">
        <v>1.80847</v>
      </c>
      <c r="AZ389" s="22">
        <v>390.351</v>
      </c>
      <c r="BA389" s="22">
        <v>5.1788299999999997E-3</v>
      </c>
      <c r="BB389" s="22">
        <v>379</v>
      </c>
      <c r="BC389" s="22">
        <v>1.80786</v>
      </c>
      <c r="BD389">
        <f t="shared" si="70"/>
        <v>-5.1788299999999996</v>
      </c>
      <c r="BE389">
        <f t="shared" si="71"/>
        <v>-9.3657586900999998</v>
      </c>
    </row>
    <row r="390" spans="6:57">
      <c r="F390" s="9"/>
      <c r="G390" s="22">
        <v>-6.3476599999999994E-2</v>
      </c>
      <c r="H390" s="22">
        <v>61.9193</v>
      </c>
      <c r="I390" s="22">
        <v>-1.74103E-2</v>
      </c>
      <c r="J390" s="22">
        <v>380</v>
      </c>
      <c r="K390" s="22">
        <v>-6.3995399999999994E-2</v>
      </c>
      <c r="L390">
        <f t="shared" si="60"/>
        <v>17.410299999999999</v>
      </c>
      <c r="M390">
        <f t="shared" si="61"/>
        <v>-1.1051466489799999</v>
      </c>
      <c r="N390" s="9"/>
      <c r="O390" s="22">
        <v>1.81351</v>
      </c>
      <c r="P390" s="22">
        <v>117.315</v>
      </c>
      <c r="Q390" s="22">
        <v>5.1177999999999996E-3</v>
      </c>
      <c r="R390" s="22">
        <v>380</v>
      </c>
      <c r="S390" s="22">
        <v>1.81274</v>
      </c>
      <c r="T390">
        <f t="shared" si="62"/>
        <v>-5.1177999999999999</v>
      </c>
      <c r="U390">
        <f t="shared" si="63"/>
        <v>-9.2811814779999988</v>
      </c>
      <c r="X390" s="9"/>
      <c r="Y390" s="22">
        <v>-6.3476599999999994E-2</v>
      </c>
      <c r="Z390" s="22">
        <v>179.27199999999999</v>
      </c>
      <c r="AA390" s="22">
        <v>-1.72333E-2</v>
      </c>
      <c r="AB390" s="22">
        <v>380</v>
      </c>
      <c r="AC390" s="22">
        <v>-6.4025899999999997E-2</v>
      </c>
      <c r="AD390">
        <f t="shared" si="64"/>
        <v>17.2333</v>
      </c>
      <c r="AE390">
        <f t="shared" si="65"/>
        <v>-1.0939112907799999</v>
      </c>
      <c r="AF390" s="9"/>
      <c r="AG390" s="22">
        <v>1.81351</v>
      </c>
      <c r="AH390" s="22">
        <v>258.80399999999997</v>
      </c>
      <c r="AI390" s="22">
        <v>6.7596399999999999E-3</v>
      </c>
      <c r="AJ390" s="22">
        <v>380</v>
      </c>
      <c r="AK390" s="22">
        <v>1.81274</v>
      </c>
      <c r="AL390">
        <f t="shared" si="66"/>
        <v>-6.7596400000000001</v>
      </c>
      <c r="AM390">
        <f t="shared" si="67"/>
        <v>-12.2586747364</v>
      </c>
      <c r="AP390" s="9"/>
      <c r="AQ390" s="22">
        <v>-6.3476599999999994E-2</v>
      </c>
      <c r="AR390" s="22">
        <v>311.221</v>
      </c>
      <c r="AS390" s="22">
        <v>-1.7038000000000001E-2</v>
      </c>
      <c r="AT390" s="22">
        <v>380</v>
      </c>
      <c r="AU390" s="22">
        <v>-6.3995399999999994E-2</v>
      </c>
      <c r="AV390">
        <f t="shared" si="68"/>
        <v>17.038</v>
      </c>
      <c r="AW390">
        <f t="shared" si="69"/>
        <v>-1.0815143107999998</v>
      </c>
      <c r="AX390" s="9"/>
      <c r="AY390" s="22">
        <v>1.81351</v>
      </c>
      <c r="AZ390" s="22">
        <v>390.452</v>
      </c>
      <c r="BA390" s="22">
        <v>6.4849900000000004E-3</v>
      </c>
      <c r="BB390" s="22">
        <v>380</v>
      </c>
      <c r="BC390" s="22">
        <v>1.81274</v>
      </c>
      <c r="BD390">
        <f t="shared" si="70"/>
        <v>-6.4849900000000007</v>
      </c>
      <c r="BE390">
        <f t="shared" si="71"/>
        <v>-11.760594214900001</v>
      </c>
    </row>
    <row r="391" spans="6:57">
      <c r="F391" s="9"/>
      <c r="G391" s="22">
        <v>-6.8512000000000003E-2</v>
      </c>
      <c r="H391" s="22">
        <v>62.02</v>
      </c>
      <c r="I391" s="22">
        <v>-1.74255E-2</v>
      </c>
      <c r="J391" s="22">
        <v>381</v>
      </c>
      <c r="K391" s="22">
        <v>-6.9000199999999998E-2</v>
      </c>
      <c r="L391">
        <f t="shared" si="60"/>
        <v>17.4255</v>
      </c>
      <c r="M391">
        <f t="shared" si="61"/>
        <v>-1.1938558560000001</v>
      </c>
      <c r="N391" s="9"/>
      <c r="O391" s="22">
        <v>1.81854</v>
      </c>
      <c r="P391" s="22">
        <v>117.416</v>
      </c>
      <c r="Q391" s="22">
        <v>6.35376E-3</v>
      </c>
      <c r="R391" s="22">
        <v>381</v>
      </c>
      <c r="S391" s="22">
        <v>1.81793</v>
      </c>
      <c r="T391">
        <f t="shared" si="62"/>
        <v>-6.3537600000000003</v>
      </c>
      <c r="U391">
        <f t="shared" si="63"/>
        <v>-11.554566710400001</v>
      </c>
      <c r="X391" s="9"/>
      <c r="Y391" s="22">
        <v>-6.8512000000000003E-2</v>
      </c>
      <c r="Z391" s="22">
        <v>179.37299999999999</v>
      </c>
      <c r="AA391" s="22">
        <v>-1.72363E-2</v>
      </c>
      <c r="AB391" s="22">
        <v>381</v>
      </c>
      <c r="AC391" s="22">
        <v>-6.9000199999999998E-2</v>
      </c>
      <c r="AD391">
        <f t="shared" si="64"/>
        <v>17.2363</v>
      </c>
      <c r="AE391">
        <f t="shared" si="65"/>
        <v>-1.1808933856000001</v>
      </c>
      <c r="AF391" s="9"/>
      <c r="AG391" s="22">
        <v>1.81854</v>
      </c>
      <c r="AH391" s="22">
        <v>258.90499999999997</v>
      </c>
      <c r="AI391" s="22">
        <v>8.1695599999999993E-3</v>
      </c>
      <c r="AJ391" s="22">
        <v>381</v>
      </c>
      <c r="AK391" s="22">
        <v>1.81793</v>
      </c>
      <c r="AL391">
        <f t="shared" si="66"/>
        <v>-8.1695599999999988</v>
      </c>
      <c r="AM391">
        <f t="shared" si="67"/>
        <v>-14.856671642399998</v>
      </c>
      <c r="AP391" s="9"/>
      <c r="AQ391" s="22">
        <v>-6.8512000000000003E-2</v>
      </c>
      <c r="AR391" s="22">
        <v>311.322</v>
      </c>
      <c r="AS391" s="22">
        <v>-1.7013500000000001E-2</v>
      </c>
      <c r="AT391" s="22">
        <v>381</v>
      </c>
      <c r="AU391" s="22">
        <v>-6.9030800000000003E-2</v>
      </c>
      <c r="AV391">
        <f t="shared" si="68"/>
        <v>17.013500000000001</v>
      </c>
      <c r="AW391">
        <f t="shared" si="69"/>
        <v>-1.1656289120000001</v>
      </c>
      <c r="AX391" s="9"/>
      <c r="AY391" s="22">
        <v>1.81854</v>
      </c>
      <c r="AZ391" s="22">
        <v>390.55200000000002</v>
      </c>
      <c r="BA391" s="22">
        <v>7.9162599999999996E-3</v>
      </c>
      <c r="BB391" s="22">
        <v>381</v>
      </c>
      <c r="BC391" s="22">
        <v>1.8182400000000001</v>
      </c>
      <c r="BD391">
        <f t="shared" si="70"/>
        <v>-7.9162599999999994</v>
      </c>
      <c r="BE391">
        <f t="shared" si="71"/>
        <v>-14.396035460399998</v>
      </c>
    </row>
    <row r="392" spans="6:57">
      <c r="F392" s="9"/>
      <c r="G392" s="22">
        <v>-7.3547399999999999E-2</v>
      </c>
      <c r="H392" s="22">
        <v>62.120800000000003</v>
      </c>
      <c r="I392" s="22">
        <v>-1.745E-2</v>
      </c>
      <c r="J392" s="22">
        <v>382</v>
      </c>
      <c r="K392" s="22">
        <v>-7.3944099999999999E-2</v>
      </c>
      <c r="L392">
        <f t="shared" si="60"/>
        <v>17.45</v>
      </c>
      <c r="M392">
        <f t="shared" si="61"/>
        <v>-1.28340213</v>
      </c>
      <c r="N392" s="9"/>
      <c r="O392" s="22">
        <v>1.82358</v>
      </c>
      <c r="P392" s="22">
        <v>117.517</v>
      </c>
      <c r="Q392" s="22">
        <v>7.6568599999999997E-3</v>
      </c>
      <c r="R392" s="22">
        <v>382</v>
      </c>
      <c r="S392" s="22">
        <v>1.8231200000000001</v>
      </c>
      <c r="T392">
        <f t="shared" si="62"/>
        <v>-7.65686</v>
      </c>
      <c r="U392">
        <f t="shared" si="63"/>
        <v>-13.962896758799999</v>
      </c>
      <c r="X392" s="9"/>
      <c r="Y392" s="22">
        <v>-7.3547399999999999E-2</v>
      </c>
      <c r="Z392" s="22">
        <v>179.47399999999999</v>
      </c>
      <c r="AA392" s="22">
        <v>-1.7251599999999999E-2</v>
      </c>
      <c r="AB392" s="22">
        <v>382</v>
      </c>
      <c r="AC392" s="22">
        <v>-7.3974600000000001E-2</v>
      </c>
      <c r="AD392">
        <f t="shared" si="64"/>
        <v>17.2516</v>
      </c>
      <c r="AE392">
        <f t="shared" si="65"/>
        <v>-1.2688103258399999</v>
      </c>
      <c r="AF392" s="9"/>
      <c r="AG392" s="22">
        <v>1.82358</v>
      </c>
      <c r="AH392" s="22">
        <v>259.00599999999997</v>
      </c>
      <c r="AI392" s="22">
        <v>9.6832299999999993E-3</v>
      </c>
      <c r="AJ392" s="22">
        <v>382</v>
      </c>
      <c r="AK392" s="22">
        <v>1.8234300000000001</v>
      </c>
      <c r="AL392">
        <f t="shared" si="66"/>
        <v>-9.68323</v>
      </c>
      <c r="AM392">
        <f t="shared" si="67"/>
        <v>-17.6581445634</v>
      </c>
      <c r="AP392" s="9"/>
      <c r="AQ392" s="22">
        <v>-7.3547399999999999E-2</v>
      </c>
      <c r="AR392" s="22">
        <v>311.423</v>
      </c>
      <c r="AS392" s="22">
        <v>-1.70013E-2</v>
      </c>
      <c r="AT392" s="22">
        <v>382</v>
      </c>
      <c r="AU392" s="22">
        <v>-7.4066199999999999E-2</v>
      </c>
      <c r="AV392">
        <f t="shared" si="68"/>
        <v>17.001300000000001</v>
      </c>
      <c r="AW392">
        <f t="shared" si="69"/>
        <v>-1.25040141162</v>
      </c>
      <c r="AX392" s="9"/>
      <c r="AY392" s="22">
        <v>1.82358</v>
      </c>
      <c r="AZ392" s="22">
        <v>390.65300000000002</v>
      </c>
      <c r="BA392" s="22">
        <v>9.4329800000000005E-3</v>
      </c>
      <c r="BB392" s="22">
        <v>382</v>
      </c>
      <c r="BC392" s="22">
        <v>1.8234300000000001</v>
      </c>
      <c r="BD392">
        <f t="shared" si="70"/>
        <v>-9.4329800000000006</v>
      </c>
      <c r="BE392">
        <f t="shared" si="71"/>
        <v>-17.201793668400001</v>
      </c>
    </row>
    <row r="393" spans="6:57">
      <c r="F393" s="9"/>
      <c r="G393" s="22">
        <v>-7.8582799999999994E-2</v>
      </c>
      <c r="H393" s="22">
        <v>62.221499999999999</v>
      </c>
      <c r="I393" s="22">
        <v>-1.7395000000000001E-2</v>
      </c>
      <c r="J393" s="22">
        <v>383</v>
      </c>
      <c r="K393" s="22">
        <v>-7.9071000000000002E-2</v>
      </c>
      <c r="L393">
        <f t="shared" si="60"/>
        <v>17.395</v>
      </c>
      <c r="M393">
        <f t="shared" si="61"/>
        <v>-1.3669478059999998</v>
      </c>
      <c r="N393" s="9"/>
      <c r="O393" s="22">
        <v>1.8286100000000001</v>
      </c>
      <c r="P393" s="22">
        <v>117.617</v>
      </c>
      <c r="Q393" s="22">
        <v>9.0606699999999998E-3</v>
      </c>
      <c r="R393" s="22">
        <v>383</v>
      </c>
      <c r="S393" s="22">
        <v>1.8283100000000001</v>
      </c>
      <c r="T393">
        <f t="shared" si="62"/>
        <v>-9.06067</v>
      </c>
      <c r="U393">
        <f t="shared" si="63"/>
        <v>-16.568431768700002</v>
      </c>
      <c r="X393" s="9"/>
      <c r="Y393" s="22">
        <v>-7.8582799999999994E-2</v>
      </c>
      <c r="Z393" s="22">
        <v>179.57400000000001</v>
      </c>
      <c r="AA393" s="22">
        <v>-1.7242400000000001E-2</v>
      </c>
      <c r="AB393" s="22">
        <v>383</v>
      </c>
      <c r="AC393" s="22">
        <v>-7.9101599999999994E-2</v>
      </c>
      <c r="AD393">
        <f t="shared" si="64"/>
        <v>17.2424</v>
      </c>
      <c r="AE393">
        <f t="shared" si="65"/>
        <v>-1.3549560707199999</v>
      </c>
      <c r="AF393" s="9"/>
      <c r="AG393" s="22">
        <v>1.8286100000000001</v>
      </c>
      <c r="AH393" s="22">
        <v>259.10700000000003</v>
      </c>
      <c r="AI393" s="22">
        <v>1.12823E-2</v>
      </c>
      <c r="AJ393" s="22">
        <v>383</v>
      </c>
      <c r="AK393" s="22">
        <v>1.8280000000000001</v>
      </c>
      <c r="AL393">
        <f t="shared" si="66"/>
        <v>-11.282300000000001</v>
      </c>
      <c r="AM393">
        <f t="shared" si="67"/>
        <v>-20.630926603000002</v>
      </c>
      <c r="AP393" s="9"/>
      <c r="AQ393" s="22">
        <v>-7.8582799999999994E-2</v>
      </c>
      <c r="AR393" s="22">
        <v>311.52300000000002</v>
      </c>
      <c r="AS393" s="22">
        <v>-1.6983000000000002E-2</v>
      </c>
      <c r="AT393" s="22">
        <v>383</v>
      </c>
      <c r="AU393" s="22">
        <v>-7.9132099999999997E-2</v>
      </c>
      <c r="AV393">
        <f t="shared" si="68"/>
        <v>16.983000000000001</v>
      </c>
      <c r="AW393">
        <f t="shared" si="69"/>
        <v>-1.3345716924</v>
      </c>
      <c r="AX393" s="9"/>
      <c r="AY393" s="22">
        <v>1.8286100000000001</v>
      </c>
      <c r="AZ393" s="22">
        <v>390.75400000000002</v>
      </c>
      <c r="BA393" s="22">
        <v>1.10352E-2</v>
      </c>
      <c r="BB393" s="22">
        <v>383</v>
      </c>
      <c r="BC393" s="22">
        <v>1.8273900000000001</v>
      </c>
      <c r="BD393">
        <f t="shared" si="70"/>
        <v>-11.0352</v>
      </c>
      <c r="BE393">
        <f t="shared" si="71"/>
        <v>-20.179077072000002</v>
      </c>
    </row>
    <row r="394" spans="6:57">
      <c r="F394" s="9"/>
      <c r="G394" s="22">
        <v>-8.3618200000000004E-2</v>
      </c>
      <c r="H394" s="22">
        <v>62.322200000000002</v>
      </c>
      <c r="I394" s="22">
        <v>-1.7416399999999999E-2</v>
      </c>
      <c r="J394" s="22">
        <v>384</v>
      </c>
      <c r="K394" s="22">
        <v>-8.4137000000000003E-2</v>
      </c>
      <c r="L394">
        <f t="shared" si="60"/>
        <v>17.416399999999999</v>
      </c>
      <c r="M394">
        <f t="shared" si="61"/>
        <v>-1.45632801848</v>
      </c>
      <c r="N394" s="9"/>
      <c r="O394" s="22">
        <v>1.83365</v>
      </c>
      <c r="P394" s="22">
        <v>117.718</v>
      </c>
      <c r="Q394" s="22">
        <v>1.0534699999999999E-2</v>
      </c>
      <c r="R394" s="22">
        <v>384</v>
      </c>
      <c r="S394" s="22">
        <v>1.8328899999999999</v>
      </c>
      <c r="T394">
        <f t="shared" si="62"/>
        <v>-10.534699999999999</v>
      </c>
      <c r="U394">
        <f t="shared" si="63"/>
        <v>-19.316952654999998</v>
      </c>
      <c r="X394" s="9"/>
      <c r="Y394" s="22">
        <v>-8.3618200000000004E-2</v>
      </c>
      <c r="Z394" s="22">
        <v>179.67500000000001</v>
      </c>
      <c r="AA394" s="22">
        <v>-1.7215000000000001E-2</v>
      </c>
      <c r="AB394" s="22">
        <v>384</v>
      </c>
      <c r="AC394" s="22">
        <v>-8.4137000000000003E-2</v>
      </c>
      <c r="AD394">
        <f t="shared" si="64"/>
        <v>17.215</v>
      </c>
      <c r="AE394">
        <f t="shared" si="65"/>
        <v>-1.4394873130000001</v>
      </c>
      <c r="AF394" s="9"/>
      <c r="AG394" s="22">
        <v>1.83365</v>
      </c>
      <c r="AH394" s="22">
        <v>259.20699999999999</v>
      </c>
      <c r="AI394" s="22">
        <v>1.30341E-2</v>
      </c>
      <c r="AJ394" s="22">
        <v>384</v>
      </c>
      <c r="AK394" s="22">
        <v>1.8331900000000001</v>
      </c>
      <c r="AL394">
        <f t="shared" si="66"/>
        <v>-13.0341</v>
      </c>
      <c r="AM394">
        <f t="shared" si="67"/>
        <v>-23.899977464999999</v>
      </c>
      <c r="AP394" s="9"/>
      <c r="AQ394" s="22">
        <v>-8.3618200000000004E-2</v>
      </c>
      <c r="AR394" s="22">
        <v>311.62400000000002</v>
      </c>
      <c r="AS394" s="22">
        <v>-1.6995199999999999E-2</v>
      </c>
      <c r="AT394" s="22">
        <v>384</v>
      </c>
      <c r="AU394" s="22">
        <v>-8.4167500000000006E-2</v>
      </c>
      <c r="AV394">
        <f t="shared" si="68"/>
        <v>16.995199999999997</v>
      </c>
      <c r="AW394">
        <f t="shared" si="69"/>
        <v>-1.4211080326399999</v>
      </c>
      <c r="AX394" s="9"/>
      <c r="AY394" s="22">
        <v>1.83365</v>
      </c>
      <c r="AZ394" s="22">
        <v>390.85399999999998</v>
      </c>
      <c r="BA394" s="22">
        <v>1.2731900000000001E-2</v>
      </c>
      <c r="BB394" s="22">
        <v>384</v>
      </c>
      <c r="BC394" s="22">
        <v>1.8328899999999999</v>
      </c>
      <c r="BD394">
        <f t="shared" si="70"/>
        <v>-12.731900000000001</v>
      </c>
      <c r="BE394">
        <f t="shared" si="71"/>
        <v>-23.345848435000004</v>
      </c>
    </row>
    <row r="395" spans="6:57">
      <c r="F395" s="9"/>
      <c r="G395" s="22">
        <v>-8.8653599999999999E-2</v>
      </c>
      <c r="H395" s="22">
        <v>62.422899999999998</v>
      </c>
      <c r="I395" s="22">
        <v>-1.7456099999999999E-2</v>
      </c>
      <c r="J395" s="22">
        <v>385</v>
      </c>
      <c r="K395" s="22">
        <v>-8.9141799999999993E-2</v>
      </c>
      <c r="L395">
        <f t="shared" si="60"/>
        <v>17.456099999999999</v>
      </c>
      <c r="M395">
        <f t="shared" si="61"/>
        <v>-1.5475461069599998</v>
      </c>
      <c r="N395" s="9"/>
      <c r="O395" s="22">
        <v>1.8386800000000001</v>
      </c>
      <c r="P395" s="22">
        <v>117.819</v>
      </c>
      <c r="Q395" s="22">
        <v>1.21155E-2</v>
      </c>
      <c r="R395" s="22">
        <v>385</v>
      </c>
      <c r="S395" s="22">
        <v>1.8377699999999999</v>
      </c>
      <c r="T395">
        <f t="shared" si="62"/>
        <v>-12.115499999999999</v>
      </c>
      <c r="U395">
        <f t="shared" si="63"/>
        <v>-22.27652754</v>
      </c>
      <c r="X395" s="9"/>
      <c r="Y395" s="22">
        <v>-8.8653599999999999E-2</v>
      </c>
      <c r="Z395" s="22">
        <v>179.77600000000001</v>
      </c>
      <c r="AA395" s="22">
        <v>-1.72333E-2</v>
      </c>
      <c r="AB395" s="22">
        <v>385</v>
      </c>
      <c r="AC395" s="22">
        <v>-8.9141799999999993E-2</v>
      </c>
      <c r="AD395">
        <f t="shared" si="64"/>
        <v>17.2333</v>
      </c>
      <c r="AE395">
        <f t="shared" si="65"/>
        <v>-1.52779408488</v>
      </c>
      <c r="AF395" s="9"/>
      <c r="AG395" s="22">
        <v>1.8386800000000001</v>
      </c>
      <c r="AH395" s="22">
        <v>259.30799999999999</v>
      </c>
      <c r="AI395" s="22">
        <v>1.48956E-2</v>
      </c>
      <c r="AJ395" s="22">
        <v>385</v>
      </c>
      <c r="AK395" s="22">
        <v>1.8377699999999999</v>
      </c>
      <c r="AL395">
        <f t="shared" si="66"/>
        <v>-14.8956</v>
      </c>
      <c r="AM395">
        <f t="shared" si="67"/>
        <v>-27.388241808</v>
      </c>
      <c r="AP395" s="9"/>
      <c r="AQ395" s="22">
        <v>-8.8653599999999999E-2</v>
      </c>
      <c r="AR395" s="22">
        <v>311.72500000000002</v>
      </c>
      <c r="AS395" s="22">
        <v>-1.7007399999999999E-2</v>
      </c>
      <c r="AT395" s="22">
        <v>385</v>
      </c>
      <c r="AU395" s="22">
        <v>-8.9141799999999993E-2</v>
      </c>
      <c r="AV395">
        <f t="shared" si="68"/>
        <v>17.007400000000001</v>
      </c>
      <c r="AW395">
        <f t="shared" si="69"/>
        <v>-1.5077672366400001</v>
      </c>
      <c r="AX395" s="9"/>
      <c r="AY395" s="22">
        <v>1.8386800000000001</v>
      </c>
      <c r="AZ395" s="22">
        <v>390.95499999999998</v>
      </c>
      <c r="BA395" s="22">
        <v>1.45874E-2</v>
      </c>
      <c r="BB395" s="22">
        <v>385</v>
      </c>
      <c r="BC395" s="22">
        <v>1.8377699999999999</v>
      </c>
      <c r="BD395">
        <f t="shared" si="70"/>
        <v>-14.587400000000001</v>
      </c>
      <c r="BE395">
        <f t="shared" si="71"/>
        <v>-26.821560632000004</v>
      </c>
    </row>
    <row r="396" spans="6:57">
      <c r="F396" s="9"/>
      <c r="G396" s="22">
        <v>-9.3688999999999995E-2</v>
      </c>
      <c r="H396" s="22">
        <v>62.523600000000002</v>
      </c>
      <c r="I396" s="22">
        <v>-1.74377E-2</v>
      </c>
      <c r="J396" s="22">
        <v>386</v>
      </c>
      <c r="K396" s="22">
        <v>-9.41467E-2</v>
      </c>
      <c r="L396">
        <f t="shared" ref="L396:L398" si="72">-I396/$F$2*1000</f>
        <v>17.4377</v>
      </c>
      <c r="M396">
        <f t="shared" ref="M396:M398" si="73">L396*G396</f>
        <v>-1.6337206752999998</v>
      </c>
      <c r="N396" s="9"/>
      <c r="O396" s="22">
        <v>1.84372</v>
      </c>
      <c r="P396" s="22">
        <v>117.919</v>
      </c>
      <c r="Q396" s="22">
        <v>1.3806199999999999E-2</v>
      </c>
      <c r="R396" s="22">
        <v>386</v>
      </c>
      <c r="S396" s="22">
        <v>1.8426499999999999</v>
      </c>
      <c r="T396">
        <f t="shared" ref="T396:T398" si="74">-Q396/$F$2*1000</f>
        <v>-13.806199999999999</v>
      </c>
      <c r="U396">
        <f t="shared" ref="U396:U398" si="75">T396*O396</f>
        <v>-25.454767063999999</v>
      </c>
      <c r="X396" s="9"/>
      <c r="Y396" s="22">
        <v>-9.3688999999999995E-2</v>
      </c>
      <c r="Z396" s="22">
        <v>179.876</v>
      </c>
      <c r="AA396" s="22">
        <v>-1.7227200000000002E-2</v>
      </c>
      <c r="AB396" s="22">
        <v>386</v>
      </c>
      <c r="AC396" s="22">
        <v>-9.4085699999999994E-2</v>
      </c>
      <c r="AD396">
        <f t="shared" ref="AD396:AD398" si="76">-AA396/$F$2*1000</f>
        <v>17.2272</v>
      </c>
      <c r="AE396">
        <f t="shared" ref="AE396:AE398" si="77">AD396*Y396</f>
        <v>-1.6139991407999998</v>
      </c>
      <c r="AF396" s="9"/>
      <c r="AG396" s="22">
        <v>1.84372</v>
      </c>
      <c r="AH396" s="22">
        <v>259.40899999999999</v>
      </c>
      <c r="AI396" s="22">
        <v>1.6876200000000001E-2</v>
      </c>
      <c r="AJ396" s="22">
        <v>386</v>
      </c>
      <c r="AK396" s="22">
        <v>1.8435699999999999</v>
      </c>
      <c r="AL396">
        <f t="shared" ref="AL396:AL398" si="78">-AI396/$F$2*1000</f>
        <v>-16.876200000000001</v>
      </c>
      <c r="AM396">
        <f t="shared" ref="AM396:AM398" si="79">AL396*AG396</f>
        <v>-31.114987464000002</v>
      </c>
      <c r="AP396" s="9"/>
      <c r="AQ396" s="22">
        <v>-9.3688999999999995E-2</v>
      </c>
      <c r="AR396" s="22">
        <v>311.82600000000002</v>
      </c>
      <c r="AS396" s="22">
        <v>-1.6983000000000002E-2</v>
      </c>
      <c r="AT396" s="22">
        <v>386</v>
      </c>
      <c r="AU396" s="22">
        <v>-9.4116199999999997E-2</v>
      </c>
      <c r="AV396">
        <f t="shared" ref="AV396:AV398" si="80">-AS396/$F$2*1000</f>
        <v>16.983000000000001</v>
      </c>
      <c r="AW396">
        <f t="shared" ref="AW396:AW398" si="81">AV396*AQ396</f>
        <v>-1.5911202869999999</v>
      </c>
      <c r="AX396" s="9"/>
      <c r="AY396" s="22">
        <v>1.84372</v>
      </c>
      <c r="AZ396" s="22">
        <v>391.05599999999998</v>
      </c>
      <c r="BA396" s="22">
        <v>1.6546600000000002E-2</v>
      </c>
      <c r="BB396" s="22">
        <v>386</v>
      </c>
      <c r="BC396" s="22">
        <v>1.8432599999999999</v>
      </c>
      <c r="BD396">
        <f t="shared" ref="BD396:BD398" si="82">-BA396/$F$2*1000</f>
        <v>-16.546600000000002</v>
      </c>
      <c r="BE396">
        <f t="shared" ref="BE396:BE398" si="83">BD396*AY396</f>
        <v>-30.507297352000002</v>
      </c>
    </row>
    <row r="397" spans="6:57">
      <c r="F397" s="9"/>
      <c r="G397" s="22">
        <v>-9.8724400000000004E-2</v>
      </c>
      <c r="H397" s="22">
        <v>62.624299999999998</v>
      </c>
      <c r="I397" s="22">
        <v>-1.7459100000000002E-2</v>
      </c>
      <c r="J397" s="22">
        <v>387</v>
      </c>
      <c r="K397" s="22">
        <v>-9.9151600000000006E-2</v>
      </c>
      <c r="L397">
        <f t="shared" si="72"/>
        <v>17.459100000000003</v>
      </c>
      <c r="M397">
        <f t="shared" si="73"/>
        <v>-1.7236391720400004</v>
      </c>
      <c r="N397" s="9"/>
      <c r="O397" s="22">
        <v>1.8487499999999999</v>
      </c>
      <c r="P397" s="22">
        <v>118.02</v>
      </c>
      <c r="Q397" s="22">
        <v>1.56372E-2</v>
      </c>
      <c r="R397" s="22">
        <v>387</v>
      </c>
      <c r="S397" s="22">
        <v>1.8487499999999999</v>
      </c>
      <c r="T397">
        <f t="shared" si="74"/>
        <v>-15.6372</v>
      </c>
      <c r="U397">
        <f t="shared" si="75"/>
        <v>-28.909273499999998</v>
      </c>
      <c r="X397" s="9"/>
      <c r="Y397" s="22">
        <v>-9.8724400000000004E-2</v>
      </c>
      <c r="Z397" s="22">
        <v>179.977</v>
      </c>
      <c r="AA397" s="22">
        <v>-1.7254599999999998E-2</v>
      </c>
      <c r="AB397" s="22">
        <v>387</v>
      </c>
      <c r="AC397" s="22">
        <v>-9.9212599999999998E-2</v>
      </c>
      <c r="AD397">
        <f t="shared" si="76"/>
        <v>17.2546</v>
      </c>
      <c r="AE397">
        <f t="shared" si="77"/>
        <v>-1.7034500322400001</v>
      </c>
      <c r="AF397" s="9"/>
      <c r="AG397" s="22">
        <v>1.8487499999999999</v>
      </c>
      <c r="AH397" s="22">
        <v>259.50900000000001</v>
      </c>
      <c r="AI397" s="22">
        <v>1.90216E-2</v>
      </c>
      <c r="AJ397" s="22">
        <v>387</v>
      </c>
      <c r="AK397" s="22">
        <v>1.8481399999999999</v>
      </c>
      <c r="AL397">
        <f t="shared" si="78"/>
        <v>-19.021599999999999</v>
      </c>
      <c r="AM397">
        <f t="shared" si="79"/>
        <v>-35.166182999999997</v>
      </c>
      <c r="AP397" s="9"/>
      <c r="AQ397" s="22">
        <v>-9.8724400000000004E-2</v>
      </c>
      <c r="AR397" s="22">
        <v>311.92599999999999</v>
      </c>
      <c r="AS397" s="22">
        <v>-1.7041000000000001E-2</v>
      </c>
      <c r="AT397" s="22">
        <v>387</v>
      </c>
      <c r="AU397" s="22">
        <v>-9.9212599999999998E-2</v>
      </c>
      <c r="AV397">
        <f t="shared" si="80"/>
        <v>17.041</v>
      </c>
      <c r="AW397">
        <f t="shared" si="81"/>
        <v>-1.6823625004</v>
      </c>
      <c r="AX397" s="9"/>
      <c r="AY397" s="22">
        <v>1.8487499999999999</v>
      </c>
      <c r="AZ397" s="22">
        <v>391.15699999999998</v>
      </c>
      <c r="BA397" s="22">
        <v>1.8649300000000001E-2</v>
      </c>
      <c r="BB397" s="22">
        <v>387</v>
      </c>
      <c r="BC397" s="22">
        <v>1.8478399999999999</v>
      </c>
      <c r="BD397">
        <f t="shared" si="82"/>
        <v>-18.6493</v>
      </c>
      <c r="BE397">
        <f t="shared" si="83"/>
        <v>-34.477893375000001</v>
      </c>
    </row>
    <row r="398" spans="6:57">
      <c r="F398" s="9"/>
      <c r="G398" s="22">
        <v>-0.10376000000000001</v>
      </c>
      <c r="H398" s="22">
        <v>62.725000000000001</v>
      </c>
      <c r="I398" s="22">
        <v>-1.7462200000000001E-2</v>
      </c>
      <c r="J398" s="22">
        <v>388</v>
      </c>
      <c r="K398" s="22">
        <v>-0.10421800000000001</v>
      </c>
      <c r="L398">
        <f t="shared" si="72"/>
        <v>17.462199999999999</v>
      </c>
      <c r="M398">
        <f t="shared" si="73"/>
        <v>-1.8118778719999999</v>
      </c>
      <c r="N398" s="9"/>
      <c r="O398" s="22">
        <v>1.85379</v>
      </c>
      <c r="P398" s="22">
        <v>118.121</v>
      </c>
      <c r="Q398" s="22">
        <v>1.75903E-2</v>
      </c>
      <c r="R398" s="22">
        <v>388</v>
      </c>
      <c r="S398" s="22">
        <v>1.85364</v>
      </c>
      <c r="T398">
        <f t="shared" si="74"/>
        <v>-17.590299999999999</v>
      </c>
      <c r="U398">
        <f t="shared" si="75"/>
        <v>-32.608722237000002</v>
      </c>
      <c r="X398" s="9"/>
      <c r="Y398" s="22">
        <v>-0.10376000000000001</v>
      </c>
      <c r="Z398" s="22">
        <v>180.078</v>
      </c>
      <c r="AA398" s="22">
        <v>-1.72485E-2</v>
      </c>
      <c r="AB398" s="22">
        <v>388</v>
      </c>
      <c r="AC398" s="22">
        <v>-0.104156</v>
      </c>
      <c r="AD398">
        <f t="shared" si="76"/>
        <v>17.2485</v>
      </c>
      <c r="AE398">
        <f t="shared" si="77"/>
        <v>-1.78970436</v>
      </c>
      <c r="AF398" s="9"/>
      <c r="AG398" s="22">
        <v>1.85379</v>
      </c>
      <c r="AH398" s="22">
        <v>259.61</v>
      </c>
      <c r="AI398" s="22">
        <v>2.1270799999999999E-2</v>
      </c>
      <c r="AJ398" s="22">
        <v>388</v>
      </c>
      <c r="AK398" s="22">
        <v>1.8533299999999999</v>
      </c>
      <c r="AL398">
        <f t="shared" si="78"/>
        <v>-21.270799999999998</v>
      </c>
      <c r="AM398">
        <f t="shared" si="79"/>
        <v>-39.431596331999998</v>
      </c>
      <c r="AP398" s="9"/>
      <c r="AQ398" s="22">
        <v>-0.10376000000000001</v>
      </c>
      <c r="AR398" s="22">
        <v>312.02699999999999</v>
      </c>
      <c r="AS398" s="22">
        <v>-1.7025800000000001E-2</v>
      </c>
      <c r="AT398" s="22">
        <v>388</v>
      </c>
      <c r="AU398" s="22">
        <v>-0.10424799999999999</v>
      </c>
      <c r="AV398">
        <f t="shared" si="80"/>
        <v>17.0258</v>
      </c>
      <c r="AW398">
        <f t="shared" si="81"/>
        <v>-1.7665970080000002</v>
      </c>
      <c r="AX398" s="9"/>
      <c r="AY398" s="22">
        <v>1.85379</v>
      </c>
      <c r="AZ398" s="22">
        <v>391.25700000000001</v>
      </c>
      <c r="BA398" s="22">
        <v>2.08893E-2</v>
      </c>
      <c r="BB398" s="22">
        <v>388</v>
      </c>
      <c r="BC398" s="22">
        <v>1.8533299999999999</v>
      </c>
      <c r="BD398">
        <f t="shared" si="82"/>
        <v>-20.889299999999999</v>
      </c>
      <c r="BE398">
        <f t="shared" si="83"/>
        <v>-38.724375447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tabSelected="1"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20230210T210000</v>
      </c>
      <c r="B3">
        <f ca="1">INDEX(INDIRECT(A3&amp;"!A11"):INDIRECT(A3&amp;"!A21"),MATCH(E3,INDIRECT(A3&amp;"!D11"):INDIRECT(A3&amp;"!D21"),0))</f>
        <v>1.7984181373292958</v>
      </c>
      <c r="C3">
        <f ca="1">INDEX(INDIRECT(A3&amp;"!B11"):INDIRECT(A3&amp;"!B21"),MATCH(E3,INDIRECT(A3&amp;"!D11"):INDIRECT(A3&amp;"!D21"),0))</f>
        <v>17.379770409440983</v>
      </c>
      <c r="D3">
        <f ca="1">INDEX(INDIRECT(A3&amp;"!C11"):INDIRECT(A3&amp;"!C21"),MATCH(E3,INDIRECT(A3&amp;"!D11"):INDIRECT(A3&amp;"!D21"),0))</f>
        <v>0.73630380402809859</v>
      </c>
      <c r="E3">
        <f t="shared" ref="E3" ca="1" si="0">MAX(INDIRECT(A3&amp; "!D11"),INDIRECT(A3 &amp; "!D13"),INDIRECT(A3 &amp; "!D15"),INDIRECT(A3 &amp; "!D17"),INDIRECT(A3 &amp; "!D19"),INDIRECT(A3 &amp; "!D21"))</f>
        <v>23.013981152000003</v>
      </c>
      <c r="G3">
        <f ca="1">INDEX(INDIRECT(A3&amp;"!A12"):INDIRECT(A3&amp;"!A22"),MATCH(J3,INDIRECT(A3&amp;"!D12"):INDIRECT(A3&amp;"!D22"),0))</f>
        <v>1.7887295940573227</v>
      </c>
      <c r="H3">
        <f ca="1">INDEX(INDIRECT(A3&amp;"!B12"):INDIRECT(A3&amp;"!B22"),MATCH(J3,INDIRECT(A3&amp;"!D12"):INDIRECT(A3&amp;"!D22"),0))</f>
        <v>17.398589026900545</v>
      </c>
      <c r="I3">
        <f ca="1">INDEX(INDIRECT(A3&amp;"!C12"):INDIRECT(A3&amp;"!C22"),MATCH(J3,INDIRECT(A3&amp;"!D12"):INDIRECT(A3&amp;"!D22"),0))</f>
        <v>0.7377250926904082</v>
      </c>
      <c r="J3">
        <f t="shared" ref="J3" ca="1" si="1">MAX(INDIRECT(A3&amp; "!D12"),INDIRECT(A3 &amp; "!D14"),INDIRECT(A3 &amp; "!D16"),INDIRECT(A3 &amp; "!D18"),INDIRECT(A3 &amp; "!D20"),,INDIRECT(A3 &amp; "!D22"))</f>
        <v>22.959016369999997</v>
      </c>
      <c r="L3">
        <f ca="1">INDEX(INDIRECT(A3&amp;"!E11"):INDIRECT(A3&amp;"!E21"),MATCH(E3,INDIRECT(A3&amp;"!D11"):INDIRECT(A3&amp;"!D21"),0))</f>
        <v>0.23883213268048342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20230210T210000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2023-02-11T00:59:33Z</dcterms:modified>
</cp:coreProperties>
</file>